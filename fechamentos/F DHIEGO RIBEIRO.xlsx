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.DESKTOP-3IRHNKO\Documents\Fechamentos Regionais 2026 STROG\"/>
    </mc:Choice>
  </mc:AlternateContent>
  <xr:revisionPtr revIDLastSave="0" documentId="13_ncr:1_{57EFCD62-5F1A-4754-9469-F54C8967850B}" xr6:coauthVersionLast="47" xr6:coauthVersionMax="47" xr10:uidLastSave="{00000000-0000-0000-0000-000000000000}"/>
  <bookViews>
    <workbookView xWindow="25605" yWindow="3015" windowWidth="15375" windowHeight="7785" activeTab="1" xr2:uid="{7A485A94-A3F0-4775-9862-57B23F855A69}"/>
  </bookViews>
  <sheets>
    <sheet name="extrato" sheetId="1" r:id="rId1"/>
    <sheet name="FECHAMENTO" sheetId="2" r:id="rId2"/>
    <sheet name="Prestação" sheetId="3" r:id="rId3"/>
  </sheets>
  <definedNames>
    <definedName name="_xlnm._FilterDatabase" localSheetId="0" hidden="1">extrato!$A$1:$G$1</definedName>
    <definedName name="_xlnm._FilterDatabase" localSheetId="2" hidden="1">Prestação!$A$1:$F$15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2" l="1"/>
  <c r="G29" i="2" s="1"/>
  <c r="E25" i="2"/>
  <c r="D25" i="2"/>
  <c r="C25" i="2"/>
  <c r="G28" i="2" s="1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30" i="2" l="1"/>
  <c r="G32" i="2" s="1"/>
  <c r="G25" i="2"/>
  <c r="G27" i="2" s="1"/>
  <c r="H8" i="2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</calcChain>
</file>

<file path=xl/sharedStrings.xml><?xml version="1.0" encoding="utf-8"?>
<sst xmlns="http://schemas.openxmlformats.org/spreadsheetml/2006/main" count="706" uniqueCount="227">
  <si>
    <t>Data</t>
  </si>
  <si>
    <t>Hora</t>
  </si>
  <si>
    <t>Grupo</t>
  </si>
  <si>
    <t>Usuário</t>
  </si>
  <si>
    <t>Tipo</t>
  </si>
  <si>
    <t>Descrição</t>
  </si>
  <si>
    <t>Valor</t>
  </si>
  <si>
    <t>Compra</t>
  </si>
  <si>
    <t>Saque</t>
  </si>
  <si>
    <t>Taxa</t>
  </si>
  <si>
    <t>Taxa de saque</t>
  </si>
  <si>
    <t>Transferência</t>
  </si>
  <si>
    <t>ID do Relatório</t>
  </si>
  <si>
    <t>Nome do relatório</t>
  </si>
  <si>
    <t>Status</t>
  </si>
  <si>
    <t>Centro de Custo</t>
  </si>
  <si>
    <t>APROVADO</t>
  </si>
  <si>
    <t>Carga</t>
  </si>
  <si>
    <t>Rótulos de Linha</t>
  </si>
  <si>
    <t>Total Geral</t>
  </si>
  <si>
    <t>Rótulos de Coluna</t>
  </si>
  <si>
    <t>Soma de Valor</t>
  </si>
  <si>
    <t>mar</t>
  </si>
  <si>
    <t>abr</t>
  </si>
  <si>
    <t>mai</t>
  </si>
  <si>
    <t>jun</t>
  </si>
  <si>
    <t>FECHAMENTO DE PRESTAÇÃO DE CONTAS</t>
  </si>
  <si>
    <t>MÊS</t>
  </si>
  <si>
    <t>CARGAS</t>
  </si>
  <si>
    <t>TRANSF.</t>
  </si>
  <si>
    <t>TAXA SAQ.</t>
  </si>
  <si>
    <t>PREST. CONTAS</t>
  </si>
  <si>
    <t xml:space="preserve">SALDO </t>
  </si>
  <si>
    <t>ACUMULADO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</si>
  <si>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</si>
  <si>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</si>
  <si>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</si>
  <si>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</si>
  <si>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</si>
  <si>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</si>
  <si>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</si>
  <si>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</si>
  <si>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</si>
  <si>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</si>
  <si>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</si>
  <si>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</si>
  <si>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</si>
  <si>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</si>
  <si>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</si>
  <si>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</si>
  <si>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</si>
  <si>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 xml:space="preserve"> </t>
  </si>
  <si>
    <t>SALDO FINAL</t>
  </si>
  <si>
    <t>LEGENDA SINAIS</t>
  </si>
  <si>
    <t>(+) SALDO DISPONIVEL</t>
  </si>
  <si>
    <t>NEGATIVO</t>
  </si>
  <si>
    <t>A REEMBOLSAR</t>
  </si>
  <si>
    <t>(-) PRESTAÇÃO DE CONTAS</t>
  </si>
  <si>
    <t>POSITIVO</t>
  </si>
  <si>
    <t>A PRESTAR</t>
  </si>
  <si>
    <t>= FECHAMENTO PRESTE CONTAS</t>
  </si>
  <si>
    <t>GRIFADO</t>
  </si>
  <si>
    <t>EM ABERTO</t>
  </si>
  <si>
    <t>= SALDO CARTÃO</t>
  </si>
  <si>
    <t>REPROVADO</t>
  </si>
  <si>
    <t>FECHAMENTO FINAL - SALDO PENDENTE</t>
  </si>
  <si>
    <t>REGIONAL CO</t>
  </si>
  <si>
    <t>14:53:42</t>
  </si>
  <si>
    <t>fev</t>
  </si>
  <si>
    <t>jul</t>
  </si>
  <si>
    <t>ago</t>
  </si>
  <si>
    <t>CAIXA 02/2026</t>
  </si>
  <si>
    <t>CAIXA 03/2026</t>
  </si>
  <si>
    <t>CAIXA 04/2026</t>
  </si>
  <si>
    <t>CAIXA 05/2026</t>
  </si>
  <si>
    <t>ENVIADO</t>
  </si>
  <si>
    <t>CAIXA 06/2026</t>
  </si>
  <si>
    <t>CAIXA 07/2026</t>
  </si>
  <si>
    <t>CONCEBRA</t>
  </si>
  <si>
    <t>-</t>
  </si>
  <si>
    <t>TECBAN-ANASHOP IVAV. U</t>
  </si>
  <si>
    <t>TECBAN-ANASHOP IAV. UN</t>
  </si>
  <si>
    <t>17:05:51</t>
  </si>
  <si>
    <t>2025</t>
  </si>
  <si>
    <t>2026</t>
  </si>
  <si>
    <t>set</t>
  </si>
  <si>
    <t>out</t>
  </si>
  <si>
    <t>nov</t>
  </si>
  <si>
    <t>dez</t>
  </si>
  <si>
    <t>jan</t>
  </si>
  <si>
    <t>CAIXA 08/2026</t>
  </si>
  <si>
    <t>CEF GOIANIA CO</t>
  </si>
  <si>
    <t>CAIXA 05/2025</t>
  </si>
  <si>
    <t>CAIXA 06/2025</t>
  </si>
  <si>
    <t>CAIXA 08/2025</t>
  </si>
  <si>
    <t>CAIXA 09/2025</t>
  </si>
  <si>
    <t>CAIXA 10/2025</t>
  </si>
  <si>
    <t>CAIXA 11/2025</t>
  </si>
  <si>
    <t>CAIXA 12/2025</t>
  </si>
  <si>
    <t>CAIXA 01/2026</t>
  </si>
  <si>
    <t>10:43:33</t>
  </si>
  <si>
    <t>15:07:08</t>
  </si>
  <si>
    <t>11:49:47</t>
  </si>
  <si>
    <t>CAIXA 07/2025</t>
  </si>
  <si>
    <t>REABERTO</t>
  </si>
  <si>
    <t>15:30:25</t>
  </si>
  <si>
    <t>TECBAN-SUP FORMOSA NOV</t>
  </si>
  <si>
    <t>15:30:58</t>
  </si>
  <si>
    <t>Dhiego Ribeiro Diniz</t>
  </si>
  <si>
    <t>PAPELARIA UNIVERSITARI</t>
  </si>
  <si>
    <t>08:19:44</t>
  </si>
  <si>
    <t>14:50:07</t>
  </si>
  <si>
    <t>14:42:47</t>
  </si>
  <si>
    <t>09:33:17</t>
  </si>
  <si>
    <t>14:02:14</t>
  </si>
  <si>
    <t>08:22:40</t>
  </si>
  <si>
    <t>10:45:02</t>
  </si>
  <si>
    <t>15:52:51</t>
  </si>
  <si>
    <t>08:09:06</t>
  </si>
  <si>
    <t>14:41:58</t>
  </si>
  <si>
    <t>11:05:26</t>
  </si>
  <si>
    <t>09:59:26</t>
  </si>
  <si>
    <t>13:58:29</t>
  </si>
  <si>
    <t>17:55:16</t>
  </si>
  <si>
    <t>17:56:52</t>
  </si>
  <si>
    <t>17:00:57</t>
  </si>
  <si>
    <t>17:07:09</t>
  </si>
  <si>
    <t>09:05:30</t>
  </si>
  <si>
    <t>09:06:40</t>
  </si>
  <si>
    <t>12:04:25</t>
  </si>
  <si>
    <t>12:05:56</t>
  </si>
  <si>
    <t>18:44:21</t>
  </si>
  <si>
    <t>18:45:28</t>
  </si>
  <si>
    <t>09:13:24</t>
  </si>
  <si>
    <t>09:15:19</t>
  </si>
  <si>
    <t>08:33:12</t>
  </si>
  <si>
    <t>08:41:58</t>
  </si>
  <si>
    <t>08:43:03</t>
  </si>
  <si>
    <t>11:31:49</t>
  </si>
  <si>
    <t>11:33:24</t>
  </si>
  <si>
    <t>13:46:40</t>
  </si>
  <si>
    <t>18:02:37</t>
  </si>
  <si>
    <t>18:03:44</t>
  </si>
  <si>
    <t>TECBAN-ANASHOP IIAV. U</t>
  </si>
  <si>
    <t>14:26:52</t>
  </si>
  <si>
    <t>16:23:52</t>
  </si>
  <si>
    <t>17:02:09</t>
  </si>
  <si>
    <t>17:03:35</t>
  </si>
  <si>
    <t>17:48:45</t>
  </si>
  <si>
    <t>11:01:25</t>
  </si>
  <si>
    <t>14:50:23</t>
  </si>
  <si>
    <t>14:43:09</t>
  </si>
  <si>
    <t>09:33:37</t>
  </si>
  <si>
    <t>14:02:42</t>
  </si>
  <si>
    <t>08:23:02</t>
  </si>
  <si>
    <t>10:45:27</t>
  </si>
  <si>
    <t>17:21:08</t>
  </si>
  <si>
    <t>08:09:30</t>
  </si>
  <si>
    <t>15:14:34</t>
  </si>
  <si>
    <t>11:05:44</t>
  </si>
  <si>
    <t>09:59:42</t>
  </si>
  <si>
    <t>14:20:56</t>
  </si>
  <si>
    <t>22:41:47</t>
  </si>
  <si>
    <t>22:43:06</t>
  </si>
  <si>
    <t>17:01:20</t>
  </si>
  <si>
    <t>17:08:15</t>
  </si>
  <si>
    <t>09:05:55</t>
  </si>
  <si>
    <t>09:07:08</t>
  </si>
  <si>
    <t>12:04:54</t>
  </si>
  <si>
    <t>12:06:29</t>
  </si>
  <si>
    <t>18:44:46</t>
  </si>
  <si>
    <t>18:45:48</t>
  </si>
  <si>
    <t>09:13:51</t>
  </si>
  <si>
    <t>09:15:55</t>
  </si>
  <si>
    <t>08:33:42</t>
  </si>
  <si>
    <t>08:42:18</t>
  </si>
  <si>
    <t>11:32:22</t>
  </si>
  <si>
    <t>11:33:59</t>
  </si>
  <si>
    <t>13:47:01</t>
  </si>
  <si>
    <t>18:03:03</t>
  </si>
  <si>
    <t>18:04:19</t>
  </si>
  <si>
    <t>10:44:05</t>
  </si>
  <si>
    <t>14:27:06</t>
  </si>
  <si>
    <t>16:24:21</t>
  </si>
  <si>
    <t>17:02:39</t>
  </si>
  <si>
    <t>17:04:03</t>
  </si>
  <si>
    <t>17:49:23</t>
  </si>
  <si>
    <t>11:01:58</t>
  </si>
  <si>
    <t>17:35:24</t>
  </si>
  <si>
    <t>Transf. EQS &gt; Dhiego R. Diniz: 2 QUINZENA - MAIO/2025</t>
  </si>
  <si>
    <t>16:56:59</t>
  </si>
  <si>
    <t>Transf. EQS &gt; Dhiego R. Diniz: SALDO AGILLITAS</t>
  </si>
  <si>
    <t>11:46:56</t>
  </si>
  <si>
    <t>Transf. Dhiego R. Diniz &gt; EQS: TESTE</t>
  </si>
  <si>
    <t>11:49:12</t>
  </si>
  <si>
    <t>Transf. REGIONAL CO &gt; Dhiego R. Diniz: TESTE</t>
  </si>
  <si>
    <t>19:35:25</t>
  </si>
  <si>
    <t>Transf. REGIONAL CO &gt; Dhiego R. Diniz</t>
  </si>
  <si>
    <t>16:59:28</t>
  </si>
  <si>
    <t>15:44:41</t>
  </si>
  <si>
    <t>15:33:17</t>
  </si>
  <si>
    <t>16:42:52</t>
  </si>
  <si>
    <t>17:15:15</t>
  </si>
  <si>
    <t>17:31:14</t>
  </si>
  <si>
    <t>16:37:46</t>
  </si>
  <si>
    <t>16:14:19</t>
  </si>
  <si>
    <t>Transf. REGIONAL CO &gt; Dhiego R. Diniz: ADC ANTECIPACAO 2 QUINZENA NOVEMBRO</t>
  </si>
  <si>
    <t>10:46:18</t>
  </si>
  <si>
    <t>Transf. Dhiego R. Diniz &gt; REGIONAL CO: TROCA DE PROJETO</t>
  </si>
  <si>
    <t>10:48:51</t>
  </si>
  <si>
    <t>Transf. EQS &gt; Dhiego R. Diniz: CARGA 1 QZ 2025</t>
  </si>
  <si>
    <t>11:13:31</t>
  </si>
  <si>
    <t>Transf. Dhiego R. Diniz &gt; EQS</t>
  </si>
  <si>
    <t>11:14:15</t>
  </si>
  <si>
    <t>17:21:14</t>
  </si>
  <si>
    <t>14:33:47</t>
  </si>
  <si>
    <t>Transf. Dhiego R. Diniz &gt; REGIONAL CO</t>
  </si>
  <si>
    <t>15:07:12</t>
  </si>
  <si>
    <t>09:40:28</t>
  </si>
  <si>
    <t>17:43:33</t>
  </si>
  <si>
    <t>16:34:27</t>
  </si>
  <si>
    <t>16:17:05</t>
  </si>
  <si>
    <t>14:36:34</t>
  </si>
  <si>
    <t>15:07:38</t>
  </si>
  <si>
    <t>16:01:12</t>
  </si>
  <si>
    <t>19:12:51</t>
  </si>
  <si>
    <t>DHIEGO RIBEIRO DINIZ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</si>
</sst>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 &quot;#,##0.00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0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Calibri"/>
      <family val="2"/>
    </font>
    <font>
      <b/>
      <sz val="10"/>
      <color theme="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8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4" fillId="0" borderId="0" applyFill="0" applyProtection="0"/>
    <xf numFmtId="0" fontId="6" fillId="0" borderId="0"/>
    <xf numFmtId="0" fontId="22" fillId="0" borderId="0" applyFill="0" applyProtection="0"/>
    <xf numFmtId="0" fontId="23" fillId="0" borderId="0"/>
  </cellStyleXfs>
  <cellXfs count="6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2" borderId="0" xfId="2" applyFont="1" applyFill="1" applyAlignment="1" applyProtection="1">
      <alignment horizontal="center"/>
    </xf>
    <xf numFmtId="44" fontId="5" fillId="2" borderId="0" xfId="1" applyFont="1" applyFill="1" applyAlignment="1" applyProtection="1">
      <alignment horizontal="center"/>
    </xf>
    <xf numFmtId="44" fontId="0" fillId="0" borderId="0" xfId="1" applyFont="1"/>
    <xf numFmtId="44" fontId="0" fillId="0" borderId="0" xfId="1" applyFont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44" fontId="3" fillId="2" borderId="0" xfId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" borderId="0" xfId="0" applyFill="1"/>
    <xf numFmtId="0" fontId="8" fillId="3" borderId="0" xfId="0" applyFont="1" applyFill="1"/>
    <xf numFmtId="0" fontId="10" fillId="4" borderId="3" xfId="2" applyFont="1" applyFill="1" applyBorder="1" applyAlignment="1">
      <alignment horizontal="center" vertical="center"/>
    </xf>
    <xf numFmtId="44" fontId="10" fillId="4" borderId="1" xfId="2" applyNumberFormat="1" applyFont="1" applyFill="1" applyBorder="1" applyAlignment="1">
      <alignment horizontal="center" vertical="center"/>
    </xf>
    <xf numFmtId="44" fontId="10" fillId="4" borderId="4" xfId="2" applyNumberFormat="1" applyFont="1" applyFill="1" applyBorder="1" applyAlignment="1">
      <alignment horizontal="center" vertical="center"/>
    </xf>
    <xf numFmtId="44" fontId="10" fillId="4" borderId="5" xfId="2" applyNumberFormat="1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 wrapText="1"/>
    </xf>
    <xf numFmtId="44" fontId="11" fillId="0" borderId="0" xfId="0" applyNumberFormat="1" applyFont="1" applyAlignment="1">
      <alignment vertical="center" wrapText="1"/>
    </xf>
    <xf numFmtId="44" fontId="11" fillId="0" borderId="7" xfId="0" applyNumberFormat="1" applyFont="1" applyBorder="1" applyAlignment="1">
      <alignment vertical="center" wrapText="1"/>
    </xf>
    <xf numFmtId="44" fontId="12" fillId="5" borderId="8" xfId="0" applyNumberFormat="1" applyFont="1" applyFill="1" applyBorder="1" applyAlignment="1">
      <alignment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44" fontId="11" fillId="0" borderId="10" xfId="0" applyNumberFormat="1" applyFont="1" applyBorder="1" applyAlignment="1">
      <alignment vertical="center" wrapText="1"/>
    </xf>
    <xf numFmtId="44" fontId="12" fillId="5" borderId="11" xfId="0" applyNumberFormat="1" applyFont="1" applyFill="1" applyBorder="1" applyAlignment="1">
      <alignment vertical="center" wrapText="1"/>
    </xf>
    <xf numFmtId="49" fontId="13" fillId="3" borderId="0" xfId="0" applyNumberFormat="1" applyFont="1" applyFill="1" applyAlignment="1">
      <alignment horizontal="center" vertical="center" wrapText="1"/>
    </xf>
    <xf numFmtId="44" fontId="14" fillId="3" borderId="3" xfId="0" applyNumberFormat="1" applyFont="1" applyFill="1" applyBorder="1" applyAlignment="1">
      <alignment vertical="center" wrapText="1"/>
    </xf>
    <xf numFmtId="44" fontId="14" fillId="3" borderId="1" xfId="0" applyNumberFormat="1" applyFont="1" applyFill="1" applyBorder="1" applyAlignment="1">
      <alignment vertical="center" wrapText="1"/>
    </xf>
    <xf numFmtId="44" fontId="14" fillId="3" borderId="4" xfId="0" applyNumberFormat="1" applyFont="1" applyFill="1" applyBorder="1" applyAlignment="1">
      <alignment vertical="center" wrapText="1"/>
    </xf>
    <xf numFmtId="44" fontId="14" fillId="3" borderId="12" xfId="0" applyNumberFormat="1" applyFont="1" applyFill="1" applyBorder="1" applyAlignment="1">
      <alignment vertical="center" wrapText="1"/>
    </xf>
    <xf numFmtId="44" fontId="14" fillId="3" borderId="0" xfId="0" applyNumberFormat="1" applyFont="1" applyFill="1" applyAlignment="1">
      <alignment vertical="center" wrapText="1"/>
    </xf>
    <xf numFmtId="44" fontId="15" fillId="4" borderId="14" xfId="2" applyNumberFormat="1" applyFont="1" applyFill="1" applyBorder="1" applyAlignment="1">
      <alignment horizontal="center" vertical="center"/>
    </xf>
    <xf numFmtId="44" fontId="13" fillId="3" borderId="7" xfId="0" applyNumberFormat="1" applyFont="1" applyFill="1" applyBorder="1" applyAlignment="1">
      <alignment horizontal="right" vertical="center" wrapText="1"/>
    </xf>
    <xf numFmtId="0" fontId="16" fillId="6" borderId="5" xfId="0" applyFont="1" applyFill="1" applyBorder="1"/>
    <xf numFmtId="0" fontId="0" fillId="3" borderId="2" xfId="0" applyFill="1" applyBorder="1"/>
    <xf numFmtId="44" fontId="17" fillId="3" borderId="10" xfId="0" applyNumberFormat="1" applyFont="1" applyFill="1" applyBorder="1" applyAlignment="1">
      <alignment horizontal="left" indent="1"/>
    </xf>
    <xf numFmtId="44" fontId="18" fillId="3" borderId="7" xfId="0" applyNumberFormat="1" applyFont="1" applyFill="1" applyBorder="1"/>
    <xf numFmtId="0" fontId="19" fillId="7" borderId="5" xfId="0" applyFont="1" applyFill="1" applyBorder="1"/>
    <xf numFmtId="49" fontId="14" fillId="3" borderId="6" xfId="0" applyNumberFormat="1" applyFont="1" applyFill="1" applyBorder="1" applyAlignment="1">
      <alignment horizontal="left" vertical="center" wrapText="1"/>
    </xf>
    <xf numFmtId="49" fontId="14" fillId="3" borderId="0" xfId="0" applyNumberFormat="1" applyFont="1" applyFill="1" applyAlignment="1">
      <alignment horizontal="left" vertical="center" wrapText="1"/>
    </xf>
    <xf numFmtId="44" fontId="20" fillId="3" borderId="7" xfId="0" applyNumberFormat="1" applyFont="1" applyFill="1" applyBorder="1"/>
    <xf numFmtId="0" fontId="19" fillId="8" borderId="5" xfId="0" applyFont="1" applyFill="1" applyBorder="1"/>
    <xf numFmtId="44" fontId="21" fillId="6" borderId="10" xfId="2" applyNumberFormat="1" applyFont="1" applyFill="1" applyBorder="1" applyAlignment="1">
      <alignment horizontal="center" vertical="center"/>
    </xf>
    <xf numFmtId="44" fontId="22" fillId="0" borderId="0" xfId="1" applyFont="1" applyFill="1" applyProtection="1"/>
    <xf numFmtId="44" fontId="23" fillId="0" borderId="0" xfId="1" applyFont="1"/>
    <xf numFmtId="0" fontId="0" fillId="0" borderId="0" xfId="0" applyAlignment="1">
      <alignment horizontal="left" indent="1"/>
    </xf>
    <xf numFmtId="44" fontId="11" fillId="7" borderId="0" xfId="0" applyNumberFormat="1" applyFont="1" applyFill="1" applyAlignment="1">
      <alignment vertical="center" wrapText="1"/>
    </xf>
    <xf numFmtId="0" fontId="23" fillId="0" borderId="0" xfId="5"/>
    <xf numFmtId="14" fontId="23" fillId="0" borderId="0" xfId="5" applyNumberFormat="1"/>
    <xf numFmtId="0" fontId="22" fillId="0" borderId="0" xfId="4" applyFill="1" applyProtection="1"/>
    <xf numFmtId="0" fontId="4" fillId="0" borderId="0" xfId="2" applyFill="1" applyProtection="1"/>
    <xf numFmtId="4" fontId="4" fillId="0" borderId="0" xfId="2" applyNumberFormat="1" applyFill="1" applyProtection="1"/>
    <xf numFmtId="0" fontId="14" fillId="3" borderId="9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horizontal="left" vertical="center" wrapText="1"/>
    </xf>
    <xf numFmtId="49" fontId="14" fillId="3" borderId="13" xfId="0" applyNumberFormat="1" applyFont="1" applyFill="1" applyBorder="1" applyAlignment="1">
      <alignment horizontal="left" vertical="center" wrapText="1"/>
    </xf>
    <xf numFmtId="49" fontId="14" fillId="3" borderId="12" xfId="0" applyNumberFormat="1" applyFont="1" applyFill="1" applyBorder="1" applyAlignment="1">
      <alignment horizontal="left" vertical="center" wrapText="1"/>
    </xf>
    <xf numFmtId="0" fontId="21" fillId="6" borderId="9" xfId="2" applyFont="1" applyFill="1" applyBorder="1" applyAlignment="1">
      <alignment horizontal="center" vertical="center"/>
    </xf>
    <xf numFmtId="0" fontId="21" fillId="6" borderId="2" xfId="2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15" fillId="4" borderId="13" xfId="2" applyFont="1" applyFill="1" applyBorder="1" applyAlignment="1">
      <alignment horizontal="center" vertical="center"/>
    </xf>
    <xf numFmtId="0" fontId="15" fillId="4" borderId="1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4" fillId="3" borderId="6" xfId="0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</cellXfs>
  <cellStyles count="6">
    <cellStyle name="Moeda" xfId="1" builtinId="4"/>
    <cellStyle name="Normal" xfId="0" builtinId="0"/>
    <cellStyle name="Normal 2" xfId="2" xr:uid="{6C063E43-CB95-4D1E-8464-8ACDBFD0E883}"/>
    <cellStyle name="Normal 3" xfId="3" xr:uid="{5649B0FE-7A7F-42B4-83DD-86853BF89F21}"/>
    <cellStyle name="Normal 4" xfId="4" xr:uid="{FBF55E5E-5863-4315-A2E4-EF655F5DE4C5}"/>
    <cellStyle name="Normal 5" xfId="5" xr:uid="{5835180A-9557-423C-BEE0-AFD4F33D8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180975</xdr:rowOff>
    </xdr:from>
    <xdr:ext cx="1343024" cy="480074"/>
    <xdr:pic>
      <xdr:nvPicPr>
        <xdr:cNvPr id="2" name="Imagem 1">
          <a:extLst>
            <a:ext uri="{FF2B5EF4-FFF2-40B4-BE49-F238E27FC236}">
              <a16:creationId xmlns:a16="http://schemas.microsoft.com/office/drawing/2014/main" id="{74A2DCEE-9A74-4CCC-A2AE-9B2D2CB18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1475"/>
          <a:ext cx="1343024" cy="480074"/>
        </a:xfrm>
        <a:prstGeom prst="rect">
          <a:avLst/>
        </a:prstGeom>
      </xdr:spPr>
    </xdr:pic>
    <xdr:clientData/>
  </xdr:oneCellAnchor>
  <xdr:twoCellAnchor editAs="oneCell">
    <xdr:from>
      <xdr:col>3</xdr:col>
      <xdr:colOff>4622</xdr:colOff>
      <xdr:row>0</xdr:row>
      <xdr:rowOff>51167</xdr:rowOff>
    </xdr:from>
    <xdr:to>
      <xdr:col>5</xdr:col>
      <xdr:colOff>323850</xdr:colOff>
      <xdr:row>2</xdr:row>
      <xdr:rowOff>152398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3431B3-EDA3-4499-9DBE-1C853C29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3422" y="51167"/>
          <a:ext cx="1833703" cy="482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7.736462499997" createdVersion="8" refreshedVersion="8" minRefreshableVersion="3" recordCount="112" xr:uid="{ED748B62-D149-43E2-ADD1-09EC5826C51C}">
  <cacheSource type="worksheet">
    <worksheetSource ref="A1:G113" sheet="extrato"/>
  </cacheSource>
  <cacheFields count="10">
    <cacheField name="Data" numFmtId="14">
      <sharedItems containsSemiMixedTypes="0" containsNonDate="0" containsDate="1" containsString="0" minDate="2025-05-26T17:35:24" maxDate="2026-07-17T11:01:58" count="112">
        <d v="2025-05-29T15:30:58"/>
        <d v="2025-12-19T08:19:44"/>
        <d v="2025-05-29T14:50:07"/>
        <d v="2025-05-31T14:42:47"/>
        <d v="2025-06-15T09:33:17"/>
        <d v="2025-06-20T14:02:14"/>
        <d v="2025-06-27T08:22:40"/>
        <d v="2025-07-14T10:45:02"/>
        <d v="2025-07-18T15:52:51"/>
        <d v="2025-08-12T08:09:06"/>
        <d v="2025-08-13T14:41:58"/>
        <d v="2025-08-26T11:05:26"/>
        <d v="2025-09-16T09:59:26"/>
        <d v="2025-09-26T13:58:29"/>
        <d v="2025-10-13T17:55:16"/>
        <d v="2025-10-13T17:56:52"/>
        <d v="2025-10-27T17:00:57"/>
        <d v="2025-10-27T17:07:09"/>
        <d v="2025-11-21T09:05:30"/>
        <d v="2025-11-21T09:06:40"/>
        <d v="2025-12-12T12:04:25"/>
        <d v="2025-12-12T12:05:56"/>
        <d v="2026-01-12T18:44:21"/>
        <d v="2026-01-12T18:45:28"/>
        <d v="2026-01-29T09:13:24"/>
        <d v="2026-01-29T09:15:19"/>
        <d v="2026-02-12T08:33:12"/>
        <d v="2026-02-26T08:41:58"/>
        <d v="2026-02-26T08:43:03"/>
        <d v="2026-03-16T11:31:49"/>
        <d v="2026-03-16T11:33:24"/>
        <d v="2026-04-14T13:46:40"/>
        <d v="2026-04-27T18:02:37"/>
        <d v="2026-04-27T18:03:44"/>
        <d v="2026-05-22T10:43:33"/>
        <d v="2026-05-26T14:26:52"/>
        <d v="2026-05-29T16:23:52"/>
        <d v="2026-06-11T17:02:09"/>
        <d v="2026-06-11T17:03:35"/>
        <d v="2026-06-25T17:48:45"/>
        <d v="2026-07-17T11:01:25"/>
        <d v="2025-05-29T14:50:23"/>
        <d v="2025-05-31T14:43:09"/>
        <d v="2025-06-15T09:33:37"/>
        <d v="2025-06-20T14:02:42"/>
        <d v="2025-06-27T08:23:02"/>
        <d v="2025-07-14T10:45:27"/>
        <d v="2025-07-18T17:21:08"/>
        <d v="2025-08-12T08:09:30"/>
        <d v="2025-08-13T15:14:34"/>
        <d v="2025-08-26T11:05:44"/>
        <d v="2025-09-16T09:59:42"/>
        <d v="2025-09-26T14:20:56"/>
        <d v="2025-10-13T22:41:47"/>
        <d v="2025-10-13T22:43:06"/>
        <d v="2025-10-27T17:01:20"/>
        <d v="2025-10-27T17:08:15"/>
        <d v="2025-11-21T09:05:55"/>
        <d v="2025-11-21T09:07:08"/>
        <d v="2025-12-12T12:04:54"/>
        <d v="2025-12-12T12:06:29"/>
        <d v="2026-01-12T18:44:46"/>
        <d v="2026-01-12T18:45:48"/>
        <d v="2026-01-29T09:13:51"/>
        <d v="2026-01-29T09:15:55"/>
        <d v="2026-02-12T08:33:42"/>
        <d v="2026-02-26T08:42:18"/>
        <d v="2026-02-26T11:49:47"/>
        <d v="2026-03-16T11:32:22"/>
        <d v="2026-03-16T11:33:59"/>
        <d v="2026-04-14T13:47:01"/>
        <d v="2026-04-27T18:03:03"/>
        <d v="2026-04-27T18:04:19"/>
        <d v="2026-05-22T10:44:05"/>
        <d v="2026-05-26T14:27:06"/>
        <d v="2026-05-29T16:24:21"/>
        <d v="2026-06-11T17:02:39"/>
        <d v="2026-06-11T17:04:03"/>
        <d v="2026-06-25T17:49:23"/>
        <d v="2026-07-17T11:01:58"/>
        <d v="2025-05-26T17:35:24"/>
        <d v="2025-05-28T16:56:59"/>
        <d v="2025-06-03T11:46:56"/>
        <d v="2025-06-03T11:49:12"/>
        <d v="2025-06-11T19:35:25"/>
        <d v="2025-06-25T16:59:28"/>
        <d v="2025-07-11T15:44:41"/>
        <d v="2025-08-11T15:33:17"/>
        <d v="2025-08-25T16:42:52"/>
        <d v="2025-09-11T17:15:15"/>
        <d v="2025-09-25T17:31:14"/>
        <d v="2025-10-13T17:05:51"/>
        <d v="2025-10-27T16:37:46"/>
        <d v="2025-11-19T16:14:19"/>
        <d v="2025-12-12T10:46:18"/>
        <d v="2025-12-12T10:48:51"/>
        <d v="2026-01-09T11:13:31"/>
        <d v="2026-01-09T11:14:15"/>
        <d v="2026-01-12T17:21:14"/>
        <d v="2026-01-26T14:53:42"/>
        <d v="2026-01-30T14:33:47"/>
        <d v="2026-02-11T15:07:12"/>
        <d v="2026-02-25T15:07:08"/>
        <d v="2026-03-16T09:40:28"/>
        <d v="2026-04-13T17:43:33"/>
        <d v="2026-04-27T16:34:27"/>
        <d v="2026-05-11T16:17:05"/>
        <d v="2026-05-25T15:30:25"/>
        <d v="2026-06-11T14:36:34"/>
        <d v="2026-06-25T15:07:38"/>
        <d v="2026-07-13T16:01:12"/>
        <d v="2026-07-16T19:12:51"/>
      </sharedItems>
      <fieldGroup par="9"/>
    </cacheField>
    <cacheField name="Hora" numFmtId="0">
      <sharedItems/>
    </cacheField>
    <cacheField name="Grupo" numFmtId="0">
      <sharedItems/>
    </cacheField>
    <cacheField name="Usuário" numFmtId="0">
      <sharedItems/>
    </cacheField>
    <cacheField name="Tipo" numFmtId="0">
      <sharedItems count="5">
        <s v="Compra"/>
        <s v="Saque"/>
        <s v="Taxa"/>
        <s v="Carga"/>
        <s v="Transferência"/>
      </sharedItems>
    </cacheField>
    <cacheField name="Descrição" numFmtId="164">
      <sharedItems/>
    </cacheField>
    <cacheField name="Valor" numFmtId="44">
      <sharedItems containsSemiMixedTypes="0" containsString="0" containsNumber="1" minValue="-1000" maxValue="2000"/>
    </cacheField>
    <cacheField name="Meses (Data)" numFmtId="0" databaseField="0">
      <fieldGroup base="0">
        <rangePr groupBy="months" startDate="2025-05-26T17:35:24" endDate="2026-07-17T11:01:58"/>
        <groupItems count="14">
          <s v="&lt;26/05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07/2026"/>
        </groupItems>
      </fieldGroup>
    </cacheField>
    <cacheField name="Trimestres (Data)" numFmtId="0" databaseField="0">
      <fieldGroup base="0">
        <rangePr groupBy="quarters" startDate="2025-05-26T17:35:24" endDate="2026-07-17T11:01:58"/>
        <groupItems count="6">
          <s v="&lt;26/05/2025"/>
          <s v="Trim1"/>
          <s v="Trim2"/>
          <s v="Trim3"/>
          <s v="Trim4"/>
          <s v="&gt;17/07/2026"/>
        </groupItems>
      </fieldGroup>
    </cacheField>
    <cacheField name="Anos (Data)" numFmtId="0" databaseField="0">
      <fieldGroup base="0">
        <rangePr groupBy="years" startDate="2025-05-26T17:35:24" endDate="2026-07-17T11:01:58"/>
        <groupItems count="4">
          <s v="&lt;26/05/2025"/>
          <s v="2025"/>
          <s v="2026"/>
          <s v="&gt;17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s v="15:30:58"/>
    <s v="-"/>
    <s v="Dhiego Ribeiro Diniz"/>
    <x v="0"/>
    <s v="PAPELARIA UNIVERSITARI"/>
    <n v="-58.65"/>
  </r>
  <r>
    <x v="1"/>
    <s v="08:19:44"/>
    <s v="-"/>
    <s v="Dhiego Ribeiro Diniz"/>
    <x v="0"/>
    <s v="CONCEBRA"/>
    <n v="-5.4"/>
  </r>
  <r>
    <x v="2"/>
    <s v="14:50:07"/>
    <s v="-"/>
    <s v="Dhiego Ribeiro Diniz"/>
    <x v="1"/>
    <s v="TECBAN-ANASHOP IVAV. U"/>
    <n v="-1000"/>
  </r>
  <r>
    <x v="3"/>
    <s v="14:42:47"/>
    <s v="-"/>
    <s v="Dhiego Ribeiro Diniz"/>
    <x v="1"/>
    <s v="TECBAN-ANASHOP IAV. UN"/>
    <n v="-500"/>
  </r>
  <r>
    <x v="4"/>
    <s v="09:33:17"/>
    <s v="REGIONAL CO"/>
    <s v="Dhiego Ribeiro Diniz"/>
    <x v="1"/>
    <s v="TECBAN-ANASHOP IAV. UN"/>
    <n v="-1000"/>
  </r>
  <r>
    <x v="5"/>
    <s v="14:02:14"/>
    <s v="REGIONAL CO"/>
    <s v="Dhiego Ribeiro Diniz"/>
    <x v="1"/>
    <s v="TECBAN-ANASHOP IVAV. U"/>
    <n v="-650"/>
  </r>
  <r>
    <x v="6"/>
    <s v="08:22:40"/>
    <s v="REGIONAL CO"/>
    <s v="Dhiego Ribeiro Diniz"/>
    <x v="1"/>
    <s v="TECBAN-ANASHOP IVAV. U"/>
    <n v="-990"/>
  </r>
  <r>
    <x v="7"/>
    <s v="10:45:02"/>
    <s v="REGIONAL CO"/>
    <s v="Dhiego Ribeiro Diniz"/>
    <x v="1"/>
    <s v="TECBAN-ANASHOP IAV. UN"/>
    <n v="-1000"/>
  </r>
  <r>
    <x v="8"/>
    <s v="15:52:51"/>
    <s v="REGIONAL CO"/>
    <s v="Dhiego Ribeiro Diniz"/>
    <x v="1"/>
    <s v="TECBAN-ANASHOP IAV. UN"/>
    <n v="-460"/>
  </r>
  <r>
    <x v="9"/>
    <s v="08:09:06"/>
    <s v="REGIONAL CO"/>
    <s v="Dhiego Ribeiro Diniz"/>
    <x v="1"/>
    <s v="TECBAN-ANASHOP IAV. UN"/>
    <n v="-1000"/>
  </r>
  <r>
    <x v="10"/>
    <s v="14:41:58"/>
    <s v="REGIONAL CO"/>
    <s v="Dhiego Ribeiro Diniz"/>
    <x v="1"/>
    <s v="TECBAN-ANASHOP IAV. UN"/>
    <n v="-950"/>
  </r>
  <r>
    <x v="11"/>
    <s v="11:05:26"/>
    <s v="REGIONAL CO"/>
    <s v="Dhiego Ribeiro Diniz"/>
    <x v="1"/>
    <s v="TECBAN-ANASHOP IVAV. U"/>
    <n v="-940"/>
  </r>
  <r>
    <x v="12"/>
    <s v="09:59:26"/>
    <s v="REGIONAL CO"/>
    <s v="Dhiego Ribeiro Diniz"/>
    <x v="1"/>
    <s v="TECBAN-ANASHOP IAV. UN"/>
    <n v="-100"/>
  </r>
  <r>
    <x v="13"/>
    <s v="13:58:29"/>
    <s v="REGIONAL CO"/>
    <s v="Dhiego Ribeiro Diniz"/>
    <x v="1"/>
    <s v="TECBAN-ANASHOP IAV. UN"/>
    <n v="-560"/>
  </r>
  <r>
    <x v="14"/>
    <s v="17:55:16"/>
    <s v="REGIONAL CO"/>
    <s v="Dhiego Ribeiro Diniz"/>
    <x v="1"/>
    <s v="TECBAN-ANASHOP IAV. UN"/>
    <n v="-1000"/>
  </r>
  <r>
    <x v="15"/>
    <s v="17:56:52"/>
    <s v="REGIONAL CO"/>
    <s v="Dhiego Ribeiro Diniz"/>
    <x v="1"/>
    <s v="TECBAN-ANASHOP IAV. UN"/>
    <n v="-740"/>
  </r>
  <r>
    <x v="16"/>
    <s v="17:00:57"/>
    <s v="REGIONAL CO"/>
    <s v="Dhiego Ribeiro Diniz"/>
    <x v="1"/>
    <s v="TECBAN-ANASHOP IVAV. U"/>
    <n v="-1000"/>
  </r>
  <r>
    <x v="17"/>
    <s v="17:07:09"/>
    <s v="REGIONAL CO"/>
    <s v="Dhiego Ribeiro Diniz"/>
    <x v="1"/>
    <s v="TECBAN-ANASHOP IVAV. U"/>
    <n v="-950"/>
  </r>
  <r>
    <x v="18"/>
    <s v="09:05:30"/>
    <s v="REGIONAL CO"/>
    <s v="Dhiego Ribeiro Diniz"/>
    <x v="1"/>
    <s v="TECBAN-ANASHOP IVAV. U"/>
    <n v="-1000"/>
  </r>
  <r>
    <x v="19"/>
    <s v="09:06:40"/>
    <s v="REGIONAL CO"/>
    <s v="Dhiego Ribeiro Diniz"/>
    <x v="1"/>
    <s v="TECBAN-ANASHOP IVAV. U"/>
    <n v="-820"/>
  </r>
  <r>
    <x v="20"/>
    <s v="12:04:25"/>
    <s v="-"/>
    <s v="Dhiego Ribeiro Diniz"/>
    <x v="1"/>
    <s v="TECBAN-ANASHOP IAV. UN"/>
    <n v="-1000"/>
  </r>
  <r>
    <x v="21"/>
    <s v="12:05:56"/>
    <s v="-"/>
    <s v="Dhiego Ribeiro Diniz"/>
    <x v="1"/>
    <s v="TECBAN-ANASHOP IAV. UN"/>
    <n v="-680"/>
  </r>
  <r>
    <x v="22"/>
    <s v="18:44:21"/>
    <s v="REGIONAL CO"/>
    <s v="Dhiego Ribeiro Diniz"/>
    <x v="1"/>
    <s v="TECBAN-ANASHOP IVAV. U"/>
    <n v="-1000"/>
  </r>
  <r>
    <x v="23"/>
    <s v="18:45:28"/>
    <s v="REGIONAL CO"/>
    <s v="Dhiego Ribeiro Diniz"/>
    <x v="1"/>
    <s v="TECBAN-ANASHOP IVAV. U"/>
    <n v="-600"/>
  </r>
  <r>
    <x v="24"/>
    <s v="09:13:24"/>
    <s v="REGIONAL CO"/>
    <s v="Dhiego Ribeiro Diniz"/>
    <x v="1"/>
    <s v="TECBAN-ANASHOP IVAV. U"/>
    <n v="-1000"/>
  </r>
  <r>
    <x v="25"/>
    <s v="09:15:19"/>
    <s v="REGIONAL CO"/>
    <s v="Dhiego Ribeiro Diniz"/>
    <x v="1"/>
    <s v="TECBAN-ANASHOP IVAV. U"/>
    <n v="-950"/>
  </r>
  <r>
    <x v="26"/>
    <s v="08:33:12"/>
    <s v="REGIONAL CO"/>
    <s v="Dhiego Ribeiro Diniz"/>
    <x v="1"/>
    <s v="TECBAN-ANASHOP IVAV. U"/>
    <n v="-570"/>
  </r>
  <r>
    <x v="27"/>
    <s v="08:41:58"/>
    <s v="REGIONAL CO"/>
    <s v="Dhiego Ribeiro Diniz"/>
    <x v="1"/>
    <s v="TECBAN-ANASHOP IVAV. U"/>
    <n v="-1000"/>
  </r>
  <r>
    <x v="28"/>
    <s v="08:43:03"/>
    <s v="REGIONAL CO"/>
    <s v="Dhiego Ribeiro Diniz"/>
    <x v="1"/>
    <s v="TECBAN-ANASHOP IVAV. U"/>
    <n v="-400"/>
  </r>
  <r>
    <x v="29"/>
    <s v="11:31:49"/>
    <s v="REGIONAL CO"/>
    <s v="Dhiego Ribeiro Diniz"/>
    <x v="1"/>
    <s v="TECBAN-ANASHOP IAV. UN"/>
    <n v="-1000"/>
  </r>
  <r>
    <x v="30"/>
    <s v="11:33:24"/>
    <s v="REGIONAL CO"/>
    <s v="Dhiego Ribeiro Diniz"/>
    <x v="1"/>
    <s v="TECBAN-ANASHOP IAV. UN"/>
    <n v="-980"/>
  </r>
  <r>
    <x v="31"/>
    <s v="13:46:40"/>
    <s v="REGIONAL CO"/>
    <s v="Dhiego Ribeiro Diniz"/>
    <x v="1"/>
    <s v="TECBAN-ANASHOP IAV. UN"/>
    <n v="-320"/>
  </r>
  <r>
    <x v="32"/>
    <s v="18:02:37"/>
    <s v="REGIONAL CO"/>
    <s v="Dhiego Ribeiro Diniz"/>
    <x v="1"/>
    <s v="TECBAN-ANASHOP IVAV. U"/>
    <n v="-1000"/>
  </r>
  <r>
    <x v="33"/>
    <s v="18:03:44"/>
    <s v="REGIONAL CO"/>
    <s v="Dhiego Ribeiro Diniz"/>
    <x v="1"/>
    <s v="TECBAN-ANASHOP IAV. UN"/>
    <n v="-140"/>
  </r>
  <r>
    <x v="34"/>
    <s v="10:43:33"/>
    <s v="REGIONAL CO"/>
    <s v="Dhiego Ribeiro Diniz"/>
    <x v="1"/>
    <s v="TECBAN-ANASHOP IIAV. U"/>
    <n v="-45"/>
  </r>
  <r>
    <x v="35"/>
    <s v="14:26:52"/>
    <s v="REGIONAL CO"/>
    <s v="Dhiego Ribeiro Diniz"/>
    <x v="1"/>
    <s v="TECBAN-ANASHOP IAV. UN"/>
    <n v="-1000"/>
  </r>
  <r>
    <x v="36"/>
    <s v="16:23:52"/>
    <s v="REGIONAL CO"/>
    <s v="Dhiego Ribeiro Diniz"/>
    <x v="1"/>
    <s v="TECBAN-ANASHOP IAV. UN"/>
    <n v="-100"/>
  </r>
  <r>
    <x v="37"/>
    <s v="17:02:09"/>
    <s v="REGIONAL CO"/>
    <s v="Dhiego Ribeiro Diniz"/>
    <x v="1"/>
    <s v="TECBAN-ANASHOP IAV. UN"/>
    <n v="-1000"/>
  </r>
  <r>
    <x v="38"/>
    <s v="17:03:35"/>
    <s v="REGIONAL CO"/>
    <s v="Dhiego Ribeiro Diniz"/>
    <x v="1"/>
    <s v="TECBAN-ANASHOP IAV. UN"/>
    <n v="-720"/>
  </r>
  <r>
    <x v="39"/>
    <s v="17:48:45"/>
    <s v="REGIONAL CO"/>
    <s v="Dhiego Ribeiro Diniz"/>
    <x v="1"/>
    <s v="TECBAN-ANASHOP IVAV. U"/>
    <n v="-860"/>
  </r>
  <r>
    <x v="40"/>
    <s v="11:01:25"/>
    <s v="REGIONAL CO"/>
    <s v="Dhiego Ribeiro Diniz"/>
    <x v="1"/>
    <s v="TECBAN-SUP FORMOSA NOV"/>
    <n v="-790"/>
  </r>
  <r>
    <x v="41"/>
    <s v="14:50:23"/>
    <s v="-"/>
    <s v="Dhiego Ribeiro Diniz"/>
    <x v="2"/>
    <s v="Taxa de saque"/>
    <n v="-7"/>
  </r>
  <r>
    <x v="42"/>
    <s v="14:43:09"/>
    <s v="-"/>
    <s v="Dhiego Ribeiro Diniz"/>
    <x v="2"/>
    <s v="Taxa de saque"/>
    <n v="-7"/>
  </r>
  <r>
    <x v="43"/>
    <s v="09:33:37"/>
    <s v="REGIONAL CO"/>
    <s v="Dhiego Ribeiro Diniz"/>
    <x v="2"/>
    <s v="Taxa de saque"/>
    <n v="-7"/>
  </r>
  <r>
    <x v="44"/>
    <s v="14:02:42"/>
    <s v="REGIONAL CO"/>
    <s v="Dhiego Ribeiro Diniz"/>
    <x v="2"/>
    <s v="Taxa de saque"/>
    <n v="-7"/>
  </r>
  <r>
    <x v="45"/>
    <s v="08:23:02"/>
    <s v="REGIONAL CO"/>
    <s v="Dhiego Ribeiro Diniz"/>
    <x v="2"/>
    <s v="Taxa de saque"/>
    <n v="-7"/>
  </r>
  <r>
    <x v="46"/>
    <s v="10:45:27"/>
    <s v="REGIONAL CO"/>
    <s v="Dhiego Ribeiro Diniz"/>
    <x v="2"/>
    <s v="Taxa de saque"/>
    <n v="-7"/>
  </r>
  <r>
    <x v="47"/>
    <s v="17:21:08"/>
    <s v="REGIONAL CO"/>
    <s v="Dhiego Ribeiro Diniz"/>
    <x v="2"/>
    <s v="Taxa de saque"/>
    <n v="-7"/>
  </r>
  <r>
    <x v="48"/>
    <s v="08:09:30"/>
    <s v="REGIONAL CO"/>
    <s v="Dhiego Ribeiro Diniz"/>
    <x v="2"/>
    <s v="Taxa de saque"/>
    <n v="-7"/>
  </r>
  <r>
    <x v="49"/>
    <s v="15:14:34"/>
    <s v="REGIONAL CO"/>
    <s v="Dhiego Ribeiro Diniz"/>
    <x v="2"/>
    <s v="Taxa de saque"/>
    <n v="-7"/>
  </r>
  <r>
    <x v="50"/>
    <s v="11:05:44"/>
    <s v="REGIONAL CO"/>
    <s v="Dhiego Ribeiro Diniz"/>
    <x v="2"/>
    <s v="Taxa de saque"/>
    <n v="-7"/>
  </r>
  <r>
    <x v="51"/>
    <s v="09:59:42"/>
    <s v="REGIONAL CO"/>
    <s v="Dhiego Ribeiro Diniz"/>
    <x v="2"/>
    <s v="Taxa de saque"/>
    <n v="-7"/>
  </r>
  <r>
    <x v="52"/>
    <s v="14:20:56"/>
    <s v="REGIONAL CO"/>
    <s v="Dhiego Ribeiro Diniz"/>
    <x v="2"/>
    <s v="Taxa de saque"/>
    <n v="-7"/>
  </r>
  <r>
    <x v="53"/>
    <s v="22:41:47"/>
    <s v="REGIONAL CO"/>
    <s v="Dhiego Ribeiro Diniz"/>
    <x v="2"/>
    <s v="Taxa de saque"/>
    <n v="-7"/>
  </r>
  <r>
    <x v="54"/>
    <s v="22:43:06"/>
    <s v="REGIONAL CO"/>
    <s v="Dhiego Ribeiro Diniz"/>
    <x v="2"/>
    <s v="Taxa de saque"/>
    <n v="-7"/>
  </r>
  <r>
    <x v="55"/>
    <s v="17:01:20"/>
    <s v="REGIONAL CO"/>
    <s v="Dhiego Ribeiro Diniz"/>
    <x v="2"/>
    <s v="Taxa de saque"/>
    <n v="-7"/>
  </r>
  <r>
    <x v="56"/>
    <s v="17:08:15"/>
    <s v="REGIONAL CO"/>
    <s v="Dhiego Ribeiro Diniz"/>
    <x v="2"/>
    <s v="Taxa de saque"/>
    <n v="-7"/>
  </r>
  <r>
    <x v="57"/>
    <s v="09:05:55"/>
    <s v="REGIONAL CO"/>
    <s v="Dhiego Ribeiro Diniz"/>
    <x v="2"/>
    <s v="Taxa de saque"/>
    <n v="-7"/>
  </r>
  <r>
    <x v="58"/>
    <s v="09:07:08"/>
    <s v="REGIONAL CO"/>
    <s v="Dhiego Ribeiro Diniz"/>
    <x v="2"/>
    <s v="Taxa de saque"/>
    <n v="-7"/>
  </r>
  <r>
    <x v="59"/>
    <s v="12:04:54"/>
    <s v="-"/>
    <s v="Dhiego Ribeiro Diniz"/>
    <x v="2"/>
    <s v="Taxa de saque"/>
    <n v="-7"/>
  </r>
  <r>
    <x v="60"/>
    <s v="12:06:29"/>
    <s v="-"/>
    <s v="Dhiego Ribeiro Diniz"/>
    <x v="2"/>
    <s v="Taxa de saque"/>
    <n v="-7"/>
  </r>
  <r>
    <x v="61"/>
    <s v="18:44:46"/>
    <s v="REGIONAL CO"/>
    <s v="Dhiego Ribeiro Diniz"/>
    <x v="2"/>
    <s v="Taxa de saque"/>
    <n v="-7"/>
  </r>
  <r>
    <x v="62"/>
    <s v="18:45:48"/>
    <s v="REGIONAL CO"/>
    <s v="Dhiego Ribeiro Diniz"/>
    <x v="2"/>
    <s v="Taxa de saque"/>
    <n v="-7"/>
  </r>
  <r>
    <x v="63"/>
    <s v="09:13:51"/>
    <s v="REGIONAL CO"/>
    <s v="Dhiego Ribeiro Diniz"/>
    <x v="2"/>
    <s v="Taxa de saque"/>
    <n v="-7"/>
  </r>
  <r>
    <x v="64"/>
    <s v="09:15:55"/>
    <s v="REGIONAL CO"/>
    <s v="Dhiego Ribeiro Diniz"/>
    <x v="2"/>
    <s v="Taxa de saque"/>
    <n v="-7"/>
  </r>
  <r>
    <x v="65"/>
    <s v="08:33:42"/>
    <s v="REGIONAL CO"/>
    <s v="Dhiego Ribeiro Diniz"/>
    <x v="2"/>
    <s v="Taxa de saque"/>
    <n v="-7"/>
  </r>
  <r>
    <x v="66"/>
    <s v="08:42:18"/>
    <s v="REGIONAL CO"/>
    <s v="Dhiego Ribeiro Diniz"/>
    <x v="2"/>
    <s v="Taxa de saque"/>
    <n v="-7"/>
  </r>
  <r>
    <x v="67"/>
    <s v="11:49:47"/>
    <s v="REGIONAL CO"/>
    <s v="Dhiego Ribeiro Diniz"/>
    <x v="2"/>
    <s v="Taxa de saque"/>
    <n v="-7"/>
  </r>
  <r>
    <x v="68"/>
    <s v="11:32:22"/>
    <s v="REGIONAL CO"/>
    <s v="Dhiego Ribeiro Diniz"/>
    <x v="2"/>
    <s v="Taxa de saque"/>
    <n v="-7"/>
  </r>
  <r>
    <x v="69"/>
    <s v="11:33:59"/>
    <s v="REGIONAL CO"/>
    <s v="Dhiego Ribeiro Diniz"/>
    <x v="2"/>
    <s v="Taxa de saque"/>
    <n v="-7"/>
  </r>
  <r>
    <x v="70"/>
    <s v="13:47:01"/>
    <s v="REGIONAL CO"/>
    <s v="Dhiego Ribeiro Diniz"/>
    <x v="2"/>
    <s v="Taxa de saque"/>
    <n v="-7"/>
  </r>
  <r>
    <x v="71"/>
    <s v="18:03:03"/>
    <s v="REGIONAL CO"/>
    <s v="Dhiego Ribeiro Diniz"/>
    <x v="2"/>
    <s v="Taxa de saque"/>
    <n v="-7"/>
  </r>
  <r>
    <x v="72"/>
    <s v="18:04:19"/>
    <s v="REGIONAL CO"/>
    <s v="Dhiego Ribeiro Diniz"/>
    <x v="2"/>
    <s v="Taxa de saque"/>
    <n v="-7"/>
  </r>
  <r>
    <x v="73"/>
    <s v="10:44:05"/>
    <s v="REGIONAL CO"/>
    <s v="Dhiego Ribeiro Diniz"/>
    <x v="2"/>
    <s v="Taxa de saque"/>
    <n v="-7"/>
  </r>
  <r>
    <x v="74"/>
    <s v="14:27:06"/>
    <s v="REGIONAL CO"/>
    <s v="Dhiego Ribeiro Diniz"/>
    <x v="2"/>
    <s v="Taxa de saque"/>
    <n v="-7"/>
  </r>
  <r>
    <x v="75"/>
    <s v="16:24:21"/>
    <s v="REGIONAL CO"/>
    <s v="Dhiego Ribeiro Diniz"/>
    <x v="2"/>
    <s v="Taxa de saque"/>
    <n v="-7"/>
  </r>
  <r>
    <x v="76"/>
    <s v="17:02:39"/>
    <s v="REGIONAL CO"/>
    <s v="Dhiego Ribeiro Diniz"/>
    <x v="2"/>
    <s v="Taxa de saque"/>
    <n v="-7"/>
  </r>
  <r>
    <x v="77"/>
    <s v="17:04:03"/>
    <s v="REGIONAL CO"/>
    <s v="Dhiego Ribeiro Diniz"/>
    <x v="2"/>
    <s v="Taxa de saque"/>
    <n v="-7"/>
  </r>
  <r>
    <x v="78"/>
    <s v="17:49:23"/>
    <s v="REGIONAL CO"/>
    <s v="Dhiego Ribeiro Diniz"/>
    <x v="2"/>
    <s v="Taxa de saque"/>
    <n v="-7"/>
  </r>
  <r>
    <x v="79"/>
    <s v="11:01:58"/>
    <s v="REGIONAL CO"/>
    <s v="Dhiego Ribeiro Diniz"/>
    <x v="2"/>
    <s v="Taxa de saque"/>
    <n v="-7"/>
  </r>
  <r>
    <x v="80"/>
    <s v="17:35:24"/>
    <s v="-"/>
    <s v="Dhiego Ribeiro Diniz"/>
    <x v="3"/>
    <s v="Transf. EQS &gt; Dhiego R. Diniz: 2 QUINZENA - MAIO/2025"/>
    <n v="1266.44"/>
  </r>
  <r>
    <x v="81"/>
    <s v="16:56:59"/>
    <s v="-"/>
    <s v="Dhiego Ribeiro Diniz"/>
    <x v="3"/>
    <s v="Transf. EQS &gt; Dhiego R. Diniz: SALDO AGILLITAS"/>
    <n v="333.56"/>
  </r>
  <r>
    <x v="82"/>
    <s v="11:46:56"/>
    <s v="-"/>
    <s v="Dhiego Ribeiro Diniz"/>
    <x v="4"/>
    <s v="Transf. Dhiego R. Diniz &gt; EQS: TESTE"/>
    <n v="-27.35"/>
  </r>
  <r>
    <x v="83"/>
    <s v="11:49:12"/>
    <s v="REGIONAL CO"/>
    <s v="Dhiego Ribeiro Diniz"/>
    <x v="3"/>
    <s v="Transf. REGIONAL CO &gt; Dhiego R. Diniz: TESTE"/>
    <n v="27.35"/>
  </r>
  <r>
    <x v="84"/>
    <s v="19:35:25"/>
    <s v="REGIONAL CO"/>
    <s v="Dhiego Ribeiro Diniz"/>
    <x v="3"/>
    <s v="Transf. REGIONAL CO &gt; Dhiego R. Diniz"/>
    <n v="1640.85"/>
  </r>
  <r>
    <x v="85"/>
    <s v="16:59:28"/>
    <s v="REGIONAL CO"/>
    <s v="Dhiego Ribeiro Diniz"/>
    <x v="3"/>
    <s v="Transf. REGIONAL CO &gt; Dhiego R. Diniz"/>
    <n v="995.8"/>
  </r>
  <r>
    <x v="86"/>
    <s v="15:44:41"/>
    <s v="REGIONAL CO"/>
    <s v="Dhiego Ribeiro Diniz"/>
    <x v="3"/>
    <s v="Transf. REGIONAL CO &gt; Dhiego R. Diniz"/>
    <n v="1475.39"/>
  </r>
  <r>
    <x v="87"/>
    <s v="15:33:17"/>
    <s v="REGIONAL CO"/>
    <s v="Dhiego Ribeiro Diniz"/>
    <x v="3"/>
    <s v="Transf. REGIONAL CO &gt; Dhiego R. Diniz"/>
    <n v="1969.51"/>
  </r>
  <r>
    <x v="88"/>
    <s v="16:42:52"/>
    <s v="REGIONAL CO"/>
    <s v="Dhiego Ribeiro Diniz"/>
    <x v="3"/>
    <s v="Transf. REGIONAL CO &gt; Dhiego R. Diniz"/>
    <n v="938.51"/>
  </r>
  <r>
    <x v="89"/>
    <s v="17:15:15"/>
    <s v="REGIONAL CO"/>
    <s v="Dhiego Ribeiro Diniz"/>
    <x v="3"/>
    <s v="Transf. REGIONAL CO &gt; Dhiego R. Diniz"/>
    <n v="111.41"/>
  </r>
  <r>
    <x v="90"/>
    <s v="17:31:14"/>
    <s v="REGIONAL CO"/>
    <s v="Dhiego Ribeiro Diniz"/>
    <x v="3"/>
    <s v="Transf. REGIONAL CO &gt; Dhiego R. Diniz"/>
    <n v="563.5"/>
  </r>
  <r>
    <x v="91"/>
    <s v="17:05:51"/>
    <s v="REGIONAL CO"/>
    <s v="Dhiego Ribeiro Diniz"/>
    <x v="3"/>
    <s v="Transf. REGIONAL CO &gt; Dhiego R. Diniz"/>
    <n v="1753.12"/>
  </r>
  <r>
    <x v="92"/>
    <s v="16:37:46"/>
    <s v="REGIONAL CO"/>
    <s v="Dhiego Ribeiro Diniz"/>
    <x v="3"/>
    <s v="Transf. REGIONAL CO &gt; Dhiego R. Diniz"/>
    <n v="1998.56"/>
  </r>
  <r>
    <x v="93"/>
    <s v="16:14:19"/>
    <s v="REGIONAL CO"/>
    <s v="Dhiego Ribeiro Diniz"/>
    <x v="3"/>
    <s v="Transf. REGIONAL CO &gt; Dhiego R. Diniz: ADC ANTECIPACAO 2 QUINZENA NOVEMBRO"/>
    <n v="1800"/>
  </r>
  <r>
    <x v="94"/>
    <s v="10:46:18"/>
    <s v="REGIONAL CO"/>
    <s v="Dhiego Ribeiro Diniz"/>
    <x v="4"/>
    <s v="Transf. Dhiego R. Diniz &gt; REGIONAL CO: TROCA DE PROJETO"/>
    <n v="-2"/>
  </r>
  <r>
    <x v="95"/>
    <s v="10:48:51"/>
    <s v="-"/>
    <s v="Dhiego Ribeiro Diniz"/>
    <x v="3"/>
    <s v="Transf. EQS &gt; Dhiego R. Diniz: CARGA 1 QZ 2025"/>
    <n v="1702"/>
  </r>
  <r>
    <x v="96"/>
    <s v="11:13:31"/>
    <s v="-"/>
    <s v="Dhiego Ribeiro Diniz"/>
    <x v="4"/>
    <s v="Transf. Dhiego R. Diniz &gt; EQS"/>
    <n v="-2.6"/>
  </r>
  <r>
    <x v="97"/>
    <s v="11:14:15"/>
    <s v="REGIONAL CO"/>
    <s v="Dhiego Ribeiro Diniz"/>
    <x v="3"/>
    <s v="Transf. REGIONAL CO &gt; Dhiego R. Diniz"/>
    <n v="2.6"/>
  </r>
  <r>
    <x v="98"/>
    <s v="17:21:14"/>
    <s v="REGIONAL CO"/>
    <s v="Dhiego Ribeiro Diniz"/>
    <x v="3"/>
    <s v="Transf. REGIONAL CO &gt; Dhiego R. Diniz"/>
    <n v="1629.33"/>
  </r>
  <r>
    <x v="99"/>
    <s v="14:53:42"/>
    <s v="REGIONAL CO"/>
    <s v="Dhiego Ribeiro Diniz"/>
    <x v="3"/>
    <s v="Transf. REGIONAL CO &gt; Dhiego R. Diniz"/>
    <n v="1982.07"/>
  </r>
  <r>
    <x v="100"/>
    <s v="14:33:47"/>
    <s v="REGIONAL CO"/>
    <s v="Dhiego Ribeiro Diniz"/>
    <x v="4"/>
    <s v="Transf. Dhiego R. Diniz &gt; REGIONAL CO"/>
    <n v="-36"/>
  </r>
  <r>
    <x v="101"/>
    <s v="15:07:12"/>
    <s v="REGIONAL CO"/>
    <s v="Dhiego Ribeiro Diniz"/>
    <x v="3"/>
    <s v="Transf. REGIONAL CO &gt; Dhiego R. Diniz"/>
    <n v="586.17999999999995"/>
  </r>
  <r>
    <x v="102"/>
    <s v="15:07:08"/>
    <s v="REGIONAL CO"/>
    <s v="Dhiego Ribeiro Diniz"/>
    <x v="3"/>
    <s v="Transf. REGIONAL CO &gt; Dhiego R. Diniz"/>
    <n v="1407.82"/>
  </r>
  <r>
    <x v="103"/>
    <s v="09:40:28"/>
    <s v="REGIONAL CO"/>
    <s v="Dhiego Ribeiro Diniz"/>
    <x v="3"/>
    <s v="Transf. REGIONAL CO &gt; Dhiego R. Diniz"/>
    <n v="2000"/>
  </r>
  <r>
    <x v="104"/>
    <s v="17:43:33"/>
    <s v="REGIONAL CO"/>
    <s v="Dhiego Ribeiro Diniz"/>
    <x v="3"/>
    <s v="Transf. REGIONAL CO &gt; Dhiego R. Diniz"/>
    <n v="323.54000000000002"/>
  </r>
  <r>
    <x v="105"/>
    <s v="16:34:27"/>
    <s v="REGIONAL CO"/>
    <s v="Dhiego Ribeiro Diniz"/>
    <x v="3"/>
    <s v="Transf. REGIONAL CO &gt; Dhiego R. Diniz"/>
    <n v="1151.93"/>
  </r>
  <r>
    <x v="106"/>
    <s v="16:17:05"/>
    <s v="REGIONAL CO"/>
    <s v="Dhiego Ribeiro Diniz"/>
    <x v="3"/>
    <s v="Transf. REGIONAL CO &gt; Dhiego R. Diniz"/>
    <n v="52.75"/>
  </r>
  <r>
    <x v="107"/>
    <s v="15:30:25"/>
    <s v="REGIONAL CO"/>
    <s v="Dhiego Ribeiro Diniz"/>
    <x v="3"/>
    <s v="Transf. REGIONAL CO &gt; Dhiego R. Diniz"/>
    <n v="1119.1500000000001"/>
  </r>
  <r>
    <x v="108"/>
    <s v="14:36:34"/>
    <s v="REGIONAL CO"/>
    <s v="Dhiego Ribeiro Diniz"/>
    <x v="3"/>
    <s v="Transf. REGIONAL CO &gt; Dhiego R. Diniz"/>
    <n v="1734.24"/>
  </r>
  <r>
    <x v="109"/>
    <s v="15:07:38"/>
    <s v="REGIONAL CO"/>
    <s v="Dhiego Ribeiro Diniz"/>
    <x v="3"/>
    <s v="Transf. REGIONAL CO &gt; Dhiego R. Diniz"/>
    <n v="861.17"/>
  </r>
  <r>
    <x v="110"/>
    <s v="16:01:12"/>
    <s v="REGIONAL CO"/>
    <s v="Dhiego Ribeiro Diniz"/>
    <x v="3"/>
    <s v="Transf. REGIONAL CO &gt; Dhiego R. Diniz"/>
    <n v="996.22"/>
  </r>
  <r>
    <x v="111"/>
    <s v="19:12:51"/>
    <s v="REGIONAL CO"/>
    <s v="Dhiego Ribeiro Diniz"/>
    <x v="4"/>
    <s v="Transf. Dhiego R. Diniz &gt; REGIONAL CO"/>
    <n v="-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426E78-B1C8-47D3-82B5-324B9F1E0F0E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1:O20" firstHeaderRow="1" firstDataRow="2" firstDataCol="1"/>
  <pivotFields count="10">
    <pivotField axis="axisRow" numFmtId="14" showAll="0">
      <items count="113">
        <item x="80"/>
        <item x="81"/>
        <item x="2"/>
        <item x="41"/>
        <item x="0"/>
        <item x="3"/>
        <item x="42"/>
        <item x="82"/>
        <item x="83"/>
        <item x="84"/>
        <item x="4"/>
        <item x="43"/>
        <item x="5"/>
        <item x="44"/>
        <item x="85"/>
        <item x="6"/>
        <item x="45"/>
        <item x="86"/>
        <item x="7"/>
        <item x="46"/>
        <item x="8"/>
        <item x="47"/>
        <item x="87"/>
        <item x="9"/>
        <item x="48"/>
        <item x="10"/>
        <item x="49"/>
        <item x="88"/>
        <item x="11"/>
        <item x="50"/>
        <item x="89"/>
        <item x="12"/>
        <item x="51"/>
        <item x="90"/>
        <item x="13"/>
        <item x="52"/>
        <item x="91"/>
        <item x="14"/>
        <item x="15"/>
        <item x="53"/>
        <item x="54"/>
        <item x="92"/>
        <item x="16"/>
        <item x="55"/>
        <item x="17"/>
        <item x="56"/>
        <item x="93"/>
        <item x="18"/>
        <item x="57"/>
        <item x="19"/>
        <item x="58"/>
        <item x="94"/>
        <item x="95"/>
        <item x="20"/>
        <item x="59"/>
        <item x="21"/>
        <item x="60"/>
        <item x="1"/>
        <item x="96"/>
        <item x="97"/>
        <item x="98"/>
        <item x="22"/>
        <item x="61"/>
        <item x="23"/>
        <item x="62"/>
        <item x="99"/>
        <item x="24"/>
        <item x="63"/>
        <item x="25"/>
        <item x="64"/>
        <item x="100"/>
        <item x="101"/>
        <item x="26"/>
        <item x="65"/>
        <item x="102"/>
        <item x="27"/>
        <item x="66"/>
        <item x="28"/>
        <item x="67"/>
        <item x="103"/>
        <item x="29"/>
        <item x="68"/>
        <item x="30"/>
        <item x="69"/>
        <item x="104"/>
        <item x="31"/>
        <item x="70"/>
        <item x="105"/>
        <item x="32"/>
        <item x="71"/>
        <item x="33"/>
        <item x="72"/>
        <item x="106"/>
        <item x="34"/>
        <item x="73"/>
        <item x="107"/>
        <item x="35"/>
        <item x="74"/>
        <item x="36"/>
        <item x="75"/>
        <item x="108"/>
        <item x="37"/>
        <item x="76"/>
        <item x="38"/>
        <item x="77"/>
        <item x="109"/>
        <item x="39"/>
        <item x="78"/>
        <item x="110"/>
        <item x="111"/>
        <item x="40"/>
        <item x="79"/>
        <item t="default"/>
      </items>
    </pivotField>
    <pivotField showAll="0"/>
    <pivotField showAll="0"/>
    <pivotField showAll="0"/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dataField="1" numFmtId="4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x="1"/>
        <item x="2"/>
        <item sd="0" x="3"/>
        <item t="default"/>
      </items>
    </pivotField>
  </pivotFields>
  <rowFields count="3">
    <field x="9"/>
    <field x="7"/>
    <field x="0"/>
  </rowFields>
  <rowItems count="18">
    <i>
      <x v="1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" fld="6" baseField="0" baseItem="0" numFmtId="44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1CC33-7EBA-45FD-8F4E-D9080930A77B}">
  <dimension ref="A1:O241"/>
  <sheetViews>
    <sheetView zoomScaleNormal="100" workbookViewId="0">
      <selection activeCell="N19" sqref="N19"/>
    </sheetView>
  </sheetViews>
  <sheetFormatPr defaultRowHeight="15" x14ac:dyDescent="0.25"/>
  <cols>
    <col min="1" max="1" width="10.7109375" bestFit="1" customWidth="1"/>
    <col min="2" max="2" width="8.140625" bestFit="1" customWidth="1"/>
    <col min="3" max="3" width="12.85546875" bestFit="1" customWidth="1"/>
    <col min="4" max="4" width="19.28515625" bestFit="1" customWidth="1"/>
    <col min="5" max="5" width="17.42578125" bestFit="1" customWidth="1"/>
    <col min="6" max="6" width="77" bestFit="1" customWidth="1"/>
    <col min="7" max="7" width="12.140625" style="6" bestFit="1" customWidth="1"/>
    <col min="9" max="9" width="18" bestFit="1" customWidth="1"/>
    <col min="10" max="10" width="19.5703125" bestFit="1" customWidth="1"/>
    <col min="11" max="11" width="9.5703125" bestFit="1" customWidth="1"/>
    <col min="12" max="12" width="13.28515625" bestFit="1" customWidth="1"/>
    <col min="13" max="13" width="10.5703125" bestFit="1" customWidth="1"/>
    <col min="14" max="14" width="13.140625" bestFit="1" customWidth="1"/>
    <col min="15" max="17" width="10.7109375" bestFit="1" customWidth="1"/>
  </cols>
  <sheetData>
    <row r="1" spans="1:15" ht="15.7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1" t="s">
        <v>6</v>
      </c>
      <c r="I1" s="12" t="s">
        <v>21</v>
      </c>
      <c r="J1" s="12" t="s">
        <v>20</v>
      </c>
    </row>
    <row r="2" spans="1:15" x14ac:dyDescent="0.25">
      <c r="A2" s="1">
        <v>45806.64650463</v>
      </c>
      <c r="B2" s="2" t="s">
        <v>107</v>
      </c>
      <c r="C2" s="2" t="s">
        <v>79</v>
      </c>
      <c r="D2" s="2" t="s">
        <v>108</v>
      </c>
      <c r="E2" s="2" t="s">
        <v>7</v>
      </c>
      <c r="F2" s="3" t="s">
        <v>109</v>
      </c>
      <c r="G2" s="7">
        <v>-58.65</v>
      </c>
      <c r="I2" s="12" t="s">
        <v>18</v>
      </c>
      <c r="J2" t="s">
        <v>17</v>
      </c>
      <c r="K2" t="s">
        <v>7</v>
      </c>
      <c r="L2" t="s">
        <v>8</v>
      </c>
      <c r="M2" t="s">
        <v>9</v>
      </c>
      <c r="N2" t="s">
        <v>11</v>
      </c>
      <c r="O2" t="s">
        <v>19</v>
      </c>
    </row>
    <row r="3" spans="1:15" x14ac:dyDescent="0.25">
      <c r="A3" s="1">
        <v>46010.347037036998</v>
      </c>
      <c r="B3" s="2" t="s">
        <v>110</v>
      </c>
      <c r="C3" s="2" t="s">
        <v>79</v>
      </c>
      <c r="D3" s="2" t="s">
        <v>108</v>
      </c>
      <c r="E3" s="2" t="s">
        <v>7</v>
      </c>
      <c r="F3" s="3" t="s">
        <v>78</v>
      </c>
      <c r="G3" s="7">
        <v>-5.4</v>
      </c>
      <c r="I3" s="13" t="s">
        <v>83</v>
      </c>
      <c r="J3" s="14">
        <v>16576</v>
      </c>
      <c r="K3" s="14">
        <v>-64.05</v>
      </c>
      <c r="L3" s="14">
        <v>-16340</v>
      </c>
      <c r="M3" s="14">
        <v>-140</v>
      </c>
      <c r="N3" s="14">
        <v>-29.35</v>
      </c>
      <c r="O3" s="14">
        <v>2.599999999999703</v>
      </c>
    </row>
    <row r="4" spans="1:15" x14ac:dyDescent="0.25">
      <c r="A4" s="1">
        <v>45806.618136573998</v>
      </c>
      <c r="B4" s="2" t="s">
        <v>111</v>
      </c>
      <c r="C4" s="2" t="s">
        <v>79</v>
      </c>
      <c r="D4" s="2" t="s">
        <v>108</v>
      </c>
      <c r="E4" s="2" t="s">
        <v>8</v>
      </c>
      <c r="F4" s="3" t="s">
        <v>80</v>
      </c>
      <c r="G4" s="7">
        <v>-1000</v>
      </c>
      <c r="I4" s="48" t="s">
        <v>24</v>
      </c>
      <c r="J4" s="14">
        <v>1600</v>
      </c>
      <c r="K4" s="14">
        <v>-58.65</v>
      </c>
      <c r="L4" s="14">
        <v>-1500</v>
      </c>
      <c r="M4" s="14">
        <v>-14</v>
      </c>
      <c r="N4" s="14"/>
      <c r="O4" s="14">
        <v>27.349999999999909</v>
      </c>
    </row>
    <row r="5" spans="1:15" x14ac:dyDescent="0.25">
      <c r="A5" s="1">
        <v>45808.613043981</v>
      </c>
      <c r="B5" s="2" t="s">
        <v>112</v>
      </c>
      <c r="C5" s="2" t="s">
        <v>79</v>
      </c>
      <c r="D5" s="2" t="s">
        <v>108</v>
      </c>
      <c r="E5" s="2" t="s">
        <v>8</v>
      </c>
      <c r="F5" s="3" t="s">
        <v>81</v>
      </c>
      <c r="G5" s="7">
        <v>-500</v>
      </c>
      <c r="I5" s="48" t="s">
        <v>25</v>
      </c>
      <c r="J5" s="14">
        <v>2664</v>
      </c>
      <c r="K5" s="14"/>
      <c r="L5" s="14">
        <v>-2640</v>
      </c>
      <c r="M5" s="14">
        <v>-21</v>
      </c>
      <c r="N5" s="14">
        <v>-27.35</v>
      </c>
      <c r="O5" s="14">
        <v>-24.35</v>
      </c>
    </row>
    <row r="6" spans="1:15" x14ac:dyDescent="0.25">
      <c r="A6" s="1">
        <v>45823.398113426003</v>
      </c>
      <c r="B6" s="2" t="s">
        <v>113</v>
      </c>
      <c r="C6" s="2" t="s">
        <v>66</v>
      </c>
      <c r="D6" s="2" t="s">
        <v>108</v>
      </c>
      <c r="E6" s="2" t="s">
        <v>8</v>
      </c>
      <c r="F6" s="3" t="s">
        <v>81</v>
      </c>
      <c r="G6" s="7">
        <v>-1000</v>
      </c>
      <c r="I6" s="48" t="s">
        <v>69</v>
      </c>
      <c r="J6" s="14">
        <v>1475.39</v>
      </c>
      <c r="K6" s="14"/>
      <c r="L6" s="14">
        <v>-1460</v>
      </c>
      <c r="M6" s="14">
        <v>-14</v>
      </c>
      <c r="N6" s="14"/>
      <c r="O6" s="14">
        <v>1.3900000000001</v>
      </c>
    </row>
    <row r="7" spans="1:15" x14ac:dyDescent="0.25">
      <c r="A7" s="1">
        <v>45828.584884258998</v>
      </c>
      <c r="B7" s="2" t="s">
        <v>114</v>
      </c>
      <c r="C7" s="2" t="s">
        <v>66</v>
      </c>
      <c r="D7" s="2" t="s">
        <v>108</v>
      </c>
      <c r="E7" s="2" t="s">
        <v>8</v>
      </c>
      <c r="F7" s="3" t="s">
        <v>80</v>
      </c>
      <c r="G7" s="7">
        <v>-650</v>
      </c>
      <c r="I7" s="48" t="s">
        <v>70</v>
      </c>
      <c r="J7" s="14">
        <v>2908.02</v>
      </c>
      <c r="K7" s="14"/>
      <c r="L7" s="14">
        <v>-2890</v>
      </c>
      <c r="M7" s="14">
        <v>-21</v>
      </c>
      <c r="N7" s="14"/>
      <c r="O7" s="14">
        <v>-2.9800000000000182</v>
      </c>
    </row>
    <row r="8" spans="1:15" x14ac:dyDescent="0.25">
      <c r="A8" s="1">
        <v>45835.349074074002</v>
      </c>
      <c r="B8" s="2" t="s">
        <v>115</v>
      </c>
      <c r="C8" s="2" t="s">
        <v>66</v>
      </c>
      <c r="D8" s="2" t="s">
        <v>108</v>
      </c>
      <c r="E8" s="2" t="s">
        <v>8</v>
      </c>
      <c r="F8" s="3" t="s">
        <v>80</v>
      </c>
      <c r="G8" s="7">
        <v>-990</v>
      </c>
      <c r="I8" s="48" t="s">
        <v>85</v>
      </c>
      <c r="J8" s="14">
        <v>674.91</v>
      </c>
      <c r="K8" s="14"/>
      <c r="L8" s="14">
        <v>-660</v>
      </c>
      <c r="M8" s="14">
        <v>-14</v>
      </c>
      <c r="N8" s="14"/>
      <c r="O8" s="14">
        <v>0.90999999999996817</v>
      </c>
    </row>
    <row r="9" spans="1:15" x14ac:dyDescent="0.25">
      <c r="A9" s="1">
        <v>45852.447939815</v>
      </c>
      <c r="B9" s="2" t="s">
        <v>116</v>
      </c>
      <c r="C9" s="2" t="s">
        <v>66</v>
      </c>
      <c r="D9" s="2" t="s">
        <v>108</v>
      </c>
      <c r="E9" s="2" t="s">
        <v>8</v>
      </c>
      <c r="F9" s="3" t="s">
        <v>81</v>
      </c>
      <c r="G9" s="7">
        <v>-1000</v>
      </c>
      <c r="I9" s="48" t="s">
        <v>86</v>
      </c>
      <c r="J9" s="14">
        <v>3751.68</v>
      </c>
      <c r="K9" s="14"/>
      <c r="L9" s="14">
        <v>-3690</v>
      </c>
      <c r="M9" s="14">
        <v>-28</v>
      </c>
      <c r="N9" s="14"/>
      <c r="O9" s="14">
        <v>33.679999999999836</v>
      </c>
    </row>
    <row r="10" spans="1:15" x14ac:dyDescent="0.25">
      <c r="A10" s="1">
        <v>45856.661701388999</v>
      </c>
      <c r="B10" s="2" t="s">
        <v>117</v>
      </c>
      <c r="C10" s="2" t="s">
        <v>66</v>
      </c>
      <c r="D10" s="2" t="s">
        <v>108</v>
      </c>
      <c r="E10" s="2" t="s">
        <v>8</v>
      </c>
      <c r="F10" s="3" t="s">
        <v>81</v>
      </c>
      <c r="G10" s="7">
        <v>-460</v>
      </c>
      <c r="I10" s="48" t="s">
        <v>87</v>
      </c>
      <c r="J10" s="14">
        <v>1800</v>
      </c>
      <c r="K10" s="14"/>
      <c r="L10" s="14">
        <v>-1820</v>
      </c>
      <c r="M10" s="14">
        <v>-14</v>
      </c>
      <c r="N10" s="14"/>
      <c r="O10" s="14">
        <v>-34</v>
      </c>
    </row>
    <row r="11" spans="1:15" x14ac:dyDescent="0.25">
      <c r="A11" s="1">
        <v>45881.339652777999</v>
      </c>
      <c r="B11" s="2" t="s">
        <v>118</v>
      </c>
      <c r="C11" s="2" t="s">
        <v>66</v>
      </c>
      <c r="D11" s="2" t="s">
        <v>108</v>
      </c>
      <c r="E11" s="2" t="s">
        <v>8</v>
      </c>
      <c r="F11" s="3" t="s">
        <v>81</v>
      </c>
      <c r="G11" s="7">
        <v>-1000</v>
      </c>
      <c r="I11" s="48" t="s">
        <v>88</v>
      </c>
      <c r="J11" s="14">
        <v>1702</v>
      </c>
      <c r="K11" s="14">
        <v>-5.4</v>
      </c>
      <c r="L11" s="14">
        <v>-1680</v>
      </c>
      <c r="M11" s="14">
        <v>-14</v>
      </c>
      <c r="N11" s="14">
        <v>-2</v>
      </c>
      <c r="O11" s="14">
        <v>0.59999999999990905</v>
      </c>
    </row>
    <row r="12" spans="1:15" x14ac:dyDescent="0.25">
      <c r="A12" s="1">
        <v>45882.612476852002</v>
      </c>
      <c r="B12" s="2" t="s">
        <v>119</v>
      </c>
      <c r="C12" s="2" t="s">
        <v>66</v>
      </c>
      <c r="D12" s="2" t="s">
        <v>108</v>
      </c>
      <c r="E12" s="2" t="s">
        <v>8</v>
      </c>
      <c r="F12" s="3" t="s">
        <v>81</v>
      </c>
      <c r="G12" s="7">
        <v>-950</v>
      </c>
      <c r="I12" s="13" t="s">
        <v>84</v>
      </c>
      <c r="J12" s="14">
        <v>13846.999999999998</v>
      </c>
      <c r="K12" s="14"/>
      <c r="L12" s="14">
        <v>-13475</v>
      </c>
      <c r="M12" s="14">
        <v>-133</v>
      </c>
      <c r="N12" s="14">
        <v>-238.6</v>
      </c>
      <c r="O12" s="14">
        <v>0.39999999999999858</v>
      </c>
    </row>
    <row r="13" spans="1:15" x14ac:dyDescent="0.25">
      <c r="A13" s="1">
        <v>45895.462106480998</v>
      </c>
      <c r="B13" s="2" t="s">
        <v>120</v>
      </c>
      <c r="C13" s="2" t="s">
        <v>66</v>
      </c>
      <c r="D13" s="2" t="s">
        <v>108</v>
      </c>
      <c r="E13" s="2" t="s">
        <v>8</v>
      </c>
      <c r="F13" s="3" t="s">
        <v>80</v>
      </c>
      <c r="G13" s="7">
        <v>-940</v>
      </c>
      <c r="I13" s="48" t="s">
        <v>89</v>
      </c>
      <c r="J13" s="14">
        <v>3614</v>
      </c>
      <c r="K13" s="14"/>
      <c r="L13" s="14">
        <v>-3550</v>
      </c>
      <c r="M13" s="14">
        <v>-28</v>
      </c>
      <c r="N13" s="14">
        <v>-38.6</v>
      </c>
      <c r="O13" s="14">
        <v>-2.6000000000000014</v>
      </c>
    </row>
    <row r="14" spans="1:15" x14ac:dyDescent="0.25">
      <c r="A14" s="1">
        <v>45916.416273148003</v>
      </c>
      <c r="B14" s="2" t="s">
        <v>121</v>
      </c>
      <c r="C14" s="2" t="s">
        <v>66</v>
      </c>
      <c r="D14" s="2" t="s">
        <v>108</v>
      </c>
      <c r="E14" s="2" t="s">
        <v>8</v>
      </c>
      <c r="F14" s="3" t="s">
        <v>81</v>
      </c>
      <c r="G14" s="7">
        <v>-100</v>
      </c>
      <c r="I14" s="48" t="s">
        <v>68</v>
      </c>
      <c r="J14" s="14">
        <v>1994</v>
      </c>
      <c r="K14" s="14"/>
      <c r="L14" s="14">
        <v>-1970</v>
      </c>
      <c r="M14" s="14">
        <v>-21</v>
      </c>
      <c r="N14" s="14"/>
      <c r="O14" s="14">
        <v>3</v>
      </c>
    </row>
    <row r="15" spans="1:15" x14ac:dyDescent="0.25">
      <c r="A15" s="1">
        <v>45926.582280092996</v>
      </c>
      <c r="B15" s="2" t="s">
        <v>122</v>
      </c>
      <c r="C15" s="2" t="s">
        <v>66</v>
      </c>
      <c r="D15" s="2" t="s">
        <v>108</v>
      </c>
      <c r="E15" s="2" t="s">
        <v>8</v>
      </c>
      <c r="F15" s="3" t="s">
        <v>81</v>
      </c>
      <c r="G15" s="7">
        <v>-560</v>
      </c>
      <c r="I15" s="48" t="s">
        <v>22</v>
      </c>
      <c r="J15" s="14">
        <v>2000</v>
      </c>
      <c r="K15" s="14"/>
      <c r="L15" s="14">
        <v>-1980</v>
      </c>
      <c r="M15" s="14">
        <v>-14</v>
      </c>
      <c r="N15" s="14"/>
      <c r="O15" s="14">
        <v>6</v>
      </c>
    </row>
    <row r="16" spans="1:15" x14ac:dyDescent="0.25">
      <c r="A16" s="1">
        <v>45943.746712963002</v>
      </c>
      <c r="B16" s="2" t="s">
        <v>123</v>
      </c>
      <c r="C16" s="2" t="s">
        <v>66</v>
      </c>
      <c r="D16" s="2" t="s">
        <v>108</v>
      </c>
      <c r="E16" s="2" t="s">
        <v>8</v>
      </c>
      <c r="F16" s="3" t="s">
        <v>81</v>
      </c>
      <c r="G16" s="7">
        <v>-1000</v>
      </c>
      <c r="I16" s="48" t="s">
        <v>23</v>
      </c>
      <c r="J16" s="14">
        <v>1475.47</v>
      </c>
      <c r="K16" s="14"/>
      <c r="L16" s="14">
        <v>-1460</v>
      </c>
      <c r="M16" s="14">
        <v>-21</v>
      </c>
      <c r="N16" s="14"/>
      <c r="O16" s="14">
        <v>-5.5299999999999727</v>
      </c>
    </row>
    <row r="17" spans="1:15" x14ac:dyDescent="0.25">
      <c r="A17" s="1">
        <v>45943.747824074002</v>
      </c>
      <c r="B17" s="2" t="s">
        <v>124</v>
      </c>
      <c r="C17" s="2" t="s">
        <v>66</v>
      </c>
      <c r="D17" s="2" t="s">
        <v>108</v>
      </c>
      <c r="E17" s="2" t="s">
        <v>8</v>
      </c>
      <c r="F17" s="3" t="s">
        <v>81</v>
      </c>
      <c r="G17" s="7">
        <v>-740</v>
      </c>
      <c r="I17" s="48" t="s">
        <v>24</v>
      </c>
      <c r="J17" s="14">
        <v>1171.9000000000001</v>
      </c>
      <c r="K17" s="14"/>
      <c r="L17" s="14">
        <v>-1145</v>
      </c>
      <c r="M17" s="14">
        <v>-21</v>
      </c>
      <c r="N17" s="14"/>
      <c r="O17" s="14">
        <v>5.9000000000000909</v>
      </c>
    </row>
    <row r="18" spans="1:15" x14ac:dyDescent="0.25">
      <c r="A18" s="1">
        <v>45957.708993056003</v>
      </c>
      <c r="B18" s="2" t="s">
        <v>125</v>
      </c>
      <c r="C18" s="2" t="s">
        <v>66</v>
      </c>
      <c r="D18" s="2" t="s">
        <v>108</v>
      </c>
      <c r="E18" s="2" t="s">
        <v>8</v>
      </c>
      <c r="F18" s="3" t="s">
        <v>80</v>
      </c>
      <c r="G18" s="7">
        <v>-1000</v>
      </c>
      <c r="I18" s="48" t="s">
        <v>25</v>
      </c>
      <c r="J18" s="14">
        <v>2595.41</v>
      </c>
      <c r="K18" s="14"/>
      <c r="L18" s="14">
        <v>-2580</v>
      </c>
      <c r="M18" s="14">
        <v>-21</v>
      </c>
      <c r="N18" s="14"/>
      <c r="O18" s="14">
        <v>-5.5900000000001455</v>
      </c>
    </row>
    <row r="19" spans="1:15" x14ac:dyDescent="0.25">
      <c r="A19" s="1">
        <v>45957.713298611001</v>
      </c>
      <c r="B19" s="2" t="s">
        <v>126</v>
      </c>
      <c r="C19" s="2" t="s">
        <v>66</v>
      </c>
      <c r="D19" s="2" t="s">
        <v>108</v>
      </c>
      <c r="E19" s="2" t="s">
        <v>8</v>
      </c>
      <c r="F19" s="3" t="s">
        <v>80</v>
      </c>
      <c r="G19" s="7">
        <v>-950</v>
      </c>
      <c r="I19" s="48" t="s">
        <v>69</v>
      </c>
      <c r="J19" s="14">
        <v>996.22</v>
      </c>
      <c r="K19" s="14"/>
      <c r="L19" s="14">
        <v>-790</v>
      </c>
      <c r="M19" s="14">
        <v>-7</v>
      </c>
      <c r="N19" s="14">
        <v>-200</v>
      </c>
      <c r="O19" s="14">
        <v>-0.77999999999997272</v>
      </c>
    </row>
    <row r="20" spans="1:15" x14ac:dyDescent="0.25">
      <c r="A20" s="1">
        <v>45982.378819443999</v>
      </c>
      <c r="B20" s="2" t="s">
        <v>127</v>
      </c>
      <c r="C20" s="2" t="s">
        <v>66</v>
      </c>
      <c r="D20" s="2" t="s">
        <v>108</v>
      </c>
      <c r="E20" s="2" t="s">
        <v>8</v>
      </c>
      <c r="F20" s="3" t="s">
        <v>80</v>
      </c>
      <c r="G20" s="7">
        <v>-1000</v>
      </c>
      <c r="I20" s="13" t="s">
        <v>19</v>
      </c>
      <c r="J20" s="14">
        <v>30423.000000000004</v>
      </c>
      <c r="K20" s="14">
        <v>-64.05</v>
      </c>
      <c r="L20" s="14">
        <v>-29815</v>
      </c>
      <c r="M20" s="14">
        <v>-273</v>
      </c>
      <c r="N20" s="14">
        <v>-267.95</v>
      </c>
      <c r="O20" s="14">
        <v>2.9999999999997016</v>
      </c>
    </row>
    <row r="21" spans="1:15" x14ac:dyDescent="0.25">
      <c r="A21" s="1">
        <v>45982.379629629999</v>
      </c>
      <c r="B21" s="2" t="s">
        <v>128</v>
      </c>
      <c r="C21" s="2" t="s">
        <v>66</v>
      </c>
      <c r="D21" s="2" t="s">
        <v>108</v>
      </c>
      <c r="E21" s="2" t="s">
        <v>8</v>
      </c>
      <c r="F21" s="3" t="s">
        <v>80</v>
      </c>
      <c r="G21" s="7">
        <v>-820</v>
      </c>
    </row>
    <row r="22" spans="1:15" x14ac:dyDescent="0.25">
      <c r="A22" s="1">
        <v>46003.503067129997</v>
      </c>
      <c r="B22" s="2" t="s">
        <v>129</v>
      </c>
      <c r="C22" s="2" t="s">
        <v>79</v>
      </c>
      <c r="D22" s="2" t="s">
        <v>108</v>
      </c>
      <c r="E22" s="2" t="s">
        <v>8</v>
      </c>
      <c r="F22" s="3" t="s">
        <v>81</v>
      </c>
      <c r="G22" s="7">
        <v>-1000</v>
      </c>
    </row>
    <row r="23" spans="1:15" x14ac:dyDescent="0.25">
      <c r="A23" s="1">
        <v>46003.504120370002</v>
      </c>
      <c r="B23" s="2" t="s">
        <v>130</v>
      </c>
      <c r="C23" s="2" t="s">
        <v>79</v>
      </c>
      <c r="D23" s="2" t="s">
        <v>108</v>
      </c>
      <c r="E23" s="2" t="s">
        <v>8</v>
      </c>
      <c r="F23" s="3" t="s">
        <v>81</v>
      </c>
      <c r="G23" s="7">
        <v>-680</v>
      </c>
    </row>
    <row r="24" spans="1:15" x14ac:dyDescent="0.25">
      <c r="A24" s="1">
        <v>46034.780798610998</v>
      </c>
      <c r="B24" s="2" t="s">
        <v>131</v>
      </c>
      <c r="C24" s="2" t="s">
        <v>66</v>
      </c>
      <c r="D24" s="2" t="s">
        <v>108</v>
      </c>
      <c r="E24" s="2" t="s">
        <v>8</v>
      </c>
      <c r="F24" s="3" t="s">
        <v>80</v>
      </c>
      <c r="G24" s="7">
        <v>-1000</v>
      </c>
    </row>
    <row r="25" spans="1:15" x14ac:dyDescent="0.25">
      <c r="A25" s="1">
        <v>46034.781574073997</v>
      </c>
      <c r="B25" s="2" t="s">
        <v>132</v>
      </c>
      <c r="C25" s="2" t="s">
        <v>66</v>
      </c>
      <c r="D25" s="2" t="s">
        <v>108</v>
      </c>
      <c r="E25" s="2" t="s">
        <v>8</v>
      </c>
      <c r="F25" s="3" t="s">
        <v>80</v>
      </c>
      <c r="G25" s="7">
        <v>-600</v>
      </c>
    </row>
    <row r="26" spans="1:15" x14ac:dyDescent="0.25">
      <c r="A26" s="1">
        <v>46051.384305555999</v>
      </c>
      <c r="B26" s="2" t="s">
        <v>133</v>
      </c>
      <c r="C26" s="2" t="s">
        <v>66</v>
      </c>
      <c r="D26" s="2" t="s">
        <v>108</v>
      </c>
      <c r="E26" s="2" t="s">
        <v>8</v>
      </c>
      <c r="F26" s="3" t="s">
        <v>80</v>
      </c>
      <c r="G26" s="7">
        <v>-1000</v>
      </c>
    </row>
    <row r="27" spans="1:15" x14ac:dyDescent="0.25">
      <c r="A27" s="1">
        <v>46051.385636573999</v>
      </c>
      <c r="B27" s="2" t="s">
        <v>134</v>
      </c>
      <c r="C27" s="2" t="s">
        <v>66</v>
      </c>
      <c r="D27" s="2" t="s">
        <v>108</v>
      </c>
      <c r="E27" s="2" t="s">
        <v>8</v>
      </c>
      <c r="F27" s="3" t="s">
        <v>80</v>
      </c>
      <c r="G27" s="7">
        <v>-950</v>
      </c>
    </row>
    <row r="28" spans="1:15" x14ac:dyDescent="0.25">
      <c r="A28" s="1">
        <v>46065.356388888998</v>
      </c>
      <c r="B28" s="2" t="s">
        <v>135</v>
      </c>
      <c r="C28" s="2" t="s">
        <v>66</v>
      </c>
      <c r="D28" s="2" t="s">
        <v>108</v>
      </c>
      <c r="E28" s="2" t="s">
        <v>8</v>
      </c>
      <c r="F28" s="3" t="s">
        <v>80</v>
      </c>
      <c r="G28" s="7">
        <v>-570</v>
      </c>
    </row>
    <row r="29" spans="1:15" x14ac:dyDescent="0.25">
      <c r="A29" s="1">
        <v>46079.362476852002</v>
      </c>
      <c r="B29" s="2" t="s">
        <v>136</v>
      </c>
      <c r="C29" s="2" t="s">
        <v>66</v>
      </c>
      <c r="D29" s="2" t="s">
        <v>108</v>
      </c>
      <c r="E29" s="2" t="s">
        <v>8</v>
      </c>
      <c r="F29" s="3" t="s">
        <v>80</v>
      </c>
      <c r="G29" s="7">
        <v>-1000</v>
      </c>
    </row>
    <row r="30" spans="1:15" x14ac:dyDescent="0.25">
      <c r="A30" s="1">
        <v>46079.363229167</v>
      </c>
      <c r="B30" s="2" t="s">
        <v>137</v>
      </c>
      <c r="C30" s="2" t="s">
        <v>66</v>
      </c>
      <c r="D30" s="2" t="s">
        <v>108</v>
      </c>
      <c r="E30" s="2" t="s">
        <v>8</v>
      </c>
      <c r="F30" s="3" t="s">
        <v>80</v>
      </c>
      <c r="G30" s="7">
        <v>-400</v>
      </c>
    </row>
    <row r="31" spans="1:15" x14ac:dyDescent="0.25">
      <c r="A31" s="1">
        <v>46097.480428240997</v>
      </c>
      <c r="B31" s="2" t="s">
        <v>138</v>
      </c>
      <c r="C31" s="2" t="s">
        <v>66</v>
      </c>
      <c r="D31" s="2" t="s">
        <v>108</v>
      </c>
      <c r="E31" s="2" t="s">
        <v>8</v>
      </c>
      <c r="F31" s="3" t="s">
        <v>81</v>
      </c>
      <c r="G31" s="7">
        <v>-1000</v>
      </c>
    </row>
    <row r="32" spans="1:15" x14ac:dyDescent="0.25">
      <c r="A32" s="1">
        <v>46097.481527778</v>
      </c>
      <c r="B32" s="2" t="s">
        <v>139</v>
      </c>
      <c r="C32" s="2" t="s">
        <v>66</v>
      </c>
      <c r="D32" s="2" t="s">
        <v>108</v>
      </c>
      <c r="E32" s="2" t="s">
        <v>8</v>
      </c>
      <c r="F32" s="3" t="s">
        <v>81</v>
      </c>
      <c r="G32" s="7">
        <v>-980</v>
      </c>
    </row>
    <row r="33" spans="1:7" x14ac:dyDescent="0.25">
      <c r="A33" s="1">
        <v>46126.574074074</v>
      </c>
      <c r="B33" s="2" t="s">
        <v>140</v>
      </c>
      <c r="C33" s="2" t="s">
        <v>66</v>
      </c>
      <c r="D33" s="2" t="s">
        <v>108</v>
      </c>
      <c r="E33" s="2" t="s">
        <v>8</v>
      </c>
      <c r="F33" s="3" t="s">
        <v>81</v>
      </c>
      <c r="G33" s="7">
        <v>-320</v>
      </c>
    </row>
    <row r="34" spans="1:7" x14ac:dyDescent="0.25">
      <c r="A34" s="1">
        <v>46139.751817130003</v>
      </c>
      <c r="B34" s="2" t="s">
        <v>141</v>
      </c>
      <c r="C34" s="2" t="s">
        <v>66</v>
      </c>
      <c r="D34" s="2" t="s">
        <v>108</v>
      </c>
      <c r="E34" s="2" t="s">
        <v>8</v>
      </c>
      <c r="F34" s="3" t="s">
        <v>80</v>
      </c>
      <c r="G34" s="7">
        <v>-1000</v>
      </c>
    </row>
    <row r="35" spans="1:7" x14ac:dyDescent="0.25">
      <c r="A35" s="1">
        <v>46139.752592593002</v>
      </c>
      <c r="B35" s="2" t="s">
        <v>142</v>
      </c>
      <c r="C35" s="2" t="s">
        <v>66</v>
      </c>
      <c r="D35" s="2" t="s">
        <v>108</v>
      </c>
      <c r="E35" s="2" t="s">
        <v>8</v>
      </c>
      <c r="F35" s="3" t="s">
        <v>81</v>
      </c>
      <c r="G35" s="7">
        <v>-140</v>
      </c>
    </row>
    <row r="36" spans="1:7" x14ac:dyDescent="0.25">
      <c r="A36" s="1">
        <v>46164.446909721999</v>
      </c>
      <c r="B36" s="2" t="s">
        <v>100</v>
      </c>
      <c r="C36" s="2" t="s">
        <v>66</v>
      </c>
      <c r="D36" s="2" t="s">
        <v>108</v>
      </c>
      <c r="E36" s="2" t="s">
        <v>8</v>
      </c>
      <c r="F36" s="3" t="s">
        <v>143</v>
      </c>
      <c r="G36" s="7">
        <v>-45</v>
      </c>
    </row>
    <row r="37" spans="1:7" x14ac:dyDescent="0.25">
      <c r="A37" s="1">
        <v>46168.601990741001</v>
      </c>
      <c r="B37" s="2" t="s">
        <v>144</v>
      </c>
      <c r="C37" s="2" t="s">
        <v>66</v>
      </c>
      <c r="D37" s="2" t="s">
        <v>108</v>
      </c>
      <c r="E37" s="2" t="s">
        <v>8</v>
      </c>
      <c r="F37" s="3" t="s">
        <v>81</v>
      </c>
      <c r="G37" s="7">
        <v>-1000</v>
      </c>
    </row>
    <row r="38" spans="1:7" x14ac:dyDescent="0.25">
      <c r="A38" s="1">
        <v>46171.683240740997</v>
      </c>
      <c r="B38" s="2" t="s">
        <v>145</v>
      </c>
      <c r="C38" s="2" t="s">
        <v>66</v>
      </c>
      <c r="D38" s="2" t="s">
        <v>108</v>
      </c>
      <c r="E38" s="2" t="s">
        <v>8</v>
      </c>
      <c r="F38" s="3" t="s">
        <v>81</v>
      </c>
      <c r="G38" s="7">
        <v>-100</v>
      </c>
    </row>
    <row r="39" spans="1:7" x14ac:dyDescent="0.25">
      <c r="A39" s="1">
        <v>46184.709826389</v>
      </c>
      <c r="B39" s="2" t="s">
        <v>146</v>
      </c>
      <c r="C39" s="2" t="s">
        <v>66</v>
      </c>
      <c r="D39" s="2" t="s">
        <v>108</v>
      </c>
      <c r="E39" s="2" t="s">
        <v>8</v>
      </c>
      <c r="F39" s="3" t="s">
        <v>81</v>
      </c>
      <c r="G39" s="7">
        <v>-1000</v>
      </c>
    </row>
    <row r="40" spans="1:7" x14ac:dyDescent="0.25">
      <c r="A40" s="1">
        <v>46184.710821758999</v>
      </c>
      <c r="B40" s="2" t="s">
        <v>147</v>
      </c>
      <c r="C40" s="2" t="s">
        <v>66</v>
      </c>
      <c r="D40" s="2" t="s">
        <v>108</v>
      </c>
      <c r="E40" s="2" t="s">
        <v>8</v>
      </c>
      <c r="F40" s="3" t="s">
        <v>81</v>
      </c>
      <c r="G40" s="7">
        <v>-720</v>
      </c>
    </row>
    <row r="41" spans="1:7" x14ac:dyDescent="0.25">
      <c r="A41" s="1">
        <v>46198.7421875</v>
      </c>
      <c r="B41" s="2" t="s">
        <v>148</v>
      </c>
      <c r="C41" s="2" t="s">
        <v>66</v>
      </c>
      <c r="D41" s="2" t="s">
        <v>108</v>
      </c>
      <c r="E41" s="2" t="s">
        <v>8</v>
      </c>
      <c r="F41" s="3" t="s">
        <v>80</v>
      </c>
      <c r="G41" s="7">
        <v>-860</v>
      </c>
    </row>
    <row r="42" spans="1:7" x14ac:dyDescent="0.25">
      <c r="A42" s="1">
        <v>46220.45931713</v>
      </c>
      <c r="B42" s="2" t="s">
        <v>149</v>
      </c>
      <c r="C42" s="2" t="s">
        <v>66</v>
      </c>
      <c r="D42" s="2" t="s">
        <v>108</v>
      </c>
      <c r="E42" s="2" t="s">
        <v>8</v>
      </c>
      <c r="F42" s="3" t="s">
        <v>106</v>
      </c>
      <c r="G42" s="7">
        <v>-790</v>
      </c>
    </row>
    <row r="43" spans="1:7" x14ac:dyDescent="0.25">
      <c r="A43" s="1">
        <v>45806.618321759001</v>
      </c>
      <c r="B43" s="2" t="s">
        <v>150</v>
      </c>
      <c r="C43" s="2" t="s">
        <v>79</v>
      </c>
      <c r="D43" s="2" t="s">
        <v>108</v>
      </c>
      <c r="E43" s="2" t="s">
        <v>9</v>
      </c>
      <c r="F43" s="3" t="s">
        <v>10</v>
      </c>
      <c r="G43" s="7">
        <v>-7</v>
      </c>
    </row>
    <row r="44" spans="1:7" x14ac:dyDescent="0.25">
      <c r="A44" s="1">
        <v>45808.613298611002</v>
      </c>
      <c r="B44" s="2" t="s">
        <v>151</v>
      </c>
      <c r="C44" s="2" t="s">
        <v>79</v>
      </c>
      <c r="D44" s="2" t="s">
        <v>108</v>
      </c>
      <c r="E44" s="2" t="s">
        <v>9</v>
      </c>
      <c r="F44" s="3" t="s">
        <v>10</v>
      </c>
      <c r="G44" s="7">
        <v>-7</v>
      </c>
    </row>
    <row r="45" spans="1:7" x14ac:dyDescent="0.25">
      <c r="A45" s="1">
        <v>45823.398344907</v>
      </c>
      <c r="B45" s="2" t="s">
        <v>152</v>
      </c>
      <c r="C45" s="2" t="s">
        <v>66</v>
      </c>
      <c r="D45" s="2" t="s">
        <v>108</v>
      </c>
      <c r="E45" s="2" t="s">
        <v>9</v>
      </c>
      <c r="F45" s="3" t="s">
        <v>10</v>
      </c>
      <c r="G45" s="7">
        <v>-7</v>
      </c>
    </row>
    <row r="46" spans="1:7" x14ac:dyDescent="0.25">
      <c r="A46" s="1">
        <v>45828.585208333003</v>
      </c>
      <c r="B46" s="2" t="s">
        <v>153</v>
      </c>
      <c r="C46" s="2" t="s">
        <v>66</v>
      </c>
      <c r="D46" s="2" t="s">
        <v>108</v>
      </c>
      <c r="E46" s="2" t="s">
        <v>9</v>
      </c>
      <c r="F46" s="3" t="s">
        <v>10</v>
      </c>
      <c r="G46" s="7">
        <v>-7</v>
      </c>
    </row>
    <row r="47" spans="1:7" x14ac:dyDescent="0.25">
      <c r="A47" s="1">
        <v>45835.349328703996</v>
      </c>
      <c r="B47" s="2" t="s">
        <v>154</v>
      </c>
      <c r="C47" s="2" t="s">
        <v>66</v>
      </c>
      <c r="D47" s="2" t="s">
        <v>108</v>
      </c>
      <c r="E47" s="2" t="s">
        <v>9</v>
      </c>
      <c r="F47" s="3" t="s">
        <v>10</v>
      </c>
      <c r="G47" s="7">
        <v>-7</v>
      </c>
    </row>
    <row r="48" spans="1:7" x14ac:dyDescent="0.25">
      <c r="A48" s="1">
        <v>45852.448229166999</v>
      </c>
      <c r="B48" s="2" t="s">
        <v>155</v>
      </c>
      <c r="C48" s="2" t="s">
        <v>66</v>
      </c>
      <c r="D48" s="2" t="s">
        <v>108</v>
      </c>
      <c r="E48" s="2" t="s">
        <v>9</v>
      </c>
      <c r="F48" s="3" t="s">
        <v>10</v>
      </c>
      <c r="G48" s="7">
        <v>-7</v>
      </c>
    </row>
    <row r="49" spans="1:7" x14ac:dyDescent="0.25">
      <c r="A49" s="1">
        <v>45856.723009259003</v>
      </c>
      <c r="B49" s="2" t="s">
        <v>156</v>
      </c>
      <c r="C49" s="2" t="s">
        <v>66</v>
      </c>
      <c r="D49" s="2" t="s">
        <v>108</v>
      </c>
      <c r="E49" s="2" t="s">
        <v>9</v>
      </c>
      <c r="F49" s="3" t="s">
        <v>10</v>
      </c>
      <c r="G49" s="7">
        <v>-7</v>
      </c>
    </row>
    <row r="50" spans="1:7" x14ac:dyDescent="0.25">
      <c r="A50" s="1">
        <v>45881.339930556001</v>
      </c>
      <c r="B50" s="2" t="s">
        <v>157</v>
      </c>
      <c r="C50" s="2" t="s">
        <v>66</v>
      </c>
      <c r="D50" s="2" t="s">
        <v>108</v>
      </c>
      <c r="E50" s="2" t="s">
        <v>9</v>
      </c>
      <c r="F50" s="3" t="s">
        <v>10</v>
      </c>
      <c r="G50" s="7">
        <v>-7</v>
      </c>
    </row>
    <row r="51" spans="1:7" x14ac:dyDescent="0.25">
      <c r="A51" s="1">
        <v>45882.635115741003</v>
      </c>
      <c r="B51" s="2" t="s">
        <v>158</v>
      </c>
      <c r="C51" s="2" t="s">
        <v>66</v>
      </c>
      <c r="D51" s="2" t="s">
        <v>108</v>
      </c>
      <c r="E51" s="2" t="s">
        <v>9</v>
      </c>
      <c r="F51" s="3" t="s">
        <v>10</v>
      </c>
      <c r="G51" s="7">
        <v>-7</v>
      </c>
    </row>
    <row r="52" spans="1:7" x14ac:dyDescent="0.25">
      <c r="A52" s="1">
        <v>45895.462314814999</v>
      </c>
      <c r="B52" s="2" t="s">
        <v>159</v>
      </c>
      <c r="C52" s="2" t="s">
        <v>66</v>
      </c>
      <c r="D52" s="2" t="s">
        <v>108</v>
      </c>
      <c r="E52" s="2" t="s">
        <v>9</v>
      </c>
      <c r="F52" s="3" t="s">
        <v>10</v>
      </c>
      <c r="G52" s="7">
        <v>-7</v>
      </c>
    </row>
    <row r="53" spans="1:7" x14ac:dyDescent="0.25">
      <c r="A53" s="1">
        <v>45916.416458332998</v>
      </c>
      <c r="B53" s="2" t="s">
        <v>160</v>
      </c>
      <c r="C53" s="2" t="s">
        <v>66</v>
      </c>
      <c r="D53" s="2" t="s">
        <v>108</v>
      </c>
      <c r="E53" s="2" t="s">
        <v>9</v>
      </c>
      <c r="F53" s="3" t="s">
        <v>10</v>
      </c>
      <c r="G53" s="7">
        <v>-7</v>
      </c>
    </row>
    <row r="54" spans="1:7" x14ac:dyDescent="0.25">
      <c r="A54" s="1">
        <v>45926.597870370002</v>
      </c>
      <c r="B54" s="2" t="s">
        <v>161</v>
      </c>
      <c r="C54" s="2" t="s">
        <v>66</v>
      </c>
      <c r="D54" s="2" t="s">
        <v>108</v>
      </c>
      <c r="E54" s="2" t="s">
        <v>9</v>
      </c>
      <c r="F54" s="3" t="s">
        <v>10</v>
      </c>
      <c r="G54" s="7">
        <v>-7</v>
      </c>
    </row>
    <row r="55" spans="1:7" x14ac:dyDescent="0.25">
      <c r="A55" s="1">
        <v>45943.945682869999</v>
      </c>
      <c r="B55" s="2" t="s">
        <v>162</v>
      </c>
      <c r="C55" s="2" t="s">
        <v>66</v>
      </c>
      <c r="D55" s="2" t="s">
        <v>108</v>
      </c>
      <c r="E55" s="2" t="s">
        <v>9</v>
      </c>
      <c r="F55" s="3" t="s">
        <v>10</v>
      </c>
      <c r="G55" s="7">
        <v>-7</v>
      </c>
    </row>
    <row r="56" spans="1:7" x14ac:dyDescent="0.25">
      <c r="A56" s="1">
        <v>45943.946597221999</v>
      </c>
      <c r="B56" s="2" t="s">
        <v>163</v>
      </c>
      <c r="C56" s="2" t="s">
        <v>66</v>
      </c>
      <c r="D56" s="2" t="s">
        <v>108</v>
      </c>
      <c r="E56" s="2" t="s">
        <v>9</v>
      </c>
      <c r="F56" s="3" t="s">
        <v>10</v>
      </c>
      <c r="G56" s="7">
        <v>-7</v>
      </c>
    </row>
    <row r="57" spans="1:7" x14ac:dyDescent="0.25">
      <c r="A57" s="1">
        <v>45957.709259258998</v>
      </c>
      <c r="B57" s="2" t="s">
        <v>164</v>
      </c>
      <c r="C57" s="2" t="s">
        <v>66</v>
      </c>
      <c r="D57" s="2" t="s">
        <v>108</v>
      </c>
      <c r="E57" s="2" t="s">
        <v>9</v>
      </c>
      <c r="F57" s="3" t="s">
        <v>10</v>
      </c>
      <c r="G57" s="7">
        <v>-7</v>
      </c>
    </row>
    <row r="58" spans="1:7" x14ac:dyDescent="0.25">
      <c r="A58" s="1">
        <v>45957.714062500003</v>
      </c>
      <c r="B58" s="2" t="s">
        <v>165</v>
      </c>
      <c r="C58" s="2" t="s">
        <v>66</v>
      </c>
      <c r="D58" s="2" t="s">
        <v>108</v>
      </c>
      <c r="E58" s="2" t="s">
        <v>9</v>
      </c>
      <c r="F58" s="3" t="s">
        <v>10</v>
      </c>
      <c r="G58" s="7">
        <v>-7</v>
      </c>
    </row>
    <row r="59" spans="1:7" x14ac:dyDescent="0.25">
      <c r="A59" s="1">
        <v>45982.379108795998</v>
      </c>
      <c r="B59" s="2" t="s">
        <v>166</v>
      </c>
      <c r="C59" s="2" t="s">
        <v>66</v>
      </c>
      <c r="D59" s="2" t="s">
        <v>108</v>
      </c>
      <c r="E59" s="2" t="s">
        <v>9</v>
      </c>
      <c r="F59" s="3" t="s">
        <v>10</v>
      </c>
      <c r="G59" s="7">
        <v>-7</v>
      </c>
    </row>
    <row r="60" spans="1:7" x14ac:dyDescent="0.25">
      <c r="A60" s="1">
        <v>45982.379953704003</v>
      </c>
      <c r="B60" s="2" t="s">
        <v>167</v>
      </c>
      <c r="C60" s="2" t="s">
        <v>66</v>
      </c>
      <c r="D60" s="2" t="s">
        <v>108</v>
      </c>
      <c r="E60" s="2" t="s">
        <v>9</v>
      </c>
      <c r="F60" s="3" t="s">
        <v>10</v>
      </c>
      <c r="G60" s="7">
        <v>-7</v>
      </c>
    </row>
    <row r="61" spans="1:7" x14ac:dyDescent="0.25">
      <c r="A61" s="1">
        <v>46003.503402777998</v>
      </c>
      <c r="B61" s="2" t="s">
        <v>168</v>
      </c>
      <c r="C61" s="2" t="s">
        <v>79</v>
      </c>
      <c r="D61" s="2" t="s">
        <v>108</v>
      </c>
      <c r="E61" s="2" t="s">
        <v>9</v>
      </c>
      <c r="F61" s="3" t="s">
        <v>10</v>
      </c>
      <c r="G61" s="7">
        <v>-7</v>
      </c>
    </row>
    <row r="62" spans="1:7" x14ac:dyDescent="0.25">
      <c r="A62" s="1">
        <v>46003.504502315001</v>
      </c>
      <c r="B62" s="2" t="s">
        <v>169</v>
      </c>
      <c r="C62" s="2" t="s">
        <v>79</v>
      </c>
      <c r="D62" s="2" t="s">
        <v>108</v>
      </c>
      <c r="E62" s="2" t="s">
        <v>9</v>
      </c>
      <c r="F62" s="3" t="s">
        <v>10</v>
      </c>
      <c r="G62" s="7">
        <v>-7</v>
      </c>
    </row>
    <row r="63" spans="1:7" x14ac:dyDescent="0.25">
      <c r="A63" s="1">
        <v>46034.781087962998</v>
      </c>
      <c r="B63" s="2" t="s">
        <v>170</v>
      </c>
      <c r="C63" s="2" t="s">
        <v>66</v>
      </c>
      <c r="D63" s="2" t="s">
        <v>108</v>
      </c>
      <c r="E63" s="2" t="s">
        <v>9</v>
      </c>
      <c r="F63" s="3" t="s">
        <v>10</v>
      </c>
      <c r="G63" s="7">
        <v>-7</v>
      </c>
    </row>
    <row r="64" spans="1:7" x14ac:dyDescent="0.25">
      <c r="A64" s="1">
        <v>46034.781805555998</v>
      </c>
      <c r="B64" s="2" t="s">
        <v>171</v>
      </c>
      <c r="C64" s="2" t="s">
        <v>66</v>
      </c>
      <c r="D64" s="2" t="s">
        <v>108</v>
      </c>
      <c r="E64" s="2" t="s">
        <v>9</v>
      </c>
      <c r="F64" s="3" t="s">
        <v>10</v>
      </c>
      <c r="G64" s="7">
        <v>-7</v>
      </c>
    </row>
    <row r="65" spans="1:7" x14ac:dyDescent="0.25">
      <c r="A65" s="1">
        <v>46051.384618055999</v>
      </c>
      <c r="B65" s="2" t="s">
        <v>172</v>
      </c>
      <c r="C65" s="2" t="s">
        <v>66</v>
      </c>
      <c r="D65" s="2" t="s">
        <v>108</v>
      </c>
      <c r="E65" s="2" t="s">
        <v>9</v>
      </c>
      <c r="F65" s="3" t="s">
        <v>10</v>
      </c>
      <c r="G65" s="7">
        <v>-7</v>
      </c>
    </row>
    <row r="66" spans="1:7" x14ac:dyDescent="0.25">
      <c r="A66" s="1">
        <v>46051.386053241004</v>
      </c>
      <c r="B66" s="2" t="s">
        <v>173</v>
      </c>
      <c r="C66" s="2" t="s">
        <v>66</v>
      </c>
      <c r="D66" s="2" t="s">
        <v>108</v>
      </c>
      <c r="E66" s="2" t="s">
        <v>9</v>
      </c>
      <c r="F66" s="3" t="s">
        <v>10</v>
      </c>
      <c r="G66" s="7">
        <v>-7</v>
      </c>
    </row>
    <row r="67" spans="1:7" x14ac:dyDescent="0.25">
      <c r="A67" s="1">
        <v>46065.356736111004</v>
      </c>
      <c r="B67" s="2" t="s">
        <v>174</v>
      </c>
      <c r="C67" s="2" t="s">
        <v>66</v>
      </c>
      <c r="D67" s="2" t="s">
        <v>108</v>
      </c>
      <c r="E67" s="2" t="s">
        <v>9</v>
      </c>
      <c r="F67" s="3" t="s">
        <v>10</v>
      </c>
      <c r="G67" s="7">
        <v>-7</v>
      </c>
    </row>
    <row r="68" spans="1:7" x14ac:dyDescent="0.25">
      <c r="A68" s="1">
        <v>46079.362708332999</v>
      </c>
      <c r="B68" s="2" t="s">
        <v>175</v>
      </c>
      <c r="C68" s="2" t="s">
        <v>66</v>
      </c>
      <c r="D68" s="2" t="s">
        <v>108</v>
      </c>
      <c r="E68" s="2" t="s">
        <v>9</v>
      </c>
      <c r="F68" s="3" t="s">
        <v>10</v>
      </c>
      <c r="G68" s="7">
        <v>-7</v>
      </c>
    </row>
    <row r="69" spans="1:7" x14ac:dyDescent="0.25">
      <c r="A69" s="1">
        <v>46079.492905093</v>
      </c>
      <c r="B69" s="2" t="s">
        <v>102</v>
      </c>
      <c r="C69" s="2" t="s">
        <v>66</v>
      </c>
      <c r="D69" s="2" t="s">
        <v>108</v>
      </c>
      <c r="E69" s="2" t="s">
        <v>9</v>
      </c>
      <c r="F69" s="3" t="s">
        <v>10</v>
      </c>
      <c r="G69" s="7">
        <v>-7</v>
      </c>
    </row>
    <row r="70" spans="1:7" x14ac:dyDescent="0.25">
      <c r="A70" s="1">
        <v>46097.480810184999</v>
      </c>
      <c r="B70" s="2" t="s">
        <v>176</v>
      </c>
      <c r="C70" s="2" t="s">
        <v>66</v>
      </c>
      <c r="D70" s="2" t="s">
        <v>108</v>
      </c>
      <c r="E70" s="2" t="s">
        <v>9</v>
      </c>
      <c r="F70" s="3" t="s">
        <v>10</v>
      </c>
      <c r="G70" s="7">
        <v>-7</v>
      </c>
    </row>
    <row r="71" spans="1:7" x14ac:dyDescent="0.25">
      <c r="A71" s="1">
        <v>46097.481932870003</v>
      </c>
      <c r="B71" s="2" t="s">
        <v>177</v>
      </c>
      <c r="C71" s="2" t="s">
        <v>66</v>
      </c>
      <c r="D71" s="2" t="s">
        <v>108</v>
      </c>
      <c r="E71" s="2" t="s">
        <v>9</v>
      </c>
      <c r="F71" s="3" t="s">
        <v>10</v>
      </c>
      <c r="G71" s="7">
        <v>-7</v>
      </c>
    </row>
    <row r="72" spans="1:7" x14ac:dyDescent="0.25">
      <c r="A72" s="1">
        <v>46126.574317129998</v>
      </c>
      <c r="B72" s="2" t="s">
        <v>178</v>
      </c>
      <c r="C72" s="2" t="s">
        <v>66</v>
      </c>
      <c r="D72" s="2" t="s">
        <v>108</v>
      </c>
      <c r="E72" s="2" t="s">
        <v>9</v>
      </c>
      <c r="F72" s="3" t="s">
        <v>10</v>
      </c>
      <c r="G72" s="7">
        <v>-7</v>
      </c>
    </row>
    <row r="73" spans="1:7" x14ac:dyDescent="0.25">
      <c r="A73" s="1">
        <v>46139.752118056</v>
      </c>
      <c r="B73" s="2" t="s">
        <v>179</v>
      </c>
      <c r="C73" s="2" t="s">
        <v>66</v>
      </c>
      <c r="D73" s="2" t="s">
        <v>108</v>
      </c>
      <c r="E73" s="2" t="s">
        <v>9</v>
      </c>
      <c r="F73" s="3" t="s">
        <v>10</v>
      </c>
      <c r="G73" s="7">
        <v>-7</v>
      </c>
    </row>
    <row r="74" spans="1:7" x14ac:dyDescent="0.25">
      <c r="A74" s="1">
        <v>46139.752997684998</v>
      </c>
      <c r="B74" s="2" t="s">
        <v>180</v>
      </c>
      <c r="C74" s="2" t="s">
        <v>66</v>
      </c>
      <c r="D74" s="2" t="s">
        <v>108</v>
      </c>
      <c r="E74" s="2" t="s">
        <v>9</v>
      </c>
      <c r="F74" s="3" t="s">
        <v>10</v>
      </c>
      <c r="G74" s="7">
        <v>-7</v>
      </c>
    </row>
    <row r="75" spans="1:7" x14ac:dyDescent="0.25">
      <c r="A75" s="1">
        <v>46164.447280093002</v>
      </c>
      <c r="B75" s="2" t="s">
        <v>181</v>
      </c>
      <c r="C75" s="2" t="s">
        <v>66</v>
      </c>
      <c r="D75" s="2" t="s">
        <v>108</v>
      </c>
      <c r="E75" s="2" t="s">
        <v>9</v>
      </c>
      <c r="F75" s="3" t="s">
        <v>10</v>
      </c>
      <c r="G75" s="7">
        <v>-7</v>
      </c>
    </row>
    <row r="76" spans="1:7" x14ac:dyDescent="0.25">
      <c r="A76" s="1">
        <v>46168.602152778003</v>
      </c>
      <c r="B76" s="2" t="s">
        <v>182</v>
      </c>
      <c r="C76" s="2" t="s">
        <v>66</v>
      </c>
      <c r="D76" s="2" t="s">
        <v>108</v>
      </c>
      <c r="E76" s="2" t="s">
        <v>9</v>
      </c>
      <c r="F76" s="3" t="s">
        <v>10</v>
      </c>
      <c r="G76" s="7">
        <v>-7</v>
      </c>
    </row>
    <row r="77" spans="1:7" x14ac:dyDescent="0.25">
      <c r="A77" s="1">
        <v>46171.683576388998</v>
      </c>
      <c r="B77" s="2" t="s">
        <v>183</v>
      </c>
      <c r="C77" s="2" t="s">
        <v>66</v>
      </c>
      <c r="D77" s="2" t="s">
        <v>108</v>
      </c>
      <c r="E77" s="2" t="s">
        <v>9</v>
      </c>
      <c r="F77" s="3" t="s">
        <v>10</v>
      </c>
      <c r="G77" s="7">
        <v>-7</v>
      </c>
    </row>
    <row r="78" spans="1:7" x14ac:dyDescent="0.25">
      <c r="A78" s="1">
        <v>46184.710173610998</v>
      </c>
      <c r="B78" s="2" t="s">
        <v>184</v>
      </c>
      <c r="C78" s="2" t="s">
        <v>66</v>
      </c>
      <c r="D78" s="2" t="s">
        <v>108</v>
      </c>
      <c r="E78" s="2" t="s">
        <v>9</v>
      </c>
      <c r="F78" s="3" t="s">
        <v>10</v>
      </c>
      <c r="G78" s="7">
        <v>-7</v>
      </c>
    </row>
    <row r="79" spans="1:7" x14ac:dyDescent="0.25">
      <c r="A79" s="1">
        <v>46184.711145832996</v>
      </c>
      <c r="B79" s="2" t="s">
        <v>185</v>
      </c>
      <c r="C79" s="2" t="s">
        <v>66</v>
      </c>
      <c r="D79" s="2" t="s">
        <v>108</v>
      </c>
      <c r="E79" s="2" t="s">
        <v>9</v>
      </c>
      <c r="F79" s="3" t="s">
        <v>10</v>
      </c>
      <c r="G79" s="7">
        <v>-7</v>
      </c>
    </row>
    <row r="80" spans="1:7" x14ac:dyDescent="0.25">
      <c r="A80" s="1">
        <v>46198.742627314998</v>
      </c>
      <c r="B80" s="2" t="s">
        <v>186</v>
      </c>
      <c r="C80" s="2" t="s">
        <v>66</v>
      </c>
      <c r="D80" s="2" t="s">
        <v>108</v>
      </c>
      <c r="E80" s="2" t="s">
        <v>9</v>
      </c>
      <c r="F80" s="3" t="s">
        <v>10</v>
      </c>
      <c r="G80" s="7">
        <v>-7</v>
      </c>
    </row>
    <row r="81" spans="1:7" x14ac:dyDescent="0.25">
      <c r="A81" s="1">
        <v>46220.459699074003</v>
      </c>
      <c r="B81" s="2" t="s">
        <v>187</v>
      </c>
      <c r="C81" s="2" t="s">
        <v>66</v>
      </c>
      <c r="D81" s="2" t="s">
        <v>108</v>
      </c>
      <c r="E81" s="2" t="s">
        <v>9</v>
      </c>
      <c r="F81" s="3" t="s">
        <v>10</v>
      </c>
      <c r="G81" s="7">
        <v>-7</v>
      </c>
    </row>
    <row r="82" spans="1:7" x14ac:dyDescent="0.25">
      <c r="A82" s="1">
        <v>45803.732916667002</v>
      </c>
      <c r="B82" s="2" t="s">
        <v>188</v>
      </c>
      <c r="C82" s="2" t="s">
        <v>79</v>
      </c>
      <c r="D82" s="2" t="s">
        <v>108</v>
      </c>
      <c r="E82" s="2" t="s">
        <v>17</v>
      </c>
      <c r="F82" s="3" t="s">
        <v>189</v>
      </c>
      <c r="G82" s="7">
        <v>1266.44</v>
      </c>
    </row>
    <row r="83" spans="1:7" x14ac:dyDescent="0.25">
      <c r="A83" s="1">
        <v>45805.706238425999</v>
      </c>
      <c r="B83" s="2" t="s">
        <v>190</v>
      </c>
      <c r="C83" s="2" t="s">
        <v>79</v>
      </c>
      <c r="D83" s="2" t="s">
        <v>108</v>
      </c>
      <c r="E83" s="2" t="s">
        <v>17</v>
      </c>
      <c r="F83" s="3" t="s">
        <v>191</v>
      </c>
      <c r="G83" s="7">
        <v>333.56</v>
      </c>
    </row>
    <row r="84" spans="1:7" x14ac:dyDescent="0.25">
      <c r="A84" s="1">
        <v>45811.490925926002</v>
      </c>
      <c r="B84" s="2" t="s">
        <v>192</v>
      </c>
      <c r="C84" s="2" t="s">
        <v>79</v>
      </c>
      <c r="D84" s="2" t="s">
        <v>108</v>
      </c>
      <c r="E84" s="2" t="s">
        <v>11</v>
      </c>
      <c r="F84" s="3" t="s">
        <v>193</v>
      </c>
      <c r="G84" s="7">
        <v>-27.35</v>
      </c>
    </row>
    <row r="85" spans="1:7" x14ac:dyDescent="0.25">
      <c r="A85" s="1">
        <v>45811.4925</v>
      </c>
      <c r="B85" s="2" t="s">
        <v>194</v>
      </c>
      <c r="C85" s="2" t="s">
        <v>66</v>
      </c>
      <c r="D85" s="2" t="s">
        <v>108</v>
      </c>
      <c r="E85" s="2" t="s">
        <v>17</v>
      </c>
      <c r="F85" s="3" t="s">
        <v>195</v>
      </c>
      <c r="G85" s="7">
        <v>27.35</v>
      </c>
    </row>
    <row r="86" spans="1:7" x14ac:dyDescent="0.25">
      <c r="A86" s="1">
        <v>45819.816261574</v>
      </c>
      <c r="B86" s="2" t="s">
        <v>196</v>
      </c>
      <c r="C86" s="2" t="s">
        <v>66</v>
      </c>
      <c r="D86" s="2" t="s">
        <v>108</v>
      </c>
      <c r="E86" s="2" t="s">
        <v>17</v>
      </c>
      <c r="F86" s="3" t="s">
        <v>197</v>
      </c>
      <c r="G86" s="7">
        <v>1640.85</v>
      </c>
    </row>
    <row r="87" spans="1:7" x14ac:dyDescent="0.25">
      <c r="A87" s="1">
        <v>45833.707962963003</v>
      </c>
      <c r="B87" s="2" t="s">
        <v>198</v>
      </c>
      <c r="C87" s="2" t="s">
        <v>66</v>
      </c>
      <c r="D87" s="2" t="s">
        <v>108</v>
      </c>
      <c r="E87" s="2" t="s">
        <v>17</v>
      </c>
      <c r="F87" s="3" t="s">
        <v>197</v>
      </c>
      <c r="G87" s="7">
        <v>995.8</v>
      </c>
    </row>
    <row r="88" spans="1:7" x14ac:dyDescent="0.25">
      <c r="A88" s="1">
        <v>45849.656030093</v>
      </c>
      <c r="B88" s="2" t="s">
        <v>199</v>
      </c>
      <c r="C88" s="2" t="s">
        <v>66</v>
      </c>
      <c r="D88" s="2" t="s">
        <v>108</v>
      </c>
      <c r="E88" s="2" t="s">
        <v>17</v>
      </c>
      <c r="F88" s="3" t="s">
        <v>197</v>
      </c>
      <c r="G88" s="7">
        <v>1475.39</v>
      </c>
    </row>
    <row r="89" spans="1:7" x14ac:dyDescent="0.25">
      <c r="A89" s="1">
        <v>45880.648113426003</v>
      </c>
      <c r="B89" s="2" t="s">
        <v>200</v>
      </c>
      <c r="C89" s="2" t="s">
        <v>66</v>
      </c>
      <c r="D89" s="2" t="s">
        <v>108</v>
      </c>
      <c r="E89" s="2" t="s">
        <v>17</v>
      </c>
      <c r="F89" s="3" t="s">
        <v>197</v>
      </c>
      <c r="G89" s="7">
        <v>1969.51</v>
      </c>
    </row>
    <row r="90" spans="1:7" x14ac:dyDescent="0.25">
      <c r="A90" s="1">
        <v>45894.696435184997</v>
      </c>
      <c r="B90" s="2" t="s">
        <v>201</v>
      </c>
      <c r="C90" s="2" t="s">
        <v>66</v>
      </c>
      <c r="D90" s="2" t="s">
        <v>108</v>
      </c>
      <c r="E90" s="2" t="s">
        <v>17</v>
      </c>
      <c r="F90" s="3" t="s">
        <v>197</v>
      </c>
      <c r="G90" s="7">
        <v>938.51</v>
      </c>
    </row>
    <row r="91" spans="1:7" x14ac:dyDescent="0.25">
      <c r="A91" s="1">
        <v>45911.718923610999</v>
      </c>
      <c r="B91" s="2" t="s">
        <v>202</v>
      </c>
      <c r="C91" s="2" t="s">
        <v>66</v>
      </c>
      <c r="D91" s="2" t="s">
        <v>108</v>
      </c>
      <c r="E91" s="2" t="s">
        <v>17</v>
      </c>
      <c r="F91" s="3" t="s">
        <v>197</v>
      </c>
      <c r="G91" s="7">
        <v>111.41</v>
      </c>
    </row>
    <row r="92" spans="1:7" x14ac:dyDescent="0.25">
      <c r="A92" s="1">
        <v>45925.730023147997</v>
      </c>
      <c r="B92" s="2" t="s">
        <v>203</v>
      </c>
      <c r="C92" s="2" t="s">
        <v>66</v>
      </c>
      <c r="D92" s="2" t="s">
        <v>108</v>
      </c>
      <c r="E92" s="2" t="s">
        <v>17</v>
      </c>
      <c r="F92" s="3" t="s">
        <v>197</v>
      </c>
      <c r="G92" s="7">
        <v>563.5</v>
      </c>
    </row>
    <row r="93" spans="1:7" x14ac:dyDescent="0.25">
      <c r="A93" s="1">
        <v>45943.712395832998</v>
      </c>
      <c r="B93" s="2" t="s">
        <v>82</v>
      </c>
      <c r="C93" s="2" t="s">
        <v>66</v>
      </c>
      <c r="D93" s="2" t="s">
        <v>108</v>
      </c>
      <c r="E93" s="2" t="s">
        <v>17</v>
      </c>
      <c r="F93" s="3" t="s">
        <v>197</v>
      </c>
      <c r="G93" s="7">
        <v>1753.12</v>
      </c>
    </row>
    <row r="94" spans="1:7" x14ac:dyDescent="0.25">
      <c r="A94" s="1">
        <v>45957.692893519001</v>
      </c>
      <c r="B94" s="2" t="s">
        <v>204</v>
      </c>
      <c r="C94" s="2" t="s">
        <v>66</v>
      </c>
      <c r="D94" s="2" t="s">
        <v>108</v>
      </c>
      <c r="E94" s="2" t="s">
        <v>17</v>
      </c>
      <c r="F94" s="3" t="s">
        <v>197</v>
      </c>
      <c r="G94" s="7">
        <v>1998.56</v>
      </c>
    </row>
    <row r="95" spans="1:7" x14ac:dyDescent="0.25">
      <c r="A95" s="1">
        <v>45980.676608795999</v>
      </c>
      <c r="B95" s="2" t="s">
        <v>205</v>
      </c>
      <c r="C95" s="2" t="s">
        <v>66</v>
      </c>
      <c r="D95" s="2" t="s">
        <v>108</v>
      </c>
      <c r="E95" s="2" t="s">
        <v>17</v>
      </c>
      <c r="F95" s="3" t="s">
        <v>206</v>
      </c>
      <c r="G95" s="7">
        <v>1800</v>
      </c>
    </row>
    <row r="96" spans="1:7" x14ac:dyDescent="0.25">
      <c r="A96" s="1">
        <v>46003.448819443998</v>
      </c>
      <c r="B96" s="2" t="s">
        <v>207</v>
      </c>
      <c r="C96" s="2" t="s">
        <v>66</v>
      </c>
      <c r="D96" s="2" t="s">
        <v>108</v>
      </c>
      <c r="E96" s="2" t="s">
        <v>11</v>
      </c>
      <c r="F96" s="3" t="s">
        <v>208</v>
      </c>
      <c r="G96" s="7">
        <v>-2</v>
      </c>
    </row>
    <row r="97" spans="1:7" x14ac:dyDescent="0.25">
      <c r="A97" s="1">
        <v>46003.450590278</v>
      </c>
      <c r="B97" s="2" t="s">
        <v>209</v>
      </c>
      <c r="C97" s="2" t="s">
        <v>79</v>
      </c>
      <c r="D97" s="2" t="s">
        <v>108</v>
      </c>
      <c r="E97" s="2" t="s">
        <v>17</v>
      </c>
      <c r="F97" s="3" t="s">
        <v>210</v>
      </c>
      <c r="G97" s="7">
        <v>1702</v>
      </c>
    </row>
    <row r="98" spans="1:7" x14ac:dyDescent="0.25">
      <c r="A98" s="1">
        <v>46031.467719906999</v>
      </c>
      <c r="B98" s="2" t="s">
        <v>211</v>
      </c>
      <c r="C98" s="2" t="s">
        <v>79</v>
      </c>
      <c r="D98" s="2" t="s">
        <v>108</v>
      </c>
      <c r="E98" s="2" t="s">
        <v>11</v>
      </c>
      <c r="F98" s="3" t="s">
        <v>212</v>
      </c>
      <c r="G98" s="7">
        <v>-2.6</v>
      </c>
    </row>
    <row r="99" spans="1:7" x14ac:dyDescent="0.25">
      <c r="A99" s="1">
        <v>46031.468229167003</v>
      </c>
      <c r="B99" s="2" t="s">
        <v>213</v>
      </c>
      <c r="C99" s="2" t="s">
        <v>66</v>
      </c>
      <c r="D99" s="2" t="s">
        <v>108</v>
      </c>
      <c r="E99" s="2" t="s">
        <v>17</v>
      </c>
      <c r="F99" s="3" t="s">
        <v>197</v>
      </c>
      <c r="G99" s="7">
        <v>2.6</v>
      </c>
    </row>
    <row r="100" spans="1:7" x14ac:dyDescent="0.25">
      <c r="A100" s="1">
        <v>46034.723078704003</v>
      </c>
      <c r="B100" s="2" t="s">
        <v>214</v>
      </c>
      <c r="C100" s="2" t="s">
        <v>66</v>
      </c>
      <c r="D100" s="2" t="s">
        <v>108</v>
      </c>
      <c r="E100" s="2" t="s">
        <v>17</v>
      </c>
      <c r="F100" s="3" t="s">
        <v>197</v>
      </c>
      <c r="G100" s="7">
        <v>1629.33</v>
      </c>
    </row>
    <row r="101" spans="1:7" x14ac:dyDescent="0.25">
      <c r="A101" s="1">
        <v>46048.620625000003</v>
      </c>
      <c r="B101" s="2" t="s">
        <v>67</v>
      </c>
      <c r="C101" s="2" t="s">
        <v>66</v>
      </c>
      <c r="D101" s="2" t="s">
        <v>108</v>
      </c>
      <c r="E101" s="2" t="s">
        <v>17</v>
      </c>
      <c r="F101" s="3" t="s">
        <v>197</v>
      </c>
      <c r="G101" s="7">
        <v>1982.07</v>
      </c>
    </row>
    <row r="102" spans="1:7" x14ac:dyDescent="0.25">
      <c r="A102" s="1">
        <v>46052.606793981002</v>
      </c>
      <c r="B102" s="2" t="s">
        <v>215</v>
      </c>
      <c r="C102" s="2" t="s">
        <v>66</v>
      </c>
      <c r="D102" s="2" t="s">
        <v>108</v>
      </c>
      <c r="E102" s="2" t="s">
        <v>11</v>
      </c>
      <c r="F102" s="3" t="s">
        <v>216</v>
      </c>
      <c r="G102" s="7">
        <v>-36</v>
      </c>
    </row>
    <row r="103" spans="1:7" x14ac:dyDescent="0.25">
      <c r="A103" s="1">
        <v>46064.63</v>
      </c>
      <c r="B103" s="2" t="s">
        <v>217</v>
      </c>
      <c r="C103" s="2" t="s">
        <v>66</v>
      </c>
      <c r="D103" s="2" t="s">
        <v>108</v>
      </c>
      <c r="E103" s="2" t="s">
        <v>17</v>
      </c>
      <c r="F103" s="3" t="s">
        <v>197</v>
      </c>
      <c r="G103" s="7">
        <v>586.17999999999995</v>
      </c>
    </row>
    <row r="104" spans="1:7" x14ac:dyDescent="0.25">
      <c r="A104" s="1">
        <v>46078.629953704003</v>
      </c>
      <c r="B104" s="2" t="s">
        <v>101</v>
      </c>
      <c r="C104" s="2" t="s">
        <v>66</v>
      </c>
      <c r="D104" s="2" t="s">
        <v>108</v>
      </c>
      <c r="E104" s="2" t="s">
        <v>17</v>
      </c>
      <c r="F104" s="3" t="s">
        <v>197</v>
      </c>
      <c r="G104" s="7">
        <v>1407.82</v>
      </c>
    </row>
    <row r="105" spans="1:7" x14ac:dyDescent="0.25">
      <c r="A105" s="1">
        <v>46097.403101852004</v>
      </c>
      <c r="B105" s="2" t="s">
        <v>218</v>
      </c>
      <c r="C105" s="2" t="s">
        <v>66</v>
      </c>
      <c r="D105" s="2" t="s">
        <v>108</v>
      </c>
      <c r="E105" s="2" t="s">
        <v>17</v>
      </c>
      <c r="F105" s="3" t="s">
        <v>197</v>
      </c>
      <c r="G105" s="7">
        <v>2000</v>
      </c>
    </row>
    <row r="106" spans="1:7" x14ac:dyDescent="0.25">
      <c r="A106" s="1">
        <v>46125.738576388998</v>
      </c>
      <c r="B106" s="2" t="s">
        <v>219</v>
      </c>
      <c r="C106" s="2" t="s">
        <v>66</v>
      </c>
      <c r="D106" s="2" t="s">
        <v>108</v>
      </c>
      <c r="E106" s="2" t="s">
        <v>17</v>
      </c>
      <c r="F106" s="3" t="s">
        <v>197</v>
      </c>
      <c r="G106" s="7">
        <v>323.54000000000002</v>
      </c>
    </row>
    <row r="107" spans="1:7" x14ac:dyDescent="0.25">
      <c r="A107" s="1">
        <v>46139.690590277998</v>
      </c>
      <c r="B107" s="2" t="s">
        <v>220</v>
      </c>
      <c r="C107" s="2" t="s">
        <v>66</v>
      </c>
      <c r="D107" s="2" t="s">
        <v>108</v>
      </c>
      <c r="E107" s="2" t="s">
        <v>17</v>
      </c>
      <c r="F107" s="3" t="s">
        <v>197</v>
      </c>
      <c r="G107" s="7">
        <v>1151.93</v>
      </c>
    </row>
    <row r="108" spans="1:7" x14ac:dyDescent="0.25">
      <c r="A108" s="1">
        <v>46153.678530092999</v>
      </c>
      <c r="B108" s="2" t="s">
        <v>221</v>
      </c>
      <c r="C108" s="2" t="s">
        <v>66</v>
      </c>
      <c r="D108" s="2" t="s">
        <v>108</v>
      </c>
      <c r="E108" s="2" t="s">
        <v>17</v>
      </c>
      <c r="F108" s="3" t="s">
        <v>197</v>
      </c>
      <c r="G108" s="7">
        <v>52.75</v>
      </c>
    </row>
    <row r="109" spans="1:7" x14ac:dyDescent="0.25">
      <c r="A109" s="1">
        <v>46167.646122685001</v>
      </c>
      <c r="B109" s="2" t="s">
        <v>105</v>
      </c>
      <c r="C109" s="2" t="s">
        <v>66</v>
      </c>
      <c r="D109" s="2" t="s">
        <v>108</v>
      </c>
      <c r="E109" s="2" t="s">
        <v>17</v>
      </c>
      <c r="F109" s="3" t="s">
        <v>197</v>
      </c>
      <c r="G109" s="7">
        <v>1119.1500000000001</v>
      </c>
    </row>
    <row r="110" spans="1:7" x14ac:dyDescent="0.25">
      <c r="A110" s="1">
        <v>46184.608726851999</v>
      </c>
      <c r="B110" s="2" t="s">
        <v>222</v>
      </c>
      <c r="C110" s="2" t="s">
        <v>66</v>
      </c>
      <c r="D110" s="2" t="s">
        <v>108</v>
      </c>
      <c r="E110" s="2" t="s">
        <v>17</v>
      </c>
      <c r="F110" s="3" t="s">
        <v>197</v>
      </c>
      <c r="G110" s="7">
        <v>1734.24</v>
      </c>
    </row>
    <row r="111" spans="1:7" x14ac:dyDescent="0.25">
      <c r="A111" s="1">
        <v>46198.630300926001</v>
      </c>
      <c r="B111" s="2" t="s">
        <v>223</v>
      </c>
      <c r="C111" s="2" t="s">
        <v>66</v>
      </c>
      <c r="D111" s="2" t="s">
        <v>108</v>
      </c>
      <c r="E111" s="2" t="s">
        <v>17</v>
      </c>
      <c r="F111" s="3" t="s">
        <v>197</v>
      </c>
      <c r="G111" s="7">
        <v>861.17</v>
      </c>
    </row>
    <row r="112" spans="1:7" x14ac:dyDescent="0.25">
      <c r="A112" s="1">
        <v>46216.667500000003</v>
      </c>
      <c r="B112" s="2" t="s">
        <v>224</v>
      </c>
      <c r="C112" s="2" t="s">
        <v>66</v>
      </c>
      <c r="D112" s="2" t="s">
        <v>108</v>
      </c>
      <c r="E112" s="2" t="s">
        <v>17</v>
      </c>
      <c r="F112" s="3" t="s">
        <v>197</v>
      </c>
      <c r="G112" s="7">
        <v>996.22</v>
      </c>
    </row>
    <row r="113" spans="1:7" x14ac:dyDescent="0.25">
      <c r="A113" s="1">
        <v>46219.800590277999</v>
      </c>
      <c r="B113" s="2" t="s">
        <v>225</v>
      </c>
      <c r="C113" s="2" t="s">
        <v>66</v>
      </c>
      <c r="D113" s="2" t="s">
        <v>108</v>
      </c>
      <c r="E113" s="2" t="s">
        <v>11</v>
      </c>
      <c r="F113" s="3" t="s">
        <v>216</v>
      </c>
      <c r="G113" s="7">
        <v>-200</v>
      </c>
    </row>
    <row r="114" spans="1:7" x14ac:dyDescent="0.25">
      <c r="A114" s="1"/>
      <c r="B114" s="2"/>
      <c r="C114" s="2"/>
      <c r="D114" s="2"/>
      <c r="E114" s="50"/>
      <c r="F114" s="3"/>
      <c r="G114" s="7"/>
    </row>
    <row r="115" spans="1:7" x14ac:dyDescent="0.25">
      <c r="A115" s="1"/>
      <c r="B115" s="2"/>
      <c r="C115" s="2"/>
      <c r="D115" s="2"/>
      <c r="E115" s="50"/>
      <c r="F115" s="3"/>
      <c r="G115" s="7"/>
    </row>
    <row r="116" spans="1:7" x14ac:dyDescent="0.25">
      <c r="A116" s="1"/>
      <c r="B116" s="2"/>
      <c r="C116" s="2"/>
      <c r="D116" s="2"/>
      <c r="E116" s="50"/>
      <c r="F116" s="3"/>
      <c r="G116" s="7"/>
    </row>
    <row r="117" spans="1:7" x14ac:dyDescent="0.25">
      <c r="A117" s="1"/>
      <c r="B117" s="2"/>
      <c r="C117" s="2"/>
      <c r="D117" s="2"/>
      <c r="E117" s="50"/>
      <c r="F117" s="3"/>
      <c r="G117" s="7"/>
    </row>
    <row r="118" spans="1:7" x14ac:dyDescent="0.25">
      <c r="A118" s="1"/>
      <c r="B118" s="2"/>
      <c r="C118" s="2"/>
      <c r="D118" s="2"/>
      <c r="E118" s="50"/>
      <c r="F118" s="3"/>
      <c r="G118" s="7"/>
    </row>
    <row r="119" spans="1:7" x14ac:dyDescent="0.25">
      <c r="A119" s="1"/>
      <c r="B119" s="2"/>
      <c r="C119" s="2"/>
      <c r="D119" s="2"/>
      <c r="E119" s="50"/>
      <c r="F119" s="3"/>
      <c r="G119" s="7"/>
    </row>
    <row r="120" spans="1:7" x14ac:dyDescent="0.25">
      <c r="A120" s="1"/>
      <c r="B120" s="2"/>
      <c r="C120" s="2"/>
      <c r="D120" s="2"/>
      <c r="E120" s="50"/>
      <c r="F120" s="3"/>
      <c r="G120" s="7"/>
    </row>
    <row r="121" spans="1:7" x14ac:dyDescent="0.25">
      <c r="A121" s="1"/>
      <c r="B121" s="2"/>
      <c r="C121" s="2"/>
      <c r="D121" s="2"/>
      <c r="E121" s="50"/>
      <c r="F121" s="3"/>
      <c r="G121" s="7"/>
    </row>
    <row r="122" spans="1:7" x14ac:dyDescent="0.25">
      <c r="A122" s="1"/>
      <c r="B122" s="2"/>
      <c r="C122" s="2"/>
      <c r="D122" s="2"/>
      <c r="E122" s="50"/>
      <c r="F122" s="3"/>
      <c r="G122" s="7"/>
    </row>
    <row r="123" spans="1:7" x14ac:dyDescent="0.25">
      <c r="A123" s="1"/>
      <c r="B123" s="2"/>
      <c r="C123" s="2"/>
      <c r="D123" s="2"/>
      <c r="E123" s="50"/>
      <c r="F123" s="3"/>
      <c r="G123" s="7"/>
    </row>
    <row r="124" spans="1:7" x14ac:dyDescent="0.25">
      <c r="A124" s="1"/>
      <c r="B124" s="2"/>
      <c r="C124" s="2"/>
      <c r="D124" s="2"/>
      <c r="E124" s="50"/>
      <c r="F124" s="3"/>
      <c r="G124" s="7"/>
    </row>
    <row r="125" spans="1:7" x14ac:dyDescent="0.25">
      <c r="A125" s="1"/>
      <c r="B125" s="2"/>
      <c r="C125" s="2"/>
      <c r="D125" s="2"/>
      <c r="E125" s="50"/>
      <c r="F125" s="3"/>
      <c r="G125" s="7"/>
    </row>
    <row r="126" spans="1:7" x14ac:dyDescent="0.25">
      <c r="A126" s="1"/>
      <c r="B126" s="2"/>
      <c r="C126" s="2"/>
      <c r="D126" s="2"/>
      <c r="E126" s="50"/>
      <c r="F126" s="3"/>
      <c r="G126" s="7"/>
    </row>
    <row r="127" spans="1:7" x14ac:dyDescent="0.25">
      <c r="A127" s="1"/>
      <c r="B127" s="2"/>
      <c r="C127" s="2"/>
      <c r="D127" s="2"/>
      <c r="E127" s="50"/>
      <c r="F127" s="3"/>
      <c r="G127" s="7"/>
    </row>
    <row r="128" spans="1:7" x14ac:dyDescent="0.25">
      <c r="A128" s="1"/>
      <c r="B128" s="2"/>
      <c r="C128" s="2"/>
      <c r="D128" s="2"/>
      <c r="E128" s="2"/>
      <c r="F128" s="3"/>
      <c r="G128" s="7"/>
    </row>
    <row r="129" spans="1:7" x14ac:dyDescent="0.25">
      <c r="A129" s="1"/>
      <c r="B129" s="2"/>
      <c r="C129" s="2"/>
      <c r="D129" s="2"/>
      <c r="E129" s="2"/>
      <c r="F129" s="3"/>
      <c r="G129" s="7"/>
    </row>
    <row r="130" spans="1:7" x14ac:dyDescent="0.25">
      <c r="A130" s="1"/>
      <c r="B130" s="2"/>
      <c r="C130" s="2"/>
      <c r="D130" s="2"/>
      <c r="E130" s="2"/>
      <c r="F130" s="3"/>
      <c r="G130" s="7"/>
    </row>
    <row r="131" spans="1:7" x14ac:dyDescent="0.25">
      <c r="A131" s="1"/>
      <c r="B131" s="2"/>
      <c r="C131" s="2"/>
      <c r="D131" s="2"/>
      <c r="E131" s="2"/>
      <c r="F131" s="3"/>
      <c r="G131" s="7"/>
    </row>
    <row r="132" spans="1:7" x14ac:dyDescent="0.25">
      <c r="A132" s="1"/>
      <c r="B132" s="2"/>
      <c r="C132" s="2"/>
      <c r="D132" s="2"/>
      <c r="E132" s="2"/>
      <c r="F132" s="3"/>
      <c r="G132" s="7"/>
    </row>
    <row r="133" spans="1:7" x14ac:dyDescent="0.25">
      <c r="A133" s="1"/>
      <c r="B133" s="2"/>
      <c r="C133" s="2"/>
      <c r="D133" s="2"/>
      <c r="E133" s="2"/>
      <c r="F133" s="3"/>
      <c r="G133" s="7"/>
    </row>
    <row r="134" spans="1:7" x14ac:dyDescent="0.25">
      <c r="A134" s="1"/>
      <c r="B134" s="2"/>
      <c r="C134" s="2"/>
      <c r="D134" s="2"/>
      <c r="E134" s="2"/>
      <c r="F134" s="3"/>
      <c r="G134" s="7"/>
    </row>
    <row r="135" spans="1:7" x14ac:dyDescent="0.25">
      <c r="A135" s="1"/>
      <c r="B135" s="2"/>
      <c r="C135" s="2"/>
      <c r="D135" s="2"/>
      <c r="E135" s="2"/>
      <c r="F135" s="3"/>
      <c r="G135" s="7"/>
    </row>
    <row r="136" spans="1:7" x14ac:dyDescent="0.25">
      <c r="A136" s="1"/>
      <c r="B136" s="2"/>
      <c r="C136" s="2"/>
      <c r="D136" s="2"/>
      <c r="E136" s="2"/>
      <c r="F136" s="3"/>
      <c r="G136" s="7"/>
    </row>
    <row r="137" spans="1:7" x14ac:dyDescent="0.25">
      <c r="A137" s="1"/>
      <c r="B137" s="2"/>
      <c r="C137" s="2"/>
      <c r="D137" s="2"/>
      <c r="E137" s="2"/>
      <c r="F137" s="3"/>
      <c r="G137" s="7"/>
    </row>
    <row r="138" spans="1:7" x14ac:dyDescent="0.25">
      <c r="A138" s="1"/>
      <c r="B138" s="2"/>
      <c r="C138" s="2"/>
      <c r="D138" s="2"/>
      <c r="E138" s="2"/>
      <c r="F138" s="3"/>
      <c r="G138" s="7"/>
    </row>
    <row r="139" spans="1:7" x14ac:dyDescent="0.25">
      <c r="A139" s="1"/>
      <c r="B139" s="2"/>
      <c r="C139" s="2"/>
      <c r="D139" s="2"/>
      <c r="E139" s="2"/>
      <c r="F139" s="3"/>
      <c r="G139" s="7"/>
    </row>
    <row r="140" spans="1:7" x14ac:dyDescent="0.25">
      <c r="A140" s="1"/>
      <c r="B140" s="2"/>
      <c r="C140" s="2"/>
      <c r="D140" s="2"/>
      <c r="E140" s="2"/>
      <c r="F140" s="3"/>
      <c r="G140" s="7"/>
    </row>
    <row r="141" spans="1:7" x14ac:dyDescent="0.25">
      <c r="A141" s="1"/>
      <c r="B141" s="2"/>
      <c r="C141" s="2"/>
      <c r="D141" s="2"/>
      <c r="E141" s="2"/>
      <c r="F141" s="3"/>
      <c r="G141" s="7"/>
    </row>
    <row r="142" spans="1:7" x14ac:dyDescent="0.25">
      <c r="A142" s="1"/>
      <c r="B142" s="2"/>
      <c r="C142" s="2"/>
      <c r="D142" s="2"/>
      <c r="E142" s="2"/>
      <c r="F142" s="3"/>
      <c r="G142" s="7"/>
    </row>
    <row r="143" spans="1:7" x14ac:dyDescent="0.25">
      <c r="A143" s="1"/>
      <c r="B143" s="2"/>
      <c r="C143" s="2"/>
      <c r="D143" s="2"/>
      <c r="E143" s="2"/>
      <c r="F143" s="3"/>
      <c r="G143" s="7"/>
    </row>
    <row r="144" spans="1:7" x14ac:dyDescent="0.25">
      <c r="A144" s="1"/>
      <c r="B144" s="2"/>
      <c r="C144" s="2"/>
      <c r="D144" s="2"/>
      <c r="E144" s="2"/>
      <c r="F144" s="3"/>
      <c r="G144" s="7"/>
    </row>
    <row r="145" spans="1:7" x14ac:dyDescent="0.25">
      <c r="A145" s="1"/>
      <c r="B145" s="2"/>
      <c r="C145" s="2"/>
      <c r="D145" s="2"/>
      <c r="E145" s="2"/>
      <c r="F145" s="3"/>
      <c r="G145" s="7"/>
    </row>
    <row r="146" spans="1:7" x14ac:dyDescent="0.25">
      <c r="A146" s="1"/>
      <c r="B146" s="2"/>
      <c r="C146" s="2"/>
      <c r="D146" s="2"/>
      <c r="E146" s="2"/>
      <c r="F146" s="3"/>
      <c r="G146" s="7"/>
    </row>
    <row r="147" spans="1:7" x14ac:dyDescent="0.25">
      <c r="A147" s="1"/>
      <c r="B147" s="2"/>
      <c r="C147" s="2"/>
      <c r="D147" s="2"/>
      <c r="E147" s="2"/>
      <c r="F147" s="3"/>
      <c r="G147" s="7"/>
    </row>
    <row r="148" spans="1:7" x14ac:dyDescent="0.25">
      <c r="A148" s="1"/>
      <c r="B148" s="2"/>
      <c r="C148" s="2"/>
      <c r="D148" s="2"/>
      <c r="E148" s="2"/>
      <c r="F148" s="3"/>
      <c r="G148" s="7"/>
    </row>
    <row r="149" spans="1:7" x14ac:dyDescent="0.25">
      <c r="A149" s="1"/>
      <c r="B149" s="2"/>
      <c r="C149" s="2"/>
      <c r="D149" s="2"/>
      <c r="E149" s="2"/>
      <c r="F149" s="3"/>
      <c r="G149" s="7"/>
    </row>
    <row r="150" spans="1:7" x14ac:dyDescent="0.25">
      <c r="A150" s="1"/>
      <c r="B150" s="2"/>
      <c r="C150" s="2"/>
      <c r="D150" s="2"/>
      <c r="E150" s="2"/>
      <c r="F150" s="3"/>
      <c r="G150" s="7"/>
    </row>
    <row r="151" spans="1:7" x14ac:dyDescent="0.25">
      <c r="A151" s="1"/>
      <c r="B151" s="2"/>
      <c r="C151" s="2"/>
      <c r="D151" s="2"/>
      <c r="E151" s="2"/>
      <c r="F151" s="3"/>
      <c r="G151" s="7"/>
    </row>
    <row r="152" spans="1:7" x14ac:dyDescent="0.25">
      <c r="A152" s="1"/>
      <c r="B152" s="2"/>
      <c r="C152" s="2"/>
      <c r="D152" s="2"/>
      <c r="E152" s="2"/>
      <c r="F152" s="3"/>
      <c r="G152" s="7"/>
    </row>
    <row r="153" spans="1:7" x14ac:dyDescent="0.25">
      <c r="A153" s="1"/>
      <c r="B153" s="2"/>
      <c r="C153" s="2"/>
      <c r="D153" s="2"/>
      <c r="E153" s="2"/>
      <c r="F153" s="3"/>
      <c r="G153" s="7"/>
    </row>
    <row r="154" spans="1:7" x14ac:dyDescent="0.25">
      <c r="A154" s="1"/>
      <c r="B154" s="2"/>
      <c r="C154" s="2"/>
      <c r="D154" s="2"/>
      <c r="E154" s="2"/>
      <c r="F154" s="3"/>
      <c r="G154" s="7"/>
    </row>
    <row r="155" spans="1:7" x14ac:dyDescent="0.25">
      <c r="A155" s="1"/>
      <c r="B155" s="2"/>
      <c r="C155" s="2"/>
      <c r="D155" s="2"/>
      <c r="E155" s="2"/>
      <c r="F155" s="3"/>
      <c r="G155" s="7"/>
    </row>
    <row r="156" spans="1:7" x14ac:dyDescent="0.25">
      <c r="A156" s="1"/>
      <c r="B156" s="2"/>
      <c r="C156" s="2"/>
      <c r="D156" s="2"/>
      <c r="E156" s="2"/>
      <c r="F156" s="3"/>
      <c r="G156" s="7"/>
    </row>
    <row r="157" spans="1:7" x14ac:dyDescent="0.25">
      <c r="A157" s="1"/>
      <c r="B157" s="2"/>
      <c r="C157" s="2"/>
      <c r="D157" s="2"/>
      <c r="E157" s="2"/>
      <c r="F157" s="3"/>
      <c r="G157" s="7"/>
    </row>
    <row r="158" spans="1:7" x14ac:dyDescent="0.25">
      <c r="A158" s="1"/>
      <c r="B158" s="2"/>
      <c r="C158" s="2"/>
      <c r="D158" s="2"/>
      <c r="E158" s="2"/>
      <c r="F158" s="3"/>
      <c r="G158" s="7"/>
    </row>
    <row r="159" spans="1:7" x14ac:dyDescent="0.25">
      <c r="A159" s="1"/>
      <c r="B159" s="2"/>
      <c r="C159" s="2"/>
      <c r="D159" s="2"/>
      <c r="E159" s="2"/>
      <c r="F159" s="3"/>
      <c r="G159" s="7"/>
    </row>
    <row r="160" spans="1:7" x14ac:dyDescent="0.25">
      <c r="A160" s="1"/>
      <c r="B160" s="2"/>
      <c r="C160" s="2"/>
      <c r="D160" s="2"/>
      <c r="E160" s="2"/>
      <c r="F160" s="3"/>
      <c r="G160" s="7"/>
    </row>
    <row r="161" spans="1:7" x14ac:dyDescent="0.25">
      <c r="A161" s="1"/>
      <c r="B161" s="2"/>
      <c r="C161" s="2"/>
      <c r="D161" s="2"/>
      <c r="E161" s="2"/>
      <c r="F161" s="3"/>
      <c r="G161" s="7"/>
    </row>
    <row r="162" spans="1:7" x14ac:dyDescent="0.25">
      <c r="A162" s="1"/>
      <c r="B162" s="2"/>
      <c r="C162" s="2"/>
      <c r="D162" s="2"/>
      <c r="E162" s="2"/>
      <c r="F162" s="3"/>
      <c r="G162" s="7"/>
    </row>
    <row r="163" spans="1:7" x14ac:dyDescent="0.25">
      <c r="A163" s="1"/>
      <c r="B163" s="2"/>
      <c r="C163" s="2"/>
      <c r="D163" s="2"/>
      <c r="E163" s="2"/>
      <c r="F163" s="3"/>
      <c r="G163" s="7"/>
    </row>
    <row r="164" spans="1:7" x14ac:dyDescent="0.25">
      <c r="A164" s="1"/>
      <c r="B164" s="2"/>
      <c r="C164" s="2"/>
      <c r="D164" s="2"/>
      <c r="E164" s="2"/>
      <c r="F164" s="3"/>
      <c r="G164" s="7"/>
    </row>
    <row r="165" spans="1:7" x14ac:dyDescent="0.25">
      <c r="A165" s="1"/>
      <c r="B165" s="2"/>
      <c r="C165" s="2"/>
      <c r="D165" s="2"/>
      <c r="E165" s="2"/>
      <c r="F165" s="3"/>
      <c r="G165" s="7"/>
    </row>
    <row r="166" spans="1:7" x14ac:dyDescent="0.25">
      <c r="A166" s="1"/>
      <c r="B166" s="2"/>
      <c r="C166" s="2"/>
      <c r="D166" s="2"/>
      <c r="E166" s="2"/>
      <c r="F166" s="3"/>
      <c r="G166" s="7"/>
    </row>
    <row r="167" spans="1:7" x14ac:dyDescent="0.25">
      <c r="A167" s="1"/>
      <c r="B167" s="2"/>
      <c r="C167" s="2"/>
      <c r="D167" s="2"/>
      <c r="E167" s="2"/>
      <c r="F167" s="3"/>
      <c r="G167" s="7"/>
    </row>
    <row r="168" spans="1:7" x14ac:dyDescent="0.25">
      <c r="A168" s="1"/>
      <c r="B168" s="2"/>
      <c r="C168" s="2"/>
      <c r="D168" s="2"/>
      <c r="E168" s="2"/>
      <c r="F168" s="3"/>
      <c r="G168" s="7"/>
    </row>
    <row r="169" spans="1:7" x14ac:dyDescent="0.25">
      <c r="A169" s="1"/>
      <c r="B169" s="2"/>
      <c r="C169" s="2"/>
      <c r="D169" s="2"/>
      <c r="E169" s="2"/>
      <c r="F169" s="3"/>
      <c r="G169" s="7"/>
    </row>
    <row r="170" spans="1:7" x14ac:dyDescent="0.25">
      <c r="A170" s="1"/>
      <c r="B170" s="2"/>
      <c r="C170" s="2"/>
      <c r="D170" s="2"/>
      <c r="E170" s="2"/>
      <c r="F170" s="3"/>
      <c r="G170" s="7"/>
    </row>
    <row r="171" spans="1:7" x14ac:dyDescent="0.25">
      <c r="A171" s="1"/>
      <c r="B171" s="2"/>
      <c r="C171" s="2"/>
      <c r="D171" s="2"/>
      <c r="E171" s="2"/>
      <c r="F171" s="3"/>
      <c r="G171" s="7"/>
    </row>
    <row r="172" spans="1:7" x14ac:dyDescent="0.25">
      <c r="A172" s="1"/>
      <c r="B172" s="2"/>
      <c r="C172" s="2"/>
      <c r="D172" s="2"/>
      <c r="E172" s="2"/>
      <c r="F172" s="3"/>
      <c r="G172" s="7"/>
    </row>
    <row r="173" spans="1:7" x14ac:dyDescent="0.25">
      <c r="A173" s="1"/>
      <c r="B173" s="2"/>
      <c r="C173" s="2"/>
      <c r="D173" s="2"/>
      <c r="E173" s="2"/>
      <c r="F173" s="3"/>
      <c r="G173" s="7"/>
    </row>
    <row r="174" spans="1:7" x14ac:dyDescent="0.25">
      <c r="A174" s="1"/>
      <c r="B174" s="2"/>
      <c r="C174" s="2"/>
      <c r="D174" s="2"/>
      <c r="E174" s="2"/>
      <c r="F174" s="3"/>
      <c r="G174" s="7"/>
    </row>
    <row r="175" spans="1:7" x14ac:dyDescent="0.25">
      <c r="A175" s="1"/>
      <c r="B175" s="2"/>
      <c r="C175" s="2"/>
      <c r="D175" s="2"/>
      <c r="E175" s="2"/>
      <c r="F175" s="3"/>
      <c r="G175" s="7"/>
    </row>
    <row r="176" spans="1:7" x14ac:dyDescent="0.25">
      <c r="A176" s="1"/>
      <c r="B176" s="2"/>
      <c r="C176" s="2"/>
      <c r="D176" s="2"/>
      <c r="E176" s="2"/>
      <c r="F176" s="3"/>
      <c r="G176" s="7"/>
    </row>
    <row r="177" spans="1:7" x14ac:dyDescent="0.25">
      <c r="A177" s="1"/>
      <c r="B177" s="2"/>
      <c r="C177" s="2"/>
      <c r="D177" s="2"/>
      <c r="E177" s="2"/>
      <c r="F177" s="3"/>
      <c r="G177" s="7"/>
    </row>
    <row r="178" spans="1:7" x14ac:dyDescent="0.25">
      <c r="A178" s="1"/>
      <c r="B178" s="2"/>
      <c r="C178" s="2"/>
      <c r="D178" s="2"/>
      <c r="E178" s="2"/>
      <c r="F178" s="3"/>
      <c r="G178" s="7"/>
    </row>
    <row r="179" spans="1:7" x14ac:dyDescent="0.25">
      <c r="A179" s="1"/>
      <c r="B179" s="2"/>
      <c r="C179" s="2"/>
      <c r="D179" s="2"/>
      <c r="E179" s="2"/>
      <c r="F179" s="3"/>
      <c r="G179" s="7"/>
    </row>
    <row r="180" spans="1:7" x14ac:dyDescent="0.25">
      <c r="A180" s="1"/>
      <c r="B180" s="2"/>
      <c r="C180" s="2"/>
      <c r="D180" s="2"/>
      <c r="E180" s="2"/>
      <c r="F180" s="3"/>
      <c r="G180" s="7"/>
    </row>
    <row r="181" spans="1:7" x14ac:dyDescent="0.25">
      <c r="A181" s="1"/>
      <c r="B181" s="2"/>
      <c r="C181" s="2"/>
      <c r="D181" s="2"/>
      <c r="E181" s="2"/>
      <c r="F181" s="3"/>
      <c r="G181" s="7"/>
    </row>
    <row r="182" spans="1:7" x14ac:dyDescent="0.25">
      <c r="A182" s="1"/>
      <c r="B182" s="2"/>
      <c r="C182" s="2"/>
      <c r="D182" s="2"/>
      <c r="E182" s="2"/>
      <c r="F182" s="3"/>
      <c r="G182" s="7"/>
    </row>
    <row r="183" spans="1:7" x14ac:dyDescent="0.25">
      <c r="A183" s="1"/>
      <c r="B183" s="2"/>
      <c r="C183" s="2"/>
      <c r="D183" s="2"/>
      <c r="E183" s="2"/>
      <c r="F183" s="3"/>
      <c r="G183" s="7"/>
    </row>
    <row r="184" spans="1:7" x14ac:dyDescent="0.25">
      <c r="A184" s="1"/>
      <c r="B184" s="2"/>
      <c r="C184" s="2"/>
      <c r="D184" s="2"/>
      <c r="E184" s="2"/>
      <c r="F184" s="3"/>
      <c r="G184" s="7"/>
    </row>
    <row r="185" spans="1:7" x14ac:dyDescent="0.25">
      <c r="A185" s="1"/>
      <c r="B185" s="2"/>
      <c r="C185" s="2"/>
      <c r="D185" s="2"/>
      <c r="E185" s="2"/>
      <c r="F185" s="3"/>
      <c r="G185" s="7"/>
    </row>
    <row r="186" spans="1:7" x14ac:dyDescent="0.25">
      <c r="A186" s="1"/>
      <c r="B186" s="2"/>
      <c r="C186" s="2"/>
      <c r="D186" s="2"/>
      <c r="E186" s="2"/>
      <c r="F186" s="3"/>
      <c r="G186" s="7"/>
    </row>
    <row r="187" spans="1:7" x14ac:dyDescent="0.25">
      <c r="A187" s="1"/>
      <c r="B187" s="2"/>
      <c r="C187" s="2"/>
      <c r="D187" s="2"/>
      <c r="E187" s="2"/>
      <c r="F187" s="3"/>
      <c r="G187" s="7"/>
    </row>
    <row r="188" spans="1:7" x14ac:dyDescent="0.25">
      <c r="A188" s="1"/>
      <c r="B188" s="2"/>
      <c r="C188" s="2"/>
      <c r="D188" s="2"/>
      <c r="E188" s="2"/>
      <c r="F188" s="3"/>
      <c r="G188" s="7"/>
    </row>
    <row r="189" spans="1:7" x14ac:dyDescent="0.25">
      <c r="A189" s="1"/>
      <c r="B189" s="2"/>
      <c r="C189" s="2"/>
      <c r="D189" s="2"/>
      <c r="E189" s="2"/>
      <c r="F189" s="3"/>
      <c r="G189" s="7"/>
    </row>
    <row r="190" spans="1:7" x14ac:dyDescent="0.25">
      <c r="A190" s="1"/>
      <c r="B190" s="2"/>
      <c r="C190" s="2"/>
      <c r="D190" s="2"/>
      <c r="E190" s="2"/>
      <c r="F190" s="3"/>
      <c r="G190" s="7"/>
    </row>
    <row r="191" spans="1:7" x14ac:dyDescent="0.25">
      <c r="A191" s="1"/>
      <c r="B191" s="2"/>
      <c r="C191" s="2"/>
      <c r="D191" s="2"/>
      <c r="E191" s="2"/>
      <c r="F191" s="3"/>
      <c r="G191" s="7"/>
    </row>
    <row r="192" spans="1:7" x14ac:dyDescent="0.25">
      <c r="A192" s="1"/>
      <c r="B192" s="2"/>
      <c r="C192" s="2"/>
      <c r="D192" s="2"/>
      <c r="E192" s="2"/>
      <c r="F192" s="3"/>
      <c r="G192" s="7"/>
    </row>
    <row r="193" spans="1:7" x14ac:dyDescent="0.25">
      <c r="A193" s="1"/>
      <c r="B193" s="2"/>
      <c r="C193" s="2"/>
      <c r="D193" s="2"/>
      <c r="E193" s="2"/>
      <c r="F193" s="3"/>
      <c r="G193" s="7"/>
    </row>
    <row r="194" spans="1:7" x14ac:dyDescent="0.25">
      <c r="A194" s="1"/>
      <c r="B194" s="2"/>
      <c r="C194" s="2"/>
      <c r="D194" s="2"/>
      <c r="E194" s="2"/>
      <c r="F194" s="3"/>
      <c r="G194" s="7"/>
    </row>
    <row r="195" spans="1:7" x14ac:dyDescent="0.25">
      <c r="A195" s="1"/>
      <c r="B195" s="2"/>
      <c r="C195" s="2"/>
      <c r="D195" s="2"/>
      <c r="E195" s="2"/>
      <c r="F195" s="3"/>
      <c r="G195" s="7"/>
    </row>
    <row r="196" spans="1:7" x14ac:dyDescent="0.25">
      <c r="A196" s="1"/>
      <c r="B196" s="2"/>
      <c r="C196" s="2"/>
      <c r="D196" s="2"/>
      <c r="E196" s="2"/>
      <c r="F196" s="3"/>
      <c r="G196" s="7"/>
    </row>
    <row r="197" spans="1:7" x14ac:dyDescent="0.25">
      <c r="A197" s="1"/>
      <c r="B197" s="2"/>
      <c r="C197" s="2"/>
      <c r="D197" s="2"/>
      <c r="E197" s="2"/>
      <c r="F197" s="3"/>
      <c r="G197" s="7"/>
    </row>
    <row r="198" spans="1:7" x14ac:dyDescent="0.25">
      <c r="A198" s="1"/>
      <c r="B198" s="2"/>
      <c r="C198" s="2"/>
      <c r="D198" s="2"/>
      <c r="E198" s="2"/>
      <c r="F198" s="3"/>
      <c r="G198" s="7"/>
    </row>
    <row r="199" spans="1:7" x14ac:dyDescent="0.25">
      <c r="A199" s="1"/>
      <c r="B199" s="2"/>
      <c r="C199" s="2"/>
      <c r="D199" s="2"/>
      <c r="E199" s="2"/>
      <c r="F199" s="3"/>
      <c r="G199" s="7"/>
    </row>
    <row r="200" spans="1:7" x14ac:dyDescent="0.25">
      <c r="A200" s="1"/>
      <c r="B200" s="2"/>
      <c r="C200" s="2"/>
      <c r="D200" s="2"/>
      <c r="E200" s="2"/>
      <c r="F200" s="3"/>
      <c r="G200" s="7"/>
    </row>
    <row r="201" spans="1:7" x14ac:dyDescent="0.25">
      <c r="A201" s="1"/>
      <c r="B201" s="2"/>
      <c r="C201" s="2"/>
      <c r="D201" s="2"/>
      <c r="E201" s="2"/>
      <c r="F201" s="3"/>
      <c r="G201" s="7"/>
    </row>
    <row r="202" spans="1:7" x14ac:dyDescent="0.25">
      <c r="A202" s="1"/>
      <c r="B202" s="2"/>
      <c r="C202" s="2"/>
      <c r="D202" s="2"/>
      <c r="E202" s="2"/>
      <c r="F202" s="3"/>
      <c r="G202" s="7"/>
    </row>
    <row r="203" spans="1:7" x14ac:dyDescent="0.25">
      <c r="A203" s="1"/>
      <c r="B203" s="2"/>
      <c r="C203" s="2"/>
      <c r="D203" s="2"/>
      <c r="E203" s="2"/>
      <c r="F203" s="3"/>
      <c r="G203" s="7"/>
    </row>
    <row r="204" spans="1:7" x14ac:dyDescent="0.25">
      <c r="A204" s="51"/>
      <c r="B204" s="50"/>
      <c r="C204" s="50"/>
      <c r="D204" s="50"/>
      <c r="E204" s="50"/>
      <c r="F204" s="50"/>
      <c r="G204" s="47"/>
    </row>
    <row r="205" spans="1:7" x14ac:dyDescent="0.25">
      <c r="A205" s="51"/>
      <c r="B205" s="50"/>
      <c r="C205" s="50"/>
      <c r="D205" s="50"/>
      <c r="E205" s="50"/>
      <c r="F205" s="50"/>
      <c r="G205" s="47"/>
    </row>
    <row r="206" spans="1:7" x14ac:dyDescent="0.25">
      <c r="A206" s="51"/>
      <c r="B206" s="50"/>
      <c r="C206" s="50"/>
      <c r="D206" s="50"/>
      <c r="E206" s="50"/>
      <c r="F206" s="50"/>
      <c r="G206" s="47"/>
    </row>
    <row r="207" spans="1:7" x14ac:dyDescent="0.25">
      <c r="A207" s="1"/>
      <c r="B207" s="2"/>
      <c r="C207" s="2"/>
      <c r="D207" s="2"/>
      <c r="E207" s="2"/>
      <c r="F207" s="3"/>
      <c r="G207" s="7"/>
    </row>
    <row r="208" spans="1:7" x14ac:dyDescent="0.25">
      <c r="A208" s="1"/>
      <c r="B208" s="2"/>
      <c r="C208" s="2"/>
      <c r="D208" s="2"/>
      <c r="E208" s="2"/>
      <c r="F208" s="3"/>
      <c r="G208" s="7"/>
    </row>
    <row r="209" spans="1:7" x14ac:dyDescent="0.25">
      <c r="A209" s="1"/>
      <c r="B209" s="2"/>
      <c r="C209" s="2"/>
      <c r="D209" s="2"/>
      <c r="E209" s="2"/>
      <c r="F209" s="3"/>
      <c r="G209" s="7"/>
    </row>
    <row r="210" spans="1:7" x14ac:dyDescent="0.25">
      <c r="A210" s="1"/>
      <c r="B210" s="2"/>
      <c r="C210" s="2"/>
      <c r="D210" s="2"/>
      <c r="E210" s="2"/>
      <c r="F210" s="3"/>
      <c r="G210" s="7"/>
    </row>
    <row r="211" spans="1:7" x14ac:dyDescent="0.25">
      <c r="A211" s="1"/>
      <c r="B211" s="2"/>
      <c r="C211" s="2"/>
      <c r="D211" s="2"/>
      <c r="E211" s="2"/>
      <c r="F211" s="3"/>
      <c r="G211" s="7"/>
    </row>
    <row r="212" spans="1:7" x14ac:dyDescent="0.25">
      <c r="A212" s="1"/>
      <c r="B212" s="2"/>
      <c r="C212" s="2"/>
      <c r="D212" s="2"/>
      <c r="E212" s="2"/>
      <c r="F212" s="3"/>
      <c r="G212" s="7"/>
    </row>
    <row r="213" spans="1:7" x14ac:dyDescent="0.25">
      <c r="A213" s="1"/>
      <c r="B213" s="2"/>
      <c r="C213" s="2"/>
      <c r="D213" s="2"/>
      <c r="E213" s="2"/>
      <c r="F213" s="3"/>
      <c r="G213" s="7"/>
    </row>
    <row r="214" spans="1:7" x14ac:dyDescent="0.25">
      <c r="A214" s="1"/>
      <c r="B214" s="2"/>
      <c r="C214" s="2"/>
      <c r="D214" s="2"/>
      <c r="E214" s="2"/>
      <c r="F214" s="3"/>
      <c r="G214" s="7"/>
    </row>
    <row r="215" spans="1:7" x14ac:dyDescent="0.25">
      <c r="A215" s="1"/>
      <c r="B215" s="2"/>
      <c r="C215" s="2"/>
      <c r="D215" s="2"/>
      <c r="E215" s="2"/>
      <c r="F215" s="3"/>
      <c r="G215" s="7"/>
    </row>
    <row r="216" spans="1:7" x14ac:dyDescent="0.25">
      <c r="A216" s="1"/>
      <c r="B216" s="2"/>
      <c r="C216" s="2"/>
      <c r="D216" s="2"/>
      <c r="E216" s="2"/>
      <c r="F216" s="3"/>
      <c r="G216" s="7"/>
    </row>
    <row r="217" spans="1:7" x14ac:dyDescent="0.25">
      <c r="A217" s="1"/>
      <c r="B217" s="2"/>
      <c r="C217" s="2"/>
      <c r="D217" s="2"/>
      <c r="E217" s="2"/>
      <c r="F217" s="3"/>
      <c r="G217" s="7"/>
    </row>
    <row r="218" spans="1:7" x14ac:dyDescent="0.25">
      <c r="A218" s="1"/>
      <c r="B218" s="2"/>
      <c r="C218" s="2"/>
      <c r="D218" s="2"/>
      <c r="E218" s="2"/>
      <c r="F218" s="3"/>
      <c r="G218" s="7"/>
    </row>
    <row r="219" spans="1:7" x14ac:dyDescent="0.25">
      <c r="A219" s="1"/>
      <c r="B219" s="2"/>
      <c r="C219" s="2"/>
      <c r="D219" s="2"/>
      <c r="E219" s="2"/>
      <c r="F219" s="3"/>
      <c r="G219" s="7"/>
    </row>
    <row r="220" spans="1:7" x14ac:dyDescent="0.25">
      <c r="A220" s="1"/>
      <c r="B220" s="2"/>
      <c r="C220" s="2"/>
      <c r="D220" s="2"/>
      <c r="E220" s="2"/>
      <c r="F220" s="3"/>
      <c r="G220" s="7"/>
    </row>
    <row r="221" spans="1:7" x14ac:dyDescent="0.25">
      <c r="A221" s="1"/>
      <c r="B221" s="2"/>
      <c r="C221" s="2"/>
      <c r="D221" s="2"/>
      <c r="E221" s="2"/>
      <c r="F221" s="3"/>
      <c r="G221" s="7"/>
    </row>
    <row r="222" spans="1:7" x14ac:dyDescent="0.25">
      <c r="A222" s="1"/>
      <c r="B222" s="2"/>
      <c r="C222" s="2"/>
      <c r="D222" s="2"/>
      <c r="E222" s="2"/>
      <c r="F222" s="3"/>
      <c r="G222" s="7"/>
    </row>
    <row r="223" spans="1:7" x14ac:dyDescent="0.25">
      <c r="A223" s="1"/>
      <c r="B223" s="2"/>
      <c r="C223" s="2"/>
      <c r="D223" s="2"/>
      <c r="E223" s="2"/>
      <c r="F223" s="3"/>
      <c r="G223" s="7"/>
    </row>
    <row r="224" spans="1:7" x14ac:dyDescent="0.25">
      <c r="A224" s="1"/>
      <c r="B224" s="2"/>
      <c r="C224" s="2"/>
      <c r="D224" s="2"/>
      <c r="E224" s="2"/>
      <c r="F224" s="3"/>
      <c r="G224" s="7"/>
    </row>
    <row r="225" spans="1:7" x14ac:dyDescent="0.25">
      <c r="A225" s="1"/>
      <c r="B225" s="2"/>
      <c r="C225" s="2"/>
      <c r="D225" s="2"/>
      <c r="E225" s="2"/>
      <c r="F225" s="3"/>
      <c r="G225" s="7"/>
    </row>
    <row r="226" spans="1:7" x14ac:dyDescent="0.25">
      <c r="A226" s="1"/>
      <c r="B226" s="2"/>
      <c r="C226" s="2"/>
      <c r="D226" s="2"/>
      <c r="E226" s="2"/>
      <c r="F226" s="3"/>
      <c r="G226" s="7"/>
    </row>
    <row r="227" spans="1:7" x14ac:dyDescent="0.25">
      <c r="A227" s="1"/>
      <c r="B227" s="2"/>
      <c r="C227" s="2"/>
      <c r="D227" s="2"/>
      <c r="E227" s="2"/>
      <c r="F227" s="3"/>
      <c r="G227" s="7"/>
    </row>
    <row r="228" spans="1:7" x14ac:dyDescent="0.25">
      <c r="A228" s="1"/>
      <c r="B228" s="2"/>
      <c r="C228" s="2"/>
      <c r="D228" s="2"/>
      <c r="E228" s="2"/>
      <c r="F228" s="3"/>
      <c r="G228" s="7"/>
    </row>
    <row r="229" spans="1:7" x14ac:dyDescent="0.25">
      <c r="A229" s="1"/>
      <c r="B229" s="2"/>
      <c r="C229" s="2"/>
      <c r="D229" s="2"/>
      <c r="E229" s="2"/>
      <c r="F229" s="3"/>
      <c r="G229" s="7"/>
    </row>
    <row r="230" spans="1:7" x14ac:dyDescent="0.25">
      <c r="A230" s="1"/>
      <c r="B230" s="2"/>
      <c r="C230" s="2"/>
      <c r="D230" s="2"/>
      <c r="E230" s="2"/>
      <c r="F230" s="3"/>
      <c r="G230" s="7"/>
    </row>
    <row r="231" spans="1:7" x14ac:dyDescent="0.25">
      <c r="A231" s="1"/>
      <c r="B231" s="2"/>
      <c r="C231" s="2"/>
      <c r="D231" s="2"/>
      <c r="E231" s="2"/>
      <c r="F231" s="3"/>
      <c r="G231" s="7"/>
    </row>
    <row r="232" spans="1:7" x14ac:dyDescent="0.25">
      <c r="A232" s="1"/>
      <c r="B232" s="2"/>
      <c r="C232" s="2"/>
      <c r="D232" s="2"/>
      <c r="E232" s="2"/>
      <c r="F232" s="3"/>
      <c r="G232" s="7"/>
    </row>
    <row r="233" spans="1:7" x14ac:dyDescent="0.25">
      <c r="A233" s="1"/>
      <c r="B233" s="2"/>
      <c r="C233" s="2"/>
      <c r="D233" s="2"/>
      <c r="E233" s="2"/>
      <c r="F233" s="3"/>
      <c r="G233" s="7"/>
    </row>
    <row r="234" spans="1:7" x14ac:dyDescent="0.25">
      <c r="A234" s="1"/>
      <c r="B234" s="2"/>
      <c r="C234" s="2"/>
      <c r="D234" s="2"/>
      <c r="E234" s="2"/>
      <c r="F234" s="3"/>
      <c r="G234" s="7"/>
    </row>
    <row r="235" spans="1:7" x14ac:dyDescent="0.25">
      <c r="A235" s="1"/>
      <c r="B235" s="2"/>
      <c r="C235" s="2"/>
      <c r="D235" s="2"/>
      <c r="E235" s="2"/>
      <c r="F235" s="3"/>
      <c r="G235" s="7"/>
    </row>
    <row r="236" spans="1:7" x14ac:dyDescent="0.25">
      <c r="A236" s="1"/>
      <c r="B236" s="2"/>
      <c r="C236" s="2"/>
      <c r="D236" s="2"/>
      <c r="E236" s="2"/>
      <c r="F236" s="3"/>
      <c r="G236" s="7"/>
    </row>
    <row r="237" spans="1:7" x14ac:dyDescent="0.25">
      <c r="A237" s="1"/>
      <c r="B237" s="2"/>
      <c r="C237" s="2"/>
      <c r="D237" s="2"/>
      <c r="E237" s="2"/>
      <c r="F237" s="3"/>
      <c r="G237" s="7"/>
    </row>
    <row r="238" spans="1:7" x14ac:dyDescent="0.25">
      <c r="A238" s="1"/>
      <c r="B238" s="2"/>
      <c r="C238" s="2"/>
      <c r="D238" s="2"/>
      <c r="E238" s="2"/>
      <c r="F238" s="3"/>
      <c r="G238" s="7"/>
    </row>
    <row r="239" spans="1:7" x14ac:dyDescent="0.25">
      <c r="A239" s="1"/>
      <c r="B239" s="2"/>
      <c r="C239" s="2"/>
      <c r="D239" s="2"/>
      <c r="E239" s="2"/>
      <c r="F239" s="3"/>
      <c r="G239" s="7"/>
    </row>
    <row r="240" spans="1:7" x14ac:dyDescent="0.25">
      <c r="A240" s="1"/>
      <c r="B240" s="2"/>
      <c r="C240" s="2"/>
      <c r="D240" s="2"/>
      <c r="E240" s="2"/>
      <c r="F240" s="3"/>
      <c r="G240" s="7"/>
    </row>
    <row r="241" spans="1:7" x14ac:dyDescent="0.25">
      <c r="A241" s="51"/>
      <c r="B241" s="50"/>
      <c r="C241" s="50"/>
      <c r="D241" s="50"/>
      <c r="E241" s="2"/>
      <c r="F241" s="50"/>
      <c r="G241" s="47"/>
    </row>
  </sheetData>
  <autoFilter ref="A1:G1" xr:uid="{3F91CC33-7EBA-45FD-8F4E-D9080930A77B}">
    <sortState xmlns:xlrd2="http://schemas.microsoft.com/office/spreadsheetml/2017/richdata2" ref="A2:G43">
      <sortCondition ref="E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1236-ABF3-4AD8-8217-FBC2A49CF87A}">
  <dimension ref="A1:J32"/>
  <sheetViews>
    <sheetView showGridLines="0" tabSelected="1" topLeftCell="A22" workbookViewId="0">
      <selection activeCell="H27" sqref="H27"/>
    </sheetView>
  </sheetViews>
  <sheetFormatPr defaultRowHeight="15" x14ac:dyDescent="0.25"/>
  <cols>
    <col min="3" max="3" width="12.140625" bestFit="1" customWidth="1"/>
    <col min="4" max="4" width="12.28515625" bestFit="1" customWidth="1"/>
    <col min="5" max="5" width="10.42578125" bestFit="1" customWidth="1"/>
    <col min="6" max="6" width="14.140625" bestFit="1" customWidth="1"/>
    <col min="7" max="7" width="14.7109375" bestFit="1" customWidth="1"/>
    <col min="8" max="8" width="12.5703125" bestFit="1" customWidth="1"/>
    <col min="9" max="9" width="9.140625" bestFit="1" customWidth="1"/>
    <col min="10" max="10" width="13.140625" bestFit="1" customWidth="1"/>
  </cols>
  <sheetData>
    <row r="1" spans="1:10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8.75" x14ac:dyDescent="0.3">
      <c r="A4" s="15"/>
      <c r="B4" s="15"/>
      <c r="C4" s="61" t="s">
        <v>26</v>
      </c>
      <c r="D4" s="61"/>
      <c r="E4" s="61"/>
      <c r="F4" s="61"/>
      <c r="G4" s="61"/>
      <c r="H4" s="15"/>
      <c r="J4" s="15"/>
    </row>
    <row r="5" spans="1:10" x14ac:dyDescent="0.25">
      <c r="A5" s="15"/>
      <c r="B5" s="15"/>
      <c r="C5" s="15"/>
      <c r="D5" s="15"/>
      <c r="E5" s="16"/>
      <c r="F5" s="15"/>
      <c r="G5" s="15"/>
      <c r="H5" s="15"/>
      <c r="I5" s="15"/>
      <c r="J5" s="15"/>
    </row>
    <row r="6" spans="1:10" ht="15.75" x14ac:dyDescent="0.25">
      <c r="A6" s="15"/>
      <c r="B6" s="62" t="s">
        <v>226</v>
      </c>
      <c r="C6" s="62"/>
      <c r="D6" s="62"/>
      <c r="E6" s="62"/>
      <c r="F6" s="62"/>
      <c r="G6" s="62"/>
      <c r="H6" s="15"/>
      <c r="I6" s="15"/>
      <c r="J6" s="15"/>
    </row>
    <row r="7" spans="1:10" x14ac:dyDescent="0.25">
      <c r="A7" s="15"/>
      <c r="B7" s="17" t="s">
        <v>27</v>
      </c>
      <c r="C7" s="18" t="s">
        <v>28</v>
      </c>
      <c r="D7" s="18" t="s">
        <v>29</v>
      </c>
      <c r="E7" s="18" t="s">
        <v>30</v>
      </c>
      <c r="F7" s="18" t="s">
        <v>31</v>
      </c>
      <c r="G7" s="19" t="s">
        <v>32</v>
      </c>
      <c r="H7" s="20" t="s">
        <v>33</v>
      </c>
      <c r="I7" s="15"/>
      <c r="J7" s="15"/>
    </row>
    <row r="8" spans="1:10" x14ac:dyDescent="0.25">
      <c r="A8" s="15"/>
      <c r="B8" s="21" t="s">
        <v>34</v>
      </c>
      <c r="C8" s="22">
        <v>0</v>
      </c>
      <c r="D8" s="22">
        <v>0</v>
      </c>
      <c r="E8" s="22">
        <v>0</v>
      </c>
      <c r="F8" s="22">
        <v>0</v>
      </c>
      <c r="G8" s="23">
        <f>C8+D8+E8-F8</f>
        <v>0</v>
      </c>
      <c r="H8" s="24">
        <f>+G8</f>
        <v>0</v>
      </c>
      <c r="I8" s="15"/>
      <c r="J8" s="15"/>
    </row>
    <row r="9" spans="1:10" x14ac:dyDescent="0.25">
      <c r="A9" s="15"/>
      <c r="B9" s="21" t="s">
        <v>35</v>
      </c>
      <c r="C9" s="22">
        <v>1600</v>
      </c>
      <c r="D9" s="22">
        <v>0</v>
      </c>
      <c r="E9" s="22">
        <v>-14</v>
      </c>
      <c r="F9" s="22">
        <v>286.95</v>
      </c>
      <c r="G9" s="23">
        <f t="shared" ref="G9:G24" si="0">C9+D9+E9-F9</f>
        <v>1299.05</v>
      </c>
      <c r="H9" s="24">
        <f>G9+H8</f>
        <v>1299.05</v>
      </c>
      <c r="I9" s="15"/>
      <c r="J9" s="15"/>
    </row>
    <row r="10" spans="1:10" x14ac:dyDescent="0.25">
      <c r="A10" s="15"/>
      <c r="B10" s="21" t="s">
        <v>36</v>
      </c>
      <c r="C10" s="22">
        <v>2664</v>
      </c>
      <c r="D10" s="22">
        <v>-27.35</v>
      </c>
      <c r="E10" s="22">
        <v>-21</v>
      </c>
      <c r="F10" s="22">
        <v>1238.9000000000001</v>
      </c>
      <c r="G10" s="23">
        <f t="shared" si="0"/>
        <v>1376.75</v>
      </c>
      <c r="H10" s="24">
        <f t="shared" ref="H10:H19" si="1">G10+H9</f>
        <v>2675.8</v>
      </c>
      <c r="I10" s="15"/>
      <c r="J10" s="15"/>
    </row>
    <row r="11" spans="1:10" x14ac:dyDescent="0.25">
      <c r="A11" s="15"/>
      <c r="B11" s="21" t="s">
        <v>37</v>
      </c>
      <c r="C11" s="22">
        <v>1475.39</v>
      </c>
      <c r="D11" s="22">
        <v>0</v>
      </c>
      <c r="E11" s="22">
        <v>-14</v>
      </c>
      <c r="F11" s="22">
        <v>2241.6999999999998</v>
      </c>
      <c r="G11" s="23">
        <f t="shared" si="0"/>
        <v>-780.30999999999972</v>
      </c>
      <c r="H11" s="24">
        <f t="shared" si="1"/>
        <v>1895.4900000000005</v>
      </c>
      <c r="I11" s="15"/>
      <c r="J11" s="15"/>
    </row>
    <row r="12" spans="1:10" x14ac:dyDescent="0.25">
      <c r="A12" s="15"/>
      <c r="B12" s="21" t="s">
        <v>38</v>
      </c>
      <c r="C12" s="22">
        <v>2908.02</v>
      </c>
      <c r="D12" s="22">
        <v>0</v>
      </c>
      <c r="E12" s="22">
        <v>-21</v>
      </c>
      <c r="F12" s="22">
        <v>1571.07</v>
      </c>
      <c r="G12" s="23">
        <f t="shared" si="0"/>
        <v>1315.95</v>
      </c>
      <c r="H12" s="24">
        <f t="shared" si="1"/>
        <v>3211.4400000000005</v>
      </c>
      <c r="I12" s="15"/>
      <c r="J12" s="15"/>
    </row>
    <row r="13" spans="1:10" x14ac:dyDescent="0.25">
      <c r="A13" s="15"/>
      <c r="B13" s="21" t="s">
        <v>39</v>
      </c>
      <c r="C13" s="22">
        <v>674.91</v>
      </c>
      <c r="D13" s="22">
        <v>0</v>
      </c>
      <c r="E13" s="22">
        <v>-14</v>
      </c>
      <c r="F13" s="22">
        <v>1551.44</v>
      </c>
      <c r="G13" s="23">
        <f t="shared" si="0"/>
        <v>-890.53000000000009</v>
      </c>
      <c r="H13" s="24">
        <f t="shared" si="1"/>
        <v>2320.9100000000003</v>
      </c>
      <c r="I13" s="15"/>
      <c r="J13" s="15"/>
    </row>
    <row r="14" spans="1:10" x14ac:dyDescent="0.25">
      <c r="A14" s="15"/>
      <c r="B14" s="21" t="s">
        <v>40</v>
      </c>
      <c r="C14" s="22">
        <v>3751.68</v>
      </c>
      <c r="D14" s="22">
        <v>0</v>
      </c>
      <c r="E14" s="22">
        <v>-28</v>
      </c>
      <c r="F14" s="22">
        <v>4394.13</v>
      </c>
      <c r="G14" s="23">
        <f>C14+D14+E14-F14</f>
        <v>-670.45000000000027</v>
      </c>
      <c r="H14" s="24">
        <f t="shared" si="1"/>
        <v>1650.46</v>
      </c>
      <c r="I14" s="15"/>
      <c r="J14" s="15"/>
    </row>
    <row r="15" spans="1:10" x14ac:dyDescent="0.25">
      <c r="A15" s="15"/>
      <c r="B15" s="21" t="s">
        <v>41</v>
      </c>
      <c r="C15" s="22">
        <v>1800</v>
      </c>
      <c r="D15" s="22">
        <v>0</v>
      </c>
      <c r="E15" s="22">
        <v>-14</v>
      </c>
      <c r="F15" s="22">
        <v>2799.7</v>
      </c>
      <c r="G15" s="23">
        <f t="shared" si="0"/>
        <v>-1013.6999999999998</v>
      </c>
      <c r="H15" s="24">
        <f t="shared" si="1"/>
        <v>636.76000000000022</v>
      </c>
      <c r="I15" s="15"/>
      <c r="J15" s="15"/>
    </row>
    <row r="16" spans="1:10" x14ac:dyDescent="0.25">
      <c r="A16" s="15"/>
      <c r="B16" s="21" t="s">
        <v>42</v>
      </c>
      <c r="C16" s="22">
        <v>1702</v>
      </c>
      <c r="D16" s="22">
        <v>-2</v>
      </c>
      <c r="E16" s="22">
        <v>-14</v>
      </c>
      <c r="F16" s="22">
        <v>1505.06</v>
      </c>
      <c r="G16" s="23">
        <f t="shared" si="0"/>
        <v>180.94000000000005</v>
      </c>
      <c r="H16" s="24">
        <f t="shared" si="1"/>
        <v>817.70000000000027</v>
      </c>
      <c r="I16" s="15"/>
      <c r="J16" s="15"/>
    </row>
    <row r="17" spans="1:10" x14ac:dyDescent="0.25">
      <c r="A17" s="15"/>
      <c r="B17" s="21" t="s">
        <v>43</v>
      </c>
      <c r="C17" s="22">
        <v>3614</v>
      </c>
      <c r="D17" s="22">
        <v>-38.6</v>
      </c>
      <c r="E17" s="22">
        <v>-28</v>
      </c>
      <c r="F17" s="22">
        <v>2922.89</v>
      </c>
      <c r="G17" s="23">
        <f t="shared" si="0"/>
        <v>624.51000000000022</v>
      </c>
      <c r="H17" s="24">
        <f t="shared" si="1"/>
        <v>1442.2100000000005</v>
      </c>
      <c r="I17" s="15"/>
      <c r="J17" s="15"/>
    </row>
    <row r="18" spans="1:10" x14ac:dyDescent="0.25">
      <c r="A18" s="15"/>
      <c r="B18" s="21" t="s">
        <v>44</v>
      </c>
      <c r="C18" s="22">
        <v>1994</v>
      </c>
      <c r="D18" s="22">
        <v>0</v>
      </c>
      <c r="E18" s="22">
        <v>-21</v>
      </c>
      <c r="F18" s="22">
        <v>1456.44</v>
      </c>
      <c r="G18" s="23">
        <f t="shared" si="0"/>
        <v>516.55999999999995</v>
      </c>
      <c r="H18" s="24">
        <f t="shared" si="1"/>
        <v>1958.7700000000004</v>
      </c>
      <c r="I18" s="15"/>
      <c r="J18" s="15"/>
    </row>
    <row r="19" spans="1:10" x14ac:dyDescent="0.25">
      <c r="A19" s="15"/>
      <c r="B19" s="21" t="s">
        <v>45</v>
      </c>
      <c r="C19" s="22">
        <v>2000</v>
      </c>
      <c r="D19" s="22">
        <v>0</v>
      </c>
      <c r="E19" s="22">
        <v>-14</v>
      </c>
      <c r="F19" s="22">
        <v>1642.68</v>
      </c>
      <c r="G19" s="23">
        <f t="shared" si="0"/>
        <v>343.31999999999994</v>
      </c>
      <c r="H19" s="24">
        <f t="shared" si="1"/>
        <v>2302.09</v>
      </c>
      <c r="I19" s="15"/>
      <c r="J19" s="15"/>
    </row>
    <row r="20" spans="1:10" x14ac:dyDescent="0.25">
      <c r="A20" s="15"/>
      <c r="B20" s="21" t="s">
        <v>46</v>
      </c>
      <c r="C20" s="22">
        <v>1475.47</v>
      </c>
      <c r="D20" s="22">
        <v>0</v>
      </c>
      <c r="E20" s="22">
        <v>-21</v>
      </c>
      <c r="F20" s="22">
        <v>1609.81</v>
      </c>
      <c r="G20" s="23">
        <f t="shared" si="0"/>
        <v>-155.33999999999992</v>
      </c>
      <c r="H20" s="24">
        <f>G20+H19</f>
        <v>2146.75</v>
      </c>
      <c r="I20" s="15"/>
      <c r="J20" s="15"/>
    </row>
    <row r="21" spans="1:10" x14ac:dyDescent="0.25">
      <c r="A21" s="15"/>
      <c r="B21" s="21" t="s">
        <v>47</v>
      </c>
      <c r="C21" s="22">
        <v>1171.9000000000001</v>
      </c>
      <c r="D21" s="22">
        <v>0</v>
      </c>
      <c r="E21" s="22">
        <v>-21</v>
      </c>
      <c r="F21" s="22">
        <v>2159.06</v>
      </c>
      <c r="G21" s="23">
        <f t="shared" si="0"/>
        <v>-1008.1599999999999</v>
      </c>
      <c r="H21" s="24">
        <f>G21+H20</f>
        <v>1138.5900000000001</v>
      </c>
      <c r="I21" s="15"/>
      <c r="J21" s="15"/>
    </row>
    <row r="22" spans="1:10" x14ac:dyDescent="0.25">
      <c r="A22" s="15"/>
      <c r="B22" s="21" t="s">
        <v>48</v>
      </c>
      <c r="C22" s="22">
        <v>2595.41</v>
      </c>
      <c r="D22" s="22">
        <v>0</v>
      </c>
      <c r="E22" s="22">
        <v>-21</v>
      </c>
      <c r="F22" s="22">
        <v>2096.89</v>
      </c>
      <c r="G22" s="23">
        <f t="shared" si="0"/>
        <v>477.52</v>
      </c>
      <c r="H22" s="24">
        <f>G22+H21</f>
        <v>1616.1100000000001</v>
      </c>
      <c r="I22" s="15"/>
      <c r="J22" s="15"/>
    </row>
    <row r="23" spans="1:10" x14ac:dyDescent="0.25">
      <c r="A23" s="15"/>
      <c r="B23" s="21" t="s">
        <v>49</v>
      </c>
      <c r="C23" s="22">
        <v>996.22</v>
      </c>
      <c r="D23" s="22">
        <v>-200</v>
      </c>
      <c r="E23" s="22">
        <v>-7</v>
      </c>
      <c r="F23" s="22">
        <v>1068.28</v>
      </c>
      <c r="G23" s="23">
        <f t="shared" si="0"/>
        <v>-279.05999999999995</v>
      </c>
      <c r="H23" s="24">
        <f>G23+H22</f>
        <v>1337.0500000000002</v>
      </c>
      <c r="I23" s="15"/>
      <c r="J23" s="15"/>
    </row>
    <row r="24" spans="1:10" x14ac:dyDescent="0.25">
      <c r="A24" s="15"/>
      <c r="B24" s="25" t="s">
        <v>50</v>
      </c>
      <c r="C24" s="22">
        <v>0</v>
      </c>
      <c r="D24" s="22">
        <v>0</v>
      </c>
      <c r="E24" s="22">
        <v>0</v>
      </c>
      <c r="F24" s="49">
        <v>856.73</v>
      </c>
      <c r="G24" s="26">
        <f t="shared" si="0"/>
        <v>-856.73</v>
      </c>
      <c r="H24" s="27">
        <f>G24+H23</f>
        <v>480.32000000000016</v>
      </c>
      <c r="I24" s="15"/>
      <c r="J24" s="15"/>
    </row>
    <row r="25" spans="1:10" x14ac:dyDescent="0.25">
      <c r="A25" s="15" t="s">
        <v>51</v>
      </c>
      <c r="B25" s="28"/>
      <c r="C25" s="29">
        <f>SUM(C8:C24)</f>
        <v>30423.000000000004</v>
      </c>
      <c r="D25" s="30">
        <f>SUM(D8:D24)</f>
        <v>-267.95</v>
      </c>
      <c r="E25" s="30">
        <f>SUM(E8:E24)</f>
        <v>-273</v>
      </c>
      <c r="F25" s="30">
        <f>SUM(F8:F24)</f>
        <v>29401.73</v>
      </c>
      <c r="G25" s="31">
        <f>SUM(G8:G24)</f>
        <v>480.32000000000016</v>
      </c>
      <c r="H25" s="15"/>
      <c r="I25" s="15"/>
      <c r="J25" s="15"/>
    </row>
    <row r="26" spans="1:10" x14ac:dyDescent="0.25">
      <c r="A26" s="15"/>
      <c r="B26" s="28"/>
      <c r="C26" s="32"/>
      <c r="D26" s="32"/>
      <c r="E26" s="32"/>
      <c r="F26" s="32"/>
      <c r="G26" s="33"/>
      <c r="H26" s="15"/>
      <c r="I26" s="15"/>
      <c r="J26" s="15"/>
    </row>
    <row r="27" spans="1:10" ht="15.75" x14ac:dyDescent="0.25">
      <c r="A27" s="15"/>
      <c r="B27" s="63" t="s">
        <v>52</v>
      </c>
      <c r="C27" s="64"/>
      <c r="D27" s="64"/>
      <c r="E27" s="64"/>
      <c r="F27" s="64"/>
      <c r="G27" s="34">
        <f>G25</f>
        <v>480.32000000000016</v>
      </c>
      <c r="H27" s="15"/>
      <c r="I27" s="65" t="s">
        <v>53</v>
      </c>
      <c r="J27" s="66"/>
    </row>
    <row r="28" spans="1:10" x14ac:dyDescent="0.25">
      <c r="A28" s="15"/>
      <c r="B28" s="67" t="s">
        <v>54</v>
      </c>
      <c r="C28" s="68"/>
      <c r="D28" s="15"/>
      <c r="E28" s="15"/>
      <c r="F28" s="15"/>
      <c r="G28" s="35">
        <f>C25+D25+E25</f>
        <v>29882.050000000003</v>
      </c>
      <c r="H28" s="15"/>
      <c r="I28" s="36" t="s">
        <v>55</v>
      </c>
      <c r="J28" s="36" t="s">
        <v>56</v>
      </c>
    </row>
    <row r="29" spans="1:10" ht="21.75" customHeight="1" x14ac:dyDescent="0.25">
      <c r="A29" s="15"/>
      <c r="B29" s="55" t="s">
        <v>57</v>
      </c>
      <c r="C29" s="56"/>
      <c r="D29" s="37"/>
      <c r="E29" s="37"/>
      <c r="F29" s="37"/>
      <c r="G29" s="38">
        <f>F25</f>
        <v>29401.73</v>
      </c>
      <c r="H29" s="15"/>
      <c r="I29" s="36" t="s">
        <v>58</v>
      </c>
      <c r="J29" s="36" t="s">
        <v>59</v>
      </c>
    </row>
    <row r="30" spans="1:10" x14ac:dyDescent="0.25">
      <c r="A30" s="15"/>
      <c r="B30" s="57" t="s">
        <v>60</v>
      </c>
      <c r="C30" s="58"/>
      <c r="D30" s="58"/>
      <c r="E30" s="15"/>
      <c r="F30" s="15"/>
      <c r="G30" s="39">
        <f>G28-G29</f>
        <v>480.32000000000335</v>
      </c>
      <c r="H30" s="15"/>
      <c r="I30" s="40" t="s">
        <v>61</v>
      </c>
      <c r="J30" s="40" t="s">
        <v>62</v>
      </c>
    </row>
    <row r="31" spans="1:10" ht="25.5" x14ac:dyDescent="0.25">
      <c r="A31" s="15"/>
      <c r="B31" s="41" t="s">
        <v>63</v>
      </c>
      <c r="C31" s="42"/>
      <c r="D31" s="42"/>
      <c r="E31" s="15"/>
      <c r="F31" s="15"/>
      <c r="G31" s="43">
        <v>9.0399999999999991</v>
      </c>
      <c r="H31" s="15"/>
      <c r="I31" s="44" t="s">
        <v>61</v>
      </c>
      <c r="J31" s="44" t="s">
        <v>64</v>
      </c>
    </row>
    <row r="32" spans="1:10" ht="15.75" x14ac:dyDescent="0.25">
      <c r="A32" s="15"/>
      <c r="B32" s="59" t="s">
        <v>65</v>
      </c>
      <c r="C32" s="60"/>
      <c r="D32" s="60"/>
      <c r="E32" s="60"/>
      <c r="F32" s="60"/>
      <c r="G32" s="45">
        <f>G30-G31</f>
        <v>471.28000000000333</v>
      </c>
      <c r="H32" s="15"/>
      <c r="I32" s="15"/>
      <c r="J32" s="15"/>
    </row>
  </sheetData>
  <mergeCells count="8">
    <mergeCell ref="I27:J27"/>
    <mergeCell ref="B28:C28"/>
    <mergeCell ref="B29:C29"/>
    <mergeCell ref="B30:D30"/>
    <mergeCell ref="B32:F32"/>
    <mergeCell ref="C4:G4"/>
    <mergeCell ref="B6:G6"/>
    <mergeCell ref="B27:F27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3934-3E70-467D-B529-9C146692EDE0}">
  <dimension ref="A1:F21"/>
  <sheetViews>
    <sheetView workbookViewId="0">
      <selection activeCell="F17" sqref="F17"/>
    </sheetView>
  </sheetViews>
  <sheetFormatPr defaultRowHeight="15" x14ac:dyDescent="0.25"/>
  <cols>
    <col min="1" max="1" width="18.85546875" bestFit="1" customWidth="1"/>
    <col min="2" max="2" width="22.140625" bestFit="1" customWidth="1"/>
    <col min="3" max="3" width="11.28515625" bestFit="1" customWidth="1"/>
    <col min="4" max="4" width="26.5703125" bestFit="1" customWidth="1"/>
    <col min="5" max="5" width="20.5703125" bestFit="1" customWidth="1"/>
    <col min="6" max="6" width="12.140625" style="6" bestFit="1" customWidth="1"/>
    <col min="7" max="7" width="36.5703125" bestFit="1" customWidth="1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3</v>
      </c>
      <c r="E1" s="4" t="s">
        <v>15</v>
      </c>
      <c r="F1" s="5" t="s">
        <v>6</v>
      </c>
    </row>
    <row r="2" spans="1:6" x14ac:dyDescent="0.25">
      <c r="A2" s="53">
        <v>7518054</v>
      </c>
      <c r="B2" s="53" t="s">
        <v>92</v>
      </c>
      <c r="C2" s="53" t="s">
        <v>16</v>
      </c>
      <c r="D2" s="53" t="s">
        <v>226</v>
      </c>
      <c r="E2" s="53" t="s">
        <v>91</v>
      </c>
      <c r="F2" s="54">
        <v>286.95</v>
      </c>
    </row>
    <row r="3" spans="1:6" x14ac:dyDescent="0.25">
      <c r="A3" s="53">
        <v>7582487</v>
      </c>
      <c r="B3" s="53" t="s">
        <v>93</v>
      </c>
      <c r="C3" s="53" t="s">
        <v>16</v>
      </c>
      <c r="D3" s="53" t="s">
        <v>226</v>
      </c>
      <c r="E3" s="53" t="s">
        <v>91</v>
      </c>
      <c r="F3" s="54">
        <v>1238.9000000000001</v>
      </c>
    </row>
    <row r="4" spans="1:6" x14ac:dyDescent="0.25">
      <c r="A4" s="53">
        <v>7815768</v>
      </c>
      <c r="B4" s="53" t="s">
        <v>103</v>
      </c>
      <c r="C4" s="53" t="s">
        <v>16</v>
      </c>
      <c r="D4" s="53" t="s">
        <v>226</v>
      </c>
      <c r="E4" s="53" t="s">
        <v>91</v>
      </c>
      <c r="F4" s="54">
        <v>2241.6999999999998</v>
      </c>
    </row>
    <row r="5" spans="1:6" x14ac:dyDescent="0.25">
      <c r="A5" s="53">
        <v>8023924</v>
      </c>
      <c r="B5" s="53" t="s">
        <v>94</v>
      </c>
      <c r="C5" s="53" t="s">
        <v>16</v>
      </c>
      <c r="D5" s="53" t="s">
        <v>226</v>
      </c>
      <c r="E5" s="53" t="s">
        <v>91</v>
      </c>
      <c r="F5" s="54">
        <v>1571.07</v>
      </c>
    </row>
    <row r="6" spans="1:6" x14ac:dyDescent="0.25">
      <c r="A6" s="53">
        <v>8286596</v>
      </c>
      <c r="B6" s="53" t="s">
        <v>95</v>
      </c>
      <c r="C6" s="53" t="s">
        <v>16</v>
      </c>
      <c r="D6" s="53" t="s">
        <v>226</v>
      </c>
      <c r="E6" s="53" t="s">
        <v>91</v>
      </c>
      <c r="F6" s="54">
        <v>1551.44</v>
      </c>
    </row>
    <row r="7" spans="1:6" x14ac:dyDescent="0.25">
      <c r="A7" s="53">
        <v>8548188</v>
      </c>
      <c r="B7" s="53" t="s">
        <v>96</v>
      </c>
      <c r="C7" s="53" t="s">
        <v>16</v>
      </c>
      <c r="D7" s="53" t="s">
        <v>226</v>
      </c>
      <c r="E7" s="53" t="s">
        <v>91</v>
      </c>
      <c r="F7" s="54">
        <v>4394.13</v>
      </c>
    </row>
    <row r="8" spans="1:6" x14ac:dyDescent="0.25">
      <c r="A8" s="53">
        <v>8860359</v>
      </c>
      <c r="B8" s="53" t="s">
        <v>97</v>
      </c>
      <c r="C8" s="53" t="s">
        <v>16</v>
      </c>
      <c r="D8" s="53" t="s">
        <v>226</v>
      </c>
      <c r="E8" s="53" t="s">
        <v>91</v>
      </c>
      <c r="F8" s="54">
        <v>2799.7</v>
      </c>
    </row>
    <row r="9" spans="1:6" x14ac:dyDescent="0.25">
      <c r="A9" s="53">
        <v>9062604</v>
      </c>
      <c r="B9" s="53" t="s">
        <v>98</v>
      </c>
      <c r="C9" s="53" t="s">
        <v>16</v>
      </c>
      <c r="D9" s="53" t="s">
        <v>226</v>
      </c>
      <c r="E9" s="53" t="s">
        <v>91</v>
      </c>
      <c r="F9" s="54">
        <v>1505.06</v>
      </c>
    </row>
    <row r="10" spans="1:6" x14ac:dyDescent="0.25">
      <c r="A10" s="53">
        <v>9280084</v>
      </c>
      <c r="B10" s="53" t="s">
        <v>99</v>
      </c>
      <c r="C10" s="53" t="s">
        <v>16</v>
      </c>
      <c r="D10" s="53" t="s">
        <v>226</v>
      </c>
      <c r="E10" s="53" t="s">
        <v>91</v>
      </c>
      <c r="F10" s="54">
        <v>2922.89</v>
      </c>
    </row>
    <row r="11" spans="1:6" x14ac:dyDescent="0.25">
      <c r="A11" s="53">
        <v>9549524</v>
      </c>
      <c r="B11" s="53" t="s">
        <v>71</v>
      </c>
      <c r="C11" s="53" t="s">
        <v>16</v>
      </c>
      <c r="D11" s="53" t="s">
        <v>226</v>
      </c>
      <c r="E11" s="53" t="s">
        <v>91</v>
      </c>
      <c r="F11" s="54">
        <v>1456.44</v>
      </c>
    </row>
    <row r="12" spans="1:6" x14ac:dyDescent="0.25">
      <c r="A12" s="53">
        <v>9765654</v>
      </c>
      <c r="B12" s="53" t="s">
        <v>72</v>
      </c>
      <c r="C12" s="53" t="s">
        <v>16</v>
      </c>
      <c r="D12" s="53" t="s">
        <v>226</v>
      </c>
      <c r="E12" s="53" t="s">
        <v>91</v>
      </c>
      <c r="F12" s="54">
        <v>1642.68</v>
      </c>
    </row>
    <row r="13" spans="1:6" x14ac:dyDescent="0.25">
      <c r="A13" s="53">
        <v>10048187</v>
      </c>
      <c r="B13" s="53" t="s">
        <v>73</v>
      </c>
      <c r="C13" s="53" t="s">
        <v>16</v>
      </c>
      <c r="D13" s="53" t="s">
        <v>226</v>
      </c>
      <c r="E13" s="53" t="s">
        <v>91</v>
      </c>
      <c r="F13" s="54">
        <v>1609.81</v>
      </c>
    </row>
    <row r="14" spans="1:6" x14ac:dyDescent="0.25">
      <c r="A14" s="53">
        <v>10336574</v>
      </c>
      <c r="B14" s="53" t="s">
        <v>74</v>
      </c>
      <c r="C14" s="53" t="s">
        <v>16</v>
      </c>
      <c r="D14" s="53" t="s">
        <v>226</v>
      </c>
      <c r="E14" s="53" t="s">
        <v>91</v>
      </c>
      <c r="F14" s="54">
        <v>2159.06</v>
      </c>
    </row>
    <row r="15" spans="1:6" x14ac:dyDescent="0.25">
      <c r="A15" s="53">
        <v>10593543</v>
      </c>
      <c r="B15" s="53" t="s">
        <v>76</v>
      </c>
      <c r="C15" s="53" t="s">
        <v>16</v>
      </c>
      <c r="D15" s="53" t="s">
        <v>226</v>
      </c>
      <c r="E15" s="53" t="s">
        <v>91</v>
      </c>
      <c r="F15" s="54">
        <v>2096.89</v>
      </c>
    </row>
    <row r="16" spans="1:6" x14ac:dyDescent="0.25">
      <c r="A16" s="53">
        <v>11038292</v>
      </c>
      <c r="B16" s="53" t="s">
        <v>77</v>
      </c>
      <c r="C16" s="53" t="s">
        <v>75</v>
      </c>
      <c r="D16" s="53" t="s">
        <v>226</v>
      </c>
      <c r="E16" s="53" t="s">
        <v>91</v>
      </c>
      <c r="F16" s="54">
        <v>1068.28</v>
      </c>
    </row>
    <row r="17" spans="1:6" x14ac:dyDescent="0.25">
      <c r="A17" s="53">
        <v>11206453</v>
      </c>
      <c r="B17" s="53" t="s">
        <v>90</v>
      </c>
      <c r="C17" s="53" t="s">
        <v>104</v>
      </c>
      <c r="D17" s="53" t="s">
        <v>226</v>
      </c>
      <c r="E17" s="53" t="s">
        <v>91</v>
      </c>
      <c r="F17" s="54">
        <v>640.23</v>
      </c>
    </row>
    <row r="18" spans="1:6" x14ac:dyDescent="0.25">
      <c r="A18" s="52"/>
      <c r="B18" s="52"/>
      <c r="C18" s="46"/>
      <c r="F18"/>
    </row>
    <row r="19" spans="1:6" x14ac:dyDescent="0.25">
      <c r="A19" s="52"/>
      <c r="B19" s="52"/>
      <c r="C19" s="52"/>
      <c r="D19" s="52"/>
      <c r="E19" s="52"/>
      <c r="F19" s="46"/>
    </row>
    <row r="20" spans="1:6" x14ac:dyDescent="0.25">
      <c r="A20" s="52"/>
      <c r="B20" s="52"/>
      <c r="C20" s="52"/>
      <c r="D20" s="52"/>
      <c r="E20" s="52"/>
      <c r="F20" s="46"/>
    </row>
    <row r="21" spans="1:6" x14ac:dyDescent="0.25">
      <c r="A21" s="52"/>
      <c r="B21" s="52"/>
      <c r="C21" s="52"/>
      <c r="D21" s="52"/>
      <c r="E21" s="52"/>
      <c r="F21" s="46"/>
    </row>
  </sheetData>
  <autoFilter ref="A1:F15" xr:uid="{90A83934-3E70-467D-B529-9C146692EDE0}">
    <sortState xmlns:xlrd2="http://schemas.microsoft.com/office/spreadsheetml/2017/richdata2" ref="A2:F15">
      <sortCondition ref="B1:B1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</vt:lpstr>
      <vt:lpstr>FECHAMENTO</vt:lpstr>
      <vt:lpstr>Prestação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 Oliveira Alves</dc:creator>
  <cp:lastModifiedBy>Stefani Oliveira Alves</cp:lastModifiedBy>
  <dcterms:created xsi:type="dcterms:W3CDTF">2026-08-12T18:47:22Z</dcterms:created>
  <dcterms:modified xsi:type="dcterms:W3CDTF">2026-08-14T18:42:56Z</dcterms:modified>
</cp:coreProperties>
</file>