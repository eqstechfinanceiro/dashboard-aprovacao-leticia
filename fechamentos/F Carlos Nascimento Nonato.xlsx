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.DESKTOP-3IRHNKO\Documents\Fechamentos Regionais 2026 STROG\"/>
    </mc:Choice>
  </mc:AlternateContent>
  <xr:revisionPtr revIDLastSave="0" documentId="8_{F2E2623F-1F98-4F9C-B602-A6EE62067D65}" xr6:coauthVersionLast="47" xr6:coauthVersionMax="47" xr10:uidLastSave="{00000000-0000-0000-0000-000000000000}"/>
  <bookViews>
    <workbookView xWindow="25605" yWindow="3015" windowWidth="15375" windowHeight="7785" activeTab="1" xr2:uid="{7A485A94-A3F0-4775-9862-57B23F855A69}"/>
  </bookViews>
  <sheets>
    <sheet name="extrato" sheetId="1" r:id="rId1"/>
    <sheet name="FECHAMENTO" sheetId="2" r:id="rId2"/>
    <sheet name="Prestação" sheetId="3" r:id="rId3"/>
  </sheets>
  <definedNames>
    <definedName name="_xlnm._FilterDatabase" localSheetId="0" hidden="1">extrato!$A$1:$G$1</definedName>
    <definedName name="_xlnm._FilterDatabase" localSheetId="2" hidden="1">Prestação!$A$1:$F$17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" i="2" l="1"/>
  <c r="G29" i="2" s="1"/>
  <c r="E25" i="2"/>
  <c r="D25" i="2"/>
  <c r="C25" i="2"/>
  <c r="G28" i="2" s="1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30" i="2" l="1"/>
  <c r="G32" i="2" s="1"/>
  <c r="G25" i="2"/>
  <c r="G27" i="2" s="1"/>
  <c r="H8" i="2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</calcChain>
</file>

<file path=xl/sharedStrings.xml><?xml version="1.0" encoding="utf-8"?>
<sst xmlns="http://schemas.openxmlformats.org/spreadsheetml/2006/main" count="1427" uniqueCount="367">
  <si>
    <t>Data</t>
  </si>
  <si>
    <t>Hora</t>
  </si>
  <si>
    <t>Grupo</t>
  </si>
  <si>
    <t>Usuário</t>
  </si>
  <si>
    <t>Tipo</t>
  </si>
  <si>
    <t>Descrição</t>
  </si>
  <si>
    <t>Valor</t>
  </si>
  <si>
    <t>Compra</t>
  </si>
  <si>
    <t>Saque</t>
  </si>
  <si>
    <t>Taxa</t>
  </si>
  <si>
    <t>Taxa de saque</t>
  </si>
  <si>
    <t>Transferência</t>
  </si>
  <si>
    <t>ID do Relatório</t>
  </si>
  <si>
    <t>Nome do relatório</t>
  </si>
  <si>
    <t>Status</t>
  </si>
  <si>
    <t>Centro de Custo</t>
  </si>
  <si>
    <t>APROVADO</t>
  </si>
  <si>
    <t>Carga</t>
  </si>
  <si>
    <t>Rótulos de Linha</t>
  </si>
  <si>
    <t>Total Geral</t>
  </si>
  <si>
    <t>Rótulos de Coluna</t>
  </si>
  <si>
    <t>Soma de Valor</t>
  </si>
  <si>
    <t>mar</t>
  </si>
  <si>
    <t>abr</t>
  </si>
  <si>
    <t>mai</t>
  </si>
  <si>
    <t>jun</t>
  </si>
  <si>
    <t>FECHAMENTO DE PRESTAÇÃO DE CONTAS</t>
  </si>
  <si>
    <t>MÊS</t>
  </si>
  <si>
    <t>CARGAS</t>
  </si>
  <si>
    <t>TRANSF.</t>
  </si>
  <si>
    <t>TAXA SAQ.</t>
  </si>
  <si>
    <t>PREST. CONTAS</t>
  </si>
  <si>
    <t xml:space="preserve">SALDO </t>
  </si>
  <si>
    <t>ACUMULADO</t>
  </si>
  <si>
    <t>04/2025</t>
  </si>
  <si>
    <t>05/2025</t>
  </si>
  <si>
    <t>06/2025</t>
  </si>
  <si>
    <t>07/2025</t>
  </si>
  <si>
    <t>08/2025</t>
  </si>
  <si>
    <t>09/2025</t>
  </si>
  <si>
    <t>10/2025</t>
  </si>
  <si>
    <t>11/2025</t>
  </si>
  <si>
    <t>12/2025</t>
  </si>
  <si>
    <t>01/2026</t>
  </si>
  <si>
    <t>02/2026</t>
  </si>
  <si>
    <t>03/2026</t>
  </si>
  <si>
    <t>04/2026</t>
  </si>
  <si>
    <t>05/2026</t>
  </si>
  <si>
    <t>06/2026</t>
  </si>
  <si>
    <t>07/2026</t>
  </si>
  <si>
    <t>08/2026</t>
  </si>
  <si>
    <t xml:space="preserve"> </t>
  </si>
  <si>
    <t>SALDO FINAL</t>
  </si>
  <si>
    <t>LEGENDA SINAIS</t>
  </si>
  <si>
    <t>(+) SALDO DISPONIVEL</t>
  </si>
  <si>
    <t>NEGATIVO</t>
  </si>
  <si>
    <t>A REEMBOLSAR</t>
  </si>
  <si>
    <t>(-) PRESTAÇÃO DE CONTAS</t>
  </si>
  <si>
    <t>POSITIVO</t>
  </si>
  <si>
    <t>A PRESTAR</t>
  </si>
  <si>
    <t>= FECHAMENTO PRESTE CONTAS</t>
  </si>
  <si>
    <t>GRIFADO</t>
  </si>
  <si>
    <t>EM ABERTO</t>
  </si>
  <si>
    <t>= SALDO CARTÃO</t>
  </si>
  <si>
    <t>REPROVADO</t>
  </si>
  <si>
    <t>FECHAMENTO FINAL - SALDO PENDENTE</t>
  </si>
  <si>
    <t>REGIONAL CO</t>
  </si>
  <si>
    <t>17:11:25</t>
  </si>
  <si>
    <t>fev</t>
  </si>
  <si>
    <t>jul</t>
  </si>
  <si>
    <t>ago</t>
  </si>
  <si>
    <t>CAIXA 02/2026</t>
  </si>
  <si>
    <t>CAIXA 03/2026</t>
  </si>
  <si>
    <t>FATURA 02/2026</t>
  </si>
  <si>
    <t>FATURA 03/2026</t>
  </si>
  <si>
    <t>FATURA 04/2026</t>
  </si>
  <si>
    <t>CAIXA 04/2026</t>
  </si>
  <si>
    <t>FATURA 05/2026</t>
  </si>
  <si>
    <t>CAIXA 05/2026</t>
  </si>
  <si>
    <t>ENVIADO</t>
  </si>
  <si>
    <t>CAIXA 06/2026</t>
  </si>
  <si>
    <t>CAIXA 07/2026</t>
  </si>
  <si>
    <t>16:40:09</t>
  </si>
  <si>
    <t>17:38:36</t>
  </si>
  <si>
    <t>17:15:13</t>
  </si>
  <si>
    <t>16:01:10</t>
  </si>
  <si>
    <t>2025</t>
  </si>
  <si>
    <t>2026</t>
  </si>
  <si>
    <t>set</t>
  </si>
  <si>
    <t>out</t>
  </si>
  <si>
    <t>nov</t>
  </si>
  <si>
    <t>dez</t>
  </si>
  <si>
    <t>jan</t>
  </si>
  <si>
    <t>ABERTO</t>
  </si>
  <si>
    <t>ARLEY HENRIQUE DE SOUZA LUZ</t>
  </si>
  <si>
    <t>CEF GOIANIA CO</t>
  </si>
  <si>
    <t>CAIXA 06/2025</t>
  </si>
  <si>
    <t>CAIXA 08/2025</t>
  </si>
  <si>
    <t>CAIXA 09/2025</t>
  </si>
  <si>
    <t>CAIXA 10/2025</t>
  </si>
  <si>
    <t>CAIXA 11/2025</t>
  </si>
  <si>
    <t>CAIXA 12/2025</t>
  </si>
  <si>
    <t>CAIXA 01/2026</t>
  </si>
  <si>
    <t>11:32:48</t>
  </si>
  <si>
    <t>Carlos Nascimento Nonato Junior</t>
  </si>
  <si>
    <t>J&amp;R MATERIAL DE CONSTR</t>
  </si>
  <si>
    <t>12:22:05</t>
  </si>
  <si>
    <t>REFRIGASES COMERCIO DE</t>
  </si>
  <si>
    <t>08:51:11</t>
  </si>
  <si>
    <t>Pendência de taxa</t>
  </si>
  <si>
    <t>Taxa pendente de SAQUE</t>
  </si>
  <si>
    <t>11:37:57</t>
  </si>
  <si>
    <t>TECBAN-SUP COEMARUA JO</t>
  </si>
  <si>
    <t>11:39:08</t>
  </si>
  <si>
    <t>08:48:30</t>
  </si>
  <si>
    <t>08:50:04</t>
  </si>
  <si>
    <t>16:38:49</t>
  </si>
  <si>
    <t>TECBAN-DROG STO REM LJ</t>
  </si>
  <si>
    <t>11:11:07</t>
  </si>
  <si>
    <t>TECBAN-SUP COEMA CAMAP</t>
  </si>
  <si>
    <t>08:46:25</t>
  </si>
  <si>
    <t>08:47:14</t>
  </si>
  <si>
    <t>08:45:22</t>
  </si>
  <si>
    <t>08:46:42</t>
  </si>
  <si>
    <t>08:52:44</t>
  </si>
  <si>
    <t>08:54:00</t>
  </si>
  <si>
    <t>22:23:54</t>
  </si>
  <si>
    <t>TECBAN-DROG FLEX FCA M</t>
  </si>
  <si>
    <t>22:25:29</t>
  </si>
  <si>
    <t>09:24:56</t>
  </si>
  <si>
    <t>TECBAN-SUP VIEIRA CN A</t>
  </si>
  <si>
    <t>09:26:06</t>
  </si>
  <si>
    <t>20:57:41</t>
  </si>
  <si>
    <t>20:58:50</t>
  </si>
  <si>
    <t>13:40:04</t>
  </si>
  <si>
    <t>13:41:27</t>
  </si>
  <si>
    <t>08:52:08</t>
  </si>
  <si>
    <t>08:53:22</t>
  </si>
  <si>
    <t>10:23:11</t>
  </si>
  <si>
    <t>18:09:12</t>
  </si>
  <si>
    <t>18:10:37</t>
  </si>
  <si>
    <t>08:48:49</t>
  </si>
  <si>
    <t>08:50:07</t>
  </si>
  <si>
    <t>20:53:45</t>
  </si>
  <si>
    <t>20:55:05</t>
  </si>
  <si>
    <t>08:56:10</t>
  </si>
  <si>
    <t>08:57:27</t>
  </si>
  <si>
    <t>17:49:37</t>
  </si>
  <si>
    <t>17:50:57</t>
  </si>
  <si>
    <t>08:53:26</t>
  </si>
  <si>
    <t>08:54:58</t>
  </si>
  <si>
    <t>18:44:22</t>
  </si>
  <si>
    <t>TECBAN-DROG STA LUZIAR</t>
  </si>
  <si>
    <t>18:45:44</t>
  </si>
  <si>
    <t>08:55:32</t>
  </si>
  <si>
    <t>08:56:55</t>
  </si>
  <si>
    <t>18:03:35</t>
  </si>
  <si>
    <t>18:04:52</t>
  </si>
  <si>
    <t>08:48:58</t>
  </si>
  <si>
    <t>08:50:10</t>
  </si>
  <si>
    <t>15:06:51</t>
  </si>
  <si>
    <t>18:27:27</t>
  </si>
  <si>
    <t>18:28:41</t>
  </si>
  <si>
    <t>08:53:03</t>
  </si>
  <si>
    <t>08:54:19</t>
  </si>
  <si>
    <t>20:27:40</t>
  </si>
  <si>
    <t>20:29:24</t>
  </si>
  <si>
    <t>08:49:40</t>
  </si>
  <si>
    <t>08:51:10</t>
  </si>
  <si>
    <t>17:24:04</t>
  </si>
  <si>
    <t>17:25:12</t>
  </si>
  <si>
    <t>17:47:08</t>
  </si>
  <si>
    <t>TECBAN-BARATAO DA CARN</t>
  </si>
  <si>
    <t>17:48:31</t>
  </si>
  <si>
    <t>15:06:27</t>
  </si>
  <si>
    <t>16:45:38</t>
  </si>
  <si>
    <t>16:46:52</t>
  </si>
  <si>
    <t>08:52:04</t>
  </si>
  <si>
    <t>08:53:11</t>
  </si>
  <si>
    <t>21:01:32</t>
  </si>
  <si>
    <t>TECBAN-HIPER BARATAO T</t>
  </si>
  <si>
    <t>10:43:33</t>
  </si>
  <si>
    <t>TECBAN-SUP JUMA NC16 A</t>
  </si>
  <si>
    <t>15:58:27</t>
  </si>
  <si>
    <t>15:59:42</t>
  </si>
  <si>
    <t>16:03:53</t>
  </si>
  <si>
    <t>16:05:07</t>
  </si>
  <si>
    <t>16:36:08</t>
  </si>
  <si>
    <t>16:37:19</t>
  </si>
  <si>
    <t>08:49:47</t>
  </si>
  <si>
    <t>08:54:44</t>
  </si>
  <si>
    <t>08:55:57</t>
  </si>
  <si>
    <t>08:39:45</t>
  </si>
  <si>
    <t>08:40:59</t>
  </si>
  <si>
    <t>08:45:13</t>
  </si>
  <si>
    <t>11:02:41</t>
  </si>
  <si>
    <t>11:03:53</t>
  </si>
  <si>
    <t>08:53:12</t>
  </si>
  <si>
    <t>11:22:07</t>
  </si>
  <si>
    <t>14:11:14</t>
  </si>
  <si>
    <t>14:12:40</t>
  </si>
  <si>
    <t>09:01:38</t>
  </si>
  <si>
    <t>09:02:44</t>
  </si>
  <si>
    <t>09:06:02</t>
  </si>
  <si>
    <t>09:07:11</t>
  </si>
  <si>
    <t>09:24:35</t>
  </si>
  <si>
    <t>09:26:01</t>
  </si>
  <si>
    <t>08:33:28</t>
  </si>
  <si>
    <t>08:34:38</t>
  </si>
  <si>
    <t>09:08:31</t>
  </si>
  <si>
    <t>08:55:43</t>
  </si>
  <si>
    <t>08:56:47</t>
  </si>
  <si>
    <t>08:51:38</t>
  </si>
  <si>
    <t>18:20:56</t>
  </si>
  <si>
    <t>18:22:41</t>
  </si>
  <si>
    <t>15:37:07</t>
  </si>
  <si>
    <t>15:38:18</t>
  </si>
  <si>
    <t>11:44:03</t>
  </si>
  <si>
    <t>11:44:37</t>
  </si>
  <si>
    <t>08:48:47</t>
  </si>
  <si>
    <t>08:50:21</t>
  </si>
  <si>
    <t>17:39:23</t>
  </si>
  <si>
    <t>11:56:46</t>
  </si>
  <si>
    <t>08:46:50</t>
  </si>
  <si>
    <t>08:47:37</t>
  </si>
  <si>
    <t>08:45:40</t>
  </si>
  <si>
    <t>08:47:07</t>
  </si>
  <si>
    <t>08:53:02</t>
  </si>
  <si>
    <t>08:54:13</t>
  </si>
  <si>
    <t>22:24:15</t>
  </si>
  <si>
    <t>22:25:46</t>
  </si>
  <si>
    <t>09:25:12</t>
  </si>
  <si>
    <t>09:26:24</t>
  </si>
  <si>
    <t>20:57:54</t>
  </si>
  <si>
    <t>20:59:03</t>
  </si>
  <si>
    <t>13:40:26</t>
  </si>
  <si>
    <t>13:41:48</t>
  </si>
  <si>
    <t>08:52:25</t>
  </si>
  <si>
    <t>08:53:41</t>
  </si>
  <si>
    <t>10:23:24</t>
  </si>
  <si>
    <t>18:09:25</t>
  </si>
  <si>
    <t>18:11:01</t>
  </si>
  <si>
    <t>08:49:16</t>
  </si>
  <si>
    <t>08:50:26</t>
  </si>
  <si>
    <t>23:32:48</t>
  </si>
  <si>
    <t>23:33:50</t>
  </si>
  <si>
    <t>08:56:26</t>
  </si>
  <si>
    <t>08:57:57</t>
  </si>
  <si>
    <t>17:57:07</t>
  </si>
  <si>
    <t>17:57:37</t>
  </si>
  <si>
    <t>08:53:49</t>
  </si>
  <si>
    <t>08:55:12</t>
  </si>
  <si>
    <t>23:19:57</t>
  </si>
  <si>
    <t>23:20:37</t>
  </si>
  <si>
    <t>08:55:51</t>
  </si>
  <si>
    <t>08:57:22</t>
  </si>
  <si>
    <t>18:04:03</t>
  </si>
  <si>
    <t>18:05:21</t>
  </si>
  <si>
    <t>08:49:15</t>
  </si>
  <si>
    <t>08:50:50</t>
  </si>
  <si>
    <t>15:07:08</t>
  </si>
  <si>
    <t>18:27:46</t>
  </si>
  <si>
    <t>18:29:08</t>
  </si>
  <si>
    <t>08:53:34</t>
  </si>
  <si>
    <t>08:54:56</t>
  </si>
  <si>
    <t>20:28:00</t>
  </si>
  <si>
    <t>20:29:55</t>
  </si>
  <si>
    <t>08:50:09</t>
  </si>
  <si>
    <t>08:51:28</t>
  </si>
  <si>
    <t>17:24:34</t>
  </si>
  <si>
    <t>17:25:43</t>
  </si>
  <si>
    <t>17:47:39</t>
  </si>
  <si>
    <t>17:48:59</t>
  </si>
  <si>
    <t>15:06:53</t>
  </si>
  <si>
    <t>16:46:14</t>
  </si>
  <si>
    <t>16:47:13</t>
  </si>
  <si>
    <t>08:52:38</t>
  </si>
  <si>
    <t>08:53:24</t>
  </si>
  <si>
    <t>21:02:07</t>
  </si>
  <si>
    <t>10:43:52</t>
  </si>
  <si>
    <t>15:58:50</t>
  </si>
  <si>
    <t>16:00:07</t>
  </si>
  <si>
    <t>17:57:25</t>
  </si>
  <si>
    <t>15:07:07</t>
  </si>
  <si>
    <t>16:36:37</t>
  </si>
  <si>
    <t>16:37:53</t>
  </si>
  <si>
    <t>11:49:47</t>
  </si>
  <si>
    <t>15:04:03</t>
  </si>
  <si>
    <t>20:55:34</t>
  </si>
  <si>
    <t>11:54:40</t>
  </si>
  <si>
    <t>11:55:01</t>
  </si>
  <si>
    <t>08:45:49</t>
  </si>
  <si>
    <t>11:03:19</t>
  </si>
  <si>
    <t>11:04:08</t>
  </si>
  <si>
    <t>11:22:28</t>
  </si>
  <si>
    <t>14:12:27</t>
  </si>
  <si>
    <t>14:13:12</t>
  </si>
  <si>
    <t>09:02:15</t>
  </si>
  <si>
    <t>09:03:03</t>
  </si>
  <si>
    <t>09:06:43</t>
  </si>
  <si>
    <t>09:07:31</t>
  </si>
  <si>
    <t>09:24:50</t>
  </si>
  <si>
    <t>09:26:34</t>
  </si>
  <si>
    <t>08:46:38</t>
  </si>
  <si>
    <t>08:47:08</t>
  </si>
  <si>
    <t>09:09:03</t>
  </si>
  <si>
    <t>08:57:11</t>
  </si>
  <si>
    <t>08:51:53</t>
  </si>
  <si>
    <t>08:52:57</t>
  </si>
  <si>
    <t>18:21:08</t>
  </si>
  <si>
    <t>18:23:16</t>
  </si>
  <si>
    <t>15:37:25</t>
  </si>
  <si>
    <t>15:38:30</t>
  </si>
  <si>
    <t>09:01:12</t>
  </si>
  <si>
    <t>Transf. REGIONAL CO &gt; Carlos N. N. Junior: 2 QUINZENA - MAIO/2025</t>
  </si>
  <si>
    <t>19:35:24</t>
  </si>
  <si>
    <t>Transf. REGIONAL CO &gt; Carlos N. N. Junior</t>
  </si>
  <si>
    <t>16:29:12</t>
  </si>
  <si>
    <t>15:44:40</t>
  </si>
  <si>
    <t>15:46:57</t>
  </si>
  <si>
    <t>15:28:38</t>
  </si>
  <si>
    <t>16:42:51</t>
  </si>
  <si>
    <t>17:31:12</t>
  </si>
  <si>
    <t>17:05:46</t>
  </si>
  <si>
    <t>16:37:45</t>
  </si>
  <si>
    <t>10:56:08</t>
  </si>
  <si>
    <t>16:27:20</t>
  </si>
  <si>
    <t>17:14:06</t>
  </si>
  <si>
    <t>15:27:49</t>
  </si>
  <si>
    <t>17:21:22</t>
  </si>
  <si>
    <t>14:53:40</t>
  </si>
  <si>
    <t>09:34:23</t>
  </si>
  <si>
    <t>10:55:14</t>
  </si>
  <si>
    <t>Transf. Carlos N. N. Junior &gt; REGIONAL CO</t>
  </si>
  <si>
    <t>15:07:10</t>
  </si>
  <si>
    <t>15:07:05</t>
  </si>
  <si>
    <t>15:04:01</t>
  </si>
  <si>
    <t>16:22:41</t>
  </si>
  <si>
    <t>18:15:42</t>
  </si>
  <si>
    <t>16:34:26</t>
  </si>
  <si>
    <t>16:17:03</t>
  </si>
  <si>
    <t>15:30:24</t>
  </si>
  <si>
    <t>14:22:42</t>
  </si>
  <si>
    <t>15:08:48</t>
  </si>
  <si>
    <t>13:05:04</t>
  </si>
  <si>
    <t>13:08:54</t>
  </si>
  <si>
    <t>16:59:39</t>
  </si>
  <si>
    <t>08:48:46</t>
  </si>
  <si>
    <t>08:48:32</t>
  </si>
  <si>
    <t>09:55:45</t>
  </si>
  <si>
    <t>09:55:29</t>
  </si>
  <si>
    <t>09:54:58</t>
  </si>
  <si>
    <t>09:54:28</t>
  </si>
  <si>
    <t>14:28:20</t>
  </si>
  <si>
    <t>CORREÇÃO ITAU</t>
  </si>
  <si>
    <t>CARLOS NASCIMENTO NONATO JUNIOR</t>
  </si>
  <si>
    <t>CEF AM AC RR</t>
  </si>
  <si>
    <t>FATURA 12/2025</t>
  </si>
  <si>
    <t>FATURA 01/2026</t>
  </si>
  <si>
    <t>FATURA 06/2025</t>
  </si>
  <si>
    <t>FATURA 08/2025</t>
  </si>
  <si>
    <t>CAIXA 07/2025</t>
  </si>
  <si>
    <t>FATURA 07/2025</t>
  </si>
  <si>
    <t>FATURA 09/25</t>
  </si>
  <si>
    <t>FATURA 10/2025</t>
  </si>
  <si>
    <t>FATURA 11/2025</t>
  </si>
  <si>
    <t>REABERTO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</si>
</sst>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 &quot;#,##0.00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</font>
    <font>
      <sz val="11"/>
      <color indexed="8"/>
      <name val="Calibri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sz val="14"/>
      <color rgb="FF00206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0"/>
      <color rgb="FFFFFFFF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2"/>
      <color rgb="FFFFFFFF"/>
      <name val="Calibri"/>
      <family val="2"/>
    </font>
    <font>
      <b/>
      <sz val="10"/>
      <color theme="0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indexed="8"/>
      <name val="Calibri"/>
    </font>
    <font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5050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4" fillId="0" borderId="0" applyFill="0" applyProtection="0"/>
    <xf numFmtId="0" fontId="6" fillId="0" borderId="0"/>
    <xf numFmtId="0" fontId="22" fillId="0" borderId="0" applyFill="0" applyProtection="0"/>
    <xf numFmtId="0" fontId="23" fillId="0" borderId="0"/>
  </cellStyleXfs>
  <cellXfs count="67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5" fillId="2" borderId="0" xfId="2" applyFont="1" applyFill="1" applyAlignment="1" applyProtection="1">
      <alignment horizontal="center"/>
    </xf>
    <xf numFmtId="44" fontId="5" fillId="2" borderId="0" xfId="1" applyFont="1" applyFill="1" applyAlignment="1" applyProtection="1">
      <alignment horizontal="center"/>
    </xf>
    <xf numFmtId="44" fontId="0" fillId="0" borderId="0" xfId="1" applyFont="1"/>
    <xf numFmtId="44" fontId="0" fillId="0" borderId="0" xfId="1" applyFont="1" applyAlignment="1">
      <alignment horizontal="center"/>
    </xf>
    <xf numFmtId="14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64" fontId="3" fillId="2" borderId="0" xfId="0" applyNumberFormat="1" applyFont="1" applyFill="1" applyAlignment="1">
      <alignment horizontal="center"/>
    </xf>
    <xf numFmtId="44" fontId="3" fillId="2" borderId="0" xfId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3" borderId="0" xfId="0" applyFill="1"/>
    <xf numFmtId="0" fontId="8" fillId="3" borderId="0" xfId="0" applyFont="1" applyFill="1"/>
    <xf numFmtId="0" fontId="10" fillId="4" borderId="3" xfId="2" applyFont="1" applyFill="1" applyBorder="1" applyAlignment="1">
      <alignment horizontal="center" vertical="center"/>
    </xf>
    <xf numFmtId="44" fontId="10" fillId="4" borderId="1" xfId="2" applyNumberFormat="1" applyFont="1" applyFill="1" applyBorder="1" applyAlignment="1">
      <alignment horizontal="center" vertical="center"/>
    </xf>
    <xf numFmtId="44" fontId="10" fillId="4" borderId="4" xfId="2" applyNumberFormat="1" applyFont="1" applyFill="1" applyBorder="1" applyAlignment="1">
      <alignment horizontal="center" vertical="center"/>
    </xf>
    <xf numFmtId="44" fontId="10" fillId="4" borderId="5" xfId="2" applyNumberFormat="1" applyFont="1" applyFill="1" applyBorder="1" applyAlignment="1">
      <alignment horizontal="center" vertical="center"/>
    </xf>
    <xf numFmtId="49" fontId="11" fillId="0" borderId="6" xfId="0" applyNumberFormat="1" applyFont="1" applyBorder="1" applyAlignment="1">
      <alignment horizontal="center" vertical="center" wrapText="1"/>
    </xf>
    <xf numFmtId="44" fontId="11" fillId="0" borderId="0" xfId="0" applyNumberFormat="1" applyFont="1" applyAlignment="1">
      <alignment vertical="center" wrapText="1"/>
    </xf>
    <xf numFmtId="44" fontId="11" fillId="0" borderId="7" xfId="0" applyNumberFormat="1" applyFont="1" applyBorder="1" applyAlignment="1">
      <alignment vertical="center" wrapText="1"/>
    </xf>
    <xf numFmtId="44" fontId="12" fillId="5" borderId="8" xfId="0" applyNumberFormat="1" applyFont="1" applyFill="1" applyBorder="1" applyAlignment="1">
      <alignment vertical="center" wrapText="1"/>
    </xf>
    <xf numFmtId="49" fontId="11" fillId="0" borderId="9" xfId="0" applyNumberFormat="1" applyFont="1" applyBorder="1" applyAlignment="1">
      <alignment horizontal="center" vertical="center" wrapText="1"/>
    </xf>
    <xf numFmtId="44" fontId="11" fillId="0" borderId="10" xfId="0" applyNumberFormat="1" applyFont="1" applyBorder="1" applyAlignment="1">
      <alignment vertical="center" wrapText="1"/>
    </xf>
    <xf numFmtId="44" fontId="12" fillId="5" borderId="11" xfId="0" applyNumberFormat="1" applyFont="1" applyFill="1" applyBorder="1" applyAlignment="1">
      <alignment vertical="center" wrapText="1"/>
    </xf>
    <xf numFmtId="49" fontId="13" fillId="3" borderId="0" xfId="0" applyNumberFormat="1" applyFont="1" applyFill="1" applyAlignment="1">
      <alignment horizontal="center" vertical="center" wrapText="1"/>
    </xf>
    <xf numFmtId="44" fontId="14" fillId="3" borderId="3" xfId="0" applyNumberFormat="1" applyFont="1" applyFill="1" applyBorder="1" applyAlignment="1">
      <alignment vertical="center" wrapText="1"/>
    </xf>
    <xf numFmtId="44" fontId="14" fillId="3" borderId="1" xfId="0" applyNumberFormat="1" applyFont="1" applyFill="1" applyBorder="1" applyAlignment="1">
      <alignment vertical="center" wrapText="1"/>
    </xf>
    <xf numFmtId="44" fontId="14" fillId="3" borderId="4" xfId="0" applyNumberFormat="1" applyFont="1" applyFill="1" applyBorder="1" applyAlignment="1">
      <alignment vertical="center" wrapText="1"/>
    </xf>
    <xf numFmtId="44" fontId="14" fillId="3" borderId="12" xfId="0" applyNumberFormat="1" applyFont="1" applyFill="1" applyBorder="1" applyAlignment="1">
      <alignment vertical="center" wrapText="1"/>
    </xf>
    <xf numFmtId="44" fontId="14" fillId="3" borderId="0" xfId="0" applyNumberFormat="1" applyFont="1" applyFill="1" applyAlignment="1">
      <alignment vertical="center" wrapText="1"/>
    </xf>
    <xf numFmtId="44" fontId="15" fillId="4" borderId="14" xfId="2" applyNumberFormat="1" applyFont="1" applyFill="1" applyBorder="1" applyAlignment="1">
      <alignment horizontal="center" vertical="center"/>
    </xf>
    <xf numFmtId="44" fontId="13" fillId="3" borderId="7" xfId="0" applyNumberFormat="1" applyFont="1" applyFill="1" applyBorder="1" applyAlignment="1">
      <alignment horizontal="right" vertical="center" wrapText="1"/>
    </xf>
    <xf numFmtId="0" fontId="16" fillId="6" borderId="5" xfId="0" applyFont="1" applyFill="1" applyBorder="1"/>
    <xf numFmtId="0" fontId="0" fillId="3" borderId="2" xfId="0" applyFill="1" applyBorder="1"/>
    <xf numFmtId="44" fontId="17" fillId="3" borderId="10" xfId="0" applyNumberFormat="1" applyFont="1" applyFill="1" applyBorder="1" applyAlignment="1">
      <alignment horizontal="left" indent="1"/>
    </xf>
    <xf numFmtId="44" fontId="18" fillId="3" borderId="7" xfId="0" applyNumberFormat="1" applyFont="1" applyFill="1" applyBorder="1"/>
    <xf numFmtId="0" fontId="19" fillId="7" borderId="5" xfId="0" applyFont="1" applyFill="1" applyBorder="1"/>
    <xf numFmtId="49" fontId="14" fillId="3" borderId="6" xfId="0" applyNumberFormat="1" applyFont="1" applyFill="1" applyBorder="1" applyAlignment="1">
      <alignment horizontal="left" vertical="center" wrapText="1"/>
    </xf>
    <xf numFmtId="49" fontId="14" fillId="3" borderId="0" xfId="0" applyNumberFormat="1" applyFont="1" applyFill="1" applyAlignment="1">
      <alignment horizontal="left" vertical="center" wrapText="1"/>
    </xf>
    <xf numFmtId="44" fontId="20" fillId="3" borderId="7" xfId="0" applyNumberFormat="1" applyFont="1" applyFill="1" applyBorder="1"/>
    <xf numFmtId="0" fontId="19" fillId="8" borderId="5" xfId="0" applyFont="1" applyFill="1" applyBorder="1"/>
    <xf numFmtId="44" fontId="21" fillId="6" borderId="10" xfId="2" applyNumberFormat="1" applyFont="1" applyFill="1" applyBorder="1" applyAlignment="1">
      <alignment horizontal="center" vertical="center"/>
    </xf>
    <xf numFmtId="44" fontId="22" fillId="0" borderId="0" xfId="1" applyFont="1" applyFill="1" applyProtection="1"/>
    <xf numFmtId="44" fontId="23" fillId="0" borderId="0" xfId="1" applyFont="1"/>
    <xf numFmtId="0" fontId="0" fillId="0" borderId="0" xfId="0" applyAlignment="1">
      <alignment horizontal="left" indent="1"/>
    </xf>
    <xf numFmtId="0" fontId="22" fillId="0" borderId="0" xfId="4" applyFill="1" applyProtection="1"/>
    <xf numFmtId="0" fontId="23" fillId="0" borderId="0" xfId="5"/>
    <xf numFmtId="14" fontId="23" fillId="0" borderId="0" xfId="5" applyNumberFormat="1"/>
    <xf numFmtId="4" fontId="22" fillId="0" borderId="0" xfId="4" applyNumberFormat="1" applyFill="1" applyProtection="1"/>
    <xf numFmtId="0" fontId="14" fillId="3" borderId="9" xfId="0" applyFont="1" applyFill="1" applyBorder="1" applyAlignment="1">
      <alignment horizontal="left" vertical="center" wrapText="1"/>
    </xf>
    <xf numFmtId="0" fontId="14" fillId="3" borderId="2" xfId="0" applyFont="1" applyFill="1" applyBorder="1" applyAlignment="1">
      <alignment horizontal="left" vertical="center" wrapText="1"/>
    </xf>
    <xf numFmtId="49" fontId="14" fillId="3" borderId="13" xfId="0" applyNumberFormat="1" applyFont="1" applyFill="1" applyBorder="1" applyAlignment="1">
      <alignment horizontal="left" vertical="center" wrapText="1"/>
    </xf>
    <xf numFmtId="49" fontId="14" fillId="3" borderId="12" xfId="0" applyNumberFormat="1" applyFont="1" applyFill="1" applyBorder="1" applyAlignment="1">
      <alignment horizontal="left" vertical="center" wrapText="1"/>
    </xf>
    <xf numFmtId="0" fontId="21" fillId="6" borderId="9" xfId="2" applyFont="1" applyFill="1" applyBorder="1" applyAlignment="1">
      <alignment horizontal="center" vertical="center"/>
    </xf>
    <xf numFmtId="0" fontId="21" fillId="6" borderId="2" xfId="2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 vertical="center"/>
    </xf>
    <xf numFmtId="0" fontId="15" fillId="4" borderId="13" xfId="2" applyFont="1" applyFill="1" applyBorder="1" applyAlignment="1">
      <alignment horizontal="center" vertical="center"/>
    </xf>
    <xf numFmtId="0" fontId="15" fillId="4" borderId="1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4" fillId="3" borderId="6" xfId="0" applyFont="1" applyFill="1" applyBorder="1" applyAlignment="1">
      <alignment horizontal="left" vertical="center" wrapText="1"/>
    </xf>
    <xf numFmtId="0" fontId="14" fillId="3" borderId="0" xfId="0" applyFont="1" applyFill="1" applyAlignment="1">
      <alignment horizontal="left" vertical="center" wrapText="1"/>
    </xf>
  </cellXfs>
  <cellStyles count="6">
    <cellStyle name="Moeda" xfId="1" builtinId="4"/>
    <cellStyle name="Normal" xfId="0" builtinId="0"/>
    <cellStyle name="Normal 2" xfId="2" xr:uid="{6C063E43-CB95-4D1E-8464-8ACDBFD0E883}"/>
    <cellStyle name="Normal 3" xfId="3" xr:uid="{5649B0FE-7A7F-42B4-83DD-86853BF89F21}"/>
    <cellStyle name="Normal 4" xfId="4" xr:uid="{FBF55E5E-5863-4315-A2E4-EF655F5DE4C5}"/>
    <cellStyle name="Normal 5" xfId="5" xr:uid="{5835180A-9557-423C-BEE0-AFD4F33D8B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180975</xdr:rowOff>
    </xdr:from>
    <xdr:ext cx="1343024" cy="480074"/>
    <xdr:pic>
      <xdr:nvPicPr>
        <xdr:cNvPr id="2" name="Imagem 1">
          <a:extLst>
            <a:ext uri="{FF2B5EF4-FFF2-40B4-BE49-F238E27FC236}">
              <a16:creationId xmlns:a16="http://schemas.microsoft.com/office/drawing/2014/main" id="{74A2DCEE-9A74-4CCC-A2AE-9B2D2CB18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1475"/>
          <a:ext cx="1343024" cy="480074"/>
        </a:xfrm>
        <a:prstGeom prst="rect">
          <a:avLst/>
        </a:prstGeom>
      </xdr:spPr>
    </xdr:pic>
    <xdr:clientData/>
  </xdr:oneCellAnchor>
  <xdr:twoCellAnchor editAs="oneCell">
    <xdr:from>
      <xdr:col>3</xdr:col>
      <xdr:colOff>4622</xdr:colOff>
      <xdr:row>0</xdr:row>
      <xdr:rowOff>51167</xdr:rowOff>
    </xdr:from>
    <xdr:to>
      <xdr:col>5</xdr:col>
      <xdr:colOff>323850</xdr:colOff>
      <xdr:row>2</xdr:row>
      <xdr:rowOff>152398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43431B3-EDA3-4499-9DBE-1C853C29C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3422" y="51167"/>
          <a:ext cx="1833703" cy="4822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47.655975925925" createdVersion="8" refreshedVersion="8" minRefreshableVersion="3" recordCount="244" xr:uid="{EA092314-B904-470B-8F71-91CEFD4754D6}">
  <cacheSource type="worksheet">
    <worksheetSource ref="A1:G245" sheet="extrato"/>
  </cacheSource>
  <cacheFields count="10">
    <cacheField name="Data" numFmtId="14">
      <sharedItems containsSemiMixedTypes="0" containsNonDate="0" containsDate="1" containsString="0" minDate="2025-06-04T09:01:12" maxDate="2026-08-06T08:48:46" count="242">
        <d v="2026-02-03T11:32:48"/>
        <d v="2026-02-04T12:22:05"/>
        <d v="2026-02-26T08:51:11"/>
        <d v="2025-06-04T11:37:57"/>
        <d v="2025-06-04T11:39:08"/>
        <d v="2025-06-05T08:48:30"/>
        <d v="2025-06-05T08:50:04"/>
        <d v="2025-06-12T16:38:49"/>
        <d v="2025-06-12T16:40:09"/>
        <d v="2025-06-14T11:11:07"/>
        <d v="2025-06-16T08:46:25"/>
        <d v="2025-06-17T08:47:14"/>
        <d v="2025-06-26T08:45:22"/>
        <d v="2025-06-26T08:46:42"/>
        <d v="2025-06-27T08:52:44"/>
        <d v="2025-06-27T08:54:00"/>
        <d v="2025-07-11T22:23:54"/>
        <d v="2025-07-11T22:25:29"/>
        <d v="2025-07-12T09:24:56"/>
        <d v="2025-07-12T09:26:06"/>
        <d v="2025-07-25T20:57:41"/>
        <d v="2025-07-25T20:58:50"/>
        <d v="2025-07-26T13:40:04"/>
        <d v="2025-07-26T13:41:27"/>
        <d v="2025-08-12T08:52:08"/>
        <d v="2025-08-12T08:53:22"/>
        <d v="2025-08-13T10:23:11"/>
        <d v="2025-08-25T18:09:12"/>
        <d v="2025-08-25T18:10:37"/>
        <d v="2025-08-26T08:48:49"/>
        <d v="2025-08-26T08:50:07"/>
        <d v="2025-09-11T20:53:45"/>
        <d v="2025-09-11T20:55:05"/>
        <d v="2025-09-12T08:56:10"/>
        <d v="2025-09-12T08:57:27"/>
        <d v="2025-09-25T17:49:37"/>
        <d v="2025-09-25T17:50:57"/>
        <d v="2025-09-26T08:53:26"/>
        <d v="2025-09-26T08:54:58"/>
        <d v="2025-10-13T18:44:22"/>
        <d v="2025-10-13T18:45:44"/>
        <d v="2025-10-14T08:55:32"/>
        <d v="2025-10-14T08:56:55"/>
        <d v="2025-10-27T18:03:35"/>
        <d v="2025-10-27T18:04:52"/>
        <d v="2025-10-28T08:48:58"/>
        <d v="2025-10-28T08:50:10"/>
        <d v="2025-11-03T15:06:51"/>
        <d v="2025-11-11T18:27:27"/>
        <d v="2025-11-11T18:28:41"/>
        <d v="2025-11-12T08:53:03"/>
        <d v="2025-11-12T08:54:19"/>
        <d v="2025-11-25T20:27:40"/>
        <d v="2025-11-25T20:29:24"/>
        <d v="2025-11-27T08:49:40"/>
        <d v="2025-11-27T08:51:10"/>
        <d v="2025-12-11T17:24:04"/>
        <d v="2025-12-11T17:25:12"/>
        <d v="2025-12-12T17:47:08"/>
        <d v="2025-12-12T17:48:31"/>
        <d v="2026-01-13T15:06:27"/>
        <d v="2026-01-26T16:45:38"/>
        <d v="2026-01-26T16:46:52"/>
        <d v="2026-01-27T08:52:04"/>
        <d v="2026-01-27T08:53:11"/>
        <d v="2026-02-03T21:01:32"/>
        <d v="2026-02-05T10:43:33"/>
        <d v="2026-02-13T15:58:27"/>
        <d v="2026-02-13T15:59:42"/>
        <d v="2026-02-24T16:03:53"/>
        <d v="2026-02-24T16:05:07"/>
        <d v="2026-02-25T16:36:08"/>
        <d v="2026-02-25T16:37:19"/>
        <d v="2026-02-26T08:49:47"/>
        <d v="2026-03-05T08:54:44"/>
        <d v="2026-03-05T08:55:57"/>
        <d v="2026-03-06T08:39:45"/>
        <d v="2026-03-06T08:40:59"/>
        <d v="2026-03-11T08:45:13"/>
        <d v="2026-03-13T11:02:41"/>
        <d v="2026-03-13T11:03:53"/>
        <d v="2026-03-17T08:53:12"/>
        <d v="2026-04-11T11:22:07"/>
        <d v="2026-04-18T14:11:14"/>
        <d v="2026-04-18T14:12:40"/>
        <d v="2026-04-28T09:01:38"/>
        <d v="2026-04-28T09:02:44"/>
        <d v="2026-04-29T09:06:02"/>
        <d v="2026-04-29T09:07:11"/>
        <d v="2026-05-12T09:24:35"/>
        <d v="2026-05-12T09:26:01"/>
        <d v="2026-05-13T08:33:28"/>
        <d v="2026-05-13T08:34:38"/>
        <d v="2026-05-14T09:08:31"/>
        <d v="2026-05-26T08:55:43"/>
        <d v="2026-05-26T08:56:47"/>
        <d v="2026-05-29T08:51:38"/>
        <d v="2026-05-29T08:52:44"/>
        <d v="2026-06-12T18:20:56"/>
        <d v="2026-06-12T18:22:41"/>
        <d v="2026-06-27T15:37:07"/>
        <d v="2026-06-27T15:38:18"/>
        <d v="2026-08-06T08:48:32"/>
        <d v="2026-07-29T09:55:29"/>
        <d v="2026-07-29T09:54:28"/>
        <d v="2025-06-04T11:44:03"/>
        <d v="2025-06-04T11:44:37"/>
        <d v="2025-06-05T08:48:47"/>
        <d v="2025-06-05T08:50:21"/>
        <d v="2025-06-12T17:38:36"/>
        <d v="2025-06-12T17:39:23"/>
        <d v="2025-06-14T11:56:46"/>
        <d v="2025-06-16T08:46:50"/>
        <d v="2025-06-17T08:47:37"/>
        <d v="2025-06-26T08:45:40"/>
        <d v="2025-06-26T08:47:07"/>
        <d v="2025-06-27T08:53:02"/>
        <d v="2025-06-27T08:54:13"/>
        <d v="2025-07-11T22:24:15"/>
        <d v="2025-07-11T22:25:46"/>
        <d v="2025-07-12T09:25:12"/>
        <d v="2025-07-12T09:26:24"/>
        <d v="2025-07-25T20:57:54"/>
        <d v="2025-07-25T20:59:03"/>
        <d v="2025-07-26T13:40:26"/>
        <d v="2025-07-26T13:41:48"/>
        <d v="2025-08-12T08:52:25"/>
        <d v="2025-08-12T08:53:41"/>
        <d v="2025-08-13T10:23:24"/>
        <d v="2025-08-25T18:09:25"/>
        <d v="2025-08-25T18:11:01"/>
        <d v="2025-08-26T08:49:16"/>
        <d v="2025-08-26T08:50:26"/>
        <d v="2025-09-11T23:32:48"/>
        <d v="2025-09-11T23:33:50"/>
        <d v="2025-09-12T08:56:26"/>
        <d v="2025-09-12T08:57:57"/>
        <d v="2025-09-25T17:57:07"/>
        <d v="2025-09-25T17:57:37"/>
        <d v="2025-09-26T08:53:49"/>
        <d v="2025-09-26T08:55:12"/>
        <d v="2025-10-13T23:19:57"/>
        <d v="2025-10-13T23:20:37"/>
        <d v="2025-10-14T08:55:51"/>
        <d v="2025-10-14T08:57:22"/>
        <d v="2025-10-27T18:04:03"/>
        <d v="2025-10-27T18:05:21"/>
        <d v="2025-10-28T08:49:15"/>
        <d v="2025-10-28T08:50:50"/>
        <d v="2025-11-03T15:07:08"/>
        <d v="2025-11-11T18:27:46"/>
        <d v="2025-11-11T18:29:08"/>
        <d v="2025-11-12T08:53:34"/>
        <d v="2025-11-12T08:54:56"/>
        <d v="2025-11-25T20:28:00"/>
        <d v="2025-11-25T20:29:55"/>
        <d v="2025-11-27T08:50:09"/>
        <d v="2025-11-27T08:51:28"/>
        <d v="2025-12-11T17:24:34"/>
        <d v="2025-12-11T17:25:43"/>
        <d v="2025-12-12T17:47:39"/>
        <d v="2025-12-12T17:48:59"/>
        <d v="2026-01-13T15:06:53"/>
        <d v="2026-01-26T16:46:14"/>
        <d v="2026-01-26T16:47:13"/>
        <d v="2026-01-27T08:52:38"/>
        <d v="2026-01-27T08:53:24"/>
        <d v="2026-02-03T21:02:07"/>
        <d v="2026-02-05T10:43:52"/>
        <d v="2026-02-13T15:58:50"/>
        <d v="2026-02-13T16:00:07"/>
        <d v="2026-02-24T17:57:25"/>
        <d v="2026-02-25T15:07:07"/>
        <d v="2026-02-25T16:36:37"/>
        <d v="2026-02-25T16:37:53"/>
        <d v="2026-02-26T11:49:47"/>
        <d v="2026-03-02T15:04:03"/>
        <d v="2026-03-07T20:55:34"/>
        <d v="2026-03-09T11:54:40"/>
        <d v="2026-03-09T11:55:01"/>
        <d v="2026-03-11T08:45:49"/>
        <d v="2026-03-13T11:03:19"/>
        <d v="2026-03-13T11:04:08"/>
        <d v="2026-03-17T08:53:34"/>
        <d v="2026-04-11T11:22:28"/>
        <d v="2026-04-18T14:12:27"/>
        <d v="2026-04-18T14:13:12"/>
        <d v="2026-04-28T09:02:15"/>
        <d v="2026-04-28T09:03:03"/>
        <d v="2026-04-29T09:06:43"/>
        <d v="2026-04-29T09:07:31"/>
        <d v="2026-05-12T09:24:50"/>
        <d v="2026-05-12T09:26:34"/>
        <d v="2026-05-13T08:46:38"/>
        <d v="2026-05-13T08:47:08"/>
        <d v="2026-05-14T09:09:03"/>
        <d v="2026-05-26T08:56:10"/>
        <d v="2026-05-26T08:57:11"/>
        <d v="2026-05-29T08:51:53"/>
        <d v="2026-05-29T08:52:57"/>
        <d v="2026-06-12T18:21:08"/>
        <d v="2026-06-12T18:23:16"/>
        <d v="2026-06-27T15:37:25"/>
        <d v="2026-06-27T15:38:30"/>
        <d v="2026-08-06T08:48:46"/>
        <d v="2026-07-29T09:55:45"/>
        <d v="2026-07-29T09:54:58"/>
        <d v="2025-06-04T09:01:12"/>
        <d v="2025-06-11T19:35:24"/>
        <d v="2025-06-25T16:29:12"/>
        <d v="2025-07-11T15:44:40"/>
        <d v="2025-07-25T15:46:57"/>
        <d v="2025-08-11T15:28:38"/>
        <d v="2025-08-25T16:42:51"/>
        <d v="2025-09-11T17:15:13"/>
        <d v="2025-09-25T17:31:12"/>
        <d v="2025-10-13T17:05:46"/>
        <d v="2025-10-27T16:37:45"/>
        <d v="2025-11-03T10:56:08"/>
        <d v="2025-11-11T16:27:20"/>
        <d v="2025-11-25T17:14:06"/>
        <d v="2025-12-11T15:27:49"/>
        <d v="2026-01-12T17:21:22"/>
        <d v="2026-01-26T14:53:40"/>
        <d v="2026-01-27T09:34:23"/>
        <d v="2026-02-04T10:55:14"/>
        <d v="2026-02-11T15:07:10"/>
        <d v="2026-02-25T15:07:05"/>
        <d v="2026-03-02T15:04:01"/>
        <d v="2026-03-11T16:22:41"/>
        <d v="2026-03-25T17:11:25"/>
        <d v="2026-04-16T18:15:42"/>
        <d v="2026-04-27T16:34:26"/>
        <d v="2026-05-11T16:17:03"/>
        <d v="2026-05-25T15:30:24"/>
        <d v="2026-06-12T14:22:42"/>
        <d v="2026-06-25T15:08:48"/>
        <d v="2026-06-27T13:05:04"/>
        <d v="2026-06-27T13:08:54"/>
        <d v="2026-07-13T16:01:10"/>
        <d v="2026-07-13T16:59:39"/>
        <d v="2026-07-27T14:28:20"/>
      </sharedItems>
      <fieldGroup par="9"/>
    </cacheField>
    <cacheField name="Hora" numFmtId="0">
      <sharedItems/>
    </cacheField>
    <cacheField name="Grupo" numFmtId="0">
      <sharedItems/>
    </cacheField>
    <cacheField name="Usuário" numFmtId="0">
      <sharedItems/>
    </cacheField>
    <cacheField name="Tipo" numFmtId="0">
      <sharedItems count="6">
        <s v="Compra"/>
        <s v="Pendência de taxa"/>
        <s v="Saque"/>
        <s v="Taxa"/>
        <s v="Carga"/>
        <s v="Transferência"/>
      </sharedItems>
    </cacheField>
    <cacheField name="Descrição" numFmtId="0">
      <sharedItems/>
    </cacheField>
    <cacheField name="Valor" numFmtId="44">
      <sharedItems containsSemiMixedTypes="0" containsString="0" containsNumber="1" minValue="-2000" maxValue="4800"/>
    </cacheField>
    <cacheField name="Meses (Data)" numFmtId="0" databaseField="0">
      <fieldGroup base="0">
        <rangePr groupBy="months" startDate="2025-06-04T09:01:12" endDate="2026-08-06T08:48:46"/>
        <groupItems count="14">
          <s v="&lt;04/06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6/08/2026"/>
        </groupItems>
      </fieldGroup>
    </cacheField>
    <cacheField name="Trimestres (Data)" numFmtId="0" databaseField="0">
      <fieldGroup base="0">
        <rangePr groupBy="quarters" startDate="2025-06-04T09:01:12" endDate="2026-08-06T08:48:46"/>
        <groupItems count="6">
          <s v="&lt;04/06/2025"/>
          <s v="Trim1"/>
          <s v="Trim2"/>
          <s v="Trim3"/>
          <s v="Trim4"/>
          <s v="&gt;06/08/2026"/>
        </groupItems>
      </fieldGroup>
    </cacheField>
    <cacheField name="Anos (Data)" numFmtId="0" databaseField="0">
      <fieldGroup base="0">
        <rangePr groupBy="years" startDate="2025-06-04T09:01:12" endDate="2026-08-06T08:48:46"/>
        <groupItems count="4">
          <s v="&lt;04/06/2025"/>
          <s v="2025"/>
          <s v="2026"/>
          <s v="&gt;06/08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4">
  <r>
    <x v="0"/>
    <s v="11:32:48"/>
    <s v="REGIONAL CO"/>
    <s v="Carlos Nascimento Nonato Junior"/>
    <x v="0"/>
    <s v="J&amp;R MATERIAL DE CONSTR"/>
    <n v="-157.25"/>
  </r>
  <r>
    <x v="1"/>
    <s v="12:22:05"/>
    <s v="REGIONAL CO"/>
    <s v="Carlos Nascimento Nonato Junior"/>
    <x v="0"/>
    <s v="REFRIGASES COMERCIO DE"/>
    <n v="-229"/>
  </r>
  <r>
    <x v="2"/>
    <s v="08:51:11"/>
    <s v="REGIONAL CO"/>
    <s v="Carlos Nascimento Nonato Junior"/>
    <x v="1"/>
    <s v="Taxa pendente de SAQUE"/>
    <n v="-7"/>
  </r>
  <r>
    <x v="3"/>
    <s v="11:37:57"/>
    <s v="REGIONAL CO"/>
    <s v="Carlos Nascimento Nonato Junior"/>
    <x v="2"/>
    <s v="TECBAN-SUP COEMARUA JO"/>
    <n v="-1000"/>
  </r>
  <r>
    <x v="4"/>
    <s v="11:39:08"/>
    <s v="REGIONAL CO"/>
    <s v="Carlos Nascimento Nonato Junior"/>
    <x v="2"/>
    <s v="TECBAN-SUP COEMARUA JO"/>
    <n v="-1000"/>
  </r>
  <r>
    <x v="5"/>
    <s v="08:48:30"/>
    <s v="REGIONAL CO"/>
    <s v="Carlos Nascimento Nonato Junior"/>
    <x v="2"/>
    <s v="TECBAN-SUP COEMARUA JO"/>
    <n v="-1000"/>
  </r>
  <r>
    <x v="6"/>
    <s v="08:50:04"/>
    <s v="REGIONAL CO"/>
    <s v="Carlos Nascimento Nonato Junior"/>
    <x v="2"/>
    <s v="TECBAN-SUP COEMARUA JO"/>
    <n v="-970"/>
  </r>
  <r>
    <x v="7"/>
    <s v="16:38:49"/>
    <s v="REGIONAL CO"/>
    <s v="Carlos Nascimento Nonato Junior"/>
    <x v="2"/>
    <s v="TECBAN-DROG STO REM LJ"/>
    <n v="-1000"/>
  </r>
  <r>
    <x v="8"/>
    <s v="16:40:09"/>
    <s v="REGIONAL CO"/>
    <s v="Carlos Nascimento Nonato Junior"/>
    <x v="2"/>
    <s v="TECBAN-DROG STO REM LJ"/>
    <n v="-1000"/>
  </r>
  <r>
    <x v="9"/>
    <s v="11:11:07"/>
    <s v="REGIONAL CO"/>
    <s v="Carlos Nascimento Nonato Junior"/>
    <x v="2"/>
    <s v="TECBAN-SUP COEMA CAMAP"/>
    <n v="-500"/>
  </r>
  <r>
    <x v="10"/>
    <s v="08:46:25"/>
    <s v="REGIONAL CO"/>
    <s v="Carlos Nascimento Nonato Junior"/>
    <x v="2"/>
    <s v="TECBAN-SUP COEMARUA JO"/>
    <n v="-1000"/>
  </r>
  <r>
    <x v="11"/>
    <s v="08:47:14"/>
    <s v="REGIONAL CO"/>
    <s v="Carlos Nascimento Nonato Junior"/>
    <x v="2"/>
    <s v="TECBAN-SUP COEMARUA JO"/>
    <n v="-420"/>
  </r>
  <r>
    <x v="12"/>
    <s v="08:45:22"/>
    <s v="REGIONAL CO"/>
    <s v="Carlos Nascimento Nonato Junior"/>
    <x v="2"/>
    <s v="TECBAN-SUP COEMARUA JO"/>
    <n v="-1000"/>
  </r>
  <r>
    <x v="13"/>
    <s v="08:46:42"/>
    <s v="REGIONAL CO"/>
    <s v="Carlos Nascimento Nonato Junior"/>
    <x v="2"/>
    <s v="TECBAN-SUP COEMARUA JO"/>
    <n v="-980"/>
  </r>
  <r>
    <x v="14"/>
    <s v="08:52:44"/>
    <s v="REGIONAL CO"/>
    <s v="Carlos Nascimento Nonato Junior"/>
    <x v="2"/>
    <s v="TECBAN-SUP COEMARUA JO"/>
    <n v="-1000"/>
  </r>
  <r>
    <x v="15"/>
    <s v="08:54:00"/>
    <s v="REGIONAL CO"/>
    <s v="Carlos Nascimento Nonato Junior"/>
    <x v="2"/>
    <s v="TECBAN-SUP COEMARUA JO"/>
    <n v="-980"/>
  </r>
  <r>
    <x v="16"/>
    <s v="22:23:54"/>
    <s v="REGIONAL CO"/>
    <s v="Carlos Nascimento Nonato Junior"/>
    <x v="2"/>
    <s v="TECBAN-DROG FLEX FCA M"/>
    <n v="-1000"/>
  </r>
  <r>
    <x v="17"/>
    <s v="22:25:29"/>
    <s v="REGIONAL CO"/>
    <s v="Carlos Nascimento Nonato Junior"/>
    <x v="2"/>
    <s v="TECBAN-DROG FLEX FCA M"/>
    <n v="-1000"/>
  </r>
  <r>
    <x v="18"/>
    <s v="09:24:56"/>
    <s v="REGIONAL CO"/>
    <s v="Carlos Nascimento Nonato Junior"/>
    <x v="2"/>
    <s v="TECBAN-SUP VIEIRA CN A"/>
    <n v="-1000"/>
  </r>
  <r>
    <x v="19"/>
    <s v="09:26:06"/>
    <s v="REGIONAL CO"/>
    <s v="Carlos Nascimento Nonato Junior"/>
    <x v="2"/>
    <s v="TECBAN-SUP VIEIRA CN A"/>
    <n v="-940"/>
  </r>
  <r>
    <x v="20"/>
    <s v="20:57:41"/>
    <s v="REGIONAL CO"/>
    <s v="Carlos Nascimento Nonato Junior"/>
    <x v="2"/>
    <s v="TECBAN-SUP COEMA CAMAP"/>
    <n v="-1000"/>
  </r>
  <r>
    <x v="21"/>
    <s v="20:58:50"/>
    <s v="REGIONAL CO"/>
    <s v="Carlos Nascimento Nonato Junior"/>
    <x v="2"/>
    <s v="TECBAN-SUP COEMA CAMAP"/>
    <n v="-1000"/>
  </r>
  <r>
    <x v="22"/>
    <s v="13:40:04"/>
    <s v="REGIONAL CO"/>
    <s v="Carlos Nascimento Nonato Junior"/>
    <x v="2"/>
    <s v="TECBAN-SUP COEMARUA JO"/>
    <n v="-1000"/>
  </r>
  <r>
    <x v="23"/>
    <s v="13:41:27"/>
    <s v="REGIONAL CO"/>
    <s v="Carlos Nascimento Nonato Junior"/>
    <x v="2"/>
    <s v="TECBAN-SUP COEMARUA JO"/>
    <n v="-970"/>
  </r>
  <r>
    <x v="24"/>
    <s v="08:52:08"/>
    <s v="REGIONAL CO"/>
    <s v="Carlos Nascimento Nonato Junior"/>
    <x v="2"/>
    <s v="TECBAN-SUP COEMARUA JO"/>
    <n v="-1000"/>
  </r>
  <r>
    <x v="25"/>
    <s v="08:53:22"/>
    <s v="REGIONAL CO"/>
    <s v="Carlos Nascimento Nonato Junior"/>
    <x v="2"/>
    <s v="TECBAN-SUP COEMARUA JO"/>
    <n v="-1000"/>
  </r>
  <r>
    <x v="26"/>
    <s v="10:23:11"/>
    <s v="REGIONAL CO"/>
    <s v="Carlos Nascimento Nonato Junior"/>
    <x v="2"/>
    <s v="TECBAN-SUP COEMARUA JO"/>
    <n v="-400"/>
  </r>
  <r>
    <x v="27"/>
    <s v="18:09:12"/>
    <s v="REGIONAL CO"/>
    <s v="Carlos Nascimento Nonato Junior"/>
    <x v="2"/>
    <s v="TECBAN-SUP COEMARUA JO"/>
    <n v="-1000"/>
  </r>
  <r>
    <x v="28"/>
    <s v="18:10:37"/>
    <s v="REGIONAL CO"/>
    <s v="Carlos Nascimento Nonato Junior"/>
    <x v="2"/>
    <s v="TECBAN-SUP COEMARUA JO"/>
    <n v="-1000"/>
  </r>
  <r>
    <x v="29"/>
    <s v="08:48:49"/>
    <s v="REGIONAL CO"/>
    <s v="Carlos Nascimento Nonato Junior"/>
    <x v="2"/>
    <s v="TECBAN-SUP COEMARUA JO"/>
    <n v="-1000"/>
  </r>
  <r>
    <x v="30"/>
    <s v="08:50:07"/>
    <s v="REGIONAL CO"/>
    <s v="Carlos Nascimento Nonato Junior"/>
    <x v="2"/>
    <s v="TECBAN-SUP COEMARUA JO"/>
    <n v="-970"/>
  </r>
  <r>
    <x v="31"/>
    <s v="20:53:45"/>
    <s v="REGIONAL CO"/>
    <s v="Carlos Nascimento Nonato Junior"/>
    <x v="2"/>
    <s v="TECBAN-SUP COEMA CAMAP"/>
    <n v="-1000"/>
  </r>
  <r>
    <x v="32"/>
    <s v="20:55:05"/>
    <s v="REGIONAL CO"/>
    <s v="Carlos Nascimento Nonato Junior"/>
    <x v="2"/>
    <s v="TECBAN-SUP COEMA CAMAP"/>
    <n v="-1000"/>
  </r>
  <r>
    <x v="33"/>
    <s v="08:56:10"/>
    <s v="REGIONAL CO"/>
    <s v="Carlos Nascimento Nonato Junior"/>
    <x v="2"/>
    <s v="TECBAN-SUP COEMARUA JO"/>
    <n v="-1000"/>
  </r>
  <r>
    <x v="34"/>
    <s v="08:57:27"/>
    <s v="REGIONAL CO"/>
    <s v="Carlos Nascimento Nonato Junior"/>
    <x v="2"/>
    <s v="TECBAN-SUP COEMARUA JO"/>
    <n v="-970"/>
  </r>
  <r>
    <x v="35"/>
    <s v="17:49:37"/>
    <s v="REGIONAL CO"/>
    <s v="Carlos Nascimento Nonato Junior"/>
    <x v="2"/>
    <s v="TECBAN-SUP VIEIRA CN A"/>
    <n v="-1000"/>
  </r>
  <r>
    <x v="36"/>
    <s v="17:50:57"/>
    <s v="REGIONAL CO"/>
    <s v="Carlos Nascimento Nonato Junior"/>
    <x v="2"/>
    <s v="TECBAN-SUP VIEIRA CN A"/>
    <n v="-1000"/>
  </r>
  <r>
    <x v="37"/>
    <s v="08:53:26"/>
    <s v="REGIONAL CO"/>
    <s v="Carlos Nascimento Nonato Junior"/>
    <x v="2"/>
    <s v="TECBAN-SUP COEMARUA JO"/>
    <n v="-1000"/>
  </r>
  <r>
    <x v="38"/>
    <s v="08:54:58"/>
    <s v="REGIONAL CO"/>
    <s v="Carlos Nascimento Nonato Junior"/>
    <x v="2"/>
    <s v="TECBAN-SUP COEMARUA JO"/>
    <n v="-950"/>
  </r>
  <r>
    <x v="39"/>
    <s v="18:44:22"/>
    <s v="REGIONAL CO"/>
    <s v="Carlos Nascimento Nonato Junior"/>
    <x v="2"/>
    <s v="TECBAN-DROG STA LUZIAR"/>
    <n v="-1000"/>
  </r>
  <r>
    <x v="40"/>
    <s v="18:45:44"/>
    <s v="REGIONAL CO"/>
    <s v="Carlos Nascimento Nonato Junior"/>
    <x v="2"/>
    <s v="TECBAN-DROG STA LUZIAR"/>
    <n v="-1000"/>
  </r>
  <r>
    <x v="41"/>
    <s v="08:55:32"/>
    <s v="REGIONAL CO"/>
    <s v="Carlos Nascimento Nonato Junior"/>
    <x v="2"/>
    <s v="TECBAN-SUP COEMARUA JO"/>
    <n v="-1000"/>
  </r>
  <r>
    <x v="42"/>
    <s v="08:56:55"/>
    <s v="REGIONAL CO"/>
    <s v="Carlos Nascimento Nonato Junior"/>
    <x v="2"/>
    <s v="TECBAN-SUP COEMARUA JO"/>
    <n v="-970"/>
  </r>
  <r>
    <x v="43"/>
    <s v="18:03:35"/>
    <s v="REGIONAL CO"/>
    <s v="Carlos Nascimento Nonato Junior"/>
    <x v="2"/>
    <s v="TECBAN-SUP VIEIRA CN A"/>
    <n v="-1000"/>
  </r>
  <r>
    <x v="44"/>
    <s v="18:04:52"/>
    <s v="REGIONAL CO"/>
    <s v="Carlos Nascimento Nonato Junior"/>
    <x v="2"/>
    <s v="TECBAN-SUP VIEIRA CN A"/>
    <n v="-1000"/>
  </r>
  <r>
    <x v="45"/>
    <s v="08:48:58"/>
    <s v="REGIONAL CO"/>
    <s v="Carlos Nascimento Nonato Junior"/>
    <x v="2"/>
    <s v="TECBAN-SUP COEMARUA JO"/>
    <n v="-1000"/>
  </r>
  <r>
    <x v="46"/>
    <s v="08:50:10"/>
    <s v="REGIONAL CO"/>
    <s v="Carlos Nascimento Nonato Junior"/>
    <x v="2"/>
    <s v="TECBAN-SUP COEMARUA JO"/>
    <n v="-970"/>
  </r>
  <r>
    <x v="47"/>
    <s v="15:06:51"/>
    <s v="REGIONAL CO"/>
    <s v="Carlos Nascimento Nonato Junior"/>
    <x v="2"/>
    <s v="TECBAN-SUP COEMARUA JO"/>
    <n v="-520"/>
  </r>
  <r>
    <x v="48"/>
    <s v="18:27:27"/>
    <s v="REGIONAL CO"/>
    <s v="Carlos Nascimento Nonato Junior"/>
    <x v="2"/>
    <s v="TECBAN-SUP COEMARUA JO"/>
    <n v="-1000"/>
  </r>
  <r>
    <x v="49"/>
    <s v="18:28:41"/>
    <s v="REGIONAL CO"/>
    <s v="Carlos Nascimento Nonato Junior"/>
    <x v="2"/>
    <s v="TECBAN-SUP COEMARUA JO"/>
    <n v="-1000"/>
  </r>
  <r>
    <x v="50"/>
    <s v="08:53:03"/>
    <s v="REGIONAL CO"/>
    <s v="Carlos Nascimento Nonato Junior"/>
    <x v="2"/>
    <s v="TECBAN-SUP COEMARUA JO"/>
    <n v="-1000"/>
  </r>
  <r>
    <x v="51"/>
    <s v="08:54:19"/>
    <s v="REGIONAL CO"/>
    <s v="Carlos Nascimento Nonato Junior"/>
    <x v="2"/>
    <s v="TECBAN-SUP COEMARUA JO"/>
    <n v="-970"/>
  </r>
  <r>
    <x v="52"/>
    <s v="20:27:40"/>
    <s v="REGIONAL CO"/>
    <s v="Carlos Nascimento Nonato Junior"/>
    <x v="2"/>
    <s v="TECBAN-SUP COEMA CAMAP"/>
    <n v="-1000"/>
  </r>
  <r>
    <x v="53"/>
    <s v="20:29:24"/>
    <s v="REGIONAL CO"/>
    <s v="Carlos Nascimento Nonato Junior"/>
    <x v="2"/>
    <s v="TECBAN-SUP COEMA CAMAP"/>
    <n v="-1000"/>
  </r>
  <r>
    <x v="54"/>
    <s v="08:49:40"/>
    <s v="REGIONAL CO"/>
    <s v="Carlos Nascimento Nonato Junior"/>
    <x v="2"/>
    <s v="TECBAN-SUP COEMARUA JO"/>
    <n v="-1000"/>
  </r>
  <r>
    <x v="55"/>
    <s v="08:51:10"/>
    <s v="REGIONAL CO"/>
    <s v="Carlos Nascimento Nonato Junior"/>
    <x v="2"/>
    <s v="TECBAN-SUP COEMARUA JO"/>
    <n v="-560"/>
  </r>
  <r>
    <x v="56"/>
    <s v="17:24:04"/>
    <s v="REGIONAL CO"/>
    <s v="Carlos Nascimento Nonato Junior"/>
    <x v="2"/>
    <s v="TECBAN-SUP VIEIRA CN A"/>
    <n v="-1000"/>
  </r>
  <r>
    <x v="57"/>
    <s v="17:25:12"/>
    <s v="REGIONAL CO"/>
    <s v="Carlos Nascimento Nonato Junior"/>
    <x v="2"/>
    <s v="TECBAN-SUP VIEIRA CN A"/>
    <n v="-1000"/>
  </r>
  <r>
    <x v="58"/>
    <s v="17:47:08"/>
    <s v="REGIONAL CO"/>
    <s v="Carlos Nascimento Nonato Junior"/>
    <x v="2"/>
    <s v="TECBAN-BARATAO DA CARN"/>
    <n v="-1000"/>
  </r>
  <r>
    <x v="59"/>
    <s v="17:48:31"/>
    <s v="REGIONAL CO"/>
    <s v="Carlos Nascimento Nonato Junior"/>
    <x v="2"/>
    <s v="TECBAN-BARATAO DA CARN"/>
    <n v="-570"/>
  </r>
  <r>
    <x v="60"/>
    <s v="15:06:27"/>
    <s v="REGIONAL CO"/>
    <s v="Carlos Nascimento Nonato Junior"/>
    <x v="2"/>
    <s v="TECBAN-SUP VIEIRA CN A"/>
    <n v="-460"/>
  </r>
  <r>
    <x v="61"/>
    <s v="16:45:38"/>
    <s v="REGIONAL CO"/>
    <s v="Carlos Nascimento Nonato Junior"/>
    <x v="2"/>
    <s v="TECBAN-SUP VIEIRA CN A"/>
    <n v="-1000"/>
  </r>
  <r>
    <x v="62"/>
    <s v="16:46:52"/>
    <s v="REGIONAL CO"/>
    <s v="Carlos Nascimento Nonato Junior"/>
    <x v="2"/>
    <s v="TECBAN-SUP VIEIRA CN A"/>
    <n v="-1000"/>
  </r>
  <r>
    <x v="63"/>
    <s v="08:52:04"/>
    <s v="REGIONAL CO"/>
    <s v="Carlos Nascimento Nonato Junior"/>
    <x v="2"/>
    <s v="TECBAN-SUP COEMARUA JO"/>
    <n v="-1000"/>
  </r>
  <r>
    <x v="64"/>
    <s v="08:53:11"/>
    <s v="REGIONAL CO"/>
    <s v="Carlos Nascimento Nonato Junior"/>
    <x v="2"/>
    <s v="TECBAN-SUP COEMARUA JO"/>
    <n v="-970"/>
  </r>
  <r>
    <x v="65"/>
    <s v="21:01:32"/>
    <s v="REGIONAL CO"/>
    <s v="Carlos Nascimento Nonato Junior"/>
    <x v="2"/>
    <s v="TECBAN-HIPER BARATAO T"/>
    <n v="-1000"/>
  </r>
  <r>
    <x v="66"/>
    <s v="10:43:33"/>
    <s v="REGIONAL CO"/>
    <s v="Carlos Nascimento Nonato Junior"/>
    <x v="2"/>
    <s v="TECBAN-SUP JUMA NC16 A"/>
    <n v="-590"/>
  </r>
  <r>
    <x v="67"/>
    <s v="15:58:27"/>
    <s v="REGIONAL CO"/>
    <s v="Carlos Nascimento Nonato Junior"/>
    <x v="2"/>
    <s v="TECBAN-SUP JUMA NC16 A"/>
    <n v="-1000"/>
  </r>
  <r>
    <x v="68"/>
    <s v="15:59:42"/>
    <s v="REGIONAL CO"/>
    <s v="Carlos Nascimento Nonato Junior"/>
    <x v="2"/>
    <s v="TECBAN-SUP JUMA NC16 A"/>
    <n v="-600"/>
  </r>
  <r>
    <x v="69"/>
    <s v="16:03:53"/>
    <s v="REGIONAL CO"/>
    <s v="Carlos Nascimento Nonato Junior"/>
    <x v="2"/>
    <s v="TECBAN-SUP COEMARUA JO"/>
    <n v="-1000"/>
  </r>
  <r>
    <x v="70"/>
    <s v="16:05:07"/>
    <s v="REGIONAL CO"/>
    <s v="Carlos Nascimento Nonato Junior"/>
    <x v="2"/>
    <s v="TECBAN-SUP COEMARUA JO"/>
    <n v="-300"/>
  </r>
  <r>
    <x v="71"/>
    <s v="16:36:08"/>
    <s v="REGIONAL CO"/>
    <s v="Carlos Nascimento Nonato Junior"/>
    <x v="2"/>
    <s v="TECBAN-SUP COEMARUA JO"/>
    <n v="-1000"/>
  </r>
  <r>
    <x v="72"/>
    <s v="16:37:19"/>
    <s v="REGIONAL CO"/>
    <s v="Carlos Nascimento Nonato Junior"/>
    <x v="2"/>
    <s v="TECBAN-SUP COEMARUA JO"/>
    <n v="-1000"/>
  </r>
  <r>
    <x v="73"/>
    <s v="08:49:47"/>
    <s v="REGIONAL CO"/>
    <s v="Carlos Nascimento Nonato Junior"/>
    <x v="2"/>
    <s v="TECBAN-SUP COEMARUA JO"/>
    <n v="-1000"/>
  </r>
  <r>
    <x v="2"/>
    <s v="08:51:11"/>
    <s v="REGIONAL CO"/>
    <s v="Carlos Nascimento Nonato Junior"/>
    <x v="2"/>
    <s v="TECBAN-SUP COEMARUA JO"/>
    <n v="-970"/>
  </r>
  <r>
    <x v="74"/>
    <s v="08:54:44"/>
    <s v="REGIONAL CO"/>
    <s v="Carlos Nascimento Nonato Junior"/>
    <x v="2"/>
    <s v="TECBAN-SUP COEMARUA JO"/>
    <n v="-1000"/>
  </r>
  <r>
    <x v="75"/>
    <s v="08:55:57"/>
    <s v="REGIONAL CO"/>
    <s v="Carlos Nascimento Nonato Junior"/>
    <x v="2"/>
    <s v="TECBAN-SUP COEMARUA JO"/>
    <n v="-1000"/>
  </r>
  <r>
    <x v="76"/>
    <s v="08:39:45"/>
    <s v="REGIONAL CO"/>
    <s v="Carlos Nascimento Nonato Junior"/>
    <x v="2"/>
    <s v="TECBAN-SUP COEMARUA JO"/>
    <n v="-1000"/>
  </r>
  <r>
    <x v="77"/>
    <s v="08:40:59"/>
    <s v="REGIONAL CO"/>
    <s v="Carlos Nascimento Nonato Junior"/>
    <x v="2"/>
    <s v="TECBAN-SUP COEMARUA JO"/>
    <n v="-1000"/>
  </r>
  <r>
    <x v="78"/>
    <s v="08:45:13"/>
    <s v="REGIONAL CO"/>
    <s v="Carlos Nascimento Nonato Junior"/>
    <x v="2"/>
    <s v="TECBAN-SUP COEMARUA JO"/>
    <n v="-750"/>
  </r>
  <r>
    <x v="79"/>
    <s v="11:02:41"/>
    <s v="REGIONAL CO"/>
    <s v="Carlos Nascimento Nonato Junior"/>
    <x v="2"/>
    <s v="TECBAN-SUP COEMARUA JO"/>
    <n v="-1000"/>
  </r>
  <r>
    <x v="80"/>
    <s v="11:03:53"/>
    <s v="REGIONAL CO"/>
    <s v="Carlos Nascimento Nonato Junior"/>
    <x v="2"/>
    <s v="TECBAN-SUP COEMARUA JO"/>
    <n v="-1000"/>
  </r>
  <r>
    <x v="81"/>
    <s v="08:53:12"/>
    <s v="REGIONAL CO"/>
    <s v="Carlos Nascimento Nonato Junior"/>
    <x v="2"/>
    <s v="TECBAN-SUP COEMARUA JO"/>
    <n v="-380"/>
  </r>
  <r>
    <x v="82"/>
    <s v="11:22:07"/>
    <s v="REGIONAL CO"/>
    <s v="Carlos Nascimento Nonato Junior"/>
    <x v="2"/>
    <s v="TECBAN-DROG STA LUZIAR"/>
    <n v="-260"/>
  </r>
  <r>
    <x v="83"/>
    <s v="14:11:14"/>
    <s v="REGIONAL CO"/>
    <s v="Carlos Nascimento Nonato Junior"/>
    <x v="2"/>
    <s v="TECBAN-SUP COEMARUA JO"/>
    <n v="-1000"/>
  </r>
  <r>
    <x v="84"/>
    <s v="14:12:40"/>
    <s v="REGIONAL CO"/>
    <s v="Carlos Nascimento Nonato Junior"/>
    <x v="2"/>
    <s v="TECBAN-SUP COEMARUA JO"/>
    <n v="-60"/>
  </r>
  <r>
    <x v="85"/>
    <s v="09:01:38"/>
    <s v="REGIONAL CO"/>
    <s v="Carlos Nascimento Nonato Junior"/>
    <x v="2"/>
    <s v="TECBAN-SUP COEMARUA JO"/>
    <n v="-1000"/>
  </r>
  <r>
    <x v="86"/>
    <s v="09:02:44"/>
    <s v="REGIONAL CO"/>
    <s v="Carlos Nascimento Nonato Junior"/>
    <x v="2"/>
    <s v="TECBAN-SUP COEMARUA JO"/>
    <n v="-1000"/>
  </r>
  <r>
    <x v="87"/>
    <s v="09:06:02"/>
    <s v="REGIONAL CO"/>
    <s v="Carlos Nascimento Nonato Junior"/>
    <x v="2"/>
    <s v="TECBAN-SUP COEMARUA JO"/>
    <n v="-1000"/>
  </r>
  <r>
    <x v="88"/>
    <s v="09:07:11"/>
    <s v="REGIONAL CO"/>
    <s v="Carlos Nascimento Nonato Junior"/>
    <x v="2"/>
    <s v="TECBAN-SUP COEMARUA JO"/>
    <n v="-530"/>
  </r>
  <r>
    <x v="89"/>
    <s v="09:24:35"/>
    <s v="REGIONAL CO"/>
    <s v="Carlos Nascimento Nonato Junior"/>
    <x v="2"/>
    <s v="TECBAN-SUP COEMARUA JO"/>
    <n v="-1000"/>
  </r>
  <r>
    <x v="90"/>
    <s v="09:26:01"/>
    <s v="REGIONAL CO"/>
    <s v="Carlos Nascimento Nonato Junior"/>
    <x v="2"/>
    <s v="TECBAN-SUP COEMARUA JO"/>
    <n v="-1000"/>
  </r>
  <r>
    <x v="91"/>
    <s v="08:33:28"/>
    <s v="REGIONAL CO"/>
    <s v="Carlos Nascimento Nonato Junior"/>
    <x v="2"/>
    <s v="TECBAN-SUP COEMARUA JO"/>
    <n v="-1000"/>
  </r>
  <r>
    <x v="92"/>
    <s v="08:34:38"/>
    <s v="REGIONAL CO"/>
    <s v="Carlos Nascimento Nonato Junior"/>
    <x v="2"/>
    <s v="TECBAN-SUP COEMARUA JO"/>
    <n v="-1000"/>
  </r>
  <r>
    <x v="93"/>
    <s v="09:08:31"/>
    <s v="REGIONAL CO"/>
    <s v="Carlos Nascimento Nonato Junior"/>
    <x v="2"/>
    <s v="TECBAN-SUP COEMARUA JO"/>
    <n v="-150"/>
  </r>
  <r>
    <x v="94"/>
    <s v="08:55:43"/>
    <s v="REGIONAL CO"/>
    <s v="Carlos Nascimento Nonato Junior"/>
    <x v="2"/>
    <s v="TECBAN-SUP COEMARUA JO"/>
    <n v="-1000"/>
  </r>
  <r>
    <x v="95"/>
    <s v="08:56:47"/>
    <s v="REGIONAL CO"/>
    <s v="Carlos Nascimento Nonato Junior"/>
    <x v="2"/>
    <s v="TECBAN-SUP COEMARUA JO"/>
    <n v="-1000"/>
  </r>
  <r>
    <x v="96"/>
    <s v="08:51:38"/>
    <s v="REGIONAL CO"/>
    <s v="Carlos Nascimento Nonato Junior"/>
    <x v="2"/>
    <s v="TECBAN-SUP COEMARUA JO"/>
    <n v="-1000"/>
  </r>
  <r>
    <x v="97"/>
    <s v="08:52:44"/>
    <s v="REGIONAL CO"/>
    <s v="Carlos Nascimento Nonato Junior"/>
    <x v="2"/>
    <s v="TECBAN-SUP COEMARUA JO"/>
    <n v="-970"/>
  </r>
  <r>
    <x v="98"/>
    <s v="18:20:56"/>
    <s v="REGIONAL CO"/>
    <s v="Carlos Nascimento Nonato Junior"/>
    <x v="2"/>
    <s v="TECBAN-SUP COEMA CAMAP"/>
    <n v="-1000"/>
  </r>
  <r>
    <x v="99"/>
    <s v="18:22:41"/>
    <s v="REGIONAL CO"/>
    <s v="Carlos Nascimento Nonato Junior"/>
    <x v="2"/>
    <s v="TECBAN-SUP COEMA CAMAP"/>
    <n v="-980"/>
  </r>
  <r>
    <x v="100"/>
    <s v="15:37:07"/>
    <s v="REGIONAL CO"/>
    <s v="Carlos Nascimento Nonato Junior"/>
    <x v="2"/>
    <s v="TECBAN-SUP COEMA CAMAP"/>
    <n v="-1000"/>
  </r>
  <r>
    <x v="101"/>
    <s v="15:38:18"/>
    <s v="REGIONAL CO"/>
    <s v="Carlos Nascimento Nonato Junior"/>
    <x v="2"/>
    <s v="TECBAN-SUP COEMA CAMAP"/>
    <n v="-980"/>
  </r>
  <r>
    <x v="102"/>
    <s v="08:48:32"/>
    <s v="REGIONAL CO"/>
    <s v="Carlos Nascimento Nonato Junior"/>
    <x v="2"/>
    <s v="TECBAN-SUP JUMA NC16 A"/>
    <n v="-230"/>
  </r>
  <r>
    <x v="103"/>
    <s v="09:55:29"/>
    <s v="REGIONAL CO"/>
    <s v="Carlos Nascimento Nonato Junior"/>
    <x v="2"/>
    <s v="TECBAN-SUP JUMA NC16 A"/>
    <n v="-1000"/>
  </r>
  <r>
    <x v="104"/>
    <s v="09:54:28"/>
    <s v="REGIONAL CO"/>
    <s v="Carlos Nascimento Nonato Junior"/>
    <x v="2"/>
    <s v="TECBAN-SUP JUMA NC16 A"/>
    <n v="-1000"/>
  </r>
  <r>
    <x v="105"/>
    <s v="11:44:03"/>
    <s v="REGIONAL CO"/>
    <s v="Carlos Nascimento Nonato Junior"/>
    <x v="3"/>
    <s v="Taxa de saque"/>
    <n v="-7"/>
  </r>
  <r>
    <x v="106"/>
    <s v="11:44:37"/>
    <s v="REGIONAL CO"/>
    <s v="Carlos Nascimento Nonato Junior"/>
    <x v="3"/>
    <s v="Taxa de saque"/>
    <n v="-7"/>
  </r>
  <r>
    <x v="107"/>
    <s v="08:48:47"/>
    <s v="REGIONAL CO"/>
    <s v="Carlos Nascimento Nonato Junior"/>
    <x v="3"/>
    <s v="Taxa de saque"/>
    <n v="-7"/>
  </r>
  <r>
    <x v="108"/>
    <s v="08:50:21"/>
    <s v="REGIONAL CO"/>
    <s v="Carlos Nascimento Nonato Junior"/>
    <x v="3"/>
    <s v="Taxa de saque"/>
    <n v="-7"/>
  </r>
  <r>
    <x v="109"/>
    <s v="17:38:36"/>
    <s v="REGIONAL CO"/>
    <s v="Carlos Nascimento Nonato Junior"/>
    <x v="3"/>
    <s v="Taxa de saque"/>
    <n v="-7"/>
  </r>
  <r>
    <x v="110"/>
    <s v="17:39:23"/>
    <s v="REGIONAL CO"/>
    <s v="Carlos Nascimento Nonato Junior"/>
    <x v="3"/>
    <s v="Taxa de saque"/>
    <n v="-7"/>
  </r>
  <r>
    <x v="111"/>
    <s v="11:56:46"/>
    <s v="REGIONAL CO"/>
    <s v="Carlos Nascimento Nonato Junior"/>
    <x v="3"/>
    <s v="Taxa de saque"/>
    <n v="-7"/>
  </r>
  <r>
    <x v="112"/>
    <s v="08:46:50"/>
    <s v="REGIONAL CO"/>
    <s v="Carlos Nascimento Nonato Junior"/>
    <x v="3"/>
    <s v="Taxa de saque"/>
    <n v="-7"/>
  </r>
  <r>
    <x v="113"/>
    <s v="08:47:37"/>
    <s v="REGIONAL CO"/>
    <s v="Carlos Nascimento Nonato Junior"/>
    <x v="3"/>
    <s v="Taxa de saque"/>
    <n v="-7"/>
  </r>
  <r>
    <x v="114"/>
    <s v="08:45:40"/>
    <s v="REGIONAL CO"/>
    <s v="Carlos Nascimento Nonato Junior"/>
    <x v="3"/>
    <s v="Taxa de saque"/>
    <n v="-7"/>
  </r>
  <r>
    <x v="115"/>
    <s v="08:47:07"/>
    <s v="REGIONAL CO"/>
    <s v="Carlos Nascimento Nonato Junior"/>
    <x v="3"/>
    <s v="Taxa de saque"/>
    <n v="-7"/>
  </r>
  <r>
    <x v="116"/>
    <s v="08:53:02"/>
    <s v="REGIONAL CO"/>
    <s v="Carlos Nascimento Nonato Junior"/>
    <x v="3"/>
    <s v="Taxa de saque"/>
    <n v="-7"/>
  </r>
  <r>
    <x v="117"/>
    <s v="08:54:13"/>
    <s v="REGIONAL CO"/>
    <s v="Carlos Nascimento Nonato Junior"/>
    <x v="3"/>
    <s v="Taxa de saque"/>
    <n v="-7"/>
  </r>
  <r>
    <x v="118"/>
    <s v="22:24:15"/>
    <s v="REGIONAL CO"/>
    <s v="Carlos Nascimento Nonato Junior"/>
    <x v="3"/>
    <s v="Taxa de saque"/>
    <n v="-7"/>
  </r>
  <r>
    <x v="119"/>
    <s v="22:25:46"/>
    <s v="REGIONAL CO"/>
    <s v="Carlos Nascimento Nonato Junior"/>
    <x v="3"/>
    <s v="Taxa de saque"/>
    <n v="-7"/>
  </r>
  <r>
    <x v="120"/>
    <s v="09:25:12"/>
    <s v="REGIONAL CO"/>
    <s v="Carlos Nascimento Nonato Junior"/>
    <x v="3"/>
    <s v="Taxa de saque"/>
    <n v="-7"/>
  </r>
  <r>
    <x v="121"/>
    <s v="09:26:24"/>
    <s v="REGIONAL CO"/>
    <s v="Carlos Nascimento Nonato Junior"/>
    <x v="3"/>
    <s v="Taxa de saque"/>
    <n v="-7"/>
  </r>
  <r>
    <x v="122"/>
    <s v="20:57:54"/>
    <s v="REGIONAL CO"/>
    <s v="Carlos Nascimento Nonato Junior"/>
    <x v="3"/>
    <s v="Taxa de saque"/>
    <n v="-7"/>
  </r>
  <r>
    <x v="123"/>
    <s v="20:59:03"/>
    <s v="REGIONAL CO"/>
    <s v="Carlos Nascimento Nonato Junior"/>
    <x v="3"/>
    <s v="Taxa de saque"/>
    <n v="-7"/>
  </r>
  <r>
    <x v="124"/>
    <s v="13:40:26"/>
    <s v="REGIONAL CO"/>
    <s v="Carlos Nascimento Nonato Junior"/>
    <x v="3"/>
    <s v="Taxa de saque"/>
    <n v="-7"/>
  </r>
  <r>
    <x v="125"/>
    <s v="13:41:48"/>
    <s v="REGIONAL CO"/>
    <s v="Carlos Nascimento Nonato Junior"/>
    <x v="3"/>
    <s v="Taxa de saque"/>
    <n v="-7"/>
  </r>
  <r>
    <x v="126"/>
    <s v="08:52:25"/>
    <s v="REGIONAL CO"/>
    <s v="Carlos Nascimento Nonato Junior"/>
    <x v="3"/>
    <s v="Taxa de saque"/>
    <n v="-7"/>
  </r>
  <r>
    <x v="127"/>
    <s v="08:53:41"/>
    <s v="REGIONAL CO"/>
    <s v="Carlos Nascimento Nonato Junior"/>
    <x v="3"/>
    <s v="Taxa de saque"/>
    <n v="-7"/>
  </r>
  <r>
    <x v="128"/>
    <s v="10:23:24"/>
    <s v="REGIONAL CO"/>
    <s v="Carlos Nascimento Nonato Junior"/>
    <x v="3"/>
    <s v="Taxa de saque"/>
    <n v="-7"/>
  </r>
  <r>
    <x v="129"/>
    <s v="18:09:25"/>
    <s v="REGIONAL CO"/>
    <s v="Carlos Nascimento Nonato Junior"/>
    <x v="3"/>
    <s v="Taxa de saque"/>
    <n v="-7"/>
  </r>
  <r>
    <x v="130"/>
    <s v="18:11:01"/>
    <s v="REGIONAL CO"/>
    <s v="Carlos Nascimento Nonato Junior"/>
    <x v="3"/>
    <s v="Taxa de saque"/>
    <n v="-7"/>
  </r>
  <r>
    <x v="131"/>
    <s v="08:49:16"/>
    <s v="REGIONAL CO"/>
    <s v="Carlos Nascimento Nonato Junior"/>
    <x v="3"/>
    <s v="Taxa de saque"/>
    <n v="-7"/>
  </r>
  <r>
    <x v="132"/>
    <s v="08:50:26"/>
    <s v="REGIONAL CO"/>
    <s v="Carlos Nascimento Nonato Junior"/>
    <x v="3"/>
    <s v="Taxa de saque"/>
    <n v="-7"/>
  </r>
  <r>
    <x v="133"/>
    <s v="23:32:48"/>
    <s v="REGIONAL CO"/>
    <s v="Carlos Nascimento Nonato Junior"/>
    <x v="3"/>
    <s v="Taxa de saque"/>
    <n v="-7"/>
  </r>
  <r>
    <x v="134"/>
    <s v="23:33:50"/>
    <s v="REGIONAL CO"/>
    <s v="Carlos Nascimento Nonato Junior"/>
    <x v="3"/>
    <s v="Taxa de saque"/>
    <n v="-7"/>
  </r>
  <r>
    <x v="135"/>
    <s v="08:56:26"/>
    <s v="REGIONAL CO"/>
    <s v="Carlos Nascimento Nonato Junior"/>
    <x v="3"/>
    <s v="Taxa de saque"/>
    <n v="-7"/>
  </r>
  <r>
    <x v="136"/>
    <s v="08:57:57"/>
    <s v="REGIONAL CO"/>
    <s v="Carlos Nascimento Nonato Junior"/>
    <x v="3"/>
    <s v="Taxa de saque"/>
    <n v="-7"/>
  </r>
  <r>
    <x v="137"/>
    <s v="17:57:07"/>
    <s v="REGIONAL CO"/>
    <s v="Carlos Nascimento Nonato Junior"/>
    <x v="3"/>
    <s v="Taxa de saque"/>
    <n v="-7"/>
  </r>
  <r>
    <x v="138"/>
    <s v="17:57:37"/>
    <s v="REGIONAL CO"/>
    <s v="Carlos Nascimento Nonato Junior"/>
    <x v="3"/>
    <s v="Taxa de saque"/>
    <n v="-7"/>
  </r>
  <r>
    <x v="139"/>
    <s v="08:53:49"/>
    <s v="REGIONAL CO"/>
    <s v="Carlos Nascimento Nonato Junior"/>
    <x v="3"/>
    <s v="Taxa de saque"/>
    <n v="-7"/>
  </r>
  <r>
    <x v="140"/>
    <s v="08:55:12"/>
    <s v="REGIONAL CO"/>
    <s v="Carlos Nascimento Nonato Junior"/>
    <x v="3"/>
    <s v="Taxa de saque"/>
    <n v="-7"/>
  </r>
  <r>
    <x v="141"/>
    <s v="23:19:57"/>
    <s v="REGIONAL CO"/>
    <s v="Carlos Nascimento Nonato Junior"/>
    <x v="3"/>
    <s v="Taxa de saque"/>
    <n v="-7"/>
  </r>
  <r>
    <x v="142"/>
    <s v="23:20:37"/>
    <s v="REGIONAL CO"/>
    <s v="Carlos Nascimento Nonato Junior"/>
    <x v="3"/>
    <s v="Taxa de saque"/>
    <n v="-7"/>
  </r>
  <r>
    <x v="143"/>
    <s v="08:55:51"/>
    <s v="REGIONAL CO"/>
    <s v="Carlos Nascimento Nonato Junior"/>
    <x v="3"/>
    <s v="Taxa de saque"/>
    <n v="-7"/>
  </r>
  <r>
    <x v="144"/>
    <s v="08:57:22"/>
    <s v="REGIONAL CO"/>
    <s v="Carlos Nascimento Nonato Junior"/>
    <x v="3"/>
    <s v="Taxa de saque"/>
    <n v="-7"/>
  </r>
  <r>
    <x v="145"/>
    <s v="18:04:03"/>
    <s v="REGIONAL CO"/>
    <s v="Carlos Nascimento Nonato Junior"/>
    <x v="3"/>
    <s v="Taxa de saque"/>
    <n v="-7"/>
  </r>
  <r>
    <x v="146"/>
    <s v="18:05:21"/>
    <s v="REGIONAL CO"/>
    <s v="Carlos Nascimento Nonato Junior"/>
    <x v="3"/>
    <s v="Taxa de saque"/>
    <n v="-7"/>
  </r>
  <r>
    <x v="147"/>
    <s v="08:49:15"/>
    <s v="REGIONAL CO"/>
    <s v="Carlos Nascimento Nonato Junior"/>
    <x v="3"/>
    <s v="Taxa de saque"/>
    <n v="-7"/>
  </r>
  <r>
    <x v="148"/>
    <s v="08:50:50"/>
    <s v="REGIONAL CO"/>
    <s v="Carlos Nascimento Nonato Junior"/>
    <x v="3"/>
    <s v="Taxa de saque"/>
    <n v="-7"/>
  </r>
  <r>
    <x v="149"/>
    <s v="15:07:08"/>
    <s v="REGIONAL CO"/>
    <s v="Carlos Nascimento Nonato Junior"/>
    <x v="3"/>
    <s v="Taxa de saque"/>
    <n v="-7"/>
  </r>
  <r>
    <x v="150"/>
    <s v="18:27:46"/>
    <s v="REGIONAL CO"/>
    <s v="Carlos Nascimento Nonato Junior"/>
    <x v="3"/>
    <s v="Taxa de saque"/>
    <n v="-7"/>
  </r>
  <r>
    <x v="151"/>
    <s v="18:29:08"/>
    <s v="REGIONAL CO"/>
    <s v="Carlos Nascimento Nonato Junior"/>
    <x v="3"/>
    <s v="Taxa de saque"/>
    <n v="-7"/>
  </r>
  <r>
    <x v="152"/>
    <s v="08:53:34"/>
    <s v="REGIONAL CO"/>
    <s v="Carlos Nascimento Nonato Junior"/>
    <x v="3"/>
    <s v="Taxa de saque"/>
    <n v="-7"/>
  </r>
  <r>
    <x v="153"/>
    <s v="08:54:56"/>
    <s v="REGIONAL CO"/>
    <s v="Carlos Nascimento Nonato Junior"/>
    <x v="3"/>
    <s v="Taxa de saque"/>
    <n v="-7"/>
  </r>
  <r>
    <x v="154"/>
    <s v="20:28:00"/>
    <s v="REGIONAL CO"/>
    <s v="Carlos Nascimento Nonato Junior"/>
    <x v="3"/>
    <s v="Taxa de saque"/>
    <n v="-7"/>
  </r>
  <r>
    <x v="155"/>
    <s v="20:29:55"/>
    <s v="REGIONAL CO"/>
    <s v="Carlos Nascimento Nonato Junior"/>
    <x v="3"/>
    <s v="Taxa de saque"/>
    <n v="-7"/>
  </r>
  <r>
    <x v="156"/>
    <s v="08:50:09"/>
    <s v="REGIONAL CO"/>
    <s v="Carlos Nascimento Nonato Junior"/>
    <x v="3"/>
    <s v="Taxa de saque"/>
    <n v="-7"/>
  </r>
  <r>
    <x v="157"/>
    <s v="08:51:28"/>
    <s v="REGIONAL CO"/>
    <s v="Carlos Nascimento Nonato Junior"/>
    <x v="3"/>
    <s v="Taxa de saque"/>
    <n v="-7"/>
  </r>
  <r>
    <x v="158"/>
    <s v="17:24:34"/>
    <s v="REGIONAL CO"/>
    <s v="Carlos Nascimento Nonato Junior"/>
    <x v="3"/>
    <s v="Taxa de saque"/>
    <n v="-7"/>
  </r>
  <r>
    <x v="159"/>
    <s v="17:25:43"/>
    <s v="REGIONAL CO"/>
    <s v="Carlos Nascimento Nonato Junior"/>
    <x v="3"/>
    <s v="Taxa de saque"/>
    <n v="-7"/>
  </r>
  <r>
    <x v="160"/>
    <s v="17:47:39"/>
    <s v="REGIONAL CO"/>
    <s v="Carlos Nascimento Nonato Junior"/>
    <x v="3"/>
    <s v="Taxa de saque"/>
    <n v="-7"/>
  </r>
  <r>
    <x v="161"/>
    <s v="17:48:59"/>
    <s v="REGIONAL CO"/>
    <s v="Carlos Nascimento Nonato Junior"/>
    <x v="3"/>
    <s v="Taxa de saque"/>
    <n v="-7"/>
  </r>
  <r>
    <x v="162"/>
    <s v="15:06:53"/>
    <s v="REGIONAL CO"/>
    <s v="Carlos Nascimento Nonato Junior"/>
    <x v="3"/>
    <s v="Taxa de saque"/>
    <n v="-7"/>
  </r>
  <r>
    <x v="163"/>
    <s v="16:46:14"/>
    <s v="REGIONAL CO"/>
    <s v="Carlos Nascimento Nonato Junior"/>
    <x v="3"/>
    <s v="Taxa de saque"/>
    <n v="-7"/>
  </r>
  <r>
    <x v="164"/>
    <s v="16:47:13"/>
    <s v="REGIONAL CO"/>
    <s v="Carlos Nascimento Nonato Junior"/>
    <x v="3"/>
    <s v="Taxa de saque"/>
    <n v="-7"/>
  </r>
  <r>
    <x v="165"/>
    <s v="08:52:38"/>
    <s v="REGIONAL CO"/>
    <s v="Carlos Nascimento Nonato Junior"/>
    <x v="3"/>
    <s v="Taxa de saque"/>
    <n v="-7"/>
  </r>
  <r>
    <x v="166"/>
    <s v="08:53:24"/>
    <s v="REGIONAL CO"/>
    <s v="Carlos Nascimento Nonato Junior"/>
    <x v="3"/>
    <s v="Taxa de saque"/>
    <n v="-7"/>
  </r>
  <r>
    <x v="167"/>
    <s v="21:02:07"/>
    <s v="REGIONAL CO"/>
    <s v="Carlos Nascimento Nonato Junior"/>
    <x v="3"/>
    <s v="Taxa de saque"/>
    <n v="-7"/>
  </r>
  <r>
    <x v="168"/>
    <s v="10:43:52"/>
    <s v="REGIONAL CO"/>
    <s v="Carlos Nascimento Nonato Junior"/>
    <x v="3"/>
    <s v="Taxa de saque"/>
    <n v="-7"/>
  </r>
  <r>
    <x v="169"/>
    <s v="15:58:50"/>
    <s v="REGIONAL CO"/>
    <s v="Carlos Nascimento Nonato Junior"/>
    <x v="3"/>
    <s v="Taxa de saque"/>
    <n v="-7"/>
  </r>
  <r>
    <x v="170"/>
    <s v="16:00:07"/>
    <s v="REGIONAL CO"/>
    <s v="Carlos Nascimento Nonato Junior"/>
    <x v="3"/>
    <s v="Taxa de saque"/>
    <n v="-7"/>
  </r>
  <r>
    <x v="171"/>
    <s v="17:57:25"/>
    <s v="REGIONAL CO"/>
    <s v="Carlos Nascimento Nonato Junior"/>
    <x v="3"/>
    <s v="Taxa de saque"/>
    <n v="-7"/>
  </r>
  <r>
    <x v="172"/>
    <s v="15:07:07"/>
    <s v="REGIONAL CO"/>
    <s v="Carlos Nascimento Nonato Junior"/>
    <x v="3"/>
    <s v="Taxa de saque"/>
    <n v="-7"/>
  </r>
  <r>
    <x v="173"/>
    <s v="16:36:37"/>
    <s v="REGIONAL CO"/>
    <s v="Carlos Nascimento Nonato Junior"/>
    <x v="3"/>
    <s v="Taxa de saque"/>
    <n v="-7"/>
  </r>
  <r>
    <x v="174"/>
    <s v="16:37:53"/>
    <s v="REGIONAL CO"/>
    <s v="Carlos Nascimento Nonato Junior"/>
    <x v="3"/>
    <s v="Taxa de saque"/>
    <n v="-7"/>
  </r>
  <r>
    <x v="175"/>
    <s v="11:49:47"/>
    <s v="REGIONAL CO"/>
    <s v="Carlos Nascimento Nonato Junior"/>
    <x v="3"/>
    <s v="Taxa de saque"/>
    <n v="-7"/>
  </r>
  <r>
    <x v="176"/>
    <s v="15:04:03"/>
    <s v="REGIONAL CO"/>
    <s v="Carlos Nascimento Nonato Junior"/>
    <x v="3"/>
    <s v="Taxa de saque"/>
    <n v="-7"/>
  </r>
  <r>
    <x v="177"/>
    <s v="20:55:34"/>
    <s v="REGIONAL CO"/>
    <s v="Carlos Nascimento Nonato Junior"/>
    <x v="3"/>
    <s v="Taxa de saque"/>
    <n v="-7"/>
  </r>
  <r>
    <x v="178"/>
    <s v="11:54:40"/>
    <s v="REGIONAL CO"/>
    <s v="Carlos Nascimento Nonato Junior"/>
    <x v="3"/>
    <s v="Taxa de saque"/>
    <n v="-7"/>
  </r>
  <r>
    <x v="179"/>
    <s v="11:55:01"/>
    <s v="REGIONAL CO"/>
    <s v="Carlos Nascimento Nonato Junior"/>
    <x v="3"/>
    <s v="Taxa de saque"/>
    <n v="-7"/>
  </r>
  <r>
    <x v="179"/>
    <s v="11:55:01"/>
    <s v="REGIONAL CO"/>
    <s v="Carlos Nascimento Nonato Junior"/>
    <x v="3"/>
    <s v="Taxa de saque"/>
    <n v="-7"/>
  </r>
  <r>
    <x v="180"/>
    <s v="08:45:49"/>
    <s v="REGIONAL CO"/>
    <s v="Carlos Nascimento Nonato Junior"/>
    <x v="3"/>
    <s v="Taxa de saque"/>
    <n v="-7"/>
  </r>
  <r>
    <x v="181"/>
    <s v="11:03:19"/>
    <s v="REGIONAL CO"/>
    <s v="Carlos Nascimento Nonato Junior"/>
    <x v="3"/>
    <s v="Taxa de saque"/>
    <n v="-7"/>
  </r>
  <r>
    <x v="182"/>
    <s v="11:04:08"/>
    <s v="REGIONAL CO"/>
    <s v="Carlos Nascimento Nonato Junior"/>
    <x v="3"/>
    <s v="Taxa de saque"/>
    <n v="-7"/>
  </r>
  <r>
    <x v="183"/>
    <s v="08:53:34"/>
    <s v="REGIONAL CO"/>
    <s v="Carlos Nascimento Nonato Junior"/>
    <x v="3"/>
    <s v="Taxa de saque"/>
    <n v="-7"/>
  </r>
  <r>
    <x v="184"/>
    <s v="11:22:28"/>
    <s v="REGIONAL CO"/>
    <s v="Carlos Nascimento Nonato Junior"/>
    <x v="3"/>
    <s v="Taxa de saque"/>
    <n v="-7"/>
  </r>
  <r>
    <x v="185"/>
    <s v="14:12:27"/>
    <s v="REGIONAL CO"/>
    <s v="Carlos Nascimento Nonato Junior"/>
    <x v="3"/>
    <s v="Taxa de saque"/>
    <n v="-7"/>
  </r>
  <r>
    <x v="186"/>
    <s v="14:13:12"/>
    <s v="REGIONAL CO"/>
    <s v="Carlos Nascimento Nonato Junior"/>
    <x v="3"/>
    <s v="Taxa de saque"/>
    <n v="-7"/>
  </r>
  <r>
    <x v="187"/>
    <s v="09:02:15"/>
    <s v="REGIONAL CO"/>
    <s v="Carlos Nascimento Nonato Junior"/>
    <x v="3"/>
    <s v="Taxa de saque"/>
    <n v="-7"/>
  </r>
  <r>
    <x v="188"/>
    <s v="09:03:03"/>
    <s v="REGIONAL CO"/>
    <s v="Carlos Nascimento Nonato Junior"/>
    <x v="3"/>
    <s v="Taxa de saque"/>
    <n v="-7"/>
  </r>
  <r>
    <x v="189"/>
    <s v="09:06:43"/>
    <s v="REGIONAL CO"/>
    <s v="Carlos Nascimento Nonato Junior"/>
    <x v="3"/>
    <s v="Taxa de saque"/>
    <n v="-7"/>
  </r>
  <r>
    <x v="190"/>
    <s v="09:07:31"/>
    <s v="REGIONAL CO"/>
    <s v="Carlos Nascimento Nonato Junior"/>
    <x v="3"/>
    <s v="Taxa de saque"/>
    <n v="-7"/>
  </r>
  <r>
    <x v="191"/>
    <s v="09:24:50"/>
    <s v="REGIONAL CO"/>
    <s v="Carlos Nascimento Nonato Junior"/>
    <x v="3"/>
    <s v="Taxa de saque"/>
    <n v="-7"/>
  </r>
  <r>
    <x v="192"/>
    <s v="09:26:34"/>
    <s v="REGIONAL CO"/>
    <s v="Carlos Nascimento Nonato Junior"/>
    <x v="3"/>
    <s v="Taxa de saque"/>
    <n v="-7"/>
  </r>
  <r>
    <x v="193"/>
    <s v="08:46:38"/>
    <s v="REGIONAL CO"/>
    <s v="Carlos Nascimento Nonato Junior"/>
    <x v="3"/>
    <s v="Taxa de saque"/>
    <n v="-7"/>
  </r>
  <r>
    <x v="194"/>
    <s v="08:47:08"/>
    <s v="REGIONAL CO"/>
    <s v="Carlos Nascimento Nonato Junior"/>
    <x v="3"/>
    <s v="Taxa de saque"/>
    <n v="-7"/>
  </r>
  <r>
    <x v="195"/>
    <s v="09:09:03"/>
    <s v="REGIONAL CO"/>
    <s v="Carlos Nascimento Nonato Junior"/>
    <x v="3"/>
    <s v="Taxa de saque"/>
    <n v="-7"/>
  </r>
  <r>
    <x v="196"/>
    <s v="08:56:10"/>
    <s v="REGIONAL CO"/>
    <s v="Carlos Nascimento Nonato Junior"/>
    <x v="3"/>
    <s v="Taxa de saque"/>
    <n v="-7"/>
  </r>
  <r>
    <x v="197"/>
    <s v="08:57:11"/>
    <s v="REGIONAL CO"/>
    <s v="Carlos Nascimento Nonato Junior"/>
    <x v="3"/>
    <s v="Taxa de saque"/>
    <n v="-7"/>
  </r>
  <r>
    <x v="198"/>
    <s v="08:51:53"/>
    <s v="REGIONAL CO"/>
    <s v="Carlos Nascimento Nonato Junior"/>
    <x v="3"/>
    <s v="Taxa de saque"/>
    <n v="-7"/>
  </r>
  <r>
    <x v="199"/>
    <s v="08:52:57"/>
    <s v="REGIONAL CO"/>
    <s v="Carlos Nascimento Nonato Junior"/>
    <x v="3"/>
    <s v="Taxa de saque"/>
    <n v="-7"/>
  </r>
  <r>
    <x v="200"/>
    <s v="18:21:08"/>
    <s v="REGIONAL CO"/>
    <s v="Carlos Nascimento Nonato Junior"/>
    <x v="3"/>
    <s v="Taxa de saque"/>
    <n v="-7"/>
  </r>
  <r>
    <x v="201"/>
    <s v="18:23:16"/>
    <s v="REGIONAL CO"/>
    <s v="Carlos Nascimento Nonato Junior"/>
    <x v="3"/>
    <s v="Taxa de saque"/>
    <n v="-7"/>
  </r>
  <r>
    <x v="202"/>
    <s v="15:37:25"/>
    <s v="REGIONAL CO"/>
    <s v="Carlos Nascimento Nonato Junior"/>
    <x v="3"/>
    <s v="Taxa de saque"/>
    <n v="-7"/>
  </r>
  <r>
    <x v="203"/>
    <s v="15:38:30"/>
    <s v="REGIONAL CO"/>
    <s v="Carlos Nascimento Nonato Junior"/>
    <x v="3"/>
    <s v="Taxa de saque"/>
    <n v="-7"/>
  </r>
  <r>
    <x v="204"/>
    <s v="08:48:46"/>
    <s v="REGIONAL CO"/>
    <s v="Carlos Nascimento Nonato Junior"/>
    <x v="3"/>
    <s v="Taxa de saque"/>
    <n v="-7"/>
  </r>
  <r>
    <x v="205"/>
    <s v="09:55:45"/>
    <s v="REGIONAL CO"/>
    <s v="Carlos Nascimento Nonato Junior"/>
    <x v="3"/>
    <s v="Taxa de saque"/>
    <n v="-7"/>
  </r>
  <r>
    <x v="206"/>
    <s v="09:54:58"/>
    <s v="REGIONAL CO"/>
    <s v="Carlos Nascimento Nonato Junior"/>
    <x v="3"/>
    <s v="Taxa de saque"/>
    <n v="-7"/>
  </r>
  <r>
    <x v="207"/>
    <s v="09:01:12"/>
    <s v="REGIONAL CO"/>
    <s v="Carlos Nascimento Nonato Junior"/>
    <x v="4"/>
    <s v="Transf. REGIONAL CO &gt; Carlos N. N. Junior: 2 QUINZENA - MAIO/2025"/>
    <n v="3998.63"/>
  </r>
  <r>
    <x v="208"/>
    <s v="19:35:24"/>
    <s v="REGIONAL CO"/>
    <s v="Carlos Nascimento Nonato Junior"/>
    <x v="4"/>
    <s v="Transf. REGIONAL CO &gt; Carlos N. N. Junior"/>
    <n v="3959.04"/>
  </r>
  <r>
    <x v="209"/>
    <s v="16:29:12"/>
    <s v="REGIONAL CO"/>
    <s v="Carlos Nascimento Nonato Junior"/>
    <x v="4"/>
    <s v="Transf. REGIONAL CO &gt; Carlos N. N. Junior"/>
    <n v="3995.33"/>
  </r>
  <r>
    <x v="210"/>
    <s v="15:44:40"/>
    <s v="REGIONAL CO"/>
    <s v="Carlos Nascimento Nonato Junior"/>
    <x v="4"/>
    <s v="Transf. REGIONAL CO &gt; Carlos N. N. Junior"/>
    <n v="3958.2"/>
  </r>
  <r>
    <x v="211"/>
    <s v="15:46:57"/>
    <s v="REGIONAL CO"/>
    <s v="Carlos Nascimento Nonato Junior"/>
    <x v="4"/>
    <s v="Transf. REGIONAL CO &gt; Carlos N. N. Junior"/>
    <n v="3997.8"/>
  </r>
  <r>
    <x v="212"/>
    <s v="15:28:38"/>
    <s v="REGIONAL CO"/>
    <s v="Carlos Nascimento Nonato Junior"/>
    <x v="4"/>
    <s v="Transf. REGIONAL CO &gt; Carlos N. N. Junior"/>
    <n v="2423.66"/>
  </r>
  <r>
    <x v="213"/>
    <s v="16:42:51"/>
    <s v="REGIONAL CO"/>
    <s v="Carlos Nascimento Nonato Junior"/>
    <x v="4"/>
    <s v="Transf. REGIONAL CO &gt; Carlos N. N. Junior"/>
    <n v="3995.34"/>
  </r>
  <r>
    <x v="214"/>
    <s v="17:15:13"/>
    <s v="REGIONAL CO"/>
    <s v="Carlos Nascimento Nonato Junior"/>
    <x v="4"/>
    <s v="Transf. REGIONAL CO &gt; Carlos N. N. Junior"/>
    <n v="3998"/>
  </r>
  <r>
    <x v="215"/>
    <s v="17:31:12"/>
    <s v="REGIONAL CO"/>
    <s v="Carlos Nascimento Nonato Junior"/>
    <x v="4"/>
    <s v="Transf. REGIONAL CO &gt; Carlos N. N. Junior"/>
    <n v="3998"/>
  </r>
  <r>
    <x v="216"/>
    <s v="17:05:46"/>
    <s v="REGIONAL CO"/>
    <s v="Carlos Nascimento Nonato Junior"/>
    <x v="4"/>
    <s v="Transf. REGIONAL CO &gt; Carlos N. N. Junior"/>
    <n v="3978"/>
  </r>
  <r>
    <x v="217"/>
    <s v="16:37:45"/>
    <s v="REGIONAL CO"/>
    <s v="Carlos Nascimento Nonato Junior"/>
    <x v="4"/>
    <s v="Transf. REGIONAL CO &gt; Carlos N. N. Junior"/>
    <n v="3998"/>
  </r>
  <r>
    <x v="218"/>
    <s v="10:56:08"/>
    <s v="REGIONAL CO"/>
    <s v="Carlos Nascimento Nonato Junior"/>
    <x v="4"/>
    <s v="Transf. REGIONAL CO &gt; Carlos N. N. Junior"/>
    <n v="530"/>
  </r>
  <r>
    <x v="219"/>
    <s v="16:27:20"/>
    <s v="REGIONAL CO"/>
    <s v="Carlos Nascimento Nonato Junior"/>
    <x v="4"/>
    <s v="Transf. REGIONAL CO &gt; Carlos N. N. Junior"/>
    <n v="3995"/>
  </r>
  <r>
    <x v="220"/>
    <s v="17:14:06"/>
    <s v="REGIONAL CO"/>
    <s v="Carlos Nascimento Nonato Junior"/>
    <x v="4"/>
    <s v="Transf. REGIONAL CO &gt; Carlos N. N. Junior"/>
    <n v="3598"/>
  </r>
  <r>
    <x v="221"/>
    <s v="15:27:49"/>
    <s v="REGIONAL CO"/>
    <s v="Carlos Nascimento Nonato Junior"/>
    <x v="4"/>
    <s v="Transf. REGIONAL CO &gt; Carlos N. N. Junior"/>
    <n v="3588"/>
  </r>
  <r>
    <x v="222"/>
    <s v="17:21:22"/>
    <s v="REGIONAL CO"/>
    <s v="Carlos Nascimento Nonato Junior"/>
    <x v="4"/>
    <s v="Transf. REGIONAL CO &gt; Carlos N. N. Junior"/>
    <n v="473.12"/>
  </r>
  <r>
    <x v="223"/>
    <s v="14:53:40"/>
    <s v="REGIONAL CO"/>
    <s v="Carlos Nascimento Nonato Junior"/>
    <x v="4"/>
    <s v="Transf. REGIONAL CO &gt; Carlos N. N. Junior"/>
    <n v="3991.88"/>
  </r>
  <r>
    <x v="224"/>
    <s v="09:34:23"/>
    <s v="REGIONAL CO"/>
    <s v="Carlos Nascimento Nonato Junior"/>
    <x v="4"/>
    <s v="Transf. REGIONAL CO &gt; Carlos N. N. Junior"/>
    <n v="3000"/>
  </r>
  <r>
    <x v="225"/>
    <s v="10:55:14"/>
    <s v="REGIONAL CO"/>
    <s v="Carlos Nascimento Nonato Junior"/>
    <x v="5"/>
    <s v="Transf. Carlos N. N. Junior &gt; REGIONAL CO"/>
    <n v="-1000"/>
  </r>
  <r>
    <x v="226"/>
    <s v="15:07:10"/>
    <s v="REGIONAL CO"/>
    <s v="Carlos Nascimento Nonato Junior"/>
    <x v="4"/>
    <s v="Transf. REGIONAL CO &gt; Carlos N. N. Junior"/>
    <n v="2915.61"/>
  </r>
  <r>
    <x v="227"/>
    <s v="15:07:05"/>
    <s v="REGIONAL CO"/>
    <s v="Carlos Nascimento Nonato Junior"/>
    <x v="4"/>
    <s v="Transf. REGIONAL CO &gt; Carlos N. N. Junior"/>
    <n v="3993.64"/>
  </r>
  <r>
    <x v="228"/>
    <s v="15:04:01"/>
    <s v="REGIONAL CO"/>
    <s v="Carlos Nascimento Nonato Junior"/>
    <x v="4"/>
    <s v="Transf. REGIONAL CO &gt; Carlos N. N. Junior"/>
    <n v="4800"/>
  </r>
  <r>
    <x v="229"/>
    <s v="16:22:41"/>
    <s v="REGIONAL CO"/>
    <s v="Carlos Nascimento Nonato Junior"/>
    <x v="4"/>
    <s v="Transf. REGIONAL CO &gt; Carlos N. N. Junior"/>
    <n v="2394.64"/>
  </r>
  <r>
    <x v="230"/>
    <s v="17:11:25"/>
    <s v="REGIONAL CO"/>
    <s v="Carlos Nascimento Nonato Junior"/>
    <x v="4"/>
    <s v="Transf. REGIONAL CO &gt; Carlos N. N. Junior"/>
    <n v="845.64"/>
  </r>
  <r>
    <x v="231"/>
    <s v="18:15:42"/>
    <s v="REGIONAL CO"/>
    <s v="Carlos Nascimento Nonato Junior"/>
    <x v="4"/>
    <s v="Transf. REGIONAL CO &gt; Carlos N. N. Junior"/>
    <n v="500"/>
  </r>
  <r>
    <x v="232"/>
    <s v="16:34:26"/>
    <s v="REGIONAL CO"/>
    <s v="Carlos Nascimento Nonato Junior"/>
    <x v="4"/>
    <s v="Transf. REGIONAL CO &gt; Carlos N. N. Junior"/>
    <n v="3552.03"/>
  </r>
  <r>
    <x v="233"/>
    <s v="16:17:03"/>
    <s v="REGIONAL CO"/>
    <s v="Carlos Nascimento Nonato Junior"/>
    <x v="4"/>
    <s v="Transf. REGIONAL CO &gt; Carlos N. N. Junior"/>
    <n v="4186.8900000000003"/>
  </r>
  <r>
    <x v="234"/>
    <s v="15:30:24"/>
    <s v="REGIONAL CO"/>
    <s v="Carlos Nascimento Nonato Junior"/>
    <x v="4"/>
    <s v="Transf. REGIONAL CO &gt; Carlos N. N. Junior"/>
    <n v="3995.8"/>
  </r>
  <r>
    <x v="235"/>
    <s v="14:22:42"/>
    <s v="REGIONAL CO"/>
    <s v="Carlos Nascimento Nonato Junior"/>
    <x v="4"/>
    <s v="Transf. REGIONAL CO &gt; Carlos N. N. Junior"/>
    <n v="2000"/>
  </r>
  <r>
    <x v="236"/>
    <s v="15:08:48"/>
    <s v="REGIONAL CO"/>
    <s v="Carlos Nascimento Nonato Junior"/>
    <x v="4"/>
    <s v="Transf. REGIONAL CO &gt; Carlos N. N. Junior"/>
    <n v="2006.39"/>
  </r>
  <r>
    <x v="237"/>
    <s v="13:05:04"/>
    <s v="REGIONAL CO"/>
    <s v="Carlos Nascimento Nonato Junior"/>
    <x v="5"/>
    <s v="Transf. Carlos N. N. Junior &gt; REGIONAL CO"/>
    <n v="-2000"/>
  </r>
  <r>
    <x v="238"/>
    <s v="13:08:54"/>
    <s v="REGIONAL CO"/>
    <s v="Carlos Nascimento Nonato Junior"/>
    <x v="4"/>
    <s v="Transf. REGIONAL CO &gt; Carlos N. N. Junior"/>
    <n v="2000"/>
  </r>
  <r>
    <x v="239"/>
    <s v="16:01:10"/>
    <s v="REGIONAL CO"/>
    <s v="Carlos Nascimento Nonato Junior"/>
    <x v="4"/>
    <s v="Transf. REGIONAL CO &gt; Carlos N. N. Junior"/>
    <n v="2098.67"/>
  </r>
  <r>
    <x v="240"/>
    <s v="16:59:39"/>
    <s v="REGIONAL CO"/>
    <s v="Carlos Nascimento Nonato Junior"/>
    <x v="5"/>
    <s v="Transf. Carlos N. N. Junior &gt; REGIONAL CO"/>
    <n v="-2000"/>
  </r>
  <r>
    <x v="241"/>
    <s v="14:28:20"/>
    <s v="REGIONAL CO"/>
    <s v="Carlos Nascimento Nonato Junior"/>
    <x v="4"/>
    <s v="Transf. REGIONAL CO &gt; Carlos N. N. Junior"/>
    <n v="2140.67999999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85C527-AC90-4C9B-90AD-D3D70E22D444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1:P20" firstHeaderRow="1" firstDataRow="2" firstDataCol="1"/>
  <pivotFields count="10">
    <pivotField axis="axisRow" numFmtId="14" showAll="0">
      <items count="243">
        <item x="207"/>
        <item x="3"/>
        <item x="4"/>
        <item x="105"/>
        <item x="106"/>
        <item x="5"/>
        <item x="107"/>
        <item x="6"/>
        <item x="108"/>
        <item x="208"/>
        <item x="7"/>
        <item x="8"/>
        <item x="109"/>
        <item x="110"/>
        <item x="9"/>
        <item x="111"/>
        <item x="10"/>
        <item x="112"/>
        <item x="11"/>
        <item x="113"/>
        <item x="209"/>
        <item x="12"/>
        <item x="114"/>
        <item x="13"/>
        <item x="115"/>
        <item x="14"/>
        <item x="116"/>
        <item x="15"/>
        <item x="117"/>
        <item x="210"/>
        <item x="16"/>
        <item x="118"/>
        <item x="17"/>
        <item x="119"/>
        <item x="18"/>
        <item x="120"/>
        <item x="19"/>
        <item x="121"/>
        <item x="211"/>
        <item x="20"/>
        <item x="122"/>
        <item x="21"/>
        <item x="123"/>
        <item x="22"/>
        <item x="124"/>
        <item x="23"/>
        <item x="125"/>
        <item x="212"/>
        <item x="24"/>
        <item x="126"/>
        <item x="25"/>
        <item x="127"/>
        <item x="26"/>
        <item x="128"/>
        <item x="213"/>
        <item x="27"/>
        <item x="129"/>
        <item x="28"/>
        <item x="130"/>
        <item x="29"/>
        <item x="131"/>
        <item x="30"/>
        <item x="132"/>
        <item x="214"/>
        <item x="31"/>
        <item x="32"/>
        <item x="133"/>
        <item x="134"/>
        <item x="33"/>
        <item x="135"/>
        <item x="34"/>
        <item x="136"/>
        <item x="215"/>
        <item x="35"/>
        <item x="36"/>
        <item x="137"/>
        <item x="138"/>
        <item x="37"/>
        <item x="139"/>
        <item x="38"/>
        <item x="140"/>
        <item x="216"/>
        <item x="39"/>
        <item x="40"/>
        <item x="141"/>
        <item x="142"/>
        <item x="41"/>
        <item x="143"/>
        <item x="42"/>
        <item x="144"/>
        <item x="217"/>
        <item x="43"/>
        <item x="145"/>
        <item x="44"/>
        <item x="146"/>
        <item x="45"/>
        <item x="147"/>
        <item x="46"/>
        <item x="148"/>
        <item x="218"/>
        <item x="47"/>
        <item x="149"/>
        <item x="219"/>
        <item x="48"/>
        <item x="150"/>
        <item x="49"/>
        <item x="151"/>
        <item x="50"/>
        <item x="152"/>
        <item x="51"/>
        <item x="153"/>
        <item x="220"/>
        <item x="52"/>
        <item x="154"/>
        <item x="53"/>
        <item x="155"/>
        <item x="54"/>
        <item x="156"/>
        <item x="55"/>
        <item x="157"/>
        <item x="221"/>
        <item x="56"/>
        <item x="158"/>
        <item x="57"/>
        <item x="159"/>
        <item x="58"/>
        <item x="160"/>
        <item x="59"/>
        <item x="161"/>
        <item x="222"/>
        <item x="60"/>
        <item x="162"/>
        <item x="223"/>
        <item x="61"/>
        <item x="163"/>
        <item x="62"/>
        <item x="164"/>
        <item x="63"/>
        <item x="165"/>
        <item x="64"/>
        <item x="166"/>
        <item x="224"/>
        <item x="0"/>
        <item x="65"/>
        <item x="167"/>
        <item x="225"/>
        <item x="1"/>
        <item x="66"/>
        <item x="168"/>
        <item x="226"/>
        <item x="67"/>
        <item x="169"/>
        <item x="68"/>
        <item x="170"/>
        <item x="69"/>
        <item x="70"/>
        <item x="171"/>
        <item x="227"/>
        <item x="172"/>
        <item x="71"/>
        <item x="173"/>
        <item x="72"/>
        <item x="174"/>
        <item x="73"/>
        <item x="2"/>
        <item x="175"/>
        <item x="228"/>
        <item x="176"/>
        <item x="74"/>
        <item x="75"/>
        <item x="76"/>
        <item x="77"/>
        <item x="177"/>
        <item x="178"/>
        <item x="179"/>
        <item x="78"/>
        <item x="180"/>
        <item x="229"/>
        <item x="79"/>
        <item x="181"/>
        <item x="80"/>
        <item x="182"/>
        <item x="81"/>
        <item x="183"/>
        <item x="230"/>
        <item x="82"/>
        <item x="184"/>
        <item x="231"/>
        <item x="83"/>
        <item x="185"/>
        <item x="84"/>
        <item x="186"/>
        <item x="232"/>
        <item x="85"/>
        <item x="187"/>
        <item x="86"/>
        <item x="188"/>
        <item x="87"/>
        <item x="189"/>
        <item x="88"/>
        <item x="190"/>
        <item x="233"/>
        <item x="89"/>
        <item x="191"/>
        <item x="90"/>
        <item x="192"/>
        <item x="91"/>
        <item x="92"/>
        <item x="193"/>
        <item x="194"/>
        <item x="93"/>
        <item x="195"/>
        <item x="234"/>
        <item x="94"/>
        <item x="196"/>
        <item x="95"/>
        <item x="197"/>
        <item x="96"/>
        <item x="198"/>
        <item x="97"/>
        <item x="199"/>
        <item x="235"/>
        <item x="98"/>
        <item x="200"/>
        <item x="99"/>
        <item x="201"/>
        <item x="236"/>
        <item x="237"/>
        <item x="238"/>
        <item x="100"/>
        <item x="202"/>
        <item x="101"/>
        <item x="203"/>
        <item x="239"/>
        <item x="240"/>
        <item x="241"/>
        <item x="104"/>
        <item x="206"/>
        <item x="103"/>
        <item x="205"/>
        <item x="102"/>
        <item x="204"/>
        <item t="default"/>
      </items>
    </pivotField>
    <pivotField showAll="0"/>
    <pivotField showAll="0"/>
    <pivotField showAll="0"/>
    <pivotField axis="axisCol" showAll="0">
      <items count="7">
        <item x="4"/>
        <item x="0"/>
        <item x="1"/>
        <item x="2"/>
        <item x="3"/>
        <item x="5"/>
        <item t="default"/>
      </items>
    </pivotField>
    <pivotField showAll="0"/>
    <pivotField dataField="1" numFmtId="44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/>
      </items>
    </pivotField>
  </pivotFields>
  <rowFields count="3">
    <field x="9"/>
    <field x="7"/>
    <field x="0"/>
  </rowFields>
  <rowItems count="18">
    <i>
      <x v="1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grand">
      <x/>
    </i>
  </rowItems>
  <colFields count="1">
    <field x="4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oma de Valor" fld="6" baseField="0" baseItem="0" numFmtId="44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1CC33-7EBA-45FD-8F4E-D9080930A77B}">
  <dimension ref="A1:P245"/>
  <sheetViews>
    <sheetView topLeftCell="G1" zoomScaleNormal="100" workbookViewId="0">
      <selection activeCell="D15" sqref="D15"/>
    </sheetView>
  </sheetViews>
  <sheetFormatPr defaultRowHeight="15" x14ac:dyDescent="0.25"/>
  <cols>
    <col min="1" max="1" width="10.7109375" bestFit="1" customWidth="1"/>
    <col min="2" max="2" width="8.140625" bestFit="1" customWidth="1"/>
    <col min="3" max="3" width="12.85546875" bestFit="1" customWidth="1"/>
    <col min="4" max="4" width="34" bestFit="1" customWidth="1"/>
    <col min="5" max="5" width="17.42578125" bestFit="1" customWidth="1"/>
    <col min="6" max="6" width="62.42578125" bestFit="1" customWidth="1"/>
    <col min="7" max="7" width="12.140625" style="6" bestFit="1" customWidth="1"/>
    <col min="9" max="9" width="18" bestFit="1" customWidth="1"/>
    <col min="10" max="10" width="19.5703125" bestFit="1" customWidth="1"/>
    <col min="11" max="11" width="10.5703125" bestFit="1" customWidth="1"/>
    <col min="12" max="12" width="17.42578125" bestFit="1" customWidth="1"/>
    <col min="13" max="13" width="13.28515625" bestFit="1" customWidth="1"/>
    <col min="14" max="14" width="10.5703125" bestFit="1" customWidth="1"/>
    <col min="15" max="15" width="13.140625" bestFit="1" customWidth="1"/>
    <col min="16" max="16" width="12.140625" bestFit="1" customWidth="1"/>
  </cols>
  <sheetData>
    <row r="1" spans="1:16" ht="15.75" x14ac:dyDescent="0.2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11" t="s">
        <v>6</v>
      </c>
      <c r="I1" s="12" t="s">
        <v>21</v>
      </c>
      <c r="J1" s="12" t="s">
        <v>20</v>
      </c>
    </row>
    <row r="2" spans="1:16" x14ac:dyDescent="0.25">
      <c r="A2" s="1">
        <v>46056.481111111003</v>
      </c>
      <c r="B2" s="2" t="s">
        <v>103</v>
      </c>
      <c r="C2" s="2" t="s">
        <v>66</v>
      </c>
      <c r="D2" s="2" t="s">
        <v>104</v>
      </c>
      <c r="E2" s="2" t="s">
        <v>7</v>
      </c>
      <c r="F2" s="3" t="s">
        <v>105</v>
      </c>
      <c r="G2" s="7">
        <v>-157.25</v>
      </c>
      <c r="I2" s="12" t="s">
        <v>18</v>
      </c>
      <c r="J2" t="s">
        <v>17</v>
      </c>
      <c r="K2" t="s">
        <v>7</v>
      </c>
      <c r="L2" t="s">
        <v>109</v>
      </c>
      <c r="M2" t="s">
        <v>8</v>
      </c>
      <c r="N2" t="s">
        <v>9</v>
      </c>
      <c r="O2" t="s">
        <v>11</v>
      </c>
      <c r="P2" t="s">
        <v>19</v>
      </c>
    </row>
    <row r="3" spans="1:16" x14ac:dyDescent="0.25">
      <c r="A3" s="1">
        <v>46057.515335648</v>
      </c>
      <c r="B3" s="2" t="s">
        <v>106</v>
      </c>
      <c r="C3" s="2" t="s">
        <v>66</v>
      </c>
      <c r="D3" s="2" t="s">
        <v>104</v>
      </c>
      <c r="E3" s="2" t="s">
        <v>7</v>
      </c>
      <c r="F3" s="3" t="s">
        <v>107</v>
      </c>
      <c r="G3" s="7">
        <v>-229</v>
      </c>
      <c r="I3" s="13" t="s">
        <v>86</v>
      </c>
      <c r="J3" s="14">
        <v>54011</v>
      </c>
      <c r="K3" s="14"/>
      <c r="L3" s="14"/>
      <c r="M3" s="14">
        <v>-53610</v>
      </c>
      <c r="N3" s="14">
        <v>-399</v>
      </c>
      <c r="O3" s="14"/>
      <c r="P3" s="14">
        <v>2</v>
      </c>
    </row>
    <row r="4" spans="1:16" x14ac:dyDescent="0.25">
      <c r="A4" s="1">
        <v>46079.368877314999</v>
      </c>
      <c r="B4" s="2" t="s">
        <v>108</v>
      </c>
      <c r="C4" s="2" t="s">
        <v>66</v>
      </c>
      <c r="D4" s="2" t="s">
        <v>104</v>
      </c>
      <c r="E4" s="2" t="s">
        <v>109</v>
      </c>
      <c r="F4" s="3" t="s">
        <v>110</v>
      </c>
      <c r="G4" s="7">
        <v>-7</v>
      </c>
      <c r="I4" s="48" t="s">
        <v>25</v>
      </c>
      <c r="J4" s="14">
        <v>11953</v>
      </c>
      <c r="K4" s="14"/>
      <c r="L4" s="14"/>
      <c r="M4" s="14">
        <v>-11850</v>
      </c>
      <c r="N4" s="14">
        <v>-91</v>
      </c>
      <c r="O4" s="14"/>
      <c r="P4" s="14">
        <v>12</v>
      </c>
    </row>
    <row r="5" spans="1:16" x14ac:dyDescent="0.25">
      <c r="A5" s="1">
        <v>45812.4846875</v>
      </c>
      <c r="B5" s="2" t="s">
        <v>111</v>
      </c>
      <c r="C5" s="2" t="s">
        <v>66</v>
      </c>
      <c r="D5" s="2" t="s">
        <v>104</v>
      </c>
      <c r="E5" s="2" t="s">
        <v>8</v>
      </c>
      <c r="F5" s="3" t="s">
        <v>112</v>
      </c>
      <c r="G5" s="7">
        <v>-1000</v>
      </c>
      <c r="I5" s="48" t="s">
        <v>69</v>
      </c>
      <c r="J5" s="14">
        <v>7956</v>
      </c>
      <c r="K5" s="14"/>
      <c r="L5" s="14"/>
      <c r="M5" s="14">
        <v>-7910</v>
      </c>
      <c r="N5" s="14">
        <v>-56</v>
      </c>
      <c r="O5" s="14"/>
      <c r="P5" s="14">
        <v>-10</v>
      </c>
    </row>
    <row r="6" spans="1:16" x14ac:dyDescent="0.25">
      <c r="A6" s="1">
        <v>45812.485509259001</v>
      </c>
      <c r="B6" s="2" t="s">
        <v>113</v>
      </c>
      <c r="C6" s="2" t="s">
        <v>66</v>
      </c>
      <c r="D6" s="2" t="s">
        <v>104</v>
      </c>
      <c r="E6" s="2" t="s">
        <v>8</v>
      </c>
      <c r="F6" s="3" t="s">
        <v>112</v>
      </c>
      <c r="G6" s="7">
        <v>-1000</v>
      </c>
      <c r="I6" s="48" t="s">
        <v>70</v>
      </c>
      <c r="J6" s="14">
        <v>6419</v>
      </c>
      <c r="K6" s="14"/>
      <c r="L6" s="14"/>
      <c r="M6" s="14">
        <v>-6370</v>
      </c>
      <c r="N6" s="14">
        <v>-49</v>
      </c>
      <c r="O6" s="14"/>
      <c r="P6" s="14">
        <v>0</v>
      </c>
    </row>
    <row r="7" spans="1:16" x14ac:dyDescent="0.25">
      <c r="A7" s="1">
        <v>45813.367013889001</v>
      </c>
      <c r="B7" s="2" t="s">
        <v>114</v>
      </c>
      <c r="C7" s="2" t="s">
        <v>66</v>
      </c>
      <c r="D7" s="2" t="s">
        <v>104</v>
      </c>
      <c r="E7" s="2" t="s">
        <v>8</v>
      </c>
      <c r="F7" s="3" t="s">
        <v>112</v>
      </c>
      <c r="G7" s="7">
        <v>-1000</v>
      </c>
      <c r="I7" s="48" t="s">
        <v>88</v>
      </c>
      <c r="J7" s="14">
        <v>7996</v>
      </c>
      <c r="K7" s="14"/>
      <c r="L7" s="14"/>
      <c r="M7" s="14">
        <v>-7920</v>
      </c>
      <c r="N7" s="14">
        <v>-56</v>
      </c>
      <c r="O7" s="14"/>
      <c r="P7" s="14">
        <v>20</v>
      </c>
    </row>
    <row r="8" spans="1:16" x14ac:dyDescent="0.25">
      <c r="A8" s="1">
        <v>45813.368101852</v>
      </c>
      <c r="B8" s="2" t="s">
        <v>115</v>
      </c>
      <c r="C8" s="2" t="s">
        <v>66</v>
      </c>
      <c r="D8" s="2" t="s">
        <v>104</v>
      </c>
      <c r="E8" s="2" t="s">
        <v>8</v>
      </c>
      <c r="F8" s="3" t="s">
        <v>112</v>
      </c>
      <c r="G8" s="7">
        <v>-970</v>
      </c>
      <c r="I8" s="48" t="s">
        <v>89</v>
      </c>
      <c r="J8" s="14">
        <v>7976</v>
      </c>
      <c r="K8" s="14"/>
      <c r="L8" s="14"/>
      <c r="M8" s="14">
        <v>-7940</v>
      </c>
      <c r="N8" s="14">
        <v>-56</v>
      </c>
      <c r="O8" s="14"/>
      <c r="P8" s="14">
        <v>-20</v>
      </c>
    </row>
    <row r="9" spans="1:16" x14ac:dyDescent="0.25">
      <c r="A9" s="1">
        <v>45820.693622685001</v>
      </c>
      <c r="B9" s="2" t="s">
        <v>116</v>
      </c>
      <c r="C9" s="2" t="s">
        <v>66</v>
      </c>
      <c r="D9" s="2" t="s">
        <v>104</v>
      </c>
      <c r="E9" s="2" t="s">
        <v>8</v>
      </c>
      <c r="F9" s="3" t="s">
        <v>117</v>
      </c>
      <c r="G9" s="7">
        <v>-1000</v>
      </c>
      <c r="I9" s="48" t="s">
        <v>90</v>
      </c>
      <c r="J9" s="14">
        <v>8123</v>
      </c>
      <c r="K9" s="14"/>
      <c r="L9" s="14"/>
      <c r="M9" s="14">
        <v>-8050</v>
      </c>
      <c r="N9" s="14">
        <v>-63</v>
      </c>
      <c r="O9" s="14"/>
      <c r="P9" s="14">
        <v>10</v>
      </c>
    </row>
    <row r="10" spans="1:16" x14ac:dyDescent="0.25">
      <c r="A10" s="1">
        <v>45820.694548610998</v>
      </c>
      <c r="B10" s="2" t="s">
        <v>82</v>
      </c>
      <c r="C10" s="2" t="s">
        <v>66</v>
      </c>
      <c r="D10" s="2" t="s">
        <v>104</v>
      </c>
      <c r="E10" s="2" t="s">
        <v>8</v>
      </c>
      <c r="F10" s="3" t="s">
        <v>117</v>
      </c>
      <c r="G10" s="7">
        <v>-1000</v>
      </c>
      <c r="I10" s="48" t="s">
        <v>91</v>
      </c>
      <c r="J10" s="14">
        <v>3588</v>
      </c>
      <c r="K10" s="14"/>
      <c r="L10" s="14"/>
      <c r="M10" s="14">
        <v>-3570</v>
      </c>
      <c r="N10" s="14">
        <v>-28</v>
      </c>
      <c r="O10" s="14"/>
      <c r="P10" s="14">
        <v>-10</v>
      </c>
    </row>
    <row r="11" spans="1:16" x14ac:dyDescent="0.25">
      <c r="A11" s="1">
        <v>45822.466053240998</v>
      </c>
      <c r="B11" s="2" t="s">
        <v>118</v>
      </c>
      <c r="C11" s="2" t="s">
        <v>66</v>
      </c>
      <c r="D11" s="2" t="s">
        <v>104</v>
      </c>
      <c r="E11" s="2" t="s">
        <v>8</v>
      </c>
      <c r="F11" s="3" t="s">
        <v>119</v>
      </c>
      <c r="G11" s="7">
        <v>-500</v>
      </c>
      <c r="I11" s="13" t="s">
        <v>87</v>
      </c>
      <c r="J11" s="14">
        <v>44894.99</v>
      </c>
      <c r="K11" s="14">
        <v>-386.25</v>
      </c>
      <c r="L11" s="14">
        <v>-7</v>
      </c>
      <c r="M11" s="14">
        <v>-39180</v>
      </c>
      <c r="N11" s="14">
        <v>-322</v>
      </c>
      <c r="O11" s="14">
        <v>-5000</v>
      </c>
      <c r="P11" s="14">
        <v>-0.25999999999885404</v>
      </c>
    </row>
    <row r="12" spans="1:16" x14ac:dyDescent="0.25">
      <c r="A12" s="1">
        <v>45824.36556713</v>
      </c>
      <c r="B12" s="2" t="s">
        <v>120</v>
      </c>
      <c r="C12" s="2" t="s">
        <v>66</v>
      </c>
      <c r="D12" s="2" t="s">
        <v>104</v>
      </c>
      <c r="E12" s="2" t="s">
        <v>8</v>
      </c>
      <c r="F12" s="3" t="s">
        <v>112</v>
      </c>
      <c r="G12" s="7">
        <v>-1000</v>
      </c>
      <c r="I12" s="48" t="s">
        <v>92</v>
      </c>
      <c r="J12" s="14">
        <v>7465</v>
      </c>
      <c r="K12" s="14"/>
      <c r="L12" s="14"/>
      <c r="M12" s="14">
        <v>-4430</v>
      </c>
      <c r="N12" s="14">
        <v>-35</v>
      </c>
      <c r="O12" s="14"/>
      <c r="P12" s="14">
        <v>3000</v>
      </c>
    </row>
    <row r="13" spans="1:16" x14ac:dyDescent="0.25">
      <c r="A13" s="1">
        <v>45825.366134258998</v>
      </c>
      <c r="B13" s="2" t="s">
        <v>121</v>
      </c>
      <c r="C13" s="2" t="s">
        <v>66</v>
      </c>
      <c r="D13" s="2" t="s">
        <v>104</v>
      </c>
      <c r="E13" s="2" t="s">
        <v>8</v>
      </c>
      <c r="F13" s="3" t="s">
        <v>112</v>
      </c>
      <c r="G13" s="7">
        <v>-420</v>
      </c>
      <c r="I13" s="48" t="s">
        <v>68</v>
      </c>
      <c r="J13" s="14">
        <v>6909.25</v>
      </c>
      <c r="K13" s="14">
        <v>-386.25</v>
      </c>
      <c r="L13" s="14">
        <v>-7</v>
      </c>
      <c r="M13" s="14">
        <v>-8460</v>
      </c>
      <c r="N13" s="14">
        <v>-63</v>
      </c>
      <c r="O13" s="14">
        <v>-1000</v>
      </c>
      <c r="P13" s="14">
        <v>-3007</v>
      </c>
    </row>
    <row r="14" spans="1:16" x14ac:dyDescent="0.25">
      <c r="A14" s="1">
        <v>45834.364837963003</v>
      </c>
      <c r="B14" s="2" t="s">
        <v>122</v>
      </c>
      <c r="C14" s="2" t="s">
        <v>66</v>
      </c>
      <c r="D14" s="2" t="s">
        <v>104</v>
      </c>
      <c r="E14" s="2" t="s">
        <v>8</v>
      </c>
      <c r="F14" s="3" t="s">
        <v>112</v>
      </c>
      <c r="G14" s="7">
        <v>-1000</v>
      </c>
      <c r="I14" s="48" t="s">
        <v>22</v>
      </c>
      <c r="J14" s="14">
        <v>8040.28</v>
      </c>
      <c r="K14" s="14"/>
      <c r="L14" s="14"/>
      <c r="M14" s="14">
        <v>-7130</v>
      </c>
      <c r="N14" s="14">
        <v>-63</v>
      </c>
      <c r="O14" s="14"/>
      <c r="P14" s="14">
        <v>847.27999999999975</v>
      </c>
    </row>
    <row r="15" spans="1:16" x14ac:dyDescent="0.25">
      <c r="A15" s="1">
        <v>45834.365763889</v>
      </c>
      <c r="B15" s="2" t="s">
        <v>123</v>
      </c>
      <c r="C15" s="2" t="s">
        <v>66</v>
      </c>
      <c r="D15" s="2" t="s">
        <v>104</v>
      </c>
      <c r="E15" s="2" t="s">
        <v>8</v>
      </c>
      <c r="F15" s="3" t="s">
        <v>112</v>
      </c>
      <c r="G15" s="7">
        <v>-980</v>
      </c>
      <c r="I15" s="48" t="s">
        <v>23</v>
      </c>
      <c r="J15" s="14">
        <v>4052.03</v>
      </c>
      <c r="K15" s="14"/>
      <c r="L15" s="14"/>
      <c r="M15" s="14">
        <v>-4850</v>
      </c>
      <c r="N15" s="14">
        <v>-49</v>
      </c>
      <c r="O15" s="14"/>
      <c r="P15" s="14">
        <v>-846.9699999999998</v>
      </c>
    </row>
    <row r="16" spans="1:16" x14ac:dyDescent="0.25">
      <c r="A16" s="1">
        <v>45835.369953704001</v>
      </c>
      <c r="B16" s="2" t="s">
        <v>124</v>
      </c>
      <c r="C16" s="2" t="s">
        <v>66</v>
      </c>
      <c r="D16" s="2" t="s">
        <v>104</v>
      </c>
      <c r="E16" s="2" t="s">
        <v>8</v>
      </c>
      <c r="F16" s="3" t="s">
        <v>112</v>
      </c>
      <c r="G16" s="7">
        <v>-1000</v>
      </c>
      <c r="I16" s="48" t="s">
        <v>24</v>
      </c>
      <c r="J16" s="14">
        <v>8182.6900000000005</v>
      </c>
      <c r="K16" s="14"/>
      <c r="L16" s="14"/>
      <c r="M16" s="14">
        <v>-8120</v>
      </c>
      <c r="N16" s="14">
        <v>-63</v>
      </c>
      <c r="O16" s="14"/>
      <c r="P16" s="14">
        <v>-0.30999999999949068</v>
      </c>
    </row>
    <row r="17" spans="1:16" x14ac:dyDescent="0.25">
      <c r="A17" s="1">
        <v>45835.370833333</v>
      </c>
      <c r="B17" s="2" t="s">
        <v>125</v>
      </c>
      <c r="C17" s="2" t="s">
        <v>66</v>
      </c>
      <c r="D17" s="2" t="s">
        <v>104</v>
      </c>
      <c r="E17" s="2" t="s">
        <v>8</v>
      </c>
      <c r="F17" s="3" t="s">
        <v>112</v>
      </c>
      <c r="G17" s="7">
        <v>-980</v>
      </c>
      <c r="I17" s="48" t="s">
        <v>25</v>
      </c>
      <c r="J17" s="14">
        <v>6006.39</v>
      </c>
      <c r="K17" s="14"/>
      <c r="L17" s="14"/>
      <c r="M17" s="14">
        <v>-3960</v>
      </c>
      <c r="N17" s="14">
        <v>-28</v>
      </c>
      <c r="O17" s="14">
        <v>-2000</v>
      </c>
      <c r="P17" s="14">
        <v>18.390000000000327</v>
      </c>
    </row>
    <row r="18" spans="1:16" x14ac:dyDescent="0.25">
      <c r="A18" s="1">
        <v>45849.933263888997</v>
      </c>
      <c r="B18" s="2" t="s">
        <v>126</v>
      </c>
      <c r="C18" s="2" t="s">
        <v>66</v>
      </c>
      <c r="D18" s="2" t="s">
        <v>104</v>
      </c>
      <c r="E18" s="2" t="s">
        <v>8</v>
      </c>
      <c r="F18" s="3" t="s">
        <v>127</v>
      </c>
      <c r="G18" s="7">
        <v>-1000</v>
      </c>
      <c r="I18" s="48" t="s">
        <v>69</v>
      </c>
      <c r="J18" s="14">
        <v>4239.3500000000004</v>
      </c>
      <c r="K18" s="14"/>
      <c r="L18" s="14"/>
      <c r="M18" s="14">
        <v>-2000</v>
      </c>
      <c r="N18" s="14">
        <v>-14</v>
      </c>
      <c r="O18" s="14">
        <v>-2000</v>
      </c>
      <c r="P18" s="14">
        <v>225.35000000000036</v>
      </c>
    </row>
    <row r="19" spans="1:16" x14ac:dyDescent="0.25">
      <c r="A19" s="1">
        <v>45849.934363426</v>
      </c>
      <c r="B19" s="2" t="s">
        <v>128</v>
      </c>
      <c r="C19" s="2" t="s">
        <v>66</v>
      </c>
      <c r="D19" s="2" t="s">
        <v>104</v>
      </c>
      <c r="E19" s="2" t="s">
        <v>8</v>
      </c>
      <c r="F19" s="3" t="s">
        <v>127</v>
      </c>
      <c r="G19" s="7">
        <v>-1000</v>
      </c>
      <c r="I19" s="48" t="s">
        <v>70</v>
      </c>
      <c r="J19" s="14"/>
      <c r="K19" s="14"/>
      <c r="L19" s="14"/>
      <c r="M19" s="14">
        <v>-230</v>
      </c>
      <c r="N19" s="14">
        <v>-7</v>
      </c>
      <c r="O19" s="14"/>
      <c r="P19" s="14">
        <v>-237</v>
      </c>
    </row>
    <row r="20" spans="1:16" x14ac:dyDescent="0.25">
      <c r="A20" s="1">
        <v>45850.392314814999</v>
      </c>
      <c r="B20" s="2" t="s">
        <v>129</v>
      </c>
      <c r="C20" s="2" t="s">
        <v>66</v>
      </c>
      <c r="D20" s="2" t="s">
        <v>104</v>
      </c>
      <c r="E20" s="2" t="s">
        <v>8</v>
      </c>
      <c r="F20" s="3" t="s">
        <v>130</v>
      </c>
      <c r="G20" s="7">
        <v>-1000</v>
      </c>
      <c r="I20" s="13" t="s">
        <v>19</v>
      </c>
      <c r="J20" s="14">
        <v>98905.99</v>
      </c>
      <c r="K20" s="14">
        <v>-386.25</v>
      </c>
      <c r="L20" s="14">
        <v>-7</v>
      </c>
      <c r="M20" s="14">
        <v>-92790</v>
      </c>
      <c r="N20" s="14">
        <v>-721</v>
      </c>
      <c r="O20" s="14">
        <v>-5000</v>
      </c>
      <c r="P20" s="14">
        <v>1.740000000001146</v>
      </c>
    </row>
    <row r="21" spans="1:16" x14ac:dyDescent="0.25">
      <c r="A21" s="1">
        <v>45850.393125000002</v>
      </c>
      <c r="B21" s="2" t="s">
        <v>131</v>
      </c>
      <c r="C21" s="2" t="s">
        <v>66</v>
      </c>
      <c r="D21" s="2" t="s">
        <v>104</v>
      </c>
      <c r="E21" s="2" t="s">
        <v>8</v>
      </c>
      <c r="F21" s="3" t="s">
        <v>130</v>
      </c>
      <c r="G21" s="7">
        <v>-940</v>
      </c>
    </row>
    <row r="22" spans="1:16" x14ac:dyDescent="0.25">
      <c r="A22" s="1">
        <v>45863.873391203997</v>
      </c>
      <c r="B22" s="2" t="s">
        <v>132</v>
      </c>
      <c r="C22" s="2" t="s">
        <v>66</v>
      </c>
      <c r="D22" s="2" t="s">
        <v>104</v>
      </c>
      <c r="E22" s="2" t="s">
        <v>8</v>
      </c>
      <c r="F22" s="3" t="s">
        <v>119</v>
      </c>
      <c r="G22" s="7">
        <v>-1000</v>
      </c>
    </row>
    <row r="23" spans="1:16" x14ac:dyDescent="0.25">
      <c r="A23" s="1">
        <v>45863.874189814996</v>
      </c>
      <c r="B23" s="2" t="s">
        <v>133</v>
      </c>
      <c r="C23" s="2" t="s">
        <v>66</v>
      </c>
      <c r="D23" s="2" t="s">
        <v>104</v>
      </c>
      <c r="E23" s="2" t="s">
        <v>8</v>
      </c>
      <c r="F23" s="3" t="s">
        <v>119</v>
      </c>
      <c r="G23" s="7">
        <v>-1000</v>
      </c>
    </row>
    <row r="24" spans="1:16" x14ac:dyDescent="0.25">
      <c r="A24" s="1">
        <v>45864.569490741</v>
      </c>
      <c r="B24" s="2" t="s">
        <v>134</v>
      </c>
      <c r="C24" s="2" t="s">
        <v>66</v>
      </c>
      <c r="D24" s="2" t="s">
        <v>104</v>
      </c>
      <c r="E24" s="2" t="s">
        <v>8</v>
      </c>
      <c r="F24" s="3" t="s">
        <v>112</v>
      </c>
      <c r="G24" s="7">
        <v>-1000</v>
      </c>
    </row>
    <row r="25" spans="1:16" x14ac:dyDescent="0.25">
      <c r="A25" s="1">
        <v>45864.570451389001</v>
      </c>
      <c r="B25" s="2" t="s">
        <v>135</v>
      </c>
      <c r="C25" s="2" t="s">
        <v>66</v>
      </c>
      <c r="D25" s="2" t="s">
        <v>104</v>
      </c>
      <c r="E25" s="2" t="s">
        <v>8</v>
      </c>
      <c r="F25" s="3" t="s">
        <v>112</v>
      </c>
      <c r="G25" s="7">
        <v>-970</v>
      </c>
    </row>
    <row r="26" spans="1:16" x14ac:dyDescent="0.25">
      <c r="A26" s="1">
        <v>45881.369537036997</v>
      </c>
      <c r="B26" s="2" t="s">
        <v>136</v>
      </c>
      <c r="C26" s="2" t="s">
        <v>66</v>
      </c>
      <c r="D26" s="2" t="s">
        <v>104</v>
      </c>
      <c r="E26" s="2" t="s">
        <v>8</v>
      </c>
      <c r="F26" s="3" t="s">
        <v>112</v>
      </c>
      <c r="G26" s="7">
        <v>-1000</v>
      </c>
    </row>
    <row r="27" spans="1:16" x14ac:dyDescent="0.25">
      <c r="A27" s="1">
        <v>45881.370393518999</v>
      </c>
      <c r="B27" s="2" t="s">
        <v>137</v>
      </c>
      <c r="C27" s="2" t="s">
        <v>66</v>
      </c>
      <c r="D27" s="2" t="s">
        <v>104</v>
      </c>
      <c r="E27" s="2" t="s">
        <v>8</v>
      </c>
      <c r="F27" s="3" t="s">
        <v>112</v>
      </c>
      <c r="G27" s="7">
        <v>-1000</v>
      </c>
    </row>
    <row r="28" spans="1:16" x14ac:dyDescent="0.25">
      <c r="A28" s="1">
        <v>45882.432766204001</v>
      </c>
      <c r="B28" s="2" t="s">
        <v>138</v>
      </c>
      <c r="C28" s="2" t="s">
        <v>66</v>
      </c>
      <c r="D28" s="2" t="s">
        <v>104</v>
      </c>
      <c r="E28" s="2" t="s">
        <v>8</v>
      </c>
      <c r="F28" s="3" t="s">
        <v>112</v>
      </c>
      <c r="G28" s="7">
        <v>-400</v>
      </c>
    </row>
    <row r="29" spans="1:16" x14ac:dyDescent="0.25">
      <c r="A29" s="1">
        <v>45894.756388889</v>
      </c>
      <c r="B29" s="2" t="s">
        <v>139</v>
      </c>
      <c r="C29" s="2" t="s">
        <v>66</v>
      </c>
      <c r="D29" s="2" t="s">
        <v>104</v>
      </c>
      <c r="E29" s="2" t="s">
        <v>8</v>
      </c>
      <c r="F29" s="3" t="s">
        <v>112</v>
      </c>
      <c r="G29" s="7">
        <v>-1000</v>
      </c>
    </row>
    <row r="30" spans="1:16" x14ac:dyDescent="0.25">
      <c r="A30" s="1">
        <v>45894.757372685002</v>
      </c>
      <c r="B30" s="2" t="s">
        <v>140</v>
      </c>
      <c r="C30" s="2" t="s">
        <v>66</v>
      </c>
      <c r="D30" s="2" t="s">
        <v>104</v>
      </c>
      <c r="E30" s="2" t="s">
        <v>8</v>
      </c>
      <c r="F30" s="3" t="s">
        <v>112</v>
      </c>
      <c r="G30" s="7">
        <v>-1000</v>
      </c>
    </row>
    <row r="31" spans="1:16" x14ac:dyDescent="0.25">
      <c r="A31" s="1">
        <v>45895.367233796002</v>
      </c>
      <c r="B31" s="2" t="s">
        <v>141</v>
      </c>
      <c r="C31" s="2" t="s">
        <v>66</v>
      </c>
      <c r="D31" s="2" t="s">
        <v>104</v>
      </c>
      <c r="E31" s="2" t="s">
        <v>8</v>
      </c>
      <c r="F31" s="3" t="s">
        <v>112</v>
      </c>
      <c r="G31" s="7">
        <v>-1000</v>
      </c>
    </row>
    <row r="32" spans="1:16" x14ac:dyDescent="0.25">
      <c r="A32" s="1">
        <v>45895.368136573998</v>
      </c>
      <c r="B32" s="2" t="s">
        <v>142</v>
      </c>
      <c r="C32" s="2" t="s">
        <v>66</v>
      </c>
      <c r="D32" s="2" t="s">
        <v>104</v>
      </c>
      <c r="E32" s="2" t="s">
        <v>8</v>
      </c>
      <c r="F32" s="3" t="s">
        <v>112</v>
      </c>
      <c r="G32" s="7">
        <v>-970</v>
      </c>
    </row>
    <row r="33" spans="1:7" x14ac:dyDescent="0.25">
      <c r="A33" s="1">
        <v>45911.870659722001</v>
      </c>
      <c r="B33" s="2" t="s">
        <v>143</v>
      </c>
      <c r="C33" s="2" t="s">
        <v>66</v>
      </c>
      <c r="D33" s="2" t="s">
        <v>104</v>
      </c>
      <c r="E33" s="2" t="s">
        <v>8</v>
      </c>
      <c r="F33" s="3" t="s">
        <v>119</v>
      </c>
      <c r="G33" s="7">
        <v>-1000</v>
      </c>
    </row>
    <row r="34" spans="1:7" x14ac:dyDescent="0.25">
      <c r="A34" s="1">
        <v>45911.871585647998</v>
      </c>
      <c r="B34" s="2" t="s">
        <v>144</v>
      </c>
      <c r="C34" s="2" t="s">
        <v>66</v>
      </c>
      <c r="D34" s="2" t="s">
        <v>104</v>
      </c>
      <c r="E34" s="2" t="s">
        <v>8</v>
      </c>
      <c r="F34" s="3" t="s">
        <v>119</v>
      </c>
      <c r="G34" s="7">
        <v>-1000</v>
      </c>
    </row>
    <row r="35" spans="1:7" x14ac:dyDescent="0.25">
      <c r="A35" s="1">
        <v>45912.372337963003</v>
      </c>
      <c r="B35" s="2" t="s">
        <v>145</v>
      </c>
      <c r="C35" s="2" t="s">
        <v>66</v>
      </c>
      <c r="D35" s="2" t="s">
        <v>104</v>
      </c>
      <c r="E35" s="2" t="s">
        <v>8</v>
      </c>
      <c r="F35" s="3" t="s">
        <v>112</v>
      </c>
      <c r="G35" s="7">
        <v>-1000</v>
      </c>
    </row>
    <row r="36" spans="1:7" x14ac:dyDescent="0.25">
      <c r="A36" s="1">
        <v>45912.373229167002</v>
      </c>
      <c r="B36" s="2" t="s">
        <v>146</v>
      </c>
      <c r="C36" s="2" t="s">
        <v>66</v>
      </c>
      <c r="D36" s="2" t="s">
        <v>104</v>
      </c>
      <c r="E36" s="2" t="s">
        <v>8</v>
      </c>
      <c r="F36" s="3" t="s">
        <v>112</v>
      </c>
      <c r="G36" s="7">
        <v>-970</v>
      </c>
    </row>
    <row r="37" spans="1:7" x14ac:dyDescent="0.25">
      <c r="A37" s="1">
        <v>45925.742789352</v>
      </c>
      <c r="B37" s="2" t="s">
        <v>147</v>
      </c>
      <c r="C37" s="2" t="s">
        <v>66</v>
      </c>
      <c r="D37" s="2" t="s">
        <v>104</v>
      </c>
      <c r="E37" s="2" t="s">
        <v>8</v>
      </c>
      <c r="F37" s="3" t="s">
        <v>130</v>
      </c>
      <c r="G37" s="7">
        <v>-1000</v>
      </c>
    </row>
    <row r="38" spans="1:7" x14ac:dyDescent="0.25">
      <c r="A38" s="1">
        <v>45925.743715277997</v>
      </c>
      <c r="B38" s="2" t="s">
        <v>148</v>
      </c>
      <c r="C38" s="2" t="s">
        <v>66</v>
      </c>
      <c r="D38" s="2" t="s">
        <v>104</v>
      </c>
      <c r="E38" s="2" t="s">
        <v>8</v>
      </c>
      <c r="F38" s="3" t="s">
        <v>130</v>
      </c>
      <c r="G38" s="7">
        <v>-1000</v>
      </c>
    </row>
    <row r="39" spans="1:7" x14ac:dyDescent="0.25">
      <c r="A39" s="1">
        <v>45926.370439815</v>
      </c>
      <c r="B39" s="2" t="s">
        <v>149</v>
      </c>
      <c r="C39" s="2" t="s">
        <v>66</v>
      </c>
      <c r="D39" s="2" t="s">
        <v>104</v>
      </c>
      <c r="E39" s="2" t="s">
        <v>8</v>
      </c>
      <c r="F39" s="3" t="s">
        <v>112</v>
      </c>
      <c r="G39" s="7">
        <v>-1000</v>
      </c>
    </row>
    <row r="40" spans="1:7" x14ac:dyDescent="0.25">
      <c r="A40" s="1">
        <v>45926.371504629999</v>
      </c>
      <c r="B40" s="2" t="s">
        <v>150</v>
      </c>
      <c r="C40" s="2" t="s">
        <v>66</v>
      </c>
      <c r="D40" s="2" t="s">
        <v>104</v>
      </c>
      <c r="E40" s="2" t="s">
        <v>8</v>
      </c>
      <c r="F40" s="3" t="s">
        <v>112</v>
      </c>
      <c r="G40" s="7">
        <v>-950</v>
      </c>
    </row>
    <row r="41" spans="1:7" x14ac:dyDescent="0.25">
      <c r="A41" s="1">
        <v>45943.780810185002</v>
      </c>
      <c r="B41" s="2" t="s">
        <v>151</v>
      </c>
      <c r="C41" s="2" t="s">
        <v>66</v>
      </c>
      <c r="D41" s="2" t="s">
        <v>104</v>
      </c>
      <c r="E41" s="2" t="s">
        <v>8</v>
      </c>
      <c r="F41" s="3" t="s">
        <v>152</v>
      </c>
      <c r="G41" s="7">
        <v>-1000</v>
      </c>
    </row>
    <row r="42" spans="1:7" x14ac:dyDescent="0.25">
      <c r="A42" s="1">
        <v>45943.781759259</v>
      </c>
      <c r="B42" s="2" t="s">
        <v>153</v>
      </c>
      <c r="C42" s="2" t="s">
        <v>66</v>
      </c>
      <c r="D42" s="2" t="s">
        <v>104</v>
      </c>
      <c r="E42" s="2" t="s">
        <v>8</v>
      </c>
      <c r="F42" s="3" t="s">
        <v>152</v>
      </c>
      <c r="G42" s="7">
        <v>-1000</v>
      </c>
    </row>
    <row r="43" spans="1:7" x14ac:dyDescent="0.25">
      <c r="A43" s="1">
        <v>45944.371898147998</v>
      </c>
      <c r="B43" s="2" t="s">
        <v>154</v>
      </c>
      <c r="C43" s="2" t="s">
        <v>66</v>
      </c>
      <c r="D43" s="2" t="s">
        <v>104</v>
      </c>
      <c r="E43" s="2" t="s">
        <v>8</v>
      </c>
      <c r="F43" s="3" t="s">
        <v>112</v>
      </c>
      <c r="G43" s="7">
        <v>-1000</v>
      </c>
    </row>
    <row r="44" spans="1:7" x14ac:dyDescent="0.25">
      <c r="A44" s="1">
        <v>45944.372858795999</v>
      </c>
      <c r="B44" s="2" t="s">
        <v>155</v>
      </c>
      <c r="C44" s="2" t="s">
        <v>66</v>
      </c>
      <c r="D44" s="2" t="s">
        <v>104</v>
      </c>
      <c r="E44" s="2" t="s">
        <v>8</v>
      </c>
      <c r="F44" s="3" t="s">
        <v>112</v>
      </c>
      <c r="G44" s="7">
        <v>-970</v>
      </c>
    </row>
    <row r="45" spans="1:7" x14ac:dyDescent="0.25">
      <c r="A45" s="1">
        <v>45957.752488425998</v>
      </c>
      <c r="B45" s="2" t="s">
        <v>156</v>
      </c>
      <c r="C45" s="2" t="s">
        <v>66</v>
      </c>
      <c r="D45" s="2" t="s">
        <v>104</v>
      </c>
      <c r="E45" s="2" t="s">
        <v>8</v>
      </c>
      <c r="F45" s="3" t="s">
        <v>130</v>
      </c>
      <c r="G45" s="7">
        <v>-1000</v>
      </c>
    </row>
    <row r="46" spans="1:7" x14ac:dyDescent="0.25">
      <c r="A46" s="1">
        <v>45957.753379629998</v>
      </c>
      <c r="B46" s="2" t="s">
        <v>157</v>
      </c>
      <c r="C46" s="2" t="s">
        <v>66</v>
      </c>
      <c r="D46" s="2" t="s">
        <v>104</v>
      </c>
      <c r="E46" s="2" t="s">
        <v>8</v>
      </c>
      <c r="F46" s="3" t="s">
        <v>130</v>
      </c>
      <c r="G46" s="7">
        <v>-1000</v>
      </c>
    </row>
    <row r="47" spans="1:7" x14ac:dyDescent="0.25">
      <c r="A47" s="1">
        <v>45958.367337962998</v>
      </c>
      <c r="B47" s="2" t="s">
        <v>158</v>
      </c>
      <c r="C47" s="2" t="s">
        <v>66</v>
      </c>
      <c r="D47" s="2" t="s">
        <v>104</v>
      </c>
      <c r="E47" s="2" t="s">
        <v>8</v>
      </c>
      <c r="F47" s="3" t="s">
        <v>112</v>
      </c>
      <c r="G47" s="7">
        <v>-1000</v>
      </c>
    </row>
    <row r="48" spans="1:7" x14ac:dyDescent="0.25">
      <c r="A48" s="1">
        <v>45958.368171296002</v>
      </c>
      <c r="B48" s="2" t="s">
        <v>159</v>
      </c>
      <c r="C48" s="2" t="s">
        <v>66</v>
      </c>
      <c r="D48" s="2" t="s">
        <v>104</v>
      </c>
      <c r="E48" s="2" t="s">
        <v>8</v>
      </c>
      <c r="F48" s="3" t="s">
        <v>112</v>
      </c>
      <c r="G48" s="7">
        <v>-970</v>
      </c>
    </row>
    <row r="49" spans="1:7" x14ac:dyDescent="0.25">
      <c r="A49" s="1">
        <v>45964.629756943999</v>
      </c>
      <c r="B49" s="2" t="s">
        <v>160</v>
      </c>
      <c r="C49" s="2" t="s">
        <v>66</v>
      </c>
      <c r="D49" s="2" t="s">
        <v>104</v>
      </c>
      <c r="E49" s="2" t="s">
        <v>8</v>
      </c>
      <c r="F49" s="3" t="s">
        <v>112</v>
      </c>
      <c r="G49" s="7">
        <v>-520</v>
      </c>
    </row>
    <row r="50" spans="1:7" x14ac:dyDescent="0.25">
      <c r="A50" s="1">
        <v>45972.769062500003</v>
      </c>
      <c r="B50" s="2" t="s">
        <v>161</v>
      </c>
      <c r="C50" s="2" t="s">
        <v>66</v>
      </c>
      <c r="D50" s="2" t="s">
        <v>104</v>
      </c>
      <c r="E50" s="2" t="s">
        <v>8</v>
      </c>
      <c r="F50" s="3" t="s">
        <v>112</v>
      </c>
      <c r="G50" s="7">
        <v>-1000</v>
      </c>
    </row>
    <row r="51" spans="1:7" x14ac:dyDescent="0.25">
      <c r="A51" s="1">
        <v>45972.769918981001</v>
      </c>
      <c r="B51" s="2" t="s">
        <v>162</v>
      </c>
      <c r="C51" s="2" t="s">
        <v>66</v>
      </c>
      <c r="D51" s="2" t="s">
        <v>104</v>
      </c>
      <c r="E51" s="2" t="s">
        <v>8</v>
      </c>
      <c r="F51" s="3" t="s">
        <v>112</v>
      </c>
      <c r="G51" s="7">
        <v>-1000</v>
      </c>
    </row>
    <row r="52" spans="1:7" x14ac:dyDescent="0.25">
      <c r="A52" s="1">
        <v>45973.370173611002</v>
      </c>
      <c r="B52" s="2" t="s">
        <v>163</v>
      </c>
      <c r="C52" s="2" t="s">
        <v>66</v>
      </c>
      <c r="D52" s="2" t="s">
        <v>104</v>
      </c>
      <c r="E52" s="2" t="s">
        <v>8</v>
      </c>
      <c r="F52" s="3" t="s">
        <v>112</v>
      </c>
      <c r="G52" s="7">
        <v>-1000</v>
      </c>
    </row>
    <row r="53" spans="1:7" x14ac:dyDescent="0.25">
      <c r="A53" s="1">
        <v>45973.371053240997</v>
      </c>
      <c r="B53" s="2" t="s">
        <v>164</v>
      </c>
      <c r="C53" s="2" t="s">
        <v>66</v>
      </c>
      <c r="D53" s="2" t="s">
        <v>104</v>
      </c>
      <c r="E53" s="2" t="s">
        <v>8</v>
      </c>
      <c r="F53" s="3" t="s">
        <v>112</v>
      </c>
      <c r="G53" s="7">
        <v>-970</v>
      </c>
    </row>
    <row r="54" spans="1:7" x14ac:dyDescent="0.25">
      <c r="A54" s="1">
        <v>45986.852546296002</v>
      </c>
      <c r="B54" s="2" t="s">
        <v>165</v>
      </c>
      <c r="C54" s="2" t="s">
        <v>66</v>
      </c>
      <c r="D54" s="2" t="s">
        <v>104</v>
      </c>
      <c r="E54" s="2" t="s">
        <v>8</v>
      </c>
      <c r="F54" s="3" t="s">
        <v>119</v>
      </c>
      <c r="G54" s="7">
        <v>-1000</v>
      </c>
    </row>
    <row r="55" spans="1:7" x14ac:dyDescent="0.25">
      <c r="A55" s="1">
        <v>45986.853750000002</v>
      </c>
      <c r="B55" s="2" t="s">
        <v>166</v>
      </c>
      <c r="C55" s="2" t="s">
        <v>66</v>
      </c>
      <c r="D55" s="2" t="s">
        <v>104</v>
      </c>
      <c r="E55" s="2" t="s">
        <v>8</v>
      </c>
      <c r="F55" s="3" t="s">
        <v>119</v>
      </c>
      <c r="G55" s="7">
        <v>-1000</v>
      </c>
    </row>
    <row r="56" spans="1:7" x14ac:dyDescent="0.25">
      <c r="A56" s="1">
        <v>45988.367824073997</v>
      </c>
      <c r="B56" s="2" t="s">
        <v>167</v>
      </c>
      <c r="C56" s="2" t="s">
        <v>66</v>
      </c>
      <c r="D56" s="2" t="s">
        <v>104</v>
      </c>
      <c r="E56" s="2" t="s">
        <v>8</v>
      </c>
      <c r="F56" s="3" t="s">
        <v>112</v>
      </c>
      <c r="G56" s="7">
        <v>-1000</v>
      </c>
    </row>
    <row r="57" spans="1:7" x14ac:dyDescent="0.25">
      <c r="A57" s="1">
        <v>45988.368865741002</v>
      </c>
      <c r="B57" s="2" t="s">
        <v>168</v>
      </c>
      <c r="C57" s="2" t="s">
        <v>66</v>
      </c>
      <c r="D57" s="2" t="s">
        <v>104</v>
      </c>
      <c r="E57" s="2" t="s">
        <v>8</v>
      </c>
      <c r="F57" s="3" t="s">
        <v>112</v>
      </c>
      <c r="G57" s="7">
        <v>-560</v>
      </c>
    </row>
    <row r="58" spans="1:7" x14ac:dyDescent="0.25">
      <c r="A58" s="1">
        <v>46002.725046296</v>
      </c>
      <c r="B58" s="2" t="s">
        <v>169</v>
      </c>
      <c r="C58" s="2" t="s">
        <v>66</v>
      </c>
      <c r="D58" s="2" t="s">
        <v>104</v>
      </c>
      <c r="E58" s="2" t="s">
        <v>8</v>
      </c>
      <c r="F58" s="3" t="s">
        <v>130</v>
      </c>
      <c r="G58" s="7">
        <v>-1000</v>
      </c>
    </row>
    <row r="59" spans="1:7" x14ac:dyDescent="0.25">
      <c r="A59" s="1">
        <v>46002.725833333003</v>
      </c>
      <c r="B59" s="2" t="s">
        <v>170</v>
      </c>
      <c r="C59" s="2" t="s">
        <v>66</v>
      </c>
      <c r="D59" s="2" t="s">
        <v>104</v>
      </c>
      <c r="E59" s="2" t="s">
        <v>8</v>
      </c>
      <c r="F59" s="3" t="s">
        <v>130</v>
      </c>
      <c r="G59" s="7">
        <v>-1000</v>
      </c>
    </row>
    <row r="60" spans="1:7" x14ac:dyDescent="0.25">
      <c r="A60" s="1">
        <v>46003.741064815003</v>
      </c>
      <c r="B60" s="2" t="s">
        <v>171</v>
      </c>
      <c r="C60" s="2" t="s">
        <v>66</v>
      </c>
      <c r="D60" s="2" t="s">
        <v>104</v>
      </c>
      <c r="E60" s="2" t="s">
        <v>8</v>
      </c>
      <c r="F60" s="3" t="s">
        <v>172</v>
      </c>
      <c r="G60" s="7">
        <v>-1000</v>
      </c>
    </row>
    <row r="61" spans="1:7" x14ac:dyDescent="0.25">
      <c r="A61" s="1">
        <v>46003.742025462998</v>
      </c>
      <c r="B61" s="2" t="s">
        <v>173</v>
      </c>
      <c r="C61" s="2" t="s">
        <v>66</v>
      </c>
      <c r="D61" s="2" t="s">
        <v>104</v>
      </c>
      <c r="E61" s="2" t="s">
        <v>8</v>
      </c>
      <c r="F61" s="3" t="s">
        <v>172</v>
      </c>
      <c r="G61" s="7">
        <v>-570</v>
      </c>
    </row>
    <row r="62" spans="1:7" x14ac:dyDescent="0.25">
      <c r="A62" s="1">
        <v>46035.629479167001</v>
      </c>
      <c r="B62" s="2" t="s">
        <v>174</v>
      </c>
      <c r="C62" s="2" t="s">
        <v>66</v>
      </c>
      <c r="D62" s="2" t="s">
        <v>104</v>
      </c>
      <c r="E62" s="2" t="s">
        <v>8</v>
      </c>
      <c r="F62" s="3" t="s">
        <v>130</v>
      </c>
      <c r="G62" s="7">
        <v>-460</v>
      </c>
    </row>
    <row r="63" spans="1:7" x14ac:dyDescent="0.25">
      <c r="A63" s="1">
        <v>46048.698356481</v>
      </c>
      <c r="B63" s="2" t="s">
        <v>175</v>
      </c>
      <c r="C63" s="2" t="s">
        <v>66</v>
      </c>
      <c r="D63" s="2" t="s">
        <v>104</v>
      </c>
      <c r="E63" s="2" t="s">
        <v>8</v>
      </c>
      <c r="F63" s="3" t="s">
        <v>130</v>
      </c>
      <c r="G63" s="7">
        <v>-1000</v>
      </c>
    </row>
    <row r="64" spans="1:7" x14ac:dyDescent="0.25">
      <c r="A64" s="1">
        <v>46048.699212963002</v>
      </c>
      <c r="B64" s="2" t="s">
        <v>176</v>
      </c>
      <c r="C64" s="2" t="s">
        <v>66</v>
      </c>
      <c r="D64" s="2" t="s">
        <v>104</v>
      </c>
      <c r="E64" s="2" t="s">
        <v>8</v>
      </c>
      <c r="F64" s="3" t="s">
        <v>130</v>
      </c>
      <c r="G64" s="7">
        <v>-1000</v>
      </c>
    </row>
    <row r="65" spans="1:7" x14ac:dyDescent="0.25">
      <c r="A65" s="1">
        <v>46049.369490741003</v>
      </c>
      <c r="B65" s="2" t="s">
        <v>177</v>
      </c>
      <c r="C65" s="2" t="s">
        <v>66</v>
      </c>
      <c r="D65" s="2" t="s">
        <v>104</v>
      </c>
      <c r="E65" s="2" t="s">
        <v>8</v>
      </c>
      <c r="F65" s="3" t="s">
        <v>112</v>
      </c>
      <c r="G65" s="7">
        <v>-1000</v>
      </c>
    </row>
    <row r="66" spans="1:7" x14ac:dyDescent="0.25">
      <c r="A66" s="1">
        <v>46049.370266204001</v>
      </c>
      <c r="B66" s="2" t="s">
        <v>178</v>
      </c>
      <c r="C66" s="2" t="s">
        <v>66</v>
      </c>
      <c r="D66" s="2" t="s">
        <v>104</v>
      </c>
      <c r="E66" s="2" t="s">
        <v>8</v>
      </c>
      <c r="F66" s="3" t="s">
        <v>112</v>
      </c>
      <c r="G66" s="7">
        <v>-970</v>
      </c>
    </row>
    <row r="67" spans="1:7" x14ac:dyDescent="0.25">
      <c r="A67" s="1">
        <v>46056.876064814998</v>
      </c>
      <c r="B67" s="2" t="s">
        <v>179</v>
      </c>
      <c r="C67" s="2" t="s">
        <v>66</v>
      </c>
      <c r="D67" s="2" t="s">
        <v>104</v>
      </c>
      <c r="E67" s="2" t="s">
        <v>8</v>
      </c>
      <c r="F67" s="3" t="s">
        <v>180</v>
      </c>
      <c r="G67" s="7">
        <v>-1000</v>
      </c>
    </row>
    <row r="68" spans="1:7" x14ac:dyDescent="0.25">
      <c r="A68" s="1">
        <v>46058.446909721999</v>
      </c>
      <c r="B68" s="2" t="s">
        <v>181</v>
      </c>
      <c r="C68" s="2" t="s">
        <v>66</v>
      </c>
      <c r="D68" s="2" t="s">
        <v>104</v>
      </c>
      <c r="E68" s="2" t="s">
        <v>8</v>
      </c>
      <c r="F68" s="3" t="s">
        <v>182</v>
      </c>
      <c r="G68" s="7">
        <v>-590</v>
      </c>
    </row>
    <row r="69" spans="1:7" x14ac:dyDescent="0.25">
      <c r="A69" s="1">
        <v>46066.665590277997</v>
      </c>
      <c r="B69" s="2" t="s">
        <v>183</v>
      </c>
      <c r="C69" s="2" t="s">
        <v>66</v>
      </c>
      <c r="D69" s="2" t="s">
        <v>104</v>
      </c>
      <c r="E69" s="2" t="s">
        <v>8</v>
      </c>
      <c r="F69" s="3" t="s">
        <v>182</v>
      </c>
      <c r="G69" s="7">
        <v>-1000</v>
      </c>
    </row>
    <row r="70" spans="1:7" x14ac:dyDescent="0.25">
      <c r="A70" s="1">
        <v>46066.666458332998</v>
      </c>
      <c r="B70" s="2" t="s">
        <v>184</v>
      </c>
      <c r="C70" s="2" t="s">
        <v>66</v>
      </c>
      <c r="D70" s="2" t="s">
        <v>104</v>
      </c>
      <c r="E70" s="2" t="s">
        <v>8</v>
      </c>
      <c r="F70" s="3" t="s">
        <v>182</v>
      </c>
      <c r="G70" s="7">
        <v>-600</v>
      </c>
    </row>
    <row r="71" spans="1:7" x14ac:dyDescent="0.25">
      <c r="A71" s="1">
        <v>46077.669363426001</v>
      </c>
      <c r="B71" s="2" t="s">
        <v>185</v>
      </c>
      <c r="C71" s="2" t="s">
        <v>66</v>
      </c>
      <c r="D71" s="2" t="s">
        <v>104</v>
      </c>
      <c r="E71" s="2" t="s">
        <v>8</v>
      </c>
      <c r="F71" s="3" t="s">
        <v>112</v>
      </c>
      <c r="G71" s="7">
        <v>-1000</v>
      </c>
    </row>
    <row r="72" spans="1:7" x14ac:dyDescent="0.25">
      <c r="A72" s="1">
        <v>46077.670219906999</v>
      </c>
      <c r="B72" s="2" t="s">
        <v>186</v>
      </c>
      <c r="C72" s="2" t="s">
        <v>66</v>
      </c>
      <c r="D72" s="2" t="s">
        <v>104</v>
      </c>
      <c r="E72" s="2" t="s">
        <v>8</v>
      </c>
      <c r="F72" s="3" t="s">
        <v>112</v>
      </c>
      <c r="G72" s="7">
        <v>-300</v>
      </c>
    </row>
    <row r="73" spans="1:7" x14ac:dyDescent="0.25">
      <c r="A73" s="1">
        <v>46078.691759259003</v>
      </c>
      <c r="B73" s="2" t="s">
        <v>187</v>
      </c>
      <c r="C73" s="2" t="s">
        <v>66</v>
      </c>
      <c r="D73" s="2" t="s">
        <v>104</v>
      </c>
      <c r="E73" s="2" t="s">
        <v>8</v>
      </c>
      <c r="F73" s="3" t="s">
        <v>112</v>
      </c>
      <c r="G73" s="7">
        <v>-1000</v>
      </c>
    </row>
    <row r="74" spans="1:7" x14ac:dyDescent="0.25">
      <c r="A74" s="1">
        <v>46078.692581019</v>
      </c>
      <c r="B74" s="2" t="s">
        <v>188</v>
      </c>
      <c r="C74" s="2" t="s">
        <v>66</v>
      </c>
      <c r="D74" s="2" t="s">
        <v>104</v>
      </c>
      <c r="E74" s="2" t="s">
        <v>8</v>
      </c>
      <c r="F74" s="3" t="s">
        <v>112</v>
      </c>
      <c r="G74" s="7">
        <v>-1000</v>
      </c>
    </row>
    <row r="75" spans="1:7" x14ac:dyDescent="0.25">
      <c r="A75" s="1">
        <v>46079.367905093</v>
      </c>
      <c r="B75" s="2" t="s">
        <v>189</v>
      </c>
      <c r="C75" s="2" t="s">
        <v>66</v>
      </c>
      <c r="D75" s="2" t="s">
        <v>104</v>
      </c>
      <c r="E75" s="2" t="s">
        <v>8</v>
      </c>
      <c r="F75" s="3" t="s">
        <v>112</v>
      </c>
      <c r="G75" s="7">
        <v>-1000</v>
      </c>
    </row>
    <row r="76" spans="1:7" x14ac:dyDescent="0.25">
      <c r="A76" s="1">
        <v>46079.368877314999</v>
      </c>
      <c r="B76" s="2" t="s">
        <v>108</v>
      </c>
      <c r="C76" s="2" t="s">
        <v>66</v>
      </c>
      <c r="D76" s="2" t="s">
        <v>104</v>
      </c>
      <c r="E76" s="2" t="s">
        <v>8</v>
      </c>
      <c r="F76" s="3" t="s">
        <v>112</v>
      </c>
      <c r="G76" s="7">
        <v>-970</v>
      </c>
    </row>
    <row r="77" spans="1:7" x14ac:dyDescent="0.25">
      <c r="A77" s="1">
        <v>46086.371342592996</v>
      </c>
      <c r="B77" s="2" t="s">
        <v>190</v>
      </c>
      <c r="C77" s="2" t="s">
        <v>66</v>
      </c>
      <c r="D77" s="2" t="s">
        <v>104</v>
      </c>
      <c r="E77" s="2" t="s">
        <v>8</v>
      </c>
      <c r="F77" s="3" t="s">
        <v>112</v>
      </c>
      <c r="G77" s="7">
        <v>-1000</v>
      </c>
    </row>
    <row r="78" spans="1:7" x14ac:dyDescent="0.25">
      <c r="A78" s="1">
        <v>46086.372187499997</v>
      </c>
      <c r="B78" s="2" t="s">
        <v>191</v>
      </c>
      <c r="C78" s="2" t="s">
        <v>66</v>
      </c>
      <c r="D78" s="2" t="s">
        <v>104</v>
      </c>
      <c r="E78" s="2" t="s">
        <v>8</v>
      </c>
      <c r="F78" s="3" t="s">
        <v>112</v>
      </c>
      <c r="G78" s="7">
        <v>-1000</v>
      </c>
    </row>
    <row r="79" spans="1:7" x14ac:dyDescent="0.25">
      <c r="A79" s="1">
        <v>46087.360937500001</v>
      </c>
      <c r="B79" s="2" t="s">
        <v>192</v>
      </c>
      <c r="C79" s="2" t="s">
        <v>66</v>
      </c>
      <c r="D79" s="2" t="s">
        <v>104</v>
      </c>
      <c r="E79" s="2" t="s">
        <v>8</v>
      </c>
      <c r="F79" s="3" t="s">
        <v>112</v>
      </c>
      <c r="G79" s="7">
        <v>-1000</v>
      </c>
    </row>
    <row r="80" spans="1:7" x14ac:dyDescent="0.25">
      <c r="A80" s="1">
        <v>46087.361793980999</v>
      </c>
      <c r="B80" s="2" t="s">
        <v>193</v>
      </c>
      <c r="C80" s="2" t="s">
        <v>66</v>
      </c>
      <c r="D80" s="2" t="s">
        <v>104</v>
      </c>
      <c r="E80" s="2" t="s">
        <v>8</v>
      </c>
      <c r="F80" s="3" t="s">
        <v>112</v>
      </c>
      <c r="G80" s="7">
        <v>-1000</v>
      </c>
    </row>
    <row r="81" spans="1:7" x14ac:dyDescent="0.25">
      <c r="A81" s="1">
        <v>46092.364733795999</v>
      </c>
      <c r="B81" s="2" t="s">
        <v>194</v>
      </c>
      <c r="C81" s="2" t="s">
        <v>66</v>
      </c>
      <c r="D81" s="2" t="s">
        <v>104</v>
      </c>
      <c r="E81" s="2" t="s">
        <v>8</v>
      </c>
      <c r="F81" s="3" t="s">
        <v>112</v>
      </c>
      <c r="G81" s="7">
        <v>-750</v>
      </c>
    </row>
    <row r="82" spans="1:7" x14ac:dyDescent="0.25">
      <c r="A82" s="1">
        <v>46094.460196758999</v>
      </c>
      <c r="B82" s="2" t="s">
        <v>195</v>
      </c>
      <c r="C82" s="2" t="s">
        <v>66</v>
      </c>
      <c r="D82" s="2" t="s">
        <v>104</v>
      </c>
      <c r="E82" s="2" t="s">
        <v>8</v>
      </c>
      <c r="F82" s="3" t="s">
        <v>112</v>
      </c>
      <c r="G82" s="7">
        <v>-1000</v>
      </c>
    </row>
    <row r="83" spans="1:7" x14ac:dyDescent="0.25">
      <c r="A83" s="1">
        <v>46094.461030093</v>
      </c>
      <c r="B83" s="2" t="s">
        <v>196</v>
      </c>
      <c r="C83" s="2" t="s">
        <v>66</v>
      </c>
      <c r="D83" s="2" t="s">
        <v>104</v>
      </c>
      <c r="E83" s="2" t="s">
        <v>8</v>
      </c>
      <c r="F83" s="3" t="s">
        <v>112</v>
      </c>
      <c r="G83" s="7">
        <v>-1000</v>
      </c>
    </row>
    <row r="84" spans="1:7" x14ac:dyDescent="0.25">
      <c r="A84" s="1">
        <v>46098.370277777998</v>
      </c>
      <c r="B84" s="2" t="s">
        <v>197</v>
      </c>
      <c r="C84" s="2" t="s">
        <v>66</v>
      </c>
      <c r="D84" s="2" t="s">
        <v>104</v>
      </c>
      <c r="E84" s="2" t="s">
        <v>8</v>
      </c>
      <c r="F84" s="3" t="s">
        <v>112</v>
      </c>
      <c r="G84" s="7">
        <v>-380</v>
      </c>
    </row>
    <row r="85" spans="1:7" x14ac:dyDescent="0.25">
      <c r="A85" s="1">
        <v>46123.473692129999</v>
      </c>
      <c r="B85" s="2" t="s">
        <v>198</v>
      </c>
      <c r="C85" s="2" t="s">
        <v>66</v>
      </c>
      <c r="D85" s="2" t="s">
        <v>104</v>
      </c>
      <c r="E85" s="2" t="s">
        <v>8</v>
      </c>
      <c r="F85" s="3" t="s">
        <v>152</v>
      </c>
      <c r="G85" s="7">
        <v>-260</v>
      </c>
    </row>
    <row r="86" spans="1:7" x14ac:dyDescent="0.25">
      <c r="A86" s="1">
        <v>46130.591134258997</v>
      </c>
      <c r="B86" s="2" t="s">
        <v>199</v>
      </c>
      <c r="C86" s="2" t="s">
        <v>66</v>
      </c>
      <c r="D86" s="2" t="s">
        <v>104</v>
      </c>
      <c r="E86" s="2" t="s">
        <v>8</v>
      </c>
      <c r="F86" s="3" t="s">
        <v>112</v>
      </c>
      <c r="G86" s="7">
        <v>-1000</v>
      </c>
    </row>
    <row r="87" spans="1:7" x14ac:dyDescent="0.25">
      <c r="A87" s="1">
        <v>46130.59212963</v>
      </c>
      <c r="B87" s="2" t="s">
        <v>200</v>
      </c>
      <c r="C87" s="2" t="s">
        <v>66</v>
      </c>
      <c r="D87" s="2" t="s">
        <v>104</v>
      </c>
      <c r="E87" s="2" t="s">
        <v>8</v>
      </c>
      <c r="F87" s="3" t="s">
        <v>112</v>
      </c>
      <c r="G87" s="7">
        <v>-60</v>
      </c>
    </row>
    <row r="88" spans="1:7" x14ac:dyDescent="0.25">
      <c r="A88" s="1">
        <v>46140.376134259001</v>
      </c>
      <c r="B88" s="2" t="s">
        <v>201</v>
      </c>
      <c r="C88" s="2" t="s">
        <v>66</v>
      </c>
      <c r="D88" s="2" t="s">
        <v>104</v>
      </c>
      <c r="E88" s="2" t="s">
        <v>8</v>
      </c>
      <c r="F88" s="3" t="s">
        <v>112</v>
      </c>
      <c r="G88" s="7">
        <v>-1000</v>
      </c>
    </row>
    <row r="89" spans="1:7" x14ac:dyDescent="0.25">
      <c r="A89" s="1">
        <v>46140.376898148003</v>
      </c>
      <c r="B89" s="2" t="s">
        <v>202</v>
      </c>
      <c r="C89" s="2" t="s">
        <v>66</v>
      </c>
      <c r="D89" s="2" t="s">
        <v>104</v>
      </c>
      <c r="E89" s="2" t="s">
        <v>8</v>
      </c>
      <c r="F89" s="3" t="s">
        <v>112</v>
      </c>
      <c r="G89" s="7">
        <v>-1000</v>
      </c>
    </row>
    <row r="90" spans="1:7" x14ac:dyDescent="0.25">
      <c r="A90" s="1">
        <v>46141.379189815001</v>
      </c>
      <c r="B90" s="2" t="s">
        <v>203</v>
      </c>
      <c r="C90" s="2" t="s">
        <v>66</v>
      </c>
      <c r="D90" s="2" t="s">
        <v>104</v>
      </c>
      <c r="E90" s="2" t="s">
        <v>8</v>
      </c>
      <c r="F90" s="3" t="s">
        <v>112</v>
      </c>
      <c r="G90" s="7">
        <v>-1000</v>
      </c>
    </row>
    <row r="91" spans="1:7" x14ac:dyDescent="0.25">
      <c r="A91" s="1">
        <v>46141.379988426001</v>
      </c>
      <c r="B91" s="2" t="s">
        <v>204</v>
      </c>
      <c r="C91" s="2" t="s">
        <v>66</v>
      </c>
      <c r="D91" s="2" t="s">
        <v>104</v>
      </c>
      <c r="E91" s="2" t="s">
        <v>8</v>
      </c>
      <c r="F91" s="3" t="s">
        <v>112</v>
      </c>
      <c r="G91" s="7">
        <v>-530</v>
      </c>
    </row>
    <row r="92" spans="1:7" x14ac:dyDescent="0.25">
      <c r="A92" s="1">
        <v>46154.392071759001</v>
      </c>
      <c r="B92" s="2" t="s">
        <v>205</v>
      </c>
      <c r="C92" s="2" t="s">
        <v>66</v>
      </c>
      <c r="D92" s="2" t="s">
        <v>104</v>
      </c>
      <c r="E92" s="2" t="s">
        <v>8</v>
      </c>
      <c r="F92" s="3" t="s">
        <v>112</v>
      </c>
      <c r="G92" s="7">
        <v>-1000</v>
      </c>
    </row>
    <row r="93" spans="1:7" x14ac:dyDescent="0.25">
      <c r="A93" s="1">
        <v>46154.393067129997</v>
      </c>
      <c r="B93" s="2" t="s">
        <v>206</v>
      </c>
      <c r="C93" s="2" t="s">
        <v>66</v>
      </c>
      <c r="D93" s="2" t="s">
        <v>104</v>
      </c>
      <c r="E93" s="2" t="s">
        <v>8</v>
      </c>
      <c r="F93" s="3" t="s">
        <v>112</v>
      </c>
      <c r="G93" s="7">
        <v>-1000</v>
      </c>
    </row>
    <row r="94" spans="1:7" x14ac:dyDescent="0.25">
      <c r="A94" s="1">
        <v>46155.356574074001</v>
      </c>
      <c r="B94" s="2" t="s">
        <v>207</v>
      </c>
      <c r="C94" s="2" t="s">
        <v>66</v>
      </c>
      <c r="D94" s="2" t="s">
        <v>104</v>
      </c>
      <c r="E94" s="2" t="s">
        <v>8</v>
      </c>
      <c r="F94" s="3" t="s">
        <v>112</v>
      </c>
      <c r="G94" s="7">
        <v>-1000</v>
      </c>
    </row>
    <row r="95" spans="1:7" x14ac:dyDescent="0.25">
      <c r="A95" s="1">
        <v>46155.357384258998</v>
      </c>
      <c r="B95" s="2" t="s">
        <v>208</v>
      </c>
      <c r="C95" s="2" t="s">
        <v>66</v>
      </c>
      <c r="D95" s="2" t="s">
        <v>104</v>
      </c>
      <c r="E95" s="2" t="s">
        <v>8</v>
      </c>
      <c r="F95" s="3" t="s">
        <v>112</v>
      </c>
      <c r="G95" s="7">
        <v>-1000</v>
      </c>
    </row>
    <row r="96" spans="1:7" x14ac:dyDescent="0.25">
      <c r="A96" s="1">
        <v>46156.380914351997</v>
      </c>
      <c r="B96" s="2" t="s">
        <v>209</v>
      </c>
      <c r="C96" s="2" t="s">
        <v>66</v>
      </c>
      <c r="D96" s="2" t="s">
        <v>104</v>
      </c>
      <c r="E96" s="2" t="s">
        <v>8</v>
      </c>
      <c r="F96" s="3" t="s">
        <v>112</v>
      </c>
      <c r="G96" s="7">
        <v>-150</v>
      </c>
    </row>
    <row r="97" spans="1:7" x14ac:dyDescent="0.25">
      <c r="A97" s="1">
        <v>46168.372025463003</v>
      </c>
      <c r="B97" s="2" t="s">
        <v>210</v>
      </c>
      <c r="C97" s="2" t="s">
        <v>66</v>
      </c>
      <c r="D97" s="2" t="s">
        <v>104</v>
      </c>
      <c r="E97" s="2" t="s">
        <v>8</v>
      </c>
      <c r="F97" s="3" t="s">
        <v>112</v>
      </c>
      <c r="G97" s="7">
        <v>-1000</v>
      </c>
    </row>
    <row r="98" spans="1:7" x14ac:dyDescent="0.25">
      <c r="A98" s="1">
        <v>46168.372766203996</v>
      </c>
      <c r="B98" s="2" t="s">
        <v>211</v>
      </c>
      <c r="C98" s="2" t="s">
        <v>66</v>
      </c>
      <c r="D98" s="2" t="s">
        <v>104</v>
      </c>
      <c r="E98" s="2" t="s">
        <v>8</v>
      </c>
      <c r="F98" s="3" t="s">
        <v>112</v>
      </c>
      <c r="G98" s="7">
        <v>-1000</v>
      </c>
    </row>
    <row r="99" spans="1:7" x14ac:dyDescent="0.25">
      <c r="A99" s="1">
        <v>46171.369189814999</v>
      </c>
      <c r="B99" s="2" t="s">
        <v>212</v>
      </c>
      <c r="C99" s="2" t="s">
        <v>66</v>
      </c>
      <c r="D99" s="2" t="s">
        <v>104</v>
      </c>
      <c r="E99" s="2" t="s">
        <v>8</v>
      </c>
      <c r="F99" s="3" t="s">
        <v>112</v>
      </c>
      <c r="G99" s="7">
        <v>-1000</v>
      </c>
    </row>
    <row r="100" spans="1:7" x14ac:dyDescent="0.25">
      <c r="A100" s="1">
        <v>46171.369953704001</v>
      </c>
      <c r="B100" s="2" t="s">
        <v>124</v>
      </c>
      <c r="C100" s="2" t="s">
        <v>66</v>
      </c>
      <c r="D100" s="2" t="s">
        <v>104</v>
      </c>
      <c r="E100" s="2" t="s">
        <v>8</v>
      </c>
      <c r="F100" s="3" t="s">
        <v>112</v>
      </c>
      <c r="G100" s="7">
        <v>-970</v>
      </c>
    </row>
    <row r="101" spans="1:7" x14ac:dyDescent="0.25">
      <c r="A101" s="1">
        <v>46185.764537037001</v>
      </c>
      <c r="B101" s="2" t="s">
        <v>213</v>
      </c>
      <c r="C101" s="2" t="s">
        <v>66</v>
      </c>
      <c r="D101" s="2" t="s">
        <v>104</v>
      </c>
      <c r="E101" s="2" t="s">
        <v>8</v>
      </c>
      <c r="F101" s="3" t="s">
        <v>119</v>
      </c>
      <c r="G101" s="7">
        <v>-1000</v>
      </c>
    </row>
    <row r="102" spans="1:7" x14ac:dyDescent="0.25">
      <c r="A102" s="1">
        <v>46185.765752314997</v>
      </c>
      <c r="B102" s="2" t="s">
        <v>214</v>
      </c>
      <c r="C102" s="2" t="s">
        <v>66</v>
      </c>
      <c r="D102" s="2" t="s">
        <v>104</v>
      </c>
      <c r="E102" s="2" t="s">
        <v>8</v>
      </c>
      <c r="F102" s="3" t="s">
        <v>119</v>
      </c>
      <c r="G102" s="7">
        <v>-980</v>
      </c>
    </row>
    <row r="103" spans="1:7" x14ac:dyDescent="0.25">
      <c r="A103" s="1">
        <v>46200.650775463</v>
      </c>
      <c r="B103" s="2" t="s">
        <v>215</v>
      </c>
      <c r="C103" s="2" t="s">
        <v>66</v>
      </c>
      <c r="D103" s="2" t="s">
        <v>104</v>
      </c>
      <c r="E103" s="2" t="s">
        <v>8</v>
      </c>
      <c r="F103" s="3" t="s">
        <v>119</v>
      </c>
      <c r="G103" s="7">
        <v>-1000</v>
      </c>
    </row>
    <row r="104" spans="1:7" x14ac:dyDescent="0.25">
      <c r="A104" s="1">
        <v>46200.651597222</v>
      </c>
      <c r="B104" s="2" t="s">
        <v>216</v>
      </c>
      <c r="C104" s="2" t="s">
        <v>66</v>
      </c>
      <c r="D104" s="2" t="s">
        <v>104</v>
      </c>
      <c r="E104" s="2" t="s">
        <v>8</v>
      </c>
      <c r="F104" s="3" t="s">
        <v>119</v>
      </c>
      <c r="G104" s="7">
        <v>-980</v>
      </c>
    </row>
    <row r="105" spans="1:7" x14ac:dyDescent="0.25">
      <c r="A105" s="51">
        <v>46240.367037037002</v>
      </c>
      <c r="B105" s="50" t="s">
        <v>348</v>
      </c>
      <c r="C105" s="50" t="s">
        <v>66</v>
      </c>
      <c r="D105" s="50" t="s">
        <v>104</v>
      </c>
      <c r="E105" s="50" t="s">
        <v>8</v>
      </c>
      <c r="F105" s="50" t="s">
        <v>182</v>
      </c>
      <c r="G105" s="47">
        <v>-230</v>
      </c>
    </row>
    <row r="106" spans="1:7" x14ac:dyDescent="0.25">
      <c r="A106" s="51">
        <v>46232.413530092999</v>
      </c>
      <c r="B106" s="50" t="s">
        <v>350</v>
      </c>
      <c r="C106" s="50" t="s">
        <v>66</v>
      </c>
      <c r="D106" s="50" t="s">
        <v>104</v>
      </c>
      <c r="E106" s="50" t="s">
        <v>8</v>
      </c>
      <c r="F106" s="50" t="s">
        <v>182</v>
      </c>
      <c r="G106" s="47">
        <v>-1000</v>
      </c>
    </row>
    <row r="107" spans="1:7" x14ac:dyDescent="0.25">
      <c r="A107" s="51">
        <v>46232.412824074003</v>
      </c>
      <c r="B107" s="50" t="s">
        <v>352</v>
      </c>
      <c r="C107" s="50" t="s">
        <v>66</v>
      </c>
      <c r="D107" s="50" t="s">
        <v>104</v>
      </c>
      <c r="E107" s="50" t="s">
        <v>8</v>
      </c>
      <c r="F107" s="50" t="s">
        <v>182</v>
      </c>
      <c r="G107" s="47">
        <v>-1000</v>
      </c>
    </row>
    <row r="108" spans="1:7" x14ac:dyDescent="0.25">
      <c r="A108" s="1">
        <v>45812.488923611003</v>
      </c>
      <c r="B108" s="2" t="s">
        <v>217</v>
      </c>
      <c r="C108" s="2" t="s">
        <v>66</v>
      </c>
      <c r="D108" s="2" t="s">
        <v>104</v>
      </c>
      <c r="E108" s="2" t="s">
        <v>9</v>
      </c>
      <c r="F108" s="3" t="s">
        <v>10</v>
      </c>
      <c r="G108" s="7">
        <v>-7</v>
      </c>
    </row>
    <row r="109" spans="1:7" x14ac:dyDescent="0.25">
      <c r="A109" s="1">
        <v>45812.489317129999</v>
      </c>
      <c r="B109" s="2" t="s">
        <v>218</v>
      </c>
      <c r="C109" s="2" t="s">
        <v>66</v>
      </c>
      <c r="D109" s="2" t="s">
        <v>104</v>
      </c>
      <c r="E109" s="2" t="s">
        <v>9</v>
      </c>
      <c r="F109" s="3" t="s">
        <v>10</v>
      </c>
      <c r="G109" s="7">
        <v>-7</v>
      </c>
    </row>
    <row r="110" spans="1:7" x14ac:dyDescent="0.25">
      <c r="A110" s="1">
        <v>45813.367210648001</v>
      </c>
      <c r="B110" s="2" t="s">
        <v>219</v>
      </c>
      <c r="C110" s="2" t="s">
        <v>66</v>
      </c>
      <c r="D110" s="2" t="s">
        <v>104</v>
      </c>
      <c r="E110" s="2" t="s">
        <v>9</v>
      </c>
      <c r="F110" s="3" t="s">
        <v>10</v>
      </c>
      <c r="G110" s="7">
        <v>-7</v>
      </c>
    </row>
    <row r="111" spans="1:7" x14ac:dyDescent="0.25">
      <c r="A111" s="1">
        <v>45813.368298611</v>
      </c>
      <c r="B111" s="2" t="s">
        <v>220</v>
      </c>
      <c r="C111" s="2" t="s">
        <v>66</v>
      </c>
      <c r="D111" s="2" t="s">
        <v>104</v>
      </c>
      <c r="E111" s="2" t="s">
        <v>9</v>
      </c>
      <c r="F111" s="3" t="s">
        <v>10</v>
      </c>
      <c r="G111" s="7">
        <v>-7</v>
      </c>
    </row>
    <row r="112" spans="1:7" x14ac:dyDescent="0.25">
      <c r="A112" s="1">
        <v>45820.735138889002</v>
      </c>
      <c r="B112" s="2" t="s">
        <v>83</v>
      </c>
      <c r="C112" s="2" t="s">
        <v>66</v>
      </c>
      <c r="D112" s="2" t="s">
        <v>104</v>
      </c>
      <c r="E112" s="2" t="s">
        <v>9</v>
      </c>
      <c r="F112" s="3" t="s">
        <v>10</v>
      </c>
      <c r="G112" s="7">
        <v>-7</v>
      </c>
    </row>
    <row r="113" spans="1:7" x14ac:dyDescent="0.25">
      <c r="A113" s="1">
        <v>45820.735682869999</v>
      </c>
      <c r="B113" s="2" t="s">
        <v>221</v>
      </c>
      <c r="C113" s="2" t="s">
        <v>66</v>
      </c>
      <c r="D113" s="2" t="s">
        <v>104</v>
      </c>
      <c r="E113" s="2" t="s">
        <v>9</v>
      </c>
      <c r="F113" s="3" t="s">
        <v>10</v>
      </c>
      <c r="G113" s="7">
        <v>-7</v>
      </c>
    </row>
    <row r="114" spans="1:7" x14ac:dyDescent="0.25">
      <c r="A114" s="1">
        <v>45822.49775463</v>
      </c>
      <c r="B114" s="2" t="s">
        <v>222</v>
      </c>
      <c r="C114" s="2" t="s">
        <v>66</v>
      </c>
      <c r="D114" s="2" t="s">
        <v>104</v>
      </c>
      <c r="E114" s="2" t="s">
        <v>9</v>
      </c>
      <c r="F114" s="3" t="s">
        <v>10</v>
      </c>
      <c r="G114" s="7">
        <v>-7</v>
      </c>
    </row>
    <row r="115" spans="1:7" x14ac:dyDescent="0.25">
      <c r="A115" s="1">
        <v>45824.365856481003</v>
      </c>
      <c r="B115" s="2" t="s">
        <v>223</v>
      </c>
      <c r="C115" s="2" t="s">
        <v>66</v>
      </c>
      <c r="D115" s="2" t="s">
        <v>104</v>
      </c>
      <c r="E115" s="2" t="s">
        <v>9</v>
      </c>
      <c r="F115" s="3" t="s">
        <v>10</v>
      </c>
      <c r="G115" s="7">
        <v>-7</v>
      </c>
    </row>
    <row r="116" spans="1:7" x14ac:dyDescent="0.25">
      <c r="A116" s="1">
        <v>45825.366400462997</v>
      </c>
      <c r="B116" s="2" t="s">
        <v>224</v>
      </c>
      <c r="C116" s="2" t="s">
        <v>66</v>
      </c>
      <c r="D116" s="2" t="s">
        <v>104</v>
      </c>
      <c r="E116" s="2" t="s">
        <v>9</v>
      </c>
      <c r="F116" s="3" t="s">
        <v>10</v>
      </c>
      <c r="G116" s="7">
        <v>-7</v>
      </c>
    </row>
    <row r="117" spans="1:7" x14ac:dyDescent="0.25">
      <c r="A117" s="1">
        <v>45834.365046295999</v>
      </c>
      <c r="B117" s="2" t="s">
        <v>225</v>
      </c>
      <c r="C117" s="2" t="s">
        <v>66</v>
      </c>
      <c r="D117" s="2" t="s">
        <v>104</v>
      </c>
      <c r="E117" s="2" t="s">
        <v>9</v>
      </c>
      <c r="F117" s="3" t="s">
        <v>10</v>
      </c>
      <c r="G117" s="7">
        <v>-7</v>
      </c>
    </row>
    <row r="118" spans="1:7" x14ac:dyDescent="0.25">
      <c r="A118" s="1">
        <v>45834.366053240999</v>
      </c>
      <c r="B118" s="2" t="s">
        <v>226</v>
      </c>
      <c r="C118" s="2" t="s">
        <v>66</v>
      </c>
      <c r="D118" s="2" t="s">
        <v>104</v>
      </c>
      <c r="E118" s="2" t="s">
        <v>9</v>
      </c>
      <c r="F118" s="3" t="s">
        <v>10</v>
      </c>
      <c r="G118" s="7">
        <v>-7</v>
      </c>
    </row>
    <row r="119" spans="1:7" x14ac:dyDescent="0.25">
      <c r="A119" s="1">
        <v>45835.370162036997</v>
      </c>
      <c r="B119" s="2" t="s">
        <v>227</v>
      </c>
      <c r="C119" s="2" t="s">
        <v>66</v>
      </c>
      <c r="D119" s="2" t="s">
        <v>104</v>
      </c>
      <c r="E119" s="2" t="s">
        <v>9</v>
      </c>
      <c r="F119" s="3" t="s">
        <v>10</v>
      </c>
      <c r="G119" s="7">
        <v>-7</v>
      </c>
    </row>
    <row r="120" spans="1:7" x14ac:dyDescent="0.25">
      <c r="A120" s="1">
        <v>45835.370983795998</v>
      </c>
      <c r="B120" s="2" t="s">
        <v>228</v>
      </c>
      <c r="C120" s="2" t="s">
        <v>66</v>
      </c>
      <c r="D120" s="2" t="s">
        <v>104</v>
      </c>
      <c r="E120" s="2" t="s">
        <v>9</v>
      </c>
      <c r="F120" s="3" t="s">
        <v>10</v>
      </c>
      <c r="G120" s="7">
        <v>-7</v>
      </c>
    </row>
    <row r="121" spans="1:7" x14ac:dyDescent="0.25">
      <c r="A121" s="1">
        <v>45849.933506943999</v>
      </c>
      <c r="B121" s="2" t="s">
        <v>229</v>
      </c>
      <c r="C121" s="2" t="s">
        <v>66</v>
      </c>
      <c r="D121" s="2" t="s">
        <v>104</v>
      </c>
      <c r="E121" s="2" t="s">
        <v>9</v>
      </c>
      <c r="F121" s="3" t="s">
        <v>10</v>
      </c>
      <c r="G121" s="7">
        <v>-7</v>
      </c>
    </row>
    <row r="122" spans="1:7" x14ac:dyDescent="0.25">
      <c r="A122" s="1">
        <v>45849.934560185</v>
      </c>
      <c r="B122" s="2" t="s">
        <v>230</v>
      </c>
      <c r="C122" s="2" t="s">
        <v>66</v>
      </c>
      <c r="D122" s="2" t="s">
        <v>104</v>
      </c>
      <c r="E122" s="2" t="s">
        <v>9</v>
      </c>
      <c r="F122" s="3" t="s">
        <v>10</v>
      </c>
      <c r="G122" s="7">
        <v>-7</v>
      </c>
    </row>
    <row r="123" spans="1:7" x14ac:dyDescent="0.25">
      <c r="A123" s="1">
        <v>45850.392500000002</v>
      </c>
      <c r="B123" s="2" t="s">
        <v>231</v>
      </c>
      <c r="C123" s="2" t="s">
        <v>66</v>
      </c>
      <c r="D123" s="2" t="s">
        <v>104</v>
      </c>
      <c r="E123" s="2" t="s">
        <v>9</v>
      </c>
      <c r="F123" s="3" t="s">
        <v>10</v>
      </c>
      <c r="G123" s="7">
        <v>-7</v>
      </c>
    </row>
    <row r="124" spans="1:7" x14ac:dyDescent="0.25">
      <c r="A124" s="1">
        <v>45850.393333332999</v>
      </c>
      <c r="B124" s="2" t="s">
        <v>232</v>
      </c>
      <c r="C124" s="2" t="s">
        <v>66</v>
      </c>
      <c r="D124" s="2" t="s">
        <v>104</v>
      </c>
      <c r="E124" s="2" t="s">
        <v>9</v>
      </c>
      <c r="F124" s="3" t="s">
        <v>10</v>
      </c>
      <c r="G124" s="7">
        <v>-7</v>
      </c>
    </row>
    <row r="125" spans="1:7" x14ac:dyDescent="0.25">
      <c r="A125" s="1">
        <v>45863.873541667002</v>
      </c>
      <c r="B125" s="2" t="s">
        <v>233</v>
      </c>
      <c r="C125" s="2" t="s">
        <v>66</v>
      </c>
      <c r="D125" s="2" t="s">
        <v>104</v>
      </c>
      <c r="E125" s="2" t="s">
        <v>9</v>
      </c>
      <c r="F125" s="3" t="s">
        <v>10</v>
      </c>
      <c r="G125" s="7">
        <v>-7</v>
      </c>
    </row>
    <row r="126" spans="1:7" x14ac:dyDescent="0.25">
      <c r="A126" s="1">
        <v>45863.874340278002</v>
      </c>
      <c r="B126" s="2" t="s">
        <v>234</v>
      </c>
      <c r="C126" s="2" t="s">
        <v>66</v>
      </c>
      <c r="D126" s="2" t="s">
        <v>104</v>
      </c>
      <c r="E126" s="2" t="s">
        <v>9</v>
      </c>
      <c r="F126" s="3" t="s">
        <v>10</v>
      </c>
      <c r="G126" s="7">
        <v>-7</v>
      </c>
    </row>
    <row r="127" spans="1:7" x14ac:dyDescent="0.25">
      <c r="A127" s="1">
        <v>45864.569745369998</v>
      </c>
      <c r="B127" s="2" t="s">
        <v>235</v>
      </c>
      <c r="C127" s="2" t="s">
        <v>66</v>
      </c>
      <c r="D127" s="2" t="s">
        <v>104</v>
      </c>
      <c r="E127" s="2" t="s">
        <v>9</v>
      </c>
      <c r="F127" s="3" t="s">
        <v>10</v>
      </c>
      <c r="G127" s="7">
        <v>-7</v>
      </c>
    </row>
    <row r="128" spans="1:7" x14ac:dyDescent="0.25">
      <c r="A128" s="1">
        <v>45864.570694444003</v>
      </c>
      <c r="B128" s="2" t="s">
        <v>236</v>
      </c>
      <c r="C128" s="2" t="s">
        <v>66</v>
      </c>
      <c r="D128" s="2" t="s">
        <v>104</v>
      </c>
      <c r="E128" s="2" t="s">
        <v>9</v>
      </c>
      <c r="F128" s="3" t="s">
        <v>10</v>
      </c>
      <c r="G128" s="7">
        <v>-7</v>
      </c>
    </row>
    <row r="129" spans="1:7" x14ac:dyDescent="0.25">
      <c r="A129" s="1">
        <v>45881.369733795997</v>
      </c>
      <c r="B129" s="2" t="s">
        <v>237</v>
      </c>
      <c r="C129" s="2" t="s">
        <v>66</v>
      </c>
      <c r="D129" s="2" t="s">
        <v>104</v>
      </c>
      <c r="E129" s="2" t="s">
        <v>9</v>
      </c>
      <c r="F129" s="3" t="s">
        <v>10</v>
      </c>
      <c r="G129" s="7">
        <v>-7</v>
      </c>
    </row>
    <row r="130" spans="1:7" x14ac:dyDescent="0.25">
      <c r="A130" s="1">
        <v>45881.370613425999</v>
      </c>
      <c r="B130" s="2" t="s">
        <v>238</v>
      </c>
      <c r="C130" s="2" t="s">
        <v>66</v>
      </c>
      <c r="D130" s="2" t="s">
        <v>104</v>
      </c>
      <c r="E130" s="2" t="s">
        <v>9</v>
      </c>
      <c r="F130" s="3" t="s">
        <v>10</v>
      </c>
      <c r="G130" s="7">
        <v>-7</v>
      </c>
    </row>
    <row r="131" spans="1:7" x14ac:dyDescent="0.25">
      <c r="A131" s="1">
        <v>45882.432916667</v>
      </c>
      <c r="B131" s="2" t="s">
        <v>239</v>
      </c>
      <c r="C131" s="2" t="s">
        <v>66</v>
      </c>
      <c r="D131" s="2" t="s">
        <v>104</v>
      </c>
      <c r="E131" s="2" t="s">
        <v>9</v>
      </c>
      <c r="F131" s="3" t="s">
        <v>10</v>
      </c>
      <c r="G131" s="7">
        <v>-7</v>
      </c>
    </row>
    <row r="132" spans="1:7" x14ac:dyDescent="0.25">
      <c r="A132" s="1">
        <v>45894.756539351998</v>
      </c>
      <c r="B132" s="2" t="s">
        <v>240</v>
      </c>
      <c r="C132" s="2" t="s">
        <v>66</v>
      </c>
      <c r="D132" s="2" t="s">
        <v>104</v>
      </c>
      <c r="E132" s="2" t="s">
        <v>9</v>
      </c>
      <c r="F132" s="3" t="s">
        <v>10</v>
      </c>
      <c r="G132" s="7">
        <v>-7</v>
      </c>
    </row>
    <row r="133" spans="1:7" x14ac:dyDescent="0.25">
      <c r="A133" s="1">
        <v>45894.757650462998</v>
      </c>
      <c r="B133" s="2" t="s">
        <v>241</v>
      </c>
      <c r="C133" s="2" t="s">
        <v>66</v>
      </c>
      <c r="D133" s="2" t="s">
        <v>104</v>
      </c>
      <c r="E133" s="2" t="s">
        <v>9</v>
      </c>
      <c r="F133" s="3" t="s">
        <v>10</v>
      </c>
      <c r="G133" s="7">
        <v>-7</v>
      </c>
    </row>
    <row r="134" spans="1:7" x14ac:dyDescent="0.25">
      <c r="A134" s="1">
        <v>45895.367546296002</v>
      </c>
      <c r="B134" s="2" t="s">
        <v>242</v>
      </c>
      <c r="C134" s="2" t="s">
        <v>66</v>
      </c>
      <c r="D134" s="2" t="s">
        <v>104</v>
      </c>
      <c r="E134" s="2" t="s">
        <v>9</v>
      </c>
      <c r="F134" s="3" t="s">
        <v>10</v>
      </c>
      <c r="G134" s="7">
        <v>-7</v>
      </c>
    </row>
    <row r="135" spans="1:7" x14ac:dyDescent="0.25">
      <c r="A135" s="1">
        <v>45895.368356480998</v>
      </c>
      <c r="B135" s="2" t="s">
        <v>243</v>
      </c>
      <c r="C135" s="2" t="s">
        <v>66</v>
      </c>
      <c r="D135" s="2" t="s">
        <v>104</v>
      </c>
      <c r="E135" s="2" t="s">
        <v>9</v>
      </c>
      <c r="F135" s="3" t="s">
        <v>10</v>
      </c>
      <c r="G135" s="7">
        <v>-7</v>
      </c>
    </row>
    <row r="136" spans="1:7" x14ac:dyDescent="0.25">
      <c r="A136" s="1">
        <v>45911.981111111003</v>
      </c>
      <c r="B136" s="2" t="s">
        <v>244</v>
      </c>
      <c r="C136" s="2" t="s">
        <v>66</v>
      </c>
      <c r="D136" s="2" t="s">
        <v>104</v>
      </c>
      <c r="E136" s="2" t="s">
        <v>9</v>
      </c>
      <c r="F136" s="3" t="s">
        <v>10</v>
      </c>
      <c r="G136" s="7">
        <v>-7</v>
      </c>
    </row>
    <row r="137" spans="1:7" x14ac:dyDescent="0.25">
      <c r="A137" s="1">
        <v>45911.981828704003</v>
      </c>
      <c r="B137" s="2" t="s">
        <v>245</v>
      </c>
      <c r="C137" s="2" t="s">
        <v>66</v>
      </c>
      <c r="D137" s="2" t="s">
        <v>104</v>
      </c>
      <c r="E137" s="2" t="s">
        <v>9</v>
      </c>
      <c r="F137" s="3" t="s">
        <v>10</v>
      </c>
      <c r="G137" s="7">
        <v>-7</v>
      </c>
    </row>
    <row r="138" spans="1:7" x14ac:dyDescent="0.25">
      <c r="A138" s="1">
        <v>45912.372523147998</v>
      </c>
      <c r="B138" s="2" t="s">
        <v>246</v>
      </c>
      <c r="C138" s="2" t="s">
        <v>66</v>
      </c>
      <c r="D138" s="2" t="s">
        <v>104</v>
      </c>
      <c r="E138" s="2" t="s">
        <v>9</v>
      </c>
      <c r="F138" s="3" t="s">
        <v>10</v>
      </c>
      <c r="G138" s="7">
        <v>-7</v>
      </c>
    </row>
    <row r="139" spans="1:7" x14ac:dyDescent="0.25">
      <c r="A139" s="1">
        <v>45912.373576389</v>
      </c>
      <c r="B139" s="2" t="s">
        <v>247</v>
      </c>
      <c r="C139" s="2" t="s">
        <v>66</v>
      </c>
      <c r="D139" s="2" t="s">
        <v>104</v>
      </c>
      <c r="E139" s="2" t="s">
        <v>9</v>
      </c>
      <c r="F139" s="3" t="s">
        <v>10</v>
      </c>
      <c r="G139" s="7">
        <v>-7</v>
      </c>
    </row>
    <row r="140" spans="1:7" x14ac:dyDescent="0.25">
      <c r="A140" s="1">
        <v>45925.747997685001</v>
      </c>
      <c r="B140" s="2" t="s">
        <v>248</v>
      </c>
      <c r="C140" s="2" t="s">
        <v>66</v>
      </c>
      <c r="D140" s="2" t="s">
        <v>104</v>
      </c>
      <c r="E140" s="2" t="s">
        <v>9</v>
      </c>
      <c r="F140" s="3" t="s">
        <v>10</v>
      </c>
      <c r="G140" s="7">
        <v>-7</v>
      </c>
    </row>
    <row r="141" spans="1:7" x14ac:dyDescent="0.25">
      <c r="A141" s="1">
        <v>45925.748344906999</v>
      </c>
      <c r="B141" s="2" t="s">
        <v>249</v>
      </c>
      <c r="C141" s="2" t="s">
        <v>66</v>
      </c>
      <c r="D141" s="2" t="s">
        <v>104</v>
      </c>
      <c r="E141" s="2" t="s">
        <v>9</v>
      </c>
      <c r="F141" s="3" t="s">
        <v>10</v>
      </c>
      <c r="G141" s="7">
        <v>-7</v>
      </c>
    </row>
    <row r="142" spans="1:7" x14ac:dyDescent="0.25">
      <c r="A142" s="1">
        <v>45926.370706018999</v>
      </c>
      <c r="B142" s="2" t="s">
        <v>250</v>
      </c>
      <c r="C142" s="2" t="s">
        <v>66</v>
      </c>
      <c r="D142" s="2" t="s">
        <v>104</v>
      </c>
      <c r="E142" s="2" t="s">
        <v>9</v>
      </c>
      <c r="F142" s="3" t="s">
        <v>10</v>
      </c>
      <c r="G142" s="7">
        <v>-7</v>
      </c>
    </row>
    <row r="143" spans="1:7" x14ac:dyDescent="0.25">
      <c r="A143" s="1">
        <v>45926.371666667001</v>
      </c>
      <c r="B143" s="2" t="s">
        <v>251</v>
      </c>
      <c r="C143" s="2" t="s">
        <v>66</v>
      </c>
      <c r="D143" s="2" t="s">
        <v>104</v>
      </c>
      <c r="E143" s="2" t="s">
        <v>9</v>
      </c>
      <c r="F143" s="3" t="s">
        <v>10</v>
      </c>
      <c r="G143" s="7">
        <v>-7</v>
      </c>
    </row>
    <row r="144" spans="1:7" x14ac:dyDescent="0.25">
      <c r="A144" s="1">
        <v>45943.972187500003</v>
      </c>
      <c r="B144" s="2" t="s">
        <v>252</v>
      </c>
      <c r="C144" s="2" t="s">
        <v>66</v>
      </c>
      <c r="D144" s="2" t="s">
        <v>104</v>
      </c>
      <c r="E144" s="2" t="s">
        <v>9</v>
      </c>
      <c r="F144" s="3" t="s">
        <v>10</v>
      </c>
      <c r="G144" s="7">
        <v>-7</v>
      </c>
    </row>
    <row r="145" spans="1:7" x14ac:dyDescent="0.25">
      <c r="A145" s="1">
        <v>45943.972650463002</v>
      </c>
      <c r="B145" s="2" t="s">
        <v>253</v>
      </c>
      <c r="C145" s="2" t="s">
        <v>66</v>
      </c>
      <c r="D145" s="2" t="s">
        <v>104</v>
      </c>
      <c r="E145" s="2" t="s">
        <v>9</v>
      </c>
      <c r="F145" s="3" t="s">
        <v>10</v>
      </c>
      <c r="G145" s="7">
        <v>-7</v>
      </c>
    </row>
    <row r="146" spans="1:7" x14ac:dyDescent="0.25">
      <c r="A146" s="1">
        <v>45944.372118056002</v>
      </c>
      <c r="B146" s="2" t="s">
        <v>254</v>
      </c>
      <c r="C146" s="2" t="s">
        <v>66</v>
      </c>
      <c r="D146" s="2" t="s">
        <v>104</v>
      </c>
      <c r="E146" s="2" t="s">
        <v>9</v>
      </c>
      <c r="F146" s="3" t="s">
        <v>10</v>
      </c>
      <c r="G146" s="7">
        <v>-7</v>
      </c>
    </row>
    <row r="147" spans="1:7" x14ac:dyDescent="0.25">
      <c r="A147" s="1">
        <v>45944.373171296</v>
      </c>
      <c r="B147" s="2" t="s">
        <v>255</v>
      </c>
      <c r="C147" s="2" t="s">
        <v>66</v>
      </c>
      <c r="D147" s="2" t="s">
        <v>104</v>
      </c>
      <c r="E147" s="2" t="s">
        <v>9</v>
      </c>
      <c r="F147" s="3" t="s">
        <v>10</v>
      </c>
      <c r="G147" s="7">
        <v>-7</v>
      </c>
    </row>
    <row r="148" spans="1:7" x14ac:dyDescent="0.25">
      <c r="A148" s="1">
        <v>45957.752812500003</v>
      </c>
      <c r="B148" s="2" t="s">
        <v>256</v>
      </c>
      <c r="C148" s="2" t="s">
        <v>66</v>
      </c>
      <c r="D148" s="2" t="s">
        <v>104</v>
      </c>
      <c r="E148" s="2" t="s">
        <v>9</v>
      </c>
      <c r="F148" s="3" t="s">
        <v>10</v>
      </c>
      <c r="G148" s="7">
        <v>-7</v>
      </c>
    </row>
    <row r="149" spans="1:7" x14ac:dyDescent="0.25">
      <c r="A149" s="1">
        <v>45957.753715277999</v>
      </c>
      <c r="B149" s="2" t="s">
        <v>257</v>
      </c>
      <c r="C149" s="2" t="s">
        <v>66</v>
      </c>
      <c r="D149" s="2" t="s">
        <v>104</v>
      </c>
      <c r="E149" s="2" t="s">
        <v>9</v>
      </c>
      <c r="F149" s="3" t="s">
        <v>10</v>
      </c>
      <c r="G149" s="7">
        <v>-7</v>
      </c>
    </row>
    <row r="150" spans="1:7" x14ac:dyDescent="0.25">
      <c r="A150" s="1">
        <v>45958.367534721998</v>
      </c>
      <c r="B150" s="2" t="s">
        <v>258</v>
      </c>
      <c r="C150" s="2" t="s">
        <v>66</v>
      </c>
      <c r="D150" s="2" t="s">
        <v>104</v>
      </c>
      <c r="E150" s="2" t="s">
        <v>9</v>
      </c>
      <c r="F150" s="3" t="s">
        <v>10</v>
      </c>
      <c r="G150" s="7">
        <v>-7</v>
      </c>
    </row>
    <row r="151" spans="1:7" x14ac:dyDescent="0.25">
      <c r="A151" s="1">
        <v>45958.368634259001</v>
      </c>
      <c r="B151" s="2" t="s">
        <v>259</v>
      </c>
      <c r="C151" s="2" t="s">
        <v>66</v>
      </c>
      <c r="D151" s="2" t="s">
        <v>104</v>
      </c>
      <c r="E151" s="2" t="s">
        <v>9</v>
      </c>
      <c r="F151" s="3" t="s">
        <v>10</v>
      </c>
      <c r="G151" s="7">
        <v>-7</v>
      </c>
    </row>
    <row r="152" spans="1:7" x14ac:dyDescent="0.25">
      <c r="A152" s="1">
        <v>45964.629953704003</v>
      </c>
      <c r="B152" s="2" t="s">
        <v>260</v>
      </c>
      <c r="C152" s="2" t="s">
        <v>66</v>
      </c>
      <c r="D152" s="2" t="s">
        <v>104</v>
      </c>
      <c r="E152" s="2" t="s">
        <v>9</v>
      </c>
      <c r="F152" s="3" t="s">
        <v>10</v>
      </c>
      <c r="G152" s="7">
        <v>-7</v>
      </c>
    </row>
    <row r="153" spans="1:7" x14ac:dyDescent="0.25">
      <c r="A153" s="1">
        <v>45972.769282407004</v>
      </c>
      <c r="B153" s="2" t="s">
        <v>261</v>
      </c>
      <c r="C153" s="2" t="s">
        <v>66</v>
      </c>
      <c r="D153" s="2" t="s">
        <v>104</v>
      </c>
      <c r="E153" s="2" t="s">
        <v>9</v>
      </c>
      <c r="F153" s="3" t="s">
        <v>10</v>
      </c>
      <c r="G153" s="7">
        <v>-7</v>
      </c>
    </row>
    <row r="154" spans="1:7" x14ac:dyDescent="0.25">
      <c r="A154" s="1">
        <v>45972.770231481001</v>
      </c>
      <c r="B154" s="2" t="s">
        <v>262</v>
      </c>
      <c r="C154" s="2" t="s">
        <v>66</v>
      </c>
      <c r="D154" s="2" t="s">
        <v>104</v>
      </c>
      <c r="E154" s="2" t="s">
        <v>9</v>
      </c>
      <c r="F154" s="3" t="s">
        <v>10</v>
      </c>
      <c r="G154" s="7">
        <v>-7</v>
      </c>
    </row>
    <row r="155" spans="1:7" x14ac:dyDescent="0.25">
      <c r="A155" s="1">
        <v>45973.370532407003</v>
      </c>
      <c r="B155" s="2" t="s">
        <v>263</v>
      </c>
      <c r="C155" s="2" t="s">
        <v>66</v>
      </c>
      <c r="D155" s="2" t="s">
        <v>104</v>
      </c>
      <c r="E155" s="2" t="s">
        <v>9</v>
      </c>
      <c r="F155" s="3" t="s">
        <v>10</v>
      </c>
      <c r="G155" s="7">
        <v>-7</v>
      </c>
    </row>
    <row r="156" spans="1:7" x14ac:dyDescent="0.25">
      <c r="A156" s="1">
        <v>45973.371481481001</v>
      </c>
      <c r="B156" s="2" t="s">
        <v>264</v>
      </c>
      <c r="C156" s="2" t="s">
        <v>66</v>
      </c>
      <c r="D156" s="2" t="s">
        <v>104</v>
      </c>
      <c r="E156" s="2" t="s">
        <v>9</v>
      </c>
      <c r="F156" s="3" t="s">
        <v>10</v>
      </c>
      <c r="G156" s="7">
        <v>-7</v>
      </c>
    </row>
    <row r="157" spans="1:7" x14ac:dyDescent="0.25">
      <c r="A157" s="1">
        <v>45986.852777777996</v>
      </c>
      <c r="B157" s="2" t="s">
        <v>265</v>
      </c>
      <c r="C157" s="2" t="s">
        <v>66</v>
      </c>
      <c r="D157" s="2" t="s">
        <v>104</v>
      </c>
      <c r="E157" s="2" t="s">
        <v>9</v>
      </c>
      <c r="F157" s="3" t="s">
        <v>10</v>
      </c>
      <c r="G157" s="7">
        <v>-7</v>
      </c>
    </row>
    <row r="158" spans="1:7" x14ac:dyDescent="0.25">
      <c r="A158" s="1">
        <v>45986.854108795997</v>
      </c>
      <c r="B158" s="2" t="s">
        <v>266</v>
      </c>
      <c r="C158" s="2" t="s">
        <v>66</v>
      </c>
      <c r="D158" s="2" t="s">
        <v>104</v>
      </c>
      <c r="E158" s="2" t="s">
        <v>9</v>
      </c>
      <c r="F158" s="3" t="s">
        <v>10</v>
      </c>
      <c r="G158" s="7">
        <v>-7</v>
      </c>
    </row>
    <row r="159" spans="1:7" x14ac:dyDescent="0.25">
      <c r="A159" s="1">
        <v>45988.368159721998</v>
      </c>
      <c r="B159" s="2" t="s">
        <v>267</v>
      </c>
      <c r="C159" s="2" t="s">
        <v>66</v>
      </c>
      <c r="D159" s="2" t="s">
        <v>104</v>
      </c>
      <c r="E159" s="2" t="s">
        <v>9</v>
      </c>
      <c r="F159" s="3" t="s">
        <v>10</v>
      </c>
      <c r="G159" s="7">
        <v>-7</v>
      </c>
    </row>
    <row r="160" spans="1:7" x14ac:dyDescent="0.25">
      <c r="A160" s="1">
        <v>45988.369074073998</v>
      </c>
      <c r="B160" s="2" t="s">
        <v>268</v>
      </c>
      <c r="C160" s="2" t="s">
        <v>66</v>
      </c>
      <c r="D160" s="2" t="s">
        <v>104</v>
      </c>
      <c r="E160" s="2" t="s">
        <v>9</v>
      </c>
      <c r="F160" s="3" t="s">
        <v>10</v>
      </c>
      <c r="G160" s="7">
        <v>-7</v>
      </c>
    </row>
    <row r="161" spans="1:7" x14ac:dyDescent="0.25">
      <c r="A161" s="1">
        <v>46002.725393519002</v>
      </c>
      <c r="B161" s="2" t="s">
        <v>269</v>
      </c>
      <c r="C161" s="2" t="s">
        <v>66</v>
      </c>
      <c r="D161" s="2" t="s">
        <v>104</v>
      </c>
      <c r="E161" s="2" t="s">
        <v>9</v>
      </c>
      <c r="F161" s="3" t="s">
        <v>10</v>
      </c>
      <c r="G161" s="7">
        <v>-7</v>
      </c>
    </row>
    <row r="162" spans="1:7" x14ac:dyDescent="0.25">
      <c r="A162" s="1">
        <v>46002.726192130001</v>
      </c>
      <c r="B162" s="2" t="s">
        <v>270</v>
      </c>
      <c r="C162" s="2" t="s">
        <v>66</v>
      </c>
      <c r="D162" s="2" t="s">
        <v>104</v>
      </c>
      <c r="E162" s="2" t="s">
        <v>9</v>
      </c>
      <c r="F162" s="3" t="s">
        <v>10</v>
      </c>
      <c r="G162" s="7">
        <v>-7</v>
      </c>
    </row>
    <row r="163" spans="1:7" x14ac:dyDescent="0.25">
      <c r="A163" s="1">
        <v>46003.741423610998</v>
      </c>
      <c r="B163" s="2" t="s">
        <v>271</v>
      </c>
      <c r="C163" s="2" t="s">
        <v>66</v>
      </c>
      <c r="D163" s="2" t="s">
        <v>104</v>
      </c>
      <c r="E163" s="2" t="s">
        <v>9</v>
      </c>
      <c r="F163" s="3" t="s">
        <v>10</v>
      </c>
      <c r="G163" s="7">
        <v>-7</v>
      </c>
    </row>
    <row r="164" spans="1:7" x14ac:dyDescent="0.25">
      <c r="A164" s="1">
        <v>46003.742349537002</v>
      </c>
      <c r="B164" s="2" t="s">
        <v>272</v>
      </c>
      <c r="C164" s="2" t="s">
        <v>66</v>
      </c>
      <c r="D164" s="2" t="s">
        <v>104</v>
      </c>
      <c r="E164" s="2" t="s">
        <v>9</v>
      </c>
      <c r="F164" s="3" t="s">
        <v>10</v>
      </c>
      <c r="G164" s="7">
        <v>-7</v>
      </c>
    </row>
    <row r="165" spans="1:7" x14ac:dyDescent="0.25">
      <c r="A165" s="1">
        <v>46035.629780092997</v>
      </c>
      <c r="B165" s="2" t="s">
        <v>273</v>
      </c>
      <c r="C165" s="2" t="s">
        <v>66</v>
      </c>
      <c r="D165" s="2" t="s">
        <v>104</v>
      </c>
      <c r="E165" s="2" t="s">
        <v>9</v>
      </c>
      <c r="F165" s="3" t="s">
        <v>10</v>
      </c>
      <c r="G165" s="7">
        <v>-7</v>
      </c>
    </row>
    <row r="166" spans="1:7" x14ac:dyDescent="0.25">
      <c r="A166" s="1">
        <v>46048.698773147997</v>
      </c>
      <c r="B166" s="2" t="s">
        <v>274</v>
      </c>
      <c r="C166" s="2" t="s">
        <v>66</v>
      </c>
      <c r="D166" s="2" t="s">
        <v>104</v>
      </c>
      <c r="E166" s="2" t="s">
        <v>9</v>
      </c>
      <c r="F166" s="3" t="s">
        <v>10</v>
      </c>
      <c r="G166" s="7">
        <v>-7</v>
      </c>
    </row>
    <row r="167" spans="1:7" x14ac:dyDescent="0.25">
      <c r="A167" s="1">
        <v>46048.699456019</v>
      </c>
      <c r="B167" s="2" t="s">
        <v>275</v>
      </c>
      <c r="C167" s="2" t="s">
        <v>66</v>
      </c>
      <c r="D167" s="2" t="s">
        <v>104</v>
      </c>
      <c r="E167" s="2" t="s">
        <v>9</v>
      </c>
      <c r="F167" s="3" t="s">
        <v>10</v>
      </c>
      <c r="G167" s="7">
        <v>-7</v>
      </c>
    </row>
    <row r="168" spans="1:7" x14ac:dyDescent="0.25">
      <c r="A168" s="1">
        <v>46049.369884259002</v>
      </c>
      <c r="B168" s="2" t="s">
        <v>276</v>
      </c>
      <c r="C168" s="2" t="s">
        <v>66</v>
      </c>
      <c r="D168" s="2" t="s">
        <v>104</v>
      </c>
      <c r="E168" s="2" t="s">
        <v>9</v>
      </c>
      <c r="F168" s="3" t="s">
        <v>10</v>
      </c>
      <c r="G168" s="7">
        <v>-7</v>
      </c>
    </row>
    <row r="169" spans="1:7" x14ac:dyDescent="0.25">
      <c r="A169" s="1">
        <v>46049.370416667</v>
      </c>
      <c r="B169" s="2" t="s">
        <v>277</v>
      </c>
      <c r="C169" s="2" t="s">
        <v>66</v>
      </c>
      <c r="D169" s="2" t="s">
        <v>104</v>
      </c>
      <c r="E169" s="2" t="s">
        <v>9</v>
      </c>
      <c r="F169" s="3" t="s">
        <v>10</v>
      </c>
      <c r="G169" s="7">
        <v>-7</v>
      </c>
    </row>
    <row r="170" spans="1:7" x14ac:dyDescent="0.25">
      <c r="A170" s="1">
        <v>46056.876469907002</v>
      </c>
      <c r="B170" s="2" t="s">
        <v>278</v>
      </c>
      <c r="C170" s="2" t="s">
        <v>66</v>
      </c>
      <c r="D170" s="2" t="s">
        <v>104</v>
      </c>
      <c r="E170" s="2" t="s">
        <v>9</v>
      </c>
      <c r="F170" s="3" t="s">
        <v>10</v>
      </c>
      <c r="G170" s="7">
        <v>-7</v>
      </c>
    </row>
    <row r="171" spans="1:7" x14ac:dyDescent="0.25">
      <c r="A171" s="1">
        <v>46058.447129630003</v>
      </c>
      <c r="B171" s="2" t="s">
        <v>279</v>
      </c>
      <c r="C171" s="2" t="s">
        <v>66</v>
      </c>
      <c r="D171" s="2" t="s">
        <v>104</v>
      </c>
      <c r="E171" s="2" t="s">
        <v>9</v>
      </c>
      <c r="F171" s="3" t="s">
        <v>10</v>
      </c>
      <c r="G171" s="7">
        <v>-7</v>
      </c>
    </row>
    <row r="172" spans="1:7" x14ac:dyDescent="0.25">
      <c r="A172" s="1">
        <v>46066.665856480999</v>
      </c>
      <c r="B172" s="2" t="s">
        <v>280</v>
      </c>
      <c r="C172" s="2" t="s">
        <v>66</v>
      </c>
      <c r="D172" s="2" t="s">
        <v>104</v>
      </c>
      <c r="E172" s="2" t="s">
        <v>9</v>
      </c>
      <c r="F172" s="3" t="s">
        <v>10</v>
      </c>
      <c r="G172" s="7">
        <v>-7</v>
      </c>
    </row>
    <row r="173" spans="1:7" x14ac:dyDescent="0.25">
      <c r="A173" s="1">
        <v>46066.666747684998</v>
      </c>
      <c r="B173" s="2" t="s">
        <v>281</v>
      </c>
      <c r="C173" s="2" t="s">
        <v>66</v>
      </c>
      <c r="D173" s="2" t="s">
        <v>104</v>
      </c>
      <c r="E173" s="2" t="s">
        <v>9</v>
      </c>
      <c r="F173" s="3" t="s">
        <v>10</v>
      </c>
      <c r="G173" s="7">
        <v>-7</v>
      </c>
    </row>
    <row r="174" spans="1:7" x14ac:dyDescent="0.25">
      <c r="A174" s="1">
        <v>46077.748206019001</v>
      </c>
      <c r="B174" s="2" t="s">
        <v>282</v>
      </c>
      <c r="C174" s="2" t="s">
        <v>66</v>
      </c>
      <c r="D174" s="2" t="s">
        <v>104</v>
      </c>
      <c r="E174" s="2" t="s">
        <v>9</v>
      </c>
      <c r="F174" s="3" t="s">
        <v>10</v>
      </c>
      <c r="G174" s="7">
        <v>-7</v>
      </c>
    </row>
    <row r="175" spans="1:7" x14ac:dyDescent="0.25">
      <c r="A175" s="1">
        <v>46078.629942129999</v>
      </c>
      <c r="B175" s="2" t="s">
        <v>283</v>
      </c>
      <c r="C175" s="2" t="s">
        <v>66</v>
      </c>
      <c r="D175" s="2" t="s">
        <v>104</v>
      </c>
      <c r="E175" s="2" t="s">
        <v>9</v>
      </c>
      <c r="F175" s="3" t="s">
        <v>10</v>
      </c>
      <c r="G175" s="7">
        <v>-7</v>
      </c>
    </row>
    <row r="176" spans="1:7" x14ac:dyDescent="0.25">
      <c r="A176" s="1">
        <v>46078.692094906997</v>
      </c>
      <c r="B176" s="2" t="s">
        <v>284</v>
      </c>
      <c r="C176" s="2" t="s">
        <v>66</v>
      </c>
      <c r="D176" s="2" t="s">
        <v>104</v>
      </c>
      <c r="E176" s="2" t="s">
        <v>9</v>
      </c>
      <c r="F176" s="3" t="s">
        <v>10</v>
      </c>
      <c r="G176" s="7">
        <v>-7</v>
      </c>
    </row>
    <row r="177" spans="1:7" x14ac:dyDescent="0.25">
      <c r="A177" s="1">
        <v>46078.692974537</v>
      </c>
      <c r="B177" s="2" t="s">
        <v>285</v>
      </c>
      <c r="C177" s="2" t="s">
        <v>66</v>
      </c>
      <c r="D177" s="2" t="s">
        <v>104</v>
      </c>
      <c r="E177" s="2" t="s">
        <v>9</v>
      </c>
      <c r="F177" s="3" t="s">
        <v>10</v>
      </c>
      <c r="G177" s="7">
        <v>-7</v>
      </c>
    </row>
    <row r="178" spans="1:7" x14ac:dyDescent="0.25">
      <c r="A178" s="1">
        <v>46079.492905093</v>
      </c>
      <c r="B178" s="2" t="s">
        <v>286</v>
      </c>
      <c r="C178" s="2" t="s">
        <v>66</v>
      </c>
      <c r="D178" s="2" t="s">
        <v>104</v>
      </c>
      <c r="E178" s="2" t="s">
        <v>9</v>
      </c>
      <c r="F178" s="3" t="s">
        <v>10</v>
      </c>
      <c r="G178" s="7">
        <v>-7</v>
      </c>
    </row>
    <row r="179" spans="1:7" x14ac:dyDescent="0.25">
      <c r="A179" s="1">
        <v>46083.627812500003</v>
      </c>
      <c r="B179" s="2" t="s">
        <v>287</v>
      </c>
      <c r="C179" s="2" t="s">
        <v>66</v>
      </c>
      <c r="D179" s="2" t="s">
        <v>104</v>
      </c>
      <c r="E179" s="2" t="s">
        <v>9</v>
      </c>
      <c r="F179" s="3" t="s">
        <v>10</v>
      </c>
      <c r="G179" s="7">
        <v>-7</v>
      </c>
    </row>
    <row r="180" spans="1:7" x14ac:dyDescent="0.25">
      <c r="A180" s="1">
        <v>46088.871921295999</v>
      </c>
      <c r="B180" s="2" t="s">
        <v>288</v>
      </c>
      <c r="C180" s="2" t="s">
        <v>66</v>
      </c>
      <c r="D180" s="2" t="s">
        <v>104</v>
      </c>
      <c r="E180" s="2" t="s">
        <v>9</v>
      </c>
      <c r="F180" s="3" t="s">
        <v>10</v>
      </c>
      <c r="G180" s="7">
        <v>-7</v>
      </c>
    </row>
    <row r="181" spans="1:7" x14ac:dyDescent="0.25">
      <c r="A181" s="1">
        <v>46090.496296295998</v>
      </c>
      <c r="B181" s="2" t="s">
        <v>289</v>
      </c>
      <c r="C181" s="2" t="s">
        <v>66</v>
      </c>
      <c r="D181" s="2" t="s">
        <v>104</v>
      </c>
      <c r="E181" s="2" t="s">
        <v>9</v>
      </c>
      <c r="F181" s="3" t="s">
        <v>10</v>
      </c>
      <c r="G181" s="7">
        <v>-7</v>
      </c>
    </row>
    <row r="182" spans="1:7" x14ac:dyDescent="0.25">
      <c r="A182" s="1">
        <v>46090.496539352003</v>
      </c>
      <c r="B182" s="2" t="s">
        <v>290</v>
      </c>
      <c r="C182" s="2" t="s">
        <v>66</v>
      </c>
      <c r="D182" s="2" t="s">
        <v>104</v>
      </c>
      <c r="E182" s="2" t="s">
        <v>9</v>
      </c>
      <c r="F182" s="3" t="s">
        <v>10</v>
      </c>
      <c r="G182" s="7">
        <v>-7</v>
      </c>
    </row>
    <row r="183" spans="1:7" x14ac:dyDescent="0.25">
      <c r="A183" s="1">
        <v>46090.496539352003</v>
      </c>
      <c r="B183" s="2" t="s">
        <v>290</v>
      </c>
      <c r="C183" s="2" t="s">
        <v>66</v>
      </c>
      <c r="D183" s="2" t="s">
        <v>104</v>
      </c>
      <c r="E183" s="2" t="s">
        <v>9</v>
      </c>
      <c r="F183" s="3" t="s">
        <v>10</v>
      </c>
      <c r="G183" s="7">
        <v>-7</v>
      </c>
    </row>
    <row r="184" spans="1:7" x14ac:dyDescent="0.25">
      <c r="A184" s="1">
        <v>46092.365150463003</v>
      </c>
      <c r="B184" s="2" t="s">
        <v>291</v>
      </c>
      <c r="C184" s="2" t="s">
        <v>66</v>
      </c>
      <c r="D184" s="2" t="s">
        <v>104</v>
      </c>
      <c r="E184" s="2" t="s">
        <v>9</v>
      </c>
      <c r="F184" s="3" t="s">
        <v>10</v>
      </c>
      <c r="G184" s="7">
        <v>-7</v>
      </c>
    </row>
    <row r="185" spans="1:7" x14ac:dyDescent="0.25">
      <c r="A185" s="1">
        <v>46094.460636573996</v>
      </c>
      <c r="B185" s="2" t="s">
        <v>292</v>
      </c>
      <c r="C185" s="2" t="s">
        <v>66</v>
      </c>
      <c r="D185" s="2" t="s">
        <v>104</v>
      </c>
      <c r="E185" s="2" t="s">
        <v>9</v>
      </c>
      <c r="F185" s="3" t="s">
        <v>10</v>
      </c>
      <c r="G185" s="7">
        <v>-7</v>
      </c>
    </row>
    <row r="186" spans="1:7" x14ac:dyDescent="0.25">
      <c r="A186" s="1">
        <v>46094.461203703999</v>
      </c>
      <c r="B186" s="2" t="s">
        <v>293</v>
      </c>
      <c r="C186" s="2" t="s">
        <v>66</v>
      </c>
      <c r="D186" s="2" t="s">
        <v>104</v>
      </c>
      <c r="E186" s="2" t="s">
        <v>9</v>
      </c>
      <c r="F186" s="3" t="s">
        <v>10</v>
      </c>
      <c r="G186" s="7">
        <v>-7</v>
      </c>
    </row>
    <row r="187" spans="1:7" x14ac:dyDescent="0.25">
      <c r="A187" s="1">
        <v>46098.370532407003</v>
      </c>
      <c r="B187" s="2" t="s">
        <v>263</v>
      </c>
      <c r="C187" s="2" t="s">
        <v>66</v>
      </c>
      <c r="D187" s="2" t="s">
        <v>104</v>
      </c>
      <c r="E187" s="2" t="s">
        <v>9</v>
      </c>
      <c r="F187" s="3" t="s">
        <v>10</v>
      </c>
      <c r="G187" s="7">
        <v>-7</v>
      </c>
    </row>
    <row r="188" spans="1:7" x14ac:dyDescent="0.25">
      <c r="A188" s="1">
        <v>46123.473935185</v>
      </c>
      <c r="B188" s="2" t="s">
        <v>294</v>
      </c>
      <c r="C188" s="2" t="s">
        <v>66</v>
      </c>
      <c r="D188" s="2" t="s">
        <v>104</v>
      </c>
      <c r="E188" s="2" t="s">
        <v>9</v>
      </c>
      <c r="F188" s="3" t="s">
        <v>10</v>
      </c>
      <c r="G188" s="7">
        <v>-7</v>
      </c>
    </row>
    <row r="189" spans="1:7" x14ac:dyDescent="0.25">
      <c r="A189" s="1">
        <v>46130.591979167002</v>
      </c>
      <c r="B189" s="2" t="s">
        <v>295</v>
      </c>
      <c r="C189" s="2" t="s">
        <v>66</v>
      </c>
      <c r="D189" s="2" t="s">
        <v>104</v>
      </c>
      <c r="E189" s="2" t="s">
        <v>9</v>
      </c>
      <c r="F189" s="3" t="s">
        <v>10</v>
      </c>
      <c r="G189" s="7">
        <v>-7</v>
      </c>
    </row>
    <row r="190" spans="1:7" x14ac:dyDescent="0.25">
      <c r="A190" s="1">
        <v>46130.592499999999</v>
      </c>
      <c r="B190" s="2" t="s">
        <v>296</v>
      </c>
      <c r="C190" s="2" t="s">
        <v>66</v>
      </c>
      <c r="D190" s="2" t="s">
        <v>104</v>
      </c>
      <c r="E190" s="2" t="s">
        <v>9</v>
      </c>
      <c r="F190" s="3" t="s">
        <v>10</v>
      </c>
      <c r="G190" s="7">
        <v>-7</v>
      </c>
    </row>
    <row r="191" spans="1:7" x14ac:dyDescent="0.25">
      <c r="A191" s="1">
        <v>46140.376562500001</v>
      </c>
      <c r="B191" s="2" t="s">
        <v>297</v>
      </c>
      <c r="C191" s="2" t="s">
        <v>66</v>
      </c>
      <c r="D191" s="2" t="s">
        <v>104</v>
      </c>
      <c r="E191" s="2" t="s">
        <v>9</v>
      </c>
      <c r="F191" s="3" t="s">
        <v>10</v>
      </c>
      <c r="G191" s="7">
        <v>-7</v>
      </c>
    </row>
    <row r="192" spans="1:7" x14ac:dyDescent="0.25">
      <c r="A192" s="1">
        <v>46140.377118056</v>
      </c>
      <c r="B192" s="2" t="s">
        <v>298</v>
      </c>
      <c r="C192" s="2" t="s">
        <v>66</v>
      </c>
      <c r="D192" s="2" t="s">
        <v>104</v>
      </c>
      <c r="E192" s="2" t="s">
        <v>9</v>
      </c>
      <c r="F192" s="3" t="s">
        <v>10</v>
      </c>
      <c r="G192" s="7">
        <v>-7</v>
      </c>
    </row>
    <row r="193" spans="1:7" x14ac:dyDescent="0.25">
      <c r="A193" s="1">
        <v>46141.379664352004</v>
      </c>
      <c r="B193" s="2" t="s">
        <v>299</v>
      </c>
      <c r="C193" s="2" t="s">
        <v>66</v>
      </c>
      <c r="D193" s="2" t="s">
        <v>104</v>
      </c>
      <c r="E193" s="2" t="s">
        <v>9</v>
      </c>
      <c r="F193" s="3" t="s">
        <v>10</v>
      </c>
      <c r="G193" s="7">
        <v>-7</v>
      </c>
    </row>
    <row r="194" spans="1:7" x14ac:dyDescent="0.25">
      <c r="A194" s="1">
        <v>46141.380219906998</v>
      </c>
      <c r="B194" s="2" t="s">
        <v>300</v>
      </c>
      <c r="C194" s="2" t="s">
        <v>66</v>
      </c>
      <c r="D194" s="2" t="s">
        <v>104</v>
      </c>
      <c r="E194" s="2" t="s">
        <v>9</v>
      </c>
      <c r="F194" s="3" t="s">
        <v>10</v>
      </c>
      <c r="G194" s="7">
        <v>-7</v>
      </c>
    </row>
    <row r="195" spans="1:7" x14ac:dyDescent="0.25">
      <c r="A195" s="1">
        <v>46154.39224537</v>
      </c>
      <c r="B195" s="2" t="s">
        <v>301</v>
      </c>
      <c r="C195" s="2" t="s">
        <v>66</v>
      </c>
      <c r="D195" s="2" t="s">
        <v>104</v>
      </c>
      <c r="E195" s="2" t="s">
        <v>9</v>
      </c>
      <c r="F195" s="3" t="s">
        <v>10</v>
      </c>
      <c r="G195" s="7">
        <v>-7</v>
      </c>
    </row>
    <row r="196" spans="1:7" x14ac:dyDescent="0.25">
      <c r="A196" s="1">
        <v>46154.393449073999</v>
      </c>
      <c r="B196" s="2" t="s">
        <v>302</v>
      </c>
      <c r="C196" s="2" t="s">
        <v>66</v>
      </c>
      <c r="D196" s="2" t="s">
        <v>104</v>
      </c>
      <c r="E196" s="2" t="s">
        <v>9</v>
      </c>
      <c r="F196" s="3" t="s">
        <v>10</v>
      </c>
      <c r="G196" s="7">
        <v>-7</v>
      </c>
    </row>
    <row r="197" spans="1:7" x14ac:dyDescent="0.25">
      <c r="A197" s="1">
        <v>46155.365717592998</v>
      </c>
      <c r="B197" s="2" t="s">
        <v>303</v>
      </c>
      <c r="C197" s="2" t="s">
        <v>66</v>
      </c>
      <c r="D197" s="2" t="s">
        <v>104</v>
      </c>
      <c r="E197" s="2" t="s">
        <v>9</v>
      </c>
      <c r="F197" s="3" t="s">
        <v>10</v>
      </c>
      <c r="G197" s="7">
        <v>-7</v>
      </c>
    </row>
    <row r="198" spans="1:7" x14ac:dyDescent="0.25">
      <c r="A198" s="1">
        <v>46155.366064815003</v>
      </c>
      <c r="B198" s="2" t="s">
        <v>304</v>
      </c>
      <c r="C198" s="2" t="s">
        <v>66</v>
      </c>
      <c r="D198" s="2" t="s">
        <v>104</v>
      </c>
      <c r="E198" s="2" t="s">
        <v>9</v>
      </c>
      <c r="F198" s="3" t="s">
        <v>10</v>
      </c>
      <c r="G198" s="7">
        <v>-7</v>
      </c>
    </row>
    <row r="199" spans="1:7" x14ac:dyDescent="0.25">
      <c r="A199" s="1">
        <v>46156.381284722003</v>
      </c>
      <c r="B199" s="2" t="s">
        <v>305</v>
      </c>
      <c r="C199" s="2" t="s">
        <v>66</v>
      </c>
      <c r="D199" s="2" t="s">
        <v>104</v>
      </c>
      <c r="E199" s="2" t="s">
        <v>9</v>
      </c>
      <c r="F199" s="3" t="s">
        <v>10</v>
      </c>
      <c r="G199" s="7">
        <v>-7</v>
      </c>
    </row>
    <row r="200" spans="1:7" x14ac:dyDescent="0.25">
      <c r="A200" s="1">
        <v>46168.372337963003</v>
      </c>
      <c r="B200" s="2" t="s">
        <v>145</v>
      </c>
      <c r="C200" s="2" t="s">
        <v>66</v>
      </c>
      <c r="D200" s="2" t="s">
        <v>104</v>
      </c>
      <c r="E200" s="2" t="s">
        <v>9</v>
      </c>
      <c r="F200" s="3" t="s">
        <v>10</v>
      </c>
      <c r="G200" s="7">
        <v>-7</v>
      </c>
    </row>
    <row r="201" spans="1:7" x14ac:dyDescent="0.25">
      <c r="A201" s="1">
        <v>46168.373043981002</v>
      </c>
      <c r="B201" s="2" t="s">
        <v>306</v>
      </c>
      <c r="C201" s="2" t="s">
        <v>66</v>
      </c>
      <c r="D201" s="2" t="s">
        <v>104</v>
      </c>
      <c r="E201" s="2" t="s">
        <v>9</v>
      </c>
      <c r="F201" s="3" t="s">
        <v>10</v>
      </c>
      <c r="G201" s="7">
        <v>-7</v>
      </c>
    </row>
    <row r="202" spans="1:7" x14ac:dyDescent="0.25">
      <c r="A202" s="1">
        <v>46171.369363425998</v>
      </c>
      <c r="B202" s="2" t="s">
        <v>307</v>
      </c>
      <c r="C202" s="2" t="s">
        <v>66</v>
      </c>
      <c r="D202" s="2" t="s">
        <v>104</v>
      </c>
      <c r="E202" s="2" t="s">
        <v>9</v>
      </c>
      <c r="F202" s="3" t="s">
        <v>10</v>
      </c>
      <c r="G202" s="7">
        <v>-7</v>
      </c>
    </row>
    <row r="203" spans="1:7" x14ac:dyDescent="0.25">
      <c r="A203" s="1">
        <v>46171.370104166999</v>
      </c>
      <c r="B203" s="2" t="s">
        <v>308</v>
      </c>
      <c r="C203" s="2" t="s">
        <v>66</v>
      </c>
      <c r="D203" s="2" t="s">
        <v>104</v>
      </c>
      <c r="E203" s="2" t="s">
        <v>9</v>
      </c>
      <c r="F203" s="3" t="s">
        <v>10</v>
      </c>
      <c r="G203" s="7">
        <v>-7</v>
      </c>
    </row>
    <row r="204" spans="1:7" x14ac:dyDescent="0.25">
      <c r="A204" s="1">
        <v>46185.764675926002</v>
      </c>
      <c r="B204" s="2" t="s">
        <v>309</v>
      </c>
      <c r="C204" s="2" t="s">
        <v>66</v>
      </c>
      <c r="D204" s="2" t="s">
        <v>104</v>
      </c>
      <c r="E204" s="2" t="s">
        <v>9</v>
      </c>
      <c r="F204" s="3" t="s">
        <v>10</v>
      </c>
      <c r="G204" s="7">
        <v>-7</v>
      </c>
    </row>
    <row r="205" spans="1:7" x14ac:dyDescent="0.25">
      <c r="A205" s="1">
        <v>46185.766157407001</v>
      </c>
      <c r="B205" s="2" t="s">
        <v>310</v>
      </c>
      <c r="C205" s="2" t="s">
        <v>66</v>
      </c>
      <c r="D205" s="2" t="s">
        <v>104</v>
      </c>
      <c r="E205" s="2" t="s">
        <v>9</v>
      </c>
      <c r="F205" s="3" t="s">
        <v>10</v>
      </c>
      <c r="G205" s="7">
        <v>-7</v>
      </c>
    </row>
    <row r="206" spans="1:7" x14ac:dyDescent="0.25">
      <c r="A206" s="1">
        <v>46200.650983795997</v>
      </c>
      <c r="B206" s="2" t="s">
        <v>311</v>
      </c>
      <c r="C206" s="2" t="s">
        <v>66</v>
      </c>
      <c r="D206" s="2" t="s">
        <v>104</v>
      </c>
      <c r="E206" s="2" t="s">
        <v>9</v>
      </c>
      <c r="F206" s="3" t="s">
        <v>10</v>
      </c>
      <c r="G206" s="7">
        <v>-7</v>
      </c>
    </row>
    <row r="207" spans="1:7" x14ac:dyDescent="0.25">
      <c r="A207" s="1">
        <v>46200.651736111002</v>
      </c>
      <c r="B207" s="2" t="s">
        <v>312</v>
      </c>
      <c r="C207" s="2" t="s">
        <v>66</v>
      </c>
      <c r="D207" s="2" t="s">
        <v>104</v>
      </c>
      <c r="E207" s="2" t="s">
        <v>9</v>
      </c>
      <c r="F207" s="3" t="s">
        <v>10</v>
      </c>
      <c r="G207" s="7">
        <v>-7</v>
      </c>
    </row>
    <row r="208" spans="1:7" x14ac:dyDescent="0.25">
      <c r="A208" s="51">
        <v>46240.367199073997</v>
      </c>
      <c r="B208" s="50" t="s">
        <v>347</v>
      </c>
      <c r="C208" s="50" t="s">
        <v>66</v>
      </c>
      <c r="D208" s="50" t="s">
        <v>104</v>
      </c>
      <c r="E208" s="50" t="s">
        <v>9</v>
      </c>
      <c r="F208" s="50" t="s">
        <v>10</v>
      </c>
      <c r="G208" s="47">
        <v>-7</v>
      </c>
    </row>
    <row r="209" spans="1:7" x14ac:dyDescent="0.25">
      <c r="A209" s="51">
        <v>46232.413715278002</v>
      </c>
      <c r="B209" s="50" t="s">
        <v>349</v>
      </c>
      <c r="C209" s="50" t="s">
        <v>66</v>
      </c>
      <c r="D209" s="50" t="s">
        <v>104</v>
      </c>
      <c r="E209" s="50" t="s">
        <v>9</v>
      </c>
      <c r="F209" s="50" t="s">
        <v>10</v>
      </c>
      <c r="G209" s="47">
        <v>-7</v>
      </c>
    </row>
    <row r="210" spans="1:7" x14ac:dyDescent="0.25">
      <c r="A210" s="51">
        <v>46232.413171296001</v>
      </c>
      <c r="B210" s="50" t="s">
        <v>351</v>
      </c>
      <c r="C210" s="50" t="s">
        <v>66</v>
      </c>
      <c r="D210" s="50" t="s">
        <v>104</v>
      </c>
      <c r="E210" s="50" t="s">
        <v>9</v>
      </c>
      <c r="F210" s="50" t="s">
        <v>10</v>
      </c>
      <c r="G210" s="47">
        <v>-7</v>
      </c>
    </row>
    <row r="211" spans="1:7" x14ac:dyDescent="0.25">
      <c r="A211" s="1">
        <v>45812.375833332997</v>
      </c>
      <c r="B211" s="2" t="s">
        <v>313</v>
      </c>
      <c r="C211" s="2" t="s">
        <v>66</v>
      </c>
      <c r="D211" s="2" t="s">
        <v>104</v>
      </c>
      <c r="E211" s="2" t="s">
        <v>17</v>
      </c>
      <c r="F211" s="3" t="s">
        <v>314</v>
      </c>
      <c r="G211" s="7">
        <v>3998.63</v>
      </c>
    </row>
    <row r="212" spans="1:7" x14ac:dyDescent="0.25">
      <c r="A212" s="1">
        <v>45819.816250000003</v>
      </c>
      <c r="B212" s="2" t="s">
        <v>315</v>
      </c>
      <c r="C212" s="2" t="s">
        <v>66</v>
      </c>
      <c r="D212" s="2" t="s">
        <v>104</v>
      </c>
      <c r="E212" s="2" t="s">
        <v>17</v>
      </c>
      <c r="F212" s="3" t="s">
        <v>316</v>
      </c>
      <c r="G212" s="7">
        <v>3959.04</v>
      </c>
    </row>
    <row r="213" spans="1:7" x14ac:dyDescent="0.25">
      <c r="A213" s="1">
        <v>45833.686944444002</v>
      </c>
      <c r="B213" s="2" t="s">
        <v>317</v>
      </c>
      <c r="C213" s="2" t="s">
        <v>66</v>
      </c>
      <c r="D213" s="2" t="s">
        <v>104</v>
      </c>
      <c r="E213" s="2" t="s">
        <v>17</v>
      </c>
      <c r="F213" s="3" t="s">
        <v>316</v>
      </c>
      <c r="G213" s="7">
        <v>3995.33</v>
      </c>
    </row>
    <row r="214" spans="1:7" x14ac:dyDescent="0.25">
      <c r="A214" s="1">
        <v>45849.656018519003</v>
      </c>
      <c r="B214" s="2" t="s">
        <v>318</v>
      </c>
      <c r="C214" s="2" t="s">
        <v>66</v>
      </c>
      <c r="D214" s="2" t="s">
        <v>104</v>
      </c>
      <c r="E214" s="2" t="s">
        <v>17</v>
      </c>
      <c r="F214" s="3" t="s">
        <v>316</v>
      </c>
      <c r="G214" s="7">
        <v>3958.2</v>
      </c>
    </row>
    <row r="215" spans="1:7" x14ac:dyDescent="0.25">
      <c r="A215" s="1">
        <v>45863.657604166998</v>
      </c>
      <c r="B215" s="2" t="s">
        <v>319</v>
      </c>
      <c r="C215" s="2" t="s">
        <v>66</v>
      </c>
      <c r="D215" s="2" t="s">
        <v>104</v>
      </c>
      <c r="E215" s="2" t="s">
        <v>17</v>
      </c>
      <c r="F215" s="3" t="s">
        <v>316</v>
      </c>
      <c r="G215" s="7">
        <v>3997.8</v>
      </c>
    </row>
    <row r="216" spans="1:7" x14ac:dyDescent="0.25">
      <c r="A216" s="1">
        <v>45880.644884259003</v>
      </c>
      <c r="B216" s="2" t="s">
        <v>320</v>
      </c>
      <c r="C216" s="2" t="s">
        <v>66</v>
      </c>
      <c r="D216" s="2" t="s">
        <v>104</v>
      </c>
      <c r="E216" s="2" t="s">
        <v>17</v>
      </c>
      <c r="F216" s="3" t="s">
        <v>316</v>
      </c>
      <c r="G216" s="7">
        <v>2423.66</v>
      </c>
    </row>
    <row r="217" spans="1:7" x14ac:dyDescent="0.25">
      <c r="A217" s="1">
        <v>45894.696423611</v>
      </c>
      <c r="B217" s="2" t="s">
        <v>321</v>
      </c>
      <c r="C217" s="2" t="s">
        <v>66</v>
      </c>
      <c r="D217" s="2" t="s">
        <v>104</v>
      </c>
      <c r="E217" s="2" t="s">
        <v>17</v>
      </c>
      <c r="F217" s="3" t="s">
        <v>316</v>
      </c>
      <c r="G217" s="7">
        <v>3995.34</v>
      </c>
    </row>
    <row r="218" spans="1:7" x14ac:dyDescent="0.25">
      <c r="A218" s="1">
        <v>45911.718900462998</v>
      </c>
      <c r="B218" s="2" t="s">
        <v>84</v>
      </c>
      <c r="C218" s="2" t="s">
        <v>66</v>
      </c>
      <c r="D218" s="2" t="s">
        <v>104</v>
      </c>
      <c r="E218" s="2" t="s">
        <v>17</v>
      </c>
      <c r="F218" s="3" t="s">
        <v>316</v>
      </c>
      <c r="G218" s="7">
        <v>3998</v>
      </c>
    </row>
    <row r="219" spans="1:7" x14ac:dyDescent="0.25">
      <c r="A219" s="1">
        <v>45925.73</v>
      </c>
      <c r="B219" s="2" t="s">
        <v>322</v>
      </c>
      <c r="C219" s="2" t="s">
        <v>66</v>
      </c>
      <c r="D219" s="2" t="s">
        <v>104</v>
      </c>
      <c r="E219" s="2" t="s">
        <v>17</v>
      </c>
      <c r="F219" s="3" t="s">
        <v>316</v>
      </c>
      <c r="G219" s="7">
        <v>3998</v>
      </c>
    </row>
    <row r="220" spans="1:7" x14ac:dyDescent="0.25">
      <c r="A220" s="1">
        <v>45943.712337962999</v>
      </c>
      <c r="B220" s="2" t="s">
        <v>323</v>
      </c>
      <c r="C220" s="2" t="s">
        <v>66</v>
      </c>
      <c r="D220" s="2" t="s">
        <v>104</v>
      </c>
      <c r="E220" s="2" t="s">
        <v>17</v>
      </c>
      <c r="F220" s="3" t="s">
        <v>316</v>
      </c>
      <c r="G220" s="7">
        <v>3978</v>
      </c>
    </row>
    <row r="221" spans="1:7" x14ac:dyDescent="0.25">
      <c r="A221" s="1">
        <v>45957.692881944</v>
      </c>
      <c r="B221" s="2" t="s">
        <v>324</v>
      </c>
      <c r="C221" s="2" t="s">
        <v>66</v>
      </c>
      <c r="D221" s="2" t="s">
        <v>104</v>
      </c>
      <c r="E221" s="2" t="s">
        <v>17</v>
      </c>
      <c r="F221" s="3" t="s">
        <v>316</v>
      </c>
      <c r="G221" s="7">
        <v>3998</v>
      </c>
    </row>
    <row r="222" spans="1:7" x14ac:dyDescent="0.25">
      <c r="A222" s="1">
        <v>45964.455648148003</v>
      </c>
      <c r="B222" s="2" t="s">
        <v>325</v>
      </c>
      <c r="C222" s="2" t="s">
        <v>66</v>
      </c>
      <c r="D222" s="2" t="s">
        <v>104</v>
      </c>
      <c r="E222" s="2" t="s">
        <v>17</v>
      </c>
      <c r="F222" s="3" t="s">
        <v>316</v>
      </c>
      <c r="G222" s="7">
        <v>530</v>
      </c>
    </row>
    <row r="223" spans="1:7" x14ac:dyDescent="0.25">
      <c r="A223" s="1">
        <v>45972.685648147999</v>
      </c>
      <c r="B223" s="2" t="s">
        <v>326</v>
      </c>
      <c r="C223" s="2" t="s">
        <v>66</v>
      </c>
      <c r="D223" s="2" t="s">
        <v>104</v>
      </c>
      <c r="E223" s="2" t="s">
        <v>17</v>
      </c>
      <c r="F223" s="3" t="s">
        <v>316</v>
      </c>
      <c r="G223" s="7">
        <v>3995</v>
      </c>
    </row>
    <row r="224" spans="1:7" x14ac:dyDescent="0.25">
      <c r="A224" s="1">
        <v>45986.718124999999</v>
      </c>
      <c r="B224" s="2" t="s">
        <v>327</v>
      </c>
      <c r="C224" s="2" t="s">
        <v>66</v>
      </c>
      <c r="D224" s="2" t="s">
        <v>104</v>
      </c>
      <c r="E224" s="2" t="s">
        <v>17</v>
      </c>
      <c r="F224" s="3" t="s">
        <v>316</v>
      </c>
      <c r="G224" s="7">
        <v>3598</v>
      </c>
    </row>
    <row r="225" spans="1:7" x14ac:dyDescent="0.25">
      <c r="A225" s="1">
        <v>46002.644317129998</v>
      </c>
      <c r="B225" s="2" t="s">
        <v>328</v>
      </c>
      <c r="C225" s="2" t="s">
        <v>66</v>
      </c>
      <c r="D225" s="2" t="s">
        <v>104</v>
      </c>
      <c r="E225" s="2" t="s">
        <v>17</v>
      </c>
      <c r="F225" s="3" t="s">
        <v>316</v>
      </c>
      <c r="G225" s="7">
        <v>3588</v>
      </c>
    </row>
    <row r="226" spans="1:7" x14ac:dyDescent="0.25">
      <c r="A226" s="1">
        <v>46034.723171295998</v>
      </c>
      <c r="B226" s="2" t="s">
        <v>329</v>
      </c>
      <c r="C226" s="2" t="s">
        <v>66</v>
      </c>
      <c r="D226" s="2" t="s">
        <v>104</v>
      </c>
      <c r="E226" s="2" t="s">
        <v>17</v>
      </c>
      <c r="F226" s="3" t="s">
        <v>316</v>
      </c>
      <c r="G226" s="7">
        <v>473.12</v>
      </c>
    </row>
    <row r="227" spans="1:7" x14ac:dyDescent="0.25">
      <c r="A227" s="1">
        <v>46048.620601852002</v>
      </c>
      <c r="B227" s="2" t="s">
        <v>330</v>
      </c>
      <c r="C227" s="2" t="s">
        <v>66</v>
      </c>
      <c r="D227" s="2" t="s">
        <v>104</v>
      </c>
      <c r="E227" s="2" t="s">
        <v>17</v>
      </c>
      <c r="F227" s="3" t="s">
        <v>316</v>
      </c>
      <c r="G227" s="7">
        <v>3991.88</v>
      </c>
    </row>
    <row r="228" spans="1:7" x14ac:dyDescent="0.25">
      <c r="A228" s="1">
        <v>46049.398877314998</v>
      </c>
      <c r="B228" s="2" t="s">
        <v>331</v>
      </c>
      <c r="C228" s="2" t="s">
        <v>66</v>
      </c>
      <c r="D228" s="2" t="s">
        <v>104</v>
      </c>
      <c r="E228" s="2" t="s">
        <v>17</v>
      </c>
      <c r="F228" s="3" t="s">
        <v>316</v>
      </c>
      <c r="G228" s="7">
        <v>3000</v>
      </c>
    </row>
    <row r="229" spans="1:7" x14ac:dyDescent="0.25">
      <c r="A229" s="1">
        <v>46057.455023148003</v>
      </c>
      <c r="B229" s="2" t="s">
        <v>332</v>
      </c>
      <c r="C229" s="2" t="s">
        <v>66</v>
      </c>
      <c r="D229" s="2" t="s">
        <v>104</v>
      </c>
      <c r="E229" s="2" t="s">
        <v>11</v>
      </c>
      <c r="F229" s="3" t="s">
        <v>333</v>
      </c>
      <c r="G229" s="7">
        <v>-1000</v>
      </c>
    </row>
    <row r="230" spans="1:7" x14ac:dyDescent="0.25">
      <c r="A230" s="1">
        <v>46064.629976851997</v>
      </c>
      <c r="B230" s="2" t="s">
        <v>334</v>
      </c>
      <c r="C230" s="2" t="s">
        <v>66</v>
      </c>
      <c r="D230" s="2" t="s">
        <v>104</v>
      </c>
      <c r="E230" s="2" t="s">
        <v>17</v>
      </c>
      <c r="F230" s="3" t="s">
        <v>316</v>
      </c>
      <c r="G230" s="7">
        <v>2915.61</v>
      </c>
    </row>
    <row r="231" spans="1:7" x14ac:dyDescent="0.25">
      <c r="A231" s="1">
        <v>46078.629918981002</v>
      </c>
      <c r="B231" s="2" t="s">
        <v>335</v>
      </c>
      <c r="C231" s="2" t="s">
        <v>66</v>
      </c>
      <c r="D231" s="2" t="s">
        <v>104</v>
      </c>
      <c r="E231" s="2" t="s">
        <v>17</v>
      </c>
      <c r="F231" s="3" t="s">
        <v>316</v>
      </c>
      <c r="G231" s="7">
        <v>3993.64</v>
      </c>
    </row>
    <row r="232" spans="1:7" x14ac:dyDescent="0.25">
      <c r="A232" s="1">
        <v>46083.627789352002</v>
      </c>
      <c r="B232" s="2" t="s">
        <v>336</v>
      </c>
      <c r="C232" s="2" t="s">
        <v>66</v>
      </c>
      <c r="D232" s="2" t="s">
        <v>104</v>
      </c>
      <c r="E232" s="2" t="s">
        <v>17</v>
      </c>
      <c r="F232" s="3" t="s">
        <v>316</v>
      </c>
      <c r="G232" s="7">
        <v>4800</v>
      </c>
    </row>
    <row r="233" spans="1:7" x14ac:dyDescent="0.25">
      <c r="A233" s="1">
        <v>46092.682418981</v>
      </c>
      <c r="B233" s="2" t="s">
        <v>337</v>
      </c>
      <c r="C233" s="2" t="s">
        <v>66</v>
      </c>
      <c r="D233" s="2" t="s">
        <v>104</v>
      </c>
      <c r="E233" s="2" t="s">
        <v>17</v>
      </c>
      <c r="F233" s="3" t="s">
        <v>316</v>
      </c>
      <c r="G233" s="7">
        <v>2394.64</v>
      </c>
    </row>
    <row r="234" spans="1:7" x14ac:dyDescent="0.25">
      <c r="A234" s="1">
        <v>46106.716261574002</v>
      </c>
      <c r="B234" s="2" t="s">
        <v>67</v>
      </c>
      <c r="C234" s="2" t="s">
        <v>66</v>
      </c>
      <c r="D234" s="2" t="s">
        <v>104</v>
      </c>
      <c r="E234" s="2" t="s">
        <v>17</v>
      </c>
      <c r="F234" s="3" t="s">
        <v>316</v>
      </c>
      <c r="G234" s="7">
        <v>845.64</v>
      </c>
    </row>
    <row r="235" spans="1:7" x14ac:dyDescent="0.25">
      <c r="A235" s="1">
        <v>46128.760902777998</v>
      </c>
      <c r="B235" s="2" t="s">
        <v>338</v>
      </c>
      <c r="C235" s="2" t="s">
        <v>66</v>
      </c>
      <c r="D235" s="2" t="s">
        <v>104</v>
      </c>
      <c r="E235" s="2" t="s">
        <v>17</v>
      </c>
      <c r="F235" s="3" t="s">
        <v>316</v>
      </c>
      <c r="G235" s="7">
        <v>500</v>
      </c>
    </row>
    <row r="236" spans="1:7" x14ac:dyDescent="0.25">
      <c r="A236" s="1">
        <v>46139.690578704001</v>
      </c>
      <c r="B236" s="2" t="s">
        <v>339</v>
      </c>
      <c r="C236" s="2" t="s">
        <v>66</v>
      </c>
      <c r="D236" s="2" t="s">
        <v>104</v>
      </c>
      <c r="E236" s="2" t="s">
        <v>17</v>
      </c>
      <c r="F236" s="3" t="s">
        <v>316</v>
      </c>
      <c r="G236" s="7">
        <v>3552.03</v>
      </c>
    </row>
    <row r="237" spans="1:7" x14ac:dyDescent="0.25">
      <c r="A237" s="1">
        <v>46153.678506944001</v>
      </c>
      <c r="B237" s="2" t="s">
        <v>340</v>
      </c>
      <c r="C237" s="2" t="s">
        <v>66</v>
      </c>
      <c r="D237" s="2" t="s">
        <v>104</v>
      </c>
      <c r="E237" s="2" t="s">
        <v>17</v>
      </c>
      <c r="F237" s="3" t="s">
        <v>316</v>
      </c>
      <c r="G237" s="7">
        <v>4186.8900000000003</v>
      </c>
    </row>
    <row r="238" spans="1:7" x14ac:dyDescent="0.25">
      <c r="A238" s="1">
        <v>46167.646111110997</v>
      </c>
      <c r="B238" s="2" t="s">
        <v>341</v>
      </c>
      <c r="C238" s="2" t="s">
        <v>66</v>
      </c>
      <c r="D238" s="2" t="s">
        <v>104</v>
      </c>
      <c r="E238" s="2" t="s">
        <v>17</v>
      </c>
      <c r="F238" s="3" t="s">
        <v>316</v>
      </c>
      <c r="G238" s="7">
        <v>3995.8</v>
      </c>
    </row>
    <row r="239" spans="1:7" x14ac:dyDescent="0.25">
      <c r="A239" s="1">
        <v>46185.599097222002</v>
      </c>
      <c r="B239" s="2" t="s">
        <v>342</v>
      </c>
      <c r="C239" s="2" t="s">
        <v>66</v>
      </c>
      <c r="D239" s="2" t="s">
        <v>104</v>
      </c>
      <c r="E239" s="2" t="s">
        <v>17</v>
      </c>
      <c r="F239" s="3" t="s">
        <v>316</v>
      </c>
      <c r="G239" s="7">
        <v>2000</v>
      </c>
    </row>
    <row r="240" spans="1:7" x14ac:dyDescent="0.25">
      <c r="A240" s="1">
        <v>46198.631111110997</v>
      </c>
      <c r="B240" s="2" t="s">
        <v>343</v>
      </c>
      <c r="C240" s="2" t="s">
        <v>66</v>
      </c>
      <c r="D240" s="2" t="s">
        <v>104</v>
      </c>
      <c r="E240" s="2" t="s">
        <v>17</v>
      </c>
      <c r="F240" s="3" t="s">
        <v>316</v>
      </c>
      <c r="G240" s="7">
        <v>2006.39</v>
      </c>
    </row>
    <row r="241" spans="1:7" x14ac:dyDescent="0.25">
      <c r="A241" s="1">
        <v>46200.545185185001</v>
      </c>
      <c r="B241" s="2" t="s">
        <v>344</v>
      </c>
      <c r="C241" s="2" t="s">
        <v>66</v>
      </c>
      <c r="D241" s="2" t="s">
        <v>104</v>
      </c>
      <c r="E241" s="2" t="s">
        <v>11</v>
      </c>
      <c r="F241" s="3" t="s">
        <v>333</v>
      </c>
      <c r="G241" s="7">
        <v>-2000</v>
      </c>
    </row>
    <row r="242" spans="1:7" x14ac:dyDescent="0.25">
      <c r="A242" s="1">
        <v>46200.547847221998</v>
      </c>
      <c r="B242" s="2" t="s">
        <v>345</v>
      </c>
      <c r="C242" s="2" t="s">
        <v>66</v>
      </c>
      <c r="D242" s="2" t="s">
        <v>104</v>
      </c>
      <c r="E242" s="2" t="s">
        <v>17</v>
      </c>
      <c r="F242" s="3" t="s">
        <v>316</v>
      </c>
      <c r="G242" s="7">
        <v>2000</v>
      </c>
    </row>
    <row r="243" spans="1:7" x14ac:dyDescent="0.25">
      <c r="A243" s="1">
        <v>46216.667476852002</v>
      </c>
      <c r="B243" s="2" t="s">
        <v>85</v>
      </c>
      <c r="C243" s="2" t="s">
        <v>66</v>
      </c>
      <c r="D243" s="2" t="s">
        <v>104</v>
      </c>
      <c r="E243" s="2" t="s">
        <v>17</v>
      </c>
      <c r="F243" s="3" t="s">
        <v>316</v>
      </c>
      <c r="G243" s="7">
        <v>2098.67</v>
      </c>
    </row>
    <row r="244" spans="1:7" x14ac:dyDescent="0.25">
      <c r="A244" s="1">
        <v>46216.708090278</v>
      </c>
      <c r="B244" s="2" t="s">
        <v>346</v>
      </c>
      <c r="C244" s="2" t="s">
        <v>66</v>
      </c>
      <c r="D244" s="2" t="s">
        <v>104</v>
      </c>
      <c r="E244" s="2" t="s">
        <v>11</v>
      </c>
      <c r="F244" s="3" t="s">
        <v>333</v>
      </c>
      <c r="G244" s="7">
        <v>-2000</v>
      </c>
    </row>
    <row r="245" spans="1:7" x14ac:dyDescent="0.25">
      <c r="A245" s="51">
        <v>46230.603009259001</v>
      </c>
      <c r="B245" s="50" t="s">
        <v>353</v>
      </c>
      <c r="C245" s="50" t="s">
        <v>66</v>
      </c>
      <c r="D245" s="50" t="s">
        <v>104</v>
      </c>
      <c r="E245" s="2" t="s">
        <v>17</v>
      </c>
      <c r="F245" s="50" t="s">
        <v>316</v>
      </c>
      <c r="G245" s="47">
        <v>2140.6799999999998</v>
      </c>
    </row>
  </sheetData>
  <autoFilter ref="A1:G1" xr:uid="{3F91CC33-7EBA-45FD-8F4E-D9080930A77B}">
    <sortState xmlns:xlrd2="http://schemas.microsoft.com/office/spreadsheetml/2017/richdata2" ref="A2:G245">
      <sortCondition ref="E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01236-ABF3-4AD8-8217-FBC2A49CF87A}">
  <dimension ref="A1:J32"/>
  <sheetViews>
    <sheetView showGridLines="0" tabSelected="1" topLeftCell="A25" workbookViewId="0">
      <selection activeCell="F23" sqref="F23"/>
    </sheetView>
  </sheetViews>
  <sheetFormatPr defaultRowHeight="15" x14ac:dyDescent="0.25"/>
  <cols>
    <col min="3" max="3" width="12.140625" bestFit="1" customWidth="1"/>
    <col min="4" max="4" width="12.28515625" bestFit="1" customWidth="1"/>
    <col min="5" max="5" width="10.42578125" bestFit="1" customWidth="1"/>
    <col min="6" max="6" width="14.140625" bestFit="1" customWidth="1"/>
    <col min="7" max="7" width="14.7109375" bestFit="1" customWidth="1"/>
    <col min="8" max="8" width="12.5703125" bestFit="1" customWidth="1"/>
    <col min="9" max="9" width="9.140625" bestFit="1" customWidth="1"/>
    <col min="10" max="10" width="13.140625" bestFit="1" customWidth="1"/>
  </cols>
  <sheetData>
    <row r="1" spans="1:10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</row>
    <row r="2" spans="1:10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x14ac:dyDescent="0.25">
      <c r="A3" s="15"/>
      <c r="B3" s="15"/>
      <c r="C3" s="15"/>
      <c r="D3" s="15"/>
      <c r="E3" s="15"/>
      <c r="F3" s="15"/>
      <c r="G3" s="15"/>
      <c r="H3" s="15"/>
      <c r="I3" s="15"/>
      <c r="J3" s="15"/>
    </row>
    <row r="4" spans="1:10" ht="18.75" x14ac:dyDescent="0.3">
      <c r="A4" s="15"/>
      <c r="B4" s="15"/>
      <c r="C4" s="59" t="s">
        <v>26</v>
      </c>
      <c r="D4" s="59"/>
      <c r="E4" s="59"/>
      <c r="F4" s="59"/>
      <c r="G4" s="59"/>
      <c r="H4" s="15"/>
      <c r="J4" s="15"/>
    </row>
    <row r="5" spans="1:10" x14ac:dyDescent="0.25">
      <c r="A5" s="15"/>
      <c r="B5" s="15"/>
      <c r="C5" s="15"/>
      <c r="D5" s="15"/>
      <c r="E5" s="16"/>
      <c r="F5" s="15"/>
      <c r="G5" s="15"/>
      <c r="H5" s="15"/>
      <c r="I5" s="15"/>
      <c r="J5" s="15"/>
    </row>
    <row r="6" spans="1:10" ht="15.75" x14ac:dyDescent="0.25">
      <c r="A6" s="15"/>
      <c r="B6" s="60" t="s">
        <v>104</v>
      </c>
      <c r="C6" s="60"/>
      <c r="D6" s="60"/>
      <c r="E6" s="60"/>
      <c r="F6" s="60"/>
      <c r="G6" s="60"/>
      <c r="H6" s="15"/>
      <c r="I6" s="15"/>
      <c r="J6" s="15"/>
    </row>
    <row r="7" spans="1:10" x14ac:dyDescent="0.25">
      <c r="A7" s="15"/>
      <c r="B7" s="17" t="s">
        <v>27</v>
      </c>
      <c r="C7" s="18" t="s">
        <v>28</v>
      </c>
      <c r="D7" s="18" t="s">
        <v>29</v>
      </c>
      <c r="E7" s="18" t="s">
        <v>30</v>
      </c>
      <c r="F7" s="18" t="s">
        <v>31</v>
      </c>
      <c r="G7" s="19" t="s">
        <v>32</v>
      </c>
      <c r="H7" s="20" t="s">
        <v>33</v>
      </c>
      <c r="I7" s="15"/>
      <c r="J7" s="15"/>
    </row>
    <row r="8" spans="1:10" x14ac:dyDescent="0.25">
      <c r="A8" s="15"/>
      <c r="B8" s="21" t="s">
        <v>34</v>
      </c>
      <c r="C8" s="22">
        <v>0</v>
      </c>
      <c r="D8" s="22">
        <v>0</v>
      </c>
      <c r="E8" s="22">
        <v>0</v>
      </c>
      <c r="F8" s="22">
        <v>0</v>
      </c>
      <c r="G8" s="23">
        <f>C8+D8+E8-F8</f>
        <v>0</v>
      </c>
      <c r="H8" s="24">
        <f>+G8</f>
        <v>0</v>
      </c>
      <c r="I8" s="15"/>
      <c r="J8" s="15"/>
    </row>
    <row r="9" spans="1:10" x14ac:dyDescent="0.25">
      <c r="A9" s="15"/>
      <c r="B9" s="21" t="s">
        <v>35</v>
      </c>
      <c r="C9" s="22">
        <v>0</v>
      </c>
      <c r="D9" s="22">
        <v>0</v>
      </c>
      <c r="E9" s="22">
        <v>0</v>
      </c>
      <c r="F9" s="22">
        <v>0</v>
      </c>
      <c r="G9" s="23">
        <f t="shared" ref="G9:G24" si="0">C9+D9+E9-F9</f>
        <v>0</v>
      </c>
      <c r="H9" s="24">
        <f>G9+H8</f>
        <v>0</v>
      </c>
      <c r="I9" s="15"/>
      <c r="J9" s="15"/>
    </row>
    <row r="10" spans="1:10" x14ac:dyDescent="0.25">
      <c r="A10" s="15"/>
      <c r="B10" s="21" t="s">
        <v>36</v>
      </c>
      <c r="C10" s="22">
        <v>11953</v>
      </c>
      <c r="D10" s="22">
        <v>0</v>
      </c>
      <c r="E10" s="22">
        <v>-91</v>
      </c>
      <c r="F10" s="22">
        <v>0</v>
      </c>
      <c r="G10" s="23">
        <f t="shared" si="0"/>
        <v>11862</v>
      </c>
      <c r="H10" s="24">
        <f t="shared" ref="H10:H19" si="1">G10+H9</f>
        <v>11862</v>
      </c>
      <c r="I10" s="15"/>
      <c r="J10" s="15"/>
    </row>
    <row r="11" spans="1:10" x14ac:dyDescent="0.25">
      <c r="A11" s="15"/>
      <c r="B11" s="21" t="s">
        <v>37</v>
      </c>
      <c r="C11" s="22">
        <v>7956</v>
      </c>
      <c r="D11" s="22">
        <v>0</v>
      </c>
      <c r="E11" s="22">
        <v>-56</v>
      </c>
      <c r="F11" s="22">
        <v>7617.51</v>
      </c>
      <c r="G11" s="23">
        <f t="shared" si="0"/>
        <v>282.48999999999978</v>
      </c>
      <c r="H11" s="24">
        <f t="shared" si="1"/>
        <v>12144.49</v>
      </c>
      <c r="I11" s="15"/>
      <c r="J11" s="15"/>
    </row>
    <row r="12" spans="1:10" x14ac:dyDescent="0.25">
      <c r="A12" s="15"/>
      <c r="B12" s="21" t="s">
        <v>38</v>
      </c>
      <c r="C12" s="22">
        <v>6419</v>
      </c>
      <c r="D12" s="22">
        <v>0</v>
      </c>
      <c r="E12" s="22">
        <v>-49</v>
      </c>
      <c r="F12" s="22">
        <v>7213.76</v>
      </c>
      <c r="G12" s="23">
        <f t="shared" si="0"/>
        <v>-843.76000000000022</v>
      </c>
      <c r="H12" s="24">
        <f t="shared" si="1"/>
        <v>11300.73</v>
      </c>
      <c r="I12" s="15"/>
      <c r="J12" s="15"/>
    </row>
    <row r="13" spans="1:10" x14ac:dyDescent="0.25">
      <c r="A13" s="15"/>
      <c r="B13" s="21" t="s">
        <v>39</v>
      </c>
      <c r="C13" s="22">
        <v>7996</v>
      </c>
      <c r="D13" s="22">
        <v>0</v>
      </c>
      <c r="E13" s="22">
        <v>-56</v>
      </c>
      <c r="F13" s="22">
        <v>7828.65</v>
      </c>
      <c r="G13" s="23">
        <f t="shared" si="0"/>
        <v>111.35000000000036</v>
      </c>
      <c r="H13" s="24">
        <f t="shared" si="1"/>
        <v>11412.08</v>
      </c>
      <c r="I13" s="15"/>
      <c r="J13" s="15"/>
    </row>
    <row r="14" spans="1:10" x14ac:dyDescent="0.25">
      <c r="A14" s="15"/>
      <c r="B14" s="21" t="s">
        <v>40</v>
      </c>
      <c r="C14" s="22">
        <v>7976</v>
      </c>
      <c r="D14" s="22">
        <v>0</v>
      </c>
      <c r="E14" s="22">
        <v>-56</v>
      </c>
      <c r="F14" s="22">
        <v>9511.84</v>
      </c>
      <c r="G14" s="23">
        <f>C14+D14+E14-F14</f>
        <v>-1591.8400000000001</v>
      </c>
      <c r="H14" s="24">
        <f t="shared" si="1"/>
        <v>9820.24</v>
      </c>
      <c r="I14" s="15"/>
      <c r="J14" s="15"/>
    </row>
    <row r="15" spans="1:10" x14ac:dyDescent="0.25">
      <c r="A15" s="15"/>
      <c r="B15" s="21" t="s">
        <v>41</v>
      </c>
      <c r="C15" s="22">
        <v>8123</v>
      </c>
      <c r="D15" s="22">
        <v>0</v>
      </c>
      <c r="E15" s="22">
        <v>-63</v>
      </c>
      <c r="F15" s="22">
        <v>5064.67</v>
      </c>
      <c r="G15" s="23">
        <f t="shared" si="0"/>
        <v>2995.33</v>
      </c>
      <c r="H15" s="24">
        <f t="shared" si="1"/>
        <v>12815.57</v>
      </c>
      <c r="I15" s="15"/>
      <c r="J15" s="15"/>
    </row>
    <row r="16" spans="1:10" x14ac:dyDescent="0.25">
      <c r="A16" s="15"/>
      <c r="B16" s="21" t="s">
        <v>42</v>
      </c>
      <c r="C16" s="22">
        <v>3588</v>
      </c>
      <c r="D16" s="22">
        <v>0</v>
      </c>
      <c r="E16" s="22">
        <v>-28</v>
      </c>
      <c r="F16" s="22">
        <v>4552.58</v>
      </c>
      <c r="G16" s="23">
        <f t="shared" si="0"/>
        <v>-992.57999999999993</v>
      </c>
      <c r="H16" s="24">
        <f t="shared" si="1"/>
        <v>11822.99</v>
      </c>
      <c r="I16" s="15"/>
      <c r="J16" s="15"/>
    </row>
    <row r="17" spans="1:10" x14ac:dyDescent="0.25">
      <c r="A17" s="15"/>
      <c r="B17" s="21" t="s">
        <v>43</v>
      </c>
      <c r="C17" s="22">
        <v>7465</v>
      </c>
      <c r="D17" s="22">
        <v>0</v>
      </c>
      <c r="E17" s="22">
        <v>-35</v>
      </c>
      <c r="F17" s="22">
        <v>6465.66</v>
      </c>
      <c r="G17" s="23">
        <f t="shared" si="0"/>
        <v>964.34000000000015</v>
      </c>
      <c r="H17" s="24">
        <f t="shared" si="1"/>
        <v>12787.33</v>
      </c>
      <c r="I17" s="15"/>
      <c r="J17" s="15"/>
    </row>
    <row r="18" spans="1:10" x14ac:dyDescent="0.25">
      <c r="A18" s="15"/>
      <c r="B18" s="21" t="s">
        <v>44</v>
      </c>
      <c r="C18" s="22">
        <v>6909.25</v>
      </c>
      <c r="D18" s="22">
        <v>-1000</v>
      </c>
      <c r="E18" s="22">
        <v>-63</v>
      </c>
      <c r="F18" s="22">
        <v>6344.63</v>
      </c>
      <c r="G18" s="23">
        <f t="shared" si="0"/>
        <v>-498.38000000000011</v>
      </c>
      <c r="H18" s="24">
        <f t="shared" si="1"/>
        <v>12288.95</v>
      </c>
      <c r="I18" s="15"/>
      <c r="J18" s="15"/>
    </row>
    <row r="19" spans="1:10" x14ac:dyDescent="0.25">
      <c r="A19" s="15"/>
      <c r="B19" s="21" t="s">
        <v>45</v>
      </c>
      <c r="C19" s="22">
        <v>8040.28</v>
      </c>
      <c r="D19" s="22">
        <v>0</v>
      </c>
      <c r="E19" s="22">
        <v>-63</v>
      </c>
      <c r="F19" s="22">
        <v>6633.4</v>
      </c>
      <c r="G19" s="23">
        <f t="shared" si="0"/>
        <v>1343.88</v>
      </c>
      <c r="H19" s="24">
        <f t="shared" si="1"/>
        <v>13632.830000000002</v>
      </c>
      <c r="I19" s="15"/>
      <c r="J19" s="15"/>
    </row>
    <row r="20" spans="1:10" x14ac:dyDescent="0.25">
      <c r="A20" s="15"/>
      <c r="B20" s="21" t="s">
        <v>46</v>
      </c>
      <c r="C20" s="22">
        <v>4052.03</v>
      </c>
      <c r="D20" s="22">
        <v>0</v>
      </c>
      <c r="E20" s="22">
        <v>-49</v>
      </c>
      <c r="F20" s="22">
        <v>8630.75</v>
      </c>
      <c r="G20" s="23">
        <f t="shared" si="0"/>
        <v>-4627.7199999999993</v>
      </c>
      <c r="H20" s="24">
        <f>G20+H19</f>
        <v>9005.1100000000024</v>
      </c>
      <c r="I20" s="15"/>
      <c r="J20" s="15"/>
    </row>
    <row r="21" spans="1:10" x14ac:dyDescent="0.25">
      <c r="A21" s="15"/>
      <c r="B21" s="21" t="s">
        <v>47</v>
      </c>
      <c r="C21" s="22">
        <v>8182.6900000000005</v>
      </c>
      <c r="D21" s="22">
        <v>0</v>
      </c>
      <c r="E21" s="22">
        <v>-63</v>
      </c>
      <c r="F21" s="22">
        <v>6479</v>
      </c>
      <c r="G21" s="23">
        <f t="shared" si="0"/>
        <v>1640.6900000000005</v>
      </c>
      <c r="H21" s="24">
        <f>G21+H20</f>
        <v>10645.800000000003</v>
      </c>
      <c r="I21" s="15"/>
      <c r="J21" s="15"/>
    </row>
    <row r="22" spans="1:10" x14ac:dyDescent="0.25">
      <c r="A22" s="15"/>
      <c r="B22" s="21" t="s">
        <v>48</v>
      </c>
      <c r="C22" s="22">
        <v>6006.39</v>
      </c>
      <c r="D22" s="22">
        <v>-2000</v>
      </c>
      <c r="E22" s="22">
        <v>-28</v>
      </c>
      <c r="F22" s="22">
        <v>4205.3500000000004</v>
      </c>
      <c r="G22" s="23">
        <f t="shared" si="0"/>
        <v>-226.96000000000004</v>
      </c>
      <c r="H22" s="24">
        <f>G22+H21</f>
        <v>10418.840000000004</v>
      </c>
      <c r="I22" s="15"/>
      <c r="J22" s="15"/>
    </row>
    <row r="23" spans="1:10" x14ac:dyDescent="0.25">
      <c r="A23" s="15"/>
      <c r="B23" s="21" t="s">
        <v>49</v>
      </c>
      <c r="C23" s="22">
        <v>4239.3500000000004</v>
      </c>
      <c r="D23" s="22">
        <v>-2000</v>
      </c>
      <c r="E23" s="22">
        <v>-14</v>
      </c>
      <c r="F23" s="22">
        <v>3593.96</v>
      </c>
      <c r="G23" s="23">
        <f t="shared" si="0"/>
        <v>-1368.6099999999997</v>
      </c>
      <c r="H23" s="24">
        <f>G23+H22</f>
        <v>9050.2300000000032</v>
      </c>
      <c r="I23" s="15"/>
      <c r="J23" s="15"/>
    </row>
    <row r="24" spans="1:10" x14ac:dyDescent="0.25">
      <c r="A24" s="15"/>
      <c r="B24" s="25" t="s">
        <v>50</v>
      </c>
      <c r="C24" s="22">
        <v>0</v>
      </c>
      <c r="D24" s="22">
        <v>0</v>
      </c>
      <c r="E24" s="22">
        <v>-7</v>
      </c>
      <c r="F24" s="22">
        <v>0</v>
      </c>
      <c r="G24" s="26">
        <f t="shared" si="0"/>
        <v>-7</v>
      </c>
      <c r="H24" s="27">
        <f>G24+H23</f>
        <v>9043.2300000000032</v>
      </c>
      <c r="I24" s="15"/>
      <c r="J24" s="15"/>
    </row>
    <row r="25" spans="1:10" x14ac:dyDescent="0.25">
      <c r="A25" s="15" t="s">
        <v>51</v>
      </c>
      <c r="B25" s="28"/>
      <c r="C25" s="29">
        <f>SUM(C8:C24)</f>
        <v>98905.99</v>
      </c>
      <c r="D25" s="30">
        <f>SUM(D8:D24)</f>
        <v>-5000</v>
      </c>
      <c r="E25" s="30">
        <f>SUM(E8:E24)</f>
        <v>-721</v>
      </c>
      <c r="F25" s="30">
        <f>SUM(F8:F24)</f>
        <v>84141.760000000009</v>
      </c>
      <c r="G25" s="31">
        <f>SUM(G8:G24)</f>
        <v>9043.2300000000032</v>
      </c>
      <c r="H25" s="15"/>
      <c r="I25" s="15"/>
      <c r="J25" s="15"/>
    </row>
    <row r="26" spans="1:10" x14ac:dyDescent="0.25">
      <c r="A26" s="15"/>
      <c r="B26" s="28"/>
      <c r="C26" s="32"/>
      <c r="D26" s="32"/>
      <c r="E26" s="32"/>
      <c r="F26" s="32"/>
      <c r="G26" s="33"/>
      <c r="H26" s="15"/>
      <c r="I26" s="15"/>
      <c r="J26" s="15"/>
    </row>
    <row r="27" spans="1:10" ht="15.75" x14ac:dyDescent="0.25">
      <c r="A27" s="15"/>
      <c r="B27" s="61" t="s">
        <v>52</v>
      </c>
      <c r="C27" s="62"/>
      <c r="D27" s="62"/>
      <c r="E27" s="62"/>
      <c r="F27" s="62"/>
      <c r="G27" s="34">
        <f>G25</f>
        <v>9043.2300000000032</v>
      </c>
      <c r="H27" s="15"/>
      <c r="I27" s="63" t="s">
        <v>53</v>
      </c>
      <c r="J27" s="64"/>
    </row>
    <row r="28" spans="1:10" x14ac:dyDescent="0.25">
      <c r="A28" s="15"/>
      <c r="B28" s="65" t="s">
        <v>54</v>
      </c>
      <c r="C28" s="66"/>
      <c r="D28" s="15"/>
      <c r="E28" s="15"/>
      <c r="F28" s="15"/>
      <c r="G28" s="35">
        <f>C25+D25+E25</f>
        <v>93184.99</v>
      </c>
      <c r="H28" s="15"/>
      <c r="I28" s="36" t="s">
        <v>55</v>
      </c>
      <c r="J28" s="36" t="s">
        <v>56</v>
      </c>
    </row>
    <row r="29" spans="1:10" ht="21.75" customHeight="1" x14ac:dyDescent="0.25">
      <c r="A29" s="15"/>
      <c r="B29" s="53" t="s">
        <v>57</v>
      </c>
      <c r="C29" s="54"/>
      <c r="D29" s="37"/>
      <c r="E29" s="37"/>
      <c r="F29" s="37"/>
      <c r="G29" s="38">
        <f>F25</f>
        <v>84141.760000000009</v>
      </c>
      <c r="H29" s="15"/>
      <c r="I29" s="36" t="s">
        <v>58</v>
      </c>
      <c r="J29" s="36" t="s">
        <v>59</v>
      </c>
    </row>
    <row r="30" spans="1:10" x14ac:dyDescent="0.25">
      <c r="A30" s="15"/>
      <c r="B30" s="55" t="s">
        <v>60</v>
      </c>
      <c r="C30" s="56"/>
      <c r="D30" s="56"/>
      <c r="E30" s="15"/>
      <c r="F30" s="15"/>
      <c r="G30" s="39">
        <f>G28-G29</f>
        <v>9043.2299999999959</v>
      </c>
      <c r="H30" s="15"/>
      <c r="I30" s="40" t="s">
        <v>61</v>
      </c>
      <c r="J30" s="40" t="s">
        <v>62</v>
      </c>
    </row>
    <row r="31" spans="1:10" ht="25.5" x14ac:dyDescent="0.25">
      <c r="A31" s="15"/>
      <c r="B31" s="41" t="s">
        <v>63</v>
      </c>
      <c r="C31" s="42"/>
      <c r="D31" s="42"/>
      <c r="E31" s="15"/>
      <c r="F31" s="15"/>
      <c r="G31" s="43">
        <v>8.74</v>
      </c>
      <c r="H31" s="15"/>
      <c r="I31" s="44" t="s">
        <v>61</v>
      </c>
      <c r="J31" s="44" t="s">
        <v>64</v>
      </c>
    </row>
    <row r="32" spans="1:10" ht="15.75" x14ac:dyDescent="0.25">
      <c r="A32" s="15"/>
      <c r="B32" s="57" t="s">
        <v>65</v>
      </c>
      <c r="C32" s="58"/>
      <c r="D32" s="58"/>
      <c r="E32" s="58"/>
      <c r="F32" s="58"/>
      <c r="G32" s="45">
        <f>G30-G31</f>
        <v>9034.4899999999961</v>
      </c>
      <c r="H32" s="15"/>
      <c r="I32" s="15"/>
      <c r="J32" s="15"/>
    </row>
  </sheetData>
  <mergeCells count="8">
    <mergeCell ref="I27:J27"/>
    <mergeCell ref="B28:C28"/>
    <mergeCell ref="B29:C29"/>
    <mergeCell ref="B30:D30"/>
    <mergeCell ref="B32:F32"/>
    <mergeCell ref="C4:G4"/>
    <mergeCell ref="B6:G6"/>
    <mergeCell ref="B27:F27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83934-3E70-467D-B529-9C146692EDE0}">
  <sheetPr filterMode="1"/>
  <dimension ref="A1:F33"/>
  <sheetViews>
    <sheetView workbookViewId="0">
      <selection activeCell="C17" sqref="C17"/>
    </sheetView>
  </sheetViews>
  <sheetFormatPr defaultRowHeight="15" x14ac:dyDescent="0.25"/>
  <cols>
    <col min="1" max="1" width="18.85546875" bestFit="1" customWidth="1"/>
    <col min="2" max="2" width="22.140625" bestFit="1" customWidth="1"/>
    <col min="3" max="3" width="11.28515625" bestFit="1" customWidth="1"/>
    <col min="4" max="4" width="36.5703125" bestFit="1" customWidth="1"/>
    <col min="5" max="5" width="19.85546875" bestFit="1" customWidth="1"/>
    <col min="6" max="6" width="12.140625" style="6" bestFit="1" customWidth="1"/>
    <col min="7" max="7" width="36.5703125" bestFit="1" customWidth="1"/>
  </cols>
  <sheetData>
    <row r="1" spans="1:6" x14ac:dyDescent="0.25">
      <c r="A1" s="4" t="s">
        <v>12</v>
      </c>
      <c r="B1" s="4" t="s">
        <v>13</v>
      </c>
      <c r="C1" s="4" t="s">
        <v>14</v>
      </c>
      <c r="D1" s="4" t="s">
        <v>3</v>
      </c>
      <c r="E1" s="4" t="s">
        <v>15</v>
      </c>
      <c r="F1" s="5" t="s">
        <v>6</v>
      </c>
    </row>
    <row r="2" spans="1:6" hidden="1" x14ac:dyDescent="0.25">
      <c r="A2" s="49">
        <v>9415885</v>
      </c>
      <c r="B2" s="49" t="s">
        <v>102</v>
      </c>
      <c r="C2" s="49" t="s">
        <v>16</v>
      </c>
      <c r="D2" s="49" t="s">
        <v>94</v>
      </c>
      <c r="E2" s="49" t="s">
        <v>95</v>
      </c>
      <c r="F2" s="46">
        <v>3286.6</v>
      </c>
    </row>
    <row r="3" spans="1:6" hidden="1" x14ac:dyDescent="0.25">
      <c r="A3" s="49">
        <v>9533372</v>
      </c>
      <c r="B3" s="49" t="s">
        <v>71</v>
      </c>
      <c r="C3" s="49" t="s">
        <v>16</v>
      </c>
      <c r="D3" s="49" t="s">
        <v>94</v>
      </c>
      <c r="E3" s="49" t="s">
        <v>95</v>
      </c>
      <c r="F3" s="46">
        <v>4289.03</v>
      </c>
    </row>
    <row r="4" spans="1:6" hidden="1" x14ac:dyDescent="0.25">
      <c r="A4" s="49">
        <v>9778960</v>
      </c>
      <c r="B4" s="49" t="s">
        <v>72</v>
      </c>
      <c r="C4" s="49" t="s">
        <v>16</v>
      </c>
      <c r="D4" s="49" t="s">
        <v>94</v>
      </c>
      <c r="E4" s="49" t="s">
        <v>95</v>
      </c>
      <c r="F4" s="46">
        <v>2676.88</v>
      </c>
    </row>
    <row r="5" spans="1:6" hidden="1" x14ac:dyDescent="0.25">
      <c r="A5" s="49">
        <v>10175716</v>
      </c>
      <c r="B5" s="49" t="s">
        <v>76</v>
      </c>
      <c r="C5" s="49" t="s">
        <v>16</v>
      </c>
      <c r="D5" s="49" t="s">
        <v>94</v>
      </c>
      <c r="E5" s="49" t="s">
        <v>95</v>
      </c>
      <c r="F5" s="46">
        <v>2759.53</v>
      </c>
    </row>
    <row r="6" spans="1:6" x14ac:dyDescent="0.25">
      <c r="A6" s="49">
        <v>9443136</v>
      </c>
      <c r="B6" s="49" t="s">
        <v>102</v>
      </c>
      <c r="C6" s="49" t="s">
        <v>16</v>
      </c>
      <c r="D6" s="49" t="s">
        <v>355</v>
      </c>
      <c r="E6" s="49" t="s">
        <v>356</v>
      </c>
      <c r="F6" s="46">
        <v>6465.66</v>
      </c>
    </row>
    <row r="7" spans="1:6" hidden="1" x14ac:dyDescent="0.25">
      <c r="A7" s="49">
        <v>9234647</v>
      </c>
      <c r="B7" s="49" t="s">
        <v>357</v>
      </c>
      <c r="C7" s="49" t="s">
        <v>93</v>
      </c>
      <c r="D7" s="49" t="s">
        <v>355</v>
      </c>
      <c r="E7" s="49" t="s">
        <v>356</v>
      </c>
      <c r="F7" s="52">
        <v>5401.14</v>
      </c>
    </row>
    <row r="8" spans="1:6" x14ac:dyDescent="0.25">
      <c r="A8" s="49">
        <v>9536416</v>
      </c>
      <c r="B8" s="49" t="s">
        <v>71</v>
      </c>
      <c r="C8" s="49" t="s">
        <v>16</v>
      </c>
      <c r="D8" s="49" t="s">
        <v>355</v>
      </c>
      <c r="E8" s="49" t="s">
        <v>356</v>
      </c>
      <c r="F8" s="46">
        <v>6344.63</v>
      </c>
    </row>
    <row r="9" spans="1:6" hidden="1" x14ac:dyDescent="0.25">
      <c r="A9" s="49">
        <v>10143254</v>
      </c>
      <c r="B9" s="49" t="s">
        <v>74</v>
      </c>
      <c r="C9" s="49" t="s">
        <v>93</v>
      </c>
      <c r="D9" s="49" t="s">
        <v>355</v>
      </c>
      <c r="E9" s="49" t="s">
        <v>356</v>
      </c>
      <c r="F9" s="52">
        <v>7785.77</v>
      </c>
    </row>
    <row r="10" spans="1:6" hidden="1" x14ac:dyDescent="0.25">
      <c r="A10" s="49">
        <v>7628615</v>
      </c>
      <c r="B10" s="49" t="s">
        <v>96</v>
      </c>
      <c r="C10" s="49" t="s">
        <v>16</v>
      </c>
      <c r="D10" s="49" t="s">
        <v>355</v>
      </c>
      <c r="E10" s="49" t="s">
        <v>356</v>
      </c>
      <c r="F10" s="52">
        <v>8651.19</v>
      </c>
    </row>
    <row r="11" spans="1:6" x14ac:dyDescent="0.25">
      <c r="A11" s="49">
        <v>9831226</v>
      </c>
      <c r="B11" s="49" t="s">
        <v>72</v>
      </c>
      <c r="C11" s="49" t="s">
        <v>16</v>
      </c>
      <c r="D11" s="49" t="s">
        <v>355</v>
      </c>
      <c r="E11" s="49" t="s">
        <v>356</v>
      </c>
      <c r="F11" s="46">
        <v>6633.4</v>
      </c>
    </row>
    <row r="12" spans="1:6" hidden="1" x14ac:dyDescent="0.25">
      <c r="A12" s="49">
        <v>7725344</v>
      </c>
      <c r="B12" s="49" t="s">
        <v>360</v>
      </c>
      <c r="C12" s="49" t="s">
        <v>16</v>
      </c>
      <c r="D12" s="49" t="s">
        <v>355</v>
      </c>
      <c r="E12" s="49" t="s">
        <v>356</v>
      </c>
      <c r="F12" s="52">
        <v>9373.8700000000008</v>
      </c>
    </row>
    <row r="13" spans="1:6" x14ac:dyDescent="0.25">
      <c r="A13" s="49">
        <v>10119957</v>
      </c>
      <c r="B13" s="49" t="s">
        <v>76</v>
      </c>
      <c r="C13" s="49" t="s">
        <v>16</v>
      </c>
      <c r="D13" s="49" t="s">
        <v>355</v>
      </c>
      <c r="E13" s="49" t="s">
        <v>356</v>
      </c>
      <c r="F13" s="46">
        <v>8630.75</v>
      </c>
    </row>
    <row r="14" spans="1:6" x14ac:dyDescent="0.25">
      <c r="A14" s="49">
        <v>10374031</v>
      </c>
      <c r="B14" s="49" t="s">
        <v>78</v>
      </c>
      <c r="C14" s="49" t="s">
        <v>16</v>
      </c>
      <c r="D14" s="49" t="s">
        <v>355</v>
      </c>
      <c r="E14" s="49" t="s">
        <v>356</v>
      </c>
      <c r="F14" s="46">
        <v>6479</v>
      </c>
    </row>
    <row r="15" spans="1:6" x14ac:dyDescent="0.25">
      <c r="A15" s="49">
        <v>10671675</v>
      </c>
      <c r="B15" s="49" t="s">
        <v>80</v>
      </c>
      <c r="C15" s="49" t="s">
        <v>16</v>
      </c>
      <c r="D15" s="49" t="s">
        <v>355</v>
      </c>
      <c r="E15" s="49" t="s">
        <v>356</v>
      </c>
      <c r="F15" s="46">
        <v>4205.3500000000004</v>
      </c>
    </row>
    <row r="16" spans="1:6" x14ac:dyDescent="0.25">
      <c r="A16" s="49">
        <v>7848877</v>
      </c>
      <c r="B16" s="49" t="s">
        <v>361</v>
      </c>
      <c r="C16" s="49" t="s">
        <v>16</v>
      </c>
      <c r="D16" s="49" t="s">
        <v>355</v>
      </c>
      <c r="E16" s="49" t="s">
        <v>356</v>
      </c>
      <c r="F16" s="46">
        <v>7617.51</v>
      </c>
    </row>
    <row r="17" spans="1:6" x14ac:dyDescent="0.25">
      <c r="A17" s="49">
        <v>10955033</v>
      </c>
      <c r="B17" s="49" t="s">
        <v>81</v>
      </c>
      <c r="C17" s="49" t="s">
        <v>79</v>
      </c>
      <c r="D17" s="49" t="s">
        <v>355</v>
      </c>
      <c r="E17" s="49" t="s">
        <v>356</v>
      </c>
      <c r="F17" s="46">
        <v>3593.96</v>
      </c>
    </row>
    <row r="18" spans="1:6" x14ac:dyDescent="0.25">
      <c r="A18" s="49">
        <v>8090604</v>
      </c>
      <c r="B18" s="49" t="s">
        <v>97</v>
      </c>
      <c r="C18" s="49" t="s">
        <v>16</v>
      </c>
      <c r="D18" s="49" t="s">
        <v>355</v>
      </c>
      <c r="E18" s="49" t="s">
        <v>356</v>
      </c>
      <c r="F18" s="46">
        <v>7213.76</v>
      </c>
    </row>
    <row r="19" spans="1:6" x14ac:dyDescent="0.25">
      <c r="A19" s="49">
        <v>8354750</v>
      </c>
      <c r="B19" s="49" t="s">
        <v>98</v>
      </c>
      <c r="C19" s="49" t="s">
        <v>16</v>
      </c>
      <c r="D19" s="49" t="s">
        <v>355</v>
      </c>
      <c r="E19" s="49" t="s">
        <v>356</v>
      </c>
      <c r="F19" s="46">
        <v>7828.65</v>
      </c>
    </row>
    <row r="20" spans="1:6" x14ac:dyDescent="0.25">
      <c r="A20" s="49">
        <v>8616726</v>
      </c>
      <c r="B20" s="49" t="s">
        <v>99</v>
      </c>
      <c r="C20" s="49" t="s">
        <v>16</v>
      </c>
      <c r="D20" s="49" t="s">
        <v>355</v>
      </c>
      <c r="E20" s="49" t="s">
        <v>356</v>
      </c>
      <c r="F20" s="46">
        <v>9511.84</v>
      </c>
    </row>
    <row r="21" spans="1:6" x14ac:dyDescent="0.25">
      <c r="A21" s="49">
        <v>8873543</v>
      </c>
      <c r="B21" s="49" t="s">
        <v>100</v>
      </c>
      <c r="C21" s="49" t="s">
        <v>16</v>
      </c>
      <c r="D21" s="49" t="s">
        <v>355</v>
      </c>
      <c r="E21" s="49" t="s">
        <v>356</v>
      </c>
      <c r="F21" s="46">
        <v>5064.67</v>
      </c>
    </row>
    <row r="22" spans="1:6" x14ac:dyDescent="0.25">
      <c r="A22" s="49">
        <v>9135275</v>
      </c>
      <c r="B22" s="49" t="s">
        <v>101</v>
      </c>
      <c r="C22" s="49" t="s">
        <v>16</v>
      </c>
      <c r="D22" s="49" t="s">
        <v>355</v>
      </c>
      <c r="E22" s="49" t="s">
        <v>356</v>
      </c>
      <c r="F22" s="46">
        <v>4552.58</v>
      </c>
    </row>
    <row r="23" spans="1:6" x14ac:dyDescent="0.25">
      <c r="A23" s="49"/>
      <c r="B23" s="49"/>
      <c r="C23" s="49"/>
      <c r="D23" s="49"/>
      <c r="E23" s="49"/>
      <c r="F23" s="46"/>
    </row>
    <row r="24" spans="1:6" x14ac:dyDescent="0.25">
      <c r="A24" s="49">
        <v>8894343</v>
      </c>
      <c r="B24" s="49" t="s">
        <v>354</v>
      </c>
      <c r="C24" s="49" t="s">
        <v>93</v>
      </c>
      <c r="D24" s="49" t="s">
        <v>355</v>
      </c>
      <c r="E24" s="49" t="s">
        <v>356</v>
      </c>
      <c r="F24" s="46">
        <v>302</v>
      </c>
    </row>
    <row r="25" spans="1:6" x14ac:dyDescent="0.25">
      <c r="A25" s="49">
        <v>9420445</v>
      </c>
      <c r="B25" s="49" t="s">
        <v>358</v>
      </c>
      <c r="C25" s="49" t="s">
        <v>93</v>
      </c>
      <c r="D25" s="49" t="s">
        <v>355</v>
      </c>
      <c r="E25" s="49" t="s">
        <v>356</v>
      </c>
      <c r="F25" s="46">
        <v>3707.52</v>
      </c>
    </row>
    <row r="26" spans="1:6" x14ac:dyDescent="0.25">
      <c r="A26" s="49">
        <v>9519043</v>
      </c>
      <c r="B26" s="49" t="s">
        <v>73</v>
      </c>
      <c r="C26" s="49" t="s">
        <v>16</v>
      </c>
      <c r="D26" s="49" t="s">
        <v>355</v>
      </c>
      <c r="E26" s="49" t="s">
        <v>356</v>
      </c>
      <c r="F26" s="46">
        <v>8990.89</v>
      </c>
    </row>
    <row r="27" spans="1:6" x14ac:dyDescent="0.25">
      <c r="A27" s="49">
        <v>10749937</v>
      </c>
      <c r="B27" s="49" t="s">
        <v>75</v>
      </c>
      <c r="C27" s="49" t="s">
        <v>16</v>
      </c>
      <c r="D27" s="49" t="s">
        <v>355</v>
      </c>
      <c r="E27" s="49" t="s">
        <v>356</v>
      </c>
      <c r="F27" s="46">
        <v>9972.56</v>
      </c>
    </row>
    <row r="28" spans="1:6" x14ac:dyDescent="0.25">
      <c r="A28" s="49">
        <v>10749944</v>
      </c>
      <c r="B28" s="49" t="s">
        <v>77</v>
      </c>
      <c r="C28" s="49" t="s">
        <v>366</v>
      </c>
      <c r="D28" s="49" t="s">
        <v>355</v>
      </c>
      <c r="E28" s="49" t="s">
        <v>356</v>
      </c>
      <c r="F28" s="46">
        <v>9739.6299999999992</v>
      </c>
    </row>
    <row r="29" spans="1:6" x14ac:dyDescent="0.25">
      <c r="A29" s="49">
        <v>7676452</v>
      </c>
      <c r="B29" s="49" t="s">
        <v>359</v>
      </c>
      <c r="C29" s="49" t="s">
        <v>16</v>
      </c>
      <c r="D29" s="49" t="s">
        <v>355</v>
      </c>
      <c r="E29" s="49" t="s">
        <v>356</v>
      </c>
      <c r="F29" s="46">
        <v>9935.02</v>
      </c>
    </row>
    <row r="30" spans="1:6" x14ac:dyDescent="0.25">
      <c r="A30" s="49">
        <v>8171087</v>
      </c>
      <c r="B30" s="49" t="s">
        <v>362</v>
      </c>
      <c r="C30" s="49" t="s">
        <v>16</v>
      </c>
      <c r="D30" s="49" t="s">
        <v>355</v>
      </c>
      <c r="E30" s="49" t="s">
        <v>356</v>
      </c>
      <c r="F30" s="46">
        <v>7471.46</v>
      </c>
    </row>
    <row r="31" spans="1:6" x14ac:dyDescent="0.25">
      <c r="A31" s="49">
        <v>8380639</v>
      </c>
      <c r="B31" s="49" t="s">
        <v>363</v>
      </c>
      <c r="C31" s="49" t="s">
        <v>16</v>
      </c>
      <c r="D31" s="49" t="s">
        <v>355</v>
      </c>
      <c r="E31" s="49" t="s">
        <v>356</v>
      </c>
      <c r="F31" s="46">
        <v>3579.51</v>
      </c>
    </row>
    <row r="32" spans="1:6" x14ac:dyDescent="0.25">
      <c r="A32" s="49">
        <v>8648888</v>
      </c>
      <c r="B32" s="49" t="s">
        <v>364</v>
      </c>
      <c r="C32" s="49" t="s">
        <v>16</v>
      </c>
      <c r="D32" s="49" t="s">
        <v>355</v>
      </c>
      <c r="E32" s="49" t="s">
        <v>356</v>
      </c>
      <c r="F32" s="46">
        <v>7320.73</v>
      </c>
    </row>
    <row r="33" spans="1:6" x14ac:dyDescent="0.25">
      <c r="A33" s="49">
        <v>8906448</v>
      </c>
      <c r="B33" s="49" t="s">
        <v>365</v>
      </c>
      <c r="C33" s="49" t="s">
        <v>16</v>
      </c>
      <c r="D33" s="49" t="s">
        <v>355</v>
      </c>
      <c r="E33" s="49" t="s">
        <v>356</v>
      </c>
      <c r="F33" s="46">
        <v>9865.94</v>
      </c>
    </row>
  </sheetData>
  <autoFilter ref="A1:F17" xr:uid="{90A83934-3E70-467D-B529-9C146692EDE0}">
    <filterColumn colId="1">
      <filters>
        <filter val="CAIXA 05/2025"/>
        <filter val="CAIXA 06/2025"/>
        <filter val="CAIXA 08/2025"/>
        <filter val="CAIXA 09/2025"/>
        <filter val="CAIXA 10/2025"/>
        <filter val="CAIXA 11/2025"/>
        <filter val="CAIXA 12/2025"/>
        <filter val="CAIXA07/2025"/>
      </filters>
    </filterColumn>
    <sortState xmlns:xlrd2="http://schemas.microsoft.com/office/spreadsheetml/2017/richdata2" ref="A6:F32">
      <sortCondition ref="B1:B17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extrato</vt:lpstr>
      <vt:lpstr>FECHAMENTO</vt:lpstr>
      <vt:lpstr>Prestação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Stefani Oliveira Alves</dc:creator>
  <cp:lastModifiedBy>Stefani Oliveira Alves</cp:lastModifiedBy>
  <dcterms:created xsi:type="dcterms:W3CDTF">2026-08-12T18:47:22Z</dcterms:created>
  <dcterms:modified xsi:type="dcterms:W3CDTF">2026-08-14T18:43:56Z</dcterms:modified>
</cp:coreProperties>
</file>