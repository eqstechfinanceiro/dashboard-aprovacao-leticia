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mily.varela\Desktop\PLANILHAS\"/>
    </mc:Choice>
  </mc:AlternateContent>
  <xr:revisionPtr revIDLastSave="0" documentId="8_{C53D59B2-8BED-4FB5-B4A6-13BEBADE4115}" xr6:coauthVersionLast="47" xr6:coauthVersionMax="47" xr10:uidLastSave="{00000000-0000-0000-0000-000000000000}"/>
  <bookViews>
    <workbookView xWindow="-120" yWindow="-120" windowWidth="20730" windowHeight="11040" activeTab="2" xr2:uid="{0B3C230B-1BA6-49B2-A111-FF68C55B3892}"/>
  </bookViews>
  <sheets>
    <sheet name="EXTRATO" sheetId="2" r:id="rId1"/>
    <sheet name="PREST. CONTAS" sheetId="3" r:id="rId2"/>
    <sheet name="FECHAMENTO" sheetId="1" r:id="rId3"/>
  </sheets>
  <definedNames>
    <definedName name="_xlnm._FilterDatabase" localSheetId="0" hidden="1">EXTRATO!$A$1:$I$111</definedName>
    <definedName name="_xlnm._FilterDatabase" localSheetId="1" hidden="1">'PREST. CONTAS'!$A$1:$E$13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" i="2" l="1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E23" i="1" l="1"/>
  <c r="D22" i="1"/>
  <c r="D23" i="1"/>
  <c r="F23" i="1"/>
  <c r="D15" i="1"/>
  <c r="D10" i="1"/>
  <c r="D8" i="1"/>
  <c r="D19" i="1"/>
  <c r="D11" i="1"/>
  <c r="D18" i="1"/>
  <c r="D14" i="1"/>
  <c r="D21" i="1"/>
  <c r="D17" i="1"/>
  <c r="D13" i="1"/>
  <c r="D9" i="1"/>
  <c r="D20" i="1"/>
  <c r="D16" i="1"/>
  <c r="D12" i="1"/>
  <c r="F19" i="1"/>
  <c r="E22" i="1"/>
  <c r="F20" i="1"/>
  <c r="F8" i="1"/>
  <c r="F12" i="1"/>
  <c r="F16" i="1"/>
  <c r="F9" i="1"/>
  <c r="F13" i="1"/>
  <c r="F17" i="1"/>
  <c r="F21" i="1"/>
  <c r="F10" i="1"/>
  <c r="F14" i="1"/>
  <c r="F18" i="1"/>
  <c r="F22" i="1"/>
  <c r="E15" i="1"/>
  <c r="F11" i="1"/>
  <c r="F15" i="1"/>
  <c r="E8" i="1"/>
  <c r="E16" i="1"/>
  <c r="E9" i="1"/>
  <c r="E17" i="1"/>
  <c r="E10" i="1"/>
  <c r="E18" i="1"/>
  <c r="E11" i="1"/>
  <c r="E19" i="1"/>
  <c r="E12" i="1"/>
  <c r="E20" i="1"/>
  <c r="E13" i="1"/>
  <c r="E21" i="1"/>
  <c r="E14" i="1"/>
  <c r="H19" i="1" l="1"/>
  <c r="H18" i="1"/>
  <c r="H16" i="1"/>
  <c r="H17" i="1"/>
  <c r="H8" i="1"/>
  <c r="I8" i="1" s="1"/>
  <c r="G24" i="1"/>
  <c r="H28" i="1" s="1"/>
  <c r="H20" i="1"/>
  <c r="H21" i="1"/>
  <c r="H9" i="1"/>
  <c r="H14" i="1"/>
  <c r="H12" i="1"/>
  <c r="H13" i="1"/>
  <c r="H10" i="1"/>
  <c r="H23" i="1"/>
  <c r="H11" i="1"/>
  <c r="H15" i="1"/>
  <c r="H22" i="1"/>
  <c r="F24" i="1"/>
  <c r="E24" i="1"/>
  <c r="D24" i="1"/>
  <c r="I9" i="1" l="1"/>
  <c r="I10" i="1" s="1"/>
  <c r="I11" i="1" s="1"/>
  <c r="I12" i="1" s="1"/>
  <c r="I13" i="1" s="1"/>
  <c r="I14" i="1" s="1"/>
  <c r="I15" i="1" s="1"/>
  <c r="H27" i="1"/>
  <c r="H29" i="1" s="1"/>
  <c r="H31" i="1" s="1"/>
  <c r="I16" i="1" l="1"/>
  <c r="I17" i="1" s="1"/>
  <c r="I18" i="1" s="1"/>
  <c r="I19" i="1" s="1"/>
  <c r="I20" i="1" s="1"/>
  <c r="I21" i="1" s="1"/>
  <c r="I22" i="1" s="1"/>
  <c r="I23" i="1" s="1"/>
  <c r="H24" i="1" s="1"/>
  <c r="H26" i="1" s="1"/>
</calcChain>
</file>

<file path=xl/sharedStrings.xml><?xml version="1.0" encoding="utf-8"?>
<sst xmlns="http://schemas.openxmlformats.org/spreadsheetml/2006/main" count="670" uniqueCount="355">
  <si>
    <t>FECHAMENTO DE PRESTAÇÃO DE CONTAS</t>
  </si>
  <si>
    <t>MÊS</t>
  </si>
  <si>
    <t>SALDO FINAL</t>
  </si>
  <si>
    <t>LEGENDA SINAIS</t>
  </si>
  <si>
    <t>(+) SALDO DISPONIVEL</t>
  </si>
  <si>
    <t>NEGATIVO</t>
  </si>
  <si>
    <t>A REEMBOLSAR</t>
  </si>
  <si>
    <t>(-) PRESTAÇÃO DE CONTAS</t>
  </si>
  <si>
    <t>POSITIVO</t>
  </si>
  <si>
    <t>A PRESTAR</t>
  </si>
  <si>
    <t>= FECHAMENTO PRESTE CONTAS</t>
  </si>
  <si>
    <t>= SALDO CARTÃO</t>
  </si>
  <si>
    <t>FECHAMENTO FINAL - SALDO PENDENTE</t>
  </si>
  <si>
    <t>Data</t>
  </si>
  <si>
    <t>Hora</t>
  </si>
  <si>
    <t>Código de Transação</t>
  </si>
  <si>
    <t>Usuário</t>
  </si>
  <si>
    <t>Tipo</t>
  </si>
  <si>
    <t>Descrição</t>
  </si>
  <si>
    <t>Valor</t>
  </si>
  <si>
    <t>Transferência</t>
  </si>
  <si>
    <t>Saque</t>
  </si>
  <si>
    <t>Taxa</t>
  </si>
  <si>
    <t>Taxa de saque</t>
  </si>
  <si>
    <t>Carga</t>
  </si>
  <si>
    <t>Rótulos de Linha</t>
  </si>
  <si>
    <t>Total Geral</t>
  </si>
  <si>
    <t>2025</t>
  </si>
  <si>
    <t>2026</t>
  </si>
  <si>
    <t>Rótulos de Coluna</t>
  </si>
  <si>
    <t>Soma de Valor</t>
  </si>
  <si>
    <t>mai</t>
  </si>
  <si>
    <t>jun</t>
  </si>
  <si>
    <t>jul</t>
  </si>
  <si>
    <t>set</t>
  </si>
  <si>
    <t>out</t>
  </si>
  <si>
    <t>nov</t>
  </si>
  <si>
    <t>dez</t>
  </si>
  <si>
    <t>jan</t>
  </si>
  <si>
    <t>ID do Relatório</t>
  </si>
  <si>
    <t>Nome do relatório</t>
  </si>
  <si>
    <t>Status</t>
  </si>
  <si>
    <t>CAIXA 07/2026</t>
  </si>
  <si>
    <t>Mês</t>
  </si>
  <si>
    <t>ANO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</si>
  <si>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</si>
  <si>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</si>
  <si>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</si>
  <si>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</si>
  <si>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</si>
  <si>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</si>
  <si>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</si>
  <si>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</si>
  <si>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</si>
  <si>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</si>
  <si>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</si>
  <si>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</si>
  <si>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Ano</t>
  </si>
  <si>
    <t>Prest. Contas</t>
  </si>
  <si>
    <t>Saldo</t>
  </si>
  <si>
    <t>Acumulado</t>
  </si>
  <si>
    <t>CAIXA 07/2025</t>
  </si>
  <si>
    <t>ago</t>
  </si>
  <si>
    <t>EM AMARELO</t>
  </si>
  <si>
    <t>EM VERMELHO</t>
  </si>
  <si>
    <t>CAIXA REPROVADO</t>
  </si>
  <si>
    <t>Compra</t>
  </si>
  <si>
    <t>fev</t>
  </si>
  <si>
    <t>mar</t>
  </si>
  <si>
    <t>abr</t>
  </si>
  <si>
    <t>ABERTO</t>
  </si>
  <si>
    <t>APROVADO</t>
  </si>
  <si>
    <t>CAIXA ABERTO</t>
  </si>
  <si>
    <t>Adan Leonardo Souza Batista</t>
  </si>
  <si>
    <t>09:50:19</t>
  </si>
  <si>
    <t>0C3B570303849BC4A72F4BCFD13FA6F7</t>
  </si>
  <si>
    <t>Transf. EQS &gt; Adan L. S. Batista</t>
  </si>
  <si>
    <t>15:16:21</t>
  </si>
  <si>
    <t>9D43DD1009F3EFB87C0C4B2DFBD85CC4</t>
  </si>
  <si>
    <t>14:16:01</t>
  </si>
  <si>
    <t>B61070AC8A6B54085D34D05B2A108CE0</t>
  </si>
  <si>
    <t>PARAFUSOS</t>
  </si>
  <si>
    <t>14:52:59</t>
  </si>
  <si>
    <t>4F3603994CBF3938EE0E991CFB04A609</t>
  </si>
  <si>
    <t>CASA DAS BORRACHAS</t>
  </si>
  <si>
    <t>07:10:13</t>
  </si>
  <si>
    <t>BA65662670CCA3F0557D36AFD7C30E4C</t>
  </si>
  <si>
    <t>PAOZINHO BAIANINHO</t>
  </si>
  <si>
    <t>09:05:13</t>
  </si>
  <si>
    <t>F1E723F50D61094AD02362A50D503F07</t>
  </si>
  <si>
    <t>GAL FERRO</t>
  </si>
  <si>
    <t>16:20:08</t>
  </si>
  <si>
    <t>B731C54AF6E6CE4D9F1D8B0C57B7BBB1</t>
  </si>
  <si>
    <t>09:34:18</t>
  </si>
  <si>
    <t>6BD2921B5931E50F44FD4E895A4D0A62</t>
  </si>
  <si>
    <t>SHELL PARAFUSOS</t>
  </si>
  <si>
    <t>11:50:42</t>
  </si>
  <si>
    <t>1DA07685294457428A83016428CBF5C3</t>
  </si>
  <si>
    <t>JmImperioDas</t>
  </si>
  <si>
    <t>14:05:31</t>
  </si>
  <si>
    <t>15628BE4123F955052454CCC7C8BC446</t>
  </si>
  <si>
    <t>MARIA DAS GRACAS GREG</t>
  </si>
  <si>
    <t>14:58:06</t>
  </si>
  <si>
    <t>09126BFFCBF5AE7D8A2FC0C25C470260</t>
  </si>
  <si>
    <t>15:03:13</t>
  </si>
  <si>
    <t>778684454AD965EA7B791060349B994C</t>
  </si>
  <si>
    <t>TeaTintasE</t>
  </si>
  <si>
    <t>08:48:05</t>
  </si>
  <si>
    <t>27F15FB20FAA41FB988648464AAFDC5F</t>
  </si>
  <si>
    <t>16:00:09</t>
  </si>
  <si>
    <t>E3C56CBBE897D3B4D4693CA717114DC2</t>
  </si>
  <si>
    <t>TECBAN-ATAKAREJO VIA E</t>
  </si>
  <si>
    <t>16:19:25</t>
  </si>
  <si>
    <t>45A062BE26B5CA2728394C600CF5A5FD</t>
  </si>
  <si>
    <t>16:20:48</t>
  </si>
  <si>
    <t>D018201BA7C2885B1542537F82DBBB97</t>
  </si>
  <si>
    <t>12:45:15</t>
  </si>
  <si>
    <t>0066B09814E14CE045C3FA537F54EB2E</t>
  </si>
  <si>
    <t>14:36:11</t>
  </si>
  <si>
    <t>3D5B7576C4D912DD9F6AF54E4718B98A</t>
  </si>
  <si>
    <t>TIM</t>
  </si>
  <si>
    <t>14:44:35</t>
  </si>
  <si>
    <t>56CFAB8A737F769A22ED05F647F9934C</t>
  </si>
  <si>
    <t>08:56:02</t>
  </si>
  <si>
    <t>5788B97CD7C70B9168E97B5BF24F13AD</t>
  </si>
  <si>
    <t>23485123Solange</t>
  </si>
  <si>
    <t>13:57:34</t>
  </si>
  <si>
    <t>22E9EAD149E15FFF2F138AC9D3786BA4</t>
  </si>
  <si>
    <t>11:30:13</t>
  </si>
  <si>
    <t>97797E5238F517802B76247D4748C909</t>
  </si>
  <si>
    <t>FERREIRA COSTA</t>
  </si>
  <si>
    <t>12:23:12</t>
  </si>
  <si>
    <t>130D27B5182EFDCAD13C62D550FE1929</t>
  </si>
  <si>
    <t>ATLANTIDA COMERCIO</t>
  </si>
  <si>
    <t>08:43:03</t>
  </si>
  <si>
    <t>DE5548220B0A78A8AEF18A7FAD17BE7F</t>
  </si>
  <si>
    <t>09:46:43</t>
  </si>
  <si>
    <t>D60A20531D52467C091C23BF5A2C98E6</t>
  </si>
  <si>
    <t>EdsonInacioSouza</t>
  </si>
  <si>
    <t>14:55:47</t>
  </si>
  <si>
    <t>C3810553017F2E50B85A04C0E34E29B4</t>
  </si>
  <si>
    <t>FRIGELAR - FILIAL 35</t>
  </si>
  <si>
    <t>16:57:41</t>
  </si>
  <si>
    <t>C0E4BEE4F1BE6DEC25F20CD2A1537173</t>
  </si>
  <si>
    <t>10:44:05</t>
  </si>
  <si>
    <t>2549173D454B2D1FF312A4DBDD545E59</t>
  </si>
  <si>
    <t>MP *PEDROCAETANOD</t>
  </si>
  <si>
    <t>15:09:30</t>
  </si>
  <si>
    <t>1954EB8D6C9C9A0EFF747E924B31983D</t>
  </si>
  <si>
    <t>11:24:35</t>
  </si>
  <si>
    <t>3192519701DF66E3B75F2D963B5A5691</t>
  </si>
  <si>
    <t>AndersonOliveiraS</t>
  </si>
  <si>
    <t>11:35:32</t>
  </si>
  <si>
    <t>7BD4A5E8835F04EBDF5119E01DAFF705</t>
  </si>
  <si>
    <t>ELETRICA BAHIANA</t>
  </si>
  <si>
    <t>11:32:45</t>
  </si>
  <si>
    <t>A5215F0D4A801AFAAAA9FB5299AA6CD0</t>
  </si>
  <si>
    <t>14:23:37</t>
  </si>
  <si>
    <t>6DAFEA1EC1FB9063B50929E891FB2E43</t>
  </si>
  <si>
    <t>14:48:45</t>
  </si>
  <si>
    <t>187E1E1D907E2B17114242E38EAFD196</t>
  </si>
  <si>
    <t>GDM MATERIAIS DE LIMPE</t>
  </si>
  <si>
    <t>16:42:32</t>
  </si>
  <si>
    <t>D0B2B3609E1F0FC8A32C40A64EECCE1F</t>
  </si>
  <si>
    <t>10:52:37</t>
  </si>
  <si>
    <t>9E34E2667EFDD706D4E031D5571AB9FA</t>
  </si>
  <si>
    <t>TECBAN-ATAKAREJO PARAL</t>
  </si>
  <si>
    <t>10:52:55</t>
  </si>
  <si>
    <t>80543AE75D00D62A19F4B5BA6D6455C1</t>
  </si>
  <si>
    <t>11:45:40</t>
  </si>
  <si>
    <t>1ED36B861AFF097FE734DA10C09123B0</t>
  </si>
  <si>
    <t>16:58:59</t>
  </si>
  <si>
    <t>7459249DB7376989971572D26F0A9E5B</t>
  </si>
  <si>
    <t>12:42:31</t>
  </si>
  <si>
    <t>FF4AB3AA726FA3E96E85CA6797538B0B</t>
  </si>
  <si>
    <t>17:23:27</t>
  </si>
  <si>
    <t>A5A8900B3EC8B5411095B6DD0A67D460</t>
  </si>
  <si>
    <t>11:28:11</t>
  </si>
  <si>
    <t>E37C03E520CF237596B5616BEACD91D4</t>
  </si>
  <si>
    <t>OXIGENIO MARES EIRELI</t>
  </si>
  <si>
    <t>12:12:23</t>
  </si>
  <si>
    <t>F0FFDD7609C958734EC70915DACD8133</t>
  </si>
  <si>
    <t>14:23:14</t>
  </si>
  <si>
    <t>23B23C27791E92D190EBDD6D222C2684</t>
  </si>
  <si>
    <t>TBI TARUGOS BUCHAS E M</t>
  </si>
  <si>
    <t>14:46:43</t>
  </si>
  <si>
    <t>0C56C7AF7D05D44A17BDBC8E693CB2C3</t>
  </si>
  <si>
    <t>J C BOULLOSA</t>
  </si>
  <si>
    <t>16:48:32</t>
  </si>
  <si>
    <t>6609276EE729D146581D62A75BCDBC39</t>
  </si>
  <si>
    <t>12:05:22</t>
  </si>
  <si>
    <t>C1BA8D6A82469EA7B06E3BEE3BDB7AE6</t>
  </si>
  <si>
    <t>11:55:15</t>
  </si>
  <si>
    <t>8AF429CCB779243D2C397B353D25DC3E</t>
  </si>
  <si>
    <t>Dilmaracamarada</t>
  </si>
  <si>
    <t>15:17:28</t>
  </si>
  <si>
    <t>83E44A3E726E99304E20D77A2270CF7B</t>
  </si>
  <si>
    <t>10:16:09</t>
  </si>
  <si>
    <t>2D8018423A23EE8257CA700AE5CFAA0D</t>
  </si>
  <si>
    <t>10:38:52</t>
  </si>
  <si>
    <t>8F0B95446F78A6780AB83BCFA9BFEC65</t>
  </si>
  <si>
    <t>REI DO PAO</t>
  </si>
  <si>
    <t>11:04:08</t>
  </si>
  <si>
    <t>1DA727C720D40CD12326E8C36D7079DC</t>
  </si>
  <si>
    <t>16:59:04</t>
  </si>
  <si>
    <t>87495A0E1B20D6D06650081BFBEA4299</t>
  </si>
  <si>
    <t>08:41:38</t>
  </si>
  <si>
    <t>E566C9B958A31ABD16DF1D3AA6087B55</t>
  </si>
  <si>
    <t>CASA ELOY</t>
  </si>
  <si>
    <t>08:58:45</t>
  </si>
  <si>
    <t>269F06320995FB8403D79F496FE9A516</t>
  </si>
  <si>
    <t>Filial 017</t>
  </si>
  <si>
    <t>14:44:24</t>
  </si>
  <si>
    <t>5B4342442D513636CC87392829C7DE92</t>
  </si>
  <si>
    <t>10:41:54</t>
  </si>
  <si>
    <t>98E04DE6A05DD7166C1B1ED9B762BA2D</t>
  </si>
  <si>
    <t>CLIMTEM SOLUCOES EM MA</t>
  </si>
  <si>
    <t>14:04:57</t>
  </si>
  <si>
    <t>A396CA5D2E78DE1536B0A06E824E1325</t>
  </si>
  <si>
    <t>Transf. Adan L. S. Batista &gt; EQS</t>
  </si>
  <si>
    <t>14:06:58</t>
  </si>
  <si>
    <t>35B0A9A34DCD522C019A51741AB418FE</t>
  </si>
  <si>
    <t>Transf. REGIONAL BA &gt; Adan L. S. Batista</t>
  </si>
  <si>
    <t>16:33:31</t>
  </si>
  <si>
    <t>EB6224BAF0AE79461FBF2298A4CC8FEA</t>
  </si>
  <si>
    <t>09:53:00</t>
  </si>
  <si>
    <t>8C1D7EC0622D97500AD86ADF3314969D</t>
  </si>
  <si>
    <t>09:39:30</t>
  </si>
  <si>
    <t>CF482FD21ADAE10EE8958667E051413B</t>
  </si>
  <si>
    <t>14:37:37</t>
  </si>
  <si>
    <t>1304CDB1B31F9278809AFD2A6F182EF8</t>
  </si>
  <si>
    <t>14:37:49</t>
  </si>
  <si>
    <t>FC0609D803C316F21E2BE8B829E11F24</t>
  </si>
  <si>
    <t>17:01:30</t>
  </si>
  <si>
    <t>C3F155EFFCCEABA34D2B66CC1B7A63D7</t>
  </si>
  <si>
    <t>09:59:48</t>
  </si>
  <si>
    <t>C9D4BEC39F3B9EBC09C969121BC1DAA8</t>
  </si>
  <si>
    <t>GELOMAQ REFRIGERACAO A</t>
  </si>
  <si>
    <t>11:59:20</t>
  </si>
  <si>
    <t>C22E7DE8014913F269F6CBF7590C015C</t>
  </si>
  <si>
    <t>16:12:18</t>
  </si>
  <si>
    <t>2E8360F0DF14822457B16EAC1B84DC01</t>
  </si>
  <si>
    <t>10:33:39</t>
  </si>
  <si>
    <t>2B2D9A7EBBC3F86D1E23C57E823C0E36</t>
  </si>
  <si>
    <t>OxigenioMares</t>
  </si>
  <si>
    <t>09:41:25</t>
  </si>
  <si>
    <t>2862896BB43DF43796ADED9BEDB28B6E</t>
  </si>
  <si>
    <t>12:01:15</t>
  </si>
  <si>
    <t>364F842233C4C7290C3DE2935562260F</t>
  </si>
  <si>
    <t>12:29:53</t>
  </si>
  <si>
    <t>B43A2EF1C57F53F89834A924F213739E</t>
  </si>
  <si>
    <t>08:08:50</t>
  </si>
  <si>
    <t>856EDDF8B67E7B75DA68465254E096B9</t>
  </si>
  <si>
    <t>13:33:41</t>
  </si>
  <si>
    <t>A0F1103F56441EB0F243B2B67E8EEE35</t>
  </si>
  <si>
    <t>13:34:12</t>
  </si>
  <si>
    <t>7329FE7E9CDF8753E0D2DC4BDCD692A5</t>
  </si>
  <si>
    <t>13:55:42</t>
  </si>
  <si>
    <t>16B1C4A09B85C4D56D095DA15C4401DF</t>
  </si>
  <si>
    <t>ELETROBAHIA</t>
  </si>
  <si>
    <t>14:43:07</t>
  </si>
  <si>
    <t>17E9253143CAA22867A4C6A70266CACE</t>
  </si>
  <si>
    <t>11:27:50</t>
  </si>
  <si>
    <t>3401B06FF2571609EBFCE7A77D060832</t>
  </si>
  <si>
    <t>ATACADAO 923 AS</t>
  </si>
  <si>
    <t>14:42:03</t>
  </si>
  <si>
    <t>3CC6B56F70FE28DE85F07554A2953DAD</t>
  </si>
  <si>
    <t>11:58:47</t>
  </si>
  <si>
    <t>92AD53F4C14909A20263ED041C19FF32</t>
  </si>
  <si>
    <t>JIM.COM* OXIGENIO MARE</t>
  </si>
  <si>
    <t>11:55:32</t>
  </si>
  <si>
    <t>8B48AE38197CFDD9642CE32528E58BE5</t>
  </si>
  <si>
    <t>OXIGENIO EM CASA</t>
  </si>
  <si>
    <t>11:06:42</t>
  </si>
  <si>
    <t>6A47EF30CC9AA3CED1E1F2B7A5FFE9C4</t>
  </si>
  <si>
    <t>13:29:23</t>
  </si>
  <si>
    <t>8F902F0CAC0D0F8256E3F553DFC19C5F</t>
  </si>
  <si>
    <t>Transf. Adan L. S. Batista &gt; REGIONAL BA</t>
  </si>
  <si>
    <t>13:37:01</t>
  </si>
  <si>
    <t>8B361299914185E39422DDEC4E66B0A1</t>
  </si>
  <si>
    <t>Transf. REGIONAL NE &gt; Adan L. S. Batista</t>
  </si>
  <si>
    <t>15:26:47</t>
  </si>
  <si>
    <t>61C096B8E39139D0D8DA87F43A60AC55</t>
  </si>
  <si>
    <t>10:36:57</t>
  </si>
  <si>
    <t>44DA4BCFE41DF1C89C29F12F7453CA19</t>
  </si>
  <si>
    <t>Transf. Adan L. S. Batista &gt; REGIONAL NE</t>
  </si>
  <si>
    <t>14:35:43</t>
  </si>
  <si>
    <t>9AAF477293D9032643D737E3122A4CA1</t>
  </si>
  <si>
    <t>15:31:10</t>
  </si>
  <si>
    <t>E6C87F0122FA3D7583ADCAC1AB22C283</t>
  </si>
  <si>
    <t>09:53:38</t>
  </si>
  <si>
    <t>8EC91A792AA9C8A111B6CE0346734065</t>
  </si>
  <si>
    <t>17:37:07</t>
  </si>
  <si>
    <t>FE2BB982E3E3D39D336542700AD6B3C3</t>
  </si>
  <si>
    <t>16:49:05</t>
  </si>
  <si>
    <t>EC02BAE0D11F3109A69078449A0513DA</t>
  </si>
  <si>
    <t>10:11:00</t>
  </si>
  <si>
    <t>9B334EEBE6A4F247A83D375B59A9E002</t>
  </si>
  <si>
    <t>TECBAN-SHOPPING BELA V</t>
  </si>
  <si>
    <t>10:11:14</t>
  </si>
  <si>
    <t>AFFAF2F1B64E712FACAA30C12A210943</t>
  </si>
  <si>
    <t>14:54:49</t>
  </si>
  <si>
    <t>30A2F8CF0FA74F76A5D0DF8EBA6801AE</t>
  </si>
  <si>
    <t>14:47:18</t>
  </si>
  <si>
    <t>5C62D0EE1B4B7EA7E099802048B00053</t>
  </si>
  <si>
    <t>15:02:33</t>
  </si>
  <si>
    <t>109D4AB9DF205C539A32FC86B32D4552</t>
  </si>
  <si>
    <t>6CC5DA506A8B33BFC6E6F326E8DC616D</t>
  </si>
  <si>
    <t>RIOMAR ARACAJU PARKING</t>
  </si>
  <si>
    <t>15:07:44</t>
  </si>
  <si>
    <t>3D5CF86933E502378DBE6ED8DBC0EA59</t>
  </si>
  <si>
    <t>ARACAJU ADM SHOP CENTE</t>
  </si>
  <si>
    <t>15:06:45</t>
  </si>
  <si>
    <t>6BB7DD7DE09521ACB83AD85CE66926F7</t>
  </si>
  <si>
    <t>10:04:18</t>
  </si>
  <si>
    <t>4BD307A3A46B258621C2BAF747211E1B</t>
  </si>
  <si>
    <t>W OX COMERCIO DE OXIGE</t>
  </si>
  <si>
    <t>11:41:15</t>
  </si>
  <si>
    <t>F2F61224D249510BDAFFA211C4BE96CD</t>
  </si>
  <si>
    <t>MP *ACDC</t>
  </si>
  <si>
    <t>09:52:05</t>
  </si>
  <si>
    <t>3B366D18D3EFDA2DADF2507BF4584FC9</t>
  </si>
  <si>
    <t>TECBAN-SUP MERCANTIL P</t>
  </si>
  <si>
    <t>09:52:26</t>
  </si>
  <si>
    <t>BDF2E7B62BB5CA2346C7AC4C9A859562</t>
  </si>
  <si>
    <t>16:03:01</t>
  </si>
  <si>
    <t>AF37497AE9C3D47560F4FC2AEDE27FDD</t>
  </si>
  <si>
    <t>16:10:26</t>
  </si>
  <si>
    <t>12400AEB520A0A56C5F4B8C090BF3A84</t>
  </si>
  <si>
    <t>AV.DORIVAL CA</t>
  </si>
  <si>
    <t>16:10:39</t>
  </si>
  <si>
    <t>7D9B6691245D72AD606A6C183BE0AE3B</t>
  </si>
  <si>
    <t>11:26:38</t>
  </si>
  <si>
    <t>B241CF33951DACE0E06E3799B6552116</t>
  </si>
  <si>
    <t>ShoppingDaBahia</t>
  </si>
  <si>
    <t>13:20:34</t>
  </si>
  <si>
    <t>09A3EE37FF373912048463EEF6D248AF</t>
  </si>
  <si>
    <t>12:23:07</t>
  </si>
  <si>
    <t>444FE89F74EA1A7525DA7E4BF0651C54</t>
  </si>
  <si>
    <t>16:39:19</t>
  </si>
  <si>
    <t>82B5D7AF89091328C9EEC30F9F7E9691</t>
  </si>
  <si>
    <t>Caixa 08/2026</t>
  </si>
  <si>
    <t>ADAN LEONARDO SOUZA BATISTA</t>
  </si>
  <si>
    <t>Caixa 09/2025</t>
  </si>
  <si>
    <t>Caixa 08/2025</t>
  </si>
  <si>
    <t>Caixa 10/2025</t>
  </si>
  <si>
    <t>Caixa 11/2025</t>
  </si>
  <si>
    <t>Caixa 12/2025</t>
  </si>
  <si>
    <t>Caixa 01/2026</t>
  </si>
  <si>
    <t>Caixa 02/2026</t>
  </si>
  <si>
    <t>Caixa 05/2026</t>
  </si>
  <si>
    <t>CAIXA 06/2026</t>
  </si>
  <si>
    <t>ENVIADO</t>
  </si>
  <si>
    <t>EM AZUL</t>
  </si>
  <si>
    <t>CAIXA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</si>
</sst>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 &quot;#,##0.00_-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206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63853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4" fontId="17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4" fillId="2" borderId="0" xfId="0" applyFont="1" applyFill="1"/>
    <xf numFmtId="0" fontId="7" fillId="3" borderId="1" xfId="1" applyFont="1" applyFill="1" applyBorder="1" applyAlignment="1">
      <alignment horizontal="center" vertical="center"/>
    </xf>
    <xf numFmtId="44" fontId="7" fillId="3" borderId="2" xfId="1" applyNumberFormat="1" applyFont="1" applyFill="1" applyBorder="1" applyAlignment="1">
      <alignment horizontal="center" vertical="center"/>
    </xf>
    <xf numFmtId="44" fontId="7" fillId="3" borderId="3" xfId="1" applyNumberFormat="1" applyFont="1" applyFill="1" applyBorder="1" applyAlignment="1">
      <alignment horizontal="center" vertical="center"/>
    </xf>
    <xf numFmtId="44" fontId="8" fillId="0" borderId="2" xfId="0" applyNumberFormat="1" applyFont="1" applyBorder="1" applyAlignment="1">
      <alignment vertical="center" wrapText="1"/>
    </xf>
    <xf numFmtId="44" fontId="9" fillId="4" borderId="3" xfId="0" applyNumberFormat="1" applyFont="1" applyFill="1" applyBorder="1" applyAlignment="1">
      <alignment vertical="center" wrapText="1"/>
    </xf>
    <xf numFmtId="44" fontId="9" fillId="4" borderId="5" xfId="0" applyNumberFormat="1" applyFont="1" applyFill="1" applyBorder="1" applyAlignment="1">
      <alignment vertical="center" wrapText="1"/>
    </xf>
    <xf numFmtId="44" fontId="9" fillId="4" borderId="8" xfId="0" applyNumberFormat="1" applyFont="1" applyFill="1" applyBorder="1" applyAlignment="1">
      <alignment vertical="center" wrapText="1"/>
    </xf>
    <xf numFmtId="44" fontId="11" fillId="2" borderId="6" xfId="0" applyNumberFormat="1" applyFont="1" applyFill="1" applyBorder="1" applyAlignment="1">
      <alignment vertical="center" wrapText="1"/>
    </xf>
    <xf numFmtId="44" fontId="11" fillId="2" borderId="7" xfId="0" applyNumberFormat="1" applyFont="1" applyFill="1" applyBorder="1" applyAlignment="1">
      <alignment vertical="center" wrapText="1"/>
    </xf>
    <xf numFmtId="44" fontId="11" fillId="2" borderId="9" xfId="0" applyNumberFormat="1" applyFont="1" applyFill="1" applyBorder="1" applyAlignment="1">
      <alignment vertical="center" wrapText="1"/>
    </xf>
    <xf numFmtId="49" fontId="8" fillId="2" borderId="0" xfId="0" applyNumberFormat="1" applyFont="1" applyFill="1" applyAlignment="1">
      <alignment horizontal="center" vertical="center" wrapText="1"/>
    </xf>
    <xf numFmtId="44" fontId="11" fillId="2" borderId="0" xfId="0" applyNumberFormat="1" applyFont="1" applyFill="1" applyAlignment="1">
      <alignment vertical="center" wrapText="1"/>
    </xf>
    <xf numFmtId="0" fontId="13" fillId="6" borderId="14" xfId="0" applyFont="1" applyFill="1" applyBorder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7" fillId="3" borderId="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4" fontId="1" fillId="0" borderId="0" xfId="2" applyFont="1" applyAlignment="1">
      <alignment horizontal="center"/>
    </xf>
    <xf numFmtId="44" fontId="14" fillId="2" borderId="9" xfId="2" applyFont="1" applyFill="1" applyBorder="1" applyAlignment="1">
      <alignment horizontal="center"/>
    </xf>
    <xf numFmtId="44" fontId="15" fillId="2" borderId="13" xfId="2" applyFont="1" applyFill="1" applyBorder="1" applyAlignment="1">
      <alignment horizontal="center"/>
    </xf>
    <xf numFmtId="44" fontId="16" fillId="2" borderId="13" xfId="2" applyFont="1" applyFill="1" applyBorder="1" applyAlignment="1">
      <alignment horizontal="center"/>
    </xf>
    <xf numFmtId="44" fontId="2" fillId="6" borderId="9" xfId="2" applyFont="1" applyFill="1" applyBorder="1" applyAlignment="1">
      <alignment horizontal="center" vertical="center"/>
    </xf>
    <xf numFmtId="44" fontId="19" fillId="3" borderId="10" xfId="1" applyNumberFormat="1" applyFont="1" applyFill="1" applyBorder="1" applyAlignment="1">
      <alignment horizontal="center" vertical="center"/>
    </xf>
    <xf numFmtId="0" fontId="17" fillId="2" borderId="0" xfId="0" applyFont="1" applyFill="1"/>
    <xf numFmtId="44" fontId="21" fillId="2" borderId="13" xfId="2" applyFont="1" applyFill="1" applyBorder="1" applyAlignment="1">
      <alignment horizontal="center" vertical="center" wrapText="1"/>
    </xf>
    <xf numFmtId="0" fontId="17" fillId="2" borderId="7" xfId="0" applyFont="1" applyFill="1" applyBorder="1"/>
    <xf numFmtId="49" fontId="20" fillId="2" borderId="0" xfId="0" applyNumberFormat="1" applyFont="1" applyFill="1" applyAlignment="1">
      <alignment horizontal="left" vertical="center" wrapText="1"/>
    </xf>
    <xf numFmtId="49" fontId="20" fillId="2" borderId="4" xfId="0" applyNumberFormat="1" applyFont="1" applyFill="1" applyBorder="1" applyAlignment="1">
      <alignment horizontal="left" vertical="center"/>
    </xf>
    <xf numFmtId="0" fontId="20" fillId="2" borderId="6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49" fontId="20" fillId="2" borderId="4" xfId="0" applyNumberFormat="1" applyFont="1" applyFill="1" applyBorder="1" applyAlignment="1">
      <alignment vertical="center"/>
    </xf>
    <xf numFmtId="49" fontId="20" fillId="2" borderId="0" xfId="0" applyNumberFormat="1" applyFont="1" applyFill="1" applyAlignment="1">
      <alignment vertical="center"/>
    </xf>
    <xf numFmtId="14" fontId="22" fillId="5" borderId="0" xfId="0" applyNumberFormat="1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44" fontId="22" fillId="5" borderId="0" xfId="0" applyNumberFormat="1" applyFont="1" applyFill="1" applyAlignment="1">
      <alignment horizontal="center"/>
    </xf>
    <xf numFmtId="0" fontId="1" fillId="0" borderId="0" xfId="0" pivotButton="1" applyFont="1"/>
    <xf numFmtId="16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4" fontId="1" fillId="0" borderId="0" xfId="0" applyNumberFormat="1" applyFont="1"/>
    <xf numFmtId="0" fontId="1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 wrapText="1"/>
    </xf>
    <xf numFmtId="44" fontId="8" fillId="0" borderId="0" xfId="0" applyNumberFormat="1" applyFont="1" applyAlignment="1">
      <alignment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4" fontId="8" fillId="0" borderId="10" xfId="0" applyNumberFormat="1" applyFont="1" applyBorder="1" applyAlignment="1">
      <alignment vertical="center" wrapText="1"/>
    </xf>
    <xf numFmtId="44" fontId="8" fillId="0" borderId="13" xfId="0" applyNumberFormat="1" applyFont="1" applyBorder="1" applyAlignment="1">
      <alignment vertical="center" wrapText="1"/>
    </xf>
    <xf numFmtId="4" fontId="0" fillId="0" borderId="0" xfId="0" applyNumberFormat="1"/>
    <xf numFmtId="0" fontId="0" fillId="7" borderId="0" xfId="0" applyFill="1" applyAlignment="1">
      <alignment horizontal="center"/>
    </xf>
    <xf numFmtId="4" fontId="0" fillId="7" borderId="0" xfId="0" applyNumberFormat="1" applyFill="1" applyAlignment="1">
      <alignment horizont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44" fontId="8" fillId="8" borderId="7" xfId="0" applyNumberFormat="1" applyFont="1" applyFill="1" applyBorder="1" applyAlignment="1">
      <alignment vertical="center" wrapText="1"/>
    </xf>
    <xf numFmtId="44" fontId="8" fillId="8" borderId="9" xfId="0" applyNumberFormat="1" applyFont="1" applyFill="1" applyBorder="1" applyAlignment="1">
      <alignment vertical="center" wrapText="1"/>
    </xf>
    <xf numFmtId="0" fontId="23" fillId="8" borderId="14" xfId="0" applyFont="1" applyFill="1" applyBorder="1"/>
    <xf numFmtId="0" fontId="23" fillId="9" borderId="14" xfId="0" applyFont="1" applyFill="1" applyBorder="1"/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9" fillId="3" borderId="1" xfId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23" fillId="10" borderId="14" xfId="0" applyFont="1" applyFill="1" applyBorder="1"/>
    <xf numFmtId="0" fontId="8" fillId="10" borderId="4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44" fontId="8" fillId="10" borderId="0" xfId="0" applyNumberFormat="1" applyFont="1" applyFill="1" applyAlignment="1">
      <alignment vertical="center" wrapText="1"/>
    </xf>
    <xf numFmtId="44" fontId="8" fillId="10" borderId="13" xfId="0" applyNumberFormat="1" applyFont="1" applyFill="1" applyBorder="1" applyAlignment="1">
      <alignment vertical="center" wrapText="1"/>
    </xf>
  </cellXfs>
  <cellStyles count="3">
    <cellStyle name="Moeda" xfId="2" builtinId="4"/>
    <cellStyle name="Normal" xfId="0" builtinId="0"/>
    <cellStyle name="Normal 2" xfId="1" xr:uid="{F57A9AE8-51CA-48B2-AE11-1FA2AA08279E}"/>
  </cellStyles>
  <dxfs count="24">
    <dxf>
      <numFmt numFmtId="4" formatCode="#,##0.0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colors>
    <mruColors>
      <color rgb="FFF63853"/>
      <color rgb="FFF85A71"/>
      <color rgb="FFF61E3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42722</xdr:colOff>
      <xdr:row>0</xdr:row>
      <xdr:rowOff>98792</xdr:rowOff>
    </xdr:from>
    <xdr:to>
      <xdr:col>3</xdr:col>
      <xdr:colOff>342900</xdr:colOff>
      <xdr:row>2</xdr:row>
      <xdr:rowOff>107577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58F2B5-5B0E-4415-BD32-2F07A2AD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647" y="98792"/>
          <a:ext cx="1490803" cy="37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381002</xdr:colOff>
      <xdr:row>0</xdr:row>
      <xdr:rowOff>74084</xdr:rowOff>
    </xdr:from>
    <xdr:to>
      <xdr:col>5</xdr:col>
      <xdr:colOff>33657</xdr:colOff>
      <xdr:row>2</xdr:row>
      <xdr:rowOff>148379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F0DAC8-F7F8-D4E9-11E1-99CC5A5F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2" t="23152" r="5742" b="22212"/>
        <a:stretch>
          <a:fillRect/>
        </a:stretch>
      </xdr:blipFill>
      <xdr:spPr>
        <a:xfrm>
          <a:off x="1725085" y="74084"/>
          <a:ext cx="1333500" cy="4495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y Varela" refreshedDate="46248.578271412036" createdVersion="8" refreshedVersion="8" minRefreshableVersion="3" recordCount="110" xr:uid="{726A8120-8FE2-484C-8DB9-FE2333272869}">
  <cacheSource type="worksheet">
    <worksheetSource ref="C1:I111" sheet="EXTRATO"/>
  </cacheSource>
  <cacheFields count="10">
    <cacheField name="Data" numFmtId="14">
      <sharedItems containsSemiMixedTypes="0" containsNonDate="0" containsDate="1" containsString="0" minDate="2025-05-26T16:08:56" maxDate="2026-08-12T14:07:26" count="808">
        <d v="2025-06-12T09:50:19"/>
        <d v="2025-06-12T15:16:21"/>
        <d v="2025-07-14T14:16:01"/>
        <d v="2025-07-17T14:52:59"/>
        <d v="2025-07-22T07:10:13"/>
        <d v="2025-07-25T09:05:13"/>
        <d v="2025-07-25T16:20:08"/>
        <d v="2025-07-26T09:34:18"/>
        <d v="2025-07-27T11:50:42"/>
        <d v="2025-07-28T14:05:31"/>
        <d v="2025-07-28T14:58:06"/>
        <d v="2025-07-28T15:03:13"/>
        <d v="2025-07-29T08:48:05"/>
        <d v="2025-08-05T16:00:09"/>
        <d v="2025-08-05T16:19:25"/>
        <d v="2025-08-05T16:20:48"/>
        <d v="2025-08-06T12:45:15"/>
        <d v="2025-08-08T14:36:11"/>
        <d v="2025-08-11T14:44:35"/>
        <d v="2025-08-12T08:56:02"/>
        <d v="2025-08-12T13:57:34"/>
        <d v="2025-08-16T11:30:13"/>
        <d v="2025-08-16T12:23:12"/>
        <d v="2025-08-20T08:43:03"/>
        <d v="2025-08-20T09:46:43"/>
        <d v="2025-08-22T14:55:47"/>
        <d v="2025-08-25T16:57:41"/>
        <d v="2025-08-26T10:44:05"/>
        <d v="2025-08-27T15:09:30"/>
        <d v="2025-09-01T11:24:35"/>
        <d v="2025-09-03T11:35:32"/>
        <d v="2025-09-05T11:32:45"/>
        <d v="2025-09-05T14:23:37"/>
        <d v="2025-09-05T14:48:45"/>
        <d v="2025-09-11T16:42:32"/>
        <d v="2025-09-13T10:52:37"/>
        <d v="2025-09-13T10:52:55"/>
        <d v="2025-09-13T11:45:40"/>
        <d v="2025-09-18T16:58:59"/>
        <d v="2025-09-25T12:42:31"/>
        <d v="2025-09-25T17:23:27"/>
        <d v="2025-09-26T11:28:11"/>
        <d v="2025-10-02T12:12:23"/>
        <d v="2025-10-02T14:23:14"/>
        <d v="2025-10-02T14:46:43"/>
        <d v="2025-10-13T16:48:32"/>
        <d v="2025-10-18T12:05:22"/>
        <d v="2025-10-23T11:55:15"/>
        <d v="2025-10-23T15:17:28"/>
        <d v="2025-10-24T10:16:09"/>
        <d v="2025-10-24T10:38:52"/>
        <d v="2025-10-24T11:04:08"/>
        <d v="2025-10-27T16:59:04"/>
        <d v="2025-10-30T08:41:38"/>
        <d v="2025-10-30T08:58:45"/>
        <d v="2025-10-30T14:44:24"/>
        <d v="2025-11-04T10:41:54"/>
        <d v="2025-11-11T14:04:57"/>
        <d v="2025-11-11T14:06:58"/>
        <d v="2025-11-11T16:33:31"/>
        <d v="2025-11-14T09:53:00"/>
        <d v="2025-11-22T09:39:30"/>
        <d v="2025-11-22T14:37:37"/>
        <d v="2025-11-22T14:37:49"/>
        <d v="2025-11-25T17:01:30"/>
        <d v="2025-11-29T09:59:48"/>
        <d v="2025-12-04T11:59:20"/>
        <d v="2025-12-11T16:12:18"/>
        <d v="2025-12-16T10:33:39"/>
        <d v="2025-12-19T09:41:25"/>
        <d v="2026-01-09T12:01:15"/>
        <d v="2026-01-09T12:29:53"/>
        <d v="2026-01-13T08:08:50"/>
        <d v="2026-01-16T13:33:41"/>
        <d v="2026-01-16T13:34:12"/>
        <d v="2026-01-20T13:55:42"/>
        <d v="2026-01-26T14:43:07"/>
        <d v="2026-02-01T11:27:50"/>
        <d v="2026-02-02T14:42:03"/>
        <d v="2026-02-04T11:58:47"/>
        <d v="2026-02-09T11:55:32"/>
        <d v="2026-02-10T11:06:42"/>
        <d v="2026-02-11T13:29:23"/>
        <d v="2026-02-11T13:37:01"/>
        <d v="2026-02-11T15:26:47"/>
        <d v="2026-02-13T10:36:57"/>
        <d v="2026-02-13T14:35:43"/>
        <d v="2026-02-25T15:31:10"/>
        <d v="2026-03-16T09:53:38"/>
        <d v="2026-04-13T17:37:07"/>
        <d v="2026-04-27T16:49:05"/>
        <d v="2026-05-25T10:11:00"/>
        <d v="2026-05-25T10:11:14"/>
        <d v="2026-06-11T14:54:49"/>
        <d v="2026-06-12T14:47:18"/>
        <d v="2026-06-12T15:02:33"/>
        <d v="2026-06-15T14:06:58"/>
        <d v="2026-06-15T15:07:44"/>
        <d v="2026-06-25T15:06:45"/>
        <d v="2026-06-26T10:04:18"/>
        <d v="2026-06-29T11:41:15"/>
        <d v="2026-06-30T09:52:05"/>
        <d v="2026-06-30T09:52:26"/>
        <d v="2026-07-13T16:03:01"/>
        <d v="2026-07-16T16:10:26"/>
        <d v="2026-07-16T16:10:39"/>
        <d v="2026-07-25T11:26:38"/>
        <d v="2026-07-25T13:20:34"/>
        <d v="2026-08-02T12:23:07"/>
        <d v="2026-08-11T16:39:19"/>
        <d v="2025-06-06T12:37:15" u="1"/>
        <d v="2025-06-07T11:45:01" u="1"/>
        <d v="2025-06-07T11:45:13" u="1"/>
        <d v="2025-06-11T18:27:45" u="1"/>
        <d v="2025-06-16T13:01:13" u="1"/>
        <d v="2025-06-16T13:01:36" u="1"/>
        <d v="2025-06-25T17:15:00" u="1"/>
        <d v="2025-06-26T17:04:19" u="1"/>
        <d v="2025-06-26T17:22:18" u="1"/>
        <d v="2025-06-27T16:50:46" u="1"/>
        <d v="2025-06-27T18:16:26" u="1"/>
        <d v="2025-06-27T18:16:44" u="1"/>
        <d v="2025-07-11T15:33:53" u="1"/>
        <d v="2025-07-14T12:39:19" u="1"/>
        <d v="2025-07-14T12:40:00" u="1"/>
        <d v="2025-07-14T12:43:20" u="1"/>
        <d v="2025-07-14T12:44:49" u="1"/>
        <d v="2025-07-16T17:50:43" u="1"/>
        <d v="2025-07-18T12:28:30" u="1"/>
        <d v="2025-07-18T12:41:28" u="1"/>
        <d v="2025-07-18T16:42:37" u="1"/>
        <d v="2025-07-19T11:26:18" u="1"/>
        <d v="2025-07-19T11:26:31" u="1"/>
        <d v="2025-07-25T15:51:12" u="1"/>
        <d v="2025-07-25T17:38:56" u="1"/>
        <d v="2025-07-25T17:47:22" u="1"/>
        <d v="2025-07-28T11:23:06" u="1"/>
        <d v="2025-07-31T17:34:56" u="1"/>
        <d v="2025-08-01T09:47:15" u="1"/>
        <d v="2025-08-01T10:05:24" u="1"/>
        <d v="2025-08-08T17:03:59" u="1"/>
        <d v="2025-08-11T12:25:50" u="1"/>
        <d v="2025-08-11T12:26:11" u="1"/>
        <d v="2025-08-11T15:25:43" u="1"/>
        <d v="2025-08-11T16:17:35" u="1"/>
        <d v="2025-08-11T16:31:39" u="1"/>
        <d v="2025-08-12T08:21:00" u="1"/>
        <d v="2025-08-12T08:21:19" u="1"/>
        <d v="2025-08-12T08:22:08" u="1"/>
        <d v="2025-08-12T08:22:25" u="1"/>
        <d v="2025-08-25T16:37:30" u="1"/>
        <d v="2025-08-27T08:58:13" u="1"/>
        <d v="2025-08-27T08:58:34" u="1"/>
        <d v="2025-08-27T09:00:05" u="1"/>
        <d v="2025-08-27T09:00:25" u="1"/>
        <d v="2025-09-01T11:21:44" u="1"/>
        <d v="2025-09-01T20:09:06" u="1"/>
        <d v="2025-09-01T20:09:40" u="1"/>
        <d v="2025-09-05T16:55:18" u="1"/>
        <d v="2025-09-06T11:55:56" u="1"/>
        <d v="2025-09-06T11:56:07" u="1"/>
        <d v="2025-09-25T17:23:18" u="1"/>
        <d v="2025-09-26T13:08:01" u="1"/>
        <d v="2025-09-26T13:24:43" u="1"/>
        <d v="2025-10-13T16:49:20" u="1"/>
        <d v="2025-10-14T07:05:13" u="1"/>
        <d v="2025-10-14T07:05:29" u="1"/>
        <d v="2025-10-14T16:53:55" u="1"/>
        <d v="2025-10-14T19:00:55" u="1"/>
        <d v="2025-10-14T19:01:26" u="1"/>
        <d v="2025-10-22T17:17:11" u="1"/>
        <d v="2025-10-22T22:19:03" u="1"/>
        <d v="2025-10-23T12:23:15" u="1"/>
        <d v="2025-10-23T13:36:04" u="1"/>
        <d v="2025-10-27T17:00:51" u="1"/>
        <d v="2025-10-27T18:30:41" u="1"/>
        <d v="2025-10-27T18:31:04" u="1"/>
        <d v="2025-10-28T15:47:03" u="1"/>
        <d v="2025-10-28T16:11:30" u="1"/>
        <d v="2025-10-28T16:11:56" u="1"/>
        <d v="2025-10-31T11:41:32" u="1"/>
        <d v="2025-10-31T15:54:04" u="1"/>
        <d v="2025-10-31T15:54:22" u="1"/>
        <d v="2025-11-13T09:38:42" u="1"/>
        <d v="2025-11-14T12:02:36" u="1"/>
        <d v="2025-11-14T12:02:53" u="1"/>
        <d v="2025-11-14T12:03:32" u="1"/>
        <d v="2025-11-14T12:03:46" u="1"/>
        <d v="2025-11-19T13:55:09" u="1"/>
        <d v="2025-11-19T16:14:04" u="1"/>
        <d v="2025-11-19T16:14:39" u="1"/>
        <d v="2025-11-27T11:40:11" u="1"/>
        <d v="2025-11-27T14:28:21" u="1"/>
        <d v="2025-11-27T14:28:32" u="1"/>
        <d v="2025-11-27T14:29:30" u="1"/>
        <d v="2025-11-27T14:29:48" u="1"/>
        <d v="2025-12-02T17:58:18" u="1"/>
        <d v="2025-12-02T18:34:08" u="1"/>
        <d v="2025-12-02T18:34:22" u="1"/>
        <d v="2025-12-08T09:53:10" u="1"/>
        <d v="2025-12-10T07:40:08" u="1"/>
        <d v="2025-12-10T07:40:27" u="1"/>
        <d v="2025-12-16T10:42:53" u="1"/>
        <d v="2025-12-16T11:33:12" u="1"/>
        <d v="2025-12-16T11:33:48" u="1"/>
        <d v="2026-01-09T11:34:52" u="1"/>
        <d v="2026-01-09T11:41:21" u="1"/>
        <d v="2026-01-14T17:53:27" u="1"/>
        <d v="2026-01-15T20:24:16" u="1"/>
        <d v="2026-01-16T12:25:10" u="1"/>
        <d v="2026-01-16T12:25:26" u="1"/>
        <d v="2026-01-29T11:41:23" u="1"/>
        <d v="2026-01-29T19:26:04" u="1"/>
        <d v="2026-01-29T19:26:23" u="1"/>
        <d v="2026-01-31T13:16:37" u="1"/>
        <d v="2026-01-31T20:31:44" u="1"/>
        <d v="2026-02-12T11:30:12" u="1"/>
        <d v="2026-02-12T17:40:40" u="1"/>
        <d v="2026-02-12T17:41:09" u="1"/>
        <d v="2026-03-02T18:35:56" u="1"/>
        <d v="2026-03-02T18:47:18" u="1"/>
        <d v="2026-03-02T18:50:52" u="1"/>
        <d v="2026-03-13T14:40:21" u="1"/>
        <d v="2026-03-13T15:40:17" u="1"/>
        <d v="2026-03-13T15:40:49" u="1"/>
        <d v="2026-03-16T09:42:09" u="1"/>
        <d v="2026-03-17T16:38:26" u="1"/>
        <d v="2026-03-17T16:38:47" u="1"/>
        <d v="2026-03-20T15:10:57" u="1"/>
        <d v="2026-03-20T15:22:31" u="1"/>
        <d v="2026-03-20T15:22:59" u="1"/>
        <d v="2026-04-01T17:09:47" u="1"/>
        <d v="2026-04-02T12:17:56" u="1"/>
        <d v="2026-04-02T12:26:38" u="1"/>
        <d v="2026-04-15T13:18:36" u="1"/>
        <d v="2026-04-15T14:27:02" u="1"/>
        <d v="2026-04-15T15:01:20" u="1"/>
        <d v="2026-04-15T19:02:02" u="1"/>
        <d v="2026-04-15T19:02:24" u="1"/>
        <d v="2026-04-17T10:55:49" u="1"/>
        <d v="2026-04-17T15:17:46" u="1"/>
        <d v="2026-04-17T16:13:54" u="1"/>
        <d v="2026-04-17T16:49:49" u="1"/>
        <d v="2026-04-17T16:50:27" u="1"/>
        <d v="2026-04-20T14:32:59" u="1"/>
        <d v="2026-04-20T14:46:30" u="1"/>
        <d v="2026-04-20T14:46:58" u="1"/>
        <d v="2026-04-21T17:23:39" u="1"/>
        <d v="2026-04-21T21:25:41" u="1"/>
        <d v="2026-04-22T06:49:24" u="1"/>
        <d v="2026-04-22T08:34:39" u="1"/>
        <d v="2026-04-22T08:34:52" u="1"/>
        <d v="2026-04-29T14:44:33" u="1"/>
        <d v="2026-04-29T14:56:37" u="1"/>
        <d v="2026-04-29T14:57:08" u="1"/>
        <d v="2026-05-09T13:44:42" u="1"/>
        <d v="2026-05-11T09:11:29" u="1"/>
        <d v="2026-05-11T09:12:08" u="1"/>
        <d v="2026-05-11T16:17:13" u="1"/>
        <d v="2026-05-11T19:30:02" u="1"/>
        <d v="2026-05-11T19:30:20" u="1"/>
        <d v="2026-05-14T14:30:54" u="1"/>
        <d v="2026-05-14T15:38:30" u="1"/>
        <d v="2026-05-15T12:54:47" u="1"/>
        <d v="2026-05-15T12:55:23" u="1"/>
        <d v="2026-05-18T14:33:53" u="1"/>
        <d v="2026-05-18T21:27:05" u="1"/>
        <d v="2026-05-19T08:40:43" u="1"/>
        <d v="2026-05-19T08:49:04" u="1"/>
        <d v="2026-05-19T08:49:28" u="1"/>
        <d v="2026-05-19T08:50:11" u="1"/>
        <d v="2026-05-19T08:50:34" u="1"/>
        <d v="2026-05-22T08:22:18" u="1"/>
        <d v="2026-05-22T09:22:34" u="1"/>
        <d v="2026-05-25T15:30:35" u="1"/>
        <d v="2026-05-25T17:49:51" u="1"/>
        <d v="2026-05-26T09:53:25" u="1"/>
        <d v="2026-05-26T13:15:49" u="1"/>
        <d v="2026-05-26T15:32:15" u="1"/>
        <d v="2026-05-26T16:08:02" u="1"/>
        <d v="2026-05-27T07:35:42" u="1"/>
        <d v="2026-05-27T10:48:28" u="1"/>
        <d v="2026-06-01T08:35:44" u="1"/>
        <d v="2026-06-01T08:43:20" u="1"/>
        <d v="2026-06-03T09:46:09" u="1"/>
        <d v="2026-06-03T15:22:16" u="1"/>
        <d v="2026-06-03T17:37:20" u="1"/>
        <d v="2026-06-03T17:37:43" u="1"/>
        <d v="2026-06-12T13:21:05" u="1"/>
        <d v="2026-06-12T13:57:12" u="1"/>
        <d v="2026-06-12T13:57:41" u="1"/>
        <d v="2026-06-15T21:57:02" u="1"/>
        <d v="2026-06-16T10:22:54" u="1"/>
        <d v="2026-06-16T10:23:20" u="1"/>
        <d v="2026-06-16T14:17:58" u="1"/>
        <d v="2026-06-16T14:18:47" u="1"/>
        <d v="2026-06-16T14:20:08" u="1"/>
        <d v="2026-06-16T14:24:26" u="1"/>
        <d v="2026-06-16T18:41:41" u="1"/>
        <d v="2026-06-16T20:32:15" u="1"/>
        <d v="2026-06-16T20:32:38" u="1"/>
        <d v="2026-06-18T11:54:03" u="1"/>
        <d v="2026-06-18T15:08:47" u="1"/>
        <d v="2026-06-18T15:09:18" u="1"/>
        <d v="2026-06-25T15:03:51" u="1"/>
        <d v="2026-06-25T15:36:27" u="1"/>
        <d v="2026-06-25T20:48:49" u="1"/>
        <d v="2026-06-26T07:55:35" u="1"/>
        <d v="2026-06-26T07:55:46" u="1"/>
        <d v="2026-06-26T11:59:48" u="1"/>
        <d v="2026-06-26T12:50:03" u="1"/>
        <d v="2026-06-26T12:50:16" u="1"/>
        <d v="2026-07-13T16:01:21" u="1"/>
        <d v="2026-07-13T18:52:46" u="1"/>
        <d v="2026-07-13T18:52:59" u="1"/>
        <d v="2026-07-14T14:07:17" u="1"/>
        <d v="2026-08-10T17:57:03" u="1"/>
        <d v="2025-05-26T16:09:17" u="1"/>
        <d v="2025-05-26T18:44:59" u="1"/>
        <d v="2025-05-26T18:45:13" u="1"/>
        <d v="2025-05-26T18:46:03" u="1"/>
        <d v="2025-05-26T18:46:28" u="1"/>
        <d v="2025-05-30T07:22:16" u="1"/>
        <d v="2025-05-30T07:31:35" u="1"/>
        <d v="2025-06-11T18:41:02" u="1"/>
        <d v="2025-06-12T18:01:01" u="1"/>
        <d v="2025-06-12T18:49:37" u="1"/>
        <d v="2025-06-25T16:49:32" u="1"/>
        <d v="2025-06-27T17:20:10" u="1"/>
        <d v="2025-06-27T17:21:11" u="1"/>
        <d v="2025-06-27T17:55:15" u="1"/>
        <d v="2025-06-27T17:55:36" u="1"/>
        <d v="2025-07-11T15:49:50" u="1"/>
        <d v="2025-07-12T15:45:33" u="1"/>
        <d v="2025-07-12T15:45:44" u="1"/>
        <d v="2025-07-12T15:47:14" u="1"/>
        <d v="2025-07-12T15:47:31" u="1"/>
        <d v="2025-07-25T15:59:29" u="1"/>
        <d v="2025-07-26T09:55:37" u="1"/>
        <d v="2025-07-26T09:56:00" u="1"/>
        <d v="2025-07-26T09:56:51" u="1"/>
        <d v="2025-07-26T09:57:09" u="1"/>
        <d v="2025-08-02T11:07:59" u="1"/>
        <d v="2025-08-02T11:16:27" u="1"/>
        <d v="2025-08-11T15:16:00" u="1"/>
        <d v="2025-08-17T08:12:39" u="1"/>
        <d v="2025-08-17T08:12:52" u="1"/>
        <d v="2025-08-25T17:22:13" u="1"/>
        <d v="2025-08-26T07:34:40" u="1"/>
        <d v="2025-08-26T07:35:48" u="1"/>
        <d v="2025-08-26T07:36:59" u="1"/>
        <d v="2025-08-26T07:37:54" u="1"/>
        <d v="2025-08-26T11:48:03" u="1"/>
        <d v="2025-09-01T18:36:32" u="1"/>
        <d v="2025-09-01T18:57:05" u="1"/>
        <d v="2025-09-11T16:30:23" u="1"/>
        <d v="2025-09-12T06:48:36" u="1"/>
        <d v="2025-09-12T06:48:53" u="1"/>
        <d v="2025-09-12T06:49:44" u="1"/>
        <d v="2025-09-12T06:50:01" u="1"/>
        <d v="2025-09-13T10:53:58" u="1"/>
        <d v="2025-09-13T10:54:15" u="1"/>
        <d v="2025-09-16T16:59:22" u="1"/>
        <d v="2025-09-23T09:20:41" u="1"/>
        <d v="2025-09-23T09:43:09" u="1"/>
        <d v="2025-09-25T16:57:20" u="1"/>
        <d v="2025-09-26T16:27:42" u="1"/>
        <d v="2025-09-26T16:28:38" u="1"/>
        <d v="2025-09-26T16:28:43" u="1"/>
        <d v="2025-09-26T16:29:24" u="1"/>
        <d v="2025-10-09T18:58:41" u="1"/>
        <d v="2025-10-09T20:50:22" u="1"/>
        <d v="2025-10-13T16:48:49" u="1"/>
        <d v="2025-10-15T17:24:22" u="1"/>
        <d v="2025-10-15T17:25:27" u="1"/>
        <d v="2025-10-15T22:07:48" u="1"/>
        <d v="2025-10-15T22:08:37" u="1"/>
        <d v="2025-10-27T16:17:56" u="1"/>
        <d v="2025-10-28T17:21:15" u="1"/>
        <d v="2025-10-28T17:21:49" u="1"/>
        <d v="2025-10-28T17:22:20" u="1"/>
        <d v="2025-10-28T17:22:43" u="1"/>
        <d v="2025-10-30T17:11:23" u="1"/>
        <d v="2025-10-30T17:16:22" u="1"/>
        <d v="2025-11-11T15:51:41" u="1"/>
        <d v="2025-11-11T16:27:17" u="1"/>
        <d v="2025-11-11T16:27:44" u="1"/>
        <d v="2025-11-11T16:28:19" u="1"/>
        <d v="2025-11-11T16:28:45" u="1"/>
        <d v="2025-11-25T16:42:13" u="1"/>
        <d v="2025-11-26T08:44:42" u="1"/>
        <d v="2025-11-26T08:45:22" u="1"/>
        <d v="2025-11-26T08:45:55" u="1"/>
        <d v="2025-11-26T08:46:16" u="1"/>
        <d v="2025-12-11T15:34:04" u="1"/>
        <d v="2025-12-18T08:05:59" u="1"/>
        <d v="2025-12-18T08:06:31" u="1"/>
        <d v="2025-12-18T08:07:11" u="1"/>
        <d v="2025-12-18T08:07:52" u="1"/>
        <d v="2026-01-12T17:51:42" u="1"/>
        <d v="2026-01-14T16:38:25" u="1"/>
        <d v="2026-01-14T16:57:51" u="1"/>
        <d v="2026-01-15T07:00:54" u="1"/>
        <d v="2026-01-15T07:01:16" u="1"/>
        <d v="2026-01-15T07:01:58" u="1"/>
        <d v="2026-01-15T07:02:25" u="1"/>
        <d v="2026-01-19T17:34:24" u="1"/>
        <d v="2026-01-20T13:14:55" u="1"/>
        <d v="2026-01-20T13:15:23" u="1"/>
        <d v="2026-01-26T15:07:19" u="1"/>
        <d v="2026-01-26T17:23:54" u="1"/>
        <d v="2026-01-26T17:24:17" u="1"/>
        <d v="2026-01-26T17:25:22" u="1"/>
        <d v="2026-01-26T17:25:41" u="1"/>
        <d v="2026-01-27T17:15:06" u="1"/>
        <d v="2026-01-27T17:15:40" u="1"/>
        <d v="2026-02-11T15:21:52" u="1"/>
        <d v="2026-02-12T13:38:05" u="1"/>
        <d v="2026-02-12T13:38:30" u="1"/>
        <d v="2026-02-25T15:00:55" u="1"/>
        <d v="2026-02-25T21:47:25" u="1"/>
        <d v="2026-02-25T21:47:52" u="1"/>
        <d v="2026-02-25T21:48:39" u="1"/>
        <d v="2026-02-25T21:49:08" u="1"/>
        <d v="2026-03-11T17:38:18" u="1"/>
        <d v="2026-03-11T19:42:25" u="1"/>
        <d v="2026-03-11T19:42:48" u="1"/>
        <d v="2026-03-11T19:43:41" u="1"/>
        <d v="2026-03-11T19:44:06" u="1"/>
        <d v="2026-03-16T15:38:12" u="1"/>
        <d v="2026-04-13T17:51:19" u="1"/>
        <d v="2026-04-13T22:42:42" u="1"/>
        <d v="2026-04-13T22:43:08" u="1"/>
        <d v="2026-04-13T22:43:46" u="1"/>
        <d v="2026-04-13T22:44:00" u="1"/>
        <d v="2026-04-14T09:34:26" u="1"/>
        <d v="2026-04-14T09:38:52" u="1"/>
        <d v="2026-04-14T17:03:01" u="1"/>
        <d v="2026-04-14T22:44:28" u="1"/>
        <d v="2026-04-14T22:44:50" u="1"/>
        <d v="2026-04-14T22:45:35" u="1"/>
        <d v="2026-04-14T22:45:50" u="1"/>
        <d v="2026-04-15T17:26:04" u="1"/>
        <d v="2026-04-15T19:28:59" u="1"/>
        <d v="2026-04-15T19:29:31" u="1"/>
        <d v="2026-04-16T17:07:41" u="1"/>
        <d v="2026-04-22T10:43:18" u="1"/>
        <d v="2026-04-23T14:04:17" u="1"/>
        <d v="2026-04-23T14:04:47" u="1"/>
        <d v="2026-04-27T17:12:40" u="1"/>
        <d v="2026-04-28T09:12:10" u="1"/>
        <d v="2026-04-28T09:12:28" u="1"/>
        <d v="2026-04-28T09:13:21" u="1"/>
        <d v="2026-04-28T09:13:59" u="1"/>
        <d v="2026-05-06T07:03:27" u="1"/>
        <d v="2026-05-06T07:03:46" u="1"/>
        <d v="2026-05-11T16:07:30" u="1"/>
        <d v="2026-05-11T16:42:04" u="1"/>
        <d v="2026-05-11T16:42:39" u="1"/>
        <d v="2026-05-11T16:43:24" u="1"/>
        <d v="2026-05-11T16:43:36" u="1"/>
        <d v="2026-05-12T06:54:25" u="1"/>
        <d v="2026-05-12T06:54:58" u="1"/>
        <d v="2026-05-14T16:37:10" u="1"/>
        <d v="2026-05-18T09:31:17" u="1"/>
        <d v="2026-05-18T09:31:48" u="1"/>
        <d v="2026-05-25T15:57:18" u="1"/>
        <d v="2026-05-25T18:02:15" u="1"/>
        <d v="2026-05-25T18:02:31" u="1"/>
        <d v="2026-05-25T18:03:41" u="1"/>
        <d v="2026-05-25T18:04:14" u="1"/>
        <d v="2026-05-30T08:25:33" u="1"/>
        <d v="2026-05-30T08:36:58" u="1"/>
        <d v="2026-06-11T14:27:47" u="1"/>
        <d v="2026-06-12T16:16:18" u="1"/>
        <d v="2026-06-12T16:17:37" u="1"/>
        <d v="2026-06-12T16:30:11" u="1"/>
        <d v="2026-06-12T16:31:14" u="1"/>
        <d v="2026-06-15T08:28:39" u="1"/>
        <d v="2026-06-15T08:39:02" u="1"/>
        <d v="2026-06-15T14:20:23" u="1"/>
        <d v="2026-06-15T14:21:44" u="1"/>
        <d v="2026-06-17T11:49:38" u="1"/>
        <d v="2026-06-17T11:49:50" u="1"/>
        <d v="2026-06-18T10:26:13" u="1"/>
        <d v="2026-06-18T10:33:34" u="1"/>
        <d v="2026-06-18T14:33:52" u="1"/>
        <d v="2026-06-18T14:34:49" u="1"/>
        <d v="2026-07-02T16:45:44" u="1"/>
        <d v="2026-07-03T07:11:33" u="1"/>
        <d v="2026-07-06T15:29:16" u="1"/>
        <d v="2026-07-06T15:30:13" u="1"/>
        <d v="2026-07-15T11:24:16" u="1"/>
        <d v="2026-07-15T15:47:34" u="1"/>
        <d v="2026-07-15T15:48:09" u="1"/>
        <d v="2026-07-15T15:48:39" u="1"/>
        <d v="2026-07-15T15:49:05" u="1"/>
        <d v="2026-07-15T16:49:50" u="1"/>
        <d v="2026-07-15T16:50:15" u="1"/>
        <d v="2026-07-20T15:48:18" u="1"/>
        <d v="2026-07-20T15:48:29" u="1"/>
        <d v="2026-07-20T17:55:21" u="1"/>
        <d v="2026-07-20T18:00:05" u="1"/>
        <d v="2026-07-21T10:38:35" u="1"/>
        <d v="2026-07-21T10:40:10" u="1"/>
        <d v="2026-07-21T11:26:20" u="1"/>
        <d v="2026-07-21T11:31:12" u="1"/>
        <d v="2026-07-21T16:34:53" u="1"/>
        <d v="2026-07-21T16:35:01" u="1"/>
        <d v="2026-07-23T10:37:21" u="1"/>
        <d v="2026-07-23T10:40:16" u="1"/>
        <d v="2026-07-27T16:29:42" u="1"/>
        <d v="2026-07-27T17:26:27" u="1"/>
        <d v="2026-07-27T17:26:57" u="1"/>
        <d v="2026-07-27T17:27:33" u="1"/>
        <d v="2026-07-27T17:27:47" u="1"/>
        <d v="2026-07-28T14:14:43" u="1"/>
        <d v="2026-07-28T14:15:16" u="1"/>
        <d v="2026-07-29T09:51:11" u="1"/>
        <d v="2026-07-29T09:58:29" u="1"/>
        <d v="2026-07-30T07:25:02" u="1"/>
        <d v="2026-07-30T07:30:19" u="1"/>
        <d v="2026-07-30T11:43:31" u="1"/>
        <d v="2026-07-30T11:43:55" u="1"/>
        <d v="2026-07-30T11:44:39" u="1"/>
        <d v="2026-07-30T11:45:12" u="1"/>
        <d v="2026-08-11T16:34:33" u="1"/>
        <d v="2026-08-12T14:05:58" u="1"/>
        <d v="2026-08-12T14:07:26" u="1"/>
        <d v="2025-06-04T18:09:26" u="1"/>
        <d v="2025-06-10T20:59:32" u="1"/>
        <d v="2025-06-10T20:59:54" u="1"/>
        <d v="2025-06-13T11:48:34" u="1"/>
        <d v="2025-06-25T16:30:27" u="1"/>
        <d v="2025-06-29T18:25:10" u="1"/>
        <d v="2025-06-29T18:25:21" u="1"/>
        <d v="2025-07-11T15:31:45" u="1"/>
        <d v="2025-07-22T11:18:26" u="1"/>
        <d v="2025-07-22T11:36:54" u="1"/>
        <d v="2025-07-25T16:03:40" u="1"/>
        <d v="2025-07-31T19:21:20" u="1"/>
        <d v="2025-07-31T19:48:06" u="1"/>
        <d v="2025-08-06T22:06:22" u="1"/>
        <d v="2025-08-06T22:07:39" u="1"/>
        <d v="2025-08-11T15:10:26" u="1"/>
        <d v="2025-08-25T17:13:43" u="1"/>
        <d v="2025-08-30T18:48:17" u="1"/>
        <d v="2025-08-30T18:48:46" u="1"/>
        <d v="2025-08-30T18:49:49" u="1"/>
        <d v="2025-08-30T18:50:14" u="1"/>
        <d v="2025-09-11T17:54:46" u="1"/>
        <d v="2025-09-22T17:56:46" u="1"/>
        <d v="2025-09-22T22:38:02" u="1"/>
        <d v="2025-09-25T17:45:32" u="1"/>
        <d v="2025-10-08T21:02:38" u="1"/>
        <d v="2025-10-08T21:03:02" u="1"/>
        <d v="2025-10-13T17:02:42" u="1"/>
        <d v="2025-10-17T11:16:51" u="1"/>
        <d v="2025-10-17T11:31:55" u="1"/>
        <d v="2025-10-23T17:59:58" u="1"/>
        <d v="2025-10-24T03:28:32" u="1"/>
        <d v="2025-10-27T16:50:33" u="1"/>
        <d v="2025-10-31T16:23:09" u="1"/>
        <d v="2025-10-31T16:23:39" u="1"/>
        <d v="2025-11-21T18:40:10" u="1"/>
        <d v="2025-11-21T18:40:22" u="1"/>
        <d v="2025-11-25T17:07:48" u="1"/>
        <d v="2025-12-16T18:48:51" u="1"/>
        <d v="2025-12-16T18:49:15" u="1"/>
        <d v="2025-12-29T11:30:17" u="1"/>
        <d v="2025-12-29T11:30:48" u="1"/>
        <d v="2026-01-12T17:21:51" u="1"/>
        <d v="2026-01-20T19:54:37" u="1"/>
        <d v="2026-01-20T19:54:52" u="1"/>
        <d v="2026-01-23T21:52:01" u="1"/>
        <d v="2026-01-23T21:52:24" u="1"/>
        <d v="2026-01-26T14:55:18" u="1"/>
        <d v="2026-02-24T19:31:53" u="1"/>
        <d v="2026-02-25T00:36:14" u="1"/>
        <d v="2026-03-03T19:51:47" u="1"/>
        <d v="2026-03-03T21:37:32" u="1"/>
        <d v="2026-03-11T16:33:31" u="1"/>
        <d v="2026-03-16T15:27:18" u="1"/>
        <d v="2026-03-17T19:51:04" u="1"/>
        <d v="2026-03-17T19:51:24" u="1"/>
        <d v="2026-03-25T17:01:10" u="1"/>
        <d v="2026-04-08T18:04:20" u="1"/>
        <d v="2026-04-08T18:04:55" u="1"/>
        <d v="2026-04-08T18:08:05" u="1"/>
        <d v="2026-04-08T18:08:29" u="1"/>
        <d v="2026-04-11T19:35:16" u="1"/>
        <d v="2026-04-11T19:35:37" u="1"/>
        <d v="2026-04-13T17:43:54" u="1"/>
        <d v="2026-04-27T17:01:41" u="1"/>
        <d v="2026-05-11T16:00:20" u="1"/>
        <d v="2026-05-12T12:57:47" u="1"/>
        <d v="2026-05-12T19:42:13" u="1"/>
        <d v="2026-05-12T19:42:42" u="1"/>
        <d v="2026-05-12T19:44:44" u="1"/>
        <d v="2026-05-12T19:45:01" u="1"/>
        <d v="2026-05-25T15:44:16" u="1"/>
        <d v="2026-06-05T17:33:07" u="1"/>
        <d v="2026-06-05T17:33:53" u="1"/>
        <d v="2026-06-25T15:20:12" u="1"/>
        <d v="2026-06-25T20:27:07" u="1"/>
        <d v="2026-06-25T20:27:31" u="1"/>
        <d v="2026-07-07T21:26:23" u="1"/>
        <d v="2026-07-07T21:27:03" u="1"/>
        <d v="2026-07-13T16:38:42" u="1"/>
        <d v="2026-07-15T20:02:15" u="1"/>
        <d v="2026-07-15T20:02:44" u="1"/>
        <d v="2026-07-27T14:25:18" u="1"/>
        <d v="2026-08-07T12:32:11" u="1"/>
        <d v="2026-08-07T12:32:45" u="1"/>
        <d v="2025-05-26T16:08:56" u="1"/>
        <d v="2025-05-26T17:57:54" u="1"/>
        <d v="2025-05-26T17:58:16" u="1"/>
        <d v="2025-05-26T17:59:24" u="1"/>
        <d v="2025-05-26T17:59:37" u="1"/>
        <d v="2025-05-27T19:44:38" u="1"/>
        <d v="2025-05-27T19:44:53" u="1"/>
        <d v="2025-06-03T13:41:16" u="1"/>
        <d v="2025-06-03T13:42:11" u="1"/>
        <d v="2025-06-11T19:45:28" u="1"/>
        <d v="2025-06-12T09:04:37" u="1"/>
        <d v="2025-06-12T09:04:58" u="1"/>
        <d v="2025-06-12T09:05:58" u="1"/>
        <d v="2025-06-12T09:06:43" u="1"/>
        <d v="2025-06-25T16:43:13" u="1"/>
        <d v="2025-06-26T18:21:47" u="1"/>
        <d v="2025-06-26T18:23:18" u="1"/>
        <d v="2025-06-26T18:33:04" u="1"/>
        <d v="2025-06-26T18:33:35" u="1"/>
        <d v="2025-07-11T16:01:24" u="1"/>
        <d v="2025-07-11T18:08:31" u="1"/>
        <d v="2025-07-11T18:09:39" u="1"/>
        <d v="2025-07-11T18:29:33" u="1"/>
        <d v="2025-07-11T18:29:50" u="1"/>
        <d v="2025-07-14T10:25:37" u="1"/>
        <d v="2025-07-14T10:25:48" u="1"/>
        <d v="2025-07-25T15:57:46" u="1"/>
        <d v="2025-07-25T17:46:49" u="1"/>
        <d v="2025-07-25T17:48:10" u="1"/>
        <d v="2025-07-25T17:49:57" u="1"/>
        <d v="2025-07-25T17:50:26" u="1"/>
        <d v="2025-07-28T15:34:25" u="1"/>
        <d v="2025-07-28T15:57:00" u="1"/>
        <d v="2025-08-11T14:31:55" u="1"/>
        <d v="2025-08-11T17:41:30" u="1"/>
        <d v="2025-08-11T17:49:15" u="1"/>
        <d v="2025-08-25T16:40:15" u="1"/>
        <d v="2025-08-26T09:12:58" u="1"/>
        <d v="2025-08-26T09:14:11" u="1"/>
        <d v="2025-08-26T09:35:31" u="1"/>
        <d v="2025-08-26T09:36:23" u="1"/>
        <d v="2025-09-11T16:37:28" u="1"/>
        <d v="2025-09-12T09:01:42" u="1"/>
        <d v="2025-09-12T09:02:06" u="1"/>
        <d v="2025-09-12T09:02:58" u="1"/>
        <d v="2025-09-12T09:03:25" u="1"/>
        <d v="2025-09-25T16:44:12" u="1"/>
        <d v="2025-09-25T19:16:36" u="1"/>
        <d v="2025-09-25T19:18:16" u="1"/>
        <d v="2025-09-25T19:31:30" u="1"/>
        <d v="2025-09-25T19:32:12" u="1"/>
        <d v="2025-09-26T09:52:52" u="1"/>
        <d v="2025-09-26T09:57:23" u="1"/>
        <d v="2025-10-13T17:17:24" u="1"/>
        <d v="2025-10-13T20:17:57" u="1"/>
        <d v="2025-10-13T20:26:19" u="1"/>
        <d v="2025-10-14T00:32:34" u="1"/>
        <d v="2025-10-14T00:32:35" u="1"/>
        <d v="2025-10-27T14:52:23" u="1"/>
        <d v="2025-10-27T15:09:09" u="1"/>
        <d v="2025-10-27T15:09:36" u="1"/>
        <d v="2025-10-27T15:10:56" u="1"/>
        <d v="2025-10-27T15:11:09" u="1"/>
        <d v="2025-10-28T11:05:18" u="1"/>
        <d v="2025-10-28T11:05:43" u="1"/>
        <d v="2025-11-11T15:41:50" u="1"/>
        <d v="2025-11-11T19:06:24" u="1"/>
        <d v="2025-11-11T19:06:46" u="1"/>
        <d v="2025-11-11T19:08:24" u="1"/>
        <d v="2025-11-11T19:08:53" u="1"/>
        <d v="2025-11-25T16:47:44" u="1"/>
        <d v="2025-11-26T08:40:10" u="1"/>
        <d v="2025-11-26T08:40:26" u="1"/>
        <d v="2025-11-26T08:41:23" u="1"/>
        <d v="2025-11-26T08:41:43" u="1"/>
        <d v="2025-12-08T11:15:13" u="1"/>
        <d v="2025-12-08T11:15:45" u="1"/>
        <d v="2025-12-11T14:38:40" u="1"/>
        <d v="2025-12-15T16:07:43" u="1"/>
        <d v="2025-12-15T16:08:08" u="1"/>
        <d v="2026-01-09T16:53:40" u="1"/>
        <d v="2026-01-10T15:30:42" u="1"/>
        <d v="2026-01-10T15:31:03" u="1"/>
        <d v="2026-01-10T15:32:13" u="1"/>
        <d v="2026-01-10T15:32:25" u="1"/>
        <d v="2026-01-12T18:05:34" u="1"/>
        <d v="2026-01-13T10:31:17" u="1"/>
        <d v="2026-01-13T10:31:46" u="1"/>
        <d v="2026-01-13T10:32:37" u="1"/>
        <d v="2026-01-13T10:32:53" u="1"/>
        <d v="2026-01-26T14:43:58" u="1"/>
        <d v="2026-01-27T09:12:24" u="1"/>
        <d v="2026-01-27T09:12:52" u="1"/>
        <d v="2026-01-27T09:13:48" u="1"/>
        <d v="2026-01-27T09:14:06" u="1"/>
        <d v="2026-01-28T10:08:02" u="1"/>
        <d v="2026-01-28T10:08:49" u="1"/>
        <d v="2025-05-28T10:37:53" u="1"/>
        <d v="2025-06-11T17:57:52" u="1"/>
        <d v="2025-06-16T18:05:58" u="1"/>
        <d v="2025-06-16T18:06:56" u="1"/>
        <d v="2025-06-16T18:20:25" u="1"/>
        <d v="2025-06-16T18:20:37" u="1"/>
        <d v="2025-06-25T16:57:30" u="1"/>
        <d v="2025-06-26T17:30:34" u="1"/>
        <d v="2025-06-26T18:11:16" u="1"/>
        <d v="2025-07-11T15:49:54" u="1"/>
        <d v="2025-07-11T16:56:09" u="1"/>
        <d v="2025-07-11T16:57:14" u="1"/>
        <d v="2025-07-11T17:09:53" u="1"/>
        <d v="2025-07-11T17:10:20" u="1"/>
        <d v="2025-07-25T15:59:27" u="1"/>
        <d v="2025-07-31T11:53:39" u="1"/>
        <d v="2025-07-31T11:54:48" u="1"/>
        <d v="2025-07-31T12:02:09" u="1"/>
        <d v="2025-07-31T12:02:36" u="1"/>
        <d v="2025-09-11T16:30:27" u="1"/>
        <d v="2025-09-13T16:21:29" u="1"/>
        <d v="2025-09-13T16:21:57" u="1"/>
        <d v="2025-09-13T16:23:30" u="1"/>
        <d v="2025-09-13T16:23:57" u="1"/>
        <d v="2025-09-25T16:57:21" u="1"/>
        <d v="2025-09-25T17:57:00" u="1"/>
        <d v="2025-09-25T17:57:59" u="1"/>
        <d v="2025-09-25T17:59:59" u="1"/>
        <d v="2025-09-25T18:00:48" u="1"/>
        <d v="2025-10-13T16:48:42" u="1"/>
        <d v="2025-10-14T16:08:09" u="1"/>
        <d v="2025-10-14T16:08:48" u="1"/>
        <d v="2025-10-14T16:09:15" u="1"/>
        <d v="2025-10-14T16:09:38" u="1"/>
        <d v="2025-10-27T16:17:48" u="1"/>
        <d v="2025-10-29T10:23:58" u="1"/>
        <d v="2025-10-29T10:24:14" u="1"/>
        <d v="2025-10-29T10:25:00" u="1"/>
        <d v="2025-10-29T10:25:20" u="1"/>
        <d v="2025-11-25T16:41:59" u="1"/>
        <d v="2025-11-26T10:18:51" u="1"/>
        <d v="2025-11-26T10:19:27" u="1"/>
        <d v="2025-12-11T15:34:05" u="1"/>
        <d v="2025-12-12T12:34:58" u="1"/>
        <d v="2025-12-12T12:35:20" u="1"/>
        <d v="2025-12-12T12:36:08" u="1"/>
        <d v="2025-12-12T12:36:21" u="1"/>
        <d v="2026-01-12T17:51:38" u="1"/>
        <d v="2026-01-12T19:15:18" u="1"/>
        <d v="2026-01-12T19:15:49" u="1"/>
        <d v="2026-01-12T19:16:24" u="1"/>
        <d v="2026-01-12T19:16:39" u="1"/>
        <d v="2026-01-14T09:00:06" u="1"/>
        <d v="2026-01-14T09:00:31" u="1"/>
        <d v="2026-01-14T16:38:20" u="1"/>
        <d v="2026-01-14T16:57:46" u="1"/>
        <d v="2026-01-26T15:07:14" u="1"/>
        <d v="2026-01-28T11:27:33" u="1"/>
        <d v="2026-01-28T11:27:51" u="1"/>
        <d v="2026-01-28T11:28:37" u="1"/>
        <d v="2026-01-28T11:29:02" u="1"/>
        <d v="2026-02-25T15:00:51" u="1"/>
        <d v="2026-02-26T13:52:15" u="1"/>
        <d v="2026-02-26T13:52:40" u="1"/>
        <d v="2026-02-26T13:54:31" u="1"/>
        <d v="2026-02-26T13:54:45" u="1"/>
        <d v="2026-02-26T21:22:41" u="1"/>
        <d v="2026-02-26T21:22:57" u="1"/>
        <d v="2026-03-11T17:38:15" u="1"/>
        <d v="2026-03-16T16:26:32" u="1"/>
        <d v="2026-03-25T17:05:51" u="1"/>
        <d v="2026-03-27T11:49:03" u="1"/>
        <d v="2026-03-27T11:49:29" u="1"/>
        <d v="2026-03-27T11:50:24" u="1"/>
        <d v="2026-03-27T11:50:47" u="1"/>
        <d v="2026-04-13T17:51:16" u="1"/>
        <d v="2026-04-15T13:35:01" u="1"/>
        <d v="2026-04-15T13:35:37" u="1"/>
        <d v="2026-04-27T17:12:41" u="1"/>
        <d v="2026-04-28T17:04:31" u="1"/>
        <d v="2026-04-28T17:05:00" u="1"/>
        <d v="2026-05-11T16:07:27" u="1"/>
        <d v="2026-05-14T17:54:39" u="1"/>
        <d v="2026-05-14T17:54:56" u="1"/>
        <d v="2026-05-25T15:57:15" u="1"/>
        <d v="2026-05-27T18:12:53" u="1"/>
        <d v="2026-05-27T18:13:20" u="1"/>
        <d v="2026-05-27T18:16:19" u="1"/>
        <d v="2026-05-27T18:16:48" u="1"/>
        <d v="2026-05-27T18:20:03" u="1"/>
        <d v="2026-05-27T18:20:17" u="1"/>
        <d v="2026-06-11T14:27:45" u="1"/>
        <d v="2026-06-30T11:25:16" u="1"/>
        <d v="2026-06-30T11:25:56" u="1"/>
        <d v="2026-07-13T16:21:05" u="1"/>
        <d v="2026-07-15T15:12:42" u="1"/>
        <d v="2026-07-15T15:12:58" u="1"/>
      </sharedItems>
      <fieldGroup par="9"/>
    </cacheField>
    <cacheField name="Hora" numFmtId="0">
      <sharedItems/>
    </cacheField>
    <cacheField name="Código de Transação" numFmtId="0">
      <sharedItems/>
    </cacheField>
    <cacheField name="Usuário" numFmtId="0">
      <sharedItems/>
    </cacheField>
    <cacheField name="Tipo" numFmtId="0">
      <sharedItems count="7">
        <s v="Carga"/>
        <s v="Compra"/>
        <s v="Saque"/>
        <s v="Taxa"/>
        <s v="Transferência"/>
        <s v="Estorno" u="1"/>
        <s v="Pix" u="1"/>
      </sharedItems>
    </cacheField>
    <cacheField name="Descrição" numFmtId="164">
      <sharedItems/>
    </cacheField>
    <cacheField name="Valor" numFmtId="44">
      <sharedItems containsSemiMixedTypes="0" containsString="0" containsNumber="1" minValue="-990" maxValue="928.51"/>
    </cacheField>
    <cacheField name="Meses (Data)" numFmtId="0" databaseField="0">
      <fieldGroup base="0">
        <rangePr groupBy="months" startDate="2025-06-12T09:50:19" endDate="2026-08-11T16:39:19"/>
        <groupItems count="14">
          <s v="&lt;12/06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8/2026"/>
        </groupItems>
      </fieldGroup>
    </cacheField>
    <cacheField name="Trimestres (Data)" numFmtId="0" databaseField="0">
      <fieldGroup base="0">
        <rangePr groupBy="quarters" startDate="2025-06-12T09:50:19" endDate="2026-08-11T16:39:19"/>
        <groupItems count="6">
          <s v="&lt;12/06/2025"/>
          <s v="Trim1"/>
          <s v="Trim2"/>
          <s v="Trim3"/>
          <s v="Trim4"/>
          <s v="&gt;11/08/2026"/>
        </groupItems>
      </fieldGroup>
    </cacheField>
    <cacheField name="Anos (Data)" numFmtId="0" databaseField="0">
      <fieldGroup base="0">
        <rangePr groupBy="years" startDate="2025-06-12T09:50:19" endDate="2026-08-11T16:39:19"/>
        <groupItems count="4">
          <s v="&lt;12/06/2025"/>
          <s v="2025"/>
          <s v="2026"/>
          <s v="&gt;11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09:50:19"/>
    <s v="0C3B570303849BC4A72F4BCFD13FA6F7"/>
    <s v="Adan Leonardo Souza Batista"/>
    <x v="0"/>
    <s v="Transf. EQS &gt; Adan L. S. Batista"/>
    <n v="710.2"/>
  </r>
  <r>
    <x v="1"/>
    <s v="15:16:21"/>
    <s v="9D43DD1009F3EFB87C0C4B2DFBD85CC4"/>
    <s v="Adan Leonardo Souza Batista"/>
    <x v="0"/>
    <s v="Transf. EQS &gt; Adan L. S. Batista"/>
    <n v="0.01"/>
  </r>
  <r>
    <x v="2"/>
    <s v="14:16:01"/>
    <s v="B61070AC8A6B54085D34D05B2A108CE0"/>
    <s v="Adan Leonardo Souza Batista"/>
    <x v="1"/>
    <s v="PARAFUSOS"/>
    <n v="-188"/>
  </r>
  <r>
    <x v="3"/>
    <s v="14:52:59"/>
    <s v="4F3603994CBF3938EE0E991CFB04A609"/>
    <s v="Adan Leonardo Souza Batista"/>
    <x v="1"/>
    <s v="CASA DAS BORRACHAS"/>
    <n v="-62"/>
  </r>
  <r>
    <x v="4"/>
    <s v="07:10:13"/>
    <s v="BA65662670CCA3F0557D36AFD7C30E4C"/>
    <s v="Adan Leonardo Souza Batista"/>
    <x v="1"/>
    <s v="PAOZINHO BAIANINHO"/>
    <n v="-280"/>
  </r>
  <r>
    <x v="5"/>
    <s v="09:05:13"/>
    <s v="F1E723F50D61094AD02362A50D503F07"/>
    <s v="Adan Leonardo Souza Batista"/>
    <x v="1"/>
    <s v="GAL FERRO"/>
    <n v="-61.2"/>
  </r>
  <r>
    <x v="6"/>
    <s v="16:20:08"/>
    <s v="B731C54AF6E6CE4D9F1D8B0C57B7BBB1"/>
    <s v="Adan Leonardo Souza Batista"/>
    <x v="0"/>
    <s v="Transf. EQS &gt; Adan L. S. Batista"/>
    <n v="519.79"/>
  </r>
  <r>
    <x v="7"/>
    <s v="09:34:18"/>
    <s v="6BD2921B5931E50F44FD4E895A4D0A62"/>
    <s v="Adan Leonardo Souza Batista"/>
    <x v="1"/>
    <s v="SHELL PARAFUSOS"/>
    <n v="-65"/>
  </r>
  <r>
    <x v="8"/>
    <s v="11:50:42"/>
    <s v="1DA07685294457428A83016428CBF5C3"/>
    <s v="Adan Leonardo Souza Batista"/>
    <x v="1"/>
    <s v="JmImperioDas"/>
    <n v="-35"/>
  </r>
  <r>
    <x v="9"/>
    <s v="14:05:31"/>
    <s v="15628BE4123F955052454CCC7C8BC446"/>
    <s v="Adan Leonardo Souza Batista"/>
    <x v="1"/>
    <s v="MARIA DAS GRACAS GREG"/>
    <n v="-87.8"/>
  </r>
  <r>
    <x v="10"/>
    <s v="14:58:06"/>
    <s v="09126BFFCBF5AE7D8A2FC0C25C470260"/>
    <s v="Adan Leonardo Souza Batista"/>
    <x v="1"/>
    <s v="PARAFUSOS"/>
    <n v="-66"/>
  </r>
  <r>
    <x v="11"/>
    <s v="15:03:13"/>
    <s v="778684454AD965EA7B791060349B994C"/>
    <s v="Adan Leonardo Souza Batista"/>
    <x v="1"/>
    <s v="TeaTintasE"/>
    <n v="-21"/>
  </r>
  <r>
    <x v="12"/>
    <s v="08:48:05"/>
    <s v="27F15FB20FAA41FB988648464AAFDC5F"/>
    <s v="Adan Leonardo Souza Batista"/>
    <x v="1"/>
    <s v="TeaTintasE"/>
    <n v="-41"/>
  </r>
  <r>
    <x v="13"/>
    <s v="16:00:09"/>
    <s v="E3C56CBBE897D3B4D4693CA717114DC2"/>
    <s v="Adan Leonardo Souza Batista"/>
    <x v="2"/>
    <s v="TECBAN-ATAKAREJO VIA E"/>
    <n v="-100"/>
  </r>
  <r>
    <x v="14"/>
    <s v="16:19:25"/>
    <s v="45A062BE26B5CA2728394C600CF5A5FD"/>
    <s v="Adan Leonardo Souza Batista"/>
    <x v="3"/>
    <s v="Taxa de saque"/>
    <n v="-7"/>
  </r>
  <r>
    <x v="15"/>
    <s v="16:20:48"/>
    <s v="D018201BA7C2885B1542537F82DBBB97"/>
    <s v="Adan Leonardo Souza Batista"/>
    <x v="1"/>
    <s v="PARAFUSOS"/>
    <n v="-69"/>
  </r>
  <r>
    <x v="16"/>
    <s v="12:45:15"/>
    <s v="0066B09814E14CE045C3FA537F54EB2E"/>
    <s v="Adan Leonardo Souza Batista"/>
    <x v="1"/>
    <s v="MARIA DAS GRACAS GREG"/>
    <n v="-79.8"/>
  </r>
  <r>
    <x v="17"/>
    <s v="14:36:11"/>
    <s v="3D5B7576C4D912DD9F6AF54E4718B98A"/>
    <s v="Adan Leonardo Souza Batista"/>
    <x v="1"/>
    <s v="TIM"/>
    <n v="-15"/>
  </r>
  <r>
    <x v="18"/>
    <s v="14:44:35"/>
    <s v="56CFAB8A737F769A22ED05F647F9934C"/>
    <s v="Adan Leonardo Souza Batista"/>
    <x v="0"/>
    <s v="Transf. EQS &gt; Adan L. S. Batista"/>
    <n v="647.79999999999995"/>
  </r>
  <r>
    <x v="19"/>
    <s v="08:56:02"/>
    <s v="5788B97CD7C70B9168E97B5BF24F13AD"/>
    <s v="Adan Leonardo Souza Batista"/>
    <x v="1"/>
    <s v="23485123Solange"/>
    <n v="-110"/>
  </r>
  <r>
    <x v="20"/>
    <s v="13:57:34"/>
    <s v="22E9EAD149E15FFF2F138AC9D3786BA4"/>
    <s v="Adan Leonardo Souza Batista"/>
    <x v="1"/>
    <s v="PARAFUSOS"/>
    <n v="-120"/>
  </r>
  <r>
    <x v="21"/>
    <s v="11:30:13"/>
    <s v="97797E5238F517802B76247D4748C909"/>
    <s v="Adan Leonardo Souza Batista"/>
    <x v="1"/>
    <s v="FERREIRA COSTA"/>
    <n v="-51.4"/>
  </r>
  <r>
    <x v="22"/>
    <s v="12:23:12"/>
    <s v="130D27B5182EFDCAD13C62D550FE1929"/>
    <s v="Adan Leonardo Souza Batista"/>
    <x v="1"/>
    <s v="ATLANTIDA COMERCIO"/>
    <n v="-94.5"/>
  </r>
  <r>
    <x v="23"/>
    <s v="08:43:03"/>
    <s v="DE5548220B0A78A8AEF18A7FAD17BE7F"/>
    <s v="Adan Leonardo Souza Batista"/>
    <x v="1"/>
    <s v="PARAFUSOS"/>
    <n v="-62"/>
  </r>
  <r>
    <x v="24"/>
    <s v="09:46:43"/>
    <s v="D60A20531D52467C091C23BF5A2C98E6"/>
    <s v="Adan Leonardo Souza Batista"/>
    <x v="1"/>
    <s v="EdsonInacioSouza"/>
    <n v="-3"/>
  </r>
  <r>
    <x v="25"/>
    <s v="14:55:47"/>
    <s v="C3810553017F2E50B85A04C0E34E29B4"/>
    <s v="Adan Leonardo Souza Batista"/>
    <x v="1"/>
    <s v="FRIGELAR - FILIAL 35"/>
    <n v="-42.28"/>
  </r>
  <r>
    <x v="26"/>
    <s v="16:57:41"/>
    <s v="C0E4BEE4F1BE6DEC25F20CD2A1537173"/>
    <s v="Adan Leonardo Souza Batista"/>
    <x v="0"/>
    <s v="Transf. EQS &gt; Adan L. S. Batista"/>
    <n v="483.18"/>
  </r>
  <r>
    <x v="27"/>
    <s v="10:44:05"/>
    <s v="2549173D454B2D1FF312A4DBDD545E59"/>
    <s v="Adan Leonardo Souza Batista"/>
    <x v="1"/>
    <s v="MP *PEDROCAETANOD"/>
    <n v="-260"/>
  </r>
  <r>
    <x v="28"/>
    <s v="15:09:30"/>
    <s v="1954EB8D6C9C9A0EFF747E924B31983D"/>
    <s v="Adan Leonardo Souza Batista"/>
    <x v="1"/>
    <s v="PARAFUSOS"/>
    <n v="-230"/>
  </r>
  <r>
    <x v="29"/>
    <s v="11:24:35"/>
    <s v="3192519701DF66E3B75F2D963B5A5691"/>
    <s v="Adan Leonardo Souza Batista"/>
    <x v="1"/>
    <s v="AndersonOliveiraS"/>
    <n v="-8"/>
  </r>
  <r>
    <x v="30"/>
    <s v="11:35:32"/>
    <s v="7BD4A5E8835F04EBDF5119E01DAFF705"/>
    <s v="Adan Leonardo Souza Batista"/>
    <x v="1"/>
    <s v="ELETRICA BAHIANA"/>
    <n v="-62.18"/>
  </r>
  <r>
    <x v="31"/>
    <s v="11:32:45"/>
    <s v="A5215F0D4A801AFAAAA9FB5299AA6CD0"/>
    <s v="Adan Leonardo Souza Batista"/>
    <x v="1"/>
    <s v="EdsonInacioSouza"/>
    <n v="-21.5"/>
  </r>
  <r>
    <x v="32"/>
    <s v="14:23:37"/>
    <s v="6DAFEA1EC1FB9063B50929E891FB2E43"/>
    <s v="Adan Leonardo Souza Batista"/>
    <x v="1"/>
    <s v="MARIA DAS GRACAS GREG"/>
    <n v="-69.8"/>
  </r>
  <r>
    <x v="33"/>
    <s v="14:48:45"/>
    <s v="187E1E1D907E2B17114242E38EAFD196"/>
    <s v="Adan Leonardo Souza Batista"/>
    <x v="1"/>
    <s v="GDM MATERIAIS DE LIMPE"/>
    <n v="-36"/>
  </r>
  <r>
    <x v="34"/>
    <s v="16:42:32"/>
    <s v="D0B2B3609E1F0FC8A32C40A64EECCE1F"/>
    <s v="Adan Leonardo Souza Batista"/>
    <x v="0"/>
    <s v="Transf. EQS &gt; Adan L. S. Batista"/>
    <n v="687.48"/>
  </r>
  <r>
    <x v="35"/>
    <s v="10:52:37"/>
    <s v="9E34E2667EFDD706D4E031D5571AB9FA"/>
    <s v="Adan Leonardo Souza Batista"/>
    <x v="2"/>
    <s v="TECBAN-ATAKAREJO PARAL"/>
    <n v="-150"/>
  </r>
  <r>
    <x v="36"/>
    <s v="10:52:55"/>
    <s v="80543AE75D00D62A19F4B5BA6D6455C1"/>
    <s v="Adan Leonardo Souza Batista"/>
    <x v="3"/>
    <s v="Taxa de saque"/>
    <n v="-7"/>
  </r>
  <r>
    <x v="37"/>
    <s v="11:45:40"/>
    <s v="1ED36B861AFF097FE734DA10C09123B0"/>
    <s v="Adan Leonardo Souza Batista"/>
    <x v="1"/>
    <s v="MARIA DAS GRACAS GREG"/>
    <n v="-139.6"/>
  </r>
  <r>
    <x v="38"/>
    <s v="16:58:59"/>
    <s v="7459249DB7376989971572D26F0A9E5B"/>
    <s v="Adan Leonardo Souza Batista"/>
    <x v="1"/>
    <s v="FERREIRA COSTA"/>
    <n v="-129.69999999999999"/>
  </r>
  <r>
    <x v="39"/>
    <s v="12:42:31"/>
    <s v="FF4AB3AA726FA3E96E85CA6797538B0B"/>
    <s v="Adan Leonardo Souza Batista"/>
    <x v="1"/>
    <s v="EdsonInacioSouza"/>
    <n v="-5.7"/>
  </r>
  <r>
    <x v="40"/>
    <s v="17:23:27"/>
    <s v="A5A8900B3EC8B5411095B6DD0A67D460"/>
    <s v="Adan Leonardo Souza Batista"/>
    <x v="0"/>
    <s v="Transf. EQS &gt; Adan L. S. Batista"/>
    <n v="426.3"/>
  </r>
  <r>
    <x v="41"/>
    <s v="11:28:11"/>
    <s v="E37C03E520CF237596B5616BEACD91D4"/>
    <s v="Adan Leonardo Souza Batista"/>
    <x v="1"/>
    <s v="OXIGENIO MARES EIRELI"/>
    <n v="-130"/>
  </r>
  <r>
    <x v="42"/>
    <s v="12:12:23"/>
    <s v="F0FFDD7609C958734EC70915DACD8133"/>
    <s v="Adan Leonardo Souza Batista"/>
    <x v="1"/>
    <s v="PARAFUSOS"/>
    <n v="-242"/>
  </r>
  <r>
    <x v="43"/>
    <s v="14:23:14"/>
    <s v="23B23C27791E92D190EBDD6D222C2684"/>
    <s v="Adan Leonardo Souza Batista"/>
    <x v="1"/>
    <s v="TBI TARUGOS BUCHAS E M"/>
    <n v="-244"/>
  </r>
  <r>
    <x v="44"/>
    <s v="14:46:43"/>
    <s v="0C56C7AF7D05D44A17BDBC8E693CB2C3"/>
    <s v="Adan Leonardo Souza Batista"/>
    <x v="1"/>
    <s v="J C BOULLOSA"/>
    <n v="-77.98"/>
  </r>
  <r>
    <x v="45"/>
    <s v="16:48:32"/>
    <s v="6609276EE729D146581D62A75BCDBC39"/>
    <s v="Adan Leonardo Souza Batista"/>
    <x v="0"/>
    <s v="Transf. EQS &gt; Adan L. S. Batista"/>
    <n v="692.48"/>
  </r>
  <r>
    <x v="46"/>
    <s v="12:05:22"/>
    <s v="C1BA8D6A82469EA7B06E3BEE3BDB7AE6"/>
    <s v="Adan Leonardo Souza Batista"/>
    <x v="1"/>
    <s v="PARAFUSOS"/>
    <n v="-30"/>
  </r>
  <r>
    <x v="47"/>
    <s v="11:55:15"/>
    <s v="8AF429CCB779243D2C397B353D25DC3E"/>
    <s v="Adan Leonardo Souza Batista"/>
    <x v="1"/>
    <s v="Dilmaracamarada"/>
    <n v="-130"/>
  </r>
  <r>
    <x v="48"/>
    <s v="15:17:28"/>
    <s v="83E44A3E726E99304E20D77A2270CF7B"/>
    <s v="Adan Leonardo Souza Batista"/>
    <x v="1"/>
    <s v="FRIGELAR - FILIAL 35"/>
    <n v="-177.14"/>
  </r>
  <r>
    <x v="49"/>
    <s v="10:16:09"/>
    <s v="2D8018423A23EE8257CA700AE5CFAA0D"/>
    <s v="Adan Leonardo Souza Batista"/>
    <x v="1"/>
    <s v="FRIGELAR - FILIAL 35"/>
    <n v="-126.62"/>
  </r>
  <r>
    <x v="50"/>
    <s v="10:38:52"/>
    <s v="8F0B95446F78A6780AB83BCFA9BFEC65"/>
    <s v="Adan Leonardo Souza Batista"/>
    <x v="1"/>
    <s v="REI DO PAO"/>
    <n v="-9.15"/>
  </r>
  <r>
    <x v="51"/>
    <s v="11:04:08"/>
    <s v="1DA727C720D40CD12326E8C36D7079DC"/>
    <s v="Adan Leonardo Souza Batista"/>
    <x v="1"/>
    <s v="Dilmaracamarada"/>
    <n v="-130"/>
  </r>
  <r>
    <x v="52"/>
    <s v="16:59:04"/>
    <s v="87495A0E1B20D6D06650081BFBEA4299"/>
    <s v="Adan Leonardo Souza Batista"/>
    <x v="0"/>
    <s v="Transf. EQS &gt; Adan L. S. Batista"/>
    <n v="610.11"/>
  </r>
  <r>
    <x v="53"/>
    <s v="08:41:38"/>
    <s v="E566C9B958A31ABD16DF1D3AA6087B55"/>
    <s v="Adan Leonardo Souza Batista"/>
    <x v="1"/>
    <s v="CASA ELOY"/>
    <n v="-118.7"/>
  </r>
  <r>
    <x v="54"/>
    <s v="08:58:45"/>
    <s v="269F06320995FB8403D79F496FE9A516"/>
    <s v="Adan Leonardo Souza Batista"/>
    <x v="1"/>
    <s v="Filial 017"/>
    <n v="-255.89"/>
  </r>
  <r>
    <x v="55"/>
    <s v="14:44:24"/>
    <s v="5B4342442D513636CC87392829C7DE92"/>
    <s v="Adan Leonardo Souza Batista"/>
    <x v="1"/>
    <s v="AndersonOliveiraS"/>
    <n v="-112"/>
  </r>
  <r>
    <x v="56"/>
    <s v="10:41:54"/>
    <s v="98E04DE6A05DD7166C1B1ED9B762BA2D"/>
    <s v="Adan Leonardo Souza Batista"/>
    <x v="1"/>
    <s v="CLIMTEM SOLUCOES EM MA"/>
    <n v="-45"/>
  </r>
  <r>
    <x v="57"/>
    <s v="14:04:57"/>
    <s v="A396CA5D2E78DE1536B0A06E824E1325"/>
    <s v="Adan Leonardo Souza Batista"/>
    <x v="4"/>
    <s v="Transf. Adan L. S. Batista &gt; EQS"/>
    <n v="-168.41"/>
  </r>
  <r>
    <x v="58"/>
    <s v="14:06:58"/>
    <s v="35B0A9A34DCD522C019A51741AB418FE"/>
    <s v="Adan Leonardo Souza Batista"/>
    <x v="0"/>
    <s v="Transf. REGIONAL BA &gt; Adan L. S. Batista"/>
    <n v="168.41"/>
  </r>
  <r>
    <x v="59"/>
    <s v="16:33:31"/>
    <s v="EB6224BAF0AE79461FBF2298A4CC8FEA"/>
    <s v="Adan Leonardo Souza Batista"/>
    <x v="0"/>
    <s v="Transf. REGIONAL BA &gt; Adan L. S. Batista"/>
    <n v="524.39"/>
  </r>
  <r>
    <x v="60"/>
    <s v="09:53:00"/>
    <s v="8C1D7EC0622D97500AD86ADF3314969D"/>
    <s v="Adan Leonardo Souza Batista"/>
    <x v="1"/>
    <s v="Filial 017"/>
    <n v="-197.2"/>
  </r>
  <r>
    <x v="61"/>
    <s v="09:39:30"/>
    <s v="CF482FD21ADAE10EE8958667E051413B"/>
    <s v="Adan Leonardo Souza Batista"/>
    <x v="1"/>
    <s v="PARAFUSOS"/>
    <n v="-90"/>
  </r>
  <r>
    <x v="62"/>
    <s v="14:37:37"/>
    <s v="1304CDB1B31F9278809AFD2A6F182EF8"/>
    <s v="Adan Leonardo Souza Batista"/>
    <x v="2"/>
    <s v="TECBAN-ATAKAREJO VIA E"/>
    <n v="-200"/>
  </r>
  <r>
    <x v="63"/>
    <s v="14:37:49"/>
    <s v="FC0609D803C316F21E2BE8B829E11F24"/>
    <s v="Adan Leonardo Souza Batista"/>
    <x v="3"/>
    <s v="Taxa de saque"/>
    <n v="-7"/>
  </r>
  <r>
    <x v="64"/>
    <s v="17:01:30"/>
    <s v="C3F155EFFCCEABA34D2B66CC1B7A63D7"/>
    <s v="Adan Leonardo Souza Batista"/>
    <x v="0"/>
    <s v="Transf. REGIONAL BA &gt; Adan L. S. Batista"/>
    <n v="431.4"/>
  </r>
  <r>
    <x v="65"/>
    <s v="09:59:48"/>
    <s v="C9D4BEC39F3B9EBC09C969121BC1DAA8"/>
    <s v="Adan Leonardo Souza Batista"/>
    <x v="1"/>
    <s v="GELOMAQ REFRIGERACAO A"/>
    <n v="-151.85"/>
  </r>
  <r>
    <x v="66"/>
    <s v="11:59:20"/>
    <s v="C22E7DE8014913F269F6CBF7590C015C"/>
    <s v="Adan Leonardo Souza Batista"/>
    <x v="1"/>
    <s v="PARAFUSOS"/>
    <n v="-250"/>
  </r>
  <r>
    <x v="67"/>
    <s v="16:12:18"/>
    <s v="2E8360F0DF14822457B16EAC1B84DC01"/>
    <s v="Adan Leonardo Souza Batista"/>
    <x v="0"/>
    <s v="Transf. REGIONAL BA &gt; Adan L. S. Batista"/>
    <n v="154.65"/>
  </r>
  <r>
    <x v="68"/>
    <s v="10:33:39"/>
    <s v="2B2D9A7EBBC3F86D1E23C57E823C0E36"/>
    <s v="Adan Leonardo Souza Batista"/>
    <x v="1"/>
    <s v="OxigenioMares"/>
    <n v="-130"/>
  </r>
  <r>
    <x v="69"/>
    <s v="09:41:25"/>
    <s v="2862896BB43DF43796ADED9BEDB28B6E"/>
    <s v="Adan Leonardo Souza Batista"/>
    <x v="1"/>
    <s v="Filial 017"/>
    <n v="-134.03"/>
  </r>
  <r>
    <x v="70"/>
    <s v="12:01:15"/>
    <s v="364F842233C4C7290C3DE2935562260F"/>
    <s v="Adan Leonardo Souza Batista"/>
    <x v="1"/>
    <s v="FRIGELAR - FILIAL 35"/>
    <n v="-39.229999999999997"/>
  </r>
  <r>
    <x v="71"/>
    <s v="12:29:53"/>
    <s v="B43A2EF1C57F53F89834A924F213739E"/>
    <s v="Adan Leonardo Souza Batista"/>
    <x v="1"/>
    <s v="SHELL PARAFUSOS"/>
    <n v="-15"/>
  </r>
  <r>
    <x v="72"/>
    <s v="08:08:50"/>
    <s v="856EDDF8B67E7B75DA68465254E096B9"/>
    <s v="Adan Leonardo Souza Batista"/>
    <x v="0"/>
    <s v="Transf. REGIONAL BA &gt; Adan L. S. Batista"/>
    <n v="584.03"/>
  </r>
  <r>
    <x v="73"/>
    <s v="13:33:41"/>
    <s v="A0F1103F56441EB0F243B2B67E8EEE35"/>
    <s v="Adan Leonardo Souza Batista"/>
    <x v="2"/>
    <s v="TECBAN-ATAKAREJO VIA E"/>
    <n v="-400"/>
  </r>
  <r>
    <x v="74"/>
    <s v="13:34:12"/>
    <s v="7329FE7E9CDF8753E0D2DC4BDCD692A5"/>
    <s v="Adan Leonardo Souza Batista"/>
    <x v="3"/>
    <s v="Taxa de saque"/>
    <n v="-7"/>
  </r>
  <r>
    <x v="75"/>
    <s v="13:55:42"/>
    <s v="16B1C4A09B85C4D56D095DA15C4401DF"/>
    <s v="Adan Leonardo Souza Batista"/>
    <x v="1"/>
    <s v="ELETROBAHIA"/>
    <n v="-207.51"/>
  </r>
  <r>
    <x v="76"/>
    <s v="14:43:07"/>
    <s v="17E9253143CAA22867A4C6A70266CACE"/>
    <s v="Adan Leonardo Souza Batista"/>
    <x v="0"/>
    <s v="Transf. REGIONAL BA &gt; Adan L. S. Batista"/>
    <n v="665.94"/>
  </r>
  <r>
    <x v="77"/>
    <s v="11:27:50"/>
    <s v="3401B06FF2571609EBFCE7A77D060832"/>
    <s v="Adan Leonardo Souza Batista"/>
    <x v="1"/>
    <s v="ATACADAO 923 AS"/>
    <n v="-26.65"/>
  </r>
  <r>
    <x v="78"/>
    <s v="14:42:03"/>
    <s v="3CC6B56F70FE28DE85F07554A2953DAD"/>
    <s v="Adan Leonardo Souza Batista"/>
    <x v="1"/>
    <s v="Filial 017"/>
    <n v="-171.86"/>
  </r>
  <r>
    <x v="79"/>
    <s v="11:58:47"/>
    <s v="92AD53F4C14909A20263ED041C19FF32"/>
    <s v="Adan Leonardo Souza Batista"/>
    <x v="1"/>
    <s v="JIM.COM* OXIGENIO MARE"/>
    <n v="-140"/>
  </r>
  <r>
    <x v="80"/>
    <s v="11:55:32"/>
    <s v="8B48AE38197CFDD9642CE32528E58BE5"/>
    <s v="Adan Leonardo Souza Batista"/>
    <x v="1"/>
    <s v="OXIGENIO EM CASA"/>
    <n v="-95"/>
  </r>
  <r>
    <x v="81"/>
    <s v="11:06:42"/>
    <s v="6A47EF30CC9AA3CED1E1F2B7A5FFE9C4"/>
    <s v="Adan Leonardo Souza Batista"/>
    <x v="1"/>
    <s v="Filial 017"/>
    <n v="-113"/>
  </r>
  <r>
    <x v="82"/>
    <s v="13:29:23"/>
    <s v="8F902F0CAC0D0F8256E3F553DFC19C5F"/>
    <s v="Adan Leonardo Souza Batista"/>
    <x v="4"/>
    <s v="Transf. Adan L. S. Batista &gt; REGIONAL BA"/>
    <n v="-153.49"/>
  </r>
  <r>
    <x v="83"/>
    <s v="13:37:01"/>
    <s v="8B361299914185E39422DDEC4E66B0A1"/>
    <s v="Adan Leonardo Souza Batista"/>
    <x v="0"/>
    <s v="Transf. REGIONAL NE &gt; Adan L. S. Batista"/>
    <n v="153.49"/>
  </r>
  <r>
    <x v="84"/>
    <s v="15:26:47"/>
    <s v="61C096B8E39139D0D8DA87F43A60AC55"/>
    <s v="Adan Leonardo Souza Batista"/>
    <x v="0"/>
    <s v="Transf. REGIONAL NE &gt; Adan L. S. Batista"/>
    <n v="136.61000000000001"/>
  </r>
  <r>
    <x v="85"/>
    <s v="10:36:57"/>
    <s v="44DA4BCFE41DF1C89C29F12F7453CA19"/>
    <s v="Adan Leonardo Souza Batista"/>
    <x v="4"/>
    <s v="Transf. Adan L. S. Batista &gt; REGIONAL NE"/>
    <n v="-290.10000000000002"/>
  </r>
  <r>
    <x v="86"/>
    <s v="14:35:43"/>
    <s v="9AAF477293D9032643D737E3122A4CA1"/>
    <s v="Adan Leonardo Souza Batista"/>
    <x v="0"/>
    <s v="Transf. REGIONAL NE &gt; Adan L. S. Batista"/>
    <n v="290.10000000000002"/>
  </r>
  <r>
    <x v="87"/>
    <s v="15:31:10"/>
    <s v="E6C87F0122FA3D7583ADCAC1AB22C283"/>
    <s v="Adan Leonardo Souza Batista"/>
    <x v="0"/>
    <s v="Transf. REGIONAL NE &gt; Adan L. S. Batista"/>
    <n v="409.9"/>
  </r>
  <r>
    <x v="88"/>
    <s v="09:53:38"/>
    <s v="8EC91A792AA9C8A111B6CE0346734065"/>
    <s v="Adan Leonardo Souza Batista"/>
    <x v="0"/>
    <s v="Transf. REGIONAL NE &gt; Adan L. S. Batista"/>
    <n v="145.1"/>
  </r>
  <r>
    <x v="89"/>
    <s v="17:37:07"/>
    <s v="FE2BB982E3E3D39D336542700AD6B3C3"/>
    <s v="Adan Leonardo Souza Batista"/>
    <x v="0"/>
    <s v="Transf. REGIONAL NE &gt; Adan L. S. Batista"/>
    <n v="93"/>
  </r>
  <r>
    <x v="90"/>
    <s v="16:49:05"/>
    <s v="EC02BAE0D11F3109A69078449A0513DA"/>
    <s v="Adan Leonardo Souza Batista"/>
    <x v="0"/>
    <s v="Transf. REGIONAL NE &gt; Adan L. S. Batista"/>
    <n v="61.9"/>
  </r>
  <r>
    <x v="91"/>
    <s v="10:11:00"/>
    <s v="9B334EEBE6A4F247A83D375B59A9E002"/>
    <s v="Adan Leonardo Souza Batista"/>
    <x v="2"/>
    <s v="TECBAN-SHOPPING BELA V"/>
    <n v="-990"/>
  </r>
  <r>
    <x v="92"/>
    <s v="10:11:14"/>
    <s v="AFFAF2F1B64E712FACAA30C12A210943"/>
    <s v="Adan Leonardo Souza Batista"/>
    <x v="3"/>
    <s v="Taxa de saque"/>
    <n v="-7"/>
  </r>
  <r>
    <x v="93"/>
    <s v="14:54:49"/>
    <s v="30A2F8CF0FA74F76A5D0DF8EBA6801AE"/>
    <s v="Adan Leonardo Souza Batista"/>
    <x v="0"/>
    <s v="Transf. REGIONAL NE &gt; Adan L. S. Batista"/>
    <n v="395.59"/>
  </r>
  <r>
    <x v="94"/>
    <s v="14:47:18"/>
    <s v="5C62D0EE1B4B7EA7E099802048B00053"/>
    <s v="Adan Leonardo Souza Batista"/>
    <x v="2"/>
    <s v="TECBAN-SHOPPING BELA V"/>
    <n v="-350"/>
  </r>
  <r>
    <x v="95"/>
    <s v="15:02:33"/>
    <s v="109D4AB9DF205C539A32FC86B32D4552"/>
    <s v="Adan Leonardo Souza Batista"/>
    <x v="3"/>
    <s v="Taxa de saque"/>
    <n v="-7"/>
  </r>
  <r>
    <x v="96"/>
    <s v="14:06:58"/>
    <s v="6CC5DA506A8B33BFC6E6F326E8DC616D"/>
    <s v="Adan Leonardo Souza Batista"/>
    <x v="1"/>
    <s v="RIOMAR ARACAJU PARKING"/>
    <n v="-11"/>
  </r>
  <r>
    <x v="97"/>
    <s v="15:07:44"/>
    <s v="3D5CF86933E502378DBE6ED8DBC0EA59"/>
    <s v="Adan Leonardo Souza Batista"/>
    <x v="1"/>
    <s v="ARACAJU ADM SHOP CENTE"/>
    <n v="-11"/>
  </r>
  <r>
    <x v="98"/>
    <s v="15:06:45"/>
    <s v="6BB7DD7DE09521ACB83AD85CE66926F7"/>
    <s v="Adan Leonardo Souza Batista"/>
    <x v="0"/>
    <s v="Transf. REGIONAL NE &gt; Adan L. S. Batista"/>
    <n v="928.51"/>
  </r>
  <r>
    <x v="99"/>
    <s v="10:04:18"/>
    <s v="4BD307A3A46B258621C2BAF747211E1B"/>
    <s v="Adan Leonardo Souza Batista"/>
    <x v="1"/>
    <s v="W OX COMERCIO DE OXIGE"/>
    <n v="-120"/>
  </r>
  <r>
    <x v="100"/>
    <s v="11:41:15"/>
    <s v="F2F61224D249510BDAFFA211C4BE96CD"/>
    <s v="Adan Leonardo Souza Batista"/>
    <x v="1"/>
    <s v="MP *ACDC"/>
    <n v="-40"/>
  </r>
  <r>
    <x v="101"/>
    <s v="09:52:05"/>
    <s v="3B366D18D3EFDA2DADF2507BF4584FC9"/>
    <s v="Adan Leonardo Souza Batista"/>
    <x v="2"/>
    <s v="TECBAN-SUP MERCANTIL P"/>
    <n v="-780"/>
  </r>
  <r>
    <x v="102"/>
    <s v="09:52:26"/>
    <s v="BDF2E7B62BB5CA2346C7AC4C9A859562"/>
    <s v="Adan Leonardo Souza Batista"/>
    <x v="3"/>
    <s v="Taxa de saque"/>
    <n v="-7"/>
  </r>
  <r>
    <x v="103"/>
    <s v="16:03:01"/>
    <s v="AF37497AE9C3D47560F4FC2AEDE27FDD"/>
    <s v="Adan Leonardo Souza Batista"/>
    <x v="0"/>
    <s v="Transf. REGIONAL NE &gt; Adan L. S. Batista"/>
    <n v="462.02"/>
  </r>
  <r>
    <x v="104"/>
    <s v="16:10:26"/>
    <s v="12400AEB520A0A56C5F4B8C090BF3A84"/>
    <s v="Adan Leonardo Souza Batista"/>
    <x v="2"/>
    <s v="AV.DORIVAL CA"/>
    <n v="-400"/>
  </r>
  <r>
    <x v="105"/>
    <s v="16:10:39"/>
    <s v="7D9B6691245D72AD606A6C183BE0AE3B"/>
    <s v="Adan Leonardo Souza Batista"/>
    <x v="3"/>
    <s v="Taxa de saque"/>
    <n v="-7"/>
  </r>
  <r>
    <x v="106"/>
    <s v="11:26:38"/>
    <s v="B241CF33951DACE0E06E3799B6552116"/>
    <s v="Adan Leonardo Souza Batista"/>
    <x v="1"/>
    <s v="ShoppingDaBahia"/>
    <n v="-15"/>
  </r>
  <r>
    <x v="107"/>
    <s v="13:20:34"/>
    <s v="09A3EE37FF373912048463EEF6D248AF"/>
    <s v="Adan Leonardo Souza Batista"/>
    <x v="1"/>
    <s v="ShoppingDaBahia"/>
    <n v="-15"/>
  </r>
  <r>
    <x v="108"/>
    <s v="12:23:07"/>
    <s v="444FE89F74EA1A7525DA7E4BF0651C54"/>
    <s v="Adan Leonardo Souza Batista"/>
    <x v="1"/>
    <s v="ATACADAO 923 AS"/>
    <n v="-9.99"/>
  </r>
  <r>
    <x v="109"/>
    <s v="16:39:19"/>
    <s v="82B5D7AF89091328C9EEC30F9F7E9691"/>
    <s v="Adan Leonardo Souza Batista"/>
    <x v="0"/>
    <s v="Transf. REGIONAL NE &gt; Adan L. S. Batista"/>
    <n v="98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295E7-7366-4A21-9851-248EABCE5980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Q20" firstHeaderRow="1" firstDataRow="2" firstDataCol="1"/>
  <pivotFields count="10">
    <pivotField axis="axisRow" numFmtId="14" showAll="0">
      <items count="809"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316"/>
        <item m="1" x="315"/>
        <item m="1" x="314"/>
        <item m="1" x="313"/>
        <item m="1" x="312"/>
        <item m="1" x="311"/>
        <item m="1" x="310"/>
        <item m="1" x="309"/>
        <item m="1" x="308"/>
        <item m="1" x="307"/>
        <item m="1" x="306"/>
        <item m="1" x="305"/>
        <item m="1" x="304"/>
        <item m="1" x="303"/>
        <item m="1" x="302"/>
        <item m="1" x="301"/>
        <item m="1" x="300"/>
        <item m="1" x="299"/>
        <item m="1" x="298"/>
        <item m="1" x="297"/>
        <item m="1" x="296"/>
        <item m="1" x="295"/>
        <item m="1" x="294"/>
        <item m="1" x="293"/>
        <item m="1" x="292"/>
        <item m="1" x="291"/>
        <item m="1" x="290"/>
        <item m="1" x="289"/>
        <item m="1" x="288"/>
        <item m="1" x="287"/>
        <item m="1" x="286"/>
        <item m="1" x="285"/>
        <item m="1" x="284"/>
        <item m="1" x="283"/>
        <item m="1" x="282"/>
        <item m="1" x="281"/>
        <item m="1" x="280"/>
        <item m="1" x="279"/>
        <item m="1" x="278"/>
        <item m="1" x="277"/>
        <item m="1" x="276"/>
        <item m="1" x="275"/>
        <item m="1" x="274"/>
        <item m="1" x="273"/>
        <item m="1" x="272"/>
        <item m="1" x="271"/>
        <item m="1" x="270"/>
        <item m="1" x="269"/>
        <item m="1" x="268"/>
        <item m="1" x="267"/>
        <item m="1" x="266"/>
        <item m="1" x="265"/>
        <item m="1" x="264"/>
        <item m="1" x="263"/>
        <item m="1" x="262"/>
        <item m="1" x="261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showAll="0"/>
    <pivotField axis="axisCol" showAll="0">
      <items count="8">
        <item x="0"/>
        <item x="2"/>
        <item x="3"/>
        <item x="4"/>
        <item x="1"/>
        <item m="1" x="6"/>
        <item m="1" x="5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</pivotFields>
  <rowFields count="3">
    <field x="9"/>
    <field x="7"/>
    <field x="0"/>
  </rowFields>
  <rowItems count="1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6" baseField="0" baseItem="0" numFmtId="44"/>
  </dataFields>
  <formats count="11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9" type="button" dataOnly="0" labelOnly="1" outline="0" axis="axisRow" fieldPosition="0"/>
    </format>
    <format dxfId="17">
      <pivotArea dataOnly="0" labelOnly="1" fieldPosition="0">
        <references count="1">
          <reference field="9" count="1">
            <x v="0"/>
          </reference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7" count="7">
            <x v="1"/>
            <x v="2"/>
            <x v="3"/>
            <x v="4"/>
            <x v="5"/>
            <x v="6"/>
            <x v="7"/>
          </reference>
          <reference field="9" count="1" selected="0">
            <x v="0"/>
          </reference>
        </references>
      </pivotArea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Col="1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EF97C-DB42-4B24-BCD2-3D4704B15EC1}" name="Tabela1" displayName="Tabela1" ref="A1:I111" totalsRowShown="0" headerRowDxfId="12" dataDxfId="11">
  <autoFilter ref="A1:I111" xr:uid="{610EF97C-DB42-4B24-BCD2-3D4704B15EC1}"/>
  <sortState xmlns:xlrd2="http://schemas.microsoft.com/office/spreadsheetml/2017/richdata2" ref="A2:I53">
    <sortCondition ref="C1:C53"/>
  </sortState>
  <tableColumns count="9">
    <tableColumn id="1" xr3:uid="{72431C84-7876-418B-A55A-EDB76EA1450D}" name="ANO" dataDxfId="10">
      <calculatedColumnFormula>YEAR(C2)</calculatedColumnFormula>
    </tableColumn>
    <tableColumn id="2" xr3:uid="{D9DFA389-387F-4D00-B905-9F5EF173C174}" name="MÊS" dataDxfId="9">
      <calculatedColumnFormula>UPPER(TEXT(C2,"MMMM"))</calculatedColumnFormula>
    </tableColumn>
    <tableColumn id="3" xr3:uid="{270F2D7B-574D-4724-9371-B6FA7AA5D556}" name="Data" dataDxfId="8"/>
    <tableColumn id="4" xr3:uid="{E7E69B17-FF51-41F2-A535-006AB161A6DB}" name="Hora" dataDxfId="7"/>
    <tableColumn id="5" xr3:uid="{6BDB4404-81CE-46C4-8508-0FD1D34E5F3A}" name="Código de Transação" dataDxfId="6"/>
    <tableColumn id="6" xr3:uid="{F99127EE-8701-470C-BC57-074CF76B88AC}" name="Usuário" dataDxfId="5"/>
    <tableColumn id="7" xr3:uid="{28B8F771-2D41-4D11-A254-C6240462CE13}" name="Tipo" dataDxfId="4"/>
    <tableColumn id="8" xr3:uid="{A8D091AA-BBB2-4D21-A4D1-7EBDBB3E8CC0}" name="Descrição" dataDxfId="3"/>
    <tableColumn id="9" xr3:uid="{0662D4CD-3D4F-4A55-A88E-2FAE0EDA8C3A}" name="Valo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58C83-380D-4BA9-B295-1F70740AD67E}" name="Tabela2" displayName="Tabela2" ref="A1:E13" totalsRowShown="0" headerRowDxfId="1">
  <autoFilter ref="A1:E13" xr:uid="{F83BE96F-6E9D-45E4-8C5F-C3F320D368A8}"/>
  <sortState xmlns:xlrd2="http://schemas.microsoft.com/office/spreadsheetml/2017/richdata2" ref="A2:E13">
    <sortCondition ref="B1:B13"/>
  </sortState>
  <tableColumns count="5">
    <tableColumn id="1" xr3:uid="{CB929B25-04D3-42CD-968B-F7A2FC51A4E1}" name="ID do Relatório"/>
    <tableColumn id="2" xr3:uid="{D2D82303-1083-441B-8606-480B00B2E4C3}" name="Nome do relatório"/>
    <tableColumn id="3" xr3:uid="{F8CCE57D-3E86-4FC5-A3AB-CDF7CA5016B2}" name="Status"/>
    <tableColumn id="4" xr3:uid="{8297860B-61F9-401F-8688-69ABA47990DB}" name="Usuário"/>
    <tableColumn id="5" xr3:uid="{80A276A1-A74E-459F-ACCA-50F1D5CB7FE3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F8DC-D9CD-4943-B8B1-3D99A77DEDCC}">
  <sheetPr>
    <tabColor theme="8"/>
  </sheetPr>
  <dimension ref="A1:R111"/>
  <sheetViews>
    <sheetView showGridLines="0" workbookViewId="0">
      <selection activeCell="Q8" sqref="Q8"/>
    </sheetView>
  </sheetViews>
  <sheetFormatPr defaultRowHeight="12.75" x14ac:dyDescent="0.2"/>
  <cols>
    <col min="1" max="1" width="9.28515625" style="18" bestFit="1" customWidth="1"/>
    <col min="2" max="2" width="10.140625" style="18" bestFit="1" customWidth="1"/>
    <col min="3" max="3" width="12" style="18" bestFit="1" customWidth="1"/>
    <col min="4" max="4" width="9.28515625" style="18" bestFit="1" customWidth="1"/>
    <col min="5" max="5" width="34.7109375" style="18" bestFit="1" customWidth="1"/>
    <col min="6" max="6" width="22" style="18" bestFit="1" customWidth="1"/>
    <col min="7" max="7" width="11.85546875" style="18" bestFit="1" customWidth="1"/>
    <col min="8" max="8" width="47" style="18" bestFit="1" customWidth="1"/>
    <col min="9" max="9" width="11.85546875" style="49" bestFit="1" customWidth="1"/>
    <col min="10" max="10" width="9.140625" style="18"/>
    <col min="11" max="11" width="16.28515625" style="18" bestFit="1" customWidth="1"/>
    <col min="12" max="12" width="17.42578125" style="18" bestFit="1" customWidth="1"/>
    <col min="13" max="13" width="11.42578125" style="18" bestFit="1" customWidth="1"/>
    <col min="14" max="14" width="9" style="18" bestFit="1" customWidth="1"/>
    <col min="15" max="16" width="11.42578125" style="18" bestFit="1" customWidth="1"/>
    <col min="17" max="18" width="10" style="18" bestFit="1" customWidth="1"/>
    <col min="19" max="16384" width="9.140625" style="18"/>
  </cols>
  <sheetData>
    <row r="1" spans="1:18" ht="15" x14ac:dyDescent="0.25">
      <c r="A1" s="41" t="s">
        <v>44</v>
      </c>
      <c r="B1" s="41" t="s">
        <v>1</v>
      </c>
      <c r="C1" s="41" t="s">
        <v>13</v>
      </c>
      <c r="D1" s="42" t="s">
        <v>14</v>
      </c>
      <c r="E1" s="42" t="s">
        <v>15</v>
      </c>
      <c r="F1" s="42" t="s">
        <v>16</v>
      </c>
      <c r="G1" s="42" t="s">
        <v>17</v>
      </c>
      <c r="H1" s="43" t="s">
        <v>18</v>
      </c>
      <c r="I1" s="44" t="s">
        <v>19</v>
      </c>
      <c r="K1" s="45" t="s">
        <v>30</v>
      </c>
      <c r="L1" s="45" t="s">
        <v>29</v>
      </c>
      <c r="R1"/>
    </row>
    <row r="2" spans="1:18" ht="15" x14ac:dyDescent="0.25">
      <c r="A2" s="16">
        <f t="shared" ref="A2:A33" si="0">YEAR(C2)</f>
        <v>2025</v>
      </c>
      <c r="B2" s="17" t="str">
        <f t="shared" ref="B2:B33" si="1">UPPER(TEXT(C2,"MMMM"))</f>
        <v>JUNHO</v>
      </c>
      <c r="C2" s="17">
        <v>45820.409942129998</v>
      </c>
      <c r="D2" s="16" t="s">
        <v>74</v>
      </c>
      <c r="E2" s="16" t="s">
        <v>75</v>
      </c>
      <c r="F2" s="16" t="s">
        <v>73</v>
      </c>
      <c r="G2" s="16" t="s">
        <v>24</v>
      </c>
      <c r="H2" s="46" t="s">
        <v>76</v>
      </c>
      <c r="I2" s="47">
        <v>710.2</v>
      </c>
      <c r="K2" s="45" t="s">
        <v>25</v>
      </c>
      <c r="L2" s="18" t="s">
        <v>24</v>
      </c>
      <c r="M2" s="18" t="s">
        <v>21</v>
      </c>
      <c r="N2" s="18" t="s">
        <v>22</v>
      </c>
      <c r="O2" s="18" t="s">
        <v>20</v>
      </c>
      <c r="P2" s="18" t="s">
        <v>66</v>
      </c>
      <c r="Q2" s="18" t="s">
        <v>26</v>
      </c>
      <c r="R2"/>
    </row>
    <row r="3" spans="1:18" ht="15" x14ac:dyDescent="0.25">
      <c r="A3" s="16">
        <f t="shared" si="0"/>
        <v>2025</v>
      </c>
      <c r="B3" s="17" t="str">
        <f t="shared" si="1"/>
        <v>JUNHO</v>
      </c>
      <c r="C3" s="17">
        <v>45820.636354167</v>
      </c>
      <c r="D3" s="16" t="s">
        <v>77</v>
      </c>
      <c r="E3" s="16" t="s">
        <v>78</v>
      </c>
      <c r="F3" s="16" t="s">
        <v>73</v>
      </c>
      <c r="G3" s="16" t="s">
        <v>24</v>
      </c>
      <c r="H3" s="46" t="s">
        <v>76</v>
      </c>
      <c r="I3" s="47">
        <v>0.01</v>
      </c>
      <c r="K3" s="48" t="s">
        <v>28</v>
      </c>
      <c r="L3" s="49">
        <v>4424.6000000000004</v>
      </c>
      <c r="M3" s="49">
        <v>-2920</v>
      </c>
      <c r="N3" s="49">
        <v>-35</v>
      </c>
      <c r="O3" s="49">
        <v>-443.59000000000003</v>
      </c>
      <c r="P3" s="49">
        <v>-1030.24</v>
      </c>
      <c r="Q3" s="49">
        <v>-4.2300000000000892</v>
      </c>
      <c r="R3"/>
    </row>
    <row r="4" spans="1:18" ht="15" x14ac:dyDescent="0.25">
      <c r="A4" s="16">
        <f t="shared" si="0"/>
        <v>2025</v>
      </c>
      <c r="B4" s="17" t="str">
        <f t="shared" si="1"/>
        <v>JULHO</v>
      </c>
      <c r="C4" s="17">
        <v>45852.594456018996</v>
      </c>
      <c r="D4" s="16" t="s">
        <v>79</v>
      </c>
      <c r="E4" s="16" t="s">
        <v>80</v>
      </c>
      <c r="F4" s="16" t="s">
        <v>73</v>
      </c>
      <c r="G4" s="16" t="s">
        <v>66</v>
      </c>
      <c r="H4" s="46" t="s">
        <v>81</v>
      </c>
      <c r="I4" s="47">
        <v>-188</v>
      </c>
      <c r="K4" s="50" t="s">
        <v>38</v>
      </c>
      <c r="L4" s="49">
        <v>1249.97</v>
      </c>
      <c r="M4" s="49">
        <v>-400</v>
      </c>
      <c r="N4" s="49">
        <v>-7</v>
      </c>
      <c r="O4" s="49"/>
      <c r="P4" s="49">
        <v>-261.74</v>
      </c>
      <c r="Q4" s="49">
        <v>581.23</v>
      </c>
      <c r="R4"/>
    </row>
    <row r="5" spans="1:18" ht="15" x14ac:dyDescent="0.25">
      <c r="A5" s="16">
        <f t="shared" si="0"/>
        <v>2025</v>
      </c>
      <c r="B5" s="17" t="str">
        <f t="shared" si="1"/>
        <v>JULHO</v>
      </c>
      <c r="C5" s="17">
        <v>45855.620127315</v>
      </c>
      <c r="D5" s="16" t="s">
        <v>82</v>
      </c>
      <c r="E5" s="16" t="s">
        <v>83</v>
      </c>
      <c r="F5" s="16" t="s">
        <v>73</v>
      </c>
      <c r="G5" s="16" t="s">
        <v>66</v>
      </c>
      <c r="H5" s="46" t="s">
        <v>84</v>
      </c>
      <c r="I5" s="47">
        <v>-62</v>
      </c>
      <c r="K5" s="50" t="s">
        <v>67</v>
      </c>
      <c r="L5" s="49">
        <v>990.1</v>
      </c>
      <c r="M5" s="49"/>
      <c r="N5" s="49"/>
      <c r="O5" s="49">
        <v>-443.59000000000003</v>
      </c>
      <c r="P5" s="49">
        <v>-546.51</v>
      </c>
      <c r="Q5" s="49">
        <v>0</v>
      </c>
      <c r="R5"/>
    </row>
    <row r="6" spans="1:18" ht="15" x14ac:dyDescent="0.25">
      <c r="A6" s="16">
        <f t="shared" si="0"/>
        <v>2025</v>
      </c>
      <c r="B6" s="17" t="str">
        <f t="shared" si="1"/>
        <v>JULHO</v>
      </c>
      <c r="C6" s="17">
        <v>45860.298761573998</v>
      </c>
      <c r="D6" s="16" t="s">
        <v>85</v>
      </c>
      <c r="E6" s="16" t="s">
        <v>86</v>
      </c>
      <c r="F6" s="16" t="s">
        <v>73</v>
      </c>
      <c r="G6" s="16" t="s">
        <v>66</v>
      </c>
      <c r="H6" s="46" t="s">
        <v>87</v>
      </c>
      <c r="I6" s="47">
        <v>-280</v>
      </c>
      <c r="K6" s="50" t="s">
        <v>68</v>
      </c>
      <c r="L6" s="49">
        <v>145.1</v>
      </c>
      <c r="M6" s="49"/>
      <c r="N6" s="49"/>
      <c r="O6" s="49"/>
      <c r="P6" s="49"/>
      <c r="Q6" s="49">
        <v>145.1</v>
      </c>
      <c r="R6"/>
    </row>
    <row r="7" spans="1:18" ht="15" x14ac:dyDescent="0.25">
      <c r="A7" s="16">
        <f t="shared" si="0"/>
        <v>2025</v>
      </c>
      <c r="B7" s="17" t="str">
        <f t="shared" si="1"/>
        <v>JULHO</v>
      </c>
      <c r="C7" s="17">
        <v>45863.378622684999</v>
      </c>
      <c r="D7" s="16" t="s">
        <v>88</v>
      </c>
      <c r="E7" s="16" t="s">
        <v>89</v>
      </c>
      <c r="F7" s="16" t="s">
        <v>73</v>
      </c>
      <c r="G7" s="16" t="s">
        <v>66</v>
      </c>
      <c r="H7" s="46" t="s">
        <v>90</v>
      </c>
      <c r="I7" s="47">
        <v>-61.2</v>
      </c>
      <c r="K7" s="50" t="s">
        <v>69</v>
      </c>
      <c r="L7" s="49">
        <v>154.9</v>
      </c>
      <c r="M7" s="49"/>
      <c r="N7" s="49"/>
      <c r="O7" s="49"/>
      <c r="P7" s="49"/>
      <c r="Q7" s="49">
        <v>154.9</v>
      </c>
      <c r="R7"/>
    </row>
    <row r="8" spans="1:18" ht="15" x14ac:dyDescent="0.25">
      <c r="A8" s="16">
        <f t="shared" si="0"/>
        <v>2025</v>
      </c>
      <c r="B8" s="17" t="str">
        <f t="shared" si="1"/>
        <v>JULHO</v>
      </c>
      <c r="C8" s="17">
        <v>45863.680648148002</v>
      </c>
      <c r="D8" s="16" t="s">
        <v>91</v>
      </c>
      <c r="E8" s="16" t="s">
        <v>92</v>
      </c>
      <c r="F8" s="16" t="s">
        <v>73</v>
      </c>
      <c r="G8" s="16" t="s">
        <v>24</v>
      </c>
      <c r="H8" s="46" t="s">
        <v>76</v>
      </c>
      <c r="I8" s="47">
        <v>519.79</v>
      </c>
      <c r="K8" s="50" t="s">
        <v>31</v>
      </c>
      <c r="L8" s="49"/>
      <c r="M8" s="49">
        <v>-990</v>
      </c>
      <c r="N8" s="49">
        <v>-7</v>
      </c>
      <c r="O8" s="49"/>
      <c r="P8" s="49"/>
      <c r="Q8" s="49">
        <v>-997</v>
      </c>
      <c r="R8"/>
    </row>
    <row r="9" spans="1:18" ht="15" x14ac:dyDescent="0.25">
      <c r="A9" s="16">
        <f t="shared" si="0"/>
        <v>2025</v>
      </c>
      <c r="B9" s="17" t="str">
        <f t="shared" si="1"/>
        <v>JULHO</v>
      </c>
      <c r="C9" s="17">
        <v>45864.398819444003</v>
      </c>
      <c r="D9" s="16" t="s">
        <v>93</v>
      </c>
      <c r="E9" s="16" t="s">
        <v>94</v>
      </c>
      <c r="F9" s="16" t="s">
        <v>73</v>
      </c>
      <c r="G9" s="16" t="s">
        <v>66</v>
      </c>
      <c r="H9" s="46" t="s">
        <v>95</v>
      </c>
      <c r="I9" s="47">
        <v>-65</v>
      </c>
      <c r="K9" s="50" t="s">
        <v>32</v>
      </c>
      <c r="L9" s="49">
        <v>1324.1</v>
      </c>
      <c r="M9" s="49">
        <v>-1130</v>
      </c>
      <c r="N9" s="49">
        <v>-14</v>
      </c>
      <c r="O9" s="49"/>
      <c r="P9" s="49">
        <v>-182</v>
      </c>
      <c r="Q9" s="49">
        <v>-1.9000000000000909</v>
      </c>
      <c r="R9"/>
    </row>
    <row r="10" spans="1:18" ht="15" x14ac:dyDescent="0.25">
      <c r="A10" s="16">
        <f t="shared" si="0"/>
        <v>2025</v>
      </c>
      <c r="B10" s="17" t="str">
        <f t="shared" si="1"/>
        <v>JULHO</v>
      </c>
      <c r="C10" s="17">
        <v>45865.493541666998</v>
      </c>
      <c r="D10" s="16" t="s">
        <v>96</v>
      </c>
      <c r="E10" s="16" t="s">
        <v>97</v>
      </c>
      <c r="F10" s="16" t="s">
        <v>73</v>
      </c>
      <c r="G10" s="16" t="s">
        <v>66</v>
      </c>
      <c r="H10" s="46" t="s">
        <v>98</v>
      </c>
      <c r="I10" s="47">
        <v>-35</v>
      </c>
      <c r="K10" s="50" t="s">
        <v>33</v>
      </c>
      <c r="L10" s="49">
        <v>462.02</v>
      </c>
      <c r="M10" s="49">
        <v>-400</v>
      </c>
      <c r="N10" s="49">
        <v>-7</v>
      </c>
      <c r="O10" s="49"/>
      <c r="P10" s="49">
        <v>-30</v>
      </c>
      <c r="Q10" s="49">
        <v>25.019999999999982</v>
      </c>
      <c r="R10"/>
    </row>
    <row r="11" spans="1:18" ht="15" x14ac:dyDescent="0.25">
      <c r="A11" s="16">
        <f t="shared" si="0"/>
        <v>2025</v>
      </c>
      <c r="B11" s="17" t="str">
        <f t="shared" si="1"/>
        <v>JULHO</v>
      </c>
      <c r="C11" s="17">
        <v>45866.587164352</v>
      </c>
      <c r="D11" s="16" t="s">
        <v>99</v>
      </c>
      <c r="E11" s="16" t="s">
        <v>100</v>
      </c>
      <c r="F11" s="16" t="s">
        <v>73</v>
      </c>
      <c r="G11" s="16" t="s">
        <v>66</v>
      </c>
      <c r="H11" s="46" t="s">
        <v>101</v>
      </c>
      <c r="I11" s="47">
        <v>-87.8</v>
      </c>
      <c r="K11" s="50" t="s">
        <v>62</v>
      </c>
      <c r="L11" s="49">
        <v>98.41</v>
      </c>
      <c r="M11" s="49"/>
      <c r="N11" s="49"/>
      <c r="O11" s="49"/>
      <c r="P11" s="49">
        <v>-9.99</v>
      </c>
      <c r="Q11" s="49">
        <v>88.42</v>
      </c>
      <c r="R11"/>
    </row>
    <row r="12" spans="1:18" ht="15" x14ac:dyDescent="0.25">
      <c r="A12" s="16">
        <f t="shared" si="0"/>
        <v>2025</v>
      </c>
      <c r="B12" s="17" t="str">
        <f t="shared" si="1"/>
        <v>JULHO</v>
      </c>
      <c r="C12" s="17">
        <v>45866.623680555997</v>
      </c>
      <c r="D12" s="16" t="s">
        <v>102</v>
      </c>
      <c r="E12" s="16" t="s">
        <v>103</v>
      </c>
      <c r="F12" s="16" t="s">
        <v>73</v>
      </c>
      <c r="G12" s="16" t="s">
        <v>66</v>
      </c>
      <c r="H12" s="46" t="s">
        <v>81</v>
      </c>
      <c r="I12" s="47">
        <v>-66</v>
      </c>
      <c r="K12" s="48" t="s">
        <v>27</v>
      </c>
      <c r="L12" s="49">
        <v>6056.2</v>
      </c>
      <c r="M12" s="49">
        <v>-450</v>
      </c>
      <c r="N12" s="49">
        <v>-21</v>
      </c>
      <c r="O12" s="49">
        <v>-168.41</v>
      </c>
      <c r="P12" s="49">
        <v>-5298.02</v>
      </c>
      <c r="Q12" s="49">
        <v>118.76999999999998</v>
      </c>
      <c r="R12"/>
    </row>
    <row r="13" spans="1:18" ht="15" x14ac:dyDescent="0.25">
      <c r="A13" s="16">
        <f t="shared" si="0"/>
        <v>2025</v>
      </c>
      <c r="B13" s="17" t="str">
        <f t="shared" si="1"/>
        <v>JULHO</v>
      </c>
      <c r="C13" s="17">
        <v>45866.627233796004</v>
      </c>
      <c r="D13" s="16" t="s">
        <v>104</v>
      </c>
      <c r="E13" s="16" t="s">
        <v>105</v>
      </c>
      <c r="F13" s="16" t="s">
        <v>73</v>
      </c>
      <c r="G13" s="16" t="s">
        <v>66</v>
      </c>
      <c r="H13" s="46" t="s">
        <v>106</v>
      </c>
      <c r="I13" s="47">
        <v>-21</v>
      </c>
      <c r="K13" s="50" t="s">
        <v>32</v>
      </c>
      <c r="L13" s="49">
        <v>710.21</v>
      </c>
      <c r="M13" s="49"/>
      <c r="N13" s="49"/>
      <c r="O13" s="49"/>
      <c r="P13" s="49"/>
      <c r="Q13" s="49">
        <v>710.21</v>
      </c>
      <c r="R13"/>
    </row>
    <row r="14" spans="1:18" ht="15" x14ac:dyDescent="0.25">
      <c r="A14" s="16">
        <f t="shared" si="0"/>
        <v>2025</v>
      </c>
      <c r="B14" s="17" t="str">
        <f t="shared" si="1"/>
        <v>JULHO</v>
      </c>
      <c r="C14" s="17">
        <v>45867.366724537002</v>
      </c>
      <c r="D14" s="16" t="s">
        <v>107</v>
      </c>
      <c r="E14" s="16" t="s">
        <v>108</v>
      </c>
      <c r="F14" s="16" t="s">
        <v>73</v>
      </c>
      <c r="G14" s="16" t="s">
        <v>66</v>
      </c>
      <c r="H14" s="46" t="s">
        <v>106</v>
      </c>
      <c r="I14" s="47">
        <v>-41</v>
      </c>
      <c r="K14" s="50" t="s">
        <v>33</v>
      </c>
      <c r="L14" s="49">
        <v>519.79</v>
      </c>
      <c r="M14" s="49"/>
      <c r="N14" s="49"/>
      <c r="O14" s="49"/>
      <c r="P14" s="49">
        <v>-907</v>
      </c>
      <c r="Q14" s="49">
        <v>-387.21000000000004</v>
      </c>
      <c r="R14"/>
    </row>
    <row r="15" spans="1:18" ht="15" x14ac:dyDescent="0.25">
      <c r="A15" s="16">
        <f t="shared" si="0"/>
        <v>2025</v>
      </c>
      <c r="B15" s="17" t="str">
        <f t="shared" si="1"/>
        <v>AGOSTO</v>
      </c>
      <c r="C15" s="17">
        <v>45874.666770832999</v>
      </c>
      <c r="D15" s="16" t="s">
        <v>109</v>
      </c>
      <c r="E15" s="16" t="s">
        <v>110</v>
      </c>
      <c r="F15" s="16" t="s">
        <v>73</v>
      </c>
      <c r="G15" s="16" t="s">
        <v>21</v>
      </c>
      <c r="H15" s="46" t="s">
        <v>111</v>
      </c>
      <c r="I15" s="47">
        <v>-100</v>
      </c>
      <c r="K15" s="50" t="s">
        <v>62</v>
      </c>
      <c r="L15" s="49">
        <v>1130.98</v>
      </c>
      <c r="M15" s="49">
        <v>-100</v>
      </c>
      <c r="N15" s="49">
        <v>-7</v>
      </c>
      <c r="O15" s="49"/>
      <c r="P15" s="49">
        <v>-1136.98</v>
      </c>
      <c r="Q15" s="49">
        <v>-113</v>
      </c>
      <c r="R15"/>
    </row>
    <row r="16" spans="1:18" ht="15" x14ac:dyDescent="0.25">
      <c r="A16" s="16">
        <f t="shared" si="0"/>
        <v>2025</v>
      </c>
      <c r="B16" s="17" t="str">
        <f t="shared" si="1"/>
        <v>AGOSTO</v>
      </c>
      <c r="C16" s="17">
        <v>45874.680150462998</v>
      </c>
      <c r="D16" s="16" t="s">
        <v>112</v>
      </c>
      <c r="E16" s="16" t="s">
        <v>113</v>
      </c>
      <c r="F16" s="16" t="s">
        <v>73</v>
      </c>
      <c r="G16" s="16" t="s">
        <v>22</v>
      </c>
      <c r="H16" s="46" t="s">
        <v>23</v>
      </c>
      <c r="I16" s="47">
        <v>-7</v>
      </c>
      <c r="K16" s="50" t="s">
        <v>34</v>
      </c>
      <c r="L16" s="49">
        <v>1113.78</v>
      </c>
      <c r="M16" s="49">
        <v>-150</v>
      </c>
      <c r="N16" s="49">
        <v>-7</v>
      </c>
      <c r="O16" s="49"/>
      <c r="P16" s="49">
        <v>-602.48</v>
      </c>
      <c r="Q16" s="49">
        <v>354.29999999999995</v>
      </c>
      <c r="R16"/>
    </row>
    <row r="17" spans="1:18" ht="15" x14ac:dyDescent="0.25">
      <c r="A17" s="16">
        <f t="shared" si="0"/>
        <v>2025</v>
      </c>
      <c r="B17" s="17" t="str">
        <f t="shared" si="1"/>
        <v>AGOSTO</v>
      </c>
      <c r="C17" s="17">
        <v>45874.681111111</v>
      </c>
      <c r="D17" s="16" t="s">
        <v>114</v>
      </c>
      <c r="E17" s="16" t="s">
        <v>115</v>
      </c>
      <c r="F17" s="16" t="s">
        <v>73</v>
      </c>
      <c r="G17" s="16" t="s">
        <v>66</v>
      </c>
      <c r="H17" s="46" t="s">
        <v>81</v>
      </c>
      <c r="I17" s="47">
        <v>-69</v>
      </c>
      <c r="K17" s="50" t="s">
        <v>35</v>
      </c>
      <c r="L17" s="49">
        <v>1302.5900000000001</v>
      </c>
      <c r="M17" s="49"/>
      <c r="N17" s="49"/>
      <c r="O17" s="49"/>
      <c r="P17" s="49">
        <v>-1653.48</v>
      </c>
      <c r="Q17" s="49">
        <v>-350.88999999999987</v>
      </c>
      <c r="R17"/>
    </row>
    <row r="18" spans="1:18" ht="15" x14ac:dyDescent="0.25">
      <c r="A18" s="16">
        <f t="shared" si="0"/>
        <v>2025</v>
      </c>
      <c r="B18" s="17" t="str">
        <f t="shared" si="1"/>
        <v>AGOSTO</v>
      </c>
      <c r="C18" s="17">
        <v>45875.531423610999</v>
      </c>
      <c r="D18" s="16" t="s">
        <v>116</v>
      </c>
      <c r="E18" s="16" t="s">
        <v>117</v>
      </c>
      <c r="F18" s="16" t="s">
        <v>73</v>
      </c>
      <c r="G18" s="16" t="s">
        <v>66</v>
      </c>
      <c r="H18" s="46" t="s">
        <v>101</v>
      </c>
      <c r="I18" s="47">
        <v>-79.8</v>
      </c>
      <c r="K18" s="50" t="s">
        <v>36</v>
      </c>
      <c r="L18" s="49">
        <v>1124.1999999999998</v>
      </c>
      <c r="M18" s="49">
        <v>-200</v>
      </c>
      <c r="N18" s="49">
        <v>-7</v>
      </c>
      <c r="O18" s="49">
        <v>-168.41</v>
      </c>
      <c r="P18" s="49">
        <v>-484.04999999999995</v>
      </c>
      <c r="Q18" s="49">
        <v>264.7399999999999</v>
      </c>
      <c r="R18"/>
    </row>
    <row r="19" spans="1:18" ht="15" x14ac:dyDescent="0.25">
      <c r="A19" s="16">
        <f t="shared" si="0"/>
        <v>2025</v>
      </c>
      <c r="B19" s="17" t="str">
        <f t="shared" si="1"/>
        <v>AGOSTO</v>
      </c>
      <c r="C19" s="17">
        <v>45877.608460648</v>
      </c>
      <c r="D19" s="16" t="s">
        <v>118</v>
      </c>
      <c r="E19" s="16" t="s">
        <v>119</v>
      </c>
      <c r="F19" s="16" t="s">
        <v>73</v>
      </c>
      <c r="G19" s="16" t="s">
        <v>66</v>
      </c>
      <c r="H19" s="46" t="s">
        <v>120</v>
      </c>
      <c r="I19" s="47">
        <v>-15</v>
      </c>
      <c r="K19" s="50" t="s">
        <v>37</v>
      </c>
      <c r="L19" s="49">
        <v>154.65</v>
      </c>
      <c r="M19" s="49"/>
      <c r="N19" s="49"/>
      <c r="O19" s="49"/>
      <c r="P19" s="49">
        <v>-514.03</v>
      </c>
      <c r="Q19" s="49">
        <v>-359.38</v>
      </c>
      <c r="R19"/>
    </row>
    <row r="20" spans="1:18" ht="15" x14ac:dyDescent="0.25">
      <c r="A20" s="16">
        <f t="shared" si="0"/>
        <v>2025</v>
      </c>
      <c r="B20" s="17" t="str">
        <f t="shared" si="1"/>
        <v>AGOSTO</v>
      </c>
      <c r="C20" s="17">
        <v>45880.614293981002</v>
      </c>
      <c r="D20" s="16" t="s">
        <v>121</v>
      </c>
      <c r="E20" s="16" t="s">
        <v>122</v>
      </c>
      <c r="F20" s="16" t="s">
        <v>73</v>
      </c>
      <c r="G20" s="16" t="s">
        <v>24</v>
      </c>
      <c r="H20" s="46" t="s">
        <v>76</v>
      </c>
      <c r="I20" s="47">
        <v>647.79999999999995</v>
      </c>
      <c r="K20" s="48" t="s">
        <v>26</v>
      </c>
      <c r="L20" s="49">
        <v>10480.800000000001</v>
      </c>
      <c r="M20" s="49">
        <v>-3370</v>
      </c>
      <c r="N20" s="49">
        <v>-56</v>
      </c>
      <c r="O20" s="49">
        <v>-612</v>
      </c>
      <c r="P20" s="49">
        <v>-6328.26</v>
      </c>
      <c r="Q20" s="49">
        <v>114.53999999999985</v>
      </c>
      <c r="R20"/>
    </row>
    <row r="21" spans="1:18" ht="15" x14ac:dyDescent="0.25">
      <c r="A21" s="16">
        <f t="shared" si="0"/>
        <v>2025</v>
      </c>
      <c r="B21" s="17" t="str">
        <f t="shared" si="1"/>
        <v>AGOSTO</v>
      </c>
      <c r="C21" s="17">
        <v>45881.372245370003</v>
      </c>
      <c r="D21" s="16" t="s">
        <v>123</v>
      </c>
      <c r="E21" s="16" t="s">
        <v>124</v>
      </c>
      <c r="F21" s="16" t="s">
        <v>73</v>
      </c>
      <c r="G21" s="16" t="s">
        <v>66</v>
      </c>
      <c r="H21" s="46" t="s">
        <v>125</v>
      </c>
      <c r="I21" s="47">
        <v>-110</v>
      </c>
      <c r="K21"/>
      <c r="L21"/>
      <c r="M21"/>
      <c r="N21"/>
      <c r="O21"/>
      <c r="P21"/>
      <c r="Q21"/>
      <c r="R21"/>
    </row>
    <row r="22" spans="1:18" x14ac:dyDescent="0.2">
      <c r="A22" s="16">
        <f t="shared" si="0"/>
        <v>2025</v>
      </c>
      <c r="B22" s="17" t="str">
        <f t="shared" si="1"/>
        <v>AGOSTO</v>
      </c>
      <c r="C22" s="17">
        <v>45881.581643518999</v>
      </c>
      <c r="D22" s="16" t="s">
        <v>126</v>
      </c>
      <c r="E22" s="16" t="s">
        <v>127</v>
      </c>
      <c r="F22" s="16" t="s">
        <v>73</v>
      </c>
      <c r="G22" s="16" t="s">
        <v>66</v>
      </c>
      <c r="H22" s="46" t="s">
        <v>81</v>
      </c>
      <c r="I22" s="47">
        <v>-120</v>
      </c>
    </row>
    <row r="23" spans="1:18" x14ac:dyDescent="0.2">
      <c r="A23" s="16">
        <f t="shared" si="0"/>
        <v>2025</v>
      </c>
      <c r="B23" s="17" t="str">
        <f t="shared" si="1"/>
        <v>AGOSTO</v>
      </c>
      <c r="C23" s="17">
        <v>45885.479317129997</v>
      </c>
      <c r="D23" s="16" t="s">
        <v>128</v>
      </c>
      <c r="E23" s="16" t="s">
        <v>129</v>
      </c>
      <c r="F23" s="16" t="s">
        <v>73</v>
      </c>
      <c r="G23" s="16" t="s">
        <v>66</v>
      </c>
      <c r="H23" s="46" t="s">
        <v>130</v>
      </c>
      <c r="I23" s="47">
        <v>-51.4</v>
      </c>
    </row>
    <row r="24" spans="1:18" x14ac:dyDescent="0.2">
      <c r="A24" s="16">
        <f t="shared" si="0"/>
        <v>2025</v>
      </c>
      <c r="B24" s="17" t="str">
        <f t="shared" si="1"/>
        <v>AGOSTO</v>
      </c>
      <c r="C24" s="17">
        <v>45885.516111110999</v>
      </c>
      <c r="D24" s="16" t="s">
        <v>131</v>
      </c>
      <c r="E24" s="16" t="s">
        <v>132</v>
      </c>
      <c r="F24" s="16" t="s">
        <v>73</v>
      </c>
      <c r="G24" s="16" t="s">
        <v>66</v>
      </c>
      <c r="H24" s="46" t="s">
        <v>133</v>
      </c>
      <c r="I24" s="47">
        <v>-94.5</v>
      </c>
    </row>
    <row r="25" spans="1:18" x14ac:dyDescent="0.2">
      <c r="A25" s="16">
        <f t="shared" si="0"/>
        <v>2025</v>
      </c>
      <c r="B25" s="17" t="str">
        <f t="shared" si="1"/>
        <v>AGOSTO</v>
      </c>
      <c r="C25" s="17">
        <v>45889.363229167</v>
      </c>
      <c r="D25" s="16" t="s">
        <v>134</v>
      </c>
      <c r="E25" s="16" t="s">
        <v>135</v>
      </c>
      <c r="F25" s="16" t="s">
        <v>73</v>
      </c>
      <c r="G25" s="16" t="s">
        <v>66</v>
      </c>
      <c r="H25" s="46" t="s">
        <v>81</v>
      </c>
      <c r="I25" s="47">
        <v>-62</v>
      </c>
    </row>
    <row r="26" spans="1:18" x14ac:dyDescent="0.2">
      <c r="A26" s="16">
        <f t="shared" si="0"/>
        <v>2025</v>
      </c>
      <c r="B26" s="17" t="str">
        <f t="shared" si="1"/>
        <v>AGOSTO</v>
      </c>
      <c r="C26" s="17">
        <v>45889.407442130003</v>
      </c>
      <c r="D26" s="16" t="s">
        <v>136</v>
      </c>
      <c r="E26" s="16" t="s">
        <v>137</v>
      </c>
      <c r="F26" s="16" t="s">
        <v>73</v>
      </c>
      <c r="G26" s="16" t="s">
        <v>66</v>
      </c>
      <c r="H26" s="46" t="s">
        <v>138</v>
      </c>
      <c r="I26" s="47">
        <v>-3</v>
      </c>
    </row>
    <row r="27" spans="1:18" x14ac:dyDescent="0.2">
      <c r="A27" s="16">
        <f t="shared" si="0"/>
        <v>2025</v>
      </c>
      <c r="B27" s="17" t="str">
        <f t="shared" si="1"/>
        <v>AGOSTO</v>
      </c>
      <c r="C27" s="17">
        <v>45891.622071758997</v>
      </c>
      <c r="D27" s="16" t="s">
        <v>139</v>
      </c>
      <c r="E27" s="16" t="s">
        <v>140</v>
      </c>
      <c r="F27" s="16" t="s">
        <v>73</v>
      </c>
      <c r="G27" s="16" t="s">
        <v>66</v>
      </c>
      <c r="H27" s="46" t="s">
        <v>141</v>
      </c>
      <c r="I27" s="47">
        <v>-42.28</v>
      </c>
    </row>
    <row r="28" spans="1:18" x14ac:dyDescent="0.2">
      <c r="A28" s="16">
        <f t="shared" si="0"/>
        <v>2025</v>
      </c>
      <c r="B28" s="17" t="str">
        <f t="shared" si="1"/>
        <v>AGOSTO</v>
      </c>
      <c r="C28" s="17">
        <v>45894.706724536998</v>
      </c>
      <c r="D28" s="16" t="s">
        <v>142</v>
      </c>
      <c r="E28" s="16" t="s">
        <v>143</v>
      </c>
      <c r="F28" s="16" t="s">
        <v>73</v>
      </c>
      <c r="G28" s="16" t="s">
        <v>24</v>
      </c>
      <c r="H28" s="46" t="s">
        <v>76</v>
      </c>
      <c r="I28" s="47">
        <v>483.18</v>
      </c>
    </row>
    <row r="29" spans="1:18" x14ac:dyDescent="0.2">
      <c r="A29" s="16">
        <f t="shared" si="0"/>
        <v>2025</v>
      </c>
      <c r="B29" s="17" t="str">
        <f t="shared" si="1"/>
        <v>AGOSTO</v>
      </c>
      <c r="C29" s="17">
        <v>45895.447280093002</v>
      </c>
      <c r="D29" s="16" t="s">
        <v>144</v>
      </c>
      <c r="E29" s="16" t="s">
        <v>145</v>
      </c>
      <c r="F29" s="16" t="s">
        <v>73</v>
      </c>
      <c r="G29" s="16" t="s">
        <v>66</v>
      </c>
      <c r="H29" s="46" t="s">
        <v>146</v>
      </c>
      <c r="I29" s="47">
        <v>-260</v>
      </c>
    </row>
    <row r="30" spans="1:18" x14ac:dyDescent="0.2">
      <c r="A30" s="16">
        <f t="shared" si="0"/>
        <v>2025</v>
      </c>
      <c r="B30" s="17" t="str">
        <f t="shared" si="1"/>
        <v>AGOSTO</v>
      </c>
      <c r="C30" s="17">
        <v>45896.631597222004</v>
      </c>
      <c r="D30" s="16" t="s">
        <v>147</v>
      </c>
      <c r="E30" s="16" t="s">
        <v>148</v>
      </c>
      <c r="F30" s="16" t="s">
        <v>73</v>
      </c>
      <c r="G30" s="16" t="s">
        <v>66</v>
      </c>
      <c r="H30" s="46" t="s">
        <v>81</v>
      </c>
      <c r="I30" s="47">
        <v>-230</v>
      </c>
    </row>
    <row r="31" spans="1:18" x14ac:dyDescent="0.2">
      <c r="A31" s="16">
        <f t="shared" si="0"/>
        <v>2025</v>
      </c>
      <c r="B31" s="17" t="str">
        <f t="shared" si="1"/>
        <v>SETEMBRO</v>
      </c>
      <c r="C31" s="17">
        <v>45901.475405092999</v>
      </c>
      <c r="D31" s="16" t="s">
        <v>149</v>
      </c>
      <c r="E31" s="16" t="s">
        <v>150</v>
      </c>
      <c r="F31" s="16" t="s">
        <v>73</v>
      </c>
      <c r="G31" s="16" t="s">
        <v>66</v>
      </c>
      <c r="H31" s="46" t="s">
        <v>151</v>
      </c>
      <c r="I31" s="47">
        <v>-8</v>
      </c>
    </row>
    <row r="32" spans="1:18" x14ac:dyDescent="0.2">
      <c r="A32" s="16">
        <f t="shared" si="0"/>
        <v>2025</v>
      </c>
      <c r="B32" s="17" t="str">
        <f t="shared" si="1"/>
        <v>SETEMBRO</v>
      </c>
      <c r="C32" s="17">
        <v>45903.483009258998</v>
      </c>
      <c r="D32" s="16" t="s">
        <v>152</v>
      </c>
      <c r="E32" s="16" t="s">
        <v>153</v>
      </c>
      <c r="F32" s="16" t="s">
        <v>73</v>
      </c>
      <c r="G32" s="16" t="s">
        <v>66</v>
      </c>
      <c r="H32" s="46" t="s">
        <v>154</v>
      </c>
      <c r="I32" s="47">
        <v>-62.18</v>
      </c>
    </row>
    <row r="33" spans="1:9" x14ac:dyDescent="0.2">
      <c r="A33" s="16">
        <f t="shared" si="0"/>
        <v>2025</v>
      </c>
      <c r="B33" s="17" t="str">
        <f t="shared" si="1"/>
        <v>SETEMBRO</v>
      </c>
      <c r="C33" s="17">
        <v>45905.481076388998</v>
      </c>
      <c r="D33" s="16" t="s">
        <v>155</v>
      </c>
      <c r="E33" s="16" t="s">
        <v>156</v>
      </c>
      <c r="F33" s="16" t="s">
        <v>73</v>
      </c>
      <c r="G33" s="16" t="s">
        <v>66</v>
      </c>
      <c r="H33" s="46" t="s">
        <v>138</v>
      </c>
      <c r="I33" s="47">
        <v>-21.5</v>
      </c>
    </row>
    <row r="34" spans="1:9" x14ac:dyDescent="0.2">
      <c r="A34" s="16">
        <f t="shared" ref="A34:A53" si="2">YEAR(C34)</f>
        <v>2025</v>
      </c>
      <c r="B34" s="17" t="str">
        <f t="shared" ref="B34:B65" si="3">UPPER(TEXT(C34,"MMMM"))</f>
        <v>SETEMBRO</v>
      </c>
      <c r="C34" s="17">
        <v>45905.599733796</v>
      </c>
      <c r="D34" s="16" t="s">
        <v>157</v>
      </c>
      <c r="E34" s="16" t="s">
        <v>158</v>
      </c>
      <c r="F34" s="16" t="s">
        <v>73</v>
      </c>
      <c r="G34" s="16" t="s">
        <v>66</v>
      </c>
      <c r="H34" s="46" t="s">
        <v>101</v>
      </c>
      <c r="I34" s="47">
        <v>-69.8</v>
      </c>
    </row>
    <row r="35" spans="1:9" x14ac:dyDescent="0.2">
      <c r="A35" s="16">
        <f t="shared" si="2"/>
        <v>2025</v>
      </c>
      <c r="B35" s="17" t="str">
        <f t="shared" si="3"/>
        <v>SETEMBRO</v>
      </c>
      <c r="C35" s="17">
        <v>45905.6171875</v>
      </c>
      <c r="D35" s="16" t="s">
        <v>159</v>
      </c>
      <c r="E35" s="16" t="s">
        <v>160</v>
      </c>
      <c r="F35" s="16" t="s">
        <v>73</v>
      </c>
      <c r="G35" s="16" t="s">
        <v>66</v>
      </c>
      <c r="H35" s="46" t="s">
        <v>161</v>
      </c>
      <c r="I35" s="47">
        <v>-36</v>
      </c>
    </row>
    <row r="36" spans="1:9" x14ac:dyDescent="0.2">
      <c r="A36" s="16">
        <f t="shared" si="2"/>
        <v>2025</v>
      </c>
      <c r="B36" s="17" t="str">
        <f t="shared" si="3"/>
        <v>SETEMBRO</v>
      </c>
      <c r="C36" s="17">
        <v>45911.696203703999</v>
      </c>
      <c r="D36" s="16" t="s">
        <v>162</v>
      </c>
      <c r="E36" s="16" t="s">
        <v>163</v>
      </c>
      <c r="F36" s="16" t="s">
        <v>73</v>
      </c>
      <c r="G36" s="16" t="s">
        <v>24</v>
      </c>
      <c r="H36" s="46" t="s">
        <v>76</v>
      </c>
      <c r="I36" s="47">
        <v>687.48</v>
      </c>
    </row>
    <row r="37" spans="1:9" x14ac:dyDescent="0.2">
      <c r="A37" s="16">
        <f t="shared" si="2"/>
        <v>2025</v>
      </c>
      <c r="B37" s="17" t="str">
        <f t="shared" si="3"/>
        <v>SETEMBRO</v>
      </c>
      <c r="C37" s="17">
        <v>45913.453206019003</v>
      </c>
      <c r="D37" s="16" t="s">
        <v>164</v>
      </c>
      <c r="E37" s="16" t="s">
        <v>165</v>
      </c>
      <c r="F37" s="16" t="s">
        <v>73</v>
      </c>
      <c r="G37" s="16" t="s">
        <v>21</v>
      </c>
      <c r="H37" s="46" t="s">
        <v>166</v>
      </c>
      <c r="I37" s="47">
        <v>-150</v>
      </c>
    </row>
    <row r="38" spans="1:9" x14ac:dyDescent="0.2">
      <c r="A38" s="16">
        <f t="shared" si="2"/>
        <v>2025</v>
      </c>
      <c r="B38" s="17" t="str">
        <f t="shared" si="3"/>
        <v>SETEMBRO</v>
      </c>
      <c r="C38" s="17">
        <v>45913.453414352</v>
      </c>
      <c r="D38" s="16" t="s">
        <v>167</v>
      </c>
      <c r="E38" s="16" t="s">
        <v>168</v>
      </c>
      <c r="F38" s="16" t="s">
        <v>73</v>
      </c>
      <c r="G38" s="16" t="s">
        <v>22</v>
      </c>
      <c r="H38" s="46" t="s">
        <v>23</v>
      </c>
      <c r="I38" s="47">
        <v>-7</v>
      </c>
    </row>
    <row r="39" spans="1:9" x14ac:dyDescent="0.2">
      <c r="A39" s="16">
        <f t="shared" si="2"/>
        <v>2025</v>
      </c>
      <c r="B39" s="17" t="str">
        <f t="shared" si="3"/>
        <v>SETEMBRO</v>
      </c>
      <c r="C39" s="17">
        <v>45913.490046295999</v>
      </c>
      <c r="D39" s="16" t="s">
        <v>169</v>
      </c>
      <c r="E39" s="16" t="s">
        <v>170</v>
      </c>
      <c r="F39" s="16" t="s">
        <v>73</v>
      </c>
      <c r="G39" s="16" t="s">
        <v>66</v>
      </c>
      <c r="H39" s="46" t="s">
        <v>101</v>
      </c>
      <c r="I39" s="47">
        <v>-139.6</v>
      </c>
    </row>
    <row r="40" spans="1:9" x14ac:dyDescent="0.2">
      <c r="A40" s="16">
        <f t="shared" si="2"/>
        <v>2025</v>
      </c>
      <c r="B40" s="17" t="str">
        <f t="shared" si="3"/>
        <v>SETEMBRO</v>
      </c>
      <c r="C40" s="17">
        <v>45918.707627315001</v>
      </c>
      <c r="D40" s="16" t="s">
        <v>171</v>
      </c>
      <c r="E40" s="16" t="s">
        <v>172</v>
      </c>
      <c r="F40" s="16" t="s">
        <v>73</v>
      </c>
      <c r="G40" s="16" t="s">
        <v>66</v>
      </c>
      <c r="H40" s="46" t="s">
        <v>130</v>
      </c>
      <c r="I40" s="47">
        <v>-129.69999999999999</v>
      </c>
    </row>
    <row r="41" spans="1:9" x14ac:dyDescent="0.2">
      <c r="A41" s="16">
        <f t="shared" si="2"/>
        <v>2025</v>
      </c>
      <c r="B41" s="17" t="str">
        <f t="shared" si="3"/>
        <v>SETEMBRO</v>
      </c>
      <c r="C41" s="17">
        <v>45925.529525462996</v>
      </c>
      <c r="D41" s="16" t="s">
        <v>173</v>
      </c>
      <c r="E41" s="16" t="s">
        <v>174</v>
      </c>
      <c r="F41" s="16" t="s">
        <v>73</v>
      </c>
      <c r="G41" s="16" t="s">
        <v>66</v>
      </c>
      <c r="H41" s="46" t="s">
        <v>138</v>
      </c>
      <c r="I41" s="47">
        <v>-5.7</v>
      </c>
    </row>
    <row r="42" spans="1:9" x14ac:dyDescent="0.2">
      <c r="A42" s="16">
        <f t="shared" si="2"/>
        <v>2025</v>
      </c>
      <c r="B42" s="17" t="str">
        <f t="shared" si="3"/>
        <v>SETEMBRO</v>
      </c>
      <c r="C42" s="17">
        <v>45925.724618056003</v>
      </c>
      <c r="D42" s="16" t="s">
        <v>175</v>
      </c>
      <c r="E42" s="16" t="s">
        <v>176</v>
      </c>
      <c r="F42" s="16" t="s">
        <v>73</v>
      </c>
      <c r="G42" s="16" t="s">
        <v>24</v>
      </c>
      <c r="H42" s="46" t="s">
        <v>76</v>
      </c>
      <c r="I42" s="47">
        <v>426.3</v>
      </c>
    </row>
    <row r="43" spans="1:9" x14ac:dyDescent="0.2">
      <c r="A43" s="16">
        <f t="shared" si="2"/>
        <v>2025</v>
      </c>
      <c r="B43" s="17" t="str">
        <f t="shared" si="3"/>
        <v>SETEMBRO</v>
      </c>
      <c r="C43" s="17">
        <v>45926.477905093001</v>
      </c>
      <c r="D43" s="16" t="s">
        <v>177</v>
      </c>
      <c r="E43" s="16" t="s">
        <v>178</v>
      </c>
      <c r="F43" s="16" t="s">
        <v>73</v>
      </c>
      <c r="G43" s="16" t="s">
        <v>66</v>
      </c>
      <c r="H43" s="46" t="s">
        <v>179</v>
      </c>
      <c r="I43" s="47">
        <v>-130</v>
      </c>
    </row>
    <row r="44" spans="1:9" x14ac:dyDescent="0.2">
      <c r="A44" s="16">
        <f t="shared" si="2"/>
        <v>2025</v>
      </c>
      <c r="B44" s="17" t="str">
        <f t="shared" si="3"/>
        <v>OUTUBRO</v>
      </c>
      <c r="C44" s="17">
        <v>45932.508599537003</v>
      </c>
      <c r="D44" s="16" t="s">
        <v>180</v>
      </c>
      <c r="E44" s="16" t="s">
        <v>181</v>
      </c>
      <c r="F44" s="16" t="s">
        <v>73</v>
      </c>
      <c r="G44" s="16" t="s">
        <v>66</v>
      </c>
      <c r="H44" s="46" t="s">
        <v>81</v>
      </c>
      <c r="I44" s="47">
        <v>-242</v>
      </c>
    </row>
    <row r="45" spans="1:9" x14ac:dyDescent="0.2">
      <c r="A45" s="16">
        <f t="shared" si="2"/>
        <v>2025</v>
      </c>
      <c r="B45" s="17" t="str">
        <f t="shared" si="3"/>
        <v>OUTUBRO</v>
      </c>
      <c r="C45" s="17">
        <v>45932.599467592998</v>
      </c>
      <c r="D45" s="16" t="s">
        <v>182</v>
      </c>
      <c r="E45" s="16" t="s">
        <v>183</v>
      </c>
      <c r="F45" s="16" t="s">
        <v>73</v>
      </c>
      <c r="G45" s="16" t="s">
        <v>66</v>
      </c>
      <c r="H45" s="46" t="s">
        <v>184</v>
      </c>
      <c r="I45" s="47">
        <v>-244</v>
      </c>
    </row>
    <row r="46" spans="1:9" x14ac:dyDescent="0.2">
      <c r="A46" s="16">
        <f t="shared" si="2"/>
        <v>2025</v>
      </c>
      <c r="B46" s="17" t="str">
        <f t="shared" si="3"/>
        <v>OUTUBRO</v>
      </c>
      <c r="C46" s="17">
        <v>45932.615775462997</v>
      </c>
      <c r="D46" s="16" t="s">
        <v>185</v>
      </c>
      <c r="E46" s="16" t="s">
        <v>186</v>
      </c>
      <c r="F46" s="16" t="s">
        <v>73</v>
      </c>
      <c r="G46" s="16" t="s">
        <v>66</v>
      </c>
      <c r="H46" s="46" t="s">
        <v>187</v>
      </c>
      <c r="I46" s="47">
        <v>-77.98</v>
      </c>
    </row>
    <row r="47" spans="1:9" x14ac:dyDescent="0.2">
      <c r="A47" s="16">
        <f t="shared" si="2"/>
        <v>2025</v>
      </c>
      <c r="B47" s="17" t="str">
        <f t="shared" si="3"/>
        <v>OUTUBRO</v>
      </c>
      <c r="C47" s="17">
        <v>45943.700370370003</v>
      </c>
      <c r="D47" s="16" t="s">
        <v>188</v>
      </c>
      <c r="E47" s="16" t="s">
        <v>189</v>
      </c>
      <c r="F47" s="16" t="s">
        <v>73</v>
      </c>
      <c r="G47" s="16" t="s">
        <v>24</v>
      </c>
      <c r="H47" s="46" t="s">
        <v>76</v>
      </c>
      <c r="I47" s="47">
        <v>692.48</v>
      </c>
    </row>
    <row r="48" spans="1:9" x14ac:dyDescent="0.2">
      <c r="A48" s="16">
        <f t="shared" si="2"/>
        <v>2025</v>
      </c>
      <c r="B48" s="17" t="str">
        <f t="shared" si="3"/>
        <v>OUTUBRO</v>
      </c>
      <c r="C48" s="17">
        <v>45948.503726852003</v>
      </c>
      <c r="D48" s="16" t="s">
        <v>190</v>
      </c>
      <c r="E48" s="16" t="s">
        <v>191</v>
      </c>
      <c r="F48" s="16" t="s">
        <v>73</v>
      </c>
      <c r="G48" s="16" t="s">
        <v>66</v>
      </c>
      <c r="H48" s="46" t="s">
        <v>81</v>
      </c>
      <c r="I48" s="47">
        <v>-30</v>
      </c>
    </row>
    <row r="49" spans="1:9" x14ac:dyDescent="0.2">
      <c r="A49" s="16">
        <f t="shared" si="2"/>
        <v>2025</v>
      </c>
      <c r="B49" s="17" t="str">
        <f t="shared" si="3"/>
        <v>OUTUBRO</v>
      </c>
      <c r="C49" s="17">
        <v>45953.496701388998</v>
      </c>
      <c r="D49" s="16" t="s">
        <v>192</v>
      </c>
      <c r="E49" s="16" t="s">
        <v>193</v>
      </c>
      <c r="F49" s="16" t="s">
        <v>73</v>
      </c>
      <c r="G49" s="16" t="s">
        <v>66</v>
      </c>
      <c r="H49" s="46" t="s">
        <v>194</v>
      </c>
      <c r="I49" s="47">
        <v>-130</v>
      </c>
    </row>
    <row r="50" spans="1:9" x14ac:dyDescent="0.2">
      <c r="A50" s="16">
        <f t="shared" si="2"/>
        <v>2025</v>
      </c>
      <c r="B50" s="17" t="str">
        <f t="shared" si="3"/>
        <v>OUTUBRO</v>
      </c>
      <c r="C50" s="17">
        <v>45953.637129629999</v>
      </c>
      <c r="D50" s="16" t="s">
        <v>195</v>
      </c>
      <c r="E50" s="16" t="s">
        <v>196</v>
      </c>
      <c r="F50" s="16" t="s">
        <v>73</v>
      </c>
      <c r="G50" s="16" t="s">
        <v>66</v>
      </c>
      <c r="H50" s="46" t="s">
        <v>141</v>
      </c>
      <c r="I50" s="47">
        <v>-177.14</v>
      </c>
    </row>
    <row r="51" spans="1:9" x14ac:dyDescent="0.2">
      <c r="A51" s="16">
        <f t="shared" si="2"/>
        <v>2025</v>
      </c>
      <c r="B51" s="17" t="str">
        <f t="shared" si="3"/>
        <v>OUTUBRO</v>
      </c>
      <c r="C51" s="17">
        <v>45954.427881944001</v>
      </c>
      <c r="D51" s="16" t="s">
        <v>197</v>
      </c>
      <c r="E51" s="16" t="s">
        <v>198</v>
      </c>
      <c r="F51" s="16" t="s">
        <v>73</v>
      </c>
      <c r="G51" s="16" t="s">
        <v>66</v>
      </c>
      <c r="H51" s="46" t="s">
        <v>141</v>
      </c>
      <c r="I51" s="47">
        <v>-126.62</v>
      </c>
    </row>
    <row r="52" spans="1:9" x14ac:dyDescent="0.2">
      <c r="A52" s="16">
        <f t="shared" si="2"/>
        <v>2025</v>
      </c>
      <c r="B52" s="17" t="str">
        <f t="shared" si="3"/>
        <v>OUTUBRO</v>
      </c>
      <c r="C52" s="17">
        <v>45954.443657406999</v>
      </c>
      <c r="D52" s="16" t="s">
        <v>199</v>
      </c>
      <c r="E52" s="16" t="s">
        <v>200</v>
      </c>
      <c r="F52" s="16" t="s">
        <v>73</v>
      </c>
      <c r="G52" s="16" t="s">
        <v>66</v>
      </c>
      <c r="H52" s="46" t="s">
        <v>201</v>
      </c>
      <c r="I52" s="47">
        <v>-9.15</v>
      </c>
    </row>
    <row r="53" spans="1:9" x14ac:dyDescent="0.2">
      <c r="A53" s="16">
        <f t="shared" si="2"/>
        <v>2025</v>
      </c>
      <c r="B53" s="17" t="str">
        <f t="shared" si="3"/>
        <v>OUTUBRO</v>
      </c>
      <c r="C53" s="17">
        <v>45954.461203703999</v>
      </c>
      <c r="D53" s="16" t="s">
        <v>202</v>
      </c>
      <c r="E53" s="16" t="s">
        <v>203</v>
      </c>
      <c r="F53" s="16" t="s">
        <v>73</v>
      </c>
      <c r="G53" s="16" t="s">
        <v>66</v>
      </c>
      <c r="H53" s="46" t="s">
        <v>194</v>
      </c>
      <c r="I53" s="47">
        <v>-130</v>
      </c>
    </row>
    <row r="54" spans="1:9" x14ac:dyDescent="0.2">
      <c r="A54" s="16">
        <f t="shared" ref="A54:A85" si="4">YEAR(C54)</f>
        <v>2025</v>
      </c>
      <c r="B54" s="17" t="str">
        <f t="shared" ref="B54:B85" si="5">UPPER(TEXT(C54,"MMMM"))</f>
        <v>OUTUBRO</v>
      </c>
      <c r="C54" s="17">
        <v>45957.707685185</v>
      </c>
      <c r="D54" s="16" t="s">
        <v>204</v>
      </c>
      <c r="E54" s="16" t="s">
        <v>205</v>
      </c>
      <c r="F54" s="16" t="s">
        <v>73</v>
      </c>
      <c r="G54" s="16" t="s">
        <v>24</v>
      </c>
      <c r="H54" s="46" t="s">
        <v>76</v>
      </c>
      <c r="I54" s="47">
        <v>610.11</v>
      </c>
    </row>
    <row r="55" spans="1:9" x14ac:dyDescent="0.2">
      <c r="A55" s="16">
        <f t="shared" si="4"/>
        <v>2025</v>
      </c>
      <c r="B55" s="17" t="str">
        <f t="shared" si="5"/>
        <v>OUTUBRO</v>
      </c>
      <c r="C55" s="17">
        <v>45960.362245370001</v>
      </c>
      <c r="D55" s="16" t="s">
        <v>206</v>
      </c>
      <c r="E55" s="16" t="s">
        <v>207</v>
      </c>
      <c r="F55" s="16" t="s">
        <v>73</v>
      </c>
      <c r="G55" s="16" t="s">
        <v>66</v>
      </c>
      <c r="H55" s="46" t="s">
        <v>208</v>
      </c>
      <c r="I55" s="47">
        <v>-118.7</v>
      </c>
    </row>
    <row r="56" spans="1:9" x14ac:dyDescent="0.2">
      <c r="A56" s="16">
        <f t="shared" si="4"/>
        <v>2025</v>
      </c>
      <c r="B56" s="17" t="str">
        <f t="shared" si="5"/>
        <v>OUTUBRO</v>
      </c>
      <c r="C56" s="17">
        <v>45960.374131944001</v>
      </c>
      <c r="D56" s="16" t="s">
        <v>209</v>
      </c>
      <c r="E56" s="16" t="s">
        <v>210</v>
      </c>
      <c r="F56" s="16" t="s">
        <v>73</v>
      </c>
      <c r="G56" s="16" t="s">
        <v>66</v>
      </c>
      <c r="H56" s="46" t="s">
        <v>211</v>
      </c>
      <c r="I56" s="47">
        <v>-255.89</v>
      </c>
    </row>
    <row r="57" spans="1:9" x14ac:dyDescent="0.2">
      <c r="A57" s="16">
        <f t="shared" si="4"/>
        <v>2025</v>
      </c>
      <c r="B57" s="17" t="str">
        <f t="shared" si="5"/>
        <v>OUTUBRO</v>
      </c>
      <c r="C57" s="17">
        <v>45960.614166667001</v>
      </c>
      <c r="D57" s="16" t="s">
        <v>212</v>
      </c>
      <c r="E57" s="16" t="s">
        <v>213</v>
      </c>
      <c r="F57" s="16" t="s">
        <v>73</v>
      </c>
      <c r="G57" s="16" t="s">
        <v>66</v>
      </c>
      <c r="H57" s="46" t="s">
        <v>151</v>
      </c>
      <c r="I57" s="47">
        <v>-112</v>
      </c>
    </row>
    <row r="58" spans="1:9" x14ac:dyDescent="0.2">
      <c r="A58" s="16">
        <f t="shared" si="4"/>
        <v>2025</v>
      </c>
      <c r="B58" s="17" t="str">
        <f t="shared" si="5"/>
        <v>NOVEMBRO</v>
      </c>
      <c r="C58" s="17">
        <v>45965.445763889002</v>
      </c>
      <c r="D58" s="16" t="s">
        <v>214</v>
      </c>
      <c r="E58" s="16" t="s">
        <v>215</v>
      </c>
      <c r="F58" s="16" t="s">
        <v>73</v>
      </c>
      <c r="G58" s="16" t="s">
        <v>66</v>
      </c>
      <c r="H58" s="46" t="s">
        <v>216</v>
      </c>
      <c r="I58" s="47">
        <v>-45</v>
      </c>
    </row>
    <row r="59" spans="1:9" x14ac:dyDescent="0.2">
      <c r="A59" s="16">
        <f t="shared" si="4"/>
        <v>2025</v>
      </c>
      <c r="B59" s="17" t="str">
        <f t="shared" si="5"/>
        <v>NOVEMBRO</v>
      </c>
      <c r="C59" s="17">
        <v>45972.586770832997</v>
      </c>
      <c r="D59" s="16" t="s">
        <v>217</v>
      </c>
      <c r="E59" s="16" t="s">
        <v>218</v>
      </c>
      <c r="F59" s="16" t="s">
        <v>73</v>
      </c>
      <c r="G59" s="16" t="s">
        <v>20</v>
      </c>
      <c r="H59" s="46" t="s">
        <v>219</v>
      </c>
      <c r="I59" s="47">
        <v>-168.41</v>
      </c>
    </row>
    <row r="60" spans="1:9" x14ac:dyDescent="0.2">
      <c r="A60" s="16">
        <f t="shared" si="4"/>
        <v>2025</v>
      </c>
      <c r="B60" s="17" t="str">
        <f t="shared" si="5"/>
        <v>NOVEMBRO</v>
      </c>
      <c r="C60" s="17">
        <v>45972.588171296004</v>
      </c>
      <c r="D60" s="16" t="s">
        <v>220</v>
      </c>
      <c r="E60" s="16" t="s">
        <v>221</v>
      </c>
      <c r="F60" s="16" t="s">
        <v>73</v>
      </c>
      <c r="G60" s="16" t="s">
        <v>24</v>
      </c>
      <c r="H60" s="46" t="s">
        <v>222</v>
      </c>
      <c r="I60" s="47">
        <v>168.41</v>
      </c>
    </row>
    <row r="61" spans="1:9" x14ac:dyDescent="0.2">
      <c r="A61" s="16">
        <f t="shared" si="4"/>
        <v>2025</v>
      </c>
      <c r="B61" s="17" t="str">
        <f t="shared" si="5"/>
        <v>NOVEMBRO</v>
      </c>
      <c r="C61" s="17">
        <v>45972.689942129997</v>
      </c>
      <c r="D61" s="16" t="s">
        <v>223</v>
      </c>
      <c r="E61" s="16" t="s">
        <v>224</v>
      </c>
      <c r="F61" s="16" t="s">
        <v>73</v>
      </c>
      <c r="G61" s="16" t="s">
        <v>24</v>
      </c>
      <c r="H61" s="46" t="s">
        <v>222</v>
      </c>
      <c r="I61" s="47">
        <v>524.39</v>
      </c>
    </row>
    <row r="62" spans="1:9" x14ac:dyDescent="0.2">
      <c r="A62" s="16">
        <f t="shared" si="4"/>
        <v>2025</v>
      </c>
      <c r="B62" s="17" t="str">
        <f t="shared" si="5"/>
        <v>NOVEMBRO</v>
      </c>
      <c r="C62" s="17">
        <v>45975.411805556003</v>
      </c>
      <c r="D62" s="16" t="s">
        <v>225</v>
      </c>
      <c r="E62" s="16" t="s">
        <v>226</v>
      </c>
      <c r="F62" s="16" t="s">
        <v>73</v>
      </c>
      <c r="G62" s="16" t="s">
        <v>66</v>
      </c>
      <c r="H62" s="46" t="s">
        <v>211</v>
      </c>
      <c r="I62" s="47">
        <v>-197.2</v>
      </c>
    </row>
    <row r="63" spans="1:9" x14ac:dyDescent="0.2">
      <c r="A63" s="16">
        <f t="shared" si="4"/>
        <v>2025</v>
      </c>
      <c r="B63" s="17" t="str">
        <f t="shared" si="5"/>
        <v>NOVEMBRO</v>
      </c>
      <c r="C63" s="17">
        <v>45983.402430556001</v>
      </c>
      <c r="D63" s="16" t="s">
        <v>227</v>
      </c>
      <c r="E63" s="16" t="s">
        <v>228</v>
      </c>
      <c r="F63" s="16" t="s">
        <v>73</v>
      </c>
      <c r="G63" s="16" t="s">
        <v>66</v>
      </c>
      <c r="H63" s="46" t="s">
        <v>81</v>
      </c>
      <c r="I63" s="47">
        <v>-90</v>
      </c>
    </row>
    <row r="64" spans="1:9" x14ac:dyDescent="0.2">
      <c r="A64" s="16">
        <f t="shared" si="4"/>
        <v>2025</v>
      </c>
      <c r="B64" s="17" t="str">
        <f t="shared" si="5"/>
        <v>NOVEMBRO</v>
      </c>
      <c r="C64" s="17">
        <v>45983.609456019003</v>
      </c>
      <c r="D64" s="16" t="s">
        <v>229</v>
      </c>
      <c r="E64" s="16" t="s">
        <v>230</v>
      </c>
      <c r="F64" s="16" t="s">
        <v>73</v>
      </c>
      <c r="G64" s="16" t="s">
        <v>21</v>
      </c>
      <c r="H64" s="46" t="s">
        <v>111</v>
      </c>
      <c r="I64" s="47">
        <v>-200</v>
      </c>
    </row>
    <row r="65" spans="1:9" x14ac:dyDescent="0.2">
      <c r="A65" s="16">
        <f t="shared" si="4"/>
        <v>2025</v>
      </c>
      <c r="B65" s="17" t="str">
        <f t="shared" si="5"/>
        <v>NOVEMBRO</v>
      </c>
      <c r="C65" s="17">
        <v>45983.609594907</v>
      </c>
      <c r="D65" s="16" t="s">
        <v>231</v>
      </c>
      <c r="E65" s="16" t="s">
        <v>232</v>
      </c>
      <c r="F65" s="16" t="s">
        <v>73</v>
      </c>
      <c r="G65" s="16" t="s">
        <v>22</v>
      </c>
      <c r="H65" s="46" t="s">
        <v>23</v>
      </c>
      <c r="I65" s="47">
        <v>-7</v>
      </c>
    </row>
    <row r="66" spans="1:9" x14ac:dyDescent="0.2">
      <c r="A66" s="16">
        <f t="shared" si="4"/>
        <v>2025</v>
      </c>
      <c r="B66" s="17" t="str">
        <f t="shared" si="5"/>
        <v>NOVEMBRO</v>
      </c>
      <c r="C66" s="17">
        <v>45986.709374999999</v>
      </c>
      <c r="D66" s="16" t="s">
        <v>233</v>
      </c>
      <c r="E66" s="16" t="s">
        <v>234</v>
      </c>
      <c r="F66" s="16" t="s">
        <v>73</v>
      </c>
      <c r="G66" s="16" t="s">
        <v>24</v>
      </c>
      <c r="H66" s="46" t="s">
        <v>222</v>
      </c>
      <c r="I66" s="47">
        <v>431.4</v>
      </c>
    </row>
    <row r="67" spans="1:9" x14ac:dyDescent="0.2">
      <c r="A67" s="16">
        <f t="shared" si="4"/>
        <v>2025</v>
      </c>
      <c r="B67" s="17" t="str">
        <f t="shared" si="5"/>
        <v>NOVEMBRO</v>
      </c>
      <c r="C67" s="17">
        <v>45990.416527777998</v>
      </c>
      <c r="D67" s="16" t="s">
        <v>235</v>
      </c>
      <c r="E67" s="16" t="s">
        <v>236</v>
      </c>
      <c r="F67" s="16" t="s">
        <v>73</v>
      </c>
      <c r="G67" s="16" t="s">
        <v>66</v>
      </c>
      <c r="H67" s="46" t="s">
        <v>237</v>
      </c>
      <c r="I67" s="47">
        <v>-151.85</v>
      </c>
    </row>
    <row r="68" spans="1:9" x14ac:dyDescent="0.2">
      <c r="A68" s="16">
        <f t="shared" si="4"/>
        <v>2025</v>
      </c>
      <c r="B68" s="17" t="str">
        <f t="shared" si="5"/>
        <v>DEZEMBRO</v>
      </c>
      <c r="C68" s="17">
        <v>45995.499537037002</v>
      </c>
      <c r="D68" s="16" t="s">
        <v>238</v>
      </c>
      <c r="E68" s="16" t="s">
        <v>239</v>
      </c>
      <c r="F68" s="16" t="s">
        <v>73</v>
      </c>
      <c r="G68" s="16" t="s">
        <v>66</v>
      </c>
      <c r="H68" s="46" t="s">
        <v>81</v>
      </c>
      <c r="I68" s="47">
        <v>-250</v>
      </c>
    </row>
    <row r="69" spans="1:9" x14ac:dyDescent="0.2">
      <c r="A69" s="16">
        <f t="shared" si="4"/>
        <v>2025</v>
      </c>
      <c r="B69" s="17" t="str">
        <f t="shared" si="5"/>
        <v>DEZEMBRO</v>
      </c>
      <c r="C69" s="17">
        <v>46002.675208332999</v>
      </c>
      <c r="D69" s="16" t="s">
        <v>240</v>
      </c>
      <c r="E69" s="16" t="s">
        <v>241</v>
      </c>
      <c r="F69" s="16" t="s">
        <v>73</v>
      </c>
      <c r="G69" s="16" t="s">
        <v>24</v>
      </c>
      <c r="H69" s="46" t="s">
        <v>222</v>
      </c>
      <c r="I69" s="47">
        <v>154.65</v>
      </c>
    </row>
    <row r="70" spans="1:9" x14ac:dyDescent="0.2">
      <c r="A70" s="16">
        <f t="shared" si="4"/>
        <v>2025</v>
      </c>
      <c r="B70" s="17" t="str">
        <f t="shared" si="5"/>
        <v>DEZEMBRO</v>
      </c>
      <c r="C70" s="17">
        <v>46007.440034722</v>
      </c>
      <c r="D70" s="16" t="s">
        <v>242</v>
      </c>
      <c r="E70" s="16" t="s">
        <v>243</v>
      </c>
      <c r="F70" s="16" t="s">
        <v>73</v>
      </c>
      <c r="G70" s="16" t="s">
        <v>66</v>
      </c>
      <c r="H70" s="46" t="s">
        <v>244</v>
      </c>
      <c r="I70" s="47">
        <v>-130</v>
      </c>
    </row>
    <row r="71" spans="1:9" x14ac:dyDescent="0.2">
      <c r="A71" s="16">
        <f t="shared" si="4"/>
        <v>2025</v>
      </c>
      <c r="B71" s="17" t="str">
        <f t="shared" si="5"/>
        <v>DEZEMBRO</v>
      </c>
      <c r="C71" s="17">
        <v>46010.403761574002</v>
      </c>
      <c r="D71" s="16" t="s">
        <v>245</v>
      </c>
      <c r="E71" s="16" t="s">
        <v>246</v>
      </c>
      <c r="F71" s="16" t="s">
        <v>73</v>
      </c>
      <c r="G71" s="16" t="s">
        <v>66</v>
      </c>
      <c r="H71" s="46" t="s">
        <v>211</v>
      </c>
      <c r="I71" s="47">
        <v>-134.03</v>
      </c>
    </row>
    <row r="72" spans="1:9" x14ac:dyDescent="0.2">
      <c r="A72" s="16">
        <f t="shared" si="4"/>
        <v>2026</v>
      </c>
      <c r="B72" s="17" t="str">
        <f t="shared" si="5"/>
        <v>JANEIRO</v>
      </c>
      <c r="C72" s="17">
        <v>46031.500868055999</v>
      </c>
      <c r="D72" s="16" t="s">
        <v>247</v>
      </c>
      <c r="E72" s="16" t="s">
        <v>248</v>
      </c>
      <c r="F72" s="16" t="s">
        <v>73</v>
      </c>
      <c r="G72" s="16" t="s">
        <v>66</v>
      </c>
      <c r="H72" s="46" t="s">
        <v>141</v>
      </c>
      <c r="I72" s="47">
        <v>-39.229999999999997</v>
      </c>
    </row>
    <row r="73" spans="1:9" x14ac:dyDescent="0.2">
      <c r="A73" s="16">
        <f t="shared" si="4"/>
        <v>2026</v>
      </c>
      <c r="B73" s="17" t="str">
        <f t="shared" si="5"/>
        <v>JANEIRO</v>
      </c>
      <c r="C73" s="17">
        <v>46031.520752315002</v>
      </c>
      <c r="D73" s="16" t="s">
        <v>249</v>
      </c>
      <c r="E73" s="16" t="s">
        <v>250</v>
      </c>
      <c r="F73" s="16" t="s">
        <v>73</v>
      </c>
      <c r="G73" s="16" t="s">
        <v>66</v>
      </c>
      <c r="H73" s="46" t="s">
        <v>95</v>
      </c>
      <c r="I73" s="47">
        <v>-15</v>
      </c>
    </row>
    <row r="74" spans="1:9" x14ac:dyDescent="0.2">
      <c r="A74" s="16">
        <f t="shared" si="4"/>
        <v>2026</v>
      </c>
      <c r="B74" s="17" t="str">
        <f t="shared" si="5"/>
        <v>JANEIRO</v>
      </c>
      <c r="C74" s="17">
        <v>46035.339467593003</v>
      </c>
      <c r="D74" s="16" t="s">
        <v>251</v>
      </c>
      <c r="E74" s="16" t="s">
        <v>252</v>
      </c>
      <c r="F74" s="16" t="s">
        <v>73</v>
      </c>
      <c r="G74" s="16" t="s">
        <v>24</v>
      </c>
      <c r="H74" s="46" t="s">
        <v>222</v>
      </c>
      <c r="I74" s="47">
        <v>584.03</v>
      </c>
    </row>
    <row r="75" spans="1:9" x14ac:dyDescent="0.2">
      <c r="A75" s="16">
        <f t="shared" si="4"/>
        <v>2026</v>
      </c>
      <c r="B75" s="17" t="str">
        <f t="shared" si="5"/>
        <v>JANEIRO</v>
      </c>
      <c r="C75" s="17">
        <v>46038.565057870001</v>
      </c>
      <c r="D75" s="16" t="s">
        <v>253</v>
      </c>
      <c r="E75" s="16" t="s">
        <v>254</v>
      </c>
      <c r="F75" s="16" t="s">
        <v>73</v>
      </c>
      <c r="G75" s="16" t="s">
        <v>21</v>
      </c>
      <c r="H75" s="46" t="s">
        <v>111</v>
      </c>
      <c r="I75" s="47">
        <v>-400</v>
      </c>
    </row>
    <row r="76" spans="1:9" x14ac:dyDescent="0.2">
      <c r="A76" s="16">
        <f t="shared" si="4"/>
        <v>2026</v>
      </c>
      <c r="B76" s="17" t="str">
        <f t="shared" si="5"/>
        <v>JANEIRO</v>
      </c>
      <c r="C76" s="17">
        <v>46038.565416666999</v>
      </c>
      <c r="D76" s="16" t="s">
        <v>255</v>
      </c>
      <c r="E76" s="16" t="s">
        <v>256</v>
      </c>
      <c r="F76" s="16" t="s">
        <v>73</v>
      </c>
      <c r="G76" s="16" t="s">
        <v>22</v>
      </c>
      <c r="H76" s="46" t="s">
        <v>23</v>
      </c>
      <c r="I76" s="47">
        <v>-7</v>
      </c>
    </row>
    <row r="77" spans="1:9" x14ac:dyDescent="0.2">
      <c r="A77" s="16">
        <f t="shared" si="4"/>
        <v>2026</v>
      </c>
      <c r="B77" s="17" t="str">
        <f t="shared" si="5"/>
        <v>JANEIRO</v>
      </c>
      <c r="C77" s="17">
        <v>46042.580347222</v>
      </c>
      <c r="D77" s="16" t="s">
        <v>257</v>
      </c>
      <c r="E77" s="16" t="s">
        <v>258</v>
      </c>
      <c r="F77" s="16" t="s">
        <v>73</v>
      </c>
      <c r="G77" s="16" t="s">
        <v>66</v>
      </c>
      <c r="H77" s="46" t="s">
        <v>259</v>
      </c>
      <c r="I77" s="47">
        <v>-207.51</v>
      </c>
    </row>
    <row r="78" spans="1:9" x14ac:dyDescent="0.2">
      <c r="A78" s="16">
        <f t="shared" si="4"/>
        <v>2026</v>
      </c>
      <c r="B78" s="17" t="str">
        <f t="shared" si="5"/>
        <v>JANEIRO</v>
      </c>
      <c r="C78" s="17">
        <v>46048.613275463002</v>
      </c>
      <c r="D78" s="16" t="s">
        <v>260</v>
      </c>
      <c r="E78" s="16" t="s">
        <v>261</v>
      </c>
      <c r="F78" s="16" t="s">
        <v>73</v>
      </c>
      <c r="G78" s="16" t="s">
        <v>24</v>
      </c>
      <c r="H78" s="46" t="s">
        <v>222</v>
      </c>
      <c r="I78" s="47">
        <v>665.94</v>
      </c>
    </row>
    <row r="79" spans="1:9" x14ac:dyDescent="0.2">
      <c r="A79" s="16">
        <f t="shared" si="4"/>
        <v>2026</v>
      </c>
      <c r="B79" s="17" t="str">
        <f t="shared" si="5"/>
        <v>FEVEREIRO</v>
      </c>
      <c r="C79" s="17">
        <v>46054.477662037003</v>
      </c>
      <c r="D79" s="16" t="s">
        <v>262</v>
      </c>
      <c r="E79" s="16" t="s">
        <v>263</v>
      </c>
      <c r="F79" s="16" t="s">
        <v>73</v>
      </c>
      <c r="G79" s="16" t="s">
        <v>66</v>
      </c>
      <c r="H79" s="46" t="s">
        <v>264</v>
      </c>
      <c r="I79" s="47">
        <v>-26.65</v>
      </c>
    </row>
    <row r="80" spans="1:9" x14ac:dyDescent="0.2">
      <c r="A80" s="16">
        <f t="shared" si="4"/>
        <v>2026</v>
      </c>
      <c r="B80" s="17" t="str">
        <f t="shared" si="5"/>
        <v>FEVEREIRO</v>
      </c>
      <c r="C80" s="17">
        <v>46055.612534722</v>
      </c>
      <c r="D80" s="16" t="s">
        <v>265</v>
      </c>
      <c r="E80" s="16" t="s">
        <v>266</v>
      </c>
      <c r="F80" s="16" t="s">
        <v>73</v>
      </c>
      <c r="G80" s="16" t="s">
        <v>66</v>
      </c>
      <c r="H80" s="46" t="s">
        <v>211</v>
      </c>
      <c r="I80" s="47">
        <v>-171.86</v>
      </c>
    </row>
    <row r="81" spans="1:9" x14ac:dyDescent="0.2">
      <c r="A81" s="16">
        <f t="shared" si="4"/>
        <v>2026</v>
      </c>
      <c r="B81" s="17" t="str">
        <f t="shared" si="5"/>
        <v>FEVEREIRO</v>
      </c>
      <c r="C81" s="17">
        <v>46057.499155092999</v>
      </c>
      <c r="D81" s="16" t="s">
        <v>267</v>
      </c>
      <c r="E81" s="16" t="s">
        <v>268</v>
      </c>
      <c r="F81" s="16" t="s">
        <v>73</v>
      </c>
      <c r="G81" s="16" t="s">
        <v>66</v>
      </c>
      <c r="H81" s="46" t="s">
        <v>269</v>
      </c>
      <c r="I81" s="47">
        <v>-140</v>
      </c>
    </row>
    <row r="82" spans="1:9" x14ac:dyDescent="0.2">
      <c r="A82" s="16">
        <f t="shared" si="4"/>
        <v>2026</v>
      </c>
      <c r="B82" s="17" t="str">
        <f t="shared" si="5"/>
        <v>FEVEREIRO</v>
      </c>
      <c r="C82" s="17">
        <v>46062.496898147998</v>
      </c>
      <c r="D82" s="16" t="s">
        <v>270</v>
      </c>
      <c r="E82" s="16" t="s">
        <v>271</v>
      </c>
      <c r="F82" s="16" t="s">
        <v>73</v>
      </c>
      <c r="G82" s="16" t="s">
        <v>66</v>
      </c>
      <c r="H82" s="46" t="s">
        <v>272</v>
      </c>
      <c r="I82" s="47">
        <v>-95</v>
      </c>
    </row>
    <row r="83" spans="1:9" x14ac:dyDescent="0.2">
      <c r="A83" s="16">
        <f t="shared" si="4"/>
        <v>2026</v>
      </c>
      <c r="B83" s="17" t="str">
        <f t="shared" si="5"/>
        <v>FEVEREIRO</v>
      </c>
      <c r="C83" s="17">
        <v>46063.462986111001</v>
      </c>
      <c r="D83" s="16" t="s">
        <v>273</v>
      </c>
      <c r="E83" s="16" t="s">
        <v>274</v>
      </c>
      <c r="F83" s="16" t="s">
        <v>73</v>
      </c>
      <c r="G83" s="16" t="s">
        <v>66</v>
      </c>
      <c r="H83" s="46" t="s">
        <v>211</v>
      </c>
      <c r="I83" s="47">
        <v>-113</v>
      </c>
    </row>
    <row r="84" spans="1:9" x14ac:dyDescent="0.2">
      <c r="A84" s="16">
        <f t="shared" si="4"/>
        <v>2026</v>
      </c>
      <c r="B84" s="17" t="str">
        <f t="shared" si="5"/>
        <v>FEVEREIRO</v>
      </c>
      <c r="C84" s="17">
        <v>46064.562071758999</v>
      </c>
      <c r="D84" s="16" t="s">
        <v>275</v>
      </c>
      <c r="E84" s="16" t="s">
        <v>276</v>
      </c>
      <c r="F84" s="16" t="s">
        <v>73</v>
      </c>
      <c r="G84" s="16" t="s">
        <v>20</v>
      </c>
      <c r="H84" s="46" t="s">
        <v>277</v>
      </c>
      <c r="I84" s="47">
        <v>-153.49</v>
      </c>
    </row>
    <row r="85" spans="1:9" x14ac:dyDescent="0.2">
      <c r="A85" s="16">
        <f t="shared" si="4"/>
        <v>2026</v>
      </c>
      <c r="B85" s="17" t="str">
        <f t="shared" si="5"/>
        <v>FEVEREIRO</v>
      </c>
      <c r="C85" s="17">
        <v>46064.567372685</v>
      </c>
      <c r="D85" s="16" t="s">
        <v>278</v>
      </c>
      <c r="E85" s="16" t="s">
        <v>279</v>
      </c>
      <c r="F85" s="16" t="s">
        <v>73</v>
      </c>
      <c r="G85" s="16" t="s">
        <v>24</v>
      </c>
      <c r="H85" s="46" t="s">
        <v>280</v>
      </c>
      <c r="I85" s="47">
        <v>153.49</v>
      </c>
    </row>
    <row r="86" spans="1:9" x14ac:dyDescent="0.2">
      <c r="A86" s="16">
        <f t="shared" ref="A86:A111" si="6">YEAR(C86)</f>
        <v>2026</v>
      </c>
      <c r="B86" s="17" t="str">
        <f t="shared" ref="B86:B111" si="7">UPPER(TEXT(C86,"MMMM"))</f>
        <v>FEVEREIRO</v>
      </c>
      <c r="C86" s="17">
        <v>46064.643599536997</v>
      </c>
      <c r="D86" s="16" t="s">
        <v>281</v>
      </c>
      <c r="E86" s="16" t="s">
        <v>282</v>
      </c>
      <c r="F86" s="16" t="s">
        <v>73</v>
      </c>
      <c r="G86" s="16" t="s">
        <v>24</v>
      </c>
      <c r="H86" s="46" t="s">
        <v>280</v>
      </c>
      <c r="I86" s="47">
        <v>136.61000000000001</v>
      </c>
    </row>
    <row r="87" spans="1:9" x14ac:dyDescent="0.2">
      <c r="A87" s="16">
        <f t="shared" si="6"/>
        <v>2026</v>
      </c>
      <c r="B87" s="17" t="str">
        <f t="shared" si="7"/>
        <v>FEVEREIRO</v>
      </c>
      <c r="C87" s="17">
        <v>46066.442326388998</v>
      </c>
      <c r="D87" s="16" t="s">
        <v>283</v>
      </c>
      <c r="E87" s="16" t="s">
        <v>284</v>
      </c>
      <c r="F87" s="16" t="s">
        <v>73</v>
      </c>
      <c r="G87" s="16" t="s">
        <v>20</v>
      </c>
      <c r="H87" s="46" t="s">
        <v>285</v>
      </c>
      <c r="I87" s="47">
        <v>-290.10000000000002</v>
      </c>
    </row>
    <row r="88" spans="1:9" x14ac:dyDescent="0.2">
      <c r="A88" s="16">
        <f t="shared" si="6"/>
        <v>2026</v>
      </c>
      <c r="B88" s="17" t="str">
        <f t="shared" si="7"/>
        <v>FEVEREIRO</v>
      </c>
      <c r="C88" s="17">
        <v>46066.608136574003</v>
      </c>
      <c r="D88" s="16" t="s">
        <v>286</v>
      </c>
      <c r="E88" s="16" t="s">
        <v>287</v>
      </c>
      <c r="F88" s="16" t="s">
        <v>73</v>
      </c>
      <c r="G88" s="16" t="s">
        <v>24</v>
      </c>
      <c r="H88" s="46" t="s">
        <v>280</v>
      </c>
      <c r="I88" s="47">
        <v>290.10000000000002</v>
      </c>
    </row>
    <row r="89" spans="1:9" x14ac:dyDescent="0.2">
      <c r="A89" s="16">
        <f t="shared" si="6"/>
        <v>2026</v>
      </c>
      <c r="B89" s="17" t="str">
        <f t="shared" si="7"/>
        <v>FEVEREIRO</v>
      </c>
      <c r="C89" s="17">
        <v>46078.646643519001</v>
      </c>
      <c r="D89" s="16" t="s">
        <v>288</v>
      </c>
      <c r="E89" s="16" t="s">
        <v>289</v>
      </c>
      <c r="F89" s="16" t="s">
        <v>73</v>
      </c>
      <c r="G89" s="16" t="s">
        <v>24</v>
      </c>
      <c r="H89" s="46" t="s">
        <v>280</v>
      </c>
      <c r="I89" s="47">
        <v>409.9</v>
      </c>
    </row>
    <row r="90" spans="1:9" x14ac:dyDescent="0.2">
      <c r="A90" s="16">
        <f t="shared" si="6"/>
        <v>2026</v>
      </c>
      <c r="B90" s="17" t="str">
        <f t="shared" si="7"/>
        <v>MARÇO</v>
      </c>
      <c r="C90" s="17">
        <v>46097.412245369997</v>
      </c>
      <c r="D90" s="16" t="s">
        <v>290</v>
      </c>
      <c r="E90" s="16" t="s">
        <v>291</v>
      </c>
      <c r="F90" s="16" t="s">
        <v>73</v>
      </c>
      <c r="G90" s="16" t="s">
        <v>24</v>
      </c>
      <c r="H90" s="46" t="s">
        <v>280</v>
      </c>
      <c r="I90" s="47">
        <v>145.1</v>
      </c>
    </row>
    <row r="91" spans="1:9" x14ac:dyDescent="0.2">
      <c r="A91" s="16">
        <f t="shared" si="6"/>
        <v>2026</v>
      </c>
      <c r="B91" s="17" t="str">
        <f t="shared" si="7"/>
        <v>ABRIL</v>
      </c>
      <c r="C91" s="17">
        <v>46125.734108796001</v>
      </c>
      <c r="D91" s="16" t="s">
        <v>292</v>
      </c>
      <c r="E91" s="16" t="s">
        <v>293</v>
      </c>
      <c r="F91" s="16" t="s">
        <v>73</v>
      </c>
      <c r="G91" s="16" t="s">
        <v>24</v>
      </c>
      <c r="H91" s="46" t="s">
        <v>280</v>
      </c>
      <c r="I91" s="47">
        <v>93</v>
      </c>
    </row>
    <row r="92" spans="1:9" x14ac:dyDescent="0.2">
      <c r="A92" s="16">
        <f t="shared" si="6"/>
        <v>2026</v>
      </c>
      <c r="B92" s="17" t="str">
        <f t="shared" si="7"/>
        <v>ABRIL</v>
      </c>
      <c r="C92" s="17">
        <v>46139.700752315002</v>
      </c>
      <c r="D92" s="16" t="s">
        <v>294</v>
      </c>
      <c r="E92" s="16" t="s">
        <v>295</v>
      </c>
      <c r="F92" s="16" t="s">
        <v>73</v>
      </c>
      <c r="G92" s="16" t="s">
        <v>24</v>
      </c>
      <c r="H92" s="46" t="s">
        <v>280</v>
      </c>
      <c r="I92" s="47">
        <v>61.9</v>
      </c>
    </row>
    <row r="93" spans="1:9" x14ac:dyDescent="0.2">
      <c r="A93" s="16">
        <f t="shared" si="6"/>
        <v>2026</v>
      </c>
      <c r="B93" s="17" t="str">
        <f t="shared" si="7"/>
        <v>MAIO</v>
      </c>
      <c r="C93" s="17">
        <v>46167.424305556</v>
      </c>
      <c r="D93" s="16" t="s">
        <v>296</v>
      </c>
      <c r="E93" s="16" t="s">
        <v>297</v>
      </c>
      <c r="F93" s="16" t="s">
        <v>73</v>
      </c>
      <c r="G93" s="16" t="s">
        <v>21</v>
      </c>
      <c r="H93" s="46" t="s">
        <v>298</v>
      </c>
      <c r="I93" s="47">
        <v>-990</v>
      </c>
    </row>
    <row r="94" spans="1:9" x14ac:dyDescent="0.2">
      <c r="A94" s="16">
        <f t="shared" si="6"/>
        <v>2026</v>
      </c>
      <c r="B94" s="17" t="str">
        <f t="shared" si="7"/>
        <v>MAIO</v>
      </c>
      <c r="C94" s="17">
        <v>46167.424467593002</v>
      </c>
      <c r="D94" s="16" t="s">
        <v>299</v>
      </c>
      <c r="E94" s="16" t="s">
        <v>300</v>
      </c>
      <c r="F94" s="16" t="s">
        <v>73</v>
      </c>
      <c r="G94" s="16" t="s">
        <v>22</v>
      </c>
      <c r="H94" s="46" t="s">
        <v>23</v>
      </c>
      <c r="I94" s="47">
        <v>-7</v>
      </c>
    </row>
    <row r="95" spans="1:9" x14ac:dyDescent="0.2">
      <c r="A95" s="16">
        <f t="shared" si="6"/>
        <v>2026</v>
      </c>
      <c r="B95" s="17" t="str">
        <f t="shared" si="7"/>
        <v>JUNHO</v>
      </c>
      <c r="C95" s="17">
        <v>46184.621400463002</v>
      </c>
      <c r="D95" s="16" t="s">
        <v>301</v>
      </c>
      <c r="E95" s="16" t="s">
        <v>302</v>
      </c>
      <c r="F95" s="16" t="s">
        <v>73</v>
      </c>
      <c r="G95" s="16" t="s">
        <v>24</v>
      </c>
      <c r="H95" s="46" t="s">
        <v>280</v>
      </c>
      <c r="I95" s="47">
        <v>395.59</v>
      </c>
    </row>
    <row r="96" spans="1:9" x14ac:dyDescent="0.2">
      <c r="A96" s="16">
        <f t="shared" si="6"/>
        <v>2026</v>
      </c>
      <c r="B96" s="17" t="str">
        <f t="shared" si="7"/>
        <v>JUNHO</v>
      </c>
      <c r="C96" s="17">
        <v>46185.616180555997</v>
      </c>
      <c r="D96" s="16" t="s">
        <v>303</v>
      </c>
      <c r="E96" s="16" t="s">
        <v>304</v>
      </c>
      <c r="F96" s="16" t="s">
        <v>73</v>
      </c>
      <c r="G96" s="16" t="s">
        <v>21</v>
      </c>
      <c r="H96" s="46" t="s">
        <v>298</v>
      </c>
      <c r="I96" s="47">
        <v>-350</v>
      </c>
    </row>
    <row r="97" spans="1:9" x14ac:dyDescent="0.2">
      <c r="A97" s="16">
        <f t="shared" si="6"/>
        <v>2026</v>
      </c>
      <c r="B97" s="17" t="str">
        <f t="shared" si="7"/>
        <v>JUNHO</v>
      </c>
      <c r="C97" s="17">
        <v>46185.626770832998</v>
      </c>
      <c r="D97" s="16" t="s">
        <v>305</v>
      </c>
      <c r="E97" s="16" t="s">
        <v>306</v>
      </c>
      <c r="F97" s="16" t="s">
        <v>73</v>
      </c>
      <c r="G97" s="16" t="s">
        <v>22</v>
      </c>
      <c r="H97" s="46" t="s">
        <v>23</v>
      </c>
      <c r="I97" s="47">
        <v>-7</v>
      </c>
    </row>
    <row r="98" spans="1:9" x14ac:dyDescent="0.2">
      <c r="A98" s="16">
        <f t="shared" si="6"/>
        <v>2026</v>
      </c>
      <c r="B98" s="17" t="str">
        <f t="shared" si="7"/>
        <v>JUNHO</v>
      </c>
      <c r="C98" s="17">
        <v>46188.588171296004</v>
      </c>
      <c r="D98" s="16" t="s">
        <v>220</v>
      </c>
      <c r="E98" s="16" t="s">
        <v>307</v>
      </c>
      <c r="F98" s="16" t="s">
        <v>73</v>
      </c>
      <c r="G98" s="16" t="s">
        <v>66</v>
      </c>
      <c r="H98" s="46" t="s">
        <v>308</v>
      </c>
      <c r="I98" s="47">
        <v>-11</v>
      </c>
    </row>
    <row r="99" spans="1:9" x14ac:dyDescent="0.2">
      <c r="A99" s="16">
        <f t="shared" si="6"/>
        <v>2026</v>
      </c>
      <c r="B99" s="17" t="str">
        <f t="shared" si="7"/>
        <v>JUNHO</v>
      </c>
      <c r="C99" s="17">
        <v>46188.630370370003</v>
      </c>
      <c r="D99" s="16" t="s">
        <v>309</v>
      </c>
      <c r="E99" s="16" t="s">
        <v>310</v>
      </c>
      <c r="F99" s="16" t="s">
        <v>73</v>
      </c>
      <c r="G99" s="16" t="s">
        <v>66</v>
      </c>
      <c r="H99" s="46" t="s">
        <v>311</v>
      </c>
      <c r="I99" s="47">
        <v>-11</v>
      </c>
    </row>
    <row r="100" spans="1:9" x14ac:dyDescent="0.2">
      <c r="A100" s="16">
        <f t="shared" si="6"/>
        <v>2026</v>
      </c>
      <c r="B100" s="17" t="str">
        <f t="shared" si="7"/>
        <v>JUNHO</v>
      </c>
      <c r="C100" s="17">
        <v>46198.629687499997</v>
      </c>
      <c r="D100" s="16" t="s">
        <v>312</v>
      </c>
      <c r="E100" s="16" t="s">
        <v>313</v>
      </c>
      <c r="F100" s="16" t="s">
        <v>73</v>
      </c>
      <c r="G100" s="16" t="s">
        <v>24</v>
      </c>
      <c r="H100" s="46" t="s">
        <v>280</v>
      </c>
      <c r="I100" s="47">
        <v>928.51</v>
      </c>
    </row>
    <row r="101" spans="1:9" x14ac:dyDescent="0.2">
      <c r="A101" s="16">
        <f t="shared" si="6"/>
        <v>2026</v>
      </c>
      <c r="B101" s="17" t="str">
        <f t="shared" si="7"/>
        <v>JUNHO</v>
      </c>
      <c r="C101" s="17">
        <v>46199.419652778</v>
      </c>
      <c r="D101" s="16" t="s">
        <v>314</v>
      </c>
      <c r="E101" s="16" t="s">
        <v>315</v>
      </c>
      <c r="F101" s="16" t="s">
        <v>73</v>
      </c>
      <c r="G101" s="16" t="s">
        <v>66</v>
      </c>
      <c r="H101" s="46" t="s">
        <v>316</v>
      </c>
      <c r="I101" s="47">
        <v>-120</v>
      </c>
    </row>
    <row r="102" spans="1:9" x14ac:dyDescent="0.2">
      <c r="A102" s="16">
        <f t="shared" si="6"/>
        <v>2026</v>
      </c>
      <c r="B102" s="17" t="str">
        <f t="shared" si="7"/>
        <v>JUNHO</v>
      </c>
      <c r="C102" s="17">
        <v>46202.486979166999</v>
      </c>
      <c r="D102" s="16" t="s">
        <v>317</v>
      </c>
      <c r="E102" s="16" t="s">
        <v>318</v>
      </c>
      <c r="F102" s="16" t="s">
        <v>73</v>
      </c>
      <c r="G102" s="16" t="s">
        <v>66</v>
      </c>
      <c r="H102" s="46" t="s">
        <v>319</v>
      </c>
      <c r="I102" s="47">
        <v>-40</v>
      </c>
    </row>
    <row r="103" spans="1:9" x14ac:dyDescent="0.2">
      <c r="A103" s="16">
        <f t="shared" si="6"/>
        <v>2026</v>
      </c>
      <c r="B103" s="17" t="str">
        <f t="shared" si="7"/>
        <v>JUNHO</v>
      </c>
      <c r="C103" s="17">
        <v>46203.411168981002</v>
      </c>
      <c r="D103" s="16" t="s">
        <v>320</v>
      </c>
      <c r="E103" s="16" t="s">
        <v>321</v>
      </c>
      <c r="F103" s="16" t="s">
        <v>73</v>
      </c>
      <c r="G103" s="16" t="s">
        <v>21</v>
      </c>
      <c r="H103" s="46" t="s">
        <v>322</v>
      </c>
      <c r="I103" s="47">
        <v>-780</v>
      </c>
    </row>
    <row r="104" spans="1:9" x14ac:dyDescent="0.2">
      <c r="A104" s="16">
        <f t="shared" si="6"/>
        <v>2026</v>
      </c>
      <c r="B104" s="17" t="str">
        <f t="shared" si="7"/>
        <v>JUNHO</v>
      </c>
      <c r="C104" s="17">
        <v>46203.411412037</v>
      </c>
      <c r="D104" s="16" t="s">
        <v>323</v>
      </c>
      <c r="E104" s="16" t="s">
        <v>324</v>
      </c>
      <c r="F104" s="16" t="s">
        <v>73</v>
      </c>
      <c r="G104" s="16" t="s">
        <v>22</v>
      </c>
      <c r="H104" s="46" t="s">
        <v>23</v>
      </c>
      <c r="I104" s="47">
        <v>-7</v>
      </c>
    </row>
    <row r="105" spans="1:9" x14ac:dyDescent="0.2">
      <c r="A105" s="16">
        <f t="shared" si="6"/>
        <v>2026</v>
      </c>
      <c r="B105" s="17" t="str">
        <f t="shared" si="7"/>
        <v>JULHO</v>
      </c>
      <c r="C105" s="17">
        <v>46216.668761574001</v>
      </c>
      <c r="D105" s="16" t="s">
        <v>325</v>
      </c>
      <c r="E105" s="16" t="s">
        <v>326</v>
      </c>
      <c r="F105" s="16" t="s">
        <v>73</v>
      </c>
      <c r="G105" s="16" t="s">
        <v>24</v>
      </c>
      <c r="H105" s="46" t="s">
        <v>280</v>
      </c>
      <c r="I105" s="47">
        <v>462.02</v>
      </c>
    </row>
    <row r="106" spans="1:9" x14ac:dyDescent="0.2">
      <c r="A106" s="16">
        <f t="shared" si="6"/>
        <v>2026</v>
      </c>
      <c r="B106" s="17" t="str">
        <f t="shared" si="7"/>
        <v>JULHO</v>
      </c>
      <c r="C106" s="17">
        <v>46219.673912036997</v>
      </c>
      <c r="D106" s="16" t="s">
        <v>327</v>
      </c>
      <c r="E106" s="16" t="s">
        <v>328</v>
      </c>
      <c r="F106" s="16" t="s">
        <v>73</v>
      </c>
      <c r="G106" s="16" t="s">
        <v>21</v>
      </c>
      <c r="H106" s="46" t="s">
        <v>329</v>
      </c>
      <c r="I106" s="47">
        <v>-400</v>
      </c>
    </row>
    <row r="107" spans="1:9" x14ac:dyDescent="0.2">
      <c r="A107" s="16">
        <f t="shared" si="6"/>
        <v>2026</v>
      </c>
      <c r="B107" s="17" t="str">
        <f t="shared" si="7"/>
        <v>JULHO</v>
      </c>
      <c r="C107" s="17">
        <v>46219.674062500002</v>
      </c>
      <c r="D107" s="16" t="s">
        <v>330</v>
      </c>
      <c r="E107" s="16" t="s">
        <v>331</v>
      </c>
      <c r="F107" s="16" t="s">
        <v>73</v>
      </c>
      <c r="G107" s="16" t="s">
        <v>22</v>
      </c>
      <c r="H107" s="46" t="s">
        <v>23</v>
      </c>
      <c r="I107" s="47">
        <v>-7</v>
      </c>
    </row>
    <row r="108" spans="1:9" x14ac:dyDescent="0.2">
      <c r="A108" s="16">
        <f t="shared" si="6"/>
        <v>2026</v>
      </c>
      <c r="B108" s="17" t="str">
        <f t="shared" si="7"/>
        <v>JULHO</v>
      </c>
      <c r="C108" s="17">
        <v>46228.476828703999</v>
      </c>
      <c r="D108" s="16" t="s">
        <v>332</v>
      </c>
      <c r="E108" s="16" t="s">
        <v>333</v>
      </c>
      <c r="F108" s="16" t="s">
        <v>73</v>
      </c>
      <c r="G108" s="16" t="s">
        <v>66</v>
      </c>
      <c r="H108" s="46" t="s">
        <v>334</v>
      </c>
      <c r="I108" s="47">
        <v>-15</v>
      </c>
    </row>
    <row r="109" spans="1:9" x14ac:dyDescent="0.2">
      <c r="A109" s="16">
        <f t="shared" si="6"/>
        <v>2026</v>
      </c>
      <c r="B109" s="17" t="str">
        <f t="shared" si="7"/>
        <v>JULHO</v>
      </c>
      <c r="C109" s="17">
        <v>46228.555949073998</v>
      </c>
      <c r="D109" s="16" t="s">
        <v>335</v>
      </c>
      <c r="E109" s="16" t="s">
        <v>336</v>
      </c>
      <c r="F109" s="16" t="s">
        <v>73</v>
      </c>
      <c r="G109" s="16" t="s">
        <v>66</v>
      </c>
      <c r="H109" s="46" t="s">
        <v>334</v>
      </c>
      <c r="I109" s="47">
        <v>-15</v>
      </c>
    </row>
    <row r="110" spans="1:9" x14ac:dyDescent="0.2">
      <c r="A110" s="16">
        <f t="shared" si="6"/>
        <v>2026</v>
      </c>
      <c r="B110" s="17" t="str">
        <f t="shared" si="7"/>
        <v>AGOSTO</v>
      </c>
      <c r="C110" s="17">
        <v>46236.516053241001</v>
      </c>
      <c r="D110" s="16" t="s">
        <v>337</v>
      </c>
      <c r="E110" s="16" t="s">
        <v>338</v>
      </c>
      <c r="F110" s="16" t="s">
        <v>73</v>
      </c>
      <c r="G110" s="16" t="s">
        <v>66</v>
      </c>
      <c r="H110" s="46" t="s">
        <v>264</v>
      </c>
      <c r="I110" s="47">
        <v>-9.99</v>
      </c>
    </row>
    <row r="111" spans="1:9" x14ac:dyDescent="0.2">
      <c r="A111" s="16">
        <f t="shared" si="6"/>
        <v>2026</v>
      </c>
      <c r="B111" s="17" t="str">
        <f t="shared" si="7"/>
        <v>AGOSTO</v>
      </c>
      <c r="C111" s="17">
        <v>46245.693969906999</v>
      </c>
      <c r="D111" s="16" t="s">
        <v>339</v>
      </c>
      <c r="E111" s="16" t="s">
        <v>340</v>
      </c>
      <c r="F111" s="16" t="s">
        <v>73</v>
      </c>
      <c r="G111" s="16" t="s">
        <v>24</v>
      </c>
      <c r="H111" s="46" t="s">
        <v>280</v>
      </c>
      <c r="I111" s="47">
        <v>98.41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E96F-6E9D-45E4-8C5F-C3F320D368A8}">
  <sheetPr>
    <tabColor theme="8"/>
  </sheetPr>
  <dimension ref="A1:AB13"/>
  <sheetViews>
    <sheetView showGridLines="0" workbookViewId="0">
      <selection activeCell="E2" sqref="E2:E13"/>
    </sheetView>
  </sheetViews>
  <sheetFormatPr defaultRowHeight="12.75" x14ac:dyDescent="0.2"/>
  <cols>
    <col min="1" max="1" width="16.28515625" style="23" customWidth="1"/>
    <col min="2" max="2" width="19.42578125" style="23" customWidth="1"/>
    <col min="3" max="3" width="16.7109375" style="16" bestFit="1" customWidth="1"/>
    <col min="4" max="4" width="25.28515625" style="16" bestFit="1" customWidth="1"/>
    <col min="5" max="5" width="23.140625" style="16" bestFit="1" customWidth="1"/>
    <col min="6" max="6" width="10.42578125" style="16" bestFit="1" customWidth="1"/>
    <col min="7" max="7" width="27.7109375" style="16" bestFit="1" customWidth="1"/>
    <col min="8" max="8" width="12.85546875" style="16" bestFit="1" customWidth="1"/>
    <col min="9" max="9" width="10.42578125" style="16" bestFit="1" customWidth="1"/>
    <col min="10" max="10" width="20.85546875" style="16" bestFit="1" customWidth="1"/>
    <col min="11" max="11" width="61" style="16" bestFit="1" customWidth="1"/>
    <col min="12" max="12" width="24" style="16" bestFit="1" customWidth="1"/>
    <col min="13" max="13" width="16.42578125" style="16" bestFit="1" customWidth="1"/>
    <col min="14" max="14" width="101.7109375" style="16" bestFit="1" customWidth="1"/>
    <col min="15" max="15" width="20.85546875" style="16" bestFit="1" customWidth="1"/>
    <col min="16" max="16" width="19" style="16" bestFit="1" customWidth="1"/>
    <col min="17" max="17" width="22.28515625" style="16" bestFit="1" customWidth="1"/>
    <col min="18" max="18" width="11.28515625" style="16" bestFit="1" customWidth="1"/>
    <col min="19" max="19" width="22.7109375" style="16" bestFit="1" customWidth="1"/>
    <col min="20" max="20" width="26.85546875" style="16" bestFit="1" customWidth="1"/>
    <col min="21" max="21" width="25.140625" style="16" bestFit="1" customWidth="1"/>
    <col min="22" max="22" width="15.28515625" style="16" bestFit="1" customWidth="1"/>
    <col min="23" max="23" width="24.140625" style="16" bestFit="1" customWidth="1"/>
    <col min="24" max="24" width="21.28515625" style="16" bestFit="1" customWidth="1"/>
    <col min="25" max="25" width="9.85546875" style="16" bestFit="1" customWidth="1"/>
    <col min="26" max="26" width="22.42578125" style="16" bestFit="1" customWidth="1"/>
    <col min="27" max="27" width="19" style="16" bestFit="1" customWidth="1"/>
    <col min="28" max="28" width="15.42578125" style="24" bestFit="1" customWidth="1"/>
    <col min="29" max="29" width="22" style="16" bestFit="1" customWidth="1"/>
    <col min="30" max="16384" width="9.140625" style="16"/>
  </cols>
  <sheetData>
    <row r="1" spans="1:5" ht="15" x14ac:dyDescent="0.25">
      <c r="A1" s="57" t="s">
        <v>39</v>
      </c>
      <c r="B1" s="57" t="s">
        <v>40</v>
      </c>
      <c r="C1" s="57" t="s">
        <v>41</v>
      </c>
      <c r="D1" s="57" t="s">
        <v>16</v>
      </c>
      <c r="E1" s="58" t="s">
        <v>19</v>
      </c>
    </row>
    <row r="2" spans="1:5" ht="15" x14ac:dyDescent="0.25">
      <c r="A2">
        <v>9396415</v>
      </c>
      <c r="B2" t="s">
        <v>348</v>
      </c>
      <c r="C2" t="s">
        <v>71</v>
      </c>
      <c r="D2" t="s">
        <v>342</v>
      </c>
      <c r="E2" s="56">
        <v>597.04</v>
      </c>
    </row>
    <row r="3" spans="1:5" ht="15" x14ac:dyDescent="0.25">
      <c r="A3">
        <v>7906175</v>
      </c>
      <c r="B3" t="s">
        <v>61</v>
      </c>
      <c r="C3" t="s">
        <v>71</v>
      </c>
      <c r="D3" t="s">
        <v>342</v>
      </c>
      <c r="E3" s="56">
        <v>907</v>
      </c>
    </row>
    <row r="4" spans="1:5" ht="15" x14ac:dyDescent="0.25">
      <c r="A4">
        <v>8655231</v>
      </c>
      <c r="B4" t="s">
        <v>344</v>
      </c>
      <c r="C4" t="s">
        <v>71</v>
      </c>
      <c r="D4" t="s">
        <v>342</v>
      </c>
      <c r="E4" s="56">
        <v>1236.98</v>
      </c>
    </row>
    <row r="5" spans="1:5" ht="15" x14ac:dyDescent="0.25">
      <c r="A5">
        <v>8332311</v>
      </c>
      <c r="B5" t="s">
        <v>343</v>
      </c>
      <c r="C5" t="s">
        <v>71</v>
      </c>
      <c r="D5" t="s">
        <v>342</v>
      </c>
      <c r="E5" s="56">
        <v>745.28</v>
      </c>
    </row>
    <row r="6" spans="1:5" ht="15" x14ac:dyDescent="0.25">
      <c r="A6">
        <v>8677955</v>
      </c>
      <c r="B6" t="s">
        <v>345</v>
      </c>
      <c r="C6" t="s">
        <v>71</v>
      </c>
      <c r="D6" t="s">
        <v>342</v>
      </c>
      <c r="E6" s="56">
        <v>1653.48</v>
      </c>
    </row>
    <row r="7" spans="1:5" ht="15" x14ac:dyDescent="0.25">
      <c r="A7">
        <v>8824060</v>
      </c>
      <c r="B7" t="s">
        <v>346</v>
      </c>
      <c r="C7" t="s">
        <v>71</v>
      </c>
      <c r="D7" t="s">
        <v>342</v>
      </c>
      <c r="E7" s="56">
        <v>694.05</v>
      </c>
    </row>
    <row r="8" spans="1:5" ht="15" x14ac:dyDescent="0.25">
      <c r="A8">
        <v>9172615</v>
      </c>
      <c r="B8" t="s">
        <v>347</v>
      </c>
      <c r="C8" t="s">
        <v>71</v>
      </c>
      <c r="D8" t="s">
        <v>342</v>
      </c>
      <c r="E8" s="56">
        <v>514.03</v>
      </c>
    </row>
    <row r="9" spans="1:5" ht="15" x14ac:dyDescent="0.25">
      <c r="A9">
        <v>9511179</v>
      </c>
      <c r="B9" t="s">
        <v>349</v>
      </c>
      <c r="C9" t="s">
        <v>71</v>
      </c>
      <c r="D9" t="s">
        <v>342</v>
      </c>
      <c r="E9" s="56">
        <v>546.51</v>
      </c>
    </row>
    <row r="10" spans="1:5" ht="15" x14ac:dyDescent="0.25">
      <c r="A10">
        <v>10523528</v>
      </c>
      <c r="B10" t="s">
        <v>350</v>
      </c>
      <c r="C10" t="s">
        <v>71</v>
      </c>
      <c r="D10" t="s">
        <v>342</v>
      </c>
      <c r="E10" s="56">
        <v>1000</v>
      </c>
    </row>
    <row r="11" spans="1:5" ht="15" x14ac:dyDescent="0.25">
      <c r="A11">
        <v>10748049</v>
      </c>
      <c r="B11" t="s">
        <v>351</v>
      </c>
      <c r="C11" t="s">
        <v>71</v>
      </c>
      <c r="D11" t="s">
        <v>342</v>
      </c>
      <c r="E11" s="56">
        <v>632.97</v>
      </c>
    </row>
    <row r="12" spans="1:5" ht="15" x14ac:dyDescent="0.25">
      <c r="A12">
        <v>11073774</v>
      </c>
      <c r="B12" t="s">
        <v>42</v>
      </c>
      <c r="C12" t="s">
        <v>352</v>
      </c>
      <c r="D12" t="s">
        <v>342</v>
      </c>
      <c r="E12" s="56">
        <v>775.47</v>
      </c>
    </row>
    <row r="13" spans="1:5" ht="15" x14ac:dyDescent="0.25">
      <c r="A13">
        <v>11176750</v>
      </c>
      <c r="B13" t="s">
        <v>341</v>
      </c>
      <c r="C13" t="s">
        <v>70</v>
      </c>
      <c r="D13" t="s">
        <v>342</v>
      </c>
      <c r="E13" s="56">
        <v>27.99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C628-2E34-4171-A2FD-3371C4BF8BA8}">
  <sheetPr>
    <tabColor theme="4" tint="0.39997558519241921"/>
  </sheetPr>
  <dimension ref="A4:L31"/>
  <sheetViews>
    <sheetView showGridLines="0" tabSelected="1" topLeftCell="A13" zoomScale="90" zoomScaleNormal="90" workbookViewId="0">
      <selection activeCell="B7" sqref="B7"/>
    </sheetView>
  </sheetViews>
  <sheetFormatPr defaultRowHeight="15" x14ac:dyDescent="0.25"/>
  <cols>
    <col min="1" max="1" width="2.42578125" style="1" customWidth="1"/>
    <col min="2" max="2" width="8.140625" style="1" customWidth="1"/>
    <col min="3" max="3" width="9.7109375" style="1" bestFit="1" customWidth="1"/>
    <col min="4" max="4" width="12.140625" style="1" bestFit="1" customWidth="1"/>
    <col min="5" max="5" width="13" style="1" bestFit="1" customWidth="1"/>
    <col min="6" max="6" width="10.42578125" style="1" bestFit="1" customWidth="1"/>
    <col min="7" max="7" width="14.140625" style="1" bestFit="1" customWidth="1"/>
    <col min="8" max="8" width="14.7109375" style="1" bestFit="1" customWidth="1"/>
    <col min="9" max="9" width="12.5703125" style="1" bestFit="1" customWidth="1"/>
    <col min="10" max="10" width="3" style="1" customWidth="1"/>
    <col min="11" max="11" width="12.5703125" style="1" bestFit="1" customWidth="1"/>
    <col min="12" max="13" width="16.7109375" bestFit="1" customWidth="1"/>
    <col min="14" max="14" width="13.5703125" customWidth="1"/>
    <col min="15" max="15" width="13.85546875" bestFit="1" customWidth="1"/>
  </cols>
  <sheetData>
    <row r="4" spans="2:12" ht="18.75" x14ac:dyDescent="0.3">
      <c r="B4" s="72" t="s">
        <v>0</v>
      </c>
      <c r="C4" s="72"/>
      <c r="D4" s="72"/>
      <c r="E4" s="72"/>
      <c r="F4" s="72"/>
      <c r="G4" s="72"/>
      <c r="H4" s="72"/>
      <c r="I4" s="72"/>
      <c r="J4"/>
    </row>
    <row r="5" spans="2:12" ht="5.25" customHeight="1" x14ac:dyDescent="0.25">
      <c r="F5" s="2"/>
    </row>
    <row r="6" spans="2:12" ht="15.75" x14ac:dyDescent="0.25">
      <c r="B6" s="73" t="s">
        <v>342</v>
      </c>
      <c r="C6" s="73"/>
      <c r="D6" s="73"/>
      <c r="E6" s="73"/>
      <c r="F6" s="73"/>
      <c r="G6" s="73"/>
      <c r="H6" s="73"/>
      <c r="I6" s="73"/>
    </row>
    <row r="7" spans="2:12" x14ac:dyDescent="0.25">
      <c r="B7" s="3" t="s">
        <v>57</v>
      </c>
      <c r="C7" s="19" t="s">
        <v>43</v>
      </c>
      <c r="D7" s="4" t="s">
        <v>24</v>
      </c>
      <c r="E7" s="4" t="s">
        <v>20</v>
      </c>
      <c r="F7" s="4" t="s">
        <v>22</v>
      </c>
      <c r="G7" s="4" t="s">
        <v>58</v>
      </c>
      <c r="H7" s="4" t="s">
        <v>59</v>
      </c>
      <c r="I7" s="5" t="s">
        <v>60</v>
      </c>
      <c r="K7" s="65" t="s">
        <v>3</v>
      </c>
      <c r="L7" s="66"/>
    </row>
    <row r="8" spans="2:12" x14ac:dyDescent="0.25">
      <c r="B8" s="20">
        <v>2025</v>
      </c>
      <c r="C8" s="22" t="s">
        <v>45</v>
      </c>
      <c r="D8" s="6">
        <f>SUMIFS(EXTRATO!I:I,EXTRATO!G:G,FECHAMENTO!$D$7,EXTRATO!B:B,FECHAMENTO!C8,EXTRATO!A:A,FECHAMENTO!B8)</f>
        <v>0</v>
      </c>
      <c r="E8" s="6">
        <f>SUMIFS(EXTRATO!I:I,EXTRATO!G:G,FECHAMENTO!$E$7,EXTRATO!B:B,FECHAMENTO!C8,EXTRATO!A:A,FECHAMENTO!B8)</f>
        <v>0</v>
      </c>
      <c r="F8" s="6">
        <f>SUMIFS(EXTRATO!I:I,EXTRATO!G:G,FECHAMENTO!$F$7,EXTRATO!B:B,FECHAMENTO!C8,EXTRATO!A:A,FECHAMENTO!B8)</f>
        <v>0</v>
      </c>
      <c r="G8" s="6">
        <v>0</v>
      </c>
      <c r="H8" s="54">
        <f>D8+E8+F8-G8</f>
        <v>0</v>
      </c>
      <c r="I8" s="7">
        <f>H8</f>
        <v>0</v>
      </c>
      <c r="K8" s="15" t="s">
        <v>5</v>
      </c>
      <c r="L8" s="15" t="s">
        <v>6</v>
      </c>
    </row>
    <row r="9" spans="2:12" x14ac:dyDescent="0.25">
      <c r="B9" s="21">
        <v>2025</v>
      </c>
      <c r="C9" s="51" t="s">
        <v>46</v>
      </c>
      <c r="D9" s="52">
        <f>SUMIFS(EXTRATO!I:I,EXTRATO!G:G,FECHAMENTO!$D$7,EXTRATO!B:B,FECHAMENTO!C9,EXTRATO!A:A,FECHAMENTO!B9)</f>
        <v>710.21</v>
      </c>
      <c r="E9" s="52">
        <f>SUMIFS(EXTRATO!I:I,EXTRATO!G:G,FECHAMENTO!$E$7,EXTRATO!B:B,FECHAMENTO!C9,EXTRATO!A:A,FECHAMENTO!B9)</f>
        <v>0</v>
      </c>
      <c r="F9" s="52">
        <f>SUMIFS(EXTRATO!I:I,EXTRATO!G:G,FECHAMENTO!$F$7,EXTRATO!B:B,FECHAMENTO!C9,EXTRATO!A:A,FECHAMENTO!B9)</f>
        <v>0</v>
      </c>
      <c r="G9" s="52">
        <v>0</v>
      </c>
      <c r="H9" s="55">
        <f t="shared" ref="H9:H22" si="0">D9+E9+F9-G9</f>
        <v>710.21</v>
      </c>
      <c r="I9" s="8">
        <f>H9+I8</f>
        <v>710.21</v>
      </c>
      <c r="K9" s="15" t="s">
        <v>8</v>
      </c>
      <c r="L9" s="15" t="s">
        <v>9</v>
      </c>
    </row>
    <row r="10" spans="2:12" x14ac:dyDescent="0.25">
      <c r="B10" s="21">
        <v>2025</v>
      </c>
      <c r="C10" s="51" t="s">
        <v>47</v>
      </c>
      <c r="D10" s="52">
        <f>SUMIFS(EXTRATO!I:I,EXTRATO!G:G,FECHAMENTO!$D$7,EXTRATO!B:B,FECHAMENTO!C10,EXTRATO!A:A,FECHAMENTO!B10)</f>
        <v>519.79</v>
      </c>
      <c r="E10" s="52">
        <f>SUMIFS(EXTRATO!I:I,EXTRATO!G:G,FECHAMENTO!$E$7,EXTRATO!B:B,FECHAMENTO!C10,EXTRATO!A:A,FECHAMENTO!B10)</f>
        <v>0</v>
      </c>
      <c r="F10" s="52">
        <f>SUMIFS(EXTRATO!I:I,EXTRATO!G:G,FECHAMENTO!$F$7,EXTRATO!B:B,FECHAMENTO!C10,EXTRATO!A:A,FECHAMENTO!B10)</f>
        <v>0</v>
      </c>
      <c r="G10" s="52">
        <v>907</v>
      </c>
      <c r="H10" s="55">
        <f t="shared" si="0"/>
        <v>-387.21000000000004</v>
      </c>
      <c r="I10" s="8">
        <f t="shared" ref="I10:I22" si="1">H10+I9</f>
        <v>323</v>
      </c>
      <c r="K10" s="63" t="s">
        <v>63</v>
      </c>
      <c r="L10" s="63" t="s">
        <v>72</v>
      </c>
    </row>
    <row r="11" spans="2:12" x14ac:dyDescent="0.25">
      <c r="B11" s="21">
        <v>2025</v>
      </c>
      <c r="C11" s="51" t="s">
        <v>48</v>
      </c>
      <c r="D11" s="52">
        <f>SUMIFS(EXTRATO!I:I,EXTRATO!G:G,FECHAMENTO!$D$7,EXTRATO!B:B,FECHAMENTO!C11,EXTRATO!A:A,FECHAMENTO!B11)</f>
        <v>1130.98</v>
      </c>
      <c r="E11" s="52">
        <f>SUMIFS(EXTRATO!I:I,EXTRATO!G:G,FECHAMENTO!$E$7,EXTRATO!B:B,FECHAMENTO!C11,EXTRATO!A:A,FECHAMENTO!B11)</f>
        <v>0</v>
      </c>
      <c r="F11" s="52">
        <f>SUMIFS(EXTRATO!I:I,EXTRATO!G:G,FECHAMENTO!$F$7,EXTRATO!B:B,FECHAMENTO!C11,EXTRATO!A:A,FECHAMENTO!B11)</f>
        <v>-7</v>
      </c>
      <c r="G11" s="52">
        <v>1236.98</v>
      </c>
      <c r="H11" s="55">
        <f t="shared" si="0"/>
        <v>-113</v>
      </c>
      <c r="I11" s="8">
        <f t="shared" si="1"/>
        <v>210</v>
      </c>
      <c r="K11" s="64" t="s">
        <v>64</v>
      </c>
      <c r="L11" s="64" t="s">
        <v>65</v>
      </c>
    </row>
    <row r="12" spans="2:12" x14ac:dyDescent="0.25">
      <c r="B12" s="21">
        <v>2025</v>
      </c>
      <c r="C12" s="51" t="s">
        <v>49</v>
      </c>
      <c r="D12" s="52">
        <f>SUMIFS(EXTRATO!I:I,EXTRATO!G:G,FECHAMENTO!$D$7,EXTRATO!B:B,FECHAMENTO!C12,EXTRATO!A:A,FECHAMENTO!B12)</f>
        <v>1113.78</v>
      </c>
      <c r="E12" s="52">
        <f>SUMIFS(EXTRATO!I:I,EXTRATO!G:G,FECHAMENTO!$E$7,EXTRATO!B:B,FECHAMENTO!C12,EXTRATO!A:A,FECHAMENTO!B12)</f>
        <v>0</v>
      </c>
      <c r="F12" s="52">
        <f>SUMIFS(EXTRATO!I:I,EXTRATO!G:G,FECHAMENTO!$F$7,EXTRATO!B:B,FECHAMENTO!C12,EXTRATO!A:A,FECHAMENTO!B12)</f>
        <v>-7</v>
      </c>
      <c r="G12" s="52">
        <v>745.28</v>
      </c>
      <c r="H12" s="55">
        <f t="shared" si="0"/>
        <v>361.5</v>
      </c>
      <c r="I12" s="8">
        <f t="shared" si="1"/>
        <v>571.5</v>
      </c>
      <c r="K12" s="74" t="s">
        <v>353</v>
      </c>
      <c r="L12" s="74" t="s">
        <v>354</v>
      </c>
    </row>
    <row r="13" spans="2:12" x14ac:dyDescent="0.25">
      <c r="B13" s="21">
        <v>2025</v>
      </c>
      <c r="C13" s="51" t="s">
        <v>50</v>
      </c>
      <c r="D13" s="52">
        <f>SUMIFS(EXTRATO!I:I,EXTRATO!G:G,FECHAMENTO!$D$7,EXTRATO!B:B,FECHAMENTO!C13,EXTRATO!A:A,FECHAMENTO!B13)</f>
        <v>1302.5900000000001</v>
      </c>
      <c r="E13" s="52">
        <f>SUMIFS(EXTRATO!I:I,EXTRATO!G:G,FECHAMENTO!$E$7,EXTRATO!B:B,FECHAMENTO!C13,EXTRATO!A:A,FECHAMENTO!B13)</f>
        <v>0</v>
      </c>
      <c r="F13" s="52">
        <f>SUMIFS(EXTRATO!I:I,EXTRATO!G:G,FECHAMENTO!$F$7,EXTRATO!B:B,FECHAMENTO!C13,EXTRATO!A:A,FECHAMENTO!B13)</f>
        <v>0</v>
      </c>
      <c r="G13" s="52">
        <v>1653.48</v>
      </c>
      <c r="H13" s="55">
        <f t="shared" si="0"/>
        <v>-350.88999999999987</v>
      </c>
      <c r="I13" s="8">
        <f t="shared" si="1"/>
        <v>220.61000000000013</v>
      </c>
    </row>
    <row r="14" spans="2:12" x14ac:dyDescent="0.25">
      <c r="B14" s="21">
        <v>2025</v>
      </c>
      <c r="C14" s="51" t="s">
        <v>51</v>
      </c>
      <c r="D14" s="52">
        <f>SUMIFS(EXTRATO!I:I,EXTRATO!G:G,FECHAMENTO!$D$7,EXTRATO!B:B,FECHAMENTO!C14,EXTRATO!A:A,FECHAMENTO!B14)</f>
        <v>1124.1999999999998</v>
      </c>
      <c r="E14" s="52">
        <f>SUMIFS(EXTRATO!I:I,EXTRATO!G:G,FECHAMENTO!$E$7,EXTRATO!B:B,FECHAMENTO!C14,EXTRATO!A:A,FECHAMENTO!B14)</f>
        <v>-168.41</v>
      </c>
      <c r="F14" s="52">
        <f>SUMIFS(EXTRATO!I:I,EXTRATO!G:G,FECHAMENTO!$F$7,EXTRATO!B:B,FECHAMENTO!C14,EXTRATO!A:A,FECHAMENTO!B14)</f>
        <v>-7</v>
      </c>
      <c r="G14" s="52">
        <v>694.05</v>
      </c>
      <c r="H14" s="55">
        <f t="shared" si="0"/>
        <v>254.7399999999999</v>
      </c>
      <c r="I14" s="8">
        <f t="shared" si="1"/>
        <v>475.35</v>
      </c>
    </row>
    <row r="15" spans="2:12" x14ac:dyDescent="0.25">
      <c r="B15" s="21">
        <v>2025</v>
      </c>
      <c r="C15" s="51" t="s">
        <v>52</v>
      </c>
      <c r="D15" s="52">
        <f>SUMIFS(EXTRATO!I:I,EXTRATO!G:G,FECHAMENTO!$D$7,EXTRATO!B:B,FECHAMENTO!C15,EXTRATO!A:A,FECHAMENTO!B15)</f>
        <v>154.65</v>
      </c>
      <c r="E15" s="52">
        <f>SUMIFS(EXTRATO!I:I,EXTRATO!G:G,FECHAMENTO!$E$7,EXTRATO!B:B,FECHAMENTO!C15,EXTRATO!A:A,FECHAMENTO!B15)</f>
        <v>0</v>
      </c>
      <c r="F15" s="52">
        <f>SUMIFS(EXTRATO!I:I,EXTRATO!G:G,FECHAMENTO!$F$7,EXTRATO!B:B,FECHAMENTO!C15,EXTRATO!A:A,FECHAMENTO!B15)</f>
        <v>0</v>
      </c>
      <c r="G15" s="52">
        <v>514.03</v>
      </c>
      <c r="H15" s="55">
        <f t="shared" si="0"/>
        <v>-359.38</v>
      </c>
      <c r="I15" s="8">
        <f t="shared" si="1"/>
        <v>115.97000000000003</v>
      </c>
    </row>
    <row r="16" spans="2:12" x14ac:dyDescent="0.25">
      <c r="B16" s="21">
        <v>2026</v>
      </c>
      <c r="C16" s="51" t="s">
        <v>53</v>
      </c>
      <c r="D16" s="52">
        <f>SUMIFS(EXTRATO!I:I,EXTRATO!G:G,FECHAMENTO!$D$7,EXTRATO!B:B,FECHAMENTO!C16,EXTRATO!A:A,FECHAMENTO!B16)</f>
        <v>1249.97</v>
      </c>
      <c r="E16" s="52">
        <f>SUMIFS(EXTRATO!I:I,EXTRATO!G:G,FECHAMENTO!$E$7,EXTRATO!B:B,FECHAMENTO!C16,EXTRATO!A:A,FECHAMENTO!B16)</f>
        <v>0</v>
      </c>
      <c r="F16" s="52">
        <f>SUMIFS(EXTRATO!I:I,EXTRATO!G:G,FECHAMENTO!$F$7,EXTRATO!B:B,FECHAMENTO!C16,EXTRATO!A:A,FECHAMENTO!B16)</f>
        <v>-7</v>
      </c>
      <c r="G16" s="52">
        <v>597.04</v>
      </c>
      <c r="H16" s="55">
        <f t="shared" si="0"/>
        <v>645.93000000000006</v>
      </c>
      <c r="I16" s="8">
        <f t="shared" si="1"/>
        <v>761.90000000000009</v>
      </c>
    </row>
    <row r="17" spans="2:11" x14ac:dyDescent="0.25">
      <c r="B17" s="21">
        <v>2026</v>
      </c>
      <c r="C17" s="51" t="s">
        <v>54</v>
      </c>
      <c r="D17" s="52">
        <f>SUMIFS(EXTRATO!I:I,EXTRATO!G:G,FECHAMENTO!$D$7,EXTRATO!B:B,FECHAMENTO!C17,EXTRATO!A:A,FECHAMENTO!B17)</f>
        <v>990.1</v>
      </c>
      <c r="E17" s="52">
        <f>SUMIFS(EXTRATO!I:I,EXTRATO!G:G,FECHAMENTO!$E$7,EXTRATO!B:B,FECHAMENTO!C17,EXTRATO!A:A,FECHAMENTO!B17)</f>
        <v>-443.59000000000003</v>
      </c>
      <c r="F17" s="52">
        <f>SUMIFS(EXTRATO!I:I,EXTRATO!G:G,FECHAMENTO!$F$7,EXTRATO!B:B,FECHAMENTO!C17,EXTRATO!A:A,FECHAMENTO!B17)</f>
        <v>0</v>
      </c>
      <c r="G17" s="52">
        <v>546.51</v>
      </c>
      <c r="H17" s="55">
        <f t="shared" si="0"/>
        <v>0</v>
      </c>
      <c r="I17" s="8">
        <f t="shared" si="1"/>
        <v>761.90000000000009</v>
      </c>
    </row>
    <row r="18" spans="2:11" x14ac:dyDescent="0.25">
      <c r="B18" s="21">
        <v>2026</v>
      </c>
      <c r="C18" s="51" t="s">
        <v>55</v>
      </c>
      <c r="D18" s="52">
        <f>SUMIFS(EXTRATO!I:I,EXTRATO!G:G,FECHAMENTO!$D$7,EXTRATO!B:B,FECHAMENTO!C18,EXTRATO!A:A,FECHAMENTO!B18)</f>
        <v>145.1</v>
      </c>
      <c r="E18" s="52">
        <f>SUMIFS(EXTRATO!I:I,EXTRATO!G:G,FECHAMENTO!$E$7,EXTRATO!B:B,FECHAMENTO!C18,EXTRATO!A:A,FECHAMENTO!B18)</f>
        <v>0</v>
      </c>
      <c r="F18" s="52">
        <f>SUMIFS(EXTRATO!I:I,EXTRATO!G:G,FECHAMENTO!$F$7,EXTRATO!B:B,FECHAMENTO!C18,EXTRATO!A:A,FECHAMENTO!B18)</f>
        <v>0</v>
      </c>
      <c r="G18" s="52">
        <v>0</v>
      </c>
      <c r="H18" s="55">
        <f t="shared" si="0"/>
        <v>145.1</v>
      </c>
      <c r="I18" s="8">
        <f t="shared" si="1"/>
        <v>907.00000000000011</v>
      </c>
    </row>
    <row r="19" spans="2:11" x14ac:dyDescent="0.25">
      <c r="B19" s="21">
        <v>2026</v>
      </c>
      <c r="C19" s="51" t="s">
        <v>56</v>
      </c>
      <c r="D19" s="52">
        <f>SUMIFS(EXTRATO!I:I,EXTRATO!G:G,FECHAMENTO!$D$7,EXTRATO!B:B,FECHAMENTO!C19,EXTRATO!A:A,FECHAMENTO!B19)</f>
        <v>154.9</v>
      </c>
      <c r="E19" s="52">
        <f>SUMIFS(EXTRATO!I:I,EXTRATO!G:G,FECHAMENTO!$E$7,EXTRATO!B:B,FECHAMENTO!C19,EXTRATO!A:A,FECHAMENTO!B19)</f>
        <v>0</v>
      </c>
      <c r="F19" s="52">
        <f>SUMIFS(EXTRATO!I:I,EXTRATO!G:G,FECHAMENTO!$F$7,EXTRATO!B:B,FECHAMENTO!C19,EXTRATO!A:A,FECHAMENTO!B19)</f>
        <v>0</v>
      </c>
      <c r="G19" s="52">
        <v>0</v>
      </c>
      <c r="H19" s="55">
        <f t="shared" si="0"/>
        <v>154.9</v>
      </c>
      <c r="I19" s="8">
        <f t="shared" si="1"/>
        <v>1061.9000000000001</v>
      </c>
    </row>
    <row r="20" spans="2:11" x14ac:dyDescent="0.25">
      <c r="B20" s="21">
        <v>2026</v>
      </c>
      <c r="C20" s="51" t="s">
        <v>45</v>
      </c>
      <c r="D20" s="52">
        <f>SUMIFS(EXTRATO!I:I,EXTRATO!G:G,FECHAMENTO!$D$7,EXTRATO!B:B,FECHAMENTO!C20,EXTRATO!A:A,FECHAMENTO!B20)</f>
        <v>0</v>
      </c>
      <c r="E20" s="52">
        <f>SUMIFS(EXTRATO!I:I,EXTRATO!G:G,FECHAMENTO!$E$7,EXTRATO!B:B,FECHAMENTO!C20,EXTRATO!A:A,FECHAMENTO!B20)</f>
        <v>0</v>
      </c>
      <c r="F20" s="52">
        <f>SUMIFS(EXTRATO!I:I,EXTRATO!G:G,FECHAMENTO!$F$7,EXTRATO!B:B,FECHAMENTO!C20,EXTRATO!A:A,FECHAMENTO!B20)</f>
        <v>-7</v>
      </c>
      <c r="G20" s="52">
        <v>1000</v>
      </c>
      <c r="H20" s="55">
        <f t="shared" si="0"/>
        <v>-1007</v>
      </c>
      <c r="I20" s="8">
        <f t="shared" si="1"/>
        <v>54.900000000000091</v>
      </c>
    </row>
    <row r="21" spans="2:11" x14ac:dyDescent="0.25">
      <c r="B21" s="21">
        <v>2026</v>
      </c>
      <c r="C21" s="51" t="s">
        <v>46</v>
      </c>
      <c r="D21" s="52">
        <f>SUMIFS(EXTRATO!I:I,EXTRATO!G:G,FECHAMENTO!$D$7,EXTRATO!B:B,FECHAMENTO!C21,EXTRATO!A:A,FECHAMENTO!B21)</f>
        <v>1324.1</v>
      </c>
      <c r="E21" s="52">
        <f>SUMIFS(EXTRATO!I:I,EXTRATO!G:G,FECHAMENTO!$E$7,EXTRATO!B:B,FECHAMENTO!C21,EXTRATO!A:A,FECHAMENTO!B21)</f>
        <v>0</v>
      </c>
      <c r="F21" s="52">
        <f>SUMIFS(EXTRATO!I:I,EXTRATO!G:G,FECHAMENTO!$F$7,EXTRATO!B:B,FECHAMENTO!C21,EXTRATO!A:A,FECHAMENTO!B21)</f>
        <v>-14</v>
      </c>
      <c r="G21" s="52">
        <v>632.97</v>
      </c>
      <c r="H21" s="55">
        <f t="shared" si="0"/>
        <v>677.12999999999988</v>
      </c>
      <c r="I21" s="8">
        <f t="shared" si="1"/>
        <v>732.03</v>
      </c>
    </row>
    <row r="22" spans="2:11" x14ac:dyDescent="0.25">
      <c r="B22" s="75">
        <v>2026</v>
      </c>
      <c r="C22" s="76" t="s">
        <v>47</v>
      </c>
      <c r="D22" s="77">
        <f>SUMIFS(EXTRATO!I:I,EXTRATO!G:G,FECHAMENTO!$D$7,EXTRATO!B:B,FECHAMENTO!C22,EXTRATO!A:A,FECHAMENTO!B22)</f>
        <v>462.02</v>
      </c>
      <c r="E22" s="77">
        <f>SUMIFS(EXTRATO!I:I,EXTRATO!G:G,FECHAMENTO!$E$7,EXTRATO!B:B,FECHAMENTO!C22,EXTRATO!A:A,FECHAMENTO!B22)</f>
        <v>0</v>
      </c>
      <c r="F22" s="77">
        <f>SUMIFS(EXTRATO!I:I,EXTRATO!G:G,FECHAMENTO!$F$7,EXTRATO!B:B,FECHAMENTO!C22,EXTRATO!A:A,FECHAMENTO!B22)</f>
        <v>-7</v>
      </c>
      <c r="G22" s="77">
        <v>775.47</v>
      </c>
      <c r="H22" s="78">
        <f t="shared" si="0"/>
        <v>-320.45000000000005</v>
      </c>
      <c r="I22" s="8">
        <f t="shared" si="1"/>
        <v>411.57999999999993</v>
      </c>
    </row>
    <row r="23" spans="2:11" x14ac:dyDescent="0.25">
      <c r="B23" s="59">
        <v>2026</v>
      </c>
      <c r="C23" s="60" t="s">
        <v>48</v>
      </c>
      <c r="D23" s="61">
        <f>SUMIFS(EXTRATO!I:I,EXTRATO!G:G,FECHAMENTO!$D$7,EXTRATO!B:B,FECHAMENTO!C23,EXTRATO!A:A,FECHAMENTO!B23)</f>
        <v>98.41</v>
      </c>
      <c r="E23" s="61">
        <f>SUMIFS(EXTRATO!I:I,EXTRATO!G:G,FECHAMENTO!$E$7,EXTRATO!B:B,FECHAMENTO!C23,EXTRATO!A:A,FECHAMENTO!B23)</f>
        <v>0</v>
      </c>
      <c r="F23" s="61">
        <f>SUMIFS(EXTRATO!I:I,EXTRATO!G:G,FECHAMENTO!$F$7,EXTRATO!B:B,FECHAMENTO!C23,EXTRATO!A:A,FECHAMENTO!B23)</f>
        <v>0</v>
      </c>
      <c r="G23" s="61">
        <v>27.99</v>
      </c>
      <c r="H23" s="62">
        <f>D23+E23+F23-G23</f>
        <v>70.42</v>
      </c>
      <c r="I23" s="9">
        <f>H23+I22</f>
        <v>481.99999999999994</v>
      </c>
    </row>
    <row r="24" spans="2:11" ht="14.25" customHeight="1" x14ac:dyDescent="0.25">
      <c r="B24" s="53"/>
      <c r="C24" s="53"/>
      <c r="D24" s="10">
        <f>SUM(D8:D23)</f>
        <v>10480.800000000001</v>
      </c>
      <c r="E24" s="11">
        <f t="shared" ref="E24:H24" si="2">SUM(E8:E23)</f>
        <v>-612</v>
      </c>
      <c r="F24" s="11">
        <f t="shared" si="2"/>
        <v>-56</v>
      </c>
      <c r="G24" s="11">
        <f>SUM(G8:G23)</f>
        <v>9330.7999999999993</v>
      </c>
      <c r="H24" s="12">
        <f t="shared" si="2"/>
        <v>481.99999999999994</v>
      </c>
    </row>
    <row r="25" spans="2:11" x14ac:dyDescent="0.25">
      <c r="D25" s="13"/>
      <c r="E25" s="14"/>
      <c r="F25" s="14"/>
      <c r="G25" s="69"/>
      <c r="H25" s="69"/>
    </row>
    <row r="26" spans="2:11" x14ac:dyDescent="0.25">
      <c r="B26" s="70" t="s">
        <v>2</v>
      </c>
      <c r="C26" s="71"/>
      <c r="D26" s="71"/>
      <c r="E26" s="71"/>
      <c r="F26" s="71"/>
      <c r="G26" s="71"/>
      <c r="H26" s="29">
        <f>H24</f>
        <v>481.99999999999994</v>
      </c>
      <c r="K26"/>
    </row>
    <row r="27" spans="2:11" ht="15" customHeight="1" x14ac:dyDescent="0.25">
      <c r="B27" s="37" t="s">
        <v>4</v>
      </c>
      <c r="C27" s="38"/>
      <c r="D27" s="38"/>
      <c r="E27" s="30"/>
      <c r="F27" s="30"/>
      <c r="G27" s="30"/>
      <c r="H27" s="31">
        <f>D24+E24+F24</f>
        <v>9812.8000000000011</v>
      </c>
      <c r="K27"/>
    </row>
    <row r="28" spans="2:11" ht="15" customHeight="1" x14ac:dyDescent="0.25">
      <c r="B28" s="35" t="s">
        <v>7</v>
      </c>
      <c r="C28" s="36"/>
      <c r="D28" s="36"/>
      <c r="E28" s="32"/>
      <c r="F28" s="32"/>
      <c r="G28" s="32"/>
      <c r="H28" s="25">
        <f>G24</f>
        <v>9330.7999999999993</v>
      </c>
      <c r="K28"/>
    </row>
    <row r="29" spans="2:11" x14ac:dyDescent="0.25">
      <c r="B29" s="39" t="s">
        <v>10</v>
      </c>
      <c r="C29" s="40"/>
      <c r="D29" s="40"/>
      <c r="E29" s="40"/>
      <c r="F29" s="30"/>
      <c r="G29" s="30"/>
      <c r="H29" s="26">
        <f>H27-H28</f>
        <v>482.00000000000182</v>
      </c>
      <c r="K29"/>
    </row>
    <row r="30" spans="2:11" x14ac:dyDescent="0.25">
      <c r="B30" s="34" t="s">
        <v>11</v>
      </c>
      <c r="C30" s="33"/>
      <c r="D30" s="33"/>
      <c r="E30" s="33"/>
      <c r="F30" s="30"/>
      <c r="G30" s="30"/>
      <c r="H30" s="27">
        <v>114.54</v>
      </c>
      <c r="K30"/>
    </row>
    <row r="31" spans="2:11" x14ac:dyDescent="0.25">
      <c r="B31" s="67" t="s">
        <v>12</v>
      </c>
      <c r="C31" s="68"/>
      <c r="D31" s="68"/>
      <c r="E31" s="68"/>
      <c r="F31" s="68"/>
      <c r="G31" s="68"/>
      <c r="H31" s="28">
        <f>H29-H30</f>
        <v>367.4600000000018</v>
      </c>
      <c r="K31"/>
    </row>
  </sheetData>
  <mergeCells count="6">
    <mergeCell ref="K7:L7"/>
    <mergeCell ref="B31:G31"/>
    <mergeCell ref="G25:H25"/>
    <mergeCell ref="B26:G26"/>
    <mergeCell ref="B4:I4"/>
    <mergeCell ref="B6:I6"/>
  </mergeCells>
  <phoneticPr fontId="18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PREST. CONTAS</vt:lpstr>
      <vt:lpstr>FECHAMENTO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Dantas Miranda</dc:creator>
  <cp:lastModifiedBy>Kamily Varela</cp:lastModifiedBy>
  <dcterms:created xsi:type="dcterms:W3CDTF">2026-07-31T12:03:53Z</dcterms:created>
  <dcterms:modified xsi:type="dcterms:W3CDTF">2026-08-14T17:08:24Z</dcterms:modified>
</cp:coreProperties>
</file>