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teus Dantas\Downloads\"/>
    </mc:Choice>
  </mc:AlternateContent>
  <xr:revisionPtr revIDLastSave="0" documentId="13_ncr:1_{2ED689C1-1950-455A-AEB9-C2DFF0BDC29A}" xr6:coauthVersionLast="47" xr6:coauthVersionMax="47" xr10:uidLastSave="{00000000-0000-0000-0000-000000000000}"/>
  <bookViews>
    <workbookView xWindow="-120" yWindow="-120" windowWidth="20730" windowHeight="11760" activeTab="2" xr2:uid="{0B3C230B-1BA6-49B2-A111-FF68C55B3892}"/>
  </bookViews>
  <sheets>
    <sheet name="EXTRATO" sheetId="2" r:id="rId1"/>
    <sheet name="PREST. CONTAS" sheetId="3" r:id="rId2"/>
    <sheet name="FECHAMENTO" sheetId="1" r:id="rId3"/>
  </sheets>
  <definedNames>
    <definedName name="_xlnm._FilterDatabase" localSheetId="0" hidden="1">EXTRATO!$A$1:$I$34</definedName>
    <definedName name="_xlnm._FilterDatabase" localSheetId="1" hidden="1">'PREST. CONTAS'!$A$1:$AC$10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3" l="1"/>
  <c r="B11" i="3"/>
  <c r="A12" i="3"/>
  <c r="B12" i="3"/>
  <c r="A13" i="3"/>
  <c r="B13" i="3"/>
  <c r="A14" i="3"/>
  <c r="B14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2" i="2"/>
  <c r="A3" i="3"/>
  <c r="A4" i="3"/>
  <c r="A5" i="3"/>
  <c r="A6" i="3"/>
  <c r="A7" i="3"/>
  <c r="A8" i="3"/>
  <c r="A9" i="3"/>
  <c r="A10" i="3"/>
  <c r="A2" i="3"/>
  <c r="B3" i="3"/>
  <c r="B4" i="3"/>
  <c r="B5" i="3"/>
  <c r="B6" i="3"/>
  <c r="B7" i="3"/>
  <c r="B8" i="3"/>
  <c r="B9" i="3"/>
  <c r="B10" i="3"/>
  <c r="B2" i="3"/>
  <c r="G8" i="1" l="1"/>
  <c r="G22" i="1"/>
  <c r="F19" i="1"/>
  <c r="E22" i="1"/>
  <c r="F20" i="1"/>
  <c r="D22" i="1"/>
  <c r="F8" i="1"/>
  <c r="F12" i="1"/>
  <c r="F16" i="1"/>
  <c r="F9" i="1"/>
  <c r="F13" i="1"/>
  <c r="F17" i="1"/>
  <c r="F21" i="1"/>
  <c r="F10" i="1"/>
  <c r="F14" i="1"/>
  <c r="F18" i="1"/>
  <c r="F22" i="1"/>
  <c r="E15" i="1"/>
  <c r="F11" i="1"/>
  <c r="F15" i="1"/>
  <c r="E8" i="1"/>
  <c r="E16" i="1"/>
  <c r="E9" i="1"/>
  <c r="E17" i="1"/>
  <c r="E10" i="1"/>
  <c r="E18" i="1"/>
  <c r="E11" i="1"/>
  <c r="E19" i="1"/>
  <c r="E12" i="1"/>
  <c r="E20" i="1"/>
  <c r="E13" i="1"/>
  <c r="E21" i="1"/>
  <c r="E14" i="1"/>
  <c r="D10" i="1"/>
  <c r="D18" i="1"/>
  <c r="D15" i="1"/>
  <c r="D8" i="1"/>
  <c r="D17" i="1"/>
  <c r="D11" i="1"/>
  <c r="D19" i="1"/>
  <c r="D16" i="1"/>
  <c r="D12" i="1"/>
  <c r="D20" i="1"/>
  <c r="D9" i="1"/>
  <c r="D13" i="1"/>
  <c r="D21" i="1"/>
  <c r="D14" i="1"/>
  <c r="G13" i="1"/>
  <c r="G18" i="1"/>
  <c r="G9" i="1"/>
  <c r="G17" i="1"/>
  <c r="G11" i="1"/>
  <c r="G19" i="1"/>
  <c r="G12" i="1"/>
  <c r="G20" i="1"/>
  <c r="G21" i="1"/>
  <c r="G14" i="1"/>
  <c r="G10" i="1"/>
  <c r="G15" i="1"/>
  <c r="G16" i="1"/>
  <c r="H21" i="1" l="1"/>
  <c r="H13" i="1"/>
  <c r="H17" i="1"/>
  <c r="H22" i="1"/>
  <c r="F23" i="1"/>
  <c r="H15" i="1"/>
  <c r="H9" i="1"/>
  <c r="E23" i="1"/>
  <c r="H18" i="1"/>
  <c r="H10" i="1"/>
  <c r="H14" i="1"/>
  <c r="D23" i="1"/>
  <c r="H20" i="1"/>
  <c r="H12" i="1"/>
  <c r="H16" i="1"/>
  <c r="H19" i="1"/>
  <c r="H11" i="1"/>
  <c r="G23" i="1"/>
  <c r="H27" i="1" s="1"/>
  <c r="H8" i="1"/>
  <c r="I8" i="1" s="1"/>
  <c r="I9" i="1" s="1"/>
  <c r="H26" i="1" l="1"/>
  <c r="H28" i="1" s="1"/>
  <c r="H30" i="1" s="1"/>
  <c r="I10" i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H23" i="1"/>
  <c r="H25" i="1" s="1"/>
</calcChain>
</file>

<file path=xl/sharedStrings.xml><?xml version="1.0" encoding="utf-8"?>
<sst xmlns="http://schemas.openxmlformats.org/spreadsheetml/2006/main" count="437" uniqueCount="216">
  <si>
    <t>FECHAMENTO DE PRESTAÇÃO DE CONTAS</t>
  </si>
  <si>
    <t>MÊS</t>
  </si>
  <si>
    <t>SALDO FINAL</t>
  </si>
  <si>
    <t>LEGENDA SINAIS</t>
  </si>
  <si>
    <t>(+) SALDO DISPONIVEL</t>
  </si>
  <si>
    <t>NEGATIVO</t>
  </si>
  <si>
    <t>A REEMBOLSAR</t>
  </si>
  <si>
    <t>(-) PRESTAÇÃO DE CONTAS</t>
  </si>
  <si>
    <t>POSITIVO</t>
  </si>
  <si>
    <t>A PRESTAR</t>
  </si>
  <si>
    <t>= FECHAMENTO PRESTE CONTAS</t>
  </si>
  <si>
    <t>= SALDO CARTÃO</t>
  </si>
  <si>
    <t>FECHAMENTO FINAL - SALDO PENDENTE</t>
  </si>
  <si>
    <t>Data</t>
  </si>
  <si>
    <t>Hora</t>
  </si>
  <si>
    <t>Código de Transação</t>
  </si>
  <si>
    <t>Usuário</t>
  </si>
  <si>
    <t>Tipo</t>
  </si>
  <si>
    <t>Descrição</t>
  </si>
  <si>
    <t>Valor</t>
  </si>
  <si>
    <t>Transferência</t>
  </si>
  <si>
    <t>Saque</t>
  </si>
  <si>
    <t>Taxa</t>
  </si>
  <si>
    <t>Taxa de saque</t>
  </si>
  <si>
    <t>Carga</t>
  </si>
  <si>
    <t>Rótulos de Linha</t>
  </si>
  <si>
    <t>Total Geral</t>
  </si>
  <si>
    <t>2025</t>
  </si>
  <si>
    <t>2026</t>
  </si>
  <si>
    <t>Rótulos de Coluna</t>
  </si>
  <si>
    <t>Soma de Valor</t>
  </si>
  <si>
    <t>mai</t>
  </si>
  <si>
    <t>jun</t>
  </si>
  <si>
    <t>jul</t>
  </si>
  <si>
    <t>jan</t>
  </si>
  <si>
    <t>ID da Despesa</t>
  </si>
  <si>
    <t>ID do Relatório</t>
  </si>
  <si>
    <t>Nome do relatório</t>
  </si>
  <si>
    <t>Nome do membro de equipe</t>
  </si>
  <si>
    <t>CPF/CNPJ</t>
  </si>
  <si>
    <t>Status</t>
  </si>
  <si>
    <t>Data de Pagamento</t>
  </si>
  <si>
    <t>Descrição da despesa</t>
  </si>
  <si>
    <t>Tipo de Despesa</t>
  </si>
  <si>
    <t>Reembolsável</t>
  </si>
  <si>
    <t>Anotação da Despesa</t>
  </si>
  <si>
    <t>Anotação de Rateio</t>
  </si>
  <si>
    <t>Centro de Custos</t>
  </si>
  <si>
    <t>Forma de pagamento</t>
  </si>
  <si>
    <t>Projeto</t>
  </si>
  <si>
    <t>Percentual de projeto</t>
  </si>
  <si>
    <t>Início do Percurso por GPS</t>
  </si>
  <si>
    <t>Fim do Percurso por GPS</t>
  </si>
  <si>
    <t>Valor do KM</t>
  </si>
  <si>
    <t>Kilômetros Percorridos</t>
  </si>
  <si>
    <t>Moeda do Relatório</t>
  </si>
  <si>
    <t>Moeda da Conversão</t>
  </si>
  <si>
    <t>Valor Convertido</t>
  </si>
  <si>
    <t>Valor Total</t>
  </si>
  <si>
    <t>Ultrapassou Política</t>
  </si>
  <si>
    <t>Aberto</t>
  </si>
  <si>
    <t>MATERIAL</t>
  </si>
  <si>
    <t>Não</t>
  </si>
  <si>
    <t>BRL</t>
  </si>
  <si>
    <t>PEDAGIO</t>
  </si>
  <si>
    <t>Saque VExpenses</t>
  </si>
  <si>
    <t>Aprovado</t>
  </si>
  <si>
    <t>CAIXA 04/2026</t>
  </si>
  <si>
    <t>CAIXA 03/2026</t>
  </si>
  <si>
    <t>Pedagio</t>
  </si>
  <si>
    <t>Mês</t>
  </si>
  <si>
    <t>ANO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</si>
  <si>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</si>
  <si>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</si>
  <si>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</si>
  <si>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</si>
  <si>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</si>
  <si>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</si>
  <si>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</si>
  <si>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</si>
  <si>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</si>
  <si>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</si>
  <si>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</si>
  <si>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</si>
  <si>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Ano</t>
  </si>
  <si>
    <t>STATUS</t>
  </si>
  <si>
    <t xml:space="preserve">VALOR </t>
  </si>
  <si>
    <t>Prest. Contas</t>
  </si>
  <si>
    <t>Saldo</t>
  </si>
  <si>
    <t>Acumulado</t>
  </si>
  <si>
    <t>31/03/2026</t>
  </si>
  <si>
    <t>CAIXA 01/2026</t>
  </si>
  <si>
    <t>31/01/2026</t>
  </si>
  <si>
    <t>CAIXA 12/2025</t>
  </si>
  <si>
    <t>26/12/2025</t>
  </si>
  <si>
    <t>CAIXA 11/2025</t>
  </si>
  <si>
    <t>CAIXA 10/2025</t>
  </si>
  <si>
    <t>CAIXA 09/2025</t>
  </si>
  <si>
    <t>30/09/2025</t>
  </si>
  <si>
    <t>CAIXA 08/2025</t>
  </si>
  <si>
    <t>CAIXA 06/2025</t>
  </si>
  <si>
    <t>03/06/2025</t>
  </si>
  <si>
    <t>ago</t>
  </si>
  <si>
    <t>EM AMARELO</t>
  </si>
  <si>
    <t>O VALOR PODE SER ALTERADO</t>
  </si>
  <si>
    <t>EM VERMELHO</t>
  </si>
  <si>
    <t>CAIXA REPROVADO</t>
  </si>
  <si>
    <t>EM VERDE</t>
  </si>
  <si>
    <t>CAIXA APROVADO</t>
  </si>
  <si>
    <t>Andre Valerio de Paiva</t>
  </si>
  <si>
    <t>17:53:10</t>
  </si>
  <si>
    <t>137C414978148D7BCE6116C90C32FB46</t>
  </si>
  <si>
    <t>Transf. EQS &gt; Andre V. d. Paiva: 2 QUINZENA - MAIO/2025</t>
  </si>
  <si>
    <t>15:31:40</t>
  </si>
  <si>
    <t>1CD51B8DF8BA34A6A5D2AFF62E6338B7</t>
  </si>
  <si>
    <t>Transf. EQS &gt; Andre V. d. Paiva</t>
  </si>
  <si>
    <t>17:57:57</t>
  </si>
  <si>
    <t>C8175505416C3DB5A589DE296B620152</t>
  </si>
  <si>
    <t>20:27:22</t>
  </si>
  <si>
    <t>62FCDB383099619BDAEDAD40583645A5</t>
  </si>
  <si>
    <t>TECBAN-SUPERMERCADO BA</t>
  </si>
  <si>
    <t>20:27:46</t>
  </si>
  <si>
    <t>00C7EADE00EEBB1752FE29D0EC1CEC1E</t>
  </si>
  <si>
    <t>15:07:26</t>
  </si>
  <si>
    <t>2191753ADA6D312327FCB05EA9304316</t>
  </si>
  <si>
    <t>17:12:11</t>
  </si>
  <si>
    <t>EC61BF15E537FBDB296059BD2A09C22F</t>
  </si>
  <si>
    <t>17:31:39</t>
  </si>
  <si>
    <t>9A18D34C7527759F4CF6B1FE6E7756E6</t>
  </si>
  <si>
    <t>14:13:49</t>
  </si>
  <si>
    <t>11AD4C44172DB00115BA31D3CBF8BEB5</t>
  </si>
  <si>
    <t>Transf. Andre V. d. Paiva &gt; EQS</t>
  </si>
  <si>
    <t>14:24:36</t>
  </si>
  <si>
    <t>0FBAC1ABC3CE48C01EF09197DD26FE07</t>
  </si>
  <si>
    <t>REGIONAL MG</t>
  </si>
  <si>
    <t>Transf. REGIONAL MG &gt; Andre V. d. Paiva</t>
  </si>
  <si>
    <t>14:11:52</t>
  </si>
  <si>
    <t>03F7965ED6179704C61F53D0C806AEC6</t>
  </si>
  <si>
    <t>TECBAN-SUPERM BH MURIA</t>
  </si>
  <si>
    <t>14:12:22</t>
  </si>
  <si>
    <t>C2187C044E75301D82DE7D63BC2D29DC</t>
  </si>
  <si>
    <t>14:55:02</t>
  </si>
  <si>
    <t>5BDAB8CCCA48630E3C1F437964CC5029</t>
  </si>
  <si>
    <t>16:29:34</t>
  </si>
  <si>
    <t>96C8F4F2A071C905A3EDD1212F0D4D83</t>
  </si>
  <si>
    <t>TECBAN-BAHAMAS EMPORIO</t>
  </si>
  <si>
    <t>16:30:10</t>
  </si>
  <si>
    <t>799A589369B7BADE79C8F9E808FEDCD8</t>
  </si>
  <si>
    <t>15:14:29</t>
  </si>
  <si>
    <t>1E4FA6503789D8DB04304C878073DB1C</t>
  </si>
  <si>
    <t>14:52:24</t>
  </si>
  <si>
    <t>035F5095D076D48274704B8444505398</t>
  </si>
  <si>
    <t>20:45:18</t>
  </si>
  <si>
    <t>18DBBF828D6314C72EF2B5C367A78A30</t>
  </si>
  <si>
    <t>20:45:35</t>
  </si>
  <si>
    <t>2EBF7815BA5D8A470DBFE58CE3A38269</t>
  </si>
  <si>
    <t>15:33:41</t>
  </si>
  <si>
    <t>866DF7C412FD54801B20B70CF887F84B</t>
  </si>
  <si>
    <t>18:28:04</t>
  </si>
  <si>
    <t>FC00108434016D163DB40B4ADE41FF60</t>
  </si>
  <si>
    <t>18:28:35</t>
  </si>
  <si>
    <t>E9B1DF3EAD9C251332A3C53D0A933A35</t>
  </si>
  <si>
    <t>17:43:42</t>
  </si>
  <si>
    <t>D698997D4FD60E73CA2BE6B8847C9405</t>
  </si>
  <si>
    <t>09:56:58</t>
  </si>
  <si>
    <t>D2A56B295AF8D9D9BD5641D72AF04E15</t>
  </si>
  <si>
    <t>Transf. Andre V. d. Paiva &gt; REGIONAL MG</t>
  </si>
  <si>
    <t>17:01:45</t>
  </si>
  <si>
    <t>8273D622F6294EDF01D0A81DA453DD33</t>
  </si>
  <si>
    <t>16:00:10</t>
  </si>
  <si>
    <t>A5527AB30545382AFA36ADBBDB02B84F</t>
  </si>
  <si>
    <t>16:02:18</t>
  </si>
  <si>
    <t>E31680151202605111902OK3BT85THB5</t>
  </si>
  <si>
    <t>Pix</t>
  </si>
  <si>
    <t>Andre Valério de Paiva</t>
  </si>
  <si>
    <t>16:10:09</t>
  </si>
  <si>
    <t>837F3F115DC867518B370B328A41A724</t>
  </si>
  <si>
    <t>Taxa de PIX</t>
  </si>
  <si>
    <t>09:11:17</t>
  </si>
  <si>
    <t>91A303CF2269443F490B1AF0D3C0906F</t>
  </si>
  <si>
    <t>15:44:02</t>
  </si>
  <si>
    <t>BB7828413B51CFC7B624F29E476E08CC</t>
  </si>
  <si>
    <t>15:47:17</t>
  </si>
  <si>
    <t>E31680151202605251846RLQSN9PCFDE</t>
  </si>
  <si>
    <t>15:50:08</t>
  </si>
  <si>
    <t>030B449723A4D7C314C03DE2B7FD45D3</t>
  </si>
  <si>
    <t>10:08:51</t>
  </si>
  <si>
    <t>C6ED34D6E6F3CEB93AF4AA9063A0DB3E</t>
  </si>
  <si>
    <t>fev</t>
  </si>
  <si>
    <t>mar</t>
  </si>
  <si>
    <t>abr</t>
  </si>
  <si>
    <t>ANDRE VALERIO DE PAIVA</t>
  </si>
  <si>
    <t>Pedagio colaborador Josué</t>
  </si>
  <si>
    <t>CLARO INFRA MG</t>
  </si>
  <si>
    <t>Pedagio Josué</t>
  </si>
  <si>
    <t>Pagamento de pedágio frota.</t>
  </si>
  <si>
    <t>31/12/2025</t>
  </si>
  <si>
    <t>PAGAMENTO DE PEDÁGIO FROTA</t>
  </si>
  <si>
    <t>Pedágios pagos na região</t>
  </si>
  <si>
    <t>Pedagio pagos</t>
  </si>
  <si>
    <t>Comprovante dos pedágios pagos</t>
  </si>
  <si>
    <t>31/08/2025</t>
  </si>
  <si>
    <t>PEdagio</t>
  </si>
  <si>
    <t>Notas referente ao pedagios pagos.</t>
  </si>
  <si>
    <t>Material aplicado preventiva gmg</t>
  </si>
  <si>
    <t>Material aplicado preventiva GMG</t>
  </si>
  <si>
    <t>CAIXA 08/2026</t>
  </si>
  <si>
    <t>04/08/2026</t>
  </si>
  <si>
    <t>Enviado</t>
  </si>
  <si>
    <t>CAIXA 07/2026</t>
  </si>
  <si>
    <t>15/07/2026</t>
  </si>
  <si>
    <t>CAIXA 06/2026</t>
  </si>
  <si>
    <t>15/06/2026</t>
  </si>
  <si>
    <t>CAIXA 05/2026</t>
  </si>
  <si>
    <t>13/05/2026</t>
  </si>
  <si>
    <t>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</si>
</sst>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 &quot;#,##0.00_-"/>
    <numFmt numFmtId="165" formatCode="#,##0.0000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206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4" fontId="17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4" fillId="2" borderId="0" xfId="0" applyFont="1" applyFill="1"/>
    <xf numFmtId="0" fontId="7" fillId="3" borderId="1" xfId="1" applyFont="1" applyFill="1" applyBorder="1" applyAlignment="1">
      <alignment horizontal="center" vertical="center"/>
    </xf>
    <xf numFmtId="44" fontId="7" fillId="3" borderId="2" xfId="1" applyNumberFormat="1" applyFont="1" applyFill="1" applyBorder="1" applyAlignment="1">
      <alignment horizontal="center" vertical="center"/>
    </xf>
    <xf numFmtId="44" fontId="7" fillId="3" borderId="3" xfId="1" applyNumberFormat="1" applyFont="1" applyFill="1" applyBorder="1" applyAlignment="1">
      <alignment horizontal="center" vertical="center"/>
    </xf>
    <xf numFmtId="44" fontId="8" fillId="0" borderId="2" xfId="0" applyNumberFormat="1" applyFont="1" applyBorder="1" applyAlignment="1">
      <alignment vertical="center" wrapText="1"/>
    </xf>
    <xf numFmtId="44" fontId="9" fillId="4" borderId="3" xfId="0" applyNumberFormat="1" applyFont="1" applyFill="1" applyBorder="1" applyAlignment="1">
      <alignment vertical="center" wrapText="1"/>
    </xf>
    <xf numFmtId="44" fontId="9" fillId="4" borderId="5" xfId="0" applyNumberFormat="1" applyFont="1" applyFill="1" applyBorder="1" applyAlignment="1">
      <alignment vertical="center" wrapText="1"/>
    </xf>
    <xf numFmtId="44" fontId="8" fillId="0" borderId="7" xfId="0" applyNumberFormat="1" applyFont="1" applyBorder="1" applyAlignment="1">
      <alignment vertical="center" wrapText="1"/>
    </xf>
    <xf numFmtId="44" fontId="9" fillId="4" borderId="8" xfId="0" applyNumberFormat="1" applyFont="1" applyFill="1" applyBorder="1" applyAlignment="1">
      <alignment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4" fontId="11" fillId="2" borderId="6" xfId="0" applyNumberFormat="1" applyFont="1" applyFill="1" applyBorder="1" applyAlignment="1">
      <alignment vertical="center" wrapText="1"/>
    </xf>
    <xf numFmtId="44" fontId="11" fillId="2" borderId="7" xfId="0" applyNumberFormat="1" applyFont="1" applyFill="1" applyBorder="1" applyAlignment="1">
      <alignment vertical="center" wrapText="1"/>
    </xf>
    <xf numFmtId="44" fontId="11" fillId="2" borderId="9" xfId="0" applyNumberFormat="1" applyFont="1" applyFill="1" applyBorder="1" applyAlignment="1">
      <alignment vertical="center" wrapText="1"/>
    </xf>
    <xf numFmtId="49" fontId="8" fillId="2" borderId="0" xfId="0" applyNumberFormat="1" applyFont="1" applyFill="1" applyAlignment="1">
      <alignment horizontal="center" vertical="center" wrapText="1"/>
    </xf>
    <xf numFmtId="44" fontId="11" fillId="2" borderId="0" xfId="0" applyNumberFormat="1" applyFont="1" applyFill="1" applyAlignment="1">
      <alignment vertical="center" wrapText="1"/>
    </xf>
    <xf numFmtId="0" fontId="13" fillId="6" borderId="14" xfId="0" applyFont="1" applyFill="1" applyBorder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44" fontId="8" fillId="0" borderId="0" xfId="0" applyNumberFormat="1" applyFont="1" applyAlignment="1">
      <alignment vertical="center" wrapText="1"/>
    </xf>
    <xf numFmtId="0" fontId="7" fillId="3" borderId="2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1" fillId="0" borderId="0" xfId="2" applyFont="1" applyAlignment="1">
      <alignment horizontal="center"/>
    </xf>
    <xf numFmtId="44" fontId="14" fillId="2" borderId="9" xfId="2" applyFont="1" applyFill="1" applyBorder="1" applyAlignment="1">
      <alignment horizontal="center"/>
    </xf>
    <xf numFmtId="44" fontId="15" fillId="2" borderId="13" xfId="2" applyFont="1" applyFill="1" applyBorder="1" applyAlignment="1">
      <alignment horizontal="center"/>
    </xf>
    <xf numFmtId="44" fontId="16" fillId="2" borderId="13" xfId="2" applyFont="1" applyFill="1" applyBorder="1" applyAlignment="1">
      <alignment horizontal="center"/>
    </xf>
    <xf numFmtId="44" fontId="2" fillId="6" borderId="9" xfId="2" applyFont="1" applyFill="1" applyBorder="1" applyAlignment="1">
      <alignment horizontal="center" vertical="center"/>
    </xf>
    <xf numFmtId="44" fontId="20" fillId="3" borderId="10" xfId="1" applyNumberFormat="1" applyFont="1" applyFill="1" applyBorder="1" applyAlignment="1">
      <alignment horizontal="center" vertical="center"/>
    </xf>
    <xf numFmtId="0" fontId="17" fillId="2" borderId="0" xfId="0" applyFont="1" applyFill="1"/>
    <xf numFmtId="44" fontId="22" fillId="2" borderId="13" xfId="2" applyFont="1" applyFill="1" applyBorder="1" applyAlignment="1">
      <alignment horizontal="center" vertical="center" wrapText="1"/>
    </xf>
    <xf numFmtId="0" fontId="17" fillId="2" borderId="7" xfId="0" applyFont="1" applyFill="1" applyBorder="1"/>
    <xf numFmtId="49" fontId="21" fillId="2" borderId="0" xfId="0" applyNumberFormat="1" applyFont="1" applyFill="1" applyAlignment="1">
      <alignment horizontal="left" vertical="center" wrapText="1"/>
    </xf>
    <xf numFmtId="49" fontId="21" fillId="2" borderId="4" xfId="0" applyNumberFormat="1" applyFont="1" applyFill="1" applyBorder="1" applyAlignment="1">
      <alignment horizontal="left" vertical="center"/>
    </xf>
    <xf numFmtId="0" fontId="21" fillId="2" borderId="6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49" fontId="21" fillId="2" borderId="4" xfId="0" applyNumberFormat="1" applyFont="1" applyFill="1" applyBorder="1" applyAlignment="1">
      <alignment vertical="center"/>
    </xf>
    <xf numFmtId="49" fontId="21" fillId="2" borderId="0" xfId="0" applyNumberFormat="1" applyFont="1" applyFill="1" applyAlignment="1">
      <alignment vertical="center"/>
    </xf>
    <xf numFmtId="0" fontId="18" fillId="0" borderId="0" xfId="0" pivotButton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23" fillId="5" borderId="0" xfId="0" applyNumberFormat="1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164" fontId="23" fillId="5" borderId="0" xfId="0" applyNumberFormat="1" applyFont="1" applyFill="1" applyAlignment="1">
      <alignment horizontal="center"/>
    </xf>
    <xf numFmtId="44" fontId="23" fillId="5" borderId="0" xfId="0" applyNumberFormat="1" applyFont="1" applyFill="1" applyAlignment="1">
      <alignment horizontal="center"/>
    </xf>
    <xf numFmtId="0" fontId="1" fillId="0" borderId="0" xfId="0" pivotButton="1" applyFont="1"/>
    <xf numFmtId="16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4" fontId="1" fillId="0" borderId="0" xfId="0" applyNumberFormat="1" applyFont="1"/>
    <xf numFmtId="0" fontId="1" fillId="0" borderId="0" xfId="0" applyFont="1" applyAlignment="1">
      <alignment horizontal="left" indent="1"/>
    </xf>
    <xf numFmtId="0" fontId="25" fillId="5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/>
    </xf>
    <xf numFmtId="14" fontId="25" fillId="5" borderId="0" xfId="0" applyNumberFormat="1" applyFont="1" applyFill="1" applyAlignment="1">
      <alignment horizontal="center"/>
    </xf>
    <xf numFmtId="165" fontId="25" fillId="5" borderId="0" xfId="0" applyNumberFormat="1" applyFont="1" applyFill="1" applyAlignment="1">
      <alignment horizontal="center"/>
    </xf>
    <xf numFmtId="10" fontId="25" fillId="5" borderId="0" xfId="0" applyNumberFormat="1" applyFont="1" applyFill="1" applyAlignment="1">
      <alignment horizontal="center"/>
    </xf>
    <xf numFmtId="4" fontId="25" fillId="5" borderId="0" xfId="0" applyNumberFormat="1" applyFont="1" applyFill="1" applyAlignment="1">
      <alignment horizontal="center"/>
    </xf>
    <xf numFmtId="44" fontId="25" fillId="5" borderId="0" xfId="2" applyFont="1" applyFill="1" applyAlignment="1">
      <alignment horizontal="center"/>
    </xf>
    <xf numFmtId="0" fontId="13" fillId="7" borderId="14" xfId="0" applyFont="1" applyFill="1" applyBorder="1"/>
    <xf numFmtId="0" fontId="24" fillId="8" borderId="14" xfId="0" applyFont="1" applyFill="1" applyBorder="1"/>
    <xf numFmtId="0" fontId="24" fillId="9" borderId="14" xfId="0" applyFont="1" applyFill="1" applyBorder="1"/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6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2" xfId="1" xr:uid="{F57A9AE8-51CA-48B2-AE11-1FA2AA08279E}"/>
  </cellStyles>
  <dxfs count="38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42722</xdr:colOff>
      <xdr:row>0</xdr:row>
      <xdr:rowOff>98792</xdr:rowOff>
    </xdr:from>
    <xdr:to>
      <xdr:col>3</xdr:col>
      <xdr:colOff>342900</xdr:colOff>
      <xdr:row>2</xdr:row>
      <xdr:rowOff>107577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58F2B5-5B0E-4415-BD32-2F07A2AD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647" y="98792"/>
          <a:ext cx="1490803" cy="37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381002</xdr:colOff>
      <xdr:row>0</xdr:row>
      <xdr:rowOff>74084</xdr:rowOff>
    </xdr:from>
    <xdr:to>
      <xdr:col>5</xdr:col>
      <xdr:colOff>33657</xdr:colOff>
      <xdr:row>2</xdr:row>
      <xdr:rowOff>148379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8F0DAC8-F7F8-D4E9-11E1-99CC5A5F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2" t="23152" r="5742" b="22212"/>
        <a:stretch>
          <a:fillRect/>
        </a:stretch>
      </xdr:blipFill>
      <xdr:spPr>
        <a:xfrm>
          <a:off x="1725085" y="74084"/>
          <a:ext cx="1333500" cy="4495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Dantas" refreshedDate="46247.33869837963" createdVersion="8" refreshedVersion="8" minRefreshableVersion="3" recordCount="33" xr:uid="{726A8120-8FE2-484C-8DB9-FE2333272869}">
  <cacheSource type="worksheet">
    <worksheetSource ref="C1:I34" sheet="EXTRATO"/>
  </cacheSource>
  <cacheFields count="10">
    <cacheField name="Data" numFmtId="14">
      <sharedItems containsSemiMixedTypes="0" containsNonDate="0" containsDate="1" containsString="0" minDate="2025-05-26T16:08:56" maxDate="2026-08-01T10:08:51" count="227">
        <d v="2025-05-26T17:53:10"/>
        <d v="2025-06-09T15:31:40"/>
        <d v="2025-06-11T17:57:57"/>
        <d v="2025-07-11T20:27:22"/>
        <d v="2025-07-11T20:27:46"/>
        <d v="2025-08-11T15:07:26"/>
        <d v="2025-08-25T17:12:11"/>
        <d v="2026-01-12T17:31:39"/>
        <d v="2026-01-14T14:13:49"/>
        <d v="2026-01-14T14:24:36"/>
        <d v="2026-01-20T14:11:52"/>
        <d v="2026-01-20T14:12:22"/>
        <d v="2026-01-26T14:55:02"/>
        <d v="2026-01-27T16:29:34"/>
        <d v="2026-01-27T16:30:10"/>
        <d v="2026-02-11T15:14:29"/>
        <d v="2026-02-25T14:52:24"/>
        <d v="2026-03-04T20:45:18"/>
        <d v="2026-03-04T20:45:35"/>
        <d v="2026-03-16T15:33:41"/>
        <d v="2026-03-27T18:28:04"/>
        <d v="2026-03-27T18:28:35"/>
        <d v="2026-04-13T17:43:42"/>
        <d v="2026-04-25T09:56:58"/>
        <d v="2026-04-27T17:01:45"/>
        <d v="2026-05-11T16:00:10"/>
        <d v="2026-05-11T16:02:18"/>
        <d v="2026-05-11T16:10:09"/>
        <d v="2026-05-22T09:11:17"/>
        <d v="2026-05-25T15:44:02"/>
        <d v="2026-05-25T15:47:17"/>
        <d v="2026-05-25T15:50:08"/>
        <d v="2026-08-01T10:08:51"/>
        <d v="2025-05-26T16:08:56" u="1"/>
        <d v="2025-05-26T17:57:54" u="1"/>
        <d v="2025-05-26T17:58:16" u="1"/>
        <d v="2025-05-26T17:59:24" u="1"/>
        <d v="2025-05-26T17:59:37" u="1"/>
        <d v="2025-05-27T19:44:38" u="1"/>
        <d v="2025-05-27T19:44:53" u="1"/>
        <d v="2025-06-03T13:41:16" u="1"/>
        <d v="2025-06-03T13:42:11" u="1"/>
        <d v="2025-06-11T19:45:28" u="1"/>
        <d v="2025-06-12T09:04:37" u="1"/>
        <d v="2025-06-12T09:04:58" u="1"/>
        <d v="2025-06-12T09:05:58" u="1"/>
        <d v="2025-06-12T09:06:43" u="1"/>
        <d v="2025-06-25T16:43:13" u="1"/>
        <d v="2025-06-26T18:21:47" u="1"/>
        <d v="2025-06-26T18:23:18" u="1"/>
        <d v="2025-06-26T18:33:04" u="1"/>
        <d v="2025-06-26T18:33:35" u="1"/>
        <d v="2025-07-11T16:01:24" u="1"/>
        <d v="2025-07-11T18:08:31" u="1"/>
        <d v="2025-07-11T18:09:39" u="1"/>
        <d v="2025-07-11T18:29:33" u="1"/>
        <d v="2025-07-11T18:29:50" u="1"/>
        <d v="2025-07-14T10:25:37" u="1"/>
        <d v="2025-07-14T10:25:48" u="1"/>
        <d v="2025-07-25T15:57:46" u="1"/>
        <d v="2025-07-25T17:46:49" u="1"/>
        <d v="2025-07-25T17:48:10" u="1"/>
        <d v="2025-07-25T17:49:57" u="1"/>
        <d v="2025-07-25T17:50:26" u="1"/>
        <d v="2025-07-28T15:34:25" u="1"/>
        <d v="2025-07-28T15:57:00" u="1"/>
        <d v="2025-08-11T14:31:55" u="1"/>
        <d v="2025-08-11T17:41:30" u="1"/>
        <d v="2025-08-11T17:49:15" u="1"/>
        <d v="2025-08-25T16:40:15" u="1"/>
        <d v="2025-08-26T09:12:58" u="1"/>
        <d v="2025-08-26T09:14:11" u="1"/>
        <d v="2025-08-26T09:35:31" u="1"/>
        <d v="2025-08-26T09:36:23" u="1"/>
        <d v="2025-09-11T16:37:28" u="1"/>
        <d v="2025-09-12T09:01:42" u="1"/>
        <d v="2025-09-12T09:02:06" u="1"/>
        <d v="2025-09-12T09:02:58" u="1"/>
        <d v="2025-09-12T09:03:25" u="1"/>
        <d v="2025-09-25T16:44:12" u="1"/>
        <d v="2025-09-25T19:16:36" u="1"/>
        <d v="2025-09-25T19:18:16" u="1"/>
        <d v="2025-09-25T19:31:30" u="1"/>
        <d v="2025-09-25T19:32:12" u="1"/>
        <d v="2025-09-26T09:52:52" u="1"/>
        <d v="2025-09-26T09:57:23" u="1"/>
        <d v="2025-10-13T17:17:24" u="1"/>
        <d v="2025-10-13T20:17:57" u="1"/>
        <d v="2025-10-13T20:26:19" u="1"/>
        <d v="2025-10-14T00:32:34" u="1"/>
        <d v="2025-10-14T00:32:35" u="1"/>
        <d v="2025-10-27T14:52:23" u="1"/>
        <d v="2025-10-27T15:09:09" u="1"/>
        <d v="2025-10-27T15:09:36" u="1"/>
        <d v="2025-10-27T15:10:56" u="1"/>
        <d v="2025-10-27T15:11:09" u="1"/>
        <d v="2025-10-28T11:05:18" u="1"/>
        <d v="2025-10-28T11:05:43" u="1"/>
        <d v="2025-11-11T15:41:50" u="1"/>
        <d v="2025-11-11T19:06:24" u="1"/>
        <d v="2025-11-11T19:06:46" u="1"/>
        <d v="2025-11-11T19:08:24" u="1"/>
        <d v="2025-11-11T19:08:53" u="1"/>
        <d v="2025-11-25T16:47:44" u="1"/>
        <d v="2025-11-26T08:40:10" u="1"/>
        <d v="2025-11-26T08:40:26" u="1"/>
        <d v="2025-11-26T08:41:23" u="1"/>
        <d v="2025-11-26T08:41:43" u="1"/>
        <d v="2025-12-08T11:15:13" u="1"/>
        <d v="2025-12-08T11:15:45" u="1"/>
        <d v="2025-12-11T14:38:40" u="1"/>
        <d v="2025-12-15T16:07:43" u="1"/>
        <d v="2025-12-15T16:08:08" u="1"/>
        <d v="2026-01-09T16:53:40" u="1"/>
        <d v="2026-01-10T15:30:42" u="1"/>
        <d v="2026-01-10T15:31:03" u="1"/>
        <d v="2026-01-10T15:32:13" u="1"/>
        <d v="2026-01-10T15:32:25" u="1"/>
        <d v="2026-01-12T18:05:34" u="1"/>
        <d v="2026-01-13T10:31:17" u="1"/>
        <d v="2026-01-13T10:31:46" u="1"/>
        <d v="2026-01-13T10:32:37" u="1"/>
        <d v="2026-01-13T10:32:53" u="1"/>
        <d v="2026-01-26T14:43:58" u="1"/>
        <d v="2026-01-27T09:12:24" u="1"/>
        <d v="2026-01-27T09:12:52" u="1"/>
        <d v="2026-01-27T09:13:48" u="1"/>
        <d v="2026-01-27T09:14:06" u="1"/>
        <d v="2026-01-28T10:08:02" u="1"/>
        <d v="2026-01-28T10:08:49" u="1"/>
        <d v="2025-05-28T10:37:53" u="1"/>
        <d v="2025-06-11T17:57:52" u="1"/>
        <d v="2025-06-16T18:05:58" u="1"/>
        <d v="2025-06-16T18:06:56" u="1"/>
        <d v="2025-06-16T18:20:25" u="1"/>
        <d v="2025-06-16T18:20:37" u="1"/>
        <d v="2025-06-25T16:57:30" u="1"/>
        <d v="2025-06-26T17:30:34" u="1"/>
        <d v="2025-06-26T18:11:16" u="1"/>
        <d v="2025-07-11T15:49:54" u="1"/>
        <d v="2025-07-11T16:56:09" u="1"/>
        <d v="2025-07-11T16:57:14" u="1"/>
        <d v="2025-07-11T17:09:53" u="1"/>
        <d v="2025-07-11T17:10:20" u="1"/>
        <d v="2025-07-25T15:59:27" u="1"/>
        <d v="2025-07-31T11:53:39" u="1"/>
        <d v="2025-07-31T11:54:48" u="1"/>
        <d v="2025-07-31T12:02:09" u="1"/>
        <d v="2025-07-31T12:02:36" u="1"/>
        <d v="2025-09-11T16:30:27" u="1"/>
        <d v="2025-09-13T16:21:29" u="1"/>
        <d v="2025-09-13T16:21:57" u="1"/>
        <d v="2025-09-13T16:23:30" u="1"/>
        <d v="2025-09-13T16:23:57" u="1"/>
        <d v="2025-09-25T16:57:21" u="1"/>
        <d v="2025-09-25T17:57:00" u="1"/>
        <d v="2025-09-25T17:57:59" u="1"/>
        <d v="2025-09-25T17:59:59" u="1"/>
        <d v="2025-09-25T18:00:48" u="1"/>
        <d v="2025-10-13T16:48:42" u="1"/>
        <d v="2025-10-14T16:08:09" u="1"/>
        <d v="2025-10-14T16:08:48" u="1"/>
        <d v="2025-10-14T16:09:15" u="1"/>
        <d v="2025-10-14T16:09:38" u="1"/>
        <d v="2025-10-27T16:17:48" u="1"/>
        <d v="2025-10-29T10:23:58" u="1"/>
        <d v="2025-10-29T10:24:14" u="1"/>
        <d v="2025-10-29T10:25:00" u="1"/>
        <d v="2025-10-29T10:25:20" u="1"/>
        <d v="2025-11-25T16:41:59" u="1"/>
        <d v="2025-11-26T10:18:51" u="1"/>
        <d v="2025-11-26T10:19:27" u="1"/>
        <d v="2025-12-11T15:34:05" u="1"/>
        <d v="2025-12-12T12:34:58" u="1"/>
        <d v="2025-12-12T12:35:20" u="1"/>
        <d v="2025-12-12T12:36:08" u="1"/>
        <d v="2025-12-12T12:36:21" u="1"/>
        <d v="2026-01-12T17:51:38" u="1"/>
        <d v="2026-01-12T19:15:18" u="1"/>
        <d v="2026-01-12T19:15:49" u="1"/>
        <d v="2026-01-12T19:16:24" u="1"/>
        <d v="2026-01-12T19:16:39" u="1"/>
        <d v="2026-01-14T09:00:06" u="1"/>
        <d v="2026-01-14T09:00:31" u="1"/>
        <d v="2026-01-14T16:38:20" u="1"/>
        <d v="2026-01-14T16:57:46" u="1"/>
        <d v="2026-01-26T15:07:14" u="1"/>
        <d v="2026-01-28T11:27:33" u="1"/>
        <d v="2026-01-28T11:27:51" u="1"/>
        <d v="2026-01-28T11:28:37" u="1"/>
        <d v="2026-01-28T11:29:02" u="1"/>
        <d v="2026-02-25T15:00:51" u="1"/>
        <d v="2026-02-26T13:52:15" u="1"/>
        <d v="2026-02-26T13:52:40" u="1"/>
        <d v="2026-02-26T13:54:31" u="1"/>
        <d v="2026-02-26T13:54:45" u="1"/>
        <d v="2026-02-26T21:22:41" u="1"/>
        <d v="2026-02-26T21:22:57" u="1"/>
        <d v="2026-03-11T17:38:15" u="1"/>
        <d v="2026-03-16T16:26:32" u="1"/>
        <d v="2026-03-25T17:05:51" u="1"/>
        <d v="2026-03-27T11:49:03" u="1"/>
        <d v="2026-03-27T11:49:29" u="1"/>
        <d v="2026-03-27T11:50:24" u="1"/>
        <d v="2026-03-27T11:50:47" u="1"/>
        <d v="2026-04-13T17:51:16" u="1"/>
        <d v="2026-04-15T13:35:01" u="1"/>
        <d v="2026-04-15T13:35:37" u="1"/>
        <d v="2026-04-27T17:12:41" u="1"/>
        <d v="2026-04-28T17:04:31" u="1"/>
        <d v="2026-04-28T17:05:00" u="1"/>
        <d v="2026-05-11T16:07:27" u="1"/>
        <d v="2026-05-14T17:54:39" u="1"/>
        <d v="2026-05-14T17:54:56" u="1"/>
        <d v="2026-05-25T15:57:15" u="1"/>
        <d v="2026-05-27T18:12:53" u="1"/>
        <d v="2026-05-27T18:13:20" u="1"/>
        <d v="2026-05-27T18:16:19" u="1"/>
        <d v="2026-05-27T18:16:48" u="1"/>
        <d v="2026-05-27T18:20:03" u="1"/>
        <d v="2026-05-27T18:20:17" u="1"/>
        <d v="2026-06-11T14:27:45" u="1"/>
        <d v="2026-06-30T11:25:16" u="1"/>
        <d v="2026-06-30T11:25:56" u="1"/>
        <d v="2026-07-13T16:21:05" u="1"/>
        <d v="2026-07-15T15:12:42" u="1"/>
        <d v="2026-07-15T15:12:58" u="1"/>
      </sharedItems>
      <fieldGroup par="9"/>
    </cacheField>
    <cacheField name="Hora" numFmtId="0">
      <sharedItems/>
    </cacheField>
    <cacheField name="Código de Transação" numFmtId="0">
      <sharedItems/>
    </cacheField>
    <cacheField name="Usuário" numFmtId="0">
      <sharedItems/>
    </cacheField>
    <cacheField name="Tipo" numFmtId="0">
      <sharedItems count="5">
        <s v="Carga"/>
        <s v="Saque"/>
        <s v="Taxa"/>
        <s v="Transferência"/>
        <s v="Pix"/>
      </sharedItems>
    </cacheField>
    <cacheField name="Descrição" numFmtId="164">
      <sharedItems/>
    </cacheField>
    <cacheField name="Valor" numFmtId="44">
      <sharedItems containsSemiMixedTypes="0" containsString="0" containsNumber="1" minValue="-420" maxValue="399.78"/>
    </cacheField>
    <cacheField name="Meses (Data)" numFmtId="0" databaseField="0">
      <fieldGroup base="0">
        <rangePr groupBy="months" startDate="2025-05-26T17:53:10" endDate="2026-08-01T10:08:51"/>
        <groupItems count="14">
          <s v="&lt;26/05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8/2026"/>
        </groupItems>
      </fieldGroup>
    </cacheField>
    <cacheField name="Trimestres (Data)" numFmtId="0" databaseField="0">
      <fieldGroup base="0">
        <rangePr groupBy="quarters" startDate="2025-05-26T17:53:10" endDate="2026-08-01T10:08:51"/>
        <groupItems count="6">
          <s v="&lt;26/05/2025"/>
          <s v="Trim1"/>
          <s v="Trim2"/>
          <s v="Trim3"/>
          <s v="Trim4"/>
          <s v="&gt;01/08/2026"/>
        </groupItems>
      </fieldGroup>
    </cacheField>
    <cacheField name="Anos (Data)" numFmtId="0" databaseField="0">
      <fieldGroup base="0">
        <rangePr groupBy="years" startDate="2025-05-26T17:53:10" endDate="2026-08-01T10:08:51"/>
        <groupItems count="4">
          <s v="&lt;26/05/2025"/>
          <s v="2025"/>
          <s v="2026"/>
          <s v="&gt;01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Dantas" refreshedDate="46247.341315393518" createdVersion="8" refreshedVersion="8" minRefreshableVersion="3" recordCount="9" xr:uid="{856BECEF-C4D8-4C7F-B125-B16E25D68849}">
  <cacheSource type="worksheet">
    <worksheetSource ref="A1:AC10" sheet="PREST. CONTAS"/>
  </cacheSource>
  <cacheFields count="29">
    <cacheField name="Ano" numFmtId="0">
      <sharedItems containsSemiMixedTypes="0" containsString="0" containsNumber="1" containsInteger="1" minValue="2025" maxValue="2026"/>
    </cacheField>
    <cacheField name="Mês" numFmtId="17">
      <sharedItems/>
    </cacheField>
    <cacheField name="ID da Despesa" numFmtId="0">
      <sharedItems containsSemiMixedTypes="0" containsString="0" containsNumber="1" containsInteger="1" minValue="61835966" maxValue="81828782"/>
    </cacheField>
    <cacheField name="ID do Relatório" numFmtId="0">
      <sharedItems containsSemiMixedTypes="0" containsString="0" containsNumber="1" containsInteger="1" minValue="7607502" maxValue="10334764"/>
    </cacheField>
    <cacheField name="Nome do relatório" numFmtId="0">
      <sharedItems/>
    </cacheField>
    <cacheField name="Data" numFmtId="14">
      <sharedItems/>
    </cacheField>
    <cacheField name="Nome do membro de equipe" numFmtId="0">
      <sharedItems/>
    </cacheField>
    <cacheField name="CPF/CNPJ" numFmtId="0">
      <sharedItems containsSemiMixedTypes="0" containsString="0" containsNumber="1" containsInteger="1" minValue="12682517633" maxValue="12682517633"/>
    </cacheField>
    <cacheField name="Status" numFmtId="0">
      <sharedItems count="3">
        <s v="Aberto"/>
        <s v="Aprovado"/>
        <s v="Enviado" u="1"/>
      </sharedItems>
    </cacheField>
    <cacheField name="Data de Pagamento" numFmtId="14">
      <sharedItems containsNonDate="0" containsString="0" containsBlank="1"/>
    </cacheField>
    <cacheField name="Descrição da despesa" numFmtId="0">
      <sharedItems/>
    </cacheField>
    <cacheField name="Tipo de Despesa" numFmtId="0">
      <sharedItems/>
    </cacheField>
    <cacheField name="Reembolsável" numFmtId="0">
      <sharedItems/>
    </cacheField>
    <cacheField name="Anotação da Despesa" numFmtId="165">
      <sharedItems/>
    </cacheField>
    <cacheField name="Anotação de Rateio" numFmtId="0">
      <sharedItems containsNonDate="0" containsString="0" containsBlank="1"/>
    </cacheField>
    <cacheField name="Centro de Custos" numFmtId="0">
      <sharedItems/>
    </cacheField>
    <cacheField name="Forma de pagamento" numFmtId="0">
      <sharedItems/>
    </cacheField>
    <cacheField name="Projeto" numFmtId="0">
      <sharedItems/>
    </cacheField>
    <cacheField name="Percentual de projeto" numFmtId="0">
      <sharedItems containsSemiMixedTypes="0" containsString="0" containsNumber="1" containsInteger="1" minValue="1" maxValue="1"/>
    </cacheField>
    <cacheField name="Início do Percurso por GPS" numFmtId="10">
      <sharedItems containsNonDate="0" containsString="0" containsBlank="1"/>
    </cacheField>
    <cacheField name="Fim do Percurso por GPS" numFmtId="0">
      <sharedItems containsNonDate="0" containsString="0" containsBlank="1"/>
    </cacheField>
    <cacheField name="Valor do KM" numFmtId="4">
      <sharedItems containsNonDate="0" containsString="0" containsBlank="1"/>
    </cacheField>
    <cacheField name="Kilômetros Percorridos" numFmtId="0">
      <sharedItems containsString="0" containsBlank="1" containsNumber="1" containsInteger="1" minValue="0" maxValue="0"/>
    </cacheField>
    <cacheField name="Moeda do Relatório" numFmtId="4">
      <sharedItems/>
    </cacheField>
    <cacheField name="Valor" numFmtId="4">
      <sharedItems containsSemiMixedTypes="0" containsString="0" containsNumber="1" minValue="46" maxValue="366.61"/>
    </cacheField>
    <cacheField name="Moeda da Conversão" numFmtId="0">
      <sharedItems containsNonDate="0" containsString="0" containsBlank="1"/>
    </cacheField>
    <cacheField name="Valor Convertido" numFmtId="0">
      <sharedItems containsNonDate="0" containsString="0" containsBlank="1"/>
    </cacheField>
    <cacheField name="Valor Total" numFmtId="44">
      <sharedItems containsSemiMixedTypes="0" containsString="0" containsNumber="1" minValue="46" maxValue="366.61"/>
    </cacheField>
    <cacheField name="Ultrapassou Polít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17:53:10"/>
    <s v="137C414978148D7BCE6116C90C32FB46"/>
    <s v="Andre Valerio de Paiva"/>
    <x v="0"/>
    <s v="Transf. EQS &gt; Andre V. d. Paiva: 2 QUINZENA - MAIO/2025"/>
    <n v="398.47"/>
  </r>
  <r>
    <x v="1"/>
    <s v="15:31:40"/>
    <s v="1CD51B8DF8BA34A6A5D2AFF62E6338B7"/>
    <s v="Andre Valerio de Paiva"/>
    <x v="0"/>
    <s v="Transf. EQS &gt; Andre V. d. Paiva"/>
    <n v="1.53"/>
  </r>
  <r>
    <x v="2"/>
    <s v="17:57:57"/>
    <s v="C8175505416C3DB5A589DE296B620152"/>
    <s v="Andre Valerio de Paiva"/>
    <x v="0"/>
    <s v="Transf. EQS &gt; Andre V. d. Paiva"/>
    <n v="46"/>
  </r>
  <r>
    <x v="3"/>
    <s v="20:27:22"/>
    <s v="62FCDB383099619BDAEDAD40583645A5"/>
    <s v="Andre Valerio de Paiva"/>
    <x v="1"/>
    <s v="TECBAN-SUPERMERCADO BA"/>
    <n v="-420"/>
  </r>
  <r>
    <x v="4"/>
    <s v="20:27:46"/>
    <s v="00C7EADE00EEBB1752FE29D0EC1CEC1E"/>
    <s v="Andre Valerio de Paiva"/>
    <x v="2"/>
    <s v="Taxa de saque"/>
    <n v="-7"/>
  </r>
  <r>
    <x v="5"/>
    <s v="15:07:26"/>
    <s v="2191753ADA6D312327FCB05EA9304316"/>
    <s v="Andre Valerio de Paiva"/>
    <x v="0"/>
    <s v="Transf. EQS &gt; Andre V. d. Paiva"/>
    <n v="7"/>
  </r>
  <r>
    <x v="6"/>
    <s v="17:12:11"/>
    <s v="EC61BF15E537FBDB296059BD2A09C22F"/>
    <s v="Andre Valerio de Paiva"/>
    <x v="0"/>
    <s v="Transf. EQS &gt; Andre V. d. Paiva"/>
    <n v="7"/>
  </r>
  <r>
    <x v="7"/>
    <s v="17:31:39"/>
    <s v="9A18D34C7527759F4CF6B1FE6E7756E6"/>
    <s v="Andre Valerio de Paiva"/>
    <x v="0"/>
    <s v="Transf. EQS &gt; Andre V. d. Paiva"/>
    <n v="278.05"/>
  </r>
  <r>
    <x v="8"/>
    <s v="14:13:49"/>
    <s v="11AD4C44172DB00115BA31D3CBF8BEB5"/>
    <s v="Andre Valerio de Paiva"/>
    <x v="3"/>
    <s v="Transf. Andre V. d. Paiva &gt; EQS"/>
    <n v="-311.05"/>
  </r>
  <r>
    <x v="9"/>
    <s v="14:24:36"/>
    <s v="0FBAC1ABC3CE48C01EF09197DD26FE07"/>
    <s v="Andre Valerio de Paiva"/>
    <x v="0"/>
    <s v="Transf. REGIONAL MG &gt; Andre V. d. Paiva"/>
    <n v="311.05"/>
  </r>
  <r>
    <x v="10"/>
    <s v="14:11:52"/>
    <s v="03F7965ED6179704C61F53D0C806AEC6"/>
    <s v="Andre Valerio de Paiva"/>
    <x v="1"/>
    <s v="TECBAN-SUPERM BH MURIA"/>
    <n v="-300"/>
  </r>
  <r>
    <x v="11"/>
    <s v="14:12:22"/>
    <s v="C2187C044E75301D82DE7D63BC2D29DC"/>
    <s v="Andre Valerio de Paiva"/>
    <x v="2"/>
    <s v="Taxa de saque"/>
    <n v="-7"/>
  </r>
  <r>
    <x v="12"/>
    <s v="14:55:02"/>
    <s v="5BDAB8CCCA48630E3C1F437964CC5029"/>
    <s v="Andre Valerio de Paiva"/>
    <x v="0"/>
    <s v="Transf. REGIONAL MG &gt; Andre V. d. Paiva"/>
    <n v="395.95"/>
  </r>
  <r>
    <x v="13"/>
    <s v="16:29:34"/>
    <s v="96C8F4F2A071C905A3EDD1212F0D4D83"/>
    <s v="Andre Valerio de Paiva"/>
    <x v="1"/>
    <s v="TECBAN-BAHAMAS EMPORIO"/>
    <n v="-390"/>
  </r>
  <r>
    <x v="14"/>
    <s v="16:30:10"/>
    <s v="799A589369B7BADE79C8F9E808FEDCD8"/>
    <s v="Andre Valerio de Paiva"/>
    <x v="2"/>
    <s v="Taxa de saque"/>
    <n v="-7"/>
  </r>
  <r>
    <x v="15"/>
    <s v="15:14:29"/>
    <s v="1E4FA6503789D8DB04304C878073DB1C"/>
    <s v="Andre Valerio de Paiva"/>
    <x v="0"/>
    <s v="Transf. REGIONAL MG &gt; Andre V. d. Paiva"/>
    <n v="188.55"/>
  </r>
  <r>
    <x v="16"/>
    <s v="14:52:24"/>
    <s v="035F5095D076D48274704B8444505398"/>
    <s v="Andre Valerio de Paiva"/>
    <x v="0"/>
    <s v="Transf. REGIONAL MG &gt; Andre V. d. Paiva"/>
    <n v="188.55"/>
  </r>
  <r>
    <x v="17"/>
    <s v="20:45:18"/>
    <s v="18DBBF828D6314C72EF2B5C367A78A30"/>
    <s v="Andre Valerio de Paiva"/>
    <x v="1"/>
    <s v="TECBAN-BAHAMAS EMPORIO"/>
    <n v="-370"/>
  </r>
  <r>
    <x v="18"/>
    <s v="20:45:35"/>
    <s v="2EBF7815BA5D8A470DBFE58CE3A38269"/>
    <s v="Andre Valerio de Paiva"/>
    <x v="2"/>
    <s v="Taxa de saque"/>
    <n v="-7"/>
  </r>
  <r>
    <x v="19"/>
    <s v="15:33:41"/>
    <s v="866DF7C412FD54801B20B70CF887F84B"/>
    <s v="Andre Valerio de Paiva"/>
    <x v="0"/>
    <s v="Transf. REGIONAL MG &gt; Andre V. d. Paiva"/>
    <n v="278.11"/>
  </r>
  <r>
    <x v="20"/>
    <s v="18:28:04"/>
    <s v="FC00108434016D163DB40B4ADE41FF60"/>
    <s v="Andre Valerio de Paiva"/>
    <x v="1"/>
    <s v="TECBAN-BAHAMAS EMPORIO"/>
    <n v="-270"/>
  </r>
  <r>
    <x v="21"/>
    <s v="18:28:35"/>
    <s v="E9B1DF3EAD9C251332A3C53D0A933A35"/>
    <s v="Andre Valerio de Paiva"/>
    <x v="2"/>
    <s v="Taxa de saque"/>
    <n v="-7"/>
  </r>
  <r>
    <x v="22"/>
    <s v="17:43:42"/>
    <s v="D698997D4FD60E73CA2BE6B8847C9405"/>
    <s v="Andre Valerio de Paiva"/>
    <x v="0"/>
    <s v="Transf. REGIONAL MG &gt; Andre V. d. Paiva"/>
    <n v="7"/>
  </r>
  <r>
    <x v="23"/>
    <s v="09:56:58"/>
    <s v="D2A56B295AF8D9D9BD5641D72AF04E15"/>
    <s v="Andre Valerio de Paiva"/>
    <x v="3"/>
    <s v="Transf. Andre V. d. Paiva &gt; REGIONAL MG"/>
    <n v="-11.21"/>
  </r>
  <r>
    <x v="24"/>
    <s v="17:01:45"/>
    <s v="8273D622F6294EDF01D0A81DA453DD33"/>
    <s v="Andre Valerio de Paiva"/>
    <x v="0"/>
    <s v="Transf. REGIONAL MG &gt; Andre V. d. Paiva"/>
    <n v="18.21"/>
  </r>
  <r>
    <x v="25"/>
    <s v="16:00:10"/>
    <s v="A5527AB30545382AFA36ADBBDB02B84F"/>
    <s v="Andre Valerio de Paiva"/>
    <x v="0"/>
    <s v="Transf. REGIONAL MG &gt; Andre V. d. Paiva"/>
    <n v="387.12"/>
  </r>
  <r>
    <x v="26"/>
    <s v="16:02:18"/>
    <s v="E31680151202605111902OK3BT85THB5"/>
    <s v="Andre Valerio de Paiva"/>
    <x v="4"/>
    <s v="Andre Valério de Paiva"/>
    <n v="-398"/>
  </r>
  <r>
    <x v="27"/>
    <s v="16:10:09"/>
    <s v="837F3F115DC867518B370B328A41A724"/>
    <s v="Andre Valerio de Paiva"/>
    <x v="2"/>
    <s v="Taxa de PIX"/>
    <n v="-5.77"/>
  </r>
  <r>
    <x v="28"/>
    <s v="09:11:17"/>
    <s v="91A303CF2269443F490B1AF0D3C0906F"/>
    <s v="Andre Valerio de Paiva"/>
    <x v="3"/>
    <s v="Transf. Andre V. d. Paiva &gt; REGIONAL MG"/>
    <n v="-1.56"/>
  </r>
  <r>
    <x v="29"/>
    <s v="15:44:02"/>
    <s v="BB7828413B51CFC7B624F29E476E08CC"/>
    <s v="Andre Valerio de Paiva"/>
    <x v="0"/>
    <s v="Transf. REGIONAL MG &gt; Andre V. d. Paiva"/>
    <n v="399.78"/>
  </r>
  <r>
    <x v="30"/>
    <s v="15:47:17"/>
    <s v="E31680151202605251846RLQSN9PCFDE"/>
    <s v="Andre Valerio de Paiva"/>
    <x v="4"/>
    <s v="Andre Valério de Paiva"/>
    <n v="-390"/>
  </r>
  <r>
    <x v="31"/>
    <s v="15:50:08"/>
    <s v="030B449723A4D7C314C03DE2B7FD45D3"/>
    <s v="Andre Valerio de Paiva"/>
    <x v="2"/>
    <s v="Taxa de PIX"/>
    <n v="-5.66"/>
  </r>
  <r>
    <x v="32"/>
    <s v="10:08:51"/>
    <s v="C6ED34D6E6F3CEB93AF4AA9063A0DB3E"/>
    <s v="Andre Valerio de Paiva"/>
    <x v="3"/>
    <s v="Transf. Andre V. d. Paiva &gt; REGIONAL MG"/>
    <n v="-4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6"/>
    <s v="MARÇO"/>
    <n v="81828782"/>
    <n v="10334764"/>
    <s v="CAIXA 03/2026"/>
    <s v="31/03/2026"/>
    <s v="ANDRE VALERIO DE PAIVA"/>
    <n v="12682517633"/>
    <x v="0"/>
    <m/>
    <s v="Pedagio"/>
    <s v="PEDAGIO"/>
    <s v="Não"/>
    <s v="Pedagio colaborador Josué"/>
    <m/>
    <s v="CLARO INFRA MG"/>
    <s v="Saque VExpenses"/>
    <s v="REGIONAL MG"/>
    <n v="1"/>
    <m/>
    <m/>
    <m/>
    <m/>
    <s v="BRL"/>
    <n v="230.76"/>
    <m/>
    <m/>
    <n v="230.76"/>
    <s v="Não"/>
  </r>
  <r>
    <n v="2026"/>
    <s v="ABRIL"/>
    <n v="81828627"/>
    <n v="10334753"/>
    <s v="CAIXA 04/2026"/>
    <s v="30/04/2026"/>
    <s v="ANDRE VALERIO DE PAIVA"/>
    <n v="12682517633"/>
    <x v="0"/>
    <m/>
    <s v="Pedagio Josué"/>
    <s v="PEDAGIO"/>
    <s v="Não"/>
    <s v="Pedagio colaborador Josué"/>
    <m/>
    <s v="CLARO INFRA MG"/>
    <s v="Saque VExpenses"/>
    <s v="REGIONAL MG"/>
    <n v="1"/>
    <m/>
    <m/>
    <m/>
    <m/>
    <s v="BRL"/>
    <n v="168.69"/>
    <m/>
    <m/>
    <n v="168.69"/>
    <s v="Não"/>
  </r>
  <r>
    <n v="2026"/>
    <s v="JANEIRO"/>
    <n v="77543931"/>
    <n v="9699938"/>
    <s v="CAIXA 01/2026"/>
    <s v="31/01/2026"/>
    <s v="ANDRE VALERIO DE PAIVA"/>
    <n v="12682517633"/>
    <x v="1"/>
    <m/>
    <s v="Pedagio"/>
    <s v="PEDAGIO"/>
    <s v="Não"/>
    <s v="Pagamento de pedágio frota."/>
    <m/>
    <s v="CLARO INFRA MG"/>
    <s v="Saque VExpenses"/>
    <s v="REGIONAL MG"/>
    <n v="1"/>
    <m/>
    <m/>
    <m/>
    <n v="0"/>
    <s v="BRL"/>
    <n v="93.05"/>
    <m/>
    <m/>
    <n v="93.05"/>
    <s v="Não"/>
  </r>
  <r>
    <n v="2025"/>
    <s v="DEZEMBRO"/>
    <n v="77542579"/>
    <n v="9638760"/>
    <s v="CAIXA 12/2025"/>
    <s v="31/12/2025"/>
    <s v="ANDRE VALERIO DE PAIVA"/>
    <n v="12682517633"/>
    <x v="1"/>
    <m/>
    <s v="Pedagio"/>
    <s v="PEDAGIO"/>
    <s v="Não"/>
    <s v="PAGAMENTO DE PEDÁGIO FROTA"/>
    <m/>
    <s v="CLARO INFRA MG"/>
    <s v="Saque VExpenses"/>
    <s v="REGIONAL MG"/>
    <n v="1"/>
    <m/>
    <m/>
    <m/>
    <m/>
    <s v="BRL"/>
    <n v="366.61"/>
    <m/>
    <m/>
    <n v="366.61"/>
    <s v="Não"/>
  </r>
  <r>
    <n v="2025"/>
    <s v="DEZEMBRO"/>
    <n v="74079627"/>
    <n v="9130073"/>
    <s v="CAIXA 11/2025"/>
    <s v="26/12/2025"/>
    <s v="ANDRE VALERIO DE PAIVA"/>
    <n v="12682517633"/>
    <x v="1"/>
    <m/>
    <s v="Pedagio"/>
    <s v="PEDAGIO"/>
    <s v="Não"/>
    <s v="Pedágios pagos na região"/>
    <m/>
    <s v="CLARO INFRA MG"/>
    <s v="Saque VExpenses"/>
    <s v="REGIONAL MG"/>
    <n v="1"/>
    <m/>
    <m/>
    <m/>
    <m/>
    <s v="BRL"/>
    <n v="312.75"/>
    <m/>
    <m/>
    <n v="312.75"/>
    <s v="Não"/>
  </r>
  <r>
    <n v="2025"/>
    <s v="DEZEMBRO"/>
    <n v="74079547"/>
    <n v="9130070"/>
    <s v="CAIXA 10/2025"/>
    <s v="26/12/2025"/>
    <s v="ANDRE VALERIO DE PAIVA"/>
    <n v="12682517633"/>
    <x v="1"/>
    <m/>
    <s v="Pedagio"/>
    <s v="PEDAGIO"/>
    <s v="Não"/>
    <s v="Pedagio pagos"/>
    <m/>
    <s v="CLARO INFRA MG"/>
    <s v="Saque VExpenses"/>
    <s v="REGIONAL MG"/>
    <n v="1"/>
    <m/>
    <m/>
    <m/>
    <m/>
    <s v="BRL"/>
    <n v="159.46"/>
    <m/>
    <m/>
    <n v="159.46"/>
    <s v="Não"/>
  </r>
  <r>
    <n v="2025"/>
    <s v="SETEMBRO"/>
    <n v="74079440"/>
    <n v="9129655"/>
    <s v="CAIXA 09/2025"/>
    <s v="30/09/2025"/>
    <s v="ANDRE VALERIO DE PAIVA"/>
    <n v="12682517633"/>
    <x v="1"/>
    <m/>
    <s v="Pedagio"/>
    <s v="PEDAGIO"/>
    <s v="Não"/>
    <s v="Comprovante dos pedágios pagos"/>
    <m/>
    <s v="CLARO INFRA MG"/>
    <s v="Saque VExpenses"/>
    <s v="REGIONAL MG"/>
    <n v="1"/>
    <m/>
    <m/>
    <m/>
    <m/>
    <s v="BRL"/>
    <n v="163.79"/>
    <m/>
    <m/>
    <n v="163.79"/>
    <s v="Não"/>
  </r>
  <r>
    <n v="2025"/>
    <s v="AGOSTO"/>
    <n v="74079371"/>
    <n v="9129144"/>
    <s v="CAIXA 08/2025"/>
    <s v="31/08/2025"/>
    <s v="ANDRE VALERIO DE PAIVA"/>
    <n v="12682517633"/>
    <x v="1"/>
    <m/>
    <s v="Pedagio"/>
    <s v="PEDAGIO"/>
    <s v="Não"/>
    <s v="Notas referente ao pedagios pagos."/>
    <m/>
    <s v="CLARO INFRA MG"/>
    <s v="Saque VExpenses"/>
    <s v="REGIONAL MG"/>
    <n v="1"/>
    <m/>
    <m/>
    <m/>
    <m/>
    <s v="BRL"/>
    <n v="219.55"/>
    <m/>
    <m/>
    <n v="219.55"/>
    <s v="Não"/>
  </r>
  <r>
    <n v="2025"/>
    <s v="JUNHO"/>
    <n v="61835966"/>
    <n v="7607502"/>
    <s v="CAIXA 06/2025"/>
    <s v="03/06/2025"/>
    <s v="ANDRE VALERIO DE PAIVA"/>
    <n v="12682517633"/>
    <x v="1"/>
    <m/>
    <s v="Material aplicado preventiva gmg"/>
    <s v="MATERIAL"/>
    <s v="Não"/>
    <s v="Material aplicado preventiva GMG"/>
    <m/>
    <s v="CLARO INFRA MG"/>
    <s v="Saque VExpenses"/>
    <s v="REGIONAL MG"/>
    <n v="1"/>
    <m/>
    <m/>
    <m/>
    <n v="0"/>
    <s v="BRL"/>
    <n v="46"/>
    <m/>
    <m/>
    <n v="46"/>
    <s v="Nã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295E7-7366-4A21-9851-248EABCE598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Q15" firstHeaderRow="1" firstDataRow="2" firstDataCol="1"/>
  <pivotFields count="10">
    <pivotField axis="axisRow" numFmtId="14" showAll="0">
      <items count="228"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</pivotFields>
  <rowFields count="3">
    <field x="9"/>
    <field x="7"/>
    <field x="0"/>
  </rowFields>
  <rowItems count="13">
    <i>
      <x/>
    </i>
    <i r="1">
      <x v="5"/>
    </i>
    <i r="1">
      <x v="6"/>
    </i>
    <i r="1">
      <x v="7"/>
    </i>
    <i r="1">
      <x v="8"/>
    </i>
    <i>
      <x v="1"/>
    </i>
    <i r="1">
      <x v="1"/>
    </i>
    <i r="1">
      <x v="2"/>
    </i>
    <i r="1">
      <x v="3"/>
    </i>
    <i r="1">
      <x v="4"/>
    </i>
    <i r="1">
      <x v="5"/>
    </i>
    <i r="1">
      <x v="8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6" baseField="0" baseItem="0" numFmtId="44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4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9" type="button" dataOnly="0" labelOnly="1" outline="0" axis="axisRow" fieldPosition="0"/>
    </format>
    <format dxfId="31">
      <pivotArea dataOnly="0" labelOnly="1" fieldPosition="0">
        <references count="1">
          <reference field="9" count="2">
            <x v="0"/>
            <x v="1"/>
          </reference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7" count="7">
            <x v="5"/>
            <x v="6"/>
            <x v="7"/>
            <x v="9"/>
            <x v="10"/>
            <x v="11"/>
            <x v="12"/>
          </reference>
          <reference field="9" count="1" selected="0">
            <x v="0"/>
          </reference>
        </references>
      </pivotArea>
    </format>
    <format dxfId="28">
      <pivotArea dataOnly="0" labelOnly="1" fieldPosition="0">
        <references count="2">
          <reference field="7" count="7">
            <x v="1"/>
            <x v="2"/>
            <x v="3"/>
            <x v="4"/>
            <x v="5"/>
            <x v="6"/>
            <x v="7"/>
          </reference>
          <reference field="9" count="1" selected="0">
            <x v="1"/>
          </reference>
        </references>
      </pivotArea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Col="1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C6788-177F-476C-A3A5-51E7E624002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K7:L10" firstHeaderRow="1" firstDataRow="1" firstDataCol="1"/>
  <pivotFields count="29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VALOR " fld="27" baseField="0" baseItem="0" numFmtId="44"/>
  </dataFields>
  <formats count="15"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8" type="button" dataOnly="0" labelOnly="1" outline="0" axis="axisRow" fieldPosition="0"/>
    </format>
    <format dxfId="4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8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EF97C-DB42-4B24-BCD2-3D4704B15EC1}" name="Tabela1" displayName="Tabela1" ref="A1:I34" totalsRowShown="0" headerRowDxfId="25" dataDxfId="24">
  <autoFilter ref="A1:I34" xr:uid="{610EF97C-DB42-4B24-BCD2-3D4704B15EC1}"/>
  <tableColumns count="9">
    <tableColumn id="1" xr3:uid="{72431C84-7876-418B-A55A-EDB76EA1450D}" name="ANO" dataDxfId="23">
      <calculatedColumnFormula>YEAR(C2)</calculatedColumnFormula>
    </tableColumn>
    <tableColumn id="2" xr3:uid="{D9DFA389-387F-4D00-B905-9F5EF173C174}" name="MÊS" dataDxfId="22">
      <calculatedColumnFormula>UPPER(TEXT(C2,"MMMM"))</calculatedColumnFormula>
    </tableColumn>
    <tableColumn id="3" xr3:uid="{270F2D7B-574D-4724-9371-B6FA7AA5D556}" name="Data" dataDxfId="21"/>
    <tableColumn id="4" xr3:uid="{E7E69B17-FF51-41F2-A535-006AB161A6DB}" name="Hora" dataDxfId="20"/>
    <tableColumn id="5" xr3:uid="{6BDB4404-81CE-46C4-8508-0FD1D34E5F3A}" name="Código de Transação" dataDxfId="19"/>
    <tableColumn id="6" xr3:uid="{F99127EE-8701-470C-BC57-074CF76B88AC}" name="Usuário" dataDxfId="18"/>
    <tableColumn id="7" xr3:uid="{28B8F771-2D41-4D11-A254-C6240462CE13}" name="Tipo" dataDxfId="17"/>
    <tableColumn id="8" xr3:uid="{A8D091AA-BBB2-4D21-A4D1-7EBDBB3E8CC0}" name="Descrição" dataDxfId="16"/>
    <tableColumn id="9" xr3:uid="{0662D4CD-3D4F-4A55-A88E-2FAE0EDA8C3A}" name="Valor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F8DC-D9CD-4943-B8B1-3D99A77DEDCC}">
  <sheetPr>
    <tabColor theme="8"/>
  </sheetPr>
  <dimension ref="A1:Q34"/>
  <sheetViews>
    <sheetView showGridLines="0" workbookViewId="0">
      <selection activeCell="E1" sqref="E1"/>
    </sheetView>
  </sheetViews>
  <sheetFormatPr defaultRowHeight="12.75" x14ac:dyDescent="0.2"/>
  <cols>
    <col min="1" max="2" width="9.28515625" style="23" bestFit="1" customWidth="1"/>
    <col min="3" max="3" width="10.42578125" style="23" bestFit="1" customWidth="1"/>
    <col min="4" max="4" width="9.28515625" style="23" bestFit="1" customWidth="1"/>
    <col min="5" max="5" width="34.28515625" style="23" bestFit="1" customWidth="1"/>
    <col min="6" max="6" width="19.140625" style="23" bestFit="1" customWidth="1"/>
    <col min="7" max="7" width="11.85546875" style="23" bestFit="1" customWidth="1"/>
    <col min="8" max="8" width="46.85546875" style="23" bestFit="1" customWidth="1"/>
    <col min="9" max="9" width="10.85546875" style="63" bestFit="1" customWidth="1"/>
    <col min="10" max="10" width="9.140625" style="23"/>
    <col min="11" max="11" width="16.28515625" style="23" bestFit="1" customWidth="1"/>
    <col min="12" max="12" width="17.42578125" style="23" bestFit="1" customWidth="1"/>
    <col min="13" max="13" width="11.42578125" style="23" bestFit="1" customWidth="1"/>
    <col min="14" max="14" width="9" style="23" bestFit="1" customWidth="1"/>
    <col min="15" max="15" width="11.42578125" style="23" bestFit="1" customWidth="1"/>
    <col min="16" max="17" width="10" style="23" bestFit="1" customWidth="1"/>
    <col min="18" max="16384" width="9.140625" style="23"/>
  </cols>
  <sheetData>
    <row r="1" spans="1:17" x14ac:dyDescent="0.2">
      <c r="A1" s="55" t="s">
        <v>71</v>
      </c>
      <c r="B1" s="55" t="s">
        <v>1</v>
      </c>
      <c r="C1" s="55" t="s">
        <v>13</v>
      </c>
      <c r="D1" s="56" t="s">
        <v>14</v>
      </c>
      <c r="E1" s="56" t="s">
        <v>15</v>
      </c>
      <c r="F1" s="56" t="s">
        <v>16</v>
      </c>
      <c r="G1" s="56" t="s">
        <v>17</v>
      </c>
      <c r="H1" s="57" t="s">
        <v>18</v>
      </c>
      <c r="I1" s="58" t="s">
        <v>19</v>
      </c>
      <c r="K1" s="59" t="s">
        <v>30</v>
      </c>
      <c r="L1" s="59" t="s">
        <v>29</v>
      </c>
    </row>
    <row r="2" spans="1:17" x14ac:dyDescent="0.2">
      <c r="A2" s="18">
        <f>YEAR(C2)</f>
        <v>2025</v>
      </c>
      <c r="B2" s="19" t="str">
        <f>UPPER(TEXT(C2,"MMMM"))</f>
        <v>MAIO</v>
      </c>
      <c r="C2" s="19">
        <v>45803.745254629997</v>
      </c>
      <c r="D2" s="18" t="s">
        <v>110</v>
      </c>
      <c r="E2" s="18" t="s">
        <v>111</v>
      </c>
      <c r="F2" s="18" t="s">
        <v>109</v>
      </c>
      <c r="G2" s="18" t="s">
        <v>24</v>
      </c>
      <c r="H2" s="60" t="s">
        <v>112</v>
      </c>
      <c r="I2" s="61">
        <v>398.47</v>
      </c>
      <c r="K2" s="59" t="s">
        <v>25</v>
      </c>
      <c r="L2" s="23" t="s">
        <v>24</v>
      </c>
      <c r="M2" s="23" t="s">
        <v>21</v>
      </c>
      <c r="N2" s="23" t="s">
        <v>22</v>
      </c>
      <c r="O2" s="23" t="s">
        <v>20</v>
      </c>
      <c r="P2" s="23" t="s">
        <v>173</v>
      </c>
      <c r="Q2" s="23" t="s">
        <v>26</v>
      </c>
    </row>
    <row r="3" spans="1:17" x14ac:dyDescent="0.2">
      <c r="A3" s="18">
        <f t="shared" ref="A3:A34" si="0">YEAR(C3)</f>
        <v>2025</v>
      </c>
      <c r="B3" s="19" t="str">
        <f t="shared" ref="B3:B34" si="1">UPPER(TEXT(C3,"MMMM"))</f>
        <v>JUNHO</v>
      </c>
      <c r="C3" s="19">
        <v>45817.646990740999</v>
      </c>
      <c r="D3" s="18" t="s">
        <v>113</v>
      </c>
      <c r="E3" s="18" t="s">
        <v>114</v>
      </c>
      <c r="F3" s="18" t="s">
        <v>109</v>
      </c>
      <c r="G3" s="18" t="s">
        <v>24</v>
      </c>
      <c r="H3" s="60" t="s">
        <v>115</v>
      </c>
      <c r="I3" s="61">
        <v>1.53</v>
      </c>
      <c r="K3" s="62" t="s">
        <v>27</v>
      </c>
      <c r="L3" s="63">
        <v>460</v>
      </c>
      <c r="M3" s="63">
        <v>-420</v>
      </c>
      <c r="N3" s="63">
        <v>-7</v>
      </c>
      <c r="O3" s="63"/>
      <c r="P3" s="63"/>
      <c r="Q3" s="63">
        <v>33</v>
      </c>
    </row>
    <row r="4" spans="1:17" x14ac:dyDescent="0.2">
      <c r="A4" s="18">
        <f t="shared" si="0"/>
        <v>2025</v>
      </c>
      <c r="B4" s="19" t="str">
        <f t="shared" si="1"/>
        <v>JUNHO</v>
      </c>
      <c r="C4" s="19">
        <v>45819.748576389</v>
      </c>
      <c r="D4" s="18" t="s">
        <v>116</v>
      </c>
      <c r="E4" s="18" t="s">
        <v>117</v>
      </c>
      <c r="F4" s="18" t="s">
        <v>109</v>
      </c>
      <c r="G4" s="18" t="s">
        <v>24</v>
      </c>
      <c r="H4" s="60" t="s">
        <v>115</v>
      </c>
      <c r="I4" s="61">
        <v>46</v>
      </c>
      <c r="K4" s="64" t="s">
        <v>31</v>
      </c>
      <c r="L4" s="63">
        <v>398.47</v>
      </c>
      <c r="M4" s="63"/>
      <c r="N4" s="63"/>
      <c r="O4" s="63"/>
      <c r="P4" s="63"/>
      <c r="Q4" s="63">
        <v>398.47</v>
      </c>
    </row>
    <row r="5" spans="1:17" x14ac:dyDescent="0.2">
      <c r="A5" s="18">
        <f t="shared" si="0"/>
        <v>2025</v>
      </c>
      <c r="B5" s="19" t="str">
        <f t="shared" si="1"/>
        <v>JULHO</v>
      </c>
      <c r="C5" s="19">
        <v>45849.852337962999</v>
      </c>
      <c r="D5" s="18" t="s">
        <v>118</v>
      </c>
      <c r="E5" s="18" t="s">
        <v>119</v>
      </c>
      <c r="F5" s="18" t="s">
        <v>109</v>
      </c>
      <c r="G5" s="18" t="s">
        <v>21</v>
      </c>
      <c r="H5" s="60" t="s">
        <v>120</v>
      </c>
      <c r="I5" s="61">
        <v>-420</v>
      </c>
      <c r="K5" s="64" t="s">
        <v>32</v>
      </c>
      <c r="L5" s="63">
        <v>47.53</v>
      </c>
      <c r="M5" s="63"/>
      <c r="N5" s="63"/>
      <c r="O5" s="63"/>
      <c r="P5" s="63"/>
      <c r="Q5" s="63">
        <v>47.53</v>
      </c>
    </row>
    <row r="6" spans="1:17" x14ac:dyDescent="0.2">
      <c r="A6" s="18">
        <f t="shared" si="0"/>
        <v>2025</v>
      </c>
      <c r="B6" s="19" t="str">
        <f t="shared" si="1"/>
        <v>JULHO</v>
      </c>
      <c r="C6" s="19">
        <v>45849.852615741002</v>
      </c>
      <c r="D6" s="18" t="s">
        <v>121</v>
      </c>
      <c r="E6" s="18" t="s">
        <v>122</v>
      </c>
      <c r="F6" s="18" t="s">
        <v>109</v>
      </c>
      <c r="G6" s="18" t="s">
        <v>22</v>
      </c>
      <c r="H6" s="60" t="s">
        <v>23</v>
      </c>
      <c r="I6" s="61">
        <v>-7</v>
      </c>
      <c r="K6" s="64" t="s">
        <v>33</v>
      </c>
      <c r="L6" s="63"/>
      <c r="M6" s="63">
        <v>-420</v>
      </c>
      <c r="N6" s="63">
        <v>-7</v>
      </c>
      <c r="O6" s="63"/>
      <c r="P6" s="63"/>
      <c r="Q6" s="63">
        <v>-427</v>
      </c>
    </row>
    <row r="7" spans="1:17" x14ac:dyDescent="0.2">
      <c r="A7" s="18">
        <f t="shared" si="0"/>
        <v>2025</v>
      </c>
      <c r="B7" s="19" t="str">
        <f t="shared" si="1"/>
        <v>AGOSTO</v>
      </c>
      <c r="C7" s="19">
        <v>45880.630162037</v>
      </c>
      <c r="D7" s="18" t="s">
        <v>123</v>
      </c>
      <c r="E7" s="18" t="s">
        <v>124</v>
      </c>
      <c r="F7" s="18" t="s">
        <v>109</v>
      </c>
      <c r="G7" s="18" t="s">
        <v>24</v>
      </c>
      <c r="H7" s="60" t="s">
        <v>115</v>
      </c>
      <c r="I7" s="61">
        <v>7</v>
      </c>
      <c r="K7" s="64" t="s">
        <v>102</v>
      </c>
      <c r="L7" s="63">
        <v>14</v>
      </c>
      <c r="M7" s="63"/>
      <c r="N7" s="63"/>
      <c r="O7" s="63"/>
      <c r="P7" s="63"/>
      <c r="Q7" s="63">
        <v>14</v>
      </c>
    </row>
    <row r="8" spans="1:17" x14ac:dyDescent="0.2">
      <c r="A8" s="18">
        <f t="shared" si="0"/>
        <v>2025</v>
      </c>
      <c r="B8" s="19" t="str">
        <f t="shared" si="1"/>
        <v>AGOSTO</v>
      </c>
      <c r="C8" s="19">
        <v>45894.716793981002</v>
      </c>
      <c r="D8" s="18" t="s">
        <v>125</v>
      </c>
      <c r="E8" s="18" t="s">
        <v>126</v>
      </c>
      <c r="F8" s="18" t="s">
        <v>109</v>
      </c>
      <c r="G8" s="18" t="s">
        <v>24</v>
      </c>
      <c r="H8" s="60" t="s">
        <v>115</v>
      </c>
      <c r="I8" s="61">
        <v>7</v>
      </c>
      <c r="K8" s="62" t="s">
        <v>28</v>
      </c>
      <c r="L8" s="63">
        <v>2452.3700000000003</v>
      </c>
      <c r="M8" s="63">
        <v>-1330</v>
      </c>
      <c r="N8" s="63">
        <v>-39.43</v>
      </c>
      <c r="O8" s="63">
        <v>-327.94</v>
      </c>
      <c r="P8" s="63">
        <v>-788</v>
      </c>
      <c r="Q8" s="63">
        <v>-32.999999999999936</v>
      </c>
    </row>
    <row r="9" spans="1:17" x14ac:dyDescent="0.2">
      <c r="A9" s="18">
        <f t="shared" si="0"/>
        <v>2026</v>
      </c>
      <c r="B9" s="19" t="str">
        <f t="shared" si="1"/>
        <v>JANEIRO</v>
      </c>
      <c r="C9" s="19">
        <v>46034.730312500003</v>
      </c>
      <c r="D9" s="18" t="s">
        <v>127</v>
      </c>
      <c r="E9" s="18" t="s">
        <v>128</v>
      </c>
      <c r="F9" s="18" t="s">
        <v>109</v>
      </c>
      <c r="G9" s="18" t="s">
        <v>24</v>
      </c>
      <c r="H9" s="60" t="s">
        <v>115</v>
      </c>
      <c r="I9" s="61">
        <v>278.05</v>
      </c>
      <c r="K9" s="64" t="s">
        <v>34</v>
      </c>
      <c r="L9" s="63">
        <v>985.05</v>
      </c>
      <c r="M9" s="63">
        <v>-690</v>
      </c>
      <c r="N9" s="63">
        <v>-14</v>
      </c>
      <c r="O9" s="63">
        <v>-311.05</v>
      </c>
      <c r="P9" s="63"/>
      <c r="Q9" s="63">
        <v>-30.000000000000057</v>
      </c>
    </row>
    <row r="10" spans="1:17" x14ac:dyDescent="0.2">
      <c r="A10" s="18">
        <f t="shared" si="0"/>
        <v>2026</v>
      </c>
      <c r="B10" s="19" t="str">
        <f t="shared" si="1"/>
        <v>JANEIRO</v>
      </c>
      <c r="C10" s="19">
        <v>46036.592928241</v>
      </c>
      <c r="D10" s="18" t="s">
        <v>129</v>
      </c>
      <c r="E10" s="18" t="s">
        <v>130</v>
      </c>
      <c r="F10" s="18" t="s">
        <v>109</v>
      </c>
      <c r="G10" s="18" t="s">
        <v>20</v>
      </c>
      <c r="H10" s="60" t="s">
        <v>131</v>
      </c>
      <c r="I10" s="61">
        <v>-311.05</v>
      </c>
      <c r="K10" s="64" t="s">
        <v>188</v>
      </c>
      <c r="L10" s="63">
        <v>377.1</v>
      </c>
      <c r="M10" s="63"/>
      <c r="N10" s="63"/>
      <c r="O10" s="63"/>
      <c r="P10" s="63"/>
      <c r="Q10" s="63">
        <v>377.1</v>
      </c>
    </row>
    <row r="11" spans="1:17" x14ac:dyDescent="0.2">
      <c r="A11" s="18">
        <f t="shared" si="0"/>
        <v>2026</v>
      </c>
      <c r="B11" s="19" t="str">
        <f t="shared" si="1"/>
        <v>JANEIRO</v>
      </c>
      <c r="C11" s="19">
        <v>46036.600416667003</v>
      </c>
      <c r="D11" s="18" t="s">
        <v>132</v>
      </c>
      <c r="E11" s="18" t="s">
        <v>133</v>
      </c>
      <c r="F11" s="18" t="s">
        <v>109</v>
      </c>
      <c r="G11" s="18" t="s">
        <v>24</v>
      </c>
      <c r="H11" s="60" t="s">
        <v>135</v>
      </c>
      <c r="I11" s="61">
        <v>311.05</v>
      </c>
      <c r="K11" s="64" t="s">
        <v>189</v>
      </c>
      <c r="L11" s="63">
        <v>278.11</v>
      </c>
      <c r="M11" s="63">
        <v>-640</v>
      </c>
      <c r="N11" s="63">
        <v>-14</v>
      </c>
      <c r="O11" s="63"/>
      <c r="P11" s="63"/>
      <c r="Q11" s="63">
        <v>-375.89</v>
      </c>
    </row>
    <row r="12" spans="1:17" x14ac:dyDescent="0.2">
      <c r="A12" s="18">
        <f t="shared" si="0"/>
        <v>2026</v>
      </c>
      <c r="B12" s="19" t="str">
        <f t="shared" si="1"/>
        <v>JANEIRO</v>
      </c>
      <c r="C12" s="19">
        <v>46042.591574074002</v>
      </c>
      <c r="D12" s="18" t="s">
        <v>136</v>
      </c>
      <c r="E12" s="18" t="s">
        <v>137</v>
      </c>
      <c r="F12" s="18" t="s">
        <v>109</v>
      </c>
      <c r="G12" s="18" t="s">
        <v>21</v>
      </c>
      <c r="H12" s="60" t="s">
        <v>138</v>
      </c>
      <c r="I12" s="61">
        <v>-300</v>
      </c>
      <c r="K12" s="64" t="s">
        <v>190</v>
      </c>
      <c r="L12" s="63">
        <v>25.21</v>
      </c>
      <c r="M12" s="63"/>
      <c r="N12" s="63"/>
      <c r="O12" s="63">
        <v>-11.21</v>
      </c>
      <c r="P12" s="63"/>
      <c r="Q12" s="63">
        <v>14</v>
      </c>
    </row>
    <row r="13" spans="1:17" x14ac:dyDescent="0.2">
      <c r="A13" s="18">
        <f t="shared" si="0"/>
        <v>2026</v>
      </c>
      <c r="B13" s="19" t="str">
        <f t="shared" si="1"/>
        <v>JANEIRO</v>
      </c>
      <c r="C13" s="19">
        <v>46042.591921296</v>
      </c>
      <c r="D13" s="18" t="s">
        <v>139</v>
      </c>
      <c r="E13" s="18" t="s">
        <v>140</v>
      </c>
      <c r="F13" s="18" t="s">
        <v>109</v>
      </c>
      <c r="G13" s="18" t="s">
        <v>22</v>
      </c>
      <c r="H13" s="60" t="s">
        <v>23</v>
      </c>
      <c r="I13" s="61">
        <v>-7</v>
      </c>
      <c r="K13" s="64" t="s">
        <v>31</v>
      </c>
      <c r="L13" s="63">
        <v>786.9</v>
      </c>
      <c r="M13" s="63"/>
      <c r="N13" s="63">
        <v>-11.43</v>
      </c>
      <c r="O13" s="63">
        <v>-1.56</v>
      </c>
      <c r="P13" s="63">
        <v>-788</v>
      </c>
      <c r="Q13" s="63">
        <v>-14.089999999999918</v>
      </c>
    </row>
    <row r="14" spans="1:17" x14ac:dyDescent="0.2">
      <c r="A14" s="18">
        <f t="shared" si="0"/>
        <v>2026</v>
      </c>
      <c r="B14" s="19" t="str">
        <f t="shared" si="1"/>
        <v>JANEIRO</v>
      </c>
      <c r="C14" s="19">
        <v>46048.621550926</v>
      </c>
      <c r="D14" s="18" t="s">
        <v>141</v>
      </c>
      <c r="E14" s="18" t="s">
        <v>142</v>
      </c>
      <c r="F14" s="18" t="s">
        <v>109</v>
      </c>
      <c r="G14" s="18" t="s">
        <v>24</v>
      </c>
      <c r="H14" s="60" t="s">
        <v>135</v>
      </c>
      <c r="I14" s="61">
        <v>395.95</v>
      </c>
      <c r="K14" s="64" t="s">
        <v>102</v>
      </c>
      <c r="L14" s="63"/>
      <c r="M14" s="63"/>
      <c r="N14" s="63"/>
      <c r="O14" s="63">
        <v>-4.12</v>
      </c>
      <c r="P14" s="63"/>
      <c r="Q14" s="63">
        <v>-4.12</v>
      </c>
    </row>
    <row r="15" spans="1:17" x14ac:dyDescent="0.2">
      <c r="A15" s="18">
        <f t="shared" si="0"/>
        <v>2026</v>
      </c>
      <c r="B15" s="19" t="str">
        <f t="shared" si="1"/>
        <v>JANEIRO</v>
      </c>
      <c r="C15" s="19">
        <v>46049.687199073996</v>
      </c>
      <c r="D15" s="18" t="s">
        <v>143</v>
      </c>
      <c r="E15" s="18" t="s">
        <v>144</v>
      </c>
      <c r="F15" s="18" t="s">
        <v>109</v>
      </c>
      <c r="G15" s="18" t="s">
        <v>21</v>
      </c>
      <c r="H15" s="60" t="s">
        <v>145</v>
      </c>
      <c r="I15" s="61">
        <v>-390</v>
      </c>
      <c r="K15" s="62" t="s">
        <v>26</v>
      </c>
      <c r="L15" s="63">
        <v>2912.3700000000003</v>
      </c>
      <c r="M15" s="63">
        <v>-1750</v>
      </c>
      <c r="N15" s="63">
        <v>-46.43</v>
      </c>
      <c r="O15" s="63">
        <v>-327.94</v>
      </c>
      <c r="P15" s="63">
        <v>-788</v>
      </c>
      <c r="Q15" s="63">
        <v>6.1284310959308641E-14</v>
      </c>
    </row>
    <row r="16" spans="1:17" ht="15" x14ac:dyDescent="0.25">
      <c r="A16" s="18">
        <f t="shared" si="0"/>
        <v>2026</v>
      </c>
      <c r="B16" s="19" t="str">
        <f t="shared" si="1"/>
        <v>JANEIRO</v>
      </c>
      <c r="C16" s="19">
        <v>46049.687615741001</v>
      </c>
      <c r="D16" s="18" t="s">
        <v>146</v>
      </c>
      <c r="E16" s="18" t="s">
        <v>147</v>
      </c>
      <c r="F16" s="18" t="s">
        <v>109</v>
      </c>
      <c r="G16" s="18" t="s">
        <v>22</v>
      </c>
      <c r="H16" s="60" t="s">
        <v>23</v>
      </c>
      <c r="I16" s="61">
        <v>-7</v>
      </c>
      <c r="K16"/>
      <c r="L16"/>
      <c r="M16"/>
      <c r="N16"/>
      <c r="O16"/>
      <c r="P16"/>
    </row>
    <row r="17" spans="1:16" ht="15" x14ac:dyDescent="0.25">
      <c r="A17" s="18">
        <f t="shared" si="0"/>
        <v>2026</v>
      </c>
      <c r="B17" s="19" t="str">
        <f t="shared" si="1"/>
        <v>FEVEREIRO</v>
      </c>
      <c r="C17" s="19">
        <v>46064.63505787</v>
      </c>
      <c r="D17" s="18" t="s">
        <v>148</v>
      </c>
      <c r="E17" s="18" t="s">
        <v>149</v>
      </c>
      <c r="F17" s="18" t="s">
        <v>109</v>
      </c>
      <c r="G17" s="18" t="s">
        <v>24</v>
      </c>
      <c r="H17" s="60" t="s">
        <v>135</v>
      </c>
      <c r="I17" s="61">
        <v>188.55</v>
      </c>
      <c r="K17"/>
      <c r="L17"/>
      <c r="M17"/>
      <c r="N17"/>
      <c r="O17"/>
      <c r="P17"/>
    </row>
    <row r="18" spans="1:16" ht="15" x14ac:dyDescent="0.25">
      <c r="A18" s="18">
        <f t="shared" si="0"/>
        <v>2026</v>
      </c>
      <c r="B18" s="19" t="str">
        <f t="shared" si="1"/>
        <v>FEVEREIRO</v>
      </c>
      <c r="C18" s="19">
        <v>46078.619722222</v>
      </c>
      <c r="D18" s="18" t="s">
        <v>150</v>
      </c>
      <c r="E18" s="18" t="s">
        <v>151</v>
      </c>
      <c r="F18" s="18" t="s">
        <v>109</v>
      </c>
      <c r="G18" s="18" t="s">
        <v>24</v>
      </c>
      <c r="H18" s="60" t="s">
        <v>135</v>
      </c>
      <c r="I18" s="61">
        <v>188.55</v>
      </c>
      <c r="K18"/>
      <c r="L18"/>
      <c r="M18"/>
      <c r="N18"/>
      <c r="O18"/>
      <c r="P18"/>
    </row>
    <row r="19" spans="1:16" ht="15" x14ac:dyDescent="0.25">
      <c r="A19" s="18">
        <f t="shared" si="0"/>
        <v>2026</v>
      </c>
      <c r="B19" s="19" t="str">
        <f t="shared" si="1"/>
        <v>MARÇO</v>
      </c>
      <c r="C19" s="19">
        <v>46085.864791667002</v>
      </c>
      <c r="D19" s="18" t="s">
        <v>152</v>
      </c>
      <c r="E19" s="18" t="s">
        <v>153</v>
      </c>
      <c r="F19" s="18" t="s">
        <v>109</v>
      </c>
      <c r="G19" s="18" t="s">
        <v>21</v>
      </c>
      <c r="H19" s="60" t="s">
        <v>145</v>
      </c>
      <c r="I19" s="61">
        <v>-370</v>
      </c>
      <c r="K19"/>
      <c r="L19"/>
      <c r="M19"/>
      <c r="N19"/>
      <c r="O19"/>
      <c r="P19"/>
    </row>
    <row r="20" spans="1:16" x14ac:dyDescent="0.2">
      <c r="A20" s="18">
        <f t="shared" si="0"/>
        <v>2026</v>
      </c>
      <c r="B20" s="19" t="str">
        <f t="shared" si="1"/>
        <v>MARÇO</v>
      </c>
      <c r="C20" s="19">
        <v>46085.864988426001</v>
      </c>
      <c r="D20" s="18" t="s">
        <v>154</v>
      </c>
      <c r="E20" s="18" t="s">
        <v>155</v>
      </c>
      <c r="F20" s="18" t="s">
        <v>109</v>
      </c>
      <c r="G20" s="18" t="s">
        <v>22</v>
      </c>
      <c r="H20" s="60" t="s">
        <v>23</v>
      </c>
      <c r="I20" s="61">
        <v>-7</v>
      </c>
    </row>
    <row r="21" spans="1:16" x14ac:dyDescent="0.2">
      <c r="A21" s="18">
        <f t="shared" si="0"/>
        <v>2026</v>
      </c>
      <c r="B21" s="19" t="str">
        <f t="shared" si="1"/>
        <v>MARÇO</v>
      </c>
      <c r="C21" s="19">
        <v>46097.648391203998</v>
      </c>
      <c r="D21" s="18" t="s">
        <v>156</v>
      </c>
      <c r="E21" s="18" t="s">
        <v>157</v>
      </c>
      <c r="F21" s="18" t="s">
        <v>109</v>
      </c>
      <c r="G21" s="18" t="s">
        <v>24</v>
      </c>
      <c r="H21" s="60" t="s">
        <v>135</v>
      </c>
      <c r="I21" s="61">
        <v>278.11</v>
      </c>
    </row>
    <row r="22" spans="1:16" x14ac:dyDescent="0.2">
      <c r="A22" s="18">
        <f t="shared" si="0"/>
        <v>2026</v>
      </c>
      <c r="B22" s="19" t="str">
        <f t="shared" si="1"/>
        <v>MARÇO</v>
      </c>
      <c r="C22" s="19">
        <v>46108.769490740997</v>
      </c>
      <c r="D22" s="18" t="s">
        <v>158</v>
      </c>
      <c r="E22" s="18" t="s">
        <v>159</v>
      </c>
      <c r="F22" s="18" t="s">
        <v>109</v>
      </c>
      <c r="G22" s="18" t="s">
        <v>21</v>
      </c>
      <c r="H22" s="60" t="s">
        <v>145</v>
      </c>
      <c r="I22" s="61">
        <v>-270</v>
      </c>
    </row>
    <row r="23" spans="1:16" x14ac:dyDescent="0.2">
      <c r="A23" s="18">
        <f t="shared" si="0"/>
        <v>2026</v>
      </c>
      <c r="B23" s="19" t="str">
        <f t="shared" si="1"/>
        <v>MARÇO</v>
      </c>
      <c r="C23" s="19">
        <v>46108.769849536999</v>
      </c>
      <c r="D23" s="18" t="s">
        <v>160</v>
      </c>
      <c r="E23" s="18" t="s">
        <v>161</v>
      </c>
      <c r="F23" s="18" t="s">
        <v>109</v>
      </c>
      <c r="G23" s="18" t="s">
        <v>22</v>
      </c>
      <c r="H23" s="60" t="s">
        <v>23</v>
      </c>
      <c r="I23" s="61">
        <v>-7</v>
      </c>
    </row>
    <row r="24" spans="1:16" x14ac:dyDescent="0.2">
      <c r="A24" s="18">
        <f t="shared" si="0"/>
        <v>2026</v>
      </c>
      <c r="B24" s="19" t="str">
        <f t="shared" si="1"/>
        <v>ABRIL</v>
      </c>
      <c r="C24" s="19">
        <v>46125.738680556002</v>
      </c>
      <c r="D24" s="18" t="s">
        <v>162</v>
      </c>
      <c r="E24" s="18" t="s">
        <v>163</v>
      </c>
      <c r="F24" s="18" t="s">
        <v>109</v>
      </c>
      <c r="G24" s="18" t="s">
        <v>24</v>
      </c>
      <c r="H24" s="60" t="s">
        <v>135</v>
      </c>
      <c r="I24" s="61">
        <v>7</v>
      </c>
    </row>
    <row r="25" spans="1:16" x14ac:dyDescent="0.2">
      <c r="A25" s="18">
        <f t="shared" si="0"/>
        <v>2026</v>
      </c>
      <c r="B25" s="19" t="str">
        <f t="shared" si="1"/>
        <v>ABRIL</v>
      </c>
      <c r="C25" s="19">
        <v>46137.414560185003</v>
      </c>
      <c r="D25" s="18" t="s">
        <v>164</v>
      </c>
      <c r="E25" s="18" t="s">
        <v>165</v>
      </c>
      <c r="F25" s="18" t="s">
        <v>109</v>
      </c>
      <c r="G25" s="18" t="s">
        <v>20</v>
      </c>
      <c r="H25" s="60" t="s">
        <v>166</v>
      </c>
      <c r="I25" s="61">
        <v>-11.21</v>
      </c>
    </row>
    <row r="26" spans="1:16" x14ac:dyDescent="0.2">
      <c r="A26" s="18">
        <f t="shared" si="0"/>
        <v>2026</v>
      </c>
      <c r="B26" s="19" t="str">
        <f t="shared" si="1"/>
        <v>ABRIL</v>
      </c>
      <c r="C26" s="19">
        <v>46139.709548610997</v>
      </c>
      <c r="D26" s="18" t="s">
        <v>167</v>
      </c>
      <c r="E26" s="18" t="s">
        <v>168</v>
      </c>
      <c r="F26" s="18" t="s">
        <v>109</v>
      </c>
      <c r="G26" s="18" t="s">
        <v>24</v>
      </c>
      <c r="H26" s="60" t="s">
        <v>135</v>
      </c>
      <c r="I26" s="61">
        <v>18.21</v>
      </c>
    </row>
    <row r="27" spans="1:16" x14ac:dyDescent="0.2">
      <c r="A27" s="18">
        <f t="shared" si="0"/>
        <v>2026</v>
      </c>
      <c r="B27" s="19" t="str">
        <f t="shared" si="1"/>
        <v>MAIO</v>
      </c>
      <c r="C27" s="19">
        <v>46153.666782407003</v>
      </c>
      <c r="D27" s="18" t="s">
        <v>169</v>
      </c>
      <c r="E27" s="18" t="s">
        <v>170</v>
      </c>
      <c r="F27" s="18" t="s">
        <v>109</v>
      </c>
      <c r="G27" s="18" t="s">
        <v>24</v>
      </c>
      <c r="H27" s="60" t="s">
        <v>135</v>
      </c>
      <c r="I27" s="61">
        <v>387.12</v>
      </c>
    </row>
    <row r="28" spans="1:16" x14ac:dyDescent="0.2">
      <c r="A28" s="18">
        <f t="shared" si="0"/>
        <v>2026</v>
      </c>
      <c r="B28" s="19" t="str">
        <f t="shared" si="1"/>
        <v>MAIO</v>
      </c>
      <c r="C28" s="19">
        <v>46153.668263888998</v>
      </c>
      <c r="D28" s="18" t="s">
        <v>171</v>
      </c>
      <c r="E28" s="18" t="s">
        <v>172</v>
      </c>
      <c r="F28" s="18" t="s">
        <v>109</v>
      </c>
      <c r="G28" s="18" t="s">
        <v>173</v>
      </c>
      <c r="H28" s="60" t="s">
        <v>174</v>
      </c>
      <c r="I28" s="61">
        <v>-398</v>
      </c>
    </row>
    <row r="29" spans="1:16" x14ac:dyDescent="0.2">
      <c r="A29" s="18">
        <f t="shared" si="0"/>
        <v>2026</v>
      </c>
      <c r="B29" s="19" t="str">
        <f t="shared" si="1"/>
        <v>MAIO</v>
      </c>
      <c r="C29" s="19">
        <v>46153.673715277997</v>
      </c>
      <c r="D29" s="18" t="s">
        <v>175</v>
      </c>
      <c r="E29" s="18" t="s">
        <v>176</v>
      </c>
      <c r="F29" s="18" t="s">
        <v>109</v>
      </c>
      <c r="G29" s="18" t="s">
        <v>22</v>
      </c>
      <c r="H29" s="60" t="s">
        <v>177</v>
      </c>
      <c r="I29" s="61">
        <v>-5.77</v>
      </c>
    </row>
    <row r="30" spans="1:16" x14ac:dyDescent="0.2">
      <c r="A30" s="18">
        <f t="shared" si="0"/>
        <v>2026</v>
      </c>
      <c r="B30" s="19" t="str">
        <f t="shared" si="1"/>
        <v>MAIO</v>
      </c>
      <c r="C30" s="19">
        <v>46164.382835648001</v>
      </c>
      <c r="D30" s="18" t="s">
        <v>178</v>
      </c>
      <c r="E30" s="18" t="s">
        <v>179</v>
      </c>
      <c r="F30" s="18" t="s">
        <v>109</v>
      </c>
      <c r="G30" s="18" t="s">
        <v>20</v>
      </c>
      <c r="H30" s="60" t="s">
        <v>166</v>
      </c>
      <c r="I30" s="61">
        <v>-1.56</v>
      </c>
    </row>
    <row r="31" spans="1:16" x14ac:dyDescent="0.2">
      <c r="A31" s="18">
        <f t="shared" si="0"/>
        <v>2026</v>
      </c>
      <c r="B31" s="19" t="str">
        <f t="shared" si="1"/>
        <v>MAIO</v>
      </c>
      <c r="C31" s="19">
        <v>46167.655578703998</v>
      </c>
      <c r="D31" s="18" t="s">
        <v>180</v>
      </c>
      <c r="E31" s="18" t="s">
        <v>181</v>
      </c>
      <c r="F31" s="18" t="s">
        <v>109</v>
      </c>
      <c r="G31" s="18" t="s">
        <v>24</v>
      </c>
      <c r="H31" s="60" t="s">
        <v>135</v>
      </c>
      <c r="I31" s="61">
        <v>399.78</v>
      </c>
    </row>
    <row r="32" spans="1:16" x14ac:dyDescent="0.2">
      <c r="A32" s="18">
        <f t="shared" si="0"/>
        <v>2026</v>
      </c>
      <c r="B32" s="19" t="str">
        <f t="shared" si="1"/>
        <v>MAIO</v>
      </c>
      <c r="C32" s="19">
        <v>46167.657835648002</v>
      </c>
      <c r="D32" s="18" t="s">
        <v>182</v>
      </c>
      <c r="E32" s="18" t="s">
        <v>183</v>
      </c>
      <c r="F32" s="18" t="s">
        <v>109</v>
      </c>
      <c r="G32" s="18" t="s">
        <v>173</v>
      </c>
      <c r="H32" s="60" t="s">
        <v>174</v>
      </c>
      <c r="I32" s="61">
        <v>-390</v>
      </c>
    </row>
    <row r="33" spans="1:9" x14ac:dyDescent="0.2">
      <c r="A33" s="18">
        <f t="shared" si="0"/>
        <v>2026</v>
      </c>
      <c r="B33" s="19" t="str">
        <f t="shared" si="1"/>
        <v>MAIO</v>
      </c>
      <c r="C33" s="19">
        <v>46167.659814815001</v>
      </c>
      <c r="D33" s="18" t="s">
        <v>184</v>
      </c>
      <c r="E33" s="18" t="s">
        <v>185</v>
      </c>
      <c r="F33" s="18" t="s">
        <v>109</v>
      </c>
      <c r="G33" s="18" t="s">
        <v>22</v>
      </c>
      <c r="H33" s="60" t="s">
        <v>177</v>
      </c>
      <c r="I33" s="61">
        <v>-5.66</v>
      </c>
    </row>
    <row r="34" spans="1:9" x14ac:dyDescent="0.2">
      <c r="A34" s="18">
        <f t="shared" si="0"/>
        <v>2026</v>
      </c>
      <c r="B34" s="19" t="str">
        <f t="shared" si="1"/>
        <v>AGOSTO</v>
      </c>
      <c r="C34" s="19">
        <v>46235.422812500001</v>
      </c>
      <c r="D34" s="18" t="s">
        <v>186</v>
      </c>
      <c r="E34" s="18" t="s">
        <v>187</v>
      </c>
      <c r="F34" s="18" t="s">
        <v>109</v>
      </c>
      <c r="G34" s="18" t="s">
        <v>20</v>
      </c>
      <c r="H34" s="60" t="s">
        <v>166</v>
      </c>
      <c r="I34" s="61">
        <v>-4.12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E96F-6E9D-45E4-8C5F-C3F320D368A8}">
  <sheetPr>
    <tabColor theme="8"/>
  </sheetPr>
  <dimension ref="A1:AC664"/>
  <sheetViews>
    <sheetView showGridLines="0" workbookViewId="0"/>
  </sheetViews>
  <sheetFormatPr defaultRowHeight="12.75" x14ac:dyDescent="0.2"/>
  <cols>
    <col min="1" max="1" width="8.5703125" style="32" bestFit="1" customWidth="1"/>
    <col min="2" max="2" width="10.140625" style="32" bestFit="1" customWidth="1"/>
    <col min="3" max="3" width="16.7109375" style="18" bestFit="1" customWidth="1"/>
    <col min="4" max="4" width="17.42578125" style="18" bestFit="1" customWidth="1"/>
    <col min="5" max="5" width="23.140625" style="18" bestFit="1" customWidth="1"/>
    <col min="6" max="6" width="10.42578125" style="18" bestFit="1" customWidth="1"/>
    <col min="7" max="7" width="27.7109375" style="18" bestFit="1" customWidth="1"/>
    <col min="8" max="8" width="12.85546875" style="18" bestFit="1" customWidth="1"/>
    <col min="9" max="9" width="10.42578125" style="18" bestFit="1" customWidth="1"/>
    <col min="10" max="10" width="20.85546875" style="18" bestFit="1" customWidth="1"/>
    <col min="11" max="11" width="61" style="18" bestFit="1" customWidth="1"/>
    <col min="12" max="12" width="24" style="18" bestFit="1" customWidth="1"/>
    <col min="13" max="13" width="16.42578125" style="18" bestFit="1" customWidth="1"/>
    <col min="14" max="14" width="101.7109375" style="18" bestFit="1" customWidth="1"/>
    <col min="15" max="15" width="20.85546875" style="18" bestFit="1" customWidth="1"/>
    <col min="16" max="16" width="19" style="18" bestFit="1" customWidth="1"/>
    <col min="17" max="17" width="22.28515625" style="18" bestFit="1" customWidth="1"/>
    <col min="18" max="18" width="11.28515625" style="18" bestFit="1" customWidth="1"/>
    <col min="19" max="19" width="22.7109375" style="18" bestFit="1" customWidth="1"/>
    <col min="20" max="20" width="26.85546875" style="18" bestFit="1" customWidth="1"/>
    <col min="21" max="21" width="25.140625" style="18" bestFit="1" customWidth="1"/>
    <col min="22" max="22" width="15.28515625" style="18" bestFit="1" customWidth="1"/>
    <col min="23" max="23" width="24.140625" style="18" bestFit="1" customWidth="1"/>
    <col min="24" max="24" width="21.28515625" style="18" bestFit="1" customWidth="1"/>
    <col min="25" max="25" width="9.85546875" style="18" bestFit="1" customWidth="1"/>
    <col min="26" max="26" width="22.42578125" style="18" bestFit="1" customWidth="1"/>
    <col min="27" max="27" width="19" style="18" bestFit="1" customWidth="1"/>
    <col min="28" max="28" width="15.42578125" style="36" bestFit="1" customWidth="1"/>
    <col min="29" max="29" width="22" style="18" bestFit="1" customWidth="1"/>
    <col min="30" max="16384" width="9.140625" style="18"/>
  </cols>
  <sheetData>
    <row r="1" spans="1:29" x14ac:dyDescent="0.2">
      <c r="A1" s="65" t="s">
        <v>84</v>
      </c>
      <c r="B1" s="65" t="s">
        <v>70</v>
      </c>
      <c r="C1" s="66" t="s">
        <v>35</v>
      </c>
      <c r="D1" s="66" t="s">
        <v>36</v>
      </c>
      <c r="E1" s="66" t="s">
        <v>37</v>
      </c>
      <c r="F1" s="67" t="s">
        <v>13</v>
      </c>
      <c r="G1" s="66" t="s">
        <v>38</v>
      </c>
      <c r="H1" s="66" t="s">
        <v>39</v>
      </c>
      <c r="I1" s="66" t="s">
        <v>40</v>
      </c>
      <c r="J1" s="67" t="s">
        <v>41</v>
      </c>
      <c r="K1" s="66" t="s">
        <v>42</v>
      </c>
      <c r="L1" s="66" t="s">
        <v>43</v>
      </c>
      <c r="M1" s="66" t="s">
        <v>44</v>
      </c>
      <c r="N1" s="68" t="s">
        <v>45</v>
      </c>
      <c r="O1" s="66" t="s">
        <v>46</v>
      </c>
      <c r="P1" s="66" t="s">
        <v>47</v>
      </c>
      <c r="Q1" s="66" t="s">
        <v>48</v>
      </c>
      <c r="R1" s="66" t="s">
        <v>49</v>
      </c>
      <c r="S1" s="66" t="s">
        <v>50</v>
      </c>
      <c r="T1" s="69" t="s">
        <v>51</v>
      </c>
      <c r="U1" s="66" t="s">
        <v>52</v>
      </c>
      <c r="V1" s="70" t="s">
        <v>53</v>
      </c>
      <c r="W1" s="66" t="s">
        <v>54</v>
      </c>
      <c r="X1" s="70" t="s">
        <v>55</v>
      </c>
      <c r="Y1" s="70" t="s">
        <v>19</v>
      </c>
      <c r="Z1" s="66" t="s">
        <v>56</v>
      </c>
      <c r="AA1" s="66" t="s">
        <v>57</v>
      </c>
      <c r="AB1" s="71" t="s">
        <v>58</v>
      </c>
      <c r="AC1" s="66" t="s">
        <v>59</v>
      </c>
    </row>
    <row r="2" spans="1:29" x14ac:dyDescent="0.2">
      <c r="A2" s="32">
        <f>YEAR(F2)</f>
        <v>2026</v>
      </c>
      <c r="B2" s="33" t="str">
        <f>UPPER(TEXT(F2,"MMMM"))</f>
        <v>AGOSTO</v>
      </c>
      <c r="C2" s="18">
        <v>88670231</v>
      </c>
      <c r="D2" s="18">
        <v>11259869</v>
      </c>
      <c r="E2" s="18" t="s">
        <v>206</v>
      </c>
      <c r="F2" s="19" t="s">
        <v>207</v>
      </c>
      <c r="G2" s="18" t="s">
        <v>191</v>
      </c>
      <c r="H2" s="18">
        <v>12682517633</v>
      </c>
      <c r="I2" s="18" t="s">
        <v>208</v>
      </c>
      <c r="J2" s="19"/>
      <c r="K2" s="18" t="s">
        <v>64</v>
      </c>
      <c r="L2" s="18" t="s">
        <v>64</v>
      </c>
      <c r="M2" s="18" t="s">
        <v>62</v>
      </c>
      <c r="N2" s="20" t="s">
        <v>64</v>
      </c>
      <c r="P2" s="18" t="s">
        <v>193</v>
      </c>
      <c r="Q2" s="18" t="s">
        <v>65</v>
      </c>
      <c r="R2" s="18" t="s">
        <v>134</v>
      </c>
      <c r="S2" s="18">
        <v>1</v>
      </c>
      <c r="T2" s="21"/>
      <c r="V2" s="22"/>
      <c r="X2" s="22" t="s">
        <v>63</v>
      </c>
      <c r="Y2" s="22">
        <v>56.49</v>
      </c>
      <c r="AB2" s="36">
        <v>56.49</v>
      </c>
      <c r="AC2" s="18" t="s">
        <v>62</v>
      </c>
    </row>
    <row r="3" spans="1:29" x14ac:dyDescent="0.2">
      <c r="A3" s="32">
        <f t="shared" ref="A3:A10" si="0">YEAR(F3)</f>
        <v>2026</v>
      </c>
      <c r="B3" s="33" t="str">
        <f t="shared" ref="B3:B10" si="1">UPPER(TEXT(F3,"MMMM"))</f>
        <v>JULHO</v>
      </c>
      <c r="C3" s="18">
        <v>88670040</v>
      </c>
      <c r="D3" s="18">
        <v>11259841</v>
      </c>
      <c r="E3" s="18" t="s">
        <v>209</v>
      </c>
      <c r="F3" s="19" t="s">
        <v>210</v>
      </c>
      <c r="G3" s="18" t="s">
        <v>191</v>
      </c>
      <c r="H3" s="18">
        <v>12682517633</v>
      </c>
      <c r="I3" s="18" t="s">
        <v>208</v>
      </c>
      <c r="J3" s="19"/>
      <c r="K3" s="18" t="s">
        <v>64</v>
      </c>
      <c r="L3" s="18" t="s">
        <v>64</v>
      </c>
      <c r="M3" s="18" t="s">
        <v>62</v>
      </c>
      <c r="N3" s="20" t="s">
        <v>64</v>
      </c>
      <c r="P3" s="18" t="s">
        <v>193</v>
      </c>
      <c r="Q3" s="18" t="s">
        <v>65</v>
      </c>
      <c r="R3" s="18" t="s">
        <v>134</v>
      </c>
      <c r="S3" s="18">
        <v>1</v>
      </c>
      <c r="T3" s="21"/>
      <c r="V3" s="22"/>
      <c r="X3" s="22" t="s">
        <v>63</v>
      </c>
      <c r="Y3" s="22">
        <v>81.83</v>
      </c>
      <c r="AB3" s="36">
        <v>81.83</v>
      </c>
      <c r="AC3" s="18" t="s">
        <v>62</v>
      </c>
    </row>
    <row r="4" spans="1:29" x14ac:dyDescent="0.2">
      <c r="A4" s="32">
        <f t="shared" si="0"/>
        <v>2026</v>
      </c>
      <c r="B4" s="33" t="str">
        <f t="shared" si="1"/>
        <v>JUNHO</v>
      </c>
      <c r="C4" s="18">
        <v>88669846</v>
      </c>
      <c r="D4" s="18">
        <v>11259811</v>
      </c>
      <c r="E4" s="18" t="s">
        <v>211</v>
      </c>
      <c r="F4" s="19" t="s">
        <v>212</v>
      </c>
      <c r="G4" s="18" t="s">
        <v>191</v>
      </c>
      <c r="H4" s="18">
        <v>12682517633</v>
      </c>
      <c r="I4" s="18" t="s">
        <v>208</v>
      </c>
      <c r="J4" s="19"/>
      <c r="K4" s="18" t="s">
        <v>64</v>
      </c>
      <c r="L4" s="18" t="s">
        <v>64</v>
      </c>
      <c r="M4" s="18" t="s">
        <v>62</v>
      </c>
      <c r="N4" s="20" t="s">
        <v>64</v>
      </c>
      <c r="P4" s="18" t="s">
        <v>193</v>
      </c>
      <c r="Q4" s="18" t="s">
        <v>65</v>
      </c>
      <c r="R4" s="18" t="s">
        <v>134</v>
      </c>
      <c r="S4" s="18">
        <v>1</v>
      </c>
      <c r="T4" s="21"/>
      <c r="V4" s="22"/>
      <c r="X4" s="22" t="s">
        <v>63</v>
      </c>
      <c r="Y4" s="22">
        <v>206.66</v>
      </c>
      <c r="AB4" s="36">
        <v>206.66</v>
      </c>
      <c r="AC4" s="18" t="s">
        <v>62</v>
      </c>
    </row>
    <row r="5" spans="1:29" x14ac:dyDescent="0.2">
      <c r="A5" s="32">
        <f t="shared" si="0"/>
        <v>2026</v>
      </c>
      <c r="B5" s="33" t="str">
        <f t="shared" si="1"/>
        <v>MAIO</v>
      </c>
      <c r="C5" s="18">
        <v>88652413</v>
      </c>
      <c r="D5" s="18">
        <v>11257472</v>
      </c>
      <c r="E5" s="18" t="s">
        <v>213</v>
      </c>
      <c r="F5" s="19" t="s">
        <v>214</v>
      </c>
      <c r="G5" s="18" t="s">
        <v>191</v>
      </c>
      <c r="H5" s="18">
        <v>12682517633</v>
      </c>
      <c r="I5" s="18" t="s">
        <v>208</v>
      </c>
      <c r="J5" s="19"/>
      <c r="K5" s="18" t="s">
        <v>64</v>
      </c>
      <c r="L5" s="18" t="s">
        <v>64</v>
      </c>
      <c r="M5" s="18" t="s">
        <v>62</v>
      </c>
      <c r="N5" s="20" t="s">
        <v>64</v>
      </c>
      <c r="P5" s="18" t="s">
        <v>193</v>
      </c>
      <c r="Q5" s="18" t="s">
        <v>65</v>
      </c>
      <c r="R5" s="18" t="s">
        <v>134</v>
      </c>
      <c r="S5" s="18">
        <v>1</v>
      </c>
      <c r="T5" s="21"/>
      <c r="V5" s="22"/>
      <c r="X5" s="22" t="s">
        <v>63</v>
      </c>
      <c r="Y5" s="22">
        <v>86.34</v>
      </c>
      <c r="AB5" s="36">
        <v>86.34</v>
      </c>
      <c r="AC5" s="18" t="s">
        <v>62</v>
      </c>
    </row>
    <row r="6" spans="1:29" x14ac:dyDescent="0.2">
      <c r="A6" s="32">
        <f t="shared" si="0"/>
        <v>2026</v>
      </c>
      <c r="B6" s="33" t="str">
        <f t="shared" si="1"/>
        <v>MARÇO</v>
      </c>
      <c r="C6" s="18">
        <v>81828782</v>
      </c>
      <c r="D6" s="18">
        <v>10334764</v>
      </c>
      <c r="E6" s="18" t="s">
        <v>68</v>
      </c>
      <c r="F6" s="19" t="s">
        <v>90</v>
      </c>
      <c r="G6" s="18" t="s">
        <v>191</v>
      </c>
      <c r="H6" s="18">
        <v>12682517633</v>
      </c>
      <c r="I6" s="18" t="s">
        <v>208</v>
      </c>
      <c r="J6" s="19"/>
      <c r="K6" s="18" t="s">
        <v>69</v>
      </c>
      <c r="L6" s="18" t="s">
        <v>64</v>
      </c>
      <c r="M6" s="18" t="s">
        <v>62</v>
      </c>
      <c r="N6" s="20" t="s">
        <v>192</v>
      </c>
      <c r="P6" s="18" t="s">
        <v>193</v>
      </c>
      <c r="Q6" s="18" t="s">
        <v>65</v>
      </c>
      <c r="R6" s="18" t="s">
        <v>134</v>
      </c>
      <c r="S6" s="18">
        <v>1</v>
      </c>
      <c r="T6" s="21"/>
      <c r="V6" s="22"/>
      <c r="X6" s="22" t="s">
        <v>63</v>
      </c>
      <c r="Y6" s="22">
        <v>230.76</v>
      </c>
      <c r="AB6" s="36">
        <v>230.76</v>
      </c>
      <c r="AC6" s="18" t="s">
        <v>62</v>
      </c>
    </row>
    <row r="7" spans="1:29" x14ac:dyDescent="0.2">
      <c r="A7" s="32">
        <f t="shared" si="0"/>
        <v>2026</v>
      </c>
      <c r="B7" s="33" t="str">
        <f t="shared" si="1"/>
        <v>ABRIL</v>
      </c>
      <c r="C7" s="18">
        <v>81828627</v>
      </c>
      <c r="D7" s="18">
        <v>10334753</v>
      </c>
      <c r="E7" s="18" t="s">
        <v>67</v>
      </c>
      <c r="F7" s="19" t="s">
        <v>215</v>
      </c>
      <c r="G7" s="18" t="s">
        <v>191</v>
      </c>
      <c r="H7" s="18">
        <v>12682517633</v>
      </c>
      <c r="I7" s="18" t="s">
        <v>208</v>
      </c>
      <c r="J7" s="19"/>
      <c r="K7" s="18" t="s">
        <v>194</v>
      </c>
      <c r="L7" s="18" t="s">
        <v>64</v>
      </c>
      <c r="M7" s="18" t="s">
        <v>62</v>
      </c>
      <c r="N7" s="20" t="s">
        <v>192</v>
      </c>
      <c r="P7" s="18" t="s">
        <v>193</v>
      </c>
      <c r="Q7" s="18" t="s">
        <v>65</v>
      </c>
      <c r="R7" s="18" t="s">
        <v>134</v>
      </c>
      <c r="S7" s="18">
        <v>1</v>
      </c>
      <c r="T7" s="21"/>
      <c r="V7" s="22"/>
      <c r="X7" s="22" t="s">
        <v>63</v>
      </c>
      <c r="Y7" s="22">
        <v>168.69</v>
      </c>
      <c r="AB7" s="36">
        <v>168.69</v>
      </c>
      <c r="AC7" s="18" t="s">
        <v>62</v>
      </c>
    </row>
    <row r="8" spans="1:29" x14ac:dyDescent="0.2">
      <c r="A8" s="32">
        <f t="shared" si="0"/>
        <v>2026</v>
      </c>
      <c r="B8" s="33" t="str">
        <f t="shared" si="1"/>
        <v>JANEIRO</v>
      </c>
      <c r="C8" s="18">
        <v>77543931</v>
      </c>
      <c r="D8" s="18">
        <v>9699938</v>
      </c>
      <c r="E8" s="18" t="s">
        <v>91</v>
      </c>
      <c r="F8" s="19" t="s">
        <v>92</v>
      </c>
      <c r="G8" s="18" t="s">
        <v>191</v>
      </c>
      <c r="H8" s="18">
        <v>12682517633</v>
      </c>
      <c r="I8" s="18" t="s">
        <v>66</v>
      </c>
      <c r="J8" s="19"/>
      <c r="K8" s="18" t="s">
        <v>69</v>
      </c>
      <c r="L8" s="18" t="s">
        <v>64</v>
      </c>
      <c r="M8" s="18" t="s">
        <v>62</v>
      </c>
      <c r="N8" s="20" t="s">
        <v>195</v>
      </c>
      <c r="P8" s="18" t="s">
        <v>193</v>
      </c>
      <c r="Q8" s="18" t="s">
        <v>65</v>
      </c>
      <c r="R8" s="18" t="s">
        <v>134</v>
      </c>
      <c r="S8" s="18">
        <v>1</v>
      </c>
      <c r="T8" s="21"/>
      <c r="V8" s="22"/>
      <c r="W8" s="18">
        <v>0</v>
      </c>
      <c r="X8" s="22" t="s">
        <v>63</v>
      </c>
      <c r="Y8" s="22">
        <v>93.05</v>
      </c>
      <c r="AB8" s="36">
        <v>93.05</v>
      </c>
      <c r="AC8" s="18" t="s">
        <v>62</v>
      </c>
    </row>
    <row r="9" spans="1:29" x14ac:dyDescent="0.2">
      <c r="A9" s="32">
        <f t="shared" si="0"/>
        <v>2025</v>
      </c>
      <c r="B9" s="33" t="str">
        <f t="shared" si="1"/>
        <v>DEZEMBRO</v>
      </c>
      <c r="C9" s="18">
        <v>77542579</v>
      </c>
      <c r="D9" s="18">
        <v>9638760</v>
      </c>
      <c r="E9" s="18" t="s">
        <v>93</v>
      </c>
      <c r="F9" s="19" t="s">
        <v>196</v>
      </c>
      <c r="G9" s="18" t="s">
        <v>191</v>
      </c>
      <c r="H9" s="18">
        <v>12682517633</v>
      </c>
      <c r="I9" s="18" t="s">
        <v>66</v>
      </c>
      <c r="J9" s="19"/>
      <c r="K9" s="18" t="s">
        <v>69</v>
      </c>
      <c r="L9" s="18" t="s">
        <v>64</v>
      </c>
      <c r="M9" s="18" t="s">
        <v>62</v>
      </c>
      <c r="N9" s="20" t="s">
        <v>197</v>
      </c>
      <c r="P9" s="18" t="s">
        <v>193</v>
      </c>
      <c r="Q9" s="18" t="s">
        <v>65</v>
      </c>
      <c r="R9" s="18" t="s">
        <v>134</v>
      </c>
      <c r="S9" s="18">
        <v>1</v>
      </c>
      <c r="T9" s="21"/>
      <c r="V9" s="22"/>
      <c r="X9" s="22" t="s">
        <v>63</v>
      </c>
      <c r="Y9" s="22">
        <v>366.61</v>
      </c>
      <c r="AB9" s="36">
        <v>366.61</v>
      </c>
      <c r="AC9" s="18" t="s">
        <v>62</v>
      </c>
    </row>
    <row r="10" spans="1:29" x14ac:dyDescent="0.2">
      <c r="A10" s="32">
        <f t="shared" si="0"/>
        <v>2025</v>
      </c>
      <c r="B10" s="33" t="str">
        <f t="shared" si="1"/>
        <v>DEZEMBRO</v>
      </c>
      <c r="C10" s="18">
        <v>74079627</v>
      </c>
      <c r="D10" s="18">
        <v>9130073</v>
      </c>
      <c r="E10" s="18" t="s">
        <v>95</v>
      </c>
      <c r="F10" s="19" t="s">
        <v>94</v>
      </c>
      <c r="G10" s="18" t="s">
        <v>191</v>
      </c>
      <c r="H10" s="18">
        <v>12682517633</v>
      </c>
      <c r="I10" s="18" t="s">
        <v>66</v>
      </c>
      <c r="J10" s="19"/>
      <c r="K10" s="18" t="s">
        <v>69</v>
      </c>
      <c r="L10" s="18" t="s">
        <v>64</v>
      </c>
      <c r="M10" s="18" t="s">
        <v>62</v>
      </c>
      <c r="N10" s="20" t="s">
        <v>198</v>
      </c>
      <c r="P10" s="18" t="s">
        <v>193</v>
      </c>
      <c r="Q10" s="18" t="s">
        <v>65</v>
      </c>
      <c r="R10" s="18" t="s">
        <v>134</v>
      </c>
      <c r="S10" s="18">
        <v>1</v>
      </c>
      <c r="T10" s="21"/>
      <c r="V10" s="22"/>
      <c r="X10" s="22" t="s">
        <v>63</v>
      </c>
      <c r="Y10" s="22">
        <v>312.75</v>
      </c>
      <c r="AB10" s="36">
        <v>312.75</v>
      </c>
      <c r="AC10" s="18" t="s">
        <v>62</v>
      </c>
    </row>
    <row r="11" spans="1:29" x14ac:dyDescent="0.2">
      <c r="A11" s="32">
        <f t="shared" ref="A11:A14" si="2">YEAR(F11)</f>
        <v>2025</v>
      </c>
      <c r="B11" s="33" t="str">
        <f t="shared" ref="B11:B14" si="3">UPPER(TEXT(F11,"MMMM"))</f>
        <v>DEZEMBRO</v>
      </c>
      <c r="C11" s="18">
        <v>74079547</v>
      </c>
      <c r="D11" s="18">
        <v>9130070</v>
      </c>
      <c r="E11" s="18" t="s">
        <v>96</v>
      </c>
      <c r="F11" s="18" t="s">
        <v>94</v>
      </c>
      <c r="G11" s="18" t="s">
        <v>191</v>
      </c>
      <c r="H11" s="18">
        <v>12682517633</v>
      </c>
      <c r="I11" s="18" t="s">
        <v>66</v>
      </c>
      <c r="K11" s="18" t="s">
        <v>69</v>
      </c>
      <c r="L11" s="18" t="s">
        <v>64</v>
      </c>
      <c r="M11" s="18" t="s">
        <v>62</v>
      </c>
      <c r="N11" s="18" t="s">
        <v>199</v>
      </c>
      <c r="P11" s="18" t="s">
        <v>193</v>
      </c>
      <c r="Q11" s="18" t="s">
        <v>65</v>
      </c>
      <c r="R11" s="18" t="s">
        <v>134</v>
      </c>
      <c r="S11" s="18">
        <v>1</v>
      </c>
      <c r="X11" s="18" t="s">
        <v>63</v>
      </c>
      <c r="Y11" s="18">
        <v>159.46</v>
      </c>
      <c r="AB11" s="18">
        <v>159.46</v>
      </c>
    </row>
    <row r="12" spans="1:29" x14ac:dyDescent="0.2">
      <c r="A12" s="32">
        <f t="shared" si="2"/>
        <v>2025</v>
      </c>
      <c r="B12" s="33" t="str">
        <f t="shared" si="3"/>
        <v>SETEMBRO</v>
      </c>
      <c r="C12" s="18">
        <v>74079440</v>
      </c>
      <c r="D12" s="18">
        <v>9129655</v>
      </c>
      <c r="E12" s="18" t="s">
        <v>97</v>
      </c>
      <c r="F12" s="18" t="s">
        <v>98</v>
      </c>
      <c r="G12" s="18" t="s">
        <v>191</v>
      </c>
      <c r="H12" s="18">
        <v>12682517633</v>
      </c>
      <c r="I12" s="18" t="s">
        <v>66</v>
      </c>
      <c r="K12" s="18" t="s">
        <v>69</v>
      </c>
      <c r="L12" s="18" t="s">
        <v>64</v>
      </c>
      <c r="M12" s="18" t="s">
        <v>62</v>
      </c>
      <c r="N12" s="18" t="s">
        <v>200</v>
      </c>
      <c r="P12" s="18" t="s">
        <v>193</v>
      </c>
      <c r="Q12" s="18" t="s">
        <v>65</v>
      </c>
      <c r="R12" s="18" t="s">
        <v>134</v>
      </c>
      <c r="S12" s="18">
        <v>1</v>
      </c>
      <c r="X12" s="18" t="s">
        <v>63</v>
      </c>
      <c r="Y12" s="18">
        <v>163.79</v>
      </c>
      <c r="AB12" s="18">
        <v>163.79</v>
      </c>
    </row>
    <row r="13" spans="1:29" x14ac:dyDescent="0.2">
      <c r="A13" s="32">
        <f t="shared" si="2"/>
        <v>2025</v>
      </c>
      <c r="B13" s="33" t="str">
        <f t="shared" si="3"/>
        <v>AGOSTO</v>
      </c>
      <c r="C13" s="18">
        <v>74079371</v>
      </c>
      <c r="D13" s="18">
        <v>9129144</v>
      </c>
      <c r="E13" s="18" t="s">
        <v>99</v>
      </c>
      <c r="F13" s="18" t="s">
        <v>201</v>
      </c>
      <c r="G13" s="18" t="s">
        <v>191</v>
      </c>
      <c r="H13" s="18">
        <v>12682517633</v>
      </c>
      <c r="I13" s="18" t="s">
        <v>66</v>
      </c>
      <c r="K13" s="18" t="s">
        <v>202</v>
      </c>
      <c r="L13" s="18" t="s">
        <v>64</v>
      </c>
      <c r="M13" s="18" t="s">
        <v>62</v>
      </c>
      <c r="N13" s="18" t="s">
        <v>203</v>
      </c>
      <c r="P13" s="18" t="s">
        <v>193</v>
      </c>
      <c r="Q13" s="18" t="s">
        <v>65</v>
      </c>
      <c r="R13" s="18" t="s">
        <v>134</v>
      </c>
      <c r="S13" s="18">
        <v>1</v>
      </c>
      <c r="X13" s="18" t="s">
        <v>63</v>
      </c>
      <c r="Y13" s="18">
        <v>219.55</v>
      </c>
      <c r="AB13" s="18">
        <v>219.55</v>
      </c>
    </row>
    <row r="14" spans="1:29" x14ac:dyDescent="0.2">
      <c r="A14" s="32">
        <f t="shared" si="2"/>
        <v>2025</v>
      </c>
      <c r="B14" s="33" t="str">
        <f t="shared" si="3"/>
        <v>JUNHO</v>
      </c>
      <c r="C14" s="18">
        <v>61835966</v>
      </c>
      <c r="D14" s="18">
        <v>7607502</v>
      </c>
      <c r="E14" s="18" t="s">
        <v>100</v>
      </c>
      <c r="F14" s="18" t="s">
        <v>101</v>
      </c>
      <c r="G14" s="18" t="s">
        <v>191</v>
      </c>
      <c r="H14" s="18">
        <v>12682517633</v>
      </c>
      <c r="I14" s="18" t="s">
        <v>66</v>
      </c>
      <c r="K14" s="18" t="s">
        <v>204</v>
      </c>
      <c r="L14" s="18" t="s">
        <v>61</v>
      </c>
      <c r="M14" s="18" t="s">
        <v>62</v>
      </c>
      <c r="N14" s="18" t="s">
        <v>205</v>
      </c>
      <c r="P14" s="18" t="s">
        <v>193</v>
      </c>
      <c r="Q14" s="18" t="s">
        <v>65</v>
      </c>
      <c r="R14" s="18" t="s">
        <v>134</v>
      </c>
      <c r="S14" s="18">
        <v>1</v>
      </c>
      <c r="W14" s="18">
        <v>0</v>
      </c>
      <c r="X14" s="18" t="s">
        <v>63</v>
      </c>
      <c r="Y14" s="18">
        <v>46</v>
      </c>
      <c r="AB14" s="18">
        <v>46</v>
      </c>
    </row>
    <row r="15" spans="1:29" x14ac:dyDescent="0.2">
      <c r="A15" s="18"/>
      <c r="B15" s="18"/>
      <c r="AB15" s="18"/>
    </row>
    <row r="16" spans="1:29" x14ac:dyDescent="0.2">
      <c r="A16" s="18"/>
      <c r="B16" s="18"/>
      <c r="AB16" s="18"/>
    </row>
    <row r="17" s="18" customFormat="1" x14ac:dyDescent="0.2"/>
    <row r="18" s="18" customFormat="1" x14ac:dyDescent="0.2"/>
    <row r="19" s="18" customFormat="1" x14ac:dyDescent="0.2"/>
    <row r="20" s="18" customFormat="1" x14ac:dyDescent="0.2"/>
    <row r="21" s="18" customFormat="1" x14ac:dyDescent="0.2"/>
    <row r="22" s="18" customFormat="1" x14ac:dyDescent="0.2"/>
    <row r="23" s="18" customFormat="1" x14ac:dyDescent="0.2"/>
    <row r="24" s="18" customFormat="1" x14ac:dyDescent="0.2"/>
    <row r="25" s="18" customFormat="1" x14ac:dyDescent="0.2"/>
    <row r="26" s="18" customFormat="1" x14ac:dyDescent="0.2"/>
    <row r="27" s="18" customFormat="1" x14ac:dyDescent="0.2"/>
    <row r="28" s="18" customFormat="1" x14ac:dyDescent="0.2"/>
    <row r="29" s="18" customFormat="1" x14ac:dyDescent="0.2"/>
    <row r="30" s="18" customFormat="1" x14ac:dyDescent="0.2"/>
    <row r="31" s="18" customFormat="1" x14ac:dyDescent="0.2"/>
    <row r="32" s="18" customFormat="1" x14ac:dyDescent="0.2"/>
    <row r="33" s="18" customFormat="1" x14ac:dyDescent="0.2"/>
    <row r="34" s="18" customFormat="1" x14ac:dyDescent="0.2"/>
    <row r="35" s="18" customFormat="1" x14ac:dyDescent="0.2"/>
    <row r="36" s="18" customFormat="1" x14ac:dyDescent="0.2"/>
    <row r="37" s="18" customFormat="1" x14ac:dyDescent="0.2"/>
    <row r="38" s="18" customFormat="1" x14ac:dyDescent="0.2"/>
    <row r="39" s="18" customFormat="1" x14ac:dyDescent="0.2"/>
    <row r="40" s="18" customFormat="1" x14ac:dyDescent="0.2"/>
    <row r="41" s="18" customFormat="1" x14ac:dyDescent="0.2"/>
    <row r="42" s="18" customFormat="1" x14ac:dyDescent="0.2"/>
    <row r="43" s="18" customFormat="1" x14ac:dyDescent="0.2"/>
    <row r="44" s="18" customFormat="1" x14ac:dyDescent="0.2"/>
    <row r="45" s="18" customFormat="1" x14ac:dyDescent="0.2"/>
    <row r="46" s="18" customFormat="1" x14ac:dyDescent="0.2"/>
    <row r="47" s="18" customFormat="1" x14ac:dyDescent="0.2"/>
    <row r="48" s="18" customFormat="1" x14ac:dyDescent="0.2"/>
    <row r="49" s="18" customFormat="1" x14ac:dyDescent="0.2"/>
    <row r="50" s="18" customFormat="1" x14ac:dyDescent="0.2"/>
    <row r="51" s="18" customFormat="1" x14ac:dyDescent="0.2"/>
    <row r="52" s="18" customFormat="1" x14ac:dyDescent="0.2"/>
    <row r="53" s="18" customFormat="1" x14ac:dyDescent="0.2"/>
    <row r="54" s="18" customFormat="1" x14ac:dyDescent="0.2"/>
    <row r="55" s="18" customFormat="1" x14ac:dyDescent="0.2"/>
    <row r="56" s="18" customFormat="1" x14ac:dyDescent="0.2"/>
    <row r="57" s="18" customFormat="1" x14ac:dyDescent="0.2"/>
    <row r="58" s="18" customFormat="1" x14ac:dyDescent="0.2"/>
    <row r="59" s="18" customFormat="1" x14ac:dyDescent="0.2"/>
    <row r="60" s="18" customFormat="1" x14ac:dyDescent="0.2"/>
    <row r="61" s="18" customFormat="1" x14ac:dyDescent="0.2"/>
    <row r="62" s="18" customFormat="1" x14ac:dyDescent="0.2"/>
    <row r="63" s="18" customFormat="1" x14ac:dyDescent="0.2"/>
    <row r="64" s="18" customFormat="1" x14ac:dyDescent="0.2"/>
    <row r="65" s="18" customFormat="1" x14ac:dyDescent="0.2"/>
    <row r="66" s="18" customFormat="1" x14ac:dyDescent="0.2"/>
    <row r="67" s="18" customFormat="1" x14ac:dyDescent="0.2"/>
    <row r="68" s="18" customFormat="1" x14ac:dyDescent="0.2"/>
    <row r="69" s="18" customFormat="1" x14ac:dyDescent="0.2"/>
    <row r="70" s="18" customFormat="1" x14ac:dyDescent="0.2"/>
    <row r="71" s="18" customFormat="1" x14ac:dyDescent="0.2"/>
    <row r="72" s="18" customFormat="1" x14ac:dyDescent="0.2"/>
    <row r="73" s="18" customFormat="1" x14ac:dyDescent="0.2"/>
    <row r="74" s="18" customFormat="1" x14ac:dyDescent="0.2"/>
    <row r="75" s="18" customFormat="1" x14ac:dyDescent="0.2"/>
    <row r="76" s="18" customFormat="1" x14ac:dyDescent="0.2"/>
    <row r="77" s="18" customFormat="1" x14ac:dyDescent="0.2"/>
    <row r="78" s="18" customFormat="1" x14ac:dyDescent="0.2"/>
    <row r="79" s="18" customFormat="1" x14ac:dyDescent="0.2"/>
    <row r="80" s="18" customFormat="1" x14ac:dyDescent="0.2"/>
    <row r="81" s="18" customFormat="1" x14ac:dyDescent="0.2"/>
    <row r="82" s="18" customFormat="1" x14ac:dyDescent="0.2"/>
    <row r="83" s="18" customFormat="1" x14ac:dyDescent="0.2"/>
    <row r="84" s="18" customFormat="1" x14ac:dyDescent="0.2"/>
    <row r="85" s="18" customFormat="1" x14ac:dyDescent="0.2"/>
    <row r="86" s="18" customFormat="1" x14ac:dyDescent="0.2"/>
    <row r="87" s="18" customFormat="1" x14ac:dyDescent="0.2"/>
    <row r="88" s="18" customFormat="1" x14ac:dyDescent="0.2"/>
    <row r="89" s="18" customFormat="1" x14ac:dyDescent="0.2"/>
    <row r="90" s="18" customFormat="1" x14ac:dyDescent="0.2"/>
    <row r="91" s="18" customFormat="1" x14ac:dyDescent="0.2"/>
    <row r="92" s="18" customFormat="1" x14ac:dyDescent="0.2"/>
    <row r="93" s="18" customFormat="1" x14ac:dyDescent="0.2"/>
    <row r="94" s="18" customFormat="1" x14ac:dyDescent="0.2"/>
    <row r="95" s="18" customFormat="1" x14ac:dyDescent="0.2"/>
    <row r="96" s="18" customFormat="1" x14ac:dyDescent="0.2"/>
    <row r="97" s="18" customFormat="1" x14ac:dyDescent="0.2"/>
    <row r="98" s="18" customFormat="1" x14ac:dyDescent="0.2"/>
    <row r="99" s="18" customFormat="1" x14ac:dyDescent="0.2"/>
    <row r="100" s="18" customFormat="1" x14ac:dyDescent="0.2"/>
    <row r="101" s="18" customFormat="1" x14ac:dyDescent="0.2"/>
    <row r="102" s="18" customFormat="1" x14ac:dyDescent="0.2"/>
    <row r="103" s="18" customFormat="1" x14ac:dyDescent="0.2"/>
    <row r="104" s="18" customFormat="1" x14ac:dyDescent="0.2"/>
    <row r="105" s="18" customFormat="1" x14ac:dyDescent="0.2"/>
    <row r="106" s="18" customFormat="1" x14ac:dyDescent="0.2"/>
    <row r="107" s="18" customFormat="1" x14ac:dyDescent="0.2"/>
    <row r="108" s="18" customFormat="1" x14ac:dyDescent="0.2"/>
    <row r="109" s="18" customFormat="1" x14ac:dyDescent="0.2"/>
    <row r="110" s="18" customFormat="1" x14ac:dyDescent="0.2"/>
    <row r="111" s="18" customFormat="1" x14ac:dyDescent="0.2"/>
    <row r="112" s="18" customFormat="1" x14ac:dyDescent="0.2"/>
    <row r="113" s="18" customFormat="1" x14ac:dyDescent="0.2"/>
    <row r="114" s="18" customFormat="1" x14ac:dyDescent="0.2"/>
    <row r="115" s="18" customFormat="1" x14ac:dyDescent="0.2"/>
    <row r="116" s="18" customFormat="1" x14ac:dyDescent="0.2"/>
    <row r="117" s="18" customFormat="1" x14ac:dyDescent="0.2"/>
    <row r="118" s="18" customFormat="1" x14ac:dyDescent="0.2"/>
    <row r="119" s="18" customFormat="1" x14ac:dyDescent="0.2"/>
    <row r="120" s="18" customFormat="1" x14ac:dyDescent="0.2"/>
    <row r="121" s="18" customFormat="1" x14ac:dyDescent="0.2"/>
    <row r="122" s="18" customFormat="1" x14ac:dyDescent="0.2"/>
    <row r="123" s="18" customFormat="1" x14ac:dyDescent="0.2"/>
    <row r="124" s="18" customFormat="1" x14ac:dyDescent="0.2"/>
    <row r="125" s="18" customFormat="1" x14ac:dyDescent="0.2"/>
    <row r="126" s="18" customFormat="1" x14ac:dyDescent="0.2"/>
    <row r="127" s="18" customFormat="1" x14ac:dyDescent="0.2"/>
    <row r="128" s="18" customFormat="1" x14ac:dyDescent="0.2"/>
    <row r="129" s="18" customFormat="1" x14ac:dyDescent="0.2"/>
    <row r="130" s="18" customFormat="1" x14ac:dyDescent="0.2"/>
    <row r="131" s="18" customFormat="1" x14ac:dyDescent="0.2"/>
    <row r="132" s="18" customFormat="1" x14ac:dyDescent="0.2"/>
    <row r="133" s="18" customFormat="1" x14ac:dyDescent="0.2"/>
    <row r="134" s="18" customFormat="1" x14ac:dyDescent="0.2"/>
    <row r="135" s="18" customFormat="1" x14ac:dyDescent="0.2"/>
    <row r="136" s="18" customFormat="1" x14ac:dyDescent="0.2"/>
    <row r="137" s="18" customFormat="1" x14ac:dyDescent="0.2"/>
    <row r="138" s="18" customFormat="1" x14ac:dyDescent="0.2"/>
    <row r="139" s="18" customFormat="1" x14ac:dyDescent="0.2"/>
    <row r="140" s="18" customFormat="1" x14ac:dyDescent="0.2"/>
    <row r="141" s="18" customFormat="1" x14ac:dyDescent="0.2"/>
    <row r="142" s="18" customFormat="1" x14ac:dyDescent="0.2"/>
    <row r="143" s="18" customFormat="1" x14ac:dyDescent="0.2"/>
    <row r="144" s="18" customFormat="1" x14ac:dyDescent="0.2"/>
    <row r="145" s="18" customFormat="1" x14ac:dyDescent="0.2"/>
    <row r="146" s="18" customFormat="1" x14ac:dyDescent="0.2"/>
    <row r="147" s="18" customFormat="1" x14ac:dyDescent="0.2"/>
    <row r="148" s="18" customFormat="1" x14ac:dyDescent="0.2"/>
    <row r="149" s="18" customFormat="1" x14ac:dyDescent="0.2"/>
    <row r="150" s="18" customFormat="1" x14ac:dyDescent="0.2"/>
    <row r="151" s="18" customFormat="1" x14ac:dyDescent="0.2"/>
    <row r="152" s="18" customFormat="1" x14ac:dyDescent="0.2"/>
    <row r="153" s="18" customFormat="1" x14ac:dyDescent="0.2"/>
    <row r="154" s="18" customFormat="1" x14ac:dyDescent="0.2"/>
    <row r="155" s="18" customFormat="1" x14ac:dyDescent="0.2"/>
    <row r="156" s="18" customFormat="1" x14ac:dyDescent="0.2"/>
    <row r="157" s="18" customFormat="1" x14ac:dyDescent="0.2"/>
    <row r="158" s="18" customFormat="1" x14ac:dyDescent="0.2"/>
    <row r="159" s="18" customFormat="1" x14ac:dyDescent="0.2"/>
    <row r="160" s="18" customFormat="1" x14ac:dyDescent="0.2"/>
    <row r="161" s="18" customFormat="1" x14ac:dyDescent="0.2"/>
    <row r="162" s="18" customFormat="1" x14ac:dyDescent="0.2"/>
    <row r="163" s="18" customFormat="1" x14ac:dyDescent="0.2"/>
    <row r="164" s="18" customFormat="1" x14ac:dyDescent="0.2"/>
    <row r="165" s="18" customFormat="1" x14ac:dyDescent="0.2"/>
    <row r="166" s="18" customFormat="1" x14ac:dyDescent="0.2"/>
    <row r="167" s="18" customFormat="1" x14ac:dyDescent="0.2"/>
    <row r="168" s="18" customFormat="1" x14ac:dyDescent="0.2"/>
    <row r="169" s="18" customFormat="1" x14ac:dyDescent="0.2"/>
    <row r="170" s="18" customFormat="1" x14ac:dyDescent="0.2"/>
    <row r="171" s="18" customFormat="1" x14ac:dyDescent="0.2"/>
    <row r="172" s="18" customFormat="1" x14ac:dyDescent="0.2"/>
    <row r="173" s="18" customFormat="1" x14ac:dyDescent="0.2"/>
    <row r="174" s="18" customFormat="1" x14ac:dyDescent="0.2"/>
    <row r="175" s="18" customFormat="1" x14ac:dyDescent="0.2"/>
    <row r="176" s="18" customFormat="1" x14ac:dyDescent="0.2"/>
    <row r="177" s="18" customFormat="1" x14ac:dyDescent="0.2"/>
    <row r="178" s="18" customFormat="1" x14ac:dyDescent="0.2"/>
    <row r="179" s="18" customFormat="1" x14ac:dyDescent="0.2"/>
    <row r="180" s="18" customFormat="1" x14ac:dyDescent="0.2"/>
    <row r="181" s="18" customFormat="1" x14ac:dyDescent="0.2"/>
    <row r="182" s="18" customFormat="1" x14ac:dyDescent="0.2"/>
    <row r="183" s="18" customFormat="1" x14ac:dyDescent="0.2"/>
    <row r="184" s="18" customFormat="1" x14ac:dyDescent="0.2"/>
    <row r="185" s="18" customFormat="1" x14ac:dyDescent="0.2"/>
    <row r="186" s="18" customFormat="1" x14ac:dyDescent="0.2"/>
    <row r="187" s="18" customFormat="1" x14ac:dyDescent="0.2"/>
    <row r="188" s="18" customFormat="1" x14ac:dyDescent="0.2"/>
    <row r="189" s="18" customFormat="1" x14ac:dyDescent="0.2"/>
    <row r="190" s="18" customFormat="1" x14ac:dyDescent="0.2"/>
    <row r="191" s="18" customFormat="1" x14ac:dyDescent="0.2"/>
    <row r="192" s="18" customFormat="1" x14ac:dyDescent="0.2"/>
    <row r="193" s="18" customFormat="1" x14ac:dyDescent="0.2"/>
    <row r="194" s="18" customFormat="1" x14ac:dyDescent="0.2"/>
    <row r="195" s="18" customFormat="1" x14ac:dyDescent="0.2"/>
    <row r="196" s="18" customFormat="1" x14ac:dyDescent="0.2"/>
    <row r="197" s="18" customFormat="1" x14ac:dyDescent="0.2"/>
    <row r="198" s="18" customFormat="1" x14ac:dyDescent="0.2"/>
    <row r="199" s="18" customFormat="1" x14ac:dyDescent="0.2"/>
    <row r="200" s="18" customFormat="1" x14ac:dyDescent="0.2"/>
    <row r="201" s="18" customFormat="1" x14ac:dyDescent="0.2"/>
    <row r="202" s="18" customFormat="1" x14ac:dyDescent="0.2"/>
    <row r="203" s="18" customFormat="1" x14ac:dyDescent="0.2"/>
    <row r="204" s="18" customFormat="1" x14ac:dyDescent="0.2"/>
    <row r="205" s="18" customFormat="1" x14ac:dyDescent="0.2"/>
    <row r="206" s="18" customFormat="1" x14ac:dyDescent="0.2"/>
    <row r="207" s="18" customFormat="1" x14ac:dyDescent="0.2"/>
    <row r="208" s="18" customFormat="1" x14ac:dyDescent="0.2"/>
    <row r="209" s="18" customFormat="1" x14ac:dyDescent="0.2"/>
    <row r="210" s="18" customFormat="1" x14ac:dyDescent="0.2"/>
    <row r="211" s="18" customFormat="1" x14ac:dyDescent="0.2"/>
    <row r="212" s="18" customFormat="1" x14ac:dyDescent="0.2"/>
    <row r="213" s="18" customFormat="1" x14ac:dyDescent="0.2"/>
    <row r="214" s="18" customFormat="1" x14ac:dyDescent="0.2"/>
    <row r="215" s="18" customFormat="1" x14ac:dyDescent="0.2"/>
    <row r="216" s="18" customFormat="1" x14ac:dyDescent="0.2"/>
    <row r="217" s="18" customFormat="1" x14ac:dyDescent="0.2"/>
    <row r="218" s="18" customFormat="1" x14ac:dyDescent="0.2"/>
    <row r="219" s="18" customFormat="1" x14ac:dyDescent="0.2"/>
    <row r="220" s="18" customFormat="1" x14ac:dyDescent="0.2"/>
    <row r="221" s="18" customFormat="1" x14ac:dyDescent="0.2"/>
    <row r="222" s="18" customFormat="1" x14ac:dyDescent="0.2"/>
    <row r="223" s="18" customFormat="1" x14ac:dyDescent="0.2"/>
    <row r="224" s="18" customFormat="1" x14ac:dyDescent="0.2"/>
    <row r="225" s="18" customFormat="1" x14ac:dyDescent="0.2"/>
    <row r="226" s="18" customFormat="1" x14ac:dyDescent="0.2"/>
    <row r="227" s="18" customFormat="1" x14ac:dyDescent="0.2"/>
    <row r="228" s="18" customFormat="1" x14ac:dyDescent="0.2"/>
    <row r="229" s="18" customFormat="1" x14ac:dyDescent="0.2"/>
    <row r="230" s="18" customFormat="1" x14ac:dyDescent="0.2"/>
    <row r="231" s="18" customFormat="1" x14ac:dyDescent="0.2"/>
    <row r="232" s="18" customFormat="1" x14ac:dyDescent="0.2"/>
    <row r="233" s="18" customFormat="1" x14ac:dyDescent="0.2"/>
    <row r="234" s="18" customFormat="1" x14ac:dyDescent="0.2"/>
    <row r="235" s="18" customFormat="1" x14ac:dyDescent="0.2"/>
    <row r="236" s="18" customFormat="1" x14ac:dyDescent="0.2"/>
    <row r="237" s="18" customFormat="1" x14ac:dyDescent="0.2"/>
    <row r="238" s="18" customFormat="1" x14ac:dyDescent="0.2"/>
    <row r="239" s="18" customFormat="1" x14ac:dyDescent="0.2"/>
    <row r="240" s="18" customFormat="1" x14ac:dyDescent="0.2"/>
    <row r="241" s="18" customFormat="1" x14ac:dyDescent="0.2"/>
    <row r="242" s="18" customFormat="1" x14ac:dyDescent="0.2"/>
    <row r="243" s="18" customFormat="1" x14ac:dyDescent="0.2"/>
    <row r="244" s="18" customFormat="1" x14ac:dyDescent="0.2"/>
    <row r="245" s="18" customFormat="1" x14ac:dyDescent="0.2"/>
    <row r="246" s="18" customFormat="1" x14ac:dyDescent="0.2"/>
    <row r="247" s="18" customFormat="1" x14ac:dyDescent="0.2"/>
    <row r="248" s="18" customFormat="1" x14ac:dyDescent="0.2"/>
    <row r="249" s="18" customFormat="1" x14ac:dyDescent="0.2"/>
    <row r="250" s="18" customFormat="1" x14ac:dyDescent="0.2"/>
    <row r="251" s="18" customFormat="1" x14ac:dyDescent="0.2"/>
    <row r="252" s="18" customFormat="1" x14ac:dyDescent="0.2"/>
    <row r="253" s="18" customFormat="1" x14ac:dyDescent="0.2"/>
    <row r="254" s="18" customFormat="1" x14ac:dyDescent="0.2"/>
    <row r="255" s="18" customFormat="1" x14ac:dyDescent="0.2"/>
    <row r="256" s="18" customFormat="1" x14ac:dyDescent="0.2"/>
    <row r="257" s="18" customFormat="1" x14ac:dyDescent="0.2"/>
    <row r="258" s="18" customFormat="1" x14ac:dyDescent="0.2"/>
    <row r="259" s="18" customFormat="1" x14ac:dyDescent="0.2"/>
    <row r="260" s="18" customFormat="1" x14ac:dyDescent="0.2"/>
    <row r="261" s="18" customFormat="1" x14ac:dyDescent="0.2"/>
    <row r="262" s="18" customFormat="1" x14ac:dyDescent="0.2"/>
    <row r="263" s="18" customFormat="1" x14ac:dyDescent="0.2"/>
    <row r="264" s="18" customFormat="1" x14ac:dyDescent="0.2"/>
    <row r="265" s="18" customFormat="1" x14ac:dyDescent="0.2"/>
    <row r="266" s="18" customFormat="1" x14ac:dyDescent="0.2"/>
    <row r="267" s="18" customFormat="1" x14ac:dyDescent="0.2"/>
    <row r="268" s="18" customFormat="1" x14ac:dyDescent="0.2"/>
    <row r="269" s="18" customFormat="1" x14ac:dyDescent="0.2"/>
    <row r="270" s="18" customFormat="1" x14ac:dyDescent="0.2"/>
    <row r="271" s="18" customFormat="1" x14ac:dyDescent="0.2"/>
    <row r="272" s="18" customFormat="1" x14ac:dyDescent="0.2"/>
    <row r="273" s="18" customFormat="1" x14ac:dyDescent="0.2"/>
    <row r="274" s="18" customFormat="1" x14ac:dyDescent="0.2"/>
    <row r="275" s="18" customFormat="1" x14ac:dyDescent="0.2"/>
    <row r="276" s="18" customFormat="1" x14ac:dyDescent="0.2"/>
    <row r="277" s="18" customFormat="1" x14ac:dyDescent="0.2"/>
    <row r="278" s="18" customFormat="1" x14ac:dyDescent="0.2"/>
    <row r="279" s="18" customFormat="1" x14ac:dyDescent="0.2"/>
    <row r="280" s="18" customFormat="1" x14ac:dyDescent="0.2"/>
    <row r="281" s="18" customFormat="1" x14ac:dyDescent="0.2"/>
    <row r="282" s="18" customFormat="1" x14ac:dyDescent="0.2"/>
    <row r="283" s="18" customFormat="1" x14ac:dyDescent="0.2"/>
    <row r="284" s="18" customFormat="1" x14ac:dyDescent="0.2"/>
    <row r="285" s="18" customFormat="1" x14ac:dyDescent="0.2"/>
    <row r="286" s="18" customFormat="1" x14ac:dyDescent="0.2"/>
    <row r="287" s="18" customFormat="1" x14ac:dyDescent="0.2"/>
    <row r="288" s="18" customFormat="1" x14ac:dyDescent="0.2"/>
    <row r="289" s="18" customFormat="1" x14ac:dyDescent="0.2"/>
    <row r="290" s="18" customFormat="1" x14ac:dyDescent="0.2"/>
    <row r="291" s="18" customFormat="1" x14ac:dyDescent="0.2"/>
    <row r="292" s="18" customFormat="1" x14ac:dyDescent="0.2"/>
    <row r="293" s="18" customFormat="1" x14ac:dyDescent="0.2"/>
    <row r="294" s="18" customFormat="1" x14ac:dyDescent="0.2"/>
    <row r="295" s="18" customFormat="1" x14ac:dyDescent="0.2"/>
    <row r="296" s="18" customFormat="1" x14ac:dyDescent="0.2"/>
    <row r="297" s="18" customFormat="1" x14ac:dyDescent="0.2"/>
    <row r="298" s="18" customFormat="1" x14ac:dyDescent="0.2"/>
    <row r="299" s="18" customFormat="1" x14ac:dyDescent="0.2"/>
    <row r="300" s="18" customFormat="1" x14ac:dyDescent="0.2"/>
    <row r="301" s="18" customFormat="1" x14ac:dyDescent="0.2"/>
    <row r="302" s="18" customFormat="1" x14ac:dyDescent="0.2"/>
    <row r="303" s="18" customFormat="1" x14ac:dyDescent="0.2"/>
    <row r="304" s="18" customFormat="1" x14ac:dyDescent="0.2"/>
    <row r="305" s="18" customFormat="1" x14ac:dyDescent="0.2"/>
    <row r="306" s="18" customFormat="1" x14ac:dyDescent="0.2"/>
    <row r="307" s="18" customFormat="1" x14ac:dyDescent="0.2"/>
    <row r="308" s="18" customFormat="1" x14ac:dyDescent="0.2"/>
    <row r="309" s="18" customFormat="1" x14ac:dyDescent="0.2"/>
    <row r="310" s="18" customFormat="1" x14ac:dyDescent="0.2"/>
    <row r="311" s="18" customFormat="1" x14ac:dyDescent="0.2"/>
    <row r="312" s="18" customFormat="1" x14ac:dyDescent="0.2"/>
    <row r="313" s="18" customFormat="1" x14ac:dyDescent="0.2"/>
    <row r="314" s="18" customFormat="1" x14ac:dyDescent="0.2"/>
    <row r="315" s="18" customFormat="1" x14ac:dyDescent="0.2"/>
    <row r="316" s="18" customFormat="1" x14ac:dyDescent="0.2"/>
    <row r="317" s="18" customFormat="1" x14ac:dyDescent="0.2"/>
    <row r="318" s="18" customFormat="1" x14ac:dyDescent="0.2"/>
    <row r="319" s="18" customFormat="1" x14ac:dyDescent="0.2"/>
    <row r="320" s="18" customFormat="1" x14ac:dyDescent="0.2"/>
    <row r="321" s="18" customFormat="1" x14ac:dyDescent="0.2"/>
    <row r="322" s="18" customFormat="1" x14ac:dyDescent="0.2"/>
    <row r="323" s="18" customFormat="1" x14ac:dyDescent="0.2"/>
    <row r="324" s="18" customFormat="1" x14ac:dyDescent="0.2"/>
    <row r="325" s="18" customFormat="1" x14ac:dyDescent="0.2"/>
    <row r="326" s="18" customFormat="1" x14ac:dyDescent="0.2"/>
    <row r="327" s="18" customFormat="1" x14ac:dyDescent="0.2"/>
    <row r="328" s="18" customFormat="1" x14ac:dyDescent="0.2"/>
    <row r="329" s="18" customFormat="1" x14ac:dyDescent="0.2"/>
    <row r="330" s="18" customFormat="1" x14ac:dyDescent="0.2"/>
    <row r="331" s="18" customFormat="1" x14ac:dyDescent="0.2"/>
    <row r="332" s="18" customFormat="1" x14ac:dyDescent="0.2"/>
    <row r="333" s="18" customFormat="1" x14ac:dyDescent="0.2"/>
    <row r="334" s="18" customFormat="1" x14ac:dyDescent="0.2"/>
    <row r="335" s="18" customFormat="1" x14ac:dyDescent="0.2"/>
    <row r="336" s="18" customFormat="1" x14ac:dyDescent="0.2"/>
    <row r="337" s="18" customFormat="1" x14ac:dyDescent="0.2"/>
    <row r="338" s="18" customFormat="1" x14ac:dyDescent="0.2"/>
    <row r="339" s="18" customFormat="1" x14ac:dyDescent="0.2"/>
    <row r="340" s="18" customFormat="1" x14ac:dyDescent="0.2"/>
    <row r="341" s="18" customFormat="1" x14ac:dyDescent="0.2"/>
    <row r="342" s="18" customFormat="1" x14ac:dyDescent="0.2"/>
    <row r="343" s="18" customFormat="1" x14ac:dyDescent="0.2"/>
    <row r="344" s="18" customFormat="1" x14ac:dyDescent="0.2"/>
    <row r="345" s="18" customFormat="1" x14ac:dyDescent="0.2"/>
    <row r="346" s="18" customFormat="1" x14ac:dyDescent="0.2"/>
    <row r="347" s="18" customFormat="1" x14ac:dyDescent="0.2"/>
    <row r="348" s="18" customFormat="1" x14ac:dyDescent="0.2"/>
    <row r="349" s="18" customFormat="1" x14ac:dyDescent="0.2"/>
    <row r="350" s="18" customFormat="1" x14ac:dyDescent="0.2"/>
    <row r="351" s="18" customFormat="1" x14ac:dyDescent="0.2"/>
    <row r="352" s="18" customFormat="1" x14ac:dyDescent="0.2"/>
    <row r="353" s="18" customFormat="1" x14ac:dyDescent="0.2"/>
    <row r="354" s="18" customFormat="1" x14ac:dyDescent="0.2"/>
    <row r="355" s="18" customFormat="1" x14ac:dyDescent="0.2"/>
    <row r="356" s="18" customFormat="1" x14ac:dyDescent="0.2"/>
    <row r="357" s="18" customFormat="1" x14ac:dyDescent="0.2"/>
    <row r="358" s="18" customFormat="1" x14ac:dyDescent="0.2"/>
    <row r="359" s="18" customFormat="1" x14ac:dyDescent="0.2"/>
    <row r="360" s="18" customFormat="1" x14ac:dyDescent="0.2"/>
    <row r="361" s="18" customFormat="1" x14ac:dyDescent="0.2"/>
    <row r="362" s="18" customFormat="1" x14ac:dyDescent="0.2"/>
    <row r="363" s="18" customFormat="1" x14ac:dyDescent="0.2"/>
    <row r="364" s="18" customFormat="1" x14ac:dyDescent="0.2"/>
    <row r="365" s="18" customFormat="1" x14ac:dyDescent="0.2"/>
    <row r="366" s="18" customFormat="1" x14ac:dyDescent="0.2"/>
    <row r="367" s="18" customFormat="1" x14ac:dyDescent="0.2"/>
    <row r="368" s="18" customFormat="1" x14ac:dyDescent="0.2"/>
    <row r="369" s="18" customFormat="1" x14ac:dyDescent="0.2"/>
    <row r="370" s="18" customFormat="1" x14ac:dyDescent="0.2"/>
    <row r="371" s="18" customFormat="1" x14ac:dyDescent="0.2"/>
    <row r="372" s="18" customFormat="1" x14ac:dyDescent="0.2"/>
    <row r="373" s="18" customFormat="1" x14ac:dyDescent="0.2"/>
    <row r="374" s="18" customFormat="1" x14ac:dyDescent="0.2"/>
    <row r="375" s="18" customFormat="1" x14ac:dyDescent="0.2"/>
    <row r="376" s="18" customFormat="1" x14ac:dyDescent="0.2"/>
    <row r="377" s="18" customFormat="1" x14ac:dyDescent="0.2"/>
    <row r="378" s="18" customFormat="1" x14ac:dyDescent="0.2"/>
    <row r="379" s="18" customFormat="1" x14ac:dyDescent="0.2"/>
    <row r="380" s="18" customFormat="1" x14ac:dyDescent="0.2"/>
    <row r="381" s="18" customFormat="1" x14ac:dyDescent="0.2"/>
    <row r="382" s="18" customFormat="1" x14ac:dyDescent="0.2"/>
    <row r="383" s="18" customFormat="1" x14ac:dyDescent="0.2"/>
    <row r="384" s="18" customFormat="1" x14ac:dyDescent="0.2"/>
    <row r="385" s="18" customFormat="1" x14ac:dyDescent="0.2"/>
    <row r="386" s="18" customFormat="1" x14ac:dyDescent="0.2"/>
    <row r="387" s="18" customFormat="1" x14ac:dyDescent="0.2"/>
    <row r="388" s="18" customFormat="1" x14ac:dyDescent="0.2"/>
    <row r="389" s="18" customFormat="1" x14ac:dyDescent="0.2"/>
    <row r="390" s="18" customFormat="1" x14ac:dyDescent="0.2"/>
    <row r="391" s="18" customFormat="1" x14ac:dyDescent="0.2"/>
    <row r="392" s="18" customFormat="1" x14ac:dyDescent="0.2"/>
    <row r="393" s="18" customFormat="1" x14ac:dyDescent="0.2"/>
    <row r="394" s="18" customFormat="1" x14ac:dyDescent="0.2"/>
    <row r="395" s="18" customFormat="1" x14ac:dyDescent="0.2"/>
    <row r="396" s="18" customFormat="1" x14ac:dyDescent="0.2"/>
    <row r="397" s="18" customFormat="1" x14ac:dyDescent="0.2"/>
    <row r="398" s="18" customFormat="1" x14ac:dyDescent="0.2"/>
    <row r="399" s="18" customFormat="1" x14ac:dyDescent="0.2"/>
    <row r="400" s="18" customFormat="1" x14ac:dyDescent="0.2"/>
    <row r="401" s="18" customFormat="1" x14ac:dyDescent="0.2"/>
    <row r="402" s="18" customFormat="1" x14ac:dyDescent="0.2"/>
    <row r="403" s="18" customFormat="1" x14ac:dyDescent="0.2"/>
    <row r="404" s="18" customFormat="1" x14ac:dyDescent="0.2"/>
    <row r="405" s="18" customFormat="1" x14ac:dyDescent="0.2"/>
    <row r="406" s="18" customFormat="1" x14ac:dyDescent="0.2"/>
    <row r="407" s="18" customFormat="1" x14ac:dyDescent="0.2"/>
    <row r="408" s="18" customFormat="1" x14ac:dyDescent="0.2"/>
    <row r="409" s="18" customFormat="1" x14ac:dyDescent="0.2"/>
    <row r="410" s="18" customFormat="1" x14ac:dyDescent="0.2"/>
    <row r="411" s="18" customFormat="1" x14ac:dyDescent="0.2"/>
    <row r="412" s="18" customFormat="1" x14ac:dyDescent="0.2"/>
    <row r="413" s="18" customFormat="1" x14ac:dyDescent="0.2"/>
    <row r="414" s="18" customFormat="1" x14ac:dyDescent="0.2"/>
    <row r="415" s="18" customFormat="1" x14ac:dyDescent="0.2"/>
    <row r="416" s="18" customFormat="1" x14ac:dyDescent="0.2"/>
    <row r="417" s="18" customFormat="1" x14ac:dyDescent="0.2"/>
    <row r="418" s="18" customFormat="1" x14ac:dyDescent="0.2"/>
    <row r="419" s="18" customFormat="1" x14ac:dyDescent="0.2"/>
    <row r="420" s="18" customFormat="1" x14ac:dyDescent="0.2"/>
    <row r="421" s="18" customFormat="1" x14ac:dyDescent="0.2"/>
    <row r="422" s="18" customFormat="1" x14ac:dyDescent="0.2"/>
    <row r="423" s="18" customFormat="1" x14ac:dyDescent="0.2"/>
    <row r="424" s="18" customFormat="1" x14ac:dyDescent="0.2"/>
    <row r="425" s="18" customFormat="1" x14ac:dyDescent="0.2"/>
    <row r="426" s="18" customFormat="1" x14ac:dyDescent="0.2"/>
    <row r="427" s="18" customFormat="1" x14ac:dyDescent="0.2"/>
    <row r="428" s="18" customFormat="1" x14ac:dyDescent="0.2"/>
    <row r="429" s="18" customFormat="1" x14ac:dyDescent="0.2"/>
    <row r="430" s="18" customFormat="1" x14ac:dyDescent="0.2"/>
    <row r="431" s="18" customFormat="1" x14ac:dyDescent="0.2"/>
    <row r="432" s="18" customFormat="1" x14ac:dyDescent="0.2"/>
    <row r="433" s="18" customFormat="1" x14ac:dyDescent="0.2"/>
    <row r="434" s="18" customFormat="1" x14ac:dyDescent="0.2"/>
    <row r="435" s="18" customFormat="1" x14ac:dyDescent="0.2"/>
    <row r="436" s="18" customFormat="1" x14ac:dyDescent="0.2"/>
    <row r="437" s="18" customFormat="1" x14ac:dyDescent="0.2"/>
    <row r="438" s="18" customFormat="1" x14ac:dyDescent="0.2"/>
    <row r="439" s="18" customFormat="1" x14ac:dyDescent="0.2"/>
    <row r="440" s="18" customFormat="1" x14ac:dyDescent="0.2"/>
    <row r="441" s="18" customFormat="1" x14ac:dyDescent="0.2"/>
    <row r="442" s="18" customFormat="1" x14ac:dyDescent="0.2"/>
    <row r="443" s="18" customFormat="1" x14ac:dyDescent="0.2"/>
    <row r="444" s="18" customFormat="1" x14ac:dyDescent="0.2"/>
    <row r="445" s="18" customFormat="1" x14ac:dyDescent="0.2"/>
    <row r="446" s="18" customFormat="1" x14ac:dyDescent="0.2"/>
    <row r="447" s="18" customFormat="1" x14ac:dyDescent="0.2"/>
    <row r="448" s="18" customFormat="1" x14ac:dyDescent="0.2"/>
    <row r="449" s="18" customFormat="1" x14ac:dyDescent="0.2"/>
    <row r="450" s="18" customFormat="1" x14ac:dyDescent="0.2"/>
    <row r="451" s="18" customFormat="1" x14ac:dyDescent="0.2"/>
    <row r="452" s="18" customFormat="1" x14ac:dyDescent="0.2"/>
    <row r="453" s="18" customFormat="1" x14ac:dyDescent="0.2"/>
    <row r="454" s="18" customFormat="1" x14ac:dyDescent="0.2"/>
    <row r="455" s="18" customFormat="1" x14ac:dyDescent="0.2"/>
    <row r="456" s="18" customFormat="1" x14ac:dyDescent="0.2"/>
    <row r="457" s="18" customFormat="1" x14ac:dyDescent="0.2"/>
    <row r="458" s="18" customFormat="1" x14ac:dyDescent="0.2"/>
    <row r="459" s="18" customFormat="1" x14ac:dyDescent="0.2"/>
    <row r="460" s="18" customFormat="1" x14ac:dyDescent="0.2"/>
    <row r="461" s="18" customFormat="1" x14ac:dyDescent="0.2"/>
    <row r="462" s="18" customFormat="1" x14ac:dyDescent="0.2"/>
    <row r="463" s="18" customFormat="1" x14ac:dyDescent="0.2"/>
    <row r="464" s="18" customFormat="1" x14ac:dyDescent="0.2"/>
    <row r="465" s="18" customFormat="1" x14ac:dyDescent="0.2"/>
    <row r="466" s="18" customFormat="1" x14ac:dyDescent="0.2"/>
    <row r="467" s="18" customFormat="1" x14ac:dyDescent="0.2"/>
    <row r="468" s="18" customFormat="1" x14ac:dyDescent="0.2"/>
    <row r="469" s="18" customFormat="1" x14ac:dyDescent="0.2"/>
    <row r="470" s="18" customFormat="1" x14ac:dyDescent="0.2"/>
    <row r="471" s="18" customFormat="1" x14ac:dyDescent="0.2"/>
    <row r="472" s="18" customFormat="1" x14ac:dyDescent="0.2"/>
    <row r="473" s="18" customFormat="1" x14ac:dyDescent="0.2"/>
    <row r="474" s="18" customFormat="1" x14ac:dyDescent="0.2"/>
    <row r="475" s="18" customFormat="1" x14ac:dyDescent="0.2"/>
    <row r="476" s="18" customFormat="1" x14ac:dyDescent="0.2"/>
    <row r="477" s="18" customFormat="1" x14ac:dyDescent="0.2"/>
    <row r="478" s="18" customFormat="1" x14ac:dyDescent="0.2"/>
    <row r="479" s="18" customFormat="1" x14ac:dyDescent="0.2"/>
    <row r="480" s="18" customFormat="1" x14ac:dyDescent="0.2"/>
    <row r="481" s="18" customFormat="1" x14ac:dyDescent="0.2"/>
    <row r="482" s="18" customFormat="1" x14ac:dyDescent="0.2"/>
    <row r="483" s="18" customFormat="1" x14ac:dyDescent="0.2"/>
    <row r="484" s="18" customFormat="1" x14ac:dyDescent="0.2"/>
    <row r="485" s="18" customFormat="1" x14ac:dyDescent="0.2"/>
    <row r="486" s="18" customFormat="1" x14ac:dyDescent="0.2"/>
    <row r="487" s="18" customFormat="1" x14ac:dyDescent="0.2"/>
    <row r="488" s="18" customFormat="1" x14ac:dyDescent="0.2"/>
    <row r="489" s="18" customFormat="1" x14ac:dyDescent="0.2"/>
    <row r="490" s="18" customFormat="1" x14ac:dyDescent="0.2"/>
    <row r="491" s="18" customFormat="1" x14ac:dyDescent="0.2"/>
    <row r="492" s="18" customFormat="1" x14ac:dyDescent="0.2"/>
    <row r="493" s="18" customFormat="1" x14ac:dyDescent="0.2"/>
    <row r="494" s="18" customFormat="1" x14ac:dyDescent="0.2"/>
    <row r="495" s="18" customFormat="1" x14ac:dyDescent="0.2"/>
    <row r="496" s="18" customFormat="1" x14ac:dyDescent="0.2"/>
    <row r="497" s="18" customFormat="1" x14ac:dyDescent="0.2"/>
    <row r="498" s="18" customFormat="1" x14ac:dyDescent="0.2"/>
    <row r="499" s="18" customFormat="1" x14ac:dyDescent="0.2"/>
    <row r="500" s="18" customFormat="1" x14ac:dyDescent="0.2"/>
    <row r="501" s="18" customFormat="1" x14ac:dyDescent="0.2"/>
    <row r="502" s="18" customFormat="1" x14ac:dyDescent="0.2"/>
    <row r="503" s="18" customFormat="1" x14ac:dyDescent="0.2"/>
    <row r="504" s="18" customFormat="1" x14ac:dyDescent="0.2"/>
    <row r="505" s="18" customFormat="1" x14ac:dyDescent="0.2"/>
    <row r="506" s="18" customFormat="1" x14ac:dyDescent="0.2"/>
    <row r="507" s="18" customFormat="1" x14ac:dyDescent="0.2"/>
    <row r="508" s="18" customFormat="1" x14ac:dyDescent="0.2"/>
    <row r="509" s="18" customFormat="1" x14ac:dyDescent="0.2"/>
    <row r="510" s="18" customFormat="1" x14ac:dyDescent="0.2"/>
    <row r="511" s="18" customFormat="1" x14ac:dyDescent="0.2"/>
    <row r="512" s="18" customFormat="1" x14ac:dyDescent="0.2"/>
    <row r="513" s="18" customFormat="1" x14ac:dyDescent="0.2"/>
    <row r="514" s="18" customFormat="1" x14ac:dyDescent="0.2"/>
    <row r="515" s="18" customFormat="1" x14ac:dyDescent="0.2"/>
    <row r="516" s="18" customFormat="1" x14ac:dyDescent="0.2"/>
    <row r="517" s="18" customFormat="1" x14ac:dyDescent="0.2"/>
    <row r="518" s="18" customFormat="1" x14ac:dyDescent="0.2"/>
    <row r="519" s="18" customFormat="1" x14ac:dyDescent="0.2"/>
    <row r="520" s="18" customFormat="1" x14ac:dyDescent="0.2"/>
    <row r="521" s="18" customFormat="1" x14ac:dyDescent="0.2"/>
    <row r="522" s="18" customFormat="1" x14ac:dyDescent="0.2"/>
    <row r="523" s="18" customFormat="1" x14ac:dyDescent="0.2"/>
    <row r="524" s="18" customFormat="1" x14ac:dyDescent="0.2"/>
    <row r="525" s="18" customFormat="1" x14ac:dyDescent="0.2"/>
    <row r="526" s="18" customFormat="1" x14ac:dyDescent="0.2"/>
    <row r="527" s="18" customFormat="1" x14ac:dyDescent="0.2"/>
    <row r="528" s="18" customFormat="1" x14ac:dyDescent="0.2"/>
    <row r="529" s="18" customFormat="1" x14ac:dyDescent="0.2"/>
    <row r="530" s="18" customFormat="1" x14ac:dyDescent="0.2"/>
    <row r="531" s="18" customFormat="1" x14ac:dyDescent="0.2"/>
    <row r="532" s="18" customFormat="1" x14ac:dyDescent="0.2"/>
    <row r="533" s="18" customFormat="1" x14ac:dyDescent="0.2"/>
    <row r="534" s="18" customFormat="1" x14ac:dyDescent="0.2"/>
    <row r="535" s="18" customFormat="1" x14ac:dyDescent="0.2"/>
    <row r="536" s="18" customFormat="1" x14ac:dyDescent="0.2"/>
    <row r="537" s="18" customFormat="1" x14ac:dyDescent="0.2"/>
    <row r="538" s="18" customFormat="1" x14ac:dyDescent="0.2"/>
    <row r="539" s="18" customFormat="1" x14ac:dyDescent="0.2"/>
    <row r="540" s="18" customFormat="1" x14ac:dyDescent="0.2"/>
    <row r="541" s="18" customFormat="1" x14ac:dyDescent="0.2"/>
    <row r="542" s="18" customFormat="1" x14ac:dyDescent="0.2"/>
    <row r="543" s="18" customFormat="1" x14ac:dyDescent="0.2"/>
    <row r="544" s="18" customFormat="1" x14ac:dyDescent="0.2"/>
    <row r="545" s="18" customFormat="1" x14ac:dyDescent="0.2"/>
    <row r="546" s="18" customFormat="1" x14ac:dyDescent="0.2"/>
    <row r="547" s="18" customFormat="1" x14ac:dyDescent="0.2"/>
    <row r="548" s="18" customFormat="1" x14ac:dyDescent="0.2"/>
    <row r="549" s="18" customFormat="1" x14ac:dyDescent="0.2"/>
    <row r="550" s="18" customFormat="1" x14ac:dyDescent="0.2"/>
    <row r="551" s="18" customFormat="1" x14ac:dyDescent="0.2"/>
    <row r="552" s="18" customFormat="1" x14ac:dyDescent="0.2"/>
    <row r="553" s="18" customFormat="1" x14ac:dyDescent="0.2"/>
    <row r="554" s="18" customFormat="1" x14ac:dyDescent="0.2"/>
    <row r="555" s="18" customFormat="1" x14ac:dyDescent="0.2"/>
    <row r="556" s="18" customFormat="1" x14ac:dyDescent="0.2"/>
    <row r="557" s="18" customFormat="1" x14ac:dyDescent="0.2"/>
    <row r="558" s="18" customFormat="1" x14ac:dyDescent="0.2"/>
    <row r="559" s="18" customFormat="1" x14ac:dyDescent="0.2"/>
    <row r="560" s="18" customFormat="1" x14ac:dyDescent="0.2"/>
    <row r="561" s="18" customFormat="1" x14ac:dyDescent="0.2"/>
    <row r="562" s="18" customFormat="1" x14ac:dyDescent="0.2"/>
    <row r="563" s="18" customFormat="1" x14ac:dyDescent="0.2"/>
    <row r="564" s="18" customFormat="1" x14ac:dyDescent="0.2"/>
    <row r="565" s="18" customFormat="1" x14ac:dyDescent="0.2"/>
    <row r="566" s="18" customFormat="1" x14ac:dyDescent="0.2"/>
    <row r="567" s="18" customFormat="1" x14ac:dyDescent="0.2"/>
    <row r="568" s="18" customFormat="1" x14ac:dyDescent="0.2"/>
    <row r="569" s="18" customFormat="1" x14ac:dyDescent="0.2"/>
    <row r="570" s="18" customFormat="1" x14ac:dyDescent="0.2"/>
    <row r="571" s="18" customFormat="1" x14ac:dyDescent="0.2"/>
    <row r="572" s="18" customFormat="1" x14ac:dyDescent="0.2"/>
    <row r="573" s="18" customFormat="1" x14ac:dyDescent="0.2"/>
    <row r="574" s="18" customFormat="1" x14ac:dyDescent="0.2"/>
    <row r="575" s="18" customFormat="1" x14ac:dyDescent="0.2"/>
    <row r="576" s="18" customFormat="1" x14ac:dyDescent="0.2"/>
    <row r="577" s="18" customFormat="1" x14ac:dyDescent="0.2"/>
    <row r="578" s="18" customFormat="1" x14ac:dyDescent="0.2"/>
    <row r="579" s="18" customFormat="1" x14ac:dyDescent="0.2"/>
    <row r="580" s="18" customFormat="1" x14ac:dyDescent="0.2"/>
    <row r="581" s="18" customFormat="1" x14ac:dyDescent="0.2"/>
    <row r="582" s="18" customFormat="1" x14ac:dyDescent="0.2"/>
    <row r="583" s="18" customFormat="1" x14ac:dyDescent="0.2"/>
    <row r="584" s="18" customFormat="1" x14ac:dyDescent="0.2"/>
    <row r="585" s="18" customFormat="1" x14ac:dyDescent="0.2"/>
    <row r="586" s="18" customFormat="1" x14ac:dyDescent="0.2"/>
    <row r="587" s="18" customFormat="1" x14ac:dyDescent="0.2"/>
    <row r="588" s="18" customFormat="1" x14ac:dyDescent="0.2"/>
    <row r="589" s="18" customFormat="1" x14ac:dyDescent="0.2"/>
    <row r="590" s="18" customFormat="1" x14ac:dyDescent="0.2"/>
    <row r="591" s="18" customFormat="1" x14ac:dyDescent="0.2"/>
    <row r="592" s="18" customFormat="1" x14ac:dyDescent="0.2"/>
    <row r="593" s="18" customFormat="1" x14ac:dyDescent="0.2"/>
    <row r="594" s="18" customFormat="1" x14ac:dyDescent="0.2"/>
    <row r="595" s="18" customFormat="1" x14ac:dyDescent="0.2"/>
    <row r="596" s="18" customFormat="1" x14ac:dyDescent="0.2"/>
    <row r="597" s="18" customFormat="1" x14ac:dyDescent="0.2"/>
    <row r="598" s="18" customFormat="1" x14ac:dyDescent="0.2"/>
    <row r="599" s="18" customFormat="1" x14ac:dyDescent="0.2"/>
    <row r="600" s="18" customFormat="1" x14ac:dyDescent="0.2"/>
    <row r="601" s="18" customFormat="1" x14ac:dyDescent="0.2"/>
    <row r="602" s="18" customFormat="1" x14ac:dyDescent="0.2"/>
    <row r="603" s="18" customFormat="1" x14ac:dyDescent="0.2"/>
    <row r="604" s="18" customFormat="1" x14ac:dyDescent="0.2"/>
    <row r="605" s="18" customFormat="1" x14ac:dyDescent="0.2"/>
    <row r="606" s="18" customFormat="1" x14ac:dyDescent="0.2"/>
    <row r="607" s="18" customFormat="1" x14ac:dyDescent="0.2"/>
    <row r="608" s="18" customFormat="1" x14ac:dyDescent="0.2"/>
    <row r="609" s="18" customFormat="1" x14ac:dyDescent="0.2"/>
    <row r="610" s="18" customFormat="1" x14ac:dyDescent="0.2"/>
    <row r="611" s="18" customFormat="1" x14ac:dyDescent="0.2"/>
    <row r="612" s="18" customFormat="1" x14ac:dyDescent="0.2"/>
    <row r="613" s="18" customFormat="1" x14ac:dyDescent="0.2"/>
    <row r="614" s="18" customFormat="1" x14ac:dyDescent="0.2"/>
    <row r="615" s="18" customFormat="1" x14ac:dyDescent="0.2"/>
    <row r="616" s="18" customFormat="1" x14ac:dyDescent="0.2"/>
    <row r="617" s="18" customFormat="1" x14ac:dyDescent="0.2"/>
    <row r="618" s="18" customFormat="1" x14ac:dyDescent="0.2"/>
    <row r="619" s="18" customFormat="1" x14ac:dyDescent="0.2"/>
    <row r="620" s="18" customFormat="1" x14ac:dyDescent="0.2"/>
    <row r="621" s="18" customFormat="1" x14ac:dyDescent="0.2"/>
    <row r="622" s="18" customFormat="1" x14ac:dyDescent="0.2"/>
    <row r="623" s="18" customFormat="1" x14ac:dyDescent="0.2"/>
    <row r="624" s="18" customFormat="1" x14ac:dyDescent="0.2"/>
    <row r="625" s="18" customFormat="1" x14ac:dyDescent="0.2"/>
    <row r="626" s="18" customFormat="1" x14ac:dyDescent="0.2"/>
    <row r="627" s="18" customFormat="1" x14ac:dyDescent="0.2"/>
    <row r="628" s="18" customFormat="1" x14ac:dyDescent="0.2"/>
    <row r="629" s="18" customFormat="1" x14ac:dyDescent="0.2"/>
    <row r="630" s="18" customFormat="1" x14ac:dyDescent="0.2"/>
    <row r="631" s="18" customFormat="1" x14ac:dyDescent="0.2"/>
    <row r="632" s="18" customFormat="1" x14ac:dyDescent="0.2"/>
    <row r="633" s="18" customFormat="1" x14ac:dyDescent="0.2"/>
    <row r="634" s="18" customFormat="1" x14ac:dyDescent="0.2"/>
    <row r="635" s="18" customFormat="1" x14ac:dyDescent="0.2"/>
    <row r="636" s="18" customFormat="1" x14ac:dyDescent="0.2"/>
    <row r="637" s="18" customFormat="1" x14ac:dyDescent="0.2"/>
    <row r="638" s="18" customFormat="1" x14ac:dyDescent="0.2"/>
    <row r="639" s="18" customFormat="1" x14ac:dyDescent="0.2"/>
    <row r="640" s="18" customFormat="1" x14ac:dyDescent="0.2"/>
    <row r="641" s="18" customFormat="1" x14ac:dyDescent="0.2"/>
    <row r="642" s="18" customFormat="1" x14ac:dyDescent="0.2"/>
    <row r="643" s="18" customFormat="1" x14ac:dyDescent="0.2"/>
    <row r="644" s="18" customFormat="1" x14ac:dyDescent="0.2"/>
    <row r="645" s="18" customFormat="1" x14ac:dyDescent="0.2"/>
    <row r="646" s="18" customFormat="1" x14ac:dyDescent="0.2"/>
    <row r="647" s="18" customFormat="1" x14ac:dyDescent="0.2"/>
    <row r="648" s="18" customFormat="1" x14ac:dyDescent="0.2"/>
    <row r="649" s="18" customFormat="1" x14ac:dyDescent="0.2"/>
    <row r="650" s="18" customFormat="1" x14ac:dyDescent="0.2"/>
    <row r="651" s="18" customFormat="1" x14ac:dyDescent="0.2"/>
    <row r="652" s="18" customFormat="1" x14ac:dyDescent="0.2"/>
    <row r="653" s="18" customFormat="1" x14ac:dyDescent="0.2"/>
    <row r="654" s="18" customFormat="1" x14ac:dyDescent="0.2"/>
    <row r="655" s="18" customFormat="1" x14ac:dyDescent="0.2"/>
    <row r="656" s="18" customFormat="1" x14ac:dyDescent="0.2"/>
    <row r="657" s="18" customFormat="1" x14ac:dyDescent="0.2"/>
    <row r="658" s="18" customFormat="1" x14ac:dyDescent="0.2"/>
    <row r="659" s="18" customFormat="1" x14ac:dyDescent="0.2"/>
    <row r="660" s="18" customFormat="1" x14ac:dyDescent="0.2"/>
    <row r="661" s="18" customFormat="1" x14ac:dyDescent="0.2"/>
    <row r="662" s="18" customFormat="1" x14ac:dyDescent="0.2"/>
    <row r="663" s="18" customFormat="1" x14ac:dyDescent="0.2"/>
    <row r="664" s="18" customFormat="1" x14ac:dyDescent="0.2"/>
  </sheetData>
  <autoFilter ref="A1:AC402" xr:uid="{F83BE96F-6E9D-45E4-8C5F-C3F320D368A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C628-2E34-4171-A2FD-3371C4BF8BA8}">
  <sheetPr>
    <tabColor theme="4" tint="0.39997558519241921"/>
  </sheetPr>
  <dimension ref="A4:L30"/>
  <sheetViews>
    <sheetView showGridLines="0" tabSelected="1" zoomScale="90" zoomScaleNormal="90" workbookViewId="0">
      <selection activeCell="B25" sqref="B25:G25"/>
    </sheetView>
  </sheetViews>
  <sheetFormatPr defaultRowHeight="15" x14ac:dyDescent="0.25"/>
  <cols>
    <col min="1" max="1" width="2.42578125" style="1" customWidth="1"/>
    <col min="2" max="2" width="8.140625" style="1" customWidth="1"/>
    <col min="3" max="3" width="9.7109375" style="1" bestFit="1" customWidth="1"/>
    <col min="4" max="4" width="12.140625" style="1" bestFit="1" customWidth="1"/>
    <col min="5" max="5" width="13" style="1" bestFit="1" customWidth="1"/>
    <col min="6" max="6" width="10.42578125" style="1" bestFit="1" customWidth="1"/>
    <col min="7" max="7" width="14.140625" style="1" bestFit="1" customWidth="1"/>
    <col min="8" max="8" width="14.7109375" style="1" bestFit="1" customWidth="1"/>
    <col min="9" max="9" width="12.5703125" style="1" bestFit="1" customWidth="1"/>
    <col min="10" max="10" width="3" style="1" customWidth="1"/>
    <col min="11" max="11" width="12.5703125" style="1" bestFit="1" customWidth="1"/>
    <col min="12" max="12" width="26.140625" bestFit="1" customWidth="1"/>
    <col min="13" max="13" width="3.42578125" customWidth="1"/>
    <col min="14" max="14" width="13.5703125" customWidth="1"/>
    <col min="15" max="15" width="13.85546875" bestFit="1" customWidth="1"/>
  </cols>
  <sheetData>
    <row r="4" spans="2:12" ht="18.75" x14ac:dyDescent="0.3">
      <c r="B4" s="82" t="s">
        <v>0</v>
      </c>
      <c r="C4" s="82"/>
      <c r="D4" s="82"/>
      <c r="E4" s="82"/>
      <c r="F4" s="82"/>
      <c r="G4" s="82"/>
      <c r="H4" s="82"/>
      <c r="I4" s="82"/>
      <c r="J4"/>
    </row>
    <row r="5" spans="2:12" ht="5.25" customHeight="1" x14ac:dyDescent="0.25">
      <c r="F5" s="2"/>
    </row>
    <row r="6" spans="2:12" ht="15.75" x14ac:dyDescent="0.25">
      <c r="B6" s="83" t="s">
        <v>191</v>
      </c>
      <c r="C6" s="83"/>
      <c r="D6" s="83"/>
      <c r="E6" s="83"/>
      <c r="F6" s="83"/>
      <c r="G6" s="83"/>
      <c r="H6" s="83"/>
      <c r="I6" s="83"/>
    </row>
    <row r="7" spans="2:12" x14ac:dyDescent="0.25">
      <c r="B7" s="3" t="s">
        <v>84</v>
      </c>
      <c r="C7" s="25" t="s">
        <v>70</v>
      </c>
      <c r="D7" s="4" t="s">
        <v>24</v>
      </c>
      <c r="E7" s="4" t="s">
        <v>20</v>
      </c>
      <c r="F7" s="4" t="s">
        <v>22</v>
      </c>
      <c r="G7" s="4" t="s">
        <v>87</v>
      </c>
      <c r="H7" s="4" t="s">
        <v>88</v>
      </c>
      <c r="I7" s="5" t="s">
        <v>89</v>
      </c>
      <c r="K7" s="53" t="s">
        <v>85</v>
      </c>
      <c r="L7" s="54" t="s">
        <v>86</v>
      </c>
    </row>
    <row r="8" spans="2:12" x14ac:dyDescent="0.25">
      <c r="B8" s="26">
        <v>2025</v>
      </c>
      <c r="C8" s="28" t="s">
        <v>72</v>
      </c>
      <c r="D8" s="6">
        <f>SUMIFS(EXTRATO!I:I,EXTRATO!G:G,FECHAMENTO!$D$7,EXTRATO!B:B,FECHAMENTO!C8,EXTRATO!A:A,FECHAMENTO!B8)</f>
        <v>398.47</v>
      </c>
      <c r="E8" s="6">
        <f>SUMIFS(EXTRATO!I:I,EXTRATO!G:G,FECHAMENTO!$E$7,EXTRATO!B:B,FECHAMENTO!C8,EXTRATO!A:A,FECHAMENTO!B8)</f>
        <v>0</v>
      </c>
      <c r="F8" s="6">
        <f>SUMIFS(EXTRATO!I:I,EXTRATO!G:G,FECHAMENTO!$F$7,EXTRATO!B:B,FECHAMENTO!C8,EXTRATO!A:A,FECHAMENTO!B8)</f>
        <v>0</v>
      </c>
      <c r="G8" s="6">
        <f>SUMIFS('PREST. CONTAS'!AB:AB,'PREST. CONTAS'!B:B,FECHAMENTO!C8,'PREST. CONTAS'!A:A,FECHAMENTO!B8,'PREST. CONTAS'!I:I,"&lt;&gt;Aberto",'PREST. CONTAS'!I:I,"&lt;&gt;Reprovado")</f>
        <v>0</v>
      </c>
      <c r="H8" s="6">
        <f t="shared" ref="H8:H22" si="0">D8+E8+F8-G8</f>
        <v>398.47</v>
      </c>
      <c r="I8" s="7">
        <f>H8</f>
        <v>398.47</v>
      </c>
      <c r="K8" s="34" t="s">
        <v>60</v>
      </c>
      <c r="L8" s="35">
        <v>399.45</v>
      </c>
    </row>
    <row r="9" spans="2:12" x14ac:dyDescent="0.25">
      <c r="B9" s="27">
        <v>2025</v>
      </c>
      <c r="C9" s="29" t="s">
        <v>73</v>
      </c>
      <c r="D9" s="24">
        <f>SUMIFS(EXTRATO!I:I,EXTRATO!G:G,FECHAMENTO!$D$7,EXTRATO!B:B,FECHAMENTO!C9,EXTRATO!A:A,FECHAMENTO!B9)</f>
        <v>47.53</v>
      </c>
      <c r="E9" s="24">
        <f>SUMIFS(EXTRATO!I:I,EXTRATO!G:G,FECHAMENTO!$E$7,EXTRATO!B:B,FECHAMENTO!C9,EXTRATO!A:A,FECHAMENTO!B9)</f>
        <v>0</v>
      </c>
      <c r="F9" s="24">
        <f>SUMIFS(EXTRATO!I:I,EXTRATO!G:G,FECHAMENTO!$F$7,EXTRATO!B:B,FECHAMENTO!C9,EXTRATO!A:A,FECHAMENTO!B9)</f>
        <v>0</v>
      </c>
      <c r="G9" s="24">
        <f>SUMIFS('PREST. CONTAS'!AB:AB,'PREST. CONTAS'!B:B,C9,'PREST. CONTAS'!A:A,B9,'PREST. CONTAS'!I:I,"&lt;&gt;Aberto",'PREST. CONTAS'!I:I,"&lt;&gt;Reprovado")</f>
        <v>46</v>
      </c>
      <c r="H9" s="24">
        <f t="shared" si="0"/>
        <v>1.5300000000000011</v>
      </c>
      <c r="I9" s="8">
        <f t="shared" ref="I9:I15" si="1">H9+I8</f>
        <v>400</v>
      </c>
      <c r="K9" s="34" t="s">
        <v>66</v>
      </c>
      <c r="L9" s="35">
        <v>1361.21</v>
      </c>
    </row>
    <row r="10" spans="2:12" x14ac:dyDescent="0.25">
      <c r="B10" s="27">
        <v>2025</v>
      </c>
      <c r="C10" s="29" t="s">
        <v>74</v>
      </c>
      <c r="D10" s="24">
        <f>SUMIFS(EXTRATO!I:I,EXTRATO!G:G,FECHAMENTO!$D$7,EXTRATO!B:B,FECHAMENTO!C10,EXTRATO!A:A,FECHAMENTO!B10)</f>
        <v>0</v>
      </c>
      <c r="E10" s="24">
        <f>SUMIFS(EXTRATO!I:I,EXTRATO!G:G,FECHAMENTO!$E$7,EXTRATO!B:B,FECHAMENTO!C10,EXTRATO!A:A,FECHAMENTO!B10)</f>
        <v>0</v>
      </c>
      <c r="F10" s="24">
        <f>SUMIFS(EXTRATO!I:I,EXTRATO!G:G,FECHAMENTO!$F$7,EXTRATO!B:B,FECHAMENTO!C10,EXTRATO!A:A,FECHAMENTO!B10)</f>
        <v>-7</v>
      </c>
      <c r="G10" s="24">
        <f>SUMIFS('PREST. CONTAS'!AB:AB,'PREST. CONTAS'!B:B,C10,'PREST. CONTAS'!A:A,B10,'PREST. CONTAS'!I:I,"&lt;&gt;Aberto",'PREST. CONTAS'!I:I,"&lt;&gt;Reprovado")</f>
        <v>0</v>
      </c>
      <c r="H10" s="24">
        <f t="shared" si="0"/>
        <v>-7</v>
      </c>
      <c r="I10" s="8">
        <f t="shared" si="1"/>
        <v>393</v>
      </c>
      <c r="K10" s="34" t="s">
        <v>26</v>
      </c>
      <c r="L10" s="35">
        <v>1760.66</v>
      </c>
    </row>
    <row r="11" spans="2:12" x14ac:dyDescent="0.25">
      <c r="B11" s="27">
        <v>2025</v>
      </c>
      <c r="C11" s="29" t="s">
        <v>75</v>
      </c>
      <c r="D11" s="24">
        <f>SUMIFS(EXTRATO!I:I,EXTRATO!G:G,FECHAMENTO!$D$7,EXTRATO!B:B,FECHAMENTO!C11,EXTRATO!A:A,FECHAMENTO!B11)</f>
        <v>14</v>
      </c>
      <c r="E11" s="24">
        <f>SUMIFS(EXTRATO!I:I,EXTRATO!G:G,FECHAMENTO!$E$7,EXTRATO!B:B,FECHAMENTO!C11,EXTRATO!A:A,FECHAMENTO!B11)</f>
        <v>0</v>
      </c>
      <c r="F11" s="24">
        <f>SUMIFS(EXTRATO!I:I,EXTRATO!G:G,FECHAMENTO!$F$7,EXTRATO!B:B,FECHAMENTO!C11,EXTRATO!A:A,FECHAMENTO!B11)</f>
        <v>0</v>
      </c>
      <c r="G11" s="24">
        <f>SUMIFS('PREST. CONTAS'!AB:AB,'PREST. CONTAS'!B:B,C11,'PREST. CONTAS'!A:A,B11,'PREST. CONTAS'!I:I,"&lt;&gt;Aberto",'PREST. CONTAS'!I:I,"&lt;&gt;Reprovado")</f>
        <v>219.55</v>
      </c>
      <c r="H11" s="24">
        <f t="shared" si="0"/>
        <v>-205.55</v>
      </c>
      <c r="I11" s="8">
        <f t="shared" si="1"/>
        <v>187.45</v>
      </c>
      <c r="K11"/>
    </row>
    <row r="12" spans="2:12" x14ac:dyDescent="0.25">
      <c r="B12" s="27">
        <v>2025</v>
      </c>
      <c r="C12" s="29" t="s">
        <v>76</v>
      </c>
      <c r="D12" s="24">
        <f>SUMIFS(EXTRATO!I:I,EXTRATO!G:G,FECHAMENTO!$D$7,EXTRATO!B:B,FECHAMENTO!C12,EXTRATO!A:A,FECHAMENTO!B12)</f>
        <v>0</v>
      </c>
      <c r="E12" s="24">
        <f>SUMIFS(EXTRATO!I:I,EXTRATO!G:G,FECHAMENTO!$E$7,EXTRATO!B:B,FECHAMENTO!C12,EXTRATO!A:A,FECHAMENTO!B12)</f>
        <v>0</v>
      </c>
      <c r="F12" s="24">
        <f>SUMIFS(EXTRATO!I:I,EXTRATO!G:G,FECHAMENTO!$F$7,EXTRATO!B:B,FECHAMENTO!C12,EXTRATO!A:A,FECHAMENTO!B12)</f>
        <v>0</v>
      </c>
      <c r="G12" s="24">
        <f>SUMIFS('PREST. CONTAS'!AB:AB,'PREST. CONTAS'!B:B,C12,'PREST. CONTAS'!A:A,B12,'PREST. CONTAS'!I:I,"&lt;&gt;Aberto",'PREST. CONTAS'!I:I,"&lt;&gt;Reprovado")</f>
        <v>163.79</v>
      </c>
      <c r="H12" s="24">
        <f t="shared" si="0"/>
        <v>-163.79</v>
      </c>
      <c r="I12" s="8">
        <f t="shared" si="1"/>
        <v>23.659999999999997</v>
      </c>
    </row>
    <row r="13" spans="2:12" x14ac:dyDescent="0.25">
      <c r="B13" s="27">
        <v>2025</v>
      </c>
      <c r="C13" s="29" t="s">
        <v>77</v>
      </c>
      <c r="D13" s="24">
        <f>SUMIFS(EXTRATO!I:I,EXTRATO!G:G,FECHAMENTO!$D$7,EXTRATO!B:B,FECHAMENTO!C13,EXTRATO!A:A,FECHAMENTO!B13)</f>
        <v>0</v>
      </c>
      <c r="E13" s="24">
        <f>SUMIFS(EXTRATO!I:I,EXTRATO!G:G,FECHAMENTO!$E$7,EXTRATO!B:B,FECHAMENTO!C13,EXTRATO!A:A,FECHAMENTO!B13)</f>
        <v>0</v>
      </c>
      <c r="F13" s="24">
        <f>SUMIFS(EXTRATO!I:I,EXTRATO!G:G,FECHAMENTO!$F$7,EXTRATO!B:B,FECHAMENTO!C13,EXTRATO!A:A,FECHAMENTO!B13)</f>
        <v>0</v>
      </c>
      <c r="G13" s="24">
        <f>SUMIFS('PREST. CONTAS'!AB:AB,'PREST. CONTAS'!B:B,C13,'PREST. CONTAS'!A:A,B13,'PREST. CONTAS'!I:I,"&lt;&gt;Aberto",'PREST. CONTAS'!I:I,"&lt;&gt;Reprovado")</f>
        <v>0</v>
      </c>
      <c r="H13" s="24">
        <f t="shared" si="0"/>
        <v>0</v>
      </c>
      <c r="I13" s="8">
        <f t="shared" si="1"/>
        <v>23.659999999999997</v>
      </c>
    </row>
    <row r="14" spans="2:12" x14ac:dyDescent="0.25">
      <c r="B14" s="27">
        <v>2025</v>
      </c>
      <c r="C14" s="29" t="s">
        <v>78</v>
      </c>
      <c r="D14" s="24">
        <f>SUMIFS(EXTRATO!I:I,EXTRATO!G:G,FECHAMENTO!$D$7,EXTRATO!B:B,FECHAMENTO!C14,EXTRATO!A:A,FECHAMENTO!B14)</f>
        <v>0</v>
      </c>
      <c r="E14" s="24">
        <f>SUMIFS(EXTRATO!I:I,EXTRATO!G:G,FECHAMENTO!$E$7,EXTRATO!B:B,FECHAMENTO!C14,EXTRATO!A:A,FECHAMENTO!B14)</f>
        <v>0</v>
      </c>
      <c r="F14" s="24">
        <f>SUMIFS(EXTRATO!I:I,EXTRATO!G:G,FECHAMENTO!$F$7,EXTRATO!B:B,FECHAMENTO!C14,EXTRATO!A:A,FECHAMENTO!B14)</f>
        <v>0</v>
      </c>
      <c r="G14" s="24">
        <f>SUMIFS('PREST. CONTAS'!AB:AB,'PREST. CONTAS'!B:B,C14,'PREST. CONTAS'!A:A,B14,'PREST. CONTAS'!I:I,"&lt;&gt;Aberto",'PREST. CONTAS'!I:I,"&lt;&gt;Reprovado")</f>
        <v>0</v>
      </c>
      <c r="H14" s="24">
        <f t="shared" si="0"/>
        <v>0</v>
      </c>
      <c r="I14" s="8">
        <f t="shared" si="1"/>
        <v>23.659999999999997</v>
      </c>
    </row>
    <row r="15" spans="2:12" x14ac:dyDescent="0.25">
      <c r="B15" s="27">
        <v>2025</v>
      </c>
      <c r="C15" s="29" t="s">
        <v>79</v>
      </c>
      <c r="D15" s="24">
        <f>SUMIFS(EXTRATO!I:I,EXTRATO!G:G,FECHAMENTO!$D$7,EXTRATO!B:B,FECHAMENTO!C15,EXTRATO!A:A,FECHAMENTO!B15)</f>
        <v>0</v>
      </c>
      <c r="E15" s="24">
        <f>SUMIFS(EXTRATO!I:I,EXTRATO!G:G,FECHAMENTO!$E$7,EXTRATO!B:B,FECHAMENTO!C15,EXTRATO!A:A,FECHAMENTO!B15)</f>
        <v>0</v>
      </c>
      <c r="F15" s="24">
        <f>SUMIFS(EXTRATO!I:I,EXTRATO!G:G,FECHAMENTO!$F$7,EXTRATO!B:B,FECHAMENTO!C15,EXTRATO!A:A,FECHAMENTO!B15)</f>
        <v>0</v>
      </c>
      <c r="G15" s="24">
        <f>SUMIFS('PREST. CONTAS'!AB:AB,'PREST. CONTAS'!B:B,C15,'PREST. CONTAS'!A:A,B15,'PREST. CONTAS'!I:I,"&lt;&gt;Aberto",'PREST. CONTAS'!I:I,"&lt;&gt;Reprovado")</f>
        <v>838.82</v>
      </c>
      <c r="H15" s="24">
        <f t="shared" si="0"/>
        <v>-838.82</v>
      </c>
      <c r="I15" s="8">
        <f t="shared" si="1"/>
        <v>-815.16000000000008</v>
      </c>
    </row>
    <row r="16" spans="2:12" x14ac:dyDescent="0.25">
      <c r="B16" s="27">
        <v>2026</v>
      </c>
      <c r="C16" s="29" t="s">
        <v>80</v>
      </c>
      <c r="D16" s="24">
        <f>SUMIFS(EXTRATO!I:I,EXTRATO!G:G,FECHAMENTO!$D$7,EXTRATO!B:B,FECHAMENTO!C16,EXTRATO!A:A,FECHAMENTO!B16)</f>
        <v>985.05</v>
      </c>
      <c r="E16" s="24">
        <f>SUMIFS(EXTRATO!I:I,EXTRATO!G:G,FECHAMENTO!$E$7,EXTRATO!B:B,FECHAMENTO!C16,EXTRATO!A:A,FECHAMENTO!B16)</f>
        <v>-311.05</v>
      </c>
      <c r="F16" s="24">
        <f>SUMIFS(EXTRATO!I:I,EXTRATO!G:G,FECHAMENTO!$F$7,EXTRATO!B:B,FECHAMENTO!C16,EXTRATO!A:A,FECHAMENTO!B16)</f>
        <v>-14</v>
      </c>
      <c r="G16" s="24">
        <f>SUMIFS('PREST. CONTAS'!AB:AB,'PREST. CONTAS'!B:B,C16,'PREST. CONTAS'!A:A,B16,'PREST. CONTAS'!I:I,"&lt;&gt;Aberto",'PREST. CONTAS'!I:I,"&lt;&gt;Reprovado")</f>
        <v>93.05</v>
      </c>
      <c r="H16" s="24">
        <f t="shared" si="0"/>
        <v>566.95000000000005</v>
      </c>
      <c r="I16" s="8">
        <f>H16+I15</f>
        <v>-248.21000000000004</v>
      </c>
    </row>
    <row r="17" spans="2:12" x14ac:dyDescent="0.25">
      <c r="B17" s="27">
        <v>2026</v>
      </c>
      <c r="C17" s="29" t="s">
        <v>81</v>
      </c>
      <c r="D17" s="24">
        <f>SUMIFS(EXTRATO!I:I,EXTRATO!G:G,FECHAMENTO!$D$7,EXTRATO!B:B,FECHAMENTO!C17,EXTRATO!A:A,FECHAMENTO!B17)</f>
        <v>377.1</v>
      </c>
      <c r="E17" s="24">
        <f>SUMIFS(EXTRATO!I:I,EXTRATO!G:G,FECHAMENTO!$E$7,EXTRATO!B:B,FECHAMENTO!C17,EXTRATO!A:A,FECHAMENTO!B17)</f>
        <v>0</v>
      </c>
      <c r="F17" s="24">
        <f>SUMIFS(EXTRATO!I:I,EXTRATO!G:G,FECHAMENTO!$F$7,EXTRATO!B:B,FECHAMENTO!C17,EXTRATO!A:A,FECHAMENTO!B17)</f>
        <v>0</v>
      </c>
      <c r="G17" s="24">
        <f>SUMIFS('PREST. CONTAS'!AB:AB,'PREST. CONTAS'!B:B,C17,'PREST. CONTAS'!A:A,B17,'PREST. CONTAS'!I:I,"&lt;&gt;Aberto",'PREST. CONTAS'!I:I,"&lt;&gt;Reprovado")</f>
        <v>0</v>
      </c>
      <c r="H17" s="24">
        <f t="shared" si="0"/>
        <v>377.1</v>
      </c>
      <c r="I17" s="8">
        <f t="shared" ref="I17:I22" si="2">H17+I16</f>
        <v>128.88999999999999</v>
      </c>
    </row>
    <row r="18" spans="2:12" x14ac:dyDescent="0.25">
      <c r="B18" s="27">
        <v>2026</v>
      </c>
      <c r="C18" s="29" t="s">
        <v>82</v>
      </c>
      <c r="D18" s="24">
        <f>SUMIFS(EXTRATO!I:I,EXTRATO!G:G,FECHAMENTO!$D$7,EXTRATO!B:B,FECHAMENTO!C18,EXTRATO!A:A,FECHAMENTO!B18)</f>
        <v>278.11</v>
      </c>
      <c r="E18" s="24">
        <f>SUMIFS(EXTRATO!I:I,EXTRATO!G:G,FECHAMENTO!$E$7,EXTRATO!B:B,FECHAMENTO!C18,EXTRATO!A:A,FECHAMENTO!B18)</f>
        <v>0</v>
      </c>
      <c r="F18" s="24">
        <f>SUMIFS(EXTRATO!I:I,EXTRATO!G:G,FECHAMENTO!$F$7,EXTRATO!B:B,FECHAMENTO!C18,EXTRATO!A:A,FECHAMENTO!B18)</f>
        <v>-14</v>
      </c>
      <c r="G18" s="24">
        <f>SUMIFS('PREST. CONTAS'!AB:AB,'PREST. CONTAS'!B:B,C18,'PREST. CONTAS'!A:A,B18,'PREST. CONTAS'!I:I,"&lt;&gt;Aberto",'PREST. CONTAS'!I:I,"&lt;&gt;Reprovado")</f>
        <v>230.76</v>
      </c>
      <c r="H18" s="24">
        <f t="shared" si="0"/>
        <v>33.350000000000023</v>
      </c>
      <c r="I18" s="8">
        <f t="shared" si="2"/>
        <v>162.24</v>
      </c>
    </row>
    <row r="19" spans="2:12" x14ac:dyDescent="0.25">
      <c r="B19" s="27">
        <v>2026</v>
      </c>
      <c r="C19" s="29" t="s">
        <v>83</v>
      </c>
      <c r="D19" s="24">
        <f>SUMIFS(EXTRATO!I:I,EXTRATO!G:G,FECHAMENTO!$D$7,EXTRATO!B:B,FECHAMENTO!C19,EXTRATO!A:A,FECHAMENTO!B19)</f>
        <v>25.21</v>
      </c>
      <c r="E19" s="24">
        <f>SUMIFS(EXTRATO!I:I,EXTRATO!G:G,FECHAMENTO!$E$7,EXTRATO!B:B,FECHAMENTO!C19,EXTRATO!A:A,FECHAMENTO!B19)</f>
        <v>-11.21</v>
      </c>
      <c r="F19" s="24">
        <f>SUMIFS(EXTRATO!I:I,EXTRATO!G:G,FECHAMENTO!$F$7,EXTRATO!B:B,FECHAMENTO!C19,EXTRATO!A:A,FECHAMENTO!B19)</f>
        <v>0</v>
      </c>
      <c r="G19" s="24">
        <f>SUMIFS('PREST. CONTAS'!AB:AB,'PREST. CONTAS'!B:B,C19,'PREST. CONTAS'!A:A,B19,'PREST. CONTAS'!I:I,"&lt;&gt;Aberto",'PREST. CONTAS'!I:I,"&lt;&gt;Reprovado")</f>
        <v>168.69</v>
      </c>
      <c r="H19" s="24">
        <f t="shared" si="0"/>
        <v>-154.69</v>
      </c>
      <c r="I19" s="8">
        <f t="shared" si="2"/>
        <v>7.5500000000000114</v>
      </c>
    </row>
    <row r="20" spans="2:12" x14ac:dyDescent="0.25">
      <c r="B20" s="27">
        <v>2026</v>
      </c>
      <c r="C20" s="29" t="s">
        <v>72</v>
      </c>
      <c r="D20" s="24">
        <f>SUMIFS(EXTRATO!I:I,EXTRATO!G:G,FECHAMENTO!$D$7,EXTRATO!B:B,FECHAMENTO!C20,EXTRATO!A:A,FECHAMENTO!B20)</f>
        <v>786.9</v>
      </c>
      <c r="E20" s="24">
        <f>SUMIFS(EXTRATO!I:I,EXTRATO!G:G,FECHAMENTO!$E$7,EXTRATO!B:B,FECHAMENTO!C20,EXTRATO!A:A,FECHAMENTO!B20)</f>
        <v>-1.56</v>
      </c>
      <c r="F20" s="24">
        <f>SUMIFS(EXTRATO!I:I,EXTRATO!G:G,FECHAMENTO!$F$7,EXTRATO!B:B,FECHAMENTO!C20,EXTRATO!A:A,FECHAMENTO!B20)</f>
        <v>-11.43</v>
      </c>
      <c r="G20" s="24">
        <f>SUMIFS('PREST. CONTAS'!AB:AB,'PREST. CONTAS'!B:B,C20,'PREST. CONTAS'!A:A,B20,'PREST. CONTAS'!I:I,"&lt;&gt;Aberto",'PREST. CONTAS'!I:I,"&lt;&gt;Reprovado")</f>
        <v>86.34</v>
      </c>
      <c r="H20" s="24">
        <f t="shared" si="0"/>
        <v>687.57</v>
      </c>
      <c r="I20" s="8">
        <f t="shared" si="2"/>
        <v>695.12000000000012</v>
      </c>
    </row>
    <row r="21" spans="2:12" x14ac:dyDescent="0.25">
      <c r="B21" s="27">
        <v>2026</v>
      </c>
      <c r="C21" s="29" t="s">
        <v>73</v>
      </c>
      <c r="D21" s="24">
        <f>SUMIFS(EXTRATO!I:I,EXTRATO!G:G,FECHAMENTO!$D$7,EXTRATO!B:B,FECHAMENTO!C21,EXTRATO!A:A,FECHAMENTO!B21)</f>
        <v>0</v>
      </c>
      <c r="E21" s="24">
        <f>SUMIFS(EXTRATO!I:I,EXTRATO!G:G,FECHAMENTO!$E$7,EXTRATO!B:B,FECHAMENTO!C21,EXTRATO!A:A,FECHAMENTO!B21)</f>
        <v>0</v>
      </c>
      <c r="F21" s="24">
        <f>SUMIFS(EXTRATO!I:I,EXTRATO!G:G,FECHAMENTO!$F$7,EXTRATO!B:B,FECHAMENTO!C21,EXTRATO!A:A,FECHAMENTO!B21)</f>
        <v>0</v>
      </c>
      <c r="G21" s="24">
        <f>SUMIFS('PREST. CONTAS'!AB:AB,'PREST. CONTAS'!B:B,C21,'PREST. CONTAS'!A:A,B21,'PREST. CONTAS'!I:I,"&lt;&gt;Aberto",'PREST. CONTAS'!I:I,"&lt;&gt;Reprovado")</f>
        <v>206.66</v>
      </c>
      <c r="H21" s="24">
        <f t="shared" si="0"/>
        <v>-206.66</v>
      </c>
      <c r="I21" s="8">
        <f t="shared" si="2"/>
        <v>488.46000000000015</v>
      </c>
    </row>
    <row r="22" spans="2:12" x14ac:dyDescent="0.25">
      <c r="B22" s="31">
        <v>2026</v>
      </c>
      <c r="C22" s="30" t="s">
        <v>74</v>
      </c>
      <c r="D22" s="9">
        <f>SUMIFS(EXTRATO!I:I,EXTRATO!G:G,FECHAMENTO!$D$7,EXTRATO!B:B,FECHAMENTO!C22,EXTRATO!A:A,FECHAMENTO!B22)</f>
        <v>0</v>
      </c>
      <c r="E22" s="9">
        <f>SUMIFS(EXTRATO!I:I,EXTRATO!G:G,FECHAMENTO!$E$7,EXTRATO!B:B,FECHAMENTO!C22,EXTRATO!A:A,FECHAMENTO!B22)</f>
        <v>0</v>
      </c>
      <c r="F22" s="9">
        <f>SUMIFS(EXTRATO!I:I,EXTRATO!G:G,FECHAMENTO!$F$7,EXTRATO!B:B,FECHAMENTO!C22,EXTRATO!A:A,FECHAMENTO!B22)</f>
        <v>0</v>
      </c>
      <c r="G22" s="9">
        <f>SUMIFS('PREST. CONTAS'!AB:AB,'PREST. CONTAS'!B:B,C22,'PREST. CONTAS'!A:A,B22,'PREST. CONTAS'!I:I,"&lt;&gt;Aberto",'PREST. CONTAS'!I:I,"&lt;&gt;Reprovado")</f>
        <v>81.83</v>
      </c>
      <c r="H22" s="9">
        <f t="shared" si="0"/>
        <v>-81.83</v>
      </c>
      <c r="I22" s="10">
        <f t="shared" si="2"/>
        <v>406.63000000000017</v>
      </c>
    </row>
    <row r="23" spans="2:12" ht="14.25" customHeight="1" x14ac:dyDescent="0.25">
      <c r="B23" s="11"/>
      <c r="C23" s="11"/>
      <c r="D23" s="12">
        <f>SUM(D8:D22)</f>
        <v>2912.3700000000003</v>
      </c>
      <c r="E23" s="13">
        <f t="shared" ref="E23:H23" si="3">SUM(E8:E22)</f>
        <v>-323.82</v>
      </c>
      <c r="F23" s="13">
        <f t="shared" si="3"/>
        <v>-46.43</v>
      </c>
      <c r="G23" s="13">
        <f>SUM(G8:G22)</f>
        <v>2135.4899999999998</v>
      </c>
      <c r="H23" s="14">
        <f t="shared" si="3"/>
        <v>406.63000000000017</v>
      </c>
    </row>
    <row r="24" spans="2:12" x14ac:dyDescent="0.25">
      <c r="D24" s="15"/>
      <c r="E24" s="16"/>
      <c r="F24" s="16"/>
      <c r="G24" s="79"/>
      <c r="H24" s="79"/>
    </row>
    <row r="25" spans="2:12" x14ac:dyDescent="0.25">
      <c r="B25" s="80" t="s">
        <v>2</v>
      </c>
      <c r="C25" s="81"/>
      <c r="D25" s="81"/>
      <c r="E25" s="81"/>
      <c r="F25" s="81"/>
      <c r="G25" s="81"/>
      <c r="H25" s="41">
        <f>H23</f>
        <v>406.63000000000017</v>
      </c>
      <c r="K25" s="75" t="s">
        <v>3</v>
      </c>
      <c r="L25" s="76"/>
    </row>
    <row r="26" spans="2:12" ht="15" customHeight="1" x14ac:dyDescent="0.25">
      <c r="B26" s="49" t="s">
        <v>4</v>
      </c>
      <c r="C26" s="50"/>
      <c r="D26" s="50"/>
      <c r="E26" s="42"/>
      <c r="F26" s="42"/>
      <c r="G26" s="42"/>
      <c r="H26" s="43">
        <f>D23+E23+F23</f>
        <v>2542.1200000000003</v>
      </c>
      <c r="K26" s="17" t="s">
        <v>5</v>
      </c>
      <c r="L26" s="17" t="s">
        <v>6</v>
      </c>
    </row>
    <row r="27" spans="2:12" ht="15" customHeight="1" x14ac:dyDescent="0.25">
      <c r="B27" s="47" t="s">
        <v>7</v>
      </c>
      <c r="C27" s="48"/>
      <c r="D27" s="48"/>
      <c r="E27" s="44"/>
      <c r="F27" s="44"/>
      <c r="G27" s="44"/>
      <c r="H27" s="37">
        <f>G23</f>
        <v>2135.4899999999998</v>
      </c>
      <c r="K27" s="17" t="s">
        <v>8</v>
      </c>
      <c r="L27" s="17" t="s">
        <v>9</v>
      </c>
    </row>
    <row r="28" spans="2:12" x14ac:dyDescent="0.25">
      <c r="B28" s="51" t="s">
        <v>10</v>
      </c>
      <c r="C28" s="52"/>
      <c r="D28" s="52"/>
      <c r="E28" s="52"/>
      <c r="F28" s="42"/>
      <c r="G28" s="42"/>
      <c r="H28" s="38">
        <f>H26-H27</f>
        <v>406.63000000000056</v>
      </c>
      <c r="K28" s="72" t="s">
        <v>103</v>
      </c>
      <c r="L28" s="72" t="s">
        <v>104</v>
      </c>
    </row>
    <row r="29" spans="2:12" x14ac:dyDescent="0.25">
      <c r="B29" s="46" t="s">
        <v>11</v>
      </c>
      <c r="C29" s="45"/>
      <c r="D29" s="45"/>
      <c r="E29" s="45"/>
      <c r="F29" s="42"/>
      <c r="G29" s="42"/>
      <c r="H29" s="39">
        <v>0</v>
      </c>
      <c r="K29" s="73" t="s">
        <v>105</v>
      </c>
      <c r="L29" s="73" t="s">
        <v>106</v>
      </c>
    </row>
    <row r="30" spans="2:12" x14ac:dyDescent="0.25">
      <c r="B30" s="77" t="s">
        <v>12</v>
      </c>
      <c r="C30" s="78"/>
      <c r="D30" s="78"/>
      <c r="E30" s="78"/>
      <c r="F30" s="78"/>
      <c r="G30" s="78"/>
      <c r="H30" s="40">
        <f>H28-H29</f>
        <v>406.63000000000056</v>
      </c>
      <c r="K30" s="74" t="s">
        <v>107</v>
      </c>
      <c r="L30" s="74" t="s">
        <v>108</v>
      </c>
    </row>
  </sheetData>
  <mergeCells count="6">
    <mergeCell ref="K25:L25"/>
    <mergeCell ref="B30:G30"/>
    <mergeCell ref="G24:H24"/>
    <mergeCell ref="B25:G25"/>
    <mergeCell ref="B4:I4"/>
    <mergeCell ref="B6:I6"/>
  </mergeCells>
  <phoneticPr fontId="19" type="noConversion"/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PREST. CONTAS</vt:lpstr>
      <vt:lpstr>FECHAMENTO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Dantas Miranda</dc:creator>
  <cp:lastModifiedBy>Mateus Dantas Miranda</cp:lastModifiedBy>
  <dcterms:created xsi:type="dcterms:W3CDTF">2026-07-31T12:03:53Z</dcterms:created>
  <dcterms:modified xsi:type="dcterms:W3CDTF">2026-08-14T10:40:19Z</dcterms:modified>
</cp:coreProperties>
</file>