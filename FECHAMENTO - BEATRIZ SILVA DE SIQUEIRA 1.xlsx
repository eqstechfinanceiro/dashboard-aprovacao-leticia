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E92CB9-4575-4AEB-A165-79F6D5D19AE4}" xr6:coauthVersionLast="47" xr6:coauthVersionMax="47" xr10:uidLastSave="{00000000-0000-0000-0000-000000000000}"/>
  <bookViews>
    <workbookView xWindow="-120" yWindow="-120" windowWidth="20730" windowHeight="11040" xr2:uid="{0B3C230B-1BA6-49B2-A111-FF68C55B3892}"/>
  </bookViews>
  <sheets>
    <sheet name="FECHAMENTO" sheetId="1" r:id="rId1"/>
    <sheet name="PREST. CONTAS" sheetId="3" r:id="rId2"/>
    <sheet name="EXTRATO" sheetId="2" r:id="rId3"/>
  </sheets>
  <definedNames>
    <definedName name="_xlnm._FilterDatabase" localSheetId="2" hidden="1">EXTRATO!$A$1:$I$98</definedName>
    <definedName name="_xlnm._FilterDatabase" localSheetId="1" hidden="1">'PREST. CONTAS'!$A$1:$AC$402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E15" i="1"/>
  <c r="G2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E22" i="1" s="1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2" i="3"/>
  <c r="E8" i="1" l="1"/>
  <c r="E16" i="1"/>
  <c r="E9" i="1"/>
  <c r="E17" i="1"/>
  <c r="E10" i="1"/>
  <c r="E23" i="1" s="1"/>
  <c r="E18" i="1"/>
  <c r="E11" i="1"/>
  <c r="E19" i="1"/>
  <c r="E12" i="1"/>
  <c r="E20" i="1"/>
  <c r="E13" i="1"/>
  <c r="E21" i="1"/>
  <c r="H22" i="1"/>
  <c r="E14" i="1"/>
  <c r="D10" i="1"/>
  <c r="D18" i="1"/>
  <c r="H18" i="1" s="1"/>
  <c r="D15" i="1"/>
  <c r="D8" i="1"/>
  <c r="D17" i="1"/>
  <c r="D11" i="1"/>
  <c r="D19" i="1"/>
  <c r="D16" i="1"/>
  <c r="D12" i="1"/>
  <c r="D20" i="1"/>
  <c r="D9" i="1"/>
  <c r="H9" i="1" s="1"/>
  <c r="D13" i="1"/>
  <c r="H13" i="1" s="1"/>
  <c r="D21" i="1"/>
  <c r="D14" i="1"/>
  <c r="G13" i="1"/>
  <c r="G18" i="1"/>
  <c r="G9" i="1"/>
  <c r="G17" i="1"/>
  <c r="G11" i="1"/>
  <c r="G19" i="1"/>
  <c r="G12" i="1"/>
  <c r="G20" i="1"/>
  <c r="G21" i="1"/>
  <c r="H21" i="1" s="1"/>
  <c r="G14" i="1"/>
  <c r="G10" i="1"/>
  <c r="G8" i="1"/>
  <c r="G15" i="1"/>
  <c r="H15" i="1" s="1"/>
  <c r="G16" i="1"/>
  <c r="F23" i="1"/>
  <c r="H17" i="1"/>
  <c r="H10" i="1" l="1"/>
  <c r="H14" i="1"/>
  <c r="D23" i="1"/>
  <c r="H20" i="1"/>
  <c r="H12" i="1"/>
  <c r="H16" i="1"/>
  <c r="H19" i="1"/>
  <c r="H11" i="1"/>
  <c r="G23" i="1"/>
  <c r="H27" i="1" s="1"/>
  <c r="H8" i="1"/>
  <c r="I8" i="1" s="1"/>
  <c r="I9" i="1" s="1"/>
  <c r="I10" i="1" s="1"/>
  <c r="H26" i="1"/>
  <c r="H23" i="1" l="1"/>
  <c r="H25" i="1" s="1"/>
  <c r="I11" i="1"/>
  <c r="I12" i="1" s="1"/>
  <c r="I13" i="1" s="1"/>
  <c r="I14" i="1" s="1"/>
  <c r="I15" i="1" s="1"/>
  <c r="I16" i="1"/>
  <c r="I17" i="1" s="1"/>
  <c r="I18" i="1" s="1"/>
  <c r="I19" i="1" s="1"/>
  <c r="I20" i="1" s="1"/>
  <c r="I21" i="1" s="1"/>
  <c r="I22" i="1" s="1"/>
  <c r="H28" i="1"/>
  <c r="H30" i="1" s="1"/>
</calcChain>
</file>

<file path=xl/sharedStrings.xml><?xml version="1.0" encoding="utf-8"?>
<sst xmlns="http://schemas.openxmlformats.org/spreadsheetml/2006/main" count="5401" uniqueCount="471">
  <si>
    <t>FECHAMENTO DE PRESTAÇÃO DE CONTAS</t>
  </si>
  <si>
    <t>MÊS</t>
  </si>
  <si>
    <t>SALDO FINAL</t>
  </si>
  <si>
    <t>LEGENDA SINAIS</t>
  </si>
  <si>
    <t>(+) SALDO DISPONIVEL</t>
  </si>
  <si>
    <t>NEGATIVO</t>
  </si>
  <si>
    <t>A REEMBOLSAR</t>
  </si>
  <si>
    <t>(-) PRESTAÇÃO DE CONTAS</t>
  </si>
  <si>
    <t>POSITIVO</t>
  </si>
  <si>
    <t>A PRESTAR</t>
  </si>
  <si>
    <t>= FECHAMENTO PRESTE CONTAS</t>
  </si>
  <si>
    <t>= SALDO CARTÃO</t>
  </si>
  <si>
    <t>FECHAMENTO FINAL - SALDO PENDENTE</t>
  </si>
  <si>
    <t>BEATRIZ SILVA DE SIQUEIRA</t>
  </si>
  <si>
    <t>Data</t>
  </si>
  <si>
    <t>Hora</t>
  </si>
  <si>
    <t>Código de Transação</t>
  </si>
  <si>
    <t>Usuário</t>
  </si>
  <si>
    <t>Tipo</t>
  </si>
  <si>
    <t>Descrição</t>
  </si>
  <si>
    <t>Valor</t>
  </si>
  <si>
    <t>Beatriz Silva de Siqueira</t>
  </si>
  <si>
    <t>10:37:53</t>
  </si>
  <si>
    <t>3B2E367253EF8CA8E83B7A5A0A5FA3EA</t>
  </si>
  <si>
    <t>Transferência</t>
  </si>
  <si>
    <t>Transf. EQS &gt; Beatriz S. d. Siqueira: 2 QUINZENA - MAIO/2025</t>
  </si>
  <si>
    <t>17:57:52</t>
  </si>
  <si>
    <t>6CC895AB9D844418520C750FC20F1192</t>
  </si>
  <si>
    <t>Transf. EQS &gt; Beatriz S. d. Siqueira</t>
  </si>
  <si>
    <t>18:05:58</t>
  </si>
  <si>
    <t>3C9F00EDCE014FBD8D62E371A1889A16</t>
  </si>
  <si>
    <t>Saque</t>
  </si>
  <si>
    <t>TECBAN-MOOCA PLAZA SHO</t>
  </si>
  <si>
    <t>18:06:56</t>
  </si>
  <si>
    <t>5446F8D96F787419D3864F73C9DF89CB</t>
  </si>
  <si>
    <t>18:20:25</t>
  </si>
  <si>
    <t>625B05FFFEA456DEA35C7C79E56DE386</t>
  </si>
  <si>
    <t>Taxa</t>
  </si>
  <si>
    <t>Taxa de saque</t>
  </si>
  <si>
    <t>18:20:37</t>
  </si>
  <si>
    <t>71BC5C5D6727F3D25B3F1ED2B57011BB</t>
  </si>
  <si>
    <t>16:57:30</t>
  </si>
  <si>
    <t>0AAB4CEC1E1640E0EC2962B907DE6EC9</t>
  </si>
  <si>
    <t>17:30:34</t>
  </si>
  <si>
    <t>F7EEC84E9CFE8F5856FC9F4367FA9B72</t>
  </si>
  <si>
    <t>18:11:16</t>
  </si>
  <si>
    <t>A7D4C6FB4F0F0F497BA8262E922B302C</t>
  </si>
  <si>
    <t>15:49:54</t>
  </si>
  <si>
    <t>D4A808FA2449A8946B3F309D124CDD05</t>
  </si>
  <si>
    <t>16:56:09</t>
  </si>
  <si>
    <t>464BAD8451A9F8050B92FB44450257E8</t>
  </si>
  <si>
    <t>TECBAN-AP NOVO BRILHOA</t>
  </si>
  <si>
    <t>16:57:14</t>
  </si>
  <si>
    <t>00442BEA4336339D7EFAE2BF1026CEDE</t>
  </si>
  <si>
    <t>17:09:53</t>
  </si>
  <si>
    <t>8FBCD955A516D74EB813F05AD0274A46</t>
  </si>
  <si>
    <t>17:10:20</t>
  </si>
  <si>
    <t>97E9E9BE620FE3AFB49771CC1D1DBBEC</t>
  </si>
  <si>
    <t>15:59:27</t>
  </si>
  <si>
    <t>AAB86613620AB63465EA3CBD7A3A03EC</t>
  </si>
  <si>
    <t>11:53:39</t>
  </si>
  <si>
    <t>18374CA515DC33AE05550F9BF9B389C6</t>
  </si>
  <si>
    <t>TECBAN-SONDA CARRAO II</t>
  </si>
  <si>
    <t>11:54:48</t>
  </si>
  <si>
    <t>2EC89539A2833F8F8C69128B755F1430</t>
  </si>
  <si>
    <t>12:02:09</t>
  </si>
  <si>
    <t>BBBE6C9431921475F44F05F98E670F69</t>
  </si>
  <si>
    <t>12:02:36</t>
  </si>
  <si>
    <t>8B887FAC7780181AA39797F7C42125C2</t>
  </si>
  <si>
    <t>16:30:27</t>
  </si>
  <si>
    <t>88B68D4FC8B377BCCFFB314AF617F449</t>
  </si>
  <si>
    <t>16:21:29</t>
  </si>
  <si>
    <t>E135C626166E2808F99BA49EFC549822</t>
  </si>
  <si>
    <t>TECBAN-CARREFOUR SCS I</t>
  </si>
  <si>
    <t>16:21:57</t>
  </si>
  <si>
    <t>F893E17394162C0198BF1EE7006A0101</t>
  </si>
  <si>
    <t>16:23:30</t>
  </si>
  <si>
    <t>C4365B707920100EE3526ACFE0373A9F</t>
  </si>
  <si>
    <t>16:23:57</t>
  </si>
  <si>
    <t>341DB4A6711C556245A483D2436CDAC9</t>
  </si>
  <si>
    <t>16:57:21</t>
  </si>
  <si>
    <t>ABC85FAB8B75C6014CD864C095F66C29</t>
  </si>
  <si>
    <t>17:57:00</t>
  </si>
  <si>
    <t>3622E47A201D701FF773523BC8C4118F</t>
  </si>
  <si>
    <t>17:57:59</t>
  </si>
  <si>
    <t>A0C51E12EE3405BB01BBE1EBDA1F2D91</t>
  </si>
  <si>
    <t>17:59:59</t>
  </si>
  <si>
    <t>9247D0152B6C54B4F9784B15F34C1FB3</t>
  </si>
  <si>
    <t>18:00:48</t>
  </si>
  <si>
    <t>3176B58A01A077807DBFA8F2E1A95F05</t>
  </si>
  <si>
    <t>16:48:42</t>
  </si>
  <si>
    <t>3A1EBC8703A72CFB1FA11D5794365B17</t>
  </si>
  <si>
    <t>16:08:09</t>
  </si>
  <si>
    <t>CD5030AA07207A534DF76A4C3B90E7A7</t>
  </si>
  <si>
    <t>16:08:48</t>
  </si>
  <si>
    <t>BE1F44456E3C2AC869E097E6FE640B24</t>
  </si>
  <si>
    <t>16:09:15</t>
  </si>
  <si>
    <t>C566695F15982A0B8C92A6E0646C3A29</t>
  </si>
  <si>
    <t>16:09:38</t>
  </si>
  <si>
    <t>41F8332F954BFAD2B11B770F240252CD</t>
  </si>
  <si>
    <t>16:17:48</t>
  </si>
  <si>
    <t>18845A0705372A8260F1DB3EB99326E5</t>
  </si>
  <si>
    <t>10:23:58</t>
  </si>
  <si>
    <t>2E2EF46AB3307536D228B89BB1F3E35C</t>
  </si>
  <si>
    <t>10:24:14</t>
  </si>
  <si>
    <t>B8AFB451895F77737CA14D99FD377945</t>
  </si>
  <si>
    <t>10:25:00</t>
  </si>
  <si>
    <t>F9212A0A2D20DF741633FC19F5B36248</t>
  </si>
  <si>
    <t>10:25:20</t>
  </si>
  <si>
    <t>2E95587BAF321030BC5A22C68FB52D9B</t>
  </si>
  <si>
    <t>16:41:59</t>
  </si>
  <si>
    <t>DB3513CD5A01B05E82F7402806899915</t>
  </si>
  <si>
    <t>10:18:51</t>
  </si>
  <si>
    <t>E8A798FFED4146CF6D187AEB9545921F</t>
  </si>
  <si>
    <t>10:19:27</t>
  </si>
  <si>
    <t>335ECB31A511AEDD497252120BC230A1</t>
  </si>
  <si>
    <t>15:34:05</t>
  </si>
  <si>
    <t>F7BDC83ECCFBA00763D3C935D72A33D8</t>
  </si>
  <si>
    <t>12:34:58</t>
  </si>
  <si>
    <t>3F251AB128AEA77463C37AA66512B27B</t>
  </si>
  <si>
    <t>12:35:20</t>
  </si>
  <si>
    <t>AB1EF229AACCE4527D0FBF52F702E30A</t>
  </si>
  <si>
    <t>12:36:08</t>
  </si>
  <si>
    <t>B580B03A5225BECC3153302CAA0F87F4</t>
  </si>
  <si>
    <t>12:36:21</t>
  </si>
  <si>
    <t>6F6B503A315264EDAEE1AF7974257098</t>
  </si>
  <si>
    <t>17:51:38</t>
  </si>
  <si>
    <t>35B49D51B247E0FAB221D19696961ECE</t>
  </si>
  <si>
    <t>19:15:18</t>
  </si>
  <si>
    <t>FF535C4C1FC4A56413A2EF5C060763E9</t>
  </si>
  <si>
    <t>19:15:49</t>
  </si>
  <si>
    <t>92D76B50DB111FB078D19226C66AF87F</t>
  </si>
  <si>
    <t>19:16:24</t>
  </si>
  <si>
    <t>A77AB3B6F4274156913F11BB4BB276B1</t>
  </si>
  <si>
    <t>19:16:39</t>
  </si>
  <si>
    <t>0CDD07AB98F2631BBDDACBFB4AD8C4F8</t>
  </si>
  <si>
    <t>09:00:06</t>
  </si>
  <si>
    <t>3F52B504D42273B3BA08595DB4787DE2</t>
  </si>
  <si>
    <t>TECBAN-SONDA CARRAO IA</t>
  </si>
  <si>
    <t>09:00:31</t>
  </si>
  <si>
    <t>35F089E9889E0C922876ED4A0ECCED28</t>
  </si>
  <si>
    <t>16:38:20</t>
  </si>
  <si>
    <t>E4D67FB93C56262B37F8E11BDC782B63</t>
  </si>
  <si>
    <t>Transf. Beatriz S. d. Siqueira &gt; EQS</t>
  </si>
  <si>
    <t>16:57:46</t>
  </si>
  <si>
    <t>427F237973DDECAB7B14EE70DD85D7B4</t>
  </si>
  <si>
    <t>Transf. REGIONAL SP &gt; Beatriz S. d. Siqueira</t>
  </si>
  <si>
    <t>15:07:14</t>
  </si>
  <si>
    <t>11E39369F2777F852A6DBC5AB6726E7A</t>
  </si>
  <si>
    <t>11:27:33</t>
  </si>
  <si>
    <t>86307D719C4950F34C47D215697B7D15</t>
  </si>
  <si>
    <t>11:27:51</t>
  </si>
  <si>
    <t>4BCB654F7F749E36CC74C27A1666D2F4</t>
  </si>
  <si>
    <t>11:28:37</t>
  </si>
  <si>
    <t>04C3F8BF17A12C96DF1C1A6F36841F32</t>
  </si>
  <si>
    <t>11:29:02</t>
  </si>
  <si>
    <t>7C0AEF313D4D03A3C5705C3B4C3F8733</t>
  </si>
  <si>
    <t>15:00:51</t>
  </si>
  <si>
    <t>5BAE30D2F091D0EFDDCF443121524C60</t>
  </si>
  <si>
    <t>13:52:15</t>
  </si>
  <si>
    <t>AC57368D3A5F60A920C5EADAA8886F8E</t>
  </si>
  <si>
    <t>13:52:40</t>
  </si>
  <si>
    <t>79A0C347957B5209B895510DA2EACF59</t>
  </si>
  <si>
    <t>13:54:31</t>
  </si>
  <si>
    <t>FEC651CAA52C91DA153AA9FEF9A699F9</t>
  </si>
  <si>
    <t>13:54:45</t>
  </si>
  <si>
    <t>B13E11F70AE11791416F1D7DCCFAC0AD</t>
  </si>
  <si>
    <t>21:22:41</t>
  </si>
  <si>
    <t>A7A6CC9011C8C9E77D5B5B07BFAF50C1</t>
  </si>
  <si>
    <t>TECBAN-CARREFOUR ANALI</t>
  </si>
  <si>
    <t>21:22:57</t>
  </si>
  <si>
    <t>BC22FA968C43E41686394A44FEB5F3CA</t>
  </si>
  <si>
    <t>17:38:15</t>
  </si>
  <si>
    <t>46175261D7AAA15A0410FF47E531BEBA</t>
  </si>
  <si>
    <t>16:26:32</t>
  </si>
  <si>
    <t>6E2338063C1D4FA77E7893AF4D27D7EE</t>
  </si>
  <si>
    <t>17:05:51</t>
  </si>
  <si>
    <t>260832015830AAC3D4FE734E3BF74EC9</t>
  </si>
  <si>
    <t>11:49:03</t>
  </si>
  <si>
    <t>B5B09B3B5EBDE045FD97FB178CCE840F</t>
  </si>
  <si>
    <t>11:49:29</t>
  </si>
  <si>
    <t>5C2A6FF3EEB9C5EB7D35D01254D5D477</t>
  </si>
  <si>
    <t>11:50:24</t>
  </si>
  <si>
    <t>390491C6A59418A95A8DB88B557585B4</t>
  </si>
  <si>
    <t>11:50:47</t>
  </si>
  <si>
    <t>922197FF8AC3A188FE47A90EDD926B4B</t>
  </si>
  <si>
    <t>17:51:16</t>
  </si>
  <si>
    <t>CEA6E516C838C33211979DA7B8BAF21E</t>
  </si>
  <si>
    <t>13:35:01</t>
  </si>
  <si>
    <t>756681802A031A37BFD1B5DA59CFD4D1</t>
  </si>
  <si>
    <t>13:35:37</t>
  </si>
  <si>
    <t>F0EC59E12607648CBD5CF3F0A470CA55</t>
  </si>
  <si>
    <t>17:12:41</t>
  </si>
  <si>
    <t>B9D7419E849B735C6862F3FB6283F0C1</t>
  </si>
  <si>
    <t>17:04:31</t>
  </si>
  <si>
    <t>24D97401D665EE7CD343FD10BF0831F7</t>
  </si>
  <si>
    <t>TECBAN-DIA ANHAIA MELO</t>
  </si>
  <si>
    <t>17:05:00</t>
  </si>
  <si>
    <t>AC710C78D17437B59C1AAC4FDBF67B1F</t>
  </si>
  <si>
    <t>16:07:27</t>
  </si>
  <si>
    <t>7C61BAFE99375A98F138A7FB84B71FE9</t>
  </si>
  <si>
    <t>17:54:39</t>
  </si>
  <si>
    <t>A007FE04EA05BB4F4D01FDC01D946647</t>
  </si>
  <si>
    <t>17:54:56</t>
  </si>
  <si>
    <t>FE1CDCAC64D5A537D49C8CE7444D8797</t>
  </si>
  <si>
    <t>15:57:15</t>
  </si>
  <si>
    <t>3AF034A36B039971BB0EA1FF2F34499A</t>
  </si>
  <si>
    <t>18:12:53</t>
  </si>
  <si>
    <t>FB9C49255AD66B90C88CA20C99CDB1B8</t>
  </si>
  <si>
    <t>TECBAN-MINI EXTRA VL P</t>
  </si>
  <si>
    <t>18:13:20</t>
  </si>
  <si>
    <t>EE873345CEA2D84F4C04ADBA446E6983</t>
  </si>
  <si>
    <t>18:16:19</t>
  </si>
  <si>
    <t>4DCD66328B45E091A4D796F8D9798AF3</t>
  </si>
  <si>
    <t>18:16:48</t>
  </si>
  <si>
    <t>D05AC435232AEB75CCD833D600005FB6</t>
  </si>
  <si>
    <t>18:20:03</t>
  </si>
  <si>
    <t>BED3B27BC85C383B7414CAE26ADEB177</t>
  </si>
  <si>
    <t>18:20:17</t>
  </si>
  <si>
    <t>2E7E85569C058450FFC64509D67A2BB4</t>
  </si>
  <si>
    <t>14:27:45</t>
  </si>
  <si>
    <t>7B197901F5E3CD6688BF9AA0F967BA9B</t>
  </si>
  <si>
    <t>11:25:16</t>
  </si>
  <si>
    <t>4AD278C1A64E6664420272F18405E18F</t>
  </si>
  <si>
    <t>11:25:56</t>
  </si>
  <si>
    <t>9716702EDE4424814571B66B8BEC2A29</t>
  </si>
  <si>
    <t>16:21:05</t>
  </si>
  <si>
    <t>BF6E95D396C983251F08350B9E493B7F</t>
  </si>
  <si>
    <t>15:12:42</t>
  </si>
  <si>
    <t>1CBC9111B38C7AF9FAAF5F4C2C502D8E</t>
  </si>
  <si>
    <t>15:12:58</t>
  </si>
  <si>
    <t>81E0ED60717A7B7827C572A99E532C61</t>
  </si>
  <si>
    <t>Carga</t>
  </si>
  <si>
    <t>Rótulos de Linha</t>
  </si>
  <si>
    <t>Total Geral</t>
  </si>
  <si>
    <t>2025</t>
  </si>
  <si>
    <t>2026</t>
  </si>
  <si>
    <t>Rótulos de Coluna</t>
  </si>
  <si>
    <t>Soma de Valor</t>
  </si>
  <si>
    <t>mai</t>
  </si>
  <si>
    <t>jun</t>
  </si>
  <si>
    <t>jul</t>
  </si>
  <si>
    <t>set</t>
  </si>
  <si>
    <t>out</t>
  </si>
  <si>
    <t>nov</t>
  </si>
  <si>
    <t>dez</t>
  </si>
  <si>
    <t>jan</t>
  </si>
  <si>
    <t>fev</t>
  </si>
  <si>
    <t>mar</t>
  </si>
  <si>
    <t>abr</t>
  </si>
  <si>
    <t>ID da Despesa</t>
  </si>
  <si>
    <t>ID do Relatório</t>
  </si>
  <si>
    <t>Nome do relatório</t>
  </si>
  <si>
    <t>Nome do membro de equipe</t>
  </si>
  <si>
    <t>CPF/CNPJ</t>
  </si>
  <si>
    <t>Status</t>
  </si>
  <si>
    <t>Data de Pagamento</t>
  </si>
  <si>
    <t>Descrição da despesa</t>
  </si>
  <si>
    <t>Tipo de Despesa</t>
  </si>
  <si>
    <t>Reembolsável</t>
  </si>
  <si>
    <t>Anotação da Despesa</t>
  </si>
  <si>
    <t>Anotação de Rateio</t>
  </si>
  <si>
    <t>Centro de Custos</t>
  </si>
  <si>
    <t>Forma de pagamento</t>
  </si>
  <si>
    <t>Projeto</t>
  </si>
  <si>
    <t>Percentual de projeto</t>
  </si>
  <si>
    <t>Início do Percurso por GPS</t>
  </si>
  <si>
    <t>Fim do Percurso por GPS</t>
  </si>
  <si>
    <t>Valor do KM</t>
  </si>
  <si>
    <t>Kilômetros Percorridos</t>
  </si>
  <si>
    <t>Moeda do Relatório</t>
  </si>
  <si>
    <t>Moeda da Conversão</t>
  </si>
  <si>
    <t>Valor Convertido</t>
  </si>
  <si>
    <t>Valor Total</t>
  </si>
  <si>
    <t>Ultrapassou Política</t>
  </si>
  <si>
    <t>Aberto</t>
  </si>
  <si>
    <t>MATERIAL</t>
  </si>
  <si>
    <t>Não</t>
  </si>
  <si>
    <t>Atendimento de chamado caixa economica</t>
  </si>
  <si>
    <t>CEF SP SUL</t>
  </si>
  <si>
    <t>REGIONAL SP</t>
  </si>
  <si>
    <t>BRL</t>
  </si>
  <si>
    <t>ESTACIONAMENTO</t>
  </si>
  <si>
    <t>PEDAGIO</t>
  </si>
  <si>
    <t>CAIXA 07/2026</t>
  </si>
  <si>
    <t>Material</t>
  </si>
  <si>
    <t>Saque VExpenses</t>
  </si>
  <si>
    <t>Nota 7</t>
  </si>
  <si>
    <t>Nota 02</t>
  </si>
  <si>
    <t>Nota 2</t>
  </si>
  <si>
    <t>Nota 4</t>
  </si>
  <si>
    <t>Estacionamento e Pedagio</t>
  </si>
  <si>
    <t>Nota 5</t>
  </si>
  <si>
    <t>A nota fiscal foi anexada ao cartão de crédito de forma equivocada. Esclarecemos que a referida despesa é referente ao caixa, não estando vinculada ao cartão de crédito. Inserida no caixa do mês 07 pelo motivo do caixa 06 estar aprovado e fechado. Não sendo possível inserir DEMANDA EMEEGENCIAL DE FURTO NA AGENCIA</t>
  </si>
  <si>
    <t>Sim</t>
  </si>
  <si>
    <t>Recibo</t>
  </si>
  <si>
    <t>Identificadas notas desvinculadas do caixa no período de 03/2026, desvinculados sem apresentação de justificativa. Caixa de 03/26 já fechado impossibilitado vinculação no mesmo no caixa</t>
  </si>
  <si>
    <t>Identificadas notas desvinculadas do caixa no período de 03/2026, sem apresentação de justificativa. . Caixa de 03/26 já fechado impossibilitado vinculação no mesmo no caixa correto</t>
  </si>
  <si>
    <t>CAIXA 06/2026</t>
  </si>
  <si>
    <t>Aprovado</t>
  </si>
  <si>
    <t>Tarifa de Saque</t>
  </si>
  <si>
    <t>Nota 03</t>
  </si>
  <si>
    <t>Nota 3</t>
  </si>
  <si>
    <t>Nota 1</t>
  </si>
  <si>
    <t>Nota</t>
  </si>
  <si>
    <t>AtendImento de chamado caixa economica</t>
  </si>
  <si>
    <t>Estacionamento</t>
  </si>
  <si>
    <t>CAIXA 05/2025</t>
  </si>
  <si>
    <t>CAIXA 04/2026</t>
  </si>
  <si>
    <t>Atendimento de chamado caixa econômica</t>
  </si>
  <si>
    <t>CAIXA 03/2026</t>
  </si>
  <si>
    <t>Atendimento de chamado Caixa Econômica</t>
  </si>
  <si>
    <t>atendimento de chamado, Caixa Economica Federal.</t>
  </si>
  <si>
    <t>Atendimento de chamado Caixa Economica Federal</t>
  </si>
  <si>
    <t>Atendimento de chamado Caixa Econômica Federal</t>
  </si>
  <si>
    <t>atendimento de chamado, caixa economica</t>
  </si>
  <si>
    <t>CAIXA 02/2026</t>
  </si>
  <si>
    <t>Atendimento de chamados Caixa Economica Federal.</t>
  </si>
  <si>
    <t>Pedagio</t>
  </si>
  <si>
    <t>Material*</t>
  </si>
  <si>
    <t>Atendimento de chamado Caixa Economica Federal.</t>
  </si>
  <si>
    <t>atendimento de chamado Caixa Economica Federal.</t>
  </si>
  <si>
    <t>Caixa - 01/2026</t>
  </si>
  <si>
    <t>Devolução Equipamento</t>
  </si>
  <si>
    <t>LOCAÇÃO DE EQUIPAMENTOS</t>
  </si>
  <si>
    <t>Matéria</t>
  </si>
  <si>
    <t>Estacionamento 14</t>
  </si>
  <si>
    <t>Estacionamento 13</t>
  </si>
  <si>
    <t>Estacionamento 12</t>
  </si>
  <si>
    <t>Contem 2 notas esse arquivo</t>
  </si>
  <si>
    <t>Estacionamento 11</t>
  </si>
  <si>
    <t>Contem 5 notas</t>
  </si>
  <si>
    <t>Estacionamento 10</t>
  </si>
  <si>
    <t>Contem 2 notas nessa arquivo</t>
  </si>
  <si>
    <t>Estacionamento 9</t>
  </si>
  <si>
    <t>Material 9</t>
  </si>
  <si>
    <t>Estacionamento 3</t>
  </si>
  <si>
    <t>Pedagio 1</t>
  </si>
  <si>
    <t>Material 8</t>
  </si>
  <si>
    <t>Estacionamento 6</t>
  </si>
  <si>
    <t>Material 12</t>
  </si>
  <si>
    <t>Material 6</t>
  </si>
  <si>
    <t>Material 14</t>
  </si>
  <si>
    <t>Material 13</t>
  </si>
  <si>
    <t>Material 7</t>
  </si>
  <si>
    <t>Estacionamento 1</t>
  </si>
  <si>
    <t>Estacionamento 2</t>
  </si>
  <si>
    <t>Estacionamento 4</t>
  </si>
  <si>
    <t>Material 01</t>
  </si>
  <si>
    <t>Material 4</t>
  </si>
  <si>
    <t>Material 3</t>
  </si>
  <si>
    <t>Material 2</t>
  </si>
  <si>
    <t>Material 15</t>
  </si>
  <si>
    <t>Material 11</t>
  </si>
  <si>
    <t>Material 5</t>
  </si>
  <si>
    <t>Estacionamento 5</t>
  </si>
  <si>
    <t>Estacionamento 7</t>
  </si>
  <si>
    <t>No arquivo contem 4 notas.</t>
  </si>
  <si>
    <t>Material 10</t>
  </si>
  <si>
    <t>Atendimento de chamado Caixa Econômica Federal Nota tinha ido por engano no cartão de crédito, por isso a demora na inclusão do caixa</t>
  </si>
  <si>
    <t>Estacionamento 8</t>
  </si>
  <si>
    <t>Estacionamento.</t>
  </si>
  <si>
    <t>Caixa - 12/2025</t>
  </si>
  <si>
    <t>Pedagio 11</t>
  </si>
  <si>
    <t>Pedagio 10</t>
  </si>
  <si>
    <t>Nota 16</t>
  </si>
  <si>
    <t>Nota 29</t>
  </si>
  <si>
    <t>Nota 19</t>
  </si>
  <si>
    <t>Nota 18</t>
  </si>
  <si>
    <t>Nota 17</t>
  </si>
  <si>
    <t>Pedagio 2</t>
  </si>
  <si>
    <t>Nota 20</t>
  </si>
  <si>
    <t>Nota 31</t>
  </si>
  <si>
    <t>Nota 28</t>
  </si>
  <si>
    <t>Nota 25</t>
  </si>
  <si>
    <t>Nota 24</t>
  </si>
  <si>
    <t>Nota 27</t>
  </si>
  <si>
    <t>Nota 23</t>
  </si>
  <si>
    <t>Nota 30</t>
  </si>
  <si>
    <t>Nota 9</t>
  </si>
  <si>
    <t>Nota 22</t>
  </si>
  <si>
    <t>Bora 22</t>
  </si>
  <si>
    <t>Nota 21</t>
  </si>
  <si>
    <t>Nota 8</t>
  </si>
  <si>
    <t>Nota 10</t>
  </si>
  <si>
    <t>Nota 6</t>
  </si>
  <si>
    <t>Nota 12</t>
  </si>
  <si>
    <t>Nota 11</t>
  </si>
  <si>
    <t>Nota 09</t>
  </si>
  <si>
    <t>Nota 08</t>
  </si>
  <si>
    <t>Caixa - 11/2025</t>
  </si>
  <si>
    <t>Nota 42</t>
  </si>
  <si>
    <t>Nota 41</t>
  </si>
  <si>
    <t>Nota 40</t>
  </si>
  <si>
    <t>Nota 39</t>
  </si>
  <si>
    <t>Nota 38</t>
  </si>
  <si>
    <t>Nota 34</t>
  </si>
  <si>
    <t>Nota 33</t>
  </si>
  <si>
    <t>Nota 14</t>
  </si>
  <si>
    <t>Nota 01</t>
  </si>
  <si>
    <t>Nota09</t>
  </si>
  <si>
    <t>Nota 05</t>
  </si>
  <si>
    <t>Nota 06</t>
  </si>
  <si>
    <t>Nota 15</t>
  </si>
  <si>
    <t>Nota 26</t>
  </si>
  <si>
    <t>Nota 13</t>
  </si>
  <si>
    <t>Nota 04</t>
  </si>
  <si>
    <t>Nota 07</t>
  </si>
  <si>
    <t>Nota 32</t>
  </si>
  <si>
    <t>Nota 35</t>
  </si>
  <si>
    <t>Caixa - 10/2025</t>
  </si>
  <si>
    <t>Nota 37</t>
  </si>
  <si>
    <t>Nota 36</t>
  </si>
  <si>
    <t>Caixa - 09/2025</t>
  </si>
  <si>
    <t>Nota 61</t>
  </si>
  <si>
    <t>Nota 60</t>
  </si>
  <si>
    <t>Nota 55</t>
  </si>
  <si>
    <t>Nota 52</t>
  </si>
  <si>
    <t>Nota 51</t>
  </si>
  <si>
    <t>Nota 50</t>
  </si>
  <si>
    <t>Nota 44</t>
  </si>
  <si>
    <t>Nota 59</t>
  </si>
  <si>
    <t>Nota 47</t>
  </si>
  <si>
    <t>Nota 46</t>
  </si>
  <si>
    <t>Nota 54</t>
  </si>
  <si>
    <t>Nota 53</t>
  </si>
  <si>
    <t>Nota 49</t>
  </si>
  <si>
    <t>Nota 58</t>
  </si>
  <si>
    <t>Nota 57</t>
  </si>
  <si>
    <t>Nota 56</t>
  </si>
  <si>
    <t>Nota 03.</t>
  </si>
  <si>
    <t>Nota 43</t>
  </si>
  <si>
    <t>Caixa - 08/2025</t>
  </si>
  <si>
    <t>Nota 25 relatório de 09/2025 fechado não possível inclusão no mesmo</t>
  </si>
  <si>
    <t>Nota 24 relatório de 09/2025 fechado não possível inclusão no mesmo</t>
  </si>
  <si>
    <t>Nota 23 relatório de 09/2025 fechado não possível inclusão no mesmo</t>
  </si>
  <si>
    <t>Nota12</t>
  </si>
  <si>
    <t>Notas 18</t>
  </si>
  <si>
    <t>Caixa - 07/2025</t>
  </si>
  <si>
    <t>Nota23</t>
  </si>
  <si>
    <t>Caixa 06/2025</t>
  </si>
  <si>
    <t>Estacionamento 03</t>
  </si>
  <si>
    <t>Notas</t>
  </si>
  <si>
    <t>Estacionamento2</t>
  </si>
  <si>
    <t>Estacionamentos</t>
  </si>
  <si>
    <t>Nota5</t>
  </si>
  <si>
    <t>Nota2</t>
  </si>
  <si>
    <t>Nota7</t>
  </si>
  <si>
    <t>Nota8</t>
  </si>
  <si>
    <t>01</t>
  </si>
  <si>
    <t>Nota10</t>
  </si>
  <si>
    <t>Mês</t>
  </si>
  <si>
    <t>ANO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</si>
  <si>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</si>
  <si>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</si>
  <si>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</si>
  <si>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</si>
  <si>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</si>
  <si>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</si>
  <si>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</si>
  <si>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</si>
  <si>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</si>
  <si>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</si>
  <si>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</si>
  <si>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</si>
  <si>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Ano</t>
  </si>
  <si>
    <t>STATUS</t>
  </si>
  <si>
    <t xml:space="preserve">VALOR </t>
  </si>
  <si>
    <t>Prest. Contas</t>
  </si>
  <si>
    <t>Saldo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</si>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</sst>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 &quot;#,##0.00_-"/>
    <numFmt numFmtId="165" formatCode="#,##0.000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206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4" fontId="18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2" borderId="0" xfId="0" applyFont="1" applyFill="1"/>
    <xf numFmtId="0" fontId="7" fillId="3" borderId="1" xfId="1" applyFont="1" applyFill="1" applyBorder="1" applyAlignment="1">
      <alignment horizontal="center" vertical="center"/>
    </xf>
    <xf numFmtId="44" fontId="7" fillId="3" borderId="2" xfId="1" applyNumberFormat="1" applyFont="1" applyFill="1" applyBorder="1" applyAlignment="1">
      <alignment horizontal="center" vertical="center"/>
    </xf>
    <xf numFmtId="44" fontId="7" fillId="3" borderId="3" xfId="1" applyNumberFormat="1" applyFont="1" applyFill="1" applyBorder="1" applyAlignment="1">
      <alignment horizontal="center" vertical="center"/>
    </xf>
    <xf numFmtId="44" fontId="8" fillId="0" borderId="2" xfId="0" applyNumberFormat="1" applyFont="1" applyBorder="1" applyAlignment="1">
      <alignment vertical="center" wrapText="1"/>
    </xf>
    <xf numFmtId="44" fontId="9" fillId="4" borderId="3" xfId="0" applyNumberFormat="1" applyFont="1" applyFill="1" applyBorder="1" applyAlignment="1">
      <alignment vertical="center" wrapText="1"/>
    </xf>
    <xf numFmtId="44" fontId="9" fillId="4" borderId="5" xfId="0" applyNumberFormat="1" applyFont="1" applyFill="1" applyBorder="1" applyAlignment="1">
      <alignment vertical="center" wrapText="1"/>
    </xf>
    <xf numFmtId="44" fontId="8" fillId="0" borderId="7" xfId="0" applyNumberFormat="1" applyFont="1" applyBorder="1" applyAlignment="1">
      <alignment vertical="center" wrapText="1"/>
    </xf>
    <xf numFmtId="44" fontId="9" fillId="4" borderId="8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4" fontId="11" fillId="2" borderId="6" xfId="0" applyNumberFormat="1" applyFont="1" applyFill="1" applyBorder="1" applyAlignment="1">
      <alignment vertical="center" wrapText="1"/>
    </xf>
    <xf numFmtId="44" fontId="11" fillId="2" borderId="7" xfId="0" applyNumberFormat="1" applyFont="1" applyFill="1" applyBorder="1" applyAlignment="1">
      <alignment vertical="center" wrapText="1"/>
    </xf>
    <xf numFmtId="44" fontId="11" fillId="2" borderId="9" xfId="0" applyNumberFormat="1" applyFont="1" applyFill="1" applyBorder="1" applyAlignment="1">
      <alignment vertical="center" wrapText="1"/>
    </xf>
    <xf numFmtId="49" fontId="8" fillId="2" borderId="0" xfId="0" applyNumberFormat="1" applyFont="1" applyFill="1" applyAlignment="1">
      <alignment horizontal="center" vertical="center" wrapText="1"/>
    </xf>
    <xf numFmtId="44" fontId="11" fillId="2" borderId="0" xfId="0" applyNumberFormat="1" applyFont="1" applyFill="1" applyAlignment="1">
      <alignment vertical="center" wrapText="1"/>
    </xf>
    <xf numFmtId="0" fontId="13" fillId="6" borderId="14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14" fontId="17" fillId="5" borderId="0" xfId="0" applyNumberFormat="1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164" fontId="17" fillId="5" borderId="0" xfId="0" applyNumberFormat="1" applyFont="1" applyFill="1" applyAlignment="1">
      <alignment horizontal="center"/>
    </xf>
    <xf numFmtId="44" fontId="17" fillId="5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44" fontId="8" fillId="0" borderId="0" xfId="0" applyNumberFormat="1" applyFont="1" applyAlignment="1">
      <alignment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1" fillId="0" borderId="0" xfId="2" applyFont="1" applyAlignment="1">
      <alignment horizontal="center"/>
    </xf>
    <xf numFmtId="44" fontId="1" fillId="0" borderId="0" xfId="2" applyFont="1"/>
    <xf numFmtId="44" fontId="14" fillId="2" borderId="9" xfId="2" applyFont="1" applyFill="1" applyBorder="1" applyAlignment="1">
      <alignment horizontal="center"/>
    </xf>
    <xf numFmtId="44" fontId="15" fillId="2" borderId="13" xfId="2" applyFont="1" applyFill="1" applyBorder="1" applyAlignment="1">
      <alignment horizontal="center"/>
    </xf>
    <xf numFmtId="44" fontId="16" fillId="2" borderId="13" xfId="2" applyFont="1" applyFill="1" applyBorder="1" applyAlignment="1">
      <alignment horizontal="center"/>
    </xf>
    <xf numFmtId="44" fontId="2" fillId="6" borderId="9" xfId="2" applyFont="1" applyFill="1" applyBorder="1" applyAlignment="1">
      <alignment horizontal="center" vertical="center"/>
    </xf>
    <xf numFmtId="44" fontId="21" fillId="3" borderId="10" xfId="1" applyNumberFormat="1" applyFont="1" applyFill="1" applyBorder="1" applyAlignment="1">
      <alignment horizontal="center" vertical="center"/>
    </xf>
    <xf numFmtId="0" fontId="18" fillId="2" borderId="0" xfId="0" applyFont="1" applyFill="1"/>
    <xf numFmtId="44" fontId="23" fillId="2" borderId="13" xfId="2" applyFont="1" applyFill="1" applyBorder="1" applyAlignment="1">
      <alignment horizontal="center" vertical="center" wrapText="1"/>
    </xf>
    <xf numFmtId="0" fontId="18" fillId="2" borderId="7" xfId="0" applyFont="1" applyFill="1" applyBorder="1"/>
    <xf numFmtId="49" fontId="22" fillId="2" borderId="0" xfId="0" applyNumberFormat="1" applyFont="1" applyFill="1" applyAlignment="1">
      <alignment horizontal="left" vertical="center" wrapText="1"/>
    </xf>
    <xf numFmtId="49" fontId="22" fillId="2" borderId="4" xfId="0" applyNumberFormat="1" applyFont="1" applyFill="1" applyBorder="1" applyAlignment="1">
      <alignment horizontal="left" vertical="center"/>
    </xf>
    <xf numFmtId="0" fontId="22" fillId="2" borderId="6" xfId="0" applyFont="1" applyFill="1" applyBorder="1" applyAlignment="1">
      <alignment vertical="center"/>
    </xf>
    <xf numFmtId="0" fontId="22" fillId="2" borderId="7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49" fontId="22" fillId="2" borderId="4" xfId="0" applyNumberFormat="1" applyFont="1" applyFill="1" applyBorder="1" applyAlignment="1">
      <alignment vertical="center"/>
    </xf>
    <xf numFmtId="49" fontId="22" fillId="2" borderId="0" xfId="0" applyNumberFormat="1" applyFont="1" applyFill="1" applyAlignment="1">
      <alignment vertical="center"/>
    </xf>
    <xf numFmtId="0" fontId="19" fillId="0" borderId="0" xfId="0" pivotButton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6" borderId="14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21" fillId="3" borderId="1" xfId="1" applyFont="1" applyFill="1" applyBorder="1" applyAlignment="1">
      <alignment horizontal="center" vertical="center"/>
    </xf>
    <xf numFmtId="0" fontId="21" fillId="3" borderId="2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F57A9AE8-51CA-48B2-AE11-1FA2AA08279E}"/>
  </cellStyles>
  <dxfs count="15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42722</xdr:colOff>
      <xdr:row>0</xdr:row>
      <xdr:rowOff>98792</xdr:rowOff>
    </xdr:from>
    <xdr:to>
      <xdr:col>3</xdr:col>
      <xdr:colOff>342900</xdr:colOff>
      <xdr:row>2</xdr:row>
      <xdr:rowOff>92337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58F2B5-5B0E-4415-BD32-2F07A2AD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647" y="98792"/>
          <a:ext cx="1490803" cy="37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381002</xdr:colOff>
      <xdr:row>0</xdr:row>
      <xdr:rowOff>74084</xdr:rowOff>
    </xdr:from>
    <xdr:to>
      <xdr:col>5</xdr:col>
      <xdr:colOff>31752</xdr:colOff>
      <xdr:row>2</xdr:row>
      <xdr:rowOff>142664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F0DAC8-F7F8-D4E9-11E1-99CC5A5F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2" t="23152" r="5742" b="22212"/>
        <a:stretch>
          <a:fillRect/>
        </a:stretch>
      </xdr:blipFill>
      <xdr:spPr>
        <a:xfrm>
          <a:off x="1725085" y="74084"/>
          <a:ext cx="1333500" cy="4495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Dantas" refreshedDate="46234.378964930555" createdVersion="8" refreshedVersion="8" minRefreshableVersion="3" recordCount="97" xr:uid="{726A8120-8FE2-484C-8DB9-FE2333272869}">
  <cacheSource type="worksheet">
    <worksheetSource ref="C1:I98" sheet="EXTRATO"/>
  </cacheSource>
  <cacheFields count="10">
    <cacheField name="Data" numFmtId="14">
      <sharedItems containsSemiMixedTypes="0" containsNonDate="0" containsDate="1" containsString="0" minDate="2025-05-28T10:37:53" maxDate="2026-07-15T15:12:58" count="97">
        <d v="2025-05-28T10:37:53"/>
        <d v="2025-06-11T17:57:52"/>
        <d v="2025-06-16T18:05:58"/>
        <d v="2025-06-16T18:06:56"/>
        <d v="2025-06-16T18:20:25"/>
        <d v="2025-06-16T18:20:37"/>
        <d v="2025-06-25T16:57:30"/>
        <d v="2025-06-26T17:30:34"/>
        <d v="2025-06-26T18:11:16"/>
        <d v="2025-07-11T15:49:54"/>
        <d v="2025-07-11T16:56:09"/>
        <d v="2025-07-11T16:57:14"/>
        <d v="2025-07-11T17:09:53"/>
        <d v="2025-07-11T17:10:20"/>
        <d v="2025-07-25T15:59:27"/>
        <d v="2025-07-31T11:53:39"/>
        <d v="2025-07-31T11:54:48"/>
        <d v="2025-07-31T12:02:09"/>
        <d v="2025-07-31T12:02:36"/>
        <d v="2025-09-11T16:30:27"/>
        <d v="2025-09-13T16:21:29"/>
        <d v="2025-09-13T16:21:57"/>
        <d v="2025-09-13T16:23:30"/>
        <d v="2025-09-13T16:23:57"/>
        <d v="2025-09-25T16:57:21"/>
        <d v="2025-09-25T17:57:00"/>
        <d v="2025-09-25T17:57:59"/>
        <d v="2025-09-25T17:59:59"/>
        <d v="2025-09-25T18:00:48"/>
        <d v="2025-10-13T16:48:42"/>
        <d v="2025-10-14T16:08:09"/>
        <d v="2025-10-14T16:08:48"/>
        <d v="2025-10-14T16:09:15"/>
        <d v="2025-10-14T16:09:38"/>
        <d v="2025-10-27T16:17:48"/>
        <d v="2025-10-29T10:23:58"/>
        <d v="2025-10-29T10:24:14"/>
        <d v="2025-10-29T10:25:00"/>
        <d v="2025-10-29T10:25:20"/>
        <d v="2025-11-25T16:41:59"/>
        <d v="2025-11-26T10:18:51"/>
        <d v="2025-11-26T10:19:27"/>
        <d v="2025-12-11T15:34:05"/>
        <d v="2025-12-12T12:34:58"/>
        <d v="2025-12-12T12:35:20"/>
        <d v="2025-12-12T12:36:08"/>
        <d v="2025-12-12T12:36:21"/>
        <d v="2026-01-12T17:51:38"/>
        <d v="2026-01-12T19:15:18"/>
        <d v="2026-01-12T19:15:49"/>
        <d v="2026-01-12T19:16:24"/>
        <d v="2026-01-12T19:16:39"/>
        <d v="2026-01-14T09:00:06"/>
        <d v="2026-01-14T09:00:31"/>
        <d v="2026-01-14T16:38:20"/>
        <d v="2026-01-14T16:57:46"/>
        <d v="2026-01-26T15:07:14"/>
        <d v="2026-01-28T11:27:33"/>
        <d v="2026-01-28T11:27:51"/>
        <d v="2026-01-28T11:28:37"/>
        <d v="2026-01-28T11:29:02"/>
        <d v="2026-02-25T15:00:51"/>
        <d v="2026-02-26T13:52:15"/>
        <d v="2026-02-26T13:52:40"/>
        <d v="2026-02-26T13:54:31"/>
        <d v="2026-02-26T13:54:45"/>
        <d v="2026-02-26T21:22:41"/>
        <d v="2026-02-26T21:22:57"/>
        <d v="2026-03-11T17:38:15"/>
        <d v="2026-03-16T16:26:32"/>
        <d v="2026-03-25T17:05:51"/>
        <d v="2026-03-27T11:49:03"/>
        <d v="2026-03-27T11:49:29"/>
        <d v="2026-03-27T11:50:24"/>
        <d v="2026-03-27T11:50:47"/>
        <d v="2026-04-13T17:51:16"/>
        <d v="2026-04-15T13:35:01"/>
        <d v="2026-04-15T13:35:37"/>
        <d v="2026-04-27T17:12:41"/>
        <d v="2026-04-28T17:04:31"/>
        <d v="2026-04-28T17:05:00"/>
        <d v="2026-05-11T16:07:27"/>
        <d v="2026-05-14T17:54:39"/>
        <d v="2026-05-14T17:54:56"/>
        <d v="2026-05-25T15:57:15"/>
        <d v="2026-05-27T18:12:53"/>
        <d v="2026-05-27T18:13:20"/>
        <d v="2026-05-27T18:16:19"/>
        <d v="2026-05-27T18:16:48"/>
        <d v="2026-05-27T18:20:03"/>
        <d v="2026-05-27T18:20:17"/>
        <d v="2026-06-11T14:27:45"/>
        <d v="2026-06-30T11:25:16"/>
        <d v="2026-06-30T11:25:56"/>
        <d v="2026-07-13T16:21:05"/>
        <d v="2026-07-15T15:12:42"/>
        <d v="2026-07-15T15:12:58"/>
      </sharedItems>
      <fieldGroup par="9"/>
    </cacheField>
    <cacheField name="Hora" numFmtId="0">
      <sharedItems/>
    </cacheField>
    <cacheField name="Código de Transação" numFmtId="0">
      <sharedItems/>
    </cacheField>
    <cacheField name="Usuário" numFmtId="0">
      <sharedItems/>
    </cacheField>
    <cacheField name="Tipo" numFmtId="0">
      <sharedItems count="4">
        <s v="Carga"/>
        <s v="Saque"/>
        <s v="Taxa"/>
        <s v="Transferência"/>
      </sharedItems>
    </cacheField>
    <cacheField name="Descrição" numFmtId="164">
      <sharedItems/>
    </cacheField>
    <cacheField name="Valor" numFmtId="44">
      <sharedItems containsSemiMixedTypes="0" containsString="0" containsNumber="1" minValue="-1000" maxValue="2193.5700000000002"/>
    </cacheField>
    <cacheField name="Meses (Data)" numFmtId="0" databaseField="0">
      <fieldGroup base="0">
        <rangePr groupBy="months" startDate="2025-05-28T10:37:53" endDate="2026-07-15T15:12:58"/>
        <groupItems count="14">
          <s v="&lt;28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07/2026"/>
        </groupItems>
      </fieldGroup>
    </cacheField>
    <cacheField name="Trimestres (Data)" numFmtId="0" databaseField="0">
      <fieldGroup base="0">
        <rangePr groupBy="quarters" startDate="2025-05-28T10:37:53" endDate="2026-07-15T15:12:58"/>
        <groupItems count="6">
          <s v="&lt;28/05/2025"/>
          <s v="Trim1"/>
          <s v="Trim2"/>
          <s v="Trim3"/>
          <s v="Trim4"/>
          <s v="&gt;15/07/2026"/>
        </groupItems>
      </fieldGroup>
    </cacheField>
    <cacheField name="Anos (Data)" numFmtId="0" databaseField="0">
      <fieldGroup base="0">
        <rangePr groupBy="years" startDate="2025-05-28T10:37:53" endDate="2026-07-15T15:12:58"/>
        <groupItems count="4">
          <s v="&lt;28/05/2025"/>
          <s v="2025"/>
          <s v="2026"/>
          <s v="&gt;15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4.599429861111" createdVersion="8" refreshedVersion="8" minRefreshableVersion="3" recordCount="401" xr:uid="{856BECEF-C4D8-4C7F-B125-B16E25D68849}">
  <cacheSource type="worksheet">
    <worksheetSource ref="A1:AC402" sheet="PREST. CONTAS"/>
  </cacheSource>
  <cacheFields count="29">
    <cacheField name="Ano" numFmtId="0">
      <sharedItems containsSemiMixedTypes="0" containsString="0" containsNumber="1" containsInteger="1" minValue="2025" maxValue="2026"/>
    </cacheField>
    <cacheField name="Mês" numFmtId="17">
      <sharedItems/>
    </cacheField>
    <cacheField name="ID da Despesa" numFmtId="0">
      <sharedItems containsSemiMixedTypes="0" containsString="0" containsNumber="1" containsInteger="1" minValue="63042685" maxValue="87557309"/>
    </cacheField>
    <cacheField name="ID do Relatório" numFmtId="0">
      <sharedItems containsSemiMixedTypes="0" containsString="0" containsNumber="1" containsInteger="1" minValue="7769036" maxValue="10906730"/>
    </cacheField>
    <cacheField name="Nome do relatório" numFmtId="0">
      <sharedItems/>
    </cacheField>
    <cacheField name="Data" numFmtId="14">
      <sharedItems containsSemiMixedTypes="0" containsNonDate="0" containsDate="1" containsString="0" minDate="2025-05-14T00:00:00" maxDate="2026-07-25T00:00:00"/>
    </cacheField>
    <cacheField name="Nome do membro de equipe" numFmtId="0">
      <sharedItems/>
    </cacheField>
    <cacheField name="CPF/CNPJ" numFmtId="0">
      <sharedItems containsSemiMixedTypes="0" containsString="0" containsNumber="1" containsInteger="1" minValue="35575473880" maxValue="35575473880"/>
    </cacheField>
    <cacheField name="Status" numFmtId="0">
      <sharedItems count="2">
        <s v="Aberto"/>
        <s v="Aprovado"/>
      </sharedItems>
    </cacheField>
    <cacheField name="Data de Pagamento" numFmtId="14">
      <sharedItems containsNonDate="0" containsString="0" containsBlank="1"/>
    </cacheField>
    <cacheField name="Descrição da despesa" numFmtId="0">
      <sharedItems/>
    </cacheField>
    <cacheField name="Tipo de Despesa" numFmtId="0">
      <sharedItems/>
    </cacheField>
    <cacheField name="Reembolsável" numFmtId="0">
      <sharedItems/>
    </cacheField>
    <cacheField name="Anotação da Despesa" numFmtId="165">
      <sharedItems longText="1"/>
    </cacheField>
    <cacheField name="Anotação de Rateio" numFmtId="0">
      <sharedItems containsNonDate="0" containsString="0" containsBlank="1"/>
    </cacheField>
    <cacheField name="Centro de Custos" numFmtId="0">
      <sharedItems/>
    </cacheField>
    <cacheField name="Forma de pagamento" numFmtId="0">
      <sharedItems/>
    </cacheField>
    <cacheField name="Projeto" numFmtId="0">
      <sharedItems/>
    </cacheField>
    <cacheField name="Percentual de projeto" numFmtId="0">
      <sharedItems containsSemiMixedTypes="0" containsString="0" containsNumber="1" containsInteger="1" minValue="1" maxValue="1"/>
    </cacheField>
    <cacheField name="Início do Percurso por GPS" numFmtId="10">
      <sharedItems containsNonDate="0" containsString="0" containsBlank="1"/>
    </cacheField>
    <cacheField name="Fim do Percurso por GPS" numFmtId="0">
      <sharedItems containsNonDate="0" containsString="0" containsBlank="1"/>
    </cacheField>
    <cacheField name="Valor do KM" numFmtId="4">
      <sharedItems containsNonDate="0" containsString="0" containsBlank="1"/>
    </cacheField>
    <cacheField name="Kilômetros Percorridos" numFmtId="0">
      <sharedItems containsString="0" containsBlank="1" containsNumber="1" containsInteger="1" minValue="0" maxValue="0"/>
    </cacheField>
    <cacheField name="Moeda do Relatório" numFmtId="4">
      <sharedItems/>
    </cacheField>
    <cacheField name="Valor" numFmtId="4">
      <sharedItems containsSemiMixedTypes="0" containsString="0" containsNumber="1" minValue="1.7" maxValue="690"/>
    </cacheField>
    <cacheField name="Moeda da Conversão" numFmtId="0">
      <sharedItems containsNonDate="0" containsString="0" containsBlank="1"/>
    </cacheField>
    <cacheField name="Valor Convertido" numFmtId="0">
      <sharedItems containsNonDate="0" containsString="0" containsBlank="1"/>
    </cacheField>
    <cacheField name="Valor Total" numFmtId="0">
      <sharedItems containsSemiMixedTypes="0" containsString="0" containsNumber="1" minValue="1.7" maxValue="690"/>
    </cacheField>
    <cacheField name="Ultrapassou Polít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10:37:53"/>
    <s v="3B2E367253EF8CA8E83B7A5A0A5FA3EA"/>
    <s v="Beatriz Silva de Siqueira"/>
    <x v="0"/>
    <s v="Transf. EQS &gt; Beatriz S. d. Siqueira: 2 QUINZENA - MAIO/2025"/>
    <n v="1183.02"/>
  </r>
  <r>
    <x v="1"/>
    <s v="17:57:52"/>
    <s v="6CC895AB9D844418520C750FC20F1192"/>
    <s v="Beatriz Silva de Siqueira"/>
    <x v="0"/>
    <s v="Transf. EQS &gt; Beatriz S. d. Siqueira"/>
    <n v="16.98"/>
  </r>
  <r>
    <x v="2"/>
    <s v="18:05:58"/>
    <s v="3C9F00EDCE014FBD8D62E371A1889A16"/>
    <s v="Beatriz Silva de Siqueira"/>
    <x v="1"/>
    <s v="TECBAN-MOOCA PLAZA SHO"/>
    <n v="-1000"/>
  </r>
  <r>
    <x v="3"/>
    <s v="18:06:56"/>
    <s v="5446F8D96F787419D3864F73C9DF89CB"/>
    <s v="Beatriz Silva de Siqueira"/>
    <x v="1"/>
    <s v="TECBAN-MOOCA PLAZA SHO"/>
    <n v="-180"/>
  </r>
  <r>
    <x v="4"/>
    <s v="18:20:25"/>
    <s v="625B05FFFEA456DEA35C7C79E56DE386"/>
    <s v="Beatriz Silva de Siqueira"/>
    <x v="2"/>
    <s v="Taxa de saque"/>
    <n v="-7"/>
  </r>
  <r>
    <x v="5"/>
    <s v="18:20:37"/>
    <s v="71BC5C5D6727F3D25B3F1ED2B57011BB"/>
    <s v="Beatriz Silva de Siqueira"/>
    <x v="2"/>
    <s v="Taxa de saque"/>
    <n v="-7"/>
  </r>
  <r>
    <x v="6"/>
    <s v="16:57:30"/>
    <s v="0AAB4CEC1E1640E0EC2962B907DE6EC9"/>
    <s v="Beatriz Silva de Siqueira"/>
    <x v="0"/>
    <s v="Transf. EQS &gt; Beatriz S. d. Siqueira"/>
    <n v="1194"/>
  </r>
  <r>
    <x v="7"/>
    <s v="17:30:34"/>
    <s v="F7EEC84E9CFE8F5856FC9F4367FA9B72"/>
    <s v="Beatriz Silva de Siqueira"/>
    <x v="1"/>
    <s v="TECBAN-MOOCA PLAZA SHO"/>
    <n v="-1000"/>
  </r>
  <r>
    <x v="8"/>
    <s v="18:11:16"/>
    <s v="A7D4C6FB4F0F0F497BA8262E922B302C"/>
    <s v="Beatriz Silva de Siqueira"/>
    <x v="2"/>
    <s v="Taxa de saque"/>
    <n v="-7"/>
  </r>
  <r>
    <x v="9"/>
    <s v="15:49:54"/>
    <s v="D4A808FA2449A8946B3F309D124CDD05"/>
    <s v="Beatriz Silva de Siqueira"/>
    <x v="0"/>
    <s v="Transf. EQS &gt; Beatriz S. d. Siqueira"/>
    <n v="1026.01"/>
  </r>
  <r>
    <x v="10"/>
    <s v="16:56:09"/>
    <s v="464BAD8451A9F8050B92FB44450257E8"/>
    <s v="Beatriz Silva de Siqueira"/>
    <x v="1"/>
    <s v="TECBAN-AP NOVO BRILHOA"/>
    <n v="-1000"/>
  </r>
  <r>
    <x v="11"/>
    <s v="16:57:14"/>
    <s v="00442BEA4336339D7EFAE2BF1026CEDE"/>
    <s v="Beatriz Silva de Siqueira"/>
    <x v="1"/>
    <s v="TECBAN-AP NOVO BRILHOA"/>
    <n v="-200"/>
  </r>
  <r>
    <x v="12"/>
    <s v="17:09:53"/>
    <s v="8FBCD955A516D74EB813F05AD0274A46"/>
    <s v="Beatriz Silva de Siqueira"/>
    <x v="2"/>
    <s v="Taxa de saque"/>
    <n v="-7"/>
  </r>
  <r>
    <x v="13"/>
    <s v="17:10:20"/>
    <s v="97E9E9BE620FE3AFB49771CC1D1DBBEC"/>
    <s v="Beatriz Silva de Siqueira"/>
    <x v="2"/>
    <s v="Taxa de saque"/>
    <n v="-7"/>
  </r>
  <r>
    <x v="14"/>
    <s v="15:59:27"/>
    <s v="AAB86613620AB63465EA3CBD7A3A03EC"/>
    <s v="Beatriz Silva de Siqueira"/>
    <x v="0"/>
    <s v="Transf. EQS &gt; Beatriz S. d. Siqueira"/>
    <n v="1927.45"/>
  </r>
  <r>
    <x v="15"/>
    <s v="11:53:39"/>
    <s v="18374CA515DC33AE05550F9BF9B389C6"/>
    <s v="Beatriz Silva de Siqueira"/>
    <x v="1"/>
    <s v="TECBAN-SONDA CARRAO II"/>
    <n v="-1000"/>
  </r>
  <r>
    <x v="16"/>
    <s v="11:54:48"/>
    <s v="2EC89539A2833F8F8C69128B755F1430"/>
    <s v="Beatriz Silva de Siqueira"/>
    <x v="1"/>
    <s v="TECBAN-SONDA CARRAO II"/>
    <n v="-900"/>
  </r>
  <r>
    <x v="17"/>
    <s v="12:02:09"/>
    <s v="BBBE6C9431921475F44F05F98E670F69"/>
    <s v="Beatriz Silva de Siqueira"/>
    <x v="2"/>
    <s v="Taxa de saque"/>
    <n v="-7"/>
  </r>
  <r>
    <x v="18"/>
    <s v="12:02:36"/>
    <s v="8B887FAC7780181AA39797F7C42125C2"/>
    <s v="Beatriz Silva de Siqueira"/>
    <x v="2"/>
    <s v="Taxa de saque"/>
    <n v="-7"/>
  </r>
  <r>
    <x v="19"/>
    <s v="16:30:27"/>
    <s v="88B68D4FC8B377BCCFFB314AF617F449"/>
    <s v="Beatriz Silva de Siqueira"/>
    <x v="0"/>
    <s v="Transf. EQS &gt; Beatriz S. d. Siqueira"/>
    <n v="2181.54"/>
  </r>
  <r>
    <x v="20"/>
    <s v="16:21:29"/>
    <s v="E135C626166E2808F99BA49EFC549822"/>
    <s v="Beatriz Silva de Siqueira"/>
    <x v="1"/>
    <s v="TECBAN-CARREFOUR SCS I"/>
    <n v="-1000"/>
  </r>
  <r>
    <x v="21"/>
    <s v="16:21:57"/>
    <s v="F893E17394162C0198BF1EE7006A0101"/>
    <s v="Beatriz Silva de Siqueira"/>
    <x v="2"/>
    <s v="Taxa de saque"/>
    <n v="-7"/>
  </r>
  <r>
    <x v="22"/>
    <s v="16:23:30"/>
    <s v="C4365B707920100EE3526ACFE0373A9F"/>
    <s v="Beatriz Silva de Siqueira"/>
    <x v="1"/>
    <s v="TECBAN-CARREFOUR SCS I"/>
    <n v="-1000"/>
  </r>
  <r>
    <x v="23"/>
    <s v="16:23:57"/>
    <s v="341DB4A6711C556245A483D2436CDAC9"/>
    <s v="Beatriz Silva de Siqueira"/>
    <x v="2"/>
    <s v="Taxa de saque"/>
    <n v="-7"/>
  </r>
  <r>
    <x v="24"/>
    <s v="16:57:21"/>
    <s v="ABC85FAB8B75C6014CD864C095F66C29"/>
    <s v="Beatriz Silva de Siqueira"/>
    <x v="0"/>
    <s v="Transf. EQS &gt; Beatriz S. d. Siqueira"/>
    <n v="2014"/>
  </r>
  <r>
    <x v="25"/>
    <s v="17:57:00"/>
    <s v="3622E47A201D701FF773523BC8C4118F"/>
    <s v="Beatriz Silva de Siqueira"/>
    <x v="1"/>
    <s v="TECBAN-MOOCA PLAZA SHO"/>
    <n v="-1000"/>
  </r>
  <r>
    <x v="26"/>
    <s v="17:57:59"/>
    <s v="A0C51E12EE3405BB01BBE1EBDA1F2D91"/>
    <s v="Beatriz Silva de Siqueira"/>
    <x v="1"/>
    <s v="TECBAN-MOOCA PLAZA SHO"/>
    <n v="-1000"/>
  </r>
  <r>
    <x v="27"/>
    <s v="17:59:59"/>
    <s v="9247D0152B6C54B4F9784B15F34C1FB3"/>
    <s v="Beatriz Silva de Siqueira"/>
    <x v="2"/>
    <s v="Taxa de saque"/>
    <n v="-7"/>
  </r>
  <r>
    <x v="28"/>
    <s v="18:00:48"/>
    <s v="3176B58A01A077807DBFA8F2E1A95F05"/>
    <s v="Beatriz Silva de Siqueira"/>
    <x v="2"/>
    <s v="Taxa de saque"/>
    <n v="-7"/>
  </r>
  <r>
    <x v="29"/>
    <s v="16:48:42"/>
    <s v="3A1EBC8703A72CFB1FA11D5794365B17"/>
    <s v="Beatriz Silva de Siqueira"/>
    <x v="0"/>
    <s v="Transf. EQS &gt; Beatriz S. d. Siqueira"/>
    <n v="1471.81"/>
  </r>
  <r>
    <x v="30"/>
    <s v="16:08:09"/>
    <s v="CD5030AA07207A534DF76A4C3B90E7A7"/>
    <s v="Beatriz Silva de Siqueira"/>
    <x v="1"/>
    <s v="TECBAN-SONDA CARRAO II"/>
    <n v="-1000"/>
  </r>
  <r>
    <x v="31"/>
    <s v="16:08:48"/>
    <s v="BE1F44456E3C2AC869E097E6FE640B24"/>
    <s v="Beatriz Silva de Siqueira"/>
    <x v="2"/>
    <s v="Taxa de saque"/>
    <n v="-7"/>
  </r>
  <r>
    <x v="32"/>
    <s v="16:09:15"/>
    <s v="C566695F15982A0B8C92A6E0646C3A29"/>
    <s v="Beatriz Silva de Siqueira"/>
    <x v="1"/>
    <s v="TECBAN-SONDA CARRAO II"/>
    <n v="-640"/>
  </r>
  <r>
    <x v="33"/>
    <s v="16:09:38"/>
    <s v="41F8332F954BFAD2B11B770F240252CD"/>
    <s v="Beatriz Silva de Siqueira"/>
    <x v="2"/>
    <s v="Taxa de saque"/>
    <n v="-7"/>
  </r>
  <r>
    <x v="34"/>
    <s v="16:17:48"/>
    <s v="18845A0705372A8260F1DB3EB99326E5"/>
    <s v="Beatriz Silva de Siqueira"/>
    <x v="0"/>
    <s v="Transf. EQS &gt; Beatriz S. d. Siqueira"/>
    <n v="1485.81"/>
  </r>
  <r>
    <x v="35"/>
    <s v="10:23:58"/>
    <s v="2E2EF46AB3307536D228B89BB1F3E35C"/>
    <s v="Beatriz Silva de Siqueira"/>
    <x v="1"/>
    <s v="TECBAN-SONDA CARRAO II"/>
    <n v="-1000"/>
  </r>
  <r>
    <x v="36"/>
    <s v="10:24:14"/>
    <s v="B8AFB451895F77737CA14D99FD377945"/>
    <s v="Beatriz Silva de Siqueira"/>
    <x v="2"/>
    <s v="Taxa de saque"/>
    <n v="-7"/>
  </r>
  <r>
    <x v="37"/>
    <s v="10:25:00"/>
    <s v="F9212A0A2D20DF741633FC19F5B36248"/>
    <s v="Beatriz Silva de Siqueira"/>
    <x v="1"/>
    <s v="TECBAN-SONDA CARRAO II"/>
    <n v="-470"/>
  </r>
  <r>
    <x v="38"/>
    <s v="10:25:20"/>
    <s v="2E95587BAF321030BC5A22C68FB52D9B"/>
    <s v="Beatriz Silva de Siqueira"/>
    <x v="2"/>
    <s v="Taxa de saque"/>
    <n v="-7"/>
  </r>
  <r>
    <x v="39"/>
    <s v="16:41:59"/>
    <s v="DB3513CD5A01B05E82F7402806899915"/>
    <s v="Beatriz Silva de Siqueira"/>
    <x v="0"/>
    <s v="Transf. EQS &gt; Beatriz S. d. Siqueira"/>
    <n v="688.07"/>
  </r>
  <r>
    <x v="40"/>
    <s v="10:18:51"/>
    <s v="E8A798FFED4146CF6D187AEB9545921F"/>
    <s v="Beatriz Silva de Siqueira"/>
    <x v="1"/>
    <s v="TECBAN-SONDA CARRAO II"/>
    <n v="-680"/>
  </r>
  <r>
    <x v="41"/>
    <s v="10:19:27"/>
    <s v="335ECB31A511AEDD497252120BC230A1"/>
    <s v="Beatriz Silva de Siqueira"/>
    <x v="2"/>
    <s v="Taxa de saque"/>
    <n v="-7"/>
  </r>
  <r>
    <x v="42"/>
    <s v="15:34:05"/>
    <s v="F7BDC83ECCFBA00763D3C935D72A33D8"/>
    <s v="Beatriz Silva de Siqueira"/>
    <x v="0"/>
    <s v="Transf. EQS &gt; Beatriz S. d. Siqueira"/>
    <n v="1588.74"/>
  </r>
  <r>
    <x v="43"/>
    <s v="12:34:58"/>
    <s v="3F251AB128AEA77463C37AA66512B27B"/>
    <s v="Beatriz Silva de Siqueira"/>
    <x v="1"/>
    <s v="TECBAN-SONDA CARRAO II"/>
    <n v="-1000"/>
  </r>
  <r>
    <x v="44"/>
    <s v="12:35:20"/>
    <s v="AB1EF229AACCE4527D0FBF52F702E30A"/>
    <s v="Beatriz Silva de Siqueira"/>
    <x v="2"/>
    <s v="Taxa de saque"/>
    <n v="-7"/>
  </r>
  <r>
    <x v="45"/>
    <s v="12:36:08"/>
    <s v="B580B03A5225BECC3153302CAA0F87F4"/>
    <s v="Beatriz Silva de Siqueira"/>
    <x v="1"/>
    <s v="TECBAN-SONDA CARRAO II"/>
    <n v="-570"/>
  </r>
  <r>
    <x v="46"/>
    <s v="12:36:21"/>
    <s v="6F6B503A315264EDAEE1AF7974257098"/>
    <s v="Beatriz Silva de Siqueira"/>
    <x v="2"/>
    <s v="Taxa de saque"/>
    <n v="-7"/>
  </r>
  <r>
    <x v="47"/>
    <s v="17:51:38"/>
    <s v="35B49D51B247E0FAB221D19696961ECE"/>
    <s v="Beatriz Silva de Siqueira"/>
    <x v="0"/>
    <s v="Transf. EQS &gt; Beatriz S. d. Siqueira"/>
    <n v="2106"/>
  </r>
  <r>
    <x v="48"/>
    <s v="19:15:18"/>
    <s v="FF535C4C1FC4A56413A2EF5C060763E9"/>
    <s v="Beatriz Silva de Siqueira"/>
    <x v="1"/>
    <s v="TECBAN-MOOCA PLAZA SHO"/>
    <n v="-1000"/>
  </r>
  <r>
    <x v="49"/>
    <s v="19:15:49"/>
    <s v="92D76B50DB111FB078D19226C66AF87F"/>
    <s v="Beatriz Silva de Siqueira"/>
    <x v="2"/>
    <s v="Taxa de saque"/>
    <n v="-7"/>
  </r>
  <r>
    <x v="50"/>
    <s v="19:16:24"/>
    <s v="A77AB3B6F4274156913F11BB4BB276B1"/>
    <s v="Beatriz Silva de Siqueira"/>
    <x v="1"/>
    <s v="TECBAN-MOOCA PLAZA SHO"/>
    <n v="-1000"/>
  </r>
  <r>
    <x v="51"/>
    <s v="19:16:39"/>
    <s v="0CDD07AB98F2631BBDDACBFB4AD8C4F8"/>
    <s v="Beatriz Silva de Siqueira"/>
    <x v="2"/>
    <s v="Taxa de saque"/>
    <n v="-7"/>
  </r>
  <r>
    <x v="52"/>
    <s v="09:00:06"/>
    <s v="3F52B504D42273B3BA08595DB4787DE2"/>
    <s v="Beatriz Silva de Siqueira"/>
    <x v="1"/>
    <s v="TECBAN-SONDA CARRAO IA"/>
    <n v="-90"/>
  </r>
  <r>
    <x v="53"/>
    <s v="09:00:31"/>
    <s v="35F089E9889E0C922876ED4A0ECCED28"/>
    <s v="Beatriz Silva de Siqueira"/>
    <x v="2"/>
    <s v="Taxa de saque"/>
    <n v="-7"/>
  </r>
  <r>
    <x v="54"/>
    <s v="16:38:20"/>
    <s v="E4D67FB93C56262B37F8E11BDC782B63"/>
    <s v="Beatriz Silva de Siqueira"/>
    <x v="3"/>
    <s v="Transf. Beatriz S. d. Siqueira &gt; EQS"/>
    <n v="-6.43"/>
  </r>
  <r>
    <x v="55"/>
    <s v="16:57:46"/>
    <s v="427F237973DDECAB7B14EE70DD85D7B4"/>
    <s v="Beatriz Silva de Siqueira"/>
    <x v="0"/>
    <s v="Transf. REGIONAL SP &gt; Beatriz S. d. Siqueira"/>
    <n v="6.43"/>
  </r>
  <r>
    <x v="56"/>
    <s v="15:07:14"/>
    <s v="11E39369F2777F852A6DBC5AB6726E7A"/>
    <s v="Beatriz Silva de Siqueira"/>
    <x v="0"/>
    <s v="Transf. REGIONAL SP &gt; Beatriz S. d. Siqueira"/>
    <n v="2193.5700000000002"/>
  </r>
  <r>
    <x v="57"/>
    <s v="11:27:33"/>
    <s v="86307D719C4950F34C47D215697B7D15"/>
    <s v="Beatriz Silva de Siqueira"/>
    <x v="1"/>
    <s v="TECBAN-SONDA CARRAO II"/>
    <n v="-1000"/>
  </r>
  <r>
    <x v="58"/>
    <s v="11:27:51"/>
    <s v="4BCB654F7F749E36CC74C27A1666D2F4"/>
    <s v="Beatriz Silva de Siqueira"/>
    <x v="2"/>
    <s v="Taxa de saque"/>
    <n v="-7"/>
  </r>
  <r>
    <x v="59"/>
    <s v="11:28:37"/>
    <s v="04C3F8BF17A12C96DF1C1A6F36841F32"/>
    <s v="Beatriz Silva de Siqueira"/>
    <x v="1"/>
    <s v="TECBAN-SONDA CARRAO II"/>
    <n v="-1000"/>
  </r>
  <r>
    <x v="60"/>
    <s v="11:29:02"/>
    <s v="7C0AEF313D4D03A3C5705C3B4C3F8733"/>
    <s v="Beatriz Silva de Siqueira"/>
    <x v="2"/>
    <s v="Taxa de saque"/>
    <n v="-7"/>
  </r>
  <r>
    <x v="61"/>
    <s v="15:00:51"/>
    <s v="5BAE30D2F091D0EFDDCF443121524C60"/>
    <s v="Beatriz Silva de Siqueira"/>
    <x v="0"/>
    <s v="Transf. REGIONAL SP &gt; Beatriz S. d. Siqueira"/>
    <n v="2013.46"/>
  </r>
  <r>
    <x v="62"/>
    <s v="13:52:15"/>
    <s v="AC57368D3A5F60A920C5EADAA8886F8E"/>
    <s v="Beatriz Silva de Siqueira"/>
    <x v="1"/>
    <s v="TECBAN-MOOCA PLAZA SHO"/>
    <n v="-1000"/>
  </r>
  <r>
    <x v="63"/>
    <s v="13:52:40"/>
    <s v="79A0C347957B5209B895510DA2EACF59"/>
    <s v="Beatriz Silva de Siqueira"/>
    <x v="2"/>
    <s v="Taxa de saque"/>
    <n v="-7"/>
  </r>
  <r>
    <x v="64"/>
    <s v="13:54:31"/>
    <s v="FEC651CAA52C91DA153AA9FEF9A699F9"/>
    <s v="Beatriz Silva de Siqueira"/>
    <x v="1"/>
    <s v="TECBAN-MOOCA PLAZA SHO"/>
    <n v="-1000"/>
  </r>
  <r>
    <x v="65"/>
    <s v="13:54:45"/>
    <s v="B13E11F70AE11791416F1D7DCCFAC0AD"/>
    <s v="Beatriz Silva de Siqueira"/>
    <x v="2"/>
    <s v="Taxa de saque"/>
    <n v="-7"/>
  </r>
  <r>
    <x v="66"/>
    <s v="21:22:41"/>
    <s v="A7A6CC9011C8C9E77D5B5B07BFAF50C1"/>
    <s v="Beatriz Silva de Siqueira"/>
    <x v="1"/>
    <s v="TECBAN-CARREFOUR ANALI"/>
    <n v="-170"/>
  </r>
  <r>
    <x v="67"/>
    <s v="21:22:57"/>
    <s v="BC22FA968C43E41686394A44FEB5F3CA"/>
    <s v="Beatriz Silva de Siqueira"/>
    <x v="2"/>
    <s v="Taxa de saque"/>
    <n v="-7"/>
  </r>
  <r>
    <x v="68"/>
    <s v="17:38:15"/>
    <s v="46175261D7AAA15A0410FF47E531BEBA"/>
    <s v="Beatriz Silva de Siqueira"/>
    <x v="0"/>
    <s v="Transf. REGIONAL SP &gt; Beatriz S. d. Siqueira"/>
    <n v="21"/>
  </r>
  <r>
    <x v="69"/>
    <s v="16:26:32"/>
    <s v="6E2338063C1D4FA77E7893AF4D27D7EE"/>
    <s v="Beatriz Silva de Siqueira"/>
    <x v="0"/>
    <s v="Transf. REGIONAL SP &gt; Beatriz S. d. Siqueira"/>
    <n v="1654.36"/>
  </r>
  <r>
    <x v="70"/>
    <s v="17:05:51"/>
    <s v="260832015830AAC3D4FE734E3BF74EC9"/>
    <s v="Beatriz Silva de Siqueira"/>
    <x v="0"/>
    <s v="Transf. REGIONAL SP &gt; Beatriz S. d. Siqueira"/>
    <n v="137.08000000000001"/>
  </r>
  <r>
    <x v="71"/>
    <s v="11:49:03"/>
    <s v="B5B09B3B5EBDE045FD97FB178CCE840F"/>
    <s v="Beatriz Silva de Siqueira"/>
    <x v="1"/>
    <s v="TECBAN-SONDA CARRAO II"/>
    <n v="-1000"/>
  </r>
  <r>
    <x v="72"/>
    <s v="11:49:29"/>
    <s v="5C2A6FF3EEB9C5EB7D35D01254D5D477"/>
    <s v="Beatriz Silva de Siqueira"/>
    <x v="2"/>
    <s v="Taxa de saque"/>
    <n v="-7"/>
  </r>
  <r>
    <x v="73"/>
    <s v="11:50:24"/>
    <s v="390491C6A59418A95A8DB88B557585B4"/>
    <s v="Beatriz Silva de Siqueira"/>
    <x v="1"/>
    <s v="TECBAN-SONDA CARRAO II"/>
    <n v="-800"/>
  </r>
  <r>
    <x v="74"/>
    <s v="11:50:47"/>
    <s v="922197FF8AC3A188FE47A90EDD926B4B"/>
    <s v="Beatriz Silva de Siqueira"/>
    <x v="2"/>
    <s v="Taxa de saque"/>
    <n v="-7"/>
  </r>
  <r>
    <x v="75"/>
    <s v="17:51:16"/>
    <s v="CEA6E516C838C33211979DA7B8BAF21E"/>
    <s v="Beatriz Silva de Siqueira"/>
    <x v="0"/>
    <s v="Transf. REGIONAL SP &gt; Beatriz S. d. Siqueira"/>
    <n v="905.08"/>
  </r>
  <r>
    <x v="76"/>
    <s v="13:35:01"/>
    <s v="756681802A031A37BFD1B5DA59CFD4D1"/>
    <s v="Beatriz Silva de Siqueira"/>
    <x v="1"/>
    <s v="TECBAN-CARREFOUR ANALI"/>
    <n v="-900"/>
  </r>
  <r>
    <x v="77"/>
    <s v="13:35:37"/>
    <s v="F0EC59E12607648CBD5CF3F0A470CA55"/>
    <s v="Beatriz Silva de Siqueira"/>
    <x v="2"/>
    <s v="Taxa de saque"/>
    <n v="-7"/>
  </r>
  <r>
    <x v="78"/>
    <s v="17:12:41"/>
    <s v="B9D7419E849B735C6862F3FB6283F0C1"/>
    <s v="Beatriz Silva de Siqueira"/>
    <x v="0"/>
    <s v="Transf. REGIONAL SP &gt; Beatriz S. d. Siqueira"/>
    <n v="905.08"/>
  </r>
  <r>
    <x v="79"/>
    <s v="17:04:31"/>
    <s v="24D97401D665EE7CD343FD10BF0831F7"/>
    <s v="Beatriz Silva de Siqueira"/>
    <x v="1"/>
    <s v="TECBAN-DIA ANHAIA MELO"/>
    <n v="-900"/>
  </r>
  <r>
    <x v="80"/>
    <s v="17:05:00"/>
    <s v="AC710C78D17437B59C1AAC4FDBF67B1F"/>
    <s v="Beatriz Silva de Siqueira"/>
    <x v="2"/>
    <s v="Taxa de saque"/>
    <n v="-7"/>
  </r>
  <r>
    <x v="81"/>
    <s v="16:07:27"/>
    <s v="7C61BAFE99375A98F138A7FB84B71FE9"/>
    <s v="Beatriz Silva de Siqueira"/>
    <x v="0"/>
    <s v="Transf. REGIONAL SP &gt; Beatriz S. d. Siqueira"/>
    <n v="527.66999999999996"/>
  </r>
  <r>
    <x v="82"/>
    <s v="17:54:39"/>
    <s v="A007FE04EA05BB4F4D01FDC01D946647"/>
    <s v="Beatriz Silva de Siqueira"/>
    <x v="1"/>
    <s v="TECBAN-DIA ANHAIA MELO"/>
    <n v="-520"/>
  </r>
  <r>
    <x v="83"/>
    <s v="17:54:56"/>
    <s v="FE1CDCAC64D5A537D49C8CE7444D8797"/>
    <s v="Beatriz Silva de Siqueira"/>
    <x v="2"/>
    <s v="Taxa de saque"/>
    <n v="-7"/>
  </r>
  <r>
    <x v="84"/>
    <s v="15:57:15"/>
    <s v="3AF034A36B039971BB0EA1FF2F34499A"/>
    <s v="Beatriz Silva de Siqueira"/>
    <x v="0"/>
    <s v="Transf. REGIONAL SP &gt; Beatriz S. d. Siqueira"/>
    <n v="1066.48"/>
  </r>
  <r>
    <x v="85"/>
    <s v="18:12:53"/>
    <s v="FB9C49255AD66B90C88CA20C99CDB1B8"/>
    <s v="Beatriz Silva de Siqueira"/>
    <x v="1"/>
    <s v="TECBAN-MINI EXTRA VL P"/>
    <n v="-50"/>
  </r>
  <r>
    <x v="86"/>
    <s v="18:13:20"/>
    <s v="EE873345CEA2D84F4C04ADBA446E6983"/>
    <s v="Beatriz Silva de Siqueira"/>
    <x v="2"/>
    <s v="Taxa de saque"/>
    <n v="-7"/>
  </r>
  <r>
    <x v="87"/>
    <s v="18:16:19"/>
    <s v="4DCD66328B45E091A4D796F8D9798AF3"/>
    <s v="Beatriz Silva de Siqueira"/>
    <x v="1"/>
    <s v="TECBAN-MINI EXTRA VL P"/>
    <n v="-900"/>
  </r>
  <r>
    <x v="88"/>
    <s v="18:16:48"/>
    <s v="D05AC435232AEB75CCD833D600005FB6"/>
    <s v="Beatriz Silva de Siqueira"/>
    <x v="2"/>
    <s v="Taxa de saque"/>
    <n v="-7"/>
  </r>
  <r>
    <x v="89"/>
    <s v="18:20:03"/>
    <s v="BED3B27BC85C383B7414CAE26ADEB177"/>
    <s v="Beatriz Silva de Siqueira"/>
    <x v="1"/>
    <s v="TECBAN-MINI EXTRA VL P"/>
    <n v="-90"/>
  </r>
  <r>
    <x v="90"/>
    <s v="18:20:17"/>
    <s v="2E7E85569C058450FFC64509D67A2BB4"/>
    <s v="Beatriz Silva de Siqueira"/>
    <x v="2"/>
    <s v="Taxa de saque"/>
    <n v="-7"/>
  </r>
  <r>
    <x v="91"/>
    <s v="14:27:45"/>
    <s v="7B197901F5E3CD6688BF9AA0F967BA9B"/>
    <s v="Beatriz Silva de Siqueira"/>
    <x v="0"/>
    <s v="Transf. REGIONAL SP &gt; Beatriz S. d. Siqueira"/>
    <n v="391.86"/>
  </r>
  <r>
    <x v="92"/>
    <s v="11:25:16"/>
    <s v="4AD278C1A64E6664420272F18405E18F"/>
    <s v="Beatriz Silva de Siqueira"/>
    <x v="1"/>
    <s v="TECBAN-MINI EXTRA VL P"/>
    <n v="-380"/>
  </r>
  <r>
    <x v="93"/>
    <s v="11:25:56"/>
    <s v="9716702EDE4424814571B66B8BEC2A29"/>
    <s v="Beatriz Silva de Siqueira"/>
    <x v="2"/>
    <s v="Taxa de saque"/>
    <n v="-7"/>
  </r>
  <r>
    <x v="94"/>
    <s v="16:21:05"/>
    <s v="BF6E95D396C983251F08350B9E493B7F"/>
    <s v="Beatriz Silva de Siqueira"/>
    <x v="0"/>
    <s v="Transf. REGIONAL SP &gt; Beatriz S. d. Siqueira"/>
    <n v="985.93"/>
  </r>
  <r>
    <x v="95"/>
    <s v="15:12:42"/>
    <s v="1CBC9111B38C7AF9FAAF5F4C2C502D8E"/>
    <s v="Beatriz Silva de Siqueira"/>
    <x v="1"/>
    <s v="TECBAN-CARREFOUR ANALI"/>
    <n v="-990"/>
  </r>
  <r>
    <x v="96"/>
    <s v="15:12:58"/>
    <s v="81E0ED60717A7B7827C572A99E532C61"/>
    <s v="Beatriz Silva de Siqueira"/>
    <x v="2"/>
    <s v="Taxa de saque"/>
    <n v="-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n v="2026"/>
    <s v="JULHO"/>
    <n v="87556404"/>
    <n v="10906730"/>
    <s v="CAIXA 07/2026"/>
    <d v="2026-07-24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45"/>
    <m/>
    <m/>
    <n v="45"/>
    <s v="Não"/>
  </r>
  <r>
    <n v="2026"/>
    <s v="JULHO"/>
    <n v="87002054"/>
    <n v="10906730"/>
    <s v="CAIXA 07/2026"/>
    <d v="2026-07-18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74.5"/>
    <m/>
    <m/>
    <n v="74.5"/>
    <s v="Não"/>
  </r>
  <r>
    <n v="2026"/>
    <s v="JULHO"/>
    <n v="87001977"/>
    <n v="10906730"/>
    <s v="CAIXA 07/2026"/>
    <d v="2026-07-18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83.1"/>
    <m/>
    <m/>
    <n v="83.1"/>
    <s v="Não"/>
  </r>
  <r>
    <n v="2026"/>
    <s v="JULHO"/>
    <n v="87001778"/>
    <n v="10906730"/>
    <s v="CAIXA 07/2026"/>
    <d v="2026-07-18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62.8"/>
    <m/>
    <m/>
    <n v="62.8"/>
    <s v="Não"/>
  </r>
  <r>
    <n v="2026"/>
    <s v="JULHO"/>
    <n v="87001416"/>
    <n v="10906730"/>
    <s v="CAIXA 07/2026"/>
    <d v="2026-07-18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53.33"/>
    <m/>
    <m/>
    <n v="53.33"/>
    <s v="Não"/>
  </r>
  <r>
    <n v="2026"/>
    <s v="JULHO"/>
    <n v="87002136"/>
    <n v="10906730"/>
    <s v="CAIXA 07/2026"/>
    <d v="2026-07-17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51.21"/>
    <m/>
    <m/>
    <n v="51.21"/>
    <s v="Não"/>
  </r>
  <r>
    <n v="2026"/>
    <s v="JULHO"/>
    <n v="87001089"/>
    <n v="10906730"/>
    <s v="CAIXA 07/2026"/>
    <d v="2026-07-14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10"/>
    <m/>
    <m/>
    <n v="110"/>
    <s v="Não"/>
  </r>
  <r>
    <n v="2026"/>
    <s v="JULHO"/>
    <n v="87000987"/>
    <n v="10906730"/>
    <s v="CAIXA 07/2026"/>
    <d v="2026-07-13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25"/>
    <m/>
    <m/>
    <n v="25"/>
    <s v="Não"/>
  </r>
  <r>
    <n v="2026"/>
    <s v="JULHO"/>
    <n v="87001218"/>
    <n v="10906730"/>
    <s v="CAIXA 07/2026"/>
    <d v="2026-07-07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6"/>
    <m/>
    <m/>
    <n v="6"/>
    <s v="Não"/>
  </r>
  <r>
    <n v="2026"/>
    <s v="JULHO"/>
    <n v="87001310"/>
    <n v="10906730"/>
    <s v="CAIXA 07/2026"/>
    <d v="2026-07-06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40"/>
    <m/>
    <m/>
    <n v="40"/>
    <s v="Não"/>
  </r>
  <r>
    <n v="2026"/>
    <s v="JULHO"/>
    <n v="86328704"/>
    <n v="10906730"/>
    <s v="CAIXA 07/2026"/>
    <d v="2026-07-04T00:00:00"/>
    <s v="BEATRIZ SILVA DE SIQUEIRA"/>
    <n v="35575473880"/>
    <x v="0"/>
    <m/>
    <s v="Nota 7"/>
    <s v="MATERIAL"/>
    <s v="Não"/>
    <s v="Nota 7"/>
    <m/>
    <s v="CEF SP SUL"/>
    <s v="Saque VExpenses"/>
    <s v="REGIONAL SP"/>
    <n v="1"/>
    <m/>
    <m/>
    <m/>
    <m/>
    <s v="BRL"/>
    <n v="31"/>
    <m/>
    <m/>
    <n v="31"/>
    <s v="Não"/>
  </r>
  <r>
    <n v="2026"/>
    <s v="JULHO"/>
    <n v="86057697"/>
    <n v="10906730"/>
    <s v="CAIXA 07/2026"/>
    <d v="2026-07-03T00:00:00"/>
    <s v="BEATRIZ SILVA DE SIQUEIRA"/>
    <n v="35575473880"/>
    <x v="0"/>
    <m/>
    <s v="Nota 02"/>
    <s v="MATERIAL"/>
    <s v="Não"/>
    <s v="Nota 2"/>
    <m/>
    <s v="CEF SP SUL"/>
    <s v="Saque VExpenses"/>
    <s v="REGIONAL SP"/>
    <n v="1"/>
    <m/>
    <m/>
    <m/>
    <m/>
    <s v="BRL"/>
    <n v="60"/>
    <m/>
    <m/>
    <n v="60"/>
    <s v="Não"/>
  </r>
  <r>
    <n v="2026"/>
    <s v="JULHO"/>
    <n v="87001635"/>
    <n v="10906730"/>
    <s v="CAIXA 07/2026"/>
    <d v="2026-07-02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29.9"/>
    <m/>
    <m/>
    <n v="129.9"/>
    <s v="Não"/>
  </r>
  <r>
    <n v="2026"/>
    <s v="JULHO"/>
    <n v="86057898"/>
    <n v="10906730"/>
    <s v="CAIXA 07/2026"/>
    <d v="2026-07-02T00:00:00"/>
    <s v="BEATRIZ SILVA DE SIQUEIRA"/>
    <n v="35575473880"/>
    <x v="0"/>
    <m/>
    <s v="Nota 4"/>
    <s v="MATERIAL"/>
    <s v="Não"/>
    <s v="Nota 4"/>
    <m/>
    <s v="CEF SP SUL"/>
    <s v="Saque VExpenses"/>
    <s v="REGIONAL SP"/>
    <n v="1"/>
    <m/>
    <m/>
    <m/>
    <m/>
    <s v="BRL"/>
    <n v="8.6"/>
    <m/>
    <m/>
    <n v="8.6"/>
    <s v="Não"/>
  </r>
  <r>
    <n v="2026"/>
    <s v="JULHO"/>
    <n v="87557309"/>
    <n v="10906730"/>
    <s v="CAIXA 07/2026"/>
    <d v="2026-07-01T00:00:00"/>
    <s v="BEATRIZ SILVA DE SIQUEIRA"/>
    <n v="35575473880"/>
    <x v="0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40.799999999999997"/>
    <m/>
    <m/>
    <n v="40.799999999999997"/>
    <s v="Não"/>
  </r>
  <r>
    <n v="2026"/>
    <s v="JULHO"/>
    <n v="87144433"/>
    <n v="10906730"/>
    <s v="CAIXA 07/2026"/>
    <d v="2026-07-01T00:00:00"/>
    <s v="BEATRIZ SILVA DE SIQUEIRA"/>
    <n v="35575473880"/>
    <x v="0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330.8"/>
    <m/>
    <m/>
    <n v="330.8"/>
    <s v="Não"/>
  </r>
  <r>
    <n v="2026"/>
    <s v="JULHO"/>
    <n v="86058020"/>
    <n v="10906730"/>
    <s v="CAIXA 07/2026"/>
    <d v="2026-07-01T00:00:00"/>
    <s v="BEATRIZ SILVA DE SIQUEIRA"/>
    <n v="35575473880"/>
    <x v="0"/>
    <m/>
    <s v="Nota 5"/>
    <s v="MATERIAL"/>
    <s v="Não"/>
    <s v="Nota 5"/>
    <m/>
    <s v="CEF SP SUL"/>
    <s v="Saque VExpenses"/>
    <s v="REGIONAL SP"/>
    <n v="1"/>
    <m/>
    <m/>
    <m/>
    <m/>
    <s v="BRL"/>
    <n v="2.99"/>
    <m/>
    <m/>
    <n v="2.99"/>
    <s v="Não"/>
  </r>
  <r>
    <n v="2026"/>
    <s v="JUNHO"/>
    <n v="87146033"/>
    <n v="10906730"/>
    <s v="CAIXA 07/2026"/>
    <d v="2026-06-25T00:00:00"/>
    <s v="BEATRIZ SILVA DE SIQUEIRA"/>
    <n v="35575473880"/>
    <x v="0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70"/>
    <m/>
    <m/>
    <n v="70"/>
    <s v="Não"/>
  </r>
  <r>
    <n v="2026"/>
    <s v="JUNHO"/>
    <n v="87144760"/>
    <n v="10906730"/>
    <s v="CAIXA 07/2026"/>
    <d v="2026-06-16T00:00:00"/>
    <s v="BEATRIZ SILVA DE SIQUEIRA"/>
    <n v="35575473880"/>
    <x v="0"/>
    <m/>
    <s v="Material"/>
    <s v="MATERIAL"/>
    <s v="Não"/>
    <s v="A nota fiscal foi anexada ao cartão de crédito de forma equivocada. Esclarecemos que a referida despesa é referente ao caixa, não estando vinculada ao cartão de crédito. Inserida no caixa do mês 07 pelo motivo do caixa 06 estar aprovado e fechado. Não sendo possível inserir DEMANDA EMEEGENCIAL DE FURTO NA AGENCIA"/>
    <m/>
    <s v="CEF SP SUL"/>
    <s v="Saque VExpenses"/>
    <s v="REGIONAL SP"/>
    <n v="1"/>
    <m/>
    <m/>
    <m/>
    <n v="0"/>
    <s v="BRL"/>
    <n v="690"/>
    <m/>
    <m/>
    <n v="690"/>
    <s v="Sim"/>
  </r>
  <r>
    <n v="2026"/>
    <s v="MARÇO"/>
    <n v="81660359"/>
    <n v="10906730"/>
    <s v="CAIXA 07/2026"/>
    <d v="2026-03-30T00:00:00"/>
    <s v="BEATRIZ SILVA DE SIQUEIRA"/>
    <n v="35575473880"/>
    <x v="0"/>
    <m/>
    <s v="Recibo"/>
    <s v="MATERIAL"/>
    <s v="Não"/>
    <s v="Identificadas notas desvinculadas do caixa no período de 03/2026, desvinculados sem apresentação de justificativa. Caixa de 03/26 já fechado impossibilitado vinculação no mesmo no caixa"/>
    <m/>
    <s v="CEF SP SUL"/>
    <s v="Saque VExpenses"/>
    <s v="REGIONAL SP"/>
    <n v="1"/>
    <m/>
    <m/>
    <m/>
    <n v="0"/>
    <s v="BRL"/>
    <n v="139.97999999999999"/>
    <m/>
    <m/>
    <n v="139.97999999999999"/>
    <s v="Não"/>
  </r>
  <r>
    <n v="2026"/>
    <s v="MARÇO"/>
    <n v="81659592"/>
    <n v="10906730"/>
    <s v="CAIXA 07/2026"/>
    <d v="2026-03-21T00:00:00"/>
    <s v="BEATRIZ SILVA DE SIQUEIRA"/>
    <n v="35575473880"/>
    <x v="0"/>
    <m/>
    <s v="Material"/>
    <s v="MATERIAL"/>
    <s v="Não"/>
    <s v="Identificadas notas desvinculadas do caixa no período de 03/2026, sem apresentação de justificativa. . Caixa de 03/26 já fechado impossibilitado vinculação no mesmo no caixa correto"/>
    <m/>
    <s v="CEF SP SUL"/>
    <s v="Saque VExpenses"/>
    <s v="REGIONAL SP"/>
    <n v="1"/>
    <m/>
    <m/>
    <m/>
    <n v="0"/>
    <s v="BRL"/>
    <n v="27.39"/>
    <m/>
    <m/>
    <n v="27.39"/>
    <s v="Não"/>
  </r>
  <r>
    <n v="2026"/>
    <s v="JUNHO"/>
    <n v="85799387"/>
    <n v="10657027"/>
    <s v="CAIXA 06/2026"/>
    <d v="2026-06-30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25"/>
    <m/>
    <m/>
    <n v="125"/>
    <s v="Não"/>
  </r>
  <r>
    <n v="2026"/>
    <s v="JUNHO"/>
    <n v="85718404"/>
    <n v="10657027"/>
    <s v="CAIXA 06/2026"/>
    <d v="2026-06-30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4.99"/>
    <m/>
    <m/>
    <n v="14.99"/>
    <s v="Não"/>
  </r>
  <r>
    <n v="2026"/>
    <s v="JUNHO"/>
    <n v="86057174"/>
    <n v="10657027"/>
    <s v="CAIXA 06/2026"/>
    <d v="2026-06-29T00:00:00"/>
    <s v="BEATRIZ SILVA DE SIQUEIRA"/>
    <n v="35575473880"/>
    <x v="1"/>
    <m/>
    <s v="Nota 2"/>
    <s v="ESTACIONAMENTO"/>
    <s v="Não"/>
    <s v="Nota 2"/>
    <m/>
    <s v="CEF SP SUL"/>
    <s v="Tarifa de Saque"/>
    <s v="REGIONAL SP"/>
    <n v="1"/>
    <m/>
    <m/>
    <m/>
    <m/>
    <s v="BRL"/>
    <n v="8"/>
    <m/>
    <m/>
    <n v="8"/>
    <s v="Não"/>
  </r>
  <r>
    <n v="2026"/>
    <s v="JUNHO"/>
    <n v="85799326"/>
    <n v="10657027"/>
    <s v="CAIXA 06/2026"/>
    <d v="2026-06-29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69"/>
    <m/>
    <m/>
    <n v="69"/>
    <s v="Não"/>
  </r>
  <r>
    <n v="2026"/>
    <s v="JUNHO"/>
    <n v="86056975"/>
    <n v="10657027"/>
    <s v="CAIXA 06/2026"/>
    <d v="2026-06-28T00:00:00"/>
    <s v="BEATRIZ SILVA DE SIQUEIRA"/>
    <n v="35575473880"/>
    <x v="1"/>
    <m/>
    <s v="Nota 03"/>
    <s v="MATERIAL"/>
    <s v="Não"/>
    <s v="Nota 3"/>
    <m/>
    <s v="CEF SP SUL"/>
    <s v="Tarifa de Saque"/>
    <s v="REGIONAL SP"/>
    <n v="1"/>
    <m/>
    <m/>
    <m/>
    <m/>
    <s v="BRL"/>
    <n v="23.4"/>
    <m/>
    <m/>
    <n v="23.4"/>
    <s v="Não"/>
  </r>
  <r>
    <n v="2026"/>
    <s v="JUNHO"/>
    <n v="86056713"/>
    <n v="10657027"/>
    <s v="CAIXA 06/2026"/>
    <d v="2026-06-26T00:00:00"/>
    <s v="BEATRIZ SILVA DE SIQUEIRA"/>
    <n v="35575473880"/>
    <x v="1"/>
    <m/>
    <s v="Nota 1"/>
    <s v="MATERIAL"/>
    <s v="Não"/>
    <s v="Nota"/>
    <m/>
    <s v="CEF SP SUL"/>
    <s v="Tarifa de Saque"/>
    <s v="REGIONAL SP"/>
    <n v="1"/>
    <m/>
    <m/>
    <m/>
    <m/>
    <s v="BRL"/>
    <n v="42.66"/>
    <m/>
    <m/>
    <n v="42.66"/>
    <s v="Não"/>
  </r>
  <r>
    <n v="2026"/>
    <s v="JUNHO"/>
    <n v="85799448"/>
    <n v="10657027"/>
    <s v="CAIXA 06/2026"/>
    <d v="2026-06-2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4.4"/>
    <m/>
    <m/>
    <n v="14.4"/>
    <s v="Não"/>
  </r>
  <r>
    <n v="2026"/>
    <s v="JUNHO"/>
    <n v="85799274"/>
    <n v="10657027"/>
    <s v="CAIXA 06/2026"/>
    <d v="2026-06-22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49.9"/>
    <m/>
    <m/>
    <n v="49.9"/>
    <s v="Não"/>
  </r>
  <r>
    <n v="2026"/>
    <s v="JUNHO"/>
    <n v="85325892"/>
    <n v="10657027"/>
    <s v="CAIXA 06/2026"/>
    <d v="2026-06-17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39"/>
    <m/>
    <m/>
    <n v="39"/>
    <s v="Não"/>
  </r>
  <r>
    <n v="2026"/>
    <s v="JUNHO"/>
    <n v="85325789"/>
    <n v="10657027"/>
    <s v="CAIXA 06/2026"/>
    <d v="2026-06-10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36"/>
    <m/>
    <m/>
    <n v="36"/>
    <s v="Não"/>
  </r>
  <r>
    <n v="2026"/>
    <s v="JUNHO"/>
    <n v="84256192"/>
    <n v="10657027"/>
    <s v="CAIXA 06/2026"/>
    <d v="2026-06-09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75.94"/>
    <m/>
    <m/>
    <n v="75.94"/>
    <s v="Não"/>
  </r>
  <r>
    <n v="2026"/>
    <s v="JUNHO"/>
    <n v="85342217"/>
    <n v="10657027"/>
    <s v="CAIXA 06/2026"/>
    <d v="2026-06-01T00:00:00"/>
    <s v="BEATRIZ SILVA DE SIQUEIRA"/>
    <n v="35575473880"/>
    <x v="1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217.3"/>
    <m/>
    <m/>
    <n v="217.3"/>
    <s v="Não"/>
  </r>
  <r>
    <n v="2026"/>
    <s v="JUNHO"/>
    <n v="84206202"/>
    <n v="10657027"/>
    <s v="CAIXA 06/2026"/>
    <d v="2026-06-01T00:00:00"/>
    <s v="BEATRIZ SILVA DE SIQUEIRA"/>
    <n v="35575473880"/>
    <x v="1"/>
    <m/>
    <s v="Estacionamento"/>
    <s v="ESTACIONAMENTO"/>
    <s v="Não"/>
    <s v="Atendimento de chamado caixa economica"/>
    <m/>
    <s v="CEF SP SUL"/>
    <s v="Saque VExpenses"/>
    <s v="REGIONAL SP"/>
    <n v="1"/>
    <m/>
    <m/>
    <m/>
    <m/>
    <s v="BRL"/>
    <n v="141.80000000000001"/>
    <m/>
    <m/>
    <n v="141.80000000000001"/>
    <s v="Não"/>
  </r>
  <r>
    <n v="2026"/>
    <s v="MAIO"/>
    <n v="84181924"/>
    <n v="10424271"/>
    <s v="CAIXA 05/2025"/>
    <d v="2026-05-28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29.99"/>
    <m/>
    <m/>
    <n v="29.99"/>
    <s v="Não"/>
  </r>
  <r>
    <n v="2026"/>
    <s v="MAIO"/>
    <n v="84184106"/>
    <n v="10424271"/>
    <s v="CAIXA 05/2025"/>
    <d v="2026-05-27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8.5"/>
    <m/>
    <m/>
    <n v="8.5"/>
    <s v="Não"/>
  </r>
  <r>
    <n v="2026"/>
    <s v="MAIO"/>
    <n v="84183714"/>
    <n v="10424271"/>
    <s v="CAIXA 05/2025"/>
    <d v="2026-05-27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69.900000000000006"/>
    <m/>
    <m/>
    <n v="69.900000000000006"/>
    <s v="Não"/>
  </r>
  <r>
    <n v="2026"/>
    <s v="MAIO"/>
    <n v="84181798"/>
    <n v="10424271"/>
    <s v="CAIXA 05/2025"/>
    <d v="2026-05-2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8.899999999999999"/>
    <m/>
    <m/>
    <n v="18.899999999999999"/>
    <s v="Não"/>
  </r>
  <r>
    <n v="2026"/>
    <s v="MAIO"/>
    <n v="84183923"/>
    <n v="10424271"/>
    <s v="CAIXA 05/2025"/>
    <d v="2026-05-19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25"/>
    <m/>
    <m/>
    <n v="125"/>
    <s v="Não"/>
  </r>
  <r>
    <n v="2026"/>
    <s v="MAIO"/>
    <n v="82900223"/>
    <n v="10424271"/>
    <s v="CAIXA 05/2025"/>
    <d v="2026-05-19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3"/>
    <m/>
    <m/>
    <n v="13"/>
    <s v="Não"/>
  </r>
  <r>
    <n v="2026"/>
    <s v="MAIO"/>
    <n v="84181468"/>
    <n v="10424271"/>
    <s v="CAIXA 05/2025"/>
    <d v="2026-05-18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54.11"/>
    <m/>
    <m/>
    <n v="54.11"/>
    <s v="Não"/>
  </r>
  <r>
    <n v="2026"/>
    <s v="MAIO"/>
    <n v="82637728"/>
    <n v="10424271"/>
    <s v="CAIXA 05/2025"/>
    <d v="2026-05-1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29.5"/>
    <m/>
    <m/>
    <n v="29.5"/>
    <s v="Não"/>
  </r>
  <r>
    <n v="2026"/>
    <s v="MAIO"/>
    <n v="82637394"/>
    <n v="10424271"/>
    <s v="CAIXA 05/2025"/>
    <d v="2026-05-1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9.899999999999999"/>
    <m/>
    <m/>
    <n v="19.899999999999999"/>
    <s v="Não"/>
  </r>
  <r>
    <n v="2026"/>
    <s v="MAIO"/>
    <n v="82497040"/>
    <n v="10424271"/>
    <s v="CAIXA 05/2025"/>
    <d v="2026-05-1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52.1"/>
    <m/>
    <m/>
    <n v="152.1"/>
    <s v="Não"/>
  </r>
  <r>
    <n v="2026"/>
    <s v="MAIO"/>
    <n v="82900173"/>
    <n v="10424271"/>
    <s v="CAIXA 05/2025"/>
    <d v="2026-05-12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5"/>
    <m/>
    <m/>
    <n v="5"/>
    <s v="Não"/>
  </r>
  <r>
    <n v="2026"/>
    <s v="MAIO"/>
    <n v="82637078"/>
    <n v="10424271"/>
    <s v="CAIXA 05/2025"/>
    <d v="2026-05-12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25"/>
    <m/>
    <m/>
    <n v="25"/>
    <s v="Não"/>
  </r>
  <r>
    <n v="2026"/>
    <s v="MAIO"/>
    <n v="82496969"/>
    <n v="10424271"/>
    <s v="CAIXA 05/2025"/>
    <d v="2026-05-11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6.9"/>
    <m/>
    <m/>
    <n v="6.9"/>
    <s v="Não"/>
  </r>
  <r>
    <n v="2026"/>
    <s v="MAIO"/>
    <n v="82497143"/>
    <n v="10424271"/>
    <s v="CAIXA 05/2025"/>
    <d v="2026-05-09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2"/>
    <m/>
    <m/>
    <n v="12"/>
    <s v="Não"/>
  </r>
  <r>
    <n v="2026"/>
    <s v="MAIO"/>
    <n v="83160557"/>
    <n v="10424271"/>
    <s v="CAIXA 05/2025"/>
    <d v="2026-05-06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41"/>
    <m/>
    <m/>
    <n v="41"/>
    <s v="Não"/>
  </r>
  <r>
    <n v="2026"/>
    <s v="MAIO"/>
    <n v="82496855"/>
    <n v="10424271"/>
    <s v="CAIXA 05/2025"/>
    <d v="2026-05-04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54.16"/>
    <m/>
    <m/>
    <n v="54.16"/>
    <s v="Não"/>
  </r>
  <r>
    <n v="2026"/>
    <s v="MAIO"/>
    <n v="84188001"/>
    <n v="10424271"/>
    <s v="CAIXA 05/2025"/>
    <d v="2026-05-01T00:00:00"/>
    <s v="BEATRIZ SILVA DE SIQUEIRA"/>
    <n v="35575473880"/>
    <x v="1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120.9"/>
    <m/>
    <m/>
    <n v="120.9"/>
    <s v="Não"/>
  </r>
  <r>
    <n v="2026"/>
    <s v="MAIO"/>
    <n v="83162959"/>
    <n v="10424271"/>
    <s v="CAIXA 05/2025"/>
    <d v="2026-05-01T00:00:00"/>
    <s v="BEATRIZ SILVA DE SIQUEIRA"/>
    <n v="35575473880"/>
    <x v="1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178.2"/>
    <m/>
    <m/>
    <n v="178.2"/>
    <s v="Não"/>
  </r>
  <r>
    <n v="2026"/>
    <s v="MAIO"/>
    <n v="82899618"/>
    <n v="10424271"/>
    <s v="CAIXA 05/2025"/>
    <d v="2026-05-01T00:00:00"/>
    <s v="BEATRIZ SILVA DE SIQUEIRA"/>
    <n v="35575473880"/>
    <x v="1"/>
    <m/>
    <s v="Estacionamento e Pedagio"/>
    <s v="ESTACIONAMENTO"/>
    <s v="Não"/>
    <s v="Atendimento de chamado caixa economica"/>
    <m/>
    <s v="CEF SP SUL"/>
    <s v="Saque VExpenses"/>
    <s v="REGIONAL SP"/>
    <n v="1"/>
    <m/>
    <m/>
    <m/>
    <m/>
    <s v="BRL"/>
    <n v="214.25"/>
    <m/>
    <m/>
    <n v="214.25"/>
    <s v="Não"/>
  </r>
  <r>
    <n v="2026"/>
    <s v="ABRIL"/>
    <n v="83160404"/>
    <n v="10424271"/>
    <s v="CAIXA 05/2025"/>
    <d v="2026-04-30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8.5"/>
    <m/>
    <m/>
    <n v="18.5"/>
    <s v="Não"/>
  </r>
  <r>
    <n v="2026"/>
    <s v="ABRIL"/>
    <n v="84345252"/>
    <n v="10424271"/>
    <s v="CAIXA 05/2025"/>
    <d v="2026-04-28T00:00:00"/>
    <s v="BEATRIZ SILVA DE SIQUEIRA"/>
    <n v="35575473880"/>
    <x v="1"/>
    <m/>
    <s v="Material"/>
    <s v="MATERIAL"/>
    <s v="Não"/>
    <s v="Nota"/>
    <m/>
    <s v="CEF SP SUL"/>
    <s v="Saque VExpenses"/>
    <s v="REGIONAL SP"/>
    <n v="1"/>
    <m/>
    <m/>
    <m/>
    <m/>
    <s v="BRL"/>
    <n v="71"/>
    <m/>
    <m/>
    <n v="71"/>
    <s v="Não"/>
  </r>
  <r>
    <n v="2026"/>
    <s v="ABRIL"/>
    <n v="81666462"/>
    <n v="10306286"/>
    <s v="CAIXA 04/2026"/>
    <d v="2026-04-23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51.8"/>
    <m/>
    <m/>
    <n v="51.8"/>
    <s v="Não"/>
  </r>
  <r>
    <n v="2026"/>
    <s v="ABRIL"/>
    <n v="81660193"/>
    <n v="10306286"/>
    <s v="CAIXA 04/2026"/>
    <d v="2026-04-18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9.8000000000000007"/>
    <m/>
    <m/>
    <n v="9.8000000000000007"/>
    <s v="Não"/>
  </r>
  <r>
    <n v="2026"/>
    <s v="ABRIL"/>
    <n v="81660593"/>
    <n v="10306286"/>
    <s v="CAIXA 04/2026"/>
    <d v="2026-04-16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n v="0"/>
    <s v="BRL"/>
    <n v="37.89"/>
    <m/>
    <m/>
    <n v="37.89"/>
    <s v="Não"/>
  </r>
  <r>
    <n v="2026"/>
    <s v="ABRIL"/>
    <n v="81659514"/>
    <n v="10306286"/>
    <s v="CAIXA 04/2026"/>
    <d v="2026-04-16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37.89"/>
    <m/>
    <m/>
    <n v="37.89"/>
    <s v="Não"/>
  </r>
  <r>
    <n v="2026"/>
    <s v="ABRIL"/>
    <n v="81660479"/>
    <n v="10306286"/>
    <s v="CAIXA 04/2026"/>
    <d v="2026-04-08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39.5"/>
    <m/>
    <m/>
    <n v="39.5"/>
    <s v="Não"/>
  </r>
  <r>
    <n v="2026"/>
    <s v="ABRIL"/>
    <n v="81660253"/>
    <n v="10306286"/>
    <s v="CAIXA 04/2026"/>
    <d v="2026-04-08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10.7"/>
    <m/>
    <m/>
    <n v="10.7"/>
    <s v="Não"/>
  </r>
  <r>
    <n v="2026"/>
    <s v="ABRIL"/>
    <n v="81666536"/>
    <n v="10306286"/>
    <s v="CAIXA 04/2026"/>
    <d v="2026-04-02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44.6"/>
    <m/>
    <m/>
    <n v="44.6"/>
    <s v="Não"/>
  </r>
  <r>
    <n v="2026"/>
    <s v="ABRIL"/>
    <n v="81660043"/>
    <n v="10306286"/>
    <s v="CAIXA 04/2026"/>
    <d v="2026-04-02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88.9"/>
    <m/>
    <m/>
    <n v="88.9"/>
    <s v="Não"/>
  </r>
  <r>
    <n v="2026"/>
    <s v="ABRIL"/>
    <n v="81783947"/>
    <n v="10306286"/>
    <s v="CAIXA 04/2026"/>
    <d v="2026-04-01T00:00:00"/>
    <s v="BEATRIZ SILVA DE SIQUEIRA"/>
    <n v="35575473880"/>
    <x v="1"/>
    <m/>
    <s v="Recibo"/>
    <s v="MATERIAL"/>
    <s v="Não"/>
    <s v="Atendimento de chamado caixa economica"/>
    <m/>
    <s v="CEF SP SUL"/>
    <s v="Saque VExpenses"/>
    <s v="REGIONAL SP"/>
    <n v="1"/>
    <m/>
    <m/>
    <m/>
    <m/>
    <s v="BRL"/>
    <n v="173"/>
    <m/>
    <m/>
    <n v="173"/>
    <s v="Não"/>
  </r>
  <r>
    <n v="2026"/>
    <s v="ABRIL"/>
    <n v="81680496"/>
    <n v="10306286"/>
    <s v="CAIXA 04/2026"/>
    <d v="2026-04-01T00:00:00"/>
    <s v="BEATRIZ SILVA DE SIQUEIRA"/>
    <n v="35575473880"/>
    <x v="1"/>
    <m/>
    <s v="Estacionamento e Pedagio"/>
    <s v="PEDAGIO"/>
    <s v="Não"/>
    <s v="Atendimento de chamado caixa economica"/>
    <m/>
    <s v="CEF SP SUL"/>
    <s v="Saque VExpenses"/>
    <s v="REGIONAL SP"/>
    <n v="1"/>
    <m/>
    <m/>
    <m/>
    <m/>
    <s v="BRL"/>
    <n v="593.45000000000005"/>
    <m/>
    <m/>
    <n v="593.45000000000005"/>
    <s v="Não"/>
  </r>
  <r>
    <n v="2026"/>
    <s v="ABRIL"/>
    <n v="81666645"/>
    <n v="10306286"/>
    <s v="CAIXA 04/2026"/>
    <d v="2026-04-01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128.9"/>
    <m/>
    <m/>
    <n v="128.9"/>
    <s v="Não"/>
  </r>
  <r>
    <n v="2026"/>
    <s v="ABRIL"/>
    <n v="81659718"/>
    <n v="10306286"/>
    <s v="CAIXA 04/2026"/>
    <d v="2026-04-01T00:00:00"/>
    <s v="BEATRIZ SILVA DE SIQUEIRA"/>
    <n v="35575473880"/>
    <x v="1"/>
    <m/>
    <s v="Recibo"/>
    <s v="MATERIAL"/>
    <s v="Não"/>
    <s v="Atendimento de chamado caixa econômica"/>
    <m/>
    <s v="CEF SP SUL"/>
    <s v="Saque VExpenses"/>
    <s v="REGIONAL SP"/>
    <n v="1"/>
    <m/>
    <m/>
    <m/>
    <m/>
    <s v="BRL"/>
    <n v="128.9"/>
    <m/>
    <m/>
    <n v="128.9"/>
    <s v="Não"/>
  </r>
  <r>
    <n v="2026"/>
    <s v="MARÇO"/>
    <n v="79662281"/>
    <n v="9847728"/>
    <s v="CAIXA 03/2026"/>
    <d v="2026-03-31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77.650000000000006"/>
    <m/>
    <m/>
    <n v="77.650000000000006"/>
    <s v="Não"/>
  </r>
  <r>
    <n v="2026"/>
    <s v="MARÇO"/>
    <n v="79662624"/>
    <n v="9847728"/>
    <s v="CAIXA 03/2026"/>
    <d v="2026-03-28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418.6"/>
    <m/>
    <m/>
    <n v="418.6"/>
    <s v="Não"/>
  </r>
  <r>
    <n v="2026"/>
    <s v="MARÇO"/>
    <n v="79662492"/>
    <n v="9847728"/>
    <s v="CAIXA 03/2026"/>
    <d v="2026-03-28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48.9"/>
    <m/>
    <m/>
    <n v="48.9"/>
    <s v="Não"/>
  </r>
  <r>
    <n v="2026"/>
    <s v="MARÇO"/>
    <n v="79662447"/>
    <n v="9847728"/>
    <s v="CAIXA 03/2026"/>
    <d v="2026-03-28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27.6"/>
    <m/>
    <m/>
    <n v="27.6"/>
    <s v="Não"/>
  </r>
  <r>
    <n v="2026"/>
    <s v="MARÇO"/>
    <n v="79662666"/>
    <n v="9847728"/>
    <s v="CAIXA 03/2026"/>
    <d v="2026-03-26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12.58"/>
    <m/>
    <m/>
    <n v="12.58"/>
    <s v="Não"/>
  </r>
  <r>
    <n v="2026"/>
    <s v="MARÇO"/>
    <n v="79662334"/>
    <n v="9847728"/>
    <s v="CAIXA 03/2026"/>
    <d v="2026-03-26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15.8"/>
    <m/>
    <m/>
    <n v="15.8"/>
    <s v="Não"/>
  </r>
  <r>
    <n v="2026"/>
    <s v="MARÇO"/>
    <n v="79041753"/>
    <n v="9847728"/>
    <s v="CAIXA 03/2026"/>
    <d v="2026-03-24T00:00:00"/>
    <s v="BEATRIZ SILVA DE SIQUEIRA"/>
    <n v="35575473880"/>
    <x v="1"/>
    <m/>
    <s v="Estacionamento"/>
    <s v="ESTACIONAMENTO"/>
    <s v="Não"/>
    <s v="atendimento de chamado, Caixa Economica Federal."/>
    <m/>
    <s v="CEF SP SUL"/>
    <s v="Saque VExpenses"/>
    <s v="REGIONAL SP"/>
    <n v="1"/>
    <m/>
    <m/>
    <m/>
    <m/>
    <s v="BRL"/>
    <n v="93.9"/>
    <m/>
    <m/>
    <n v="93.9"/>
    <s v="Não"/>
  </r>
  <r>
    <n v="2026"/>
    <s v="MARÇO"/>
    <n v="79662553"/>
    <n v="9847728"/>
    <s v="CAIXA 03/2026"/>
    <d v="2026-03-23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25.45"/>
    <m/>
    <m/>
    <n v="25.45"/>
    <s v="Não"/>
  </r>
  <r>
    <n v="2026"/>
    <s v="MARÇO"/>
    <n v="78353737"/>
    <n v="9847728"/>
    <s v="CAIXA 03/2026"/>
    <d v="2026-03-13T00:00:00"/>
    <s v="BEATRIZ SILVA DE SIQUEIRA"/>
    <n v="35575473880"/>
    <x v="1"/>
    <m/>
    <s v="Estacionamento"/>
    <s v="ESTACIONAMENTO"/>
    <s v="Não"/>
    <s v="Atendimento de chamado Caixa Economica Federal"/>
    <m/>
    <s v="CEF SP SUL"/>
    <s v="Saque VExpenses"/>
    <s v="REGIONAL SP"/>
    <n v="1"/>
    <m/>
    <m/>
    <m/>
    <m/>
    <s v="BRL"/>
    <n v="210.2"/>
    <m/>
    <m/>
    <n v="210.2"/>
    <s v="Não"/>
  </r>
  <r>
    <n v="2026"/>
    <s v="MARÇO"/>
    <n v="78328849"/>
    <n v="9847728"/>
    <s v="CAIXA 03/2026"/>
    <d v="2026-03-12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28"/>
    <m/>
    <m/>
    <n v="28"/>
    <s v="Não"/>
  </r>
  <r>
    <n v="2026"/>
    <s v="MARÇO"/>
    <n v="81928444"/>
    <n v="9847728"/>
    <s v="CAIXA 03/2026"/>
    <d v="2026-03-11T00:00:00"/>
    <s v="BEATRIZ SILVA DE SIQUEIRA"/>
    <n v="35575473880"/>
    <x v="1"/>
    <m/>
    <s v="Estacionamento"/>
    <s v="ESTACIONAMENTO"/>
    <s v="Não"/>
    <s v="Atendimento de chamado caixa economica"/>
    <m/>
    <s v="CEF SP SUL"/>
    <s v="Saque VExpenses"/>
    <s v="REGIONAL SP"/>
    <n v="1"/>
    <m/>
    <m/>
    <m/>
    <m/>
    <s v="BRL"/>
    <n v="7"/>
    <m/>
    <m/>
    <n v="7"/>
    <s v="Não"/>
  </r>
  <r>
    <n v="2026"/>
    <s v="MARÇO"/>
    <n v="78329000"/>
    <n v="9847728"/>
    <s v="CAIXA 03/2026"/>
    <d v="2026-03-11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44.34"/>
    <m/>
    <m/>
    <n v="44.34"/>
    <s v="Não"/>
  </r>
  <r>
    <n v="2026"/>
    <s v="MARÇO"/>
    <n v="78328668"/>
    <n v="9847728"/>
    <s v="CAIXA 03/2026"/>
    <d v="2026-03-11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21.6"/>
    <m/>
    <m/>
    <n v="21.6"/>
    <s v="Não"/>
  </r>
  <r>
    <n v="2026"/>
    <s v="MARÇO"/>
    <n v="78328065"/>
    <n v="9847728"/>
    <s v="CAIXA 03/2026"/>
    <d v="2026-03-10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69.8"/>
    <m/>
    <m/>
    <n v="69.8"/>
    <s v="Não"/>
  </r>
  <r>
    <n v="2026"/>
    <s v="MARÇO"/>
    <n v="78328934"/>
    <n v="9847728"/>
    <s v="CAIXA 03/2026"/>
    <d v="2026-03-0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70"/>
    <m/>
    <m/>
    <n v="70"/>
    <s v="Não"/>
  </r>
  <r>
    <n v="2026"/>
    <s v="MARÇO"/>
    <n v="78328155"/>
    <n v="9847728"/>
    <s v="CAIXA 03/2026"/>
    <d v="2026-03-0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369.9"/>
    <m/>
    <m/>
    <n v="369.9"/>
    <s v="Não"/>
  </r>
  <r>
    <n v="2026"/>
    <s v="MARÇO"/>
    <n v="78249483"/>
    <n v="9847728"/>
    <s v="CAIXA 03/2026"/>
    <d v="2026-03-0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0.5"/>
    <m/>
    <m/>
    <n v="10.5"/>
    <s v="Não"/>
  </r>
  <r>
    <n v="2026"/>
    <s v="MARÇO"/>
    <n v="81928587"/>
    <n v="9847728"/>
    <s v="CAIXA 03/2026"/>
    <d v="2026-03-05T00:00:00"/>
    <s v="BEATRIZ SILVA DE SIQUEIRA"/>
    <n v="35575473880"/>
    <x v="1"/>
    <m/>
    <s v="Material"/>
    <s v="MATERIAL"/>
    <s v="Não"/>
    <s v="Atendimento de chamado caixa economica"/>
    <m/>
    <s v="CEF SP SUL"/>
    <s v="Saque VExpenses"/>
    <s v="REGIONAL SP"/>
    <n v="1"/>
    <m/>
    <m/>
    <m/>
    <m/>
    <s v="BRL"/>
    <n v="112.6"/>
    <m/>
    <m/>
    <n v="112.6"/>
    <s v="Não"/>
  </r>
  <r>
    <n v="2026"/>
    <s v="MARÇO"/>
    <n v="79661014"/>
    <n v="9847728"/>
    <s v="CAIXA 03/2026"/>
    <d v="2026-03-01T00:00:00"/>
    <s v="BEATRIZ SILVA DE SIQUEIRA"/>
    <n v="35575473880"/>
    <x v="1"/>
    <m/>
    <s v="Estacionamento e Pedagio"/>
    <s v="ESTACIONAMENTO"/>
    <s v="Não"/>
    <s v="atendimento de chamado, caixa economica"/>
    <m/>
    <s v="CEF SP SUL"/>
    <s v="Saque VExpenses"/>
    <s v="REGIONAL SP"/>
    <n v="1"/>
    <m/>
    <m/>
    <m/>
    <m/>
    <s v="BRL"/>
    <n v="261.5"/>
    <m/>
    <m/>
    <n v="261.5"/>
    <s v="Não"/>
  </r>
  <r>
    <n v="2026"/>
    <s v="FEVEREIRO"/>
    <n v="78277156"/>
    <n v="9644206"/>
    <s v="CAIXA 02/2026"/>
    <d v="2026-02-28T00:00:00"/>
    <s v="BEATRIZ SILVA DE SIQUEIRA"/>
    <n v="35575473880"/>
    <x v="1"/>
    <m/>
    <s v="Estacionamento"/>
    <s v="ESTACIONAMENTO"/>
    <s v="Não"/>
    <s v="Atendimento de chamados Caixa Economica Federal."/>
    <m/>
    <s v="CEF SP SUL"/>
    <s v="Saque VExpenses"/>
    <s v="REGIONAL SP"/>
    <n v="1"/>
    <m/>
    <m/>
    <m/>
    <m/>
    <s v="BRL"/>
    <n v="458.5"/>
    <m/>
    <m/>
    <n v="458.5"/>
    <s v="Não"/>
  </r>
  <r>
    <n v="2026"/>
    <s v="FEVEREIRO"/>
    <n v="78250085"/>
    <n v="9644206"/>
    <s v="CAIXA 02/2026"/>
    <d v="2026-02-27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1"/>
    <m/>
    <m/>
    <n v="11"/>
    <s v="Não"/>
  </r>
  <r>
    <n v="2026"/>
    <s v="FEVEREIRO"/>
    <n v="78250312"/>
    <n v="9644206"/>
    <s v="CAIXA 02/2026"/>
    <d v="2026-02-2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50"/>
    <m/>
    <m/>
    <n v="50"/>
    <s v="Não"/>
  </r>
  <r>
    <n v="2026"/>
    <s v="FEVEREIRO"/>
    <n v="78250207"/>
    <n v="9644206"/>
    <s v="CAIXA 02/2026"/>
    <d v="2026-02-23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211.24"/>
    <m/>
    <m/>
    <n v="211.24"/>
    <s v="Não"/>
  </r>
  <r>
    <n v="2026"/>
    <s v="FEVEREIRO"/>
    <n v="78250130"/>
    <n v="9644206"/>
    <s v="CAIXA 02/2026"/>
    <d v="2026-02-23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6.48"/>
    <m/>
    <m/>
    <n v="6.48"/>
    <s v="Não"/>
  </r>
  <r>
    <n v="2026"/>
    <s v="FEVEREIRO"/>
    <n v="78250052"/>
    <n v="9644206"/>
    <s v="CAIXA 02/2026"/>
    <d v="2026-02-23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29.5"/>
    <m/>
    <m/>
    <n v="29.5"/>
    <s v="Não"/>
  </r>
  <r>
    <n v="2026"/>
    <s v="FEVEREIRO"/>
    <n v="77074949"/>
    <n v="9644206"/>
    <s v="CAIXA 02/2026"/>
    <d v="2026-02-23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57.08"/>
    <m/>
    <m/>
    <n v="57.08"/>
    <s v="Não"/>
  </r>
  <r>
    <n v="2026"/>
    <s v="FEVEREIRO"/>
    <n v="77074688"/>
    <n v="9644206"/>
    <s v="CAIXA 02/2026"/>
    <d v="2026-02-20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5.42"/>
    <m/>
    <m/>
    <n v="15.42"/>
    <s v="Não"/>
  </r>
  <r>
    <n v="2026"/>
    <s v="FEVEREIRO"/>
    <n v="76920020"/>
    <n v="9644206"/>
    <s v="CAIXA 02/2026"/>
    <d v="2026-02-20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47"/>
    <m/>
    <m/>
    <n v="47"/>
    <s v="Não"/>
  </r>
  <r>
    <n v="2026"/>
    <s v="FEVEREIRO"/>
    <n v="77074793"/>
    <n v="9644206"/>
    <s v="CAIXA 02/2026"/>
    <d v="2026-02-1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49.99"/>
    <m/>
    <m/>
    <n v="149.99"/>
    <s v="Não"/>
  </r>
  <r>
    <n v="2026"/>
    <s v="FEVEREIRO"/>
    <n v="77074757"/>
    <n v="9644206"/>
    <s v="CAIXA 02/2026"/>
    <d v="2026-02-1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3.96"/>
    <m/>
    <m/>
    <n v="13.96"/>
    <s v="Não"/>
  </r>
  <r>
    <n v="2026"/>
    <s v="FEVEREIRO"/>
    <n v="77074466"/>
    <n v="9644206"/>
    <s v="CAIXA 02/2026"/>
    <d v="2026-02-1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0.9"/>
    <m/>
    <m/>
    <n v="10.9"/>
    <s v="Não"/>
  </r>
  <r>
    <n v="2026"/>
    <s v="FEVEREIRO"/>
    <n v="76919999"/>
    <n v="9644206"/>
    <s v="CAIXA 02/2026"/>
    <d v="2026-02-1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420"/>
    <m/>
    <m/>
    <n v="420"/>
    <s v="Não"/>
  </r>
  <r>
    <n v="2026"/>
    <s v="FEVEREIRO"/>
    <n v="76920059"/>
    <n v="9644206"/>
    <s v="CAIXA 02/2026"/>
    <d v="2026-02-18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380"/>
    <m/>
    <m/>
    <n v="380"/>
    <s v="Não"/>
  </r>
  <r>
    <n v="2026"/>
    <s v="FEVEREIRO"/>
    <n v="76801166"/>
    <n v="9644206"/>
    <s v="CAIXA 02/2026"/>
    <d v="2026-02-18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37"/>
    <m/>
    <m/>
    <n v="37"/>
    <s v="Não"/>
  </r>
  <r>
    <n v="2026"/>
    <s v="FEVEREIRO"/>
    <n v="76801140"/>
    <n v="9644206"/>
    <s v="CAIXA 02/2026"/>
    <d v="2026-02-18T00:00:00"/>
    <s v="BEATRIZ SILVA DE SIQUEIRA"/>
    <n v="35575473880"/>
    <x v="1"/>
    <m/>
    <s v="Pedagio"/>
    <s v="PEDAGIO"/>
    <s v="Não"/>
    <s v="Atendimento de chamado Caixa Econômica Federal"/>
    <m/>
    <s v="CEF SP SUL"/>
    <s v="Saque VExpenses"/>
    <s v="REGIONAL SP"/>
    <n v="1"/>
    <m/>
    <m/>
    <m/>
    <m/>
    <s v="BRL"/>
    <n v="21.6"/>
    <m/>
    <m/>
    <n v="21.6"/>
    <s v="Não"/>
  </r>
  <r>
    <n v="2026"/>
    <s v="FEVEREIRO"/>
    <n v="76801108"/>
    <n v="9644206"/>
    <s v="CAIXA 02/2026"/>
    <d v="2026-02-18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78.900000000000006"/>
    <m/>
    <m/>
    <n v="78.900000000000006"/>
    <s v="Não"/>
  </r>
  <r>
    <n v="2026"/>
    <s v="FEVEREIRO"/>
    <n v="77074849"/>
    <n v="9644206"/>
    <s v="CAIXA 02/2026"/>
    <d v="2026-02-12T00:00:00"/>
    <s v="BEATRIZ SILVA DE SIQUEIRA"/>
    <n v="35575473880"/>
    <x v="1"/>
    <m/>
    <s v="Material*"/>
    <s v="MATERIAL"/>
    <s v="Não"/>
    <s v="Atendimento de chamado Caixa Econômica Federal"/>
    <m/>
    <s v="CEF SP SUL"/>
    <s v="Saque VExpenses"/>
    <s v="REGIONAL SP"/>
    <n v="1"/>
    <m/>
    <m/>
    <m/>
    <m/>
    <s v="BRL"/>
    <n v="37"/>
    <m/>
    <m/>
    <n v="37"/>
    <s v="Não"/>
  </r>
  <r>
    <n v="2026"/>
    <s v="FEVEREIRO"/>
    <n v="76919891"/>
    <n v="9644206"/>
    <s v="CAIXA 02/2026"/>
    <d v="2026-02-11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28.59"/>
    <m/>
    <m/>
    <n v="128.59"/>
    <s v="Não"/>
  </r>
  <r>
    <n v="2026"/>
    <s v="FEVEREIRO"/>
    <n v="77074421"/>
    <n v="9644206"/>
    <s v="CAIXA 02/2026"/>
    <d v="2026-02-10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2"/>
    <m/>
    <m/>
    <n v="12"/>
    <s v="Não"/>
  </r>
  <r>
    <n v="2026"/>
    <s v="FEVEREIRO"/>
    <n v="76801284"/>
    <n v="9644206"/>
    <s v="CAIXA 02/2026"/>
    <d v="2026-02-10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3.5"/>
    <m/>
    <m/>
    <n v="13.5"/>
    <s v="Não"/>
  </r>
  <r>
    <n v="2026"/>
    <s v="FEVEREIRO"/>
    <n v="76801233"/>
    <n v="9644206"/>
    <s v="CAIXA 02/2026"/>
    <d v="2026-02-04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71"/>
    <m/>
    <m/>
    <n v="71"/>
    <s v="Não"/>
  </r>
  <r>
    <n v="2026"/>
    <s v="FEVEREIRO"/>
    <n v="76801208"/>
    <n v="9644206"/>
    <s v="CAIXA 02/2026"/>
    <d v="2026-02-03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9.9499999999999993"/>
    <m/>
    <m/>
    <n v="9.9499999999999993"/>
    <s v="Não"/>
  </r>
  <r>
    <n v="2026"/>
    <s v="FEVEREIRO"/>
    <n v="78277362"/>
    <n v="9644206"/>
    <s v="CAIXA 02/2026"/>
    <d v="2026-02-02T00:00:00"/>
    <s v="BEATRIZ SILVA DE SIQUEIRA"/>
    <n v="35575473880"/>
    <x v="1"/>
    <m/>
    <s v="Pedagio"/>
    <s v="PEDAGIO"/>
    <s v="Não"/>
    <s v="Atendimento de chamado Caixa Economica Federal."/>
    <m/>
    <s v="CEF SP SUL"/>
    <s v="Saque VExpenses"/>
    <s v="REGIONAL SP"/>
    <n v="1"/>
    <m/>
    <m/>
    <m/>
    <m/>
    <s v="BRL"/>
    <n v="17"/>
    <m/>
    <m/>
    <n v="17"/>
    <s v="Não"/>
  </r>
  <r>
    <n v="2026"/>
    <s v="FEVEREIRO"/>
    <n v="76919855"/>
    <n v="9644206"/>
    <s v="CAIXA 02/2026"/>
    <d v="2026-02-02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90.37"/>
    <m/>
    <m/>
    <n v="90.37"/>
    <s v="Não"/>
  </r>
  <r>
    <n v="2026"/>
    <s v="FEVEREIRO"/>
    <n v="76802772"/>
    <n v="9644206"/>
    <s v="CAIXA 02/2026"/>
    <d v="2026-02-02T00:00:00"/>
    <s v="BEATRIZ SILVA DE SIQUEIRA"/>
    <n v="35575473880"/>
    <x v="1"/>
    <m/>
    <s v="Pedagio"/>
    <s v="PEDAGIO"/>
    <s v="Não"/>
    <s v="Atendimento de chamado Caixa Economica Federal."/>
    <m/>
    <s v="CEF SP SUL"/>
    <s v="Saque VExpenses"/>
    <s v="REGIONAL SP"/>
    <n v="1"/>
    <m/>
    <m/>
    <m/>
    <m/>
    <s v="BRL"/>
    <n v="39.44"/>
    <m/>
    <m/>
    <n v="39.44"/>
    <s v="Não"/>
  </r>
  <r>
    <n v="2026"/>
    <s v="FEVEREIRO"/>
    <n v="76801386"/>
    <n v="9644206"/>
    <s v="CAIXA 02/2026"/>
    <d v="2026-02-02T00:00:00"/>
    <s v="BEATRIZ SILVA DE SIQUEIRA"/>
    <n v="35575473880"/>
    <x v="1"/>
    <m/>
    <s v="Pedagio"/>
    <s v="PEDAGIO"/>
    <s v="Não"/>
    <s v="Atendimento de chamado Caixa Econômica Federal"/>
    <m/>
    <s v="CEF SP SUL"/>
    <s v="Saque VExpenses"/>
    <s v="REGIONAL SP"/>
    <n v="1"/>
    <m/>
    <m/>
    <m/>
    <m/>
    <s v="BRL"/>
    <n v="27.57"/>
    <m/>
    <m/>
    <n v="27.57"/>
    <s v="Não"/>
  </r>
  <r>
    <n v="2026"/>
    <s v="FEVEREIRO"/>
    <n v="76801322"/>
    <n v="9644206"/>
    <s v="CAIXA 02/2026"/>
    <d v="2026-02-02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79"/>
    <m/>
    <m/>
    <n v="179"/>
    <s v="Não"/>
  </r>
  <r>
    <n v="2026"/>
    <s v="JANEIRO"/>
    <n v="78249662"/>
    <n v="9644206"/>
    <s v="CAIXA 02/2026"/>
    <d v="2026-01-31T00:00:00"/>
    <s v="BEATRIZ SILVA DE SIQUEIRA"/>
    <n v="35575473880"/>
    <x v="1"/>
    <m/>
    <s v="Pedagio"/>
    <s v="PEDAGIO"/>
    <s v="Não"/>
    <s v="Atendimento de chamado Caixa Economica Federal"/>
    <m/>
    <s v="CEF SP SUL"/>
    <s v="Saque VExpenses"/>
    <s v="REGIONAL SP"/>
    <n v="1"/>
    <m/>
    <m/>
    <m/>
    <m/>
    <s v="BRL"/>
    <n v="28.1"/>
    <m/>
    <m/>
    <n v="28.1"/>
    <s v="Não"/>
  </r>
  <r>
    <n v="2026"/>
    <s v="JANEIRO"/>
    <n v="78250174"/>
    <n v="9644206"/>
    <s v="CAIXA 02/2026"/>
    <d v="2026-01-0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8.2"/>
    <m/>
    <m/>
    <n v="18.2"/>
    <s v="Não"/>
  </r>
  <r>
    <n v="2026"/>
    <s v="FEVEREIRO"/>
    <n v="76919720"/>
    <n v="9332667"/>
    <s v="Caixa - 01/2026"/>
    <d v="2026-02-20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35"/>
    <m/>
    <m/>
    <n v="35"/>
    <s v="Não"/>
  </r>
  <r>
    <n v="2026"/>
    <s v="FEVEREIRO"/>
    <n v="76802682"/>
    <n v="9332667"/>
    <s v="Caixa - 01/2026"/>
    <d v="2026-02-18T00:00:00"/>
    <s v="BEATRIZ SILVA DE SIQUEIRA"/>
    <n v="35575473880"/>
    <x v="1"/>
    <m/>
    <s v="Devolução Equipamento"/>
    <s v="LOCAÇÃO DE EQUIPAMENTOS"/>
    <s v="Não"/>
    <s v="Atendimento de chamado Caixa Economica Federal."/>
    <m/>
    <s v="CEF SP SUL"/>
    <s v="Saque VExpenses"/>
    <s v="REGIONAL SP"/>
    <n v="1"/>
    <m/>
    <m/>
    <m/>
    <m/>
    <s v="BRL"/>
    <n v="231"/>
    <m/>
    <m/>
    <n v="231"/>
    <s v="Não"/>
  </r>
  <r>
    <n v="2026"/>
    <s v="JANEIRO"/>
    <n v="76800735"/>
    <n v="9332667"/>
    <s v="Caixa - 01/2026"/>
    <d v="2026-01-31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46"/>
    <m/>
    <m/>
    <n v="46"/>
    <s v="Não"/>
  </r>
  <r>
    <n v="2026"/>
    <s v="JANEIRO"/>
    <n v="76800701"/>
    <n v="9332667"/>
    <s v="Caixa - 01/2026"/>
    <d v="2026-01-31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56"/>
    <m/>
    <m/>
    <n v="56"/>
    <s v="Não"/>
  </r>
  <r>
    <n v="2026"/>
    <s v="JANEIRO"/>
    <n v="76800641"/>
    <n v="9332667"/>
    <s v="Caixa - 01/2026"/>
    <d v="2026-01-31T00:00:00"/>
    <s v="BEATRIZ SILVA DE SIQUEIRA"/>
    <n v="35575473880"/>
    <x v="1"/>
    <m/>
    <s v="Estacionamento"/>
    <s v="ESTACIONAMENTO"/>
    <s v="Não"/>
    <s v="Atendimento de chamado Caixa Econômica Federal"/>
    <m/>
    <s v="CEF SP SUL"/>
    <s v="Saque VExpenses"/>
    <s v="REGIONAL SP"/>
    <n v="1"/>
    <m/>
    <m/>
    <m/>
    <m/>
    <s v="BRL"/>
    <n v="35"/>
    <m/>
    <m/>
    <n v="35"/>
    <s v="Não"/>
  </r>
  <r>
    <n v="2026"/>
    <s v="JANEIRO"/>
    <n v="76919770"/>
    <n v="9332667"/>
    <s v="Caixa - 01/2026"/>
    <d v="2026-01-29T00:00:00"/>
    <s v="BEATRIZ SILVA DE SIQUEIRA"/>
    <n v="35575473880"/>
    <x v="1"/>
    <m/>
    <s v="Matéria"/>
    <s v="MATERIAL"/>
    <s v="Não"/>
    <s v="Atendimento de chamado Caixa Econômica Federal"/>
    <m/>
    <s v="CEF SP SUL"/>
    <s v="Saque VExpenses"/>
    <s v="REGIONAL SP"/>
    <n v="1"/>
    <m/>
    <m/>
    <m/>
    <m/>
    <s v="BRL"/>
    <n v="49.8"/>
    <m/>
    <m/>
    <n v="49.8"/>
    <s v="Não"/>
  </r>
  <r>
    <n v="2026"/>
    <s v="JANEIRO"/>
    <n v="76800927"/>
    <n v="9332667"/>
    <s v="Caixa - 01/2026"/>
    <d v="2026-01-29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00.65"/>
    <m/>
    <m/>
    <n v="100.65"/>
    <s v="Não"/>
  </r>
  <r>
    <n v="2026"/>
    <s v="JANEIRO"/>
    <n v="76801009"/>
    <n v="9332667"/>
    <s v="Caixa - 01/2026"/>
    <d v="2026-01-28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40"/>
    <m/>
    <m/>
    <n v="40"/>
    <s v="Não"/>
  </r>
  <r>
    <n v="2026"/>
    <s v="JANEIRO"/>
    <n v="76800779"/>
    <n v="9332667"/>
    <s v="Caixa - 01/2026"/>
    <d v="2026-01-28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6.5"/>
    <m/>
    <m/>
    <n v="16.5"/>
    <s v="Não"/>
  </r>
  <r>
    <n v="2026"/>
    <s v="JANEIRO"/>
    <n v="75468259"/>
    <n v="9332667"/>
    <s v="Caixa - 01/2026"/>
    <d v="2026-01-27T00:00:00"/>
    <s v="BEATRIZ SILVA DE SIQUEIRA"/>
    <n v="35575473880"/>
    <x v="1"/>
    <m/>
    <s v="Estacionamento 14"/>
    <s v="ESTACIONAMENTO"/>
    <s v="Não"/>
    <s v="Estacionamento"/>
    <m/>
    <s v="CEF SP SUL"/>
    <s v="Saque VExpenses"/>
    <s v="REGIONAL SP"/>
    <n v="1"/>
    <m/>
    <m/>
    <m/>
    <m/>
    <s v="BRL"/>
    <n v="6.67"/>
    <m/>
    <m/>
    <n v="6.67"/>
    <s v="Não"/>
  </r>
  <r>
    <n v="2026"/>
    <s v="JANEIRO"/>
    <n v="75468221"/>
    <n v="9332667"/>
    <s v="Caixa - 01/2026"/>
    <d v="2026-01-27T00:00:00"/>
    <s v="BEATRIZ SILVA DE SIQUEIRA"/>
    <n v="35575473880"/>
    <x v="1"/>
    <m/>
    <s v="Estacionamento 13"/>
    <s v="ESTACIONAMENTO"/>
    <s v="Não"/>
    <s v="Estacionamento"/>
    <m/>
    <s v="CEF SP SUL"/>
    <s v="Saque VExpenses"/>
    <s v="REGIONAL SP"/>
    <n v="1"/>
    <m/>
    <m/>
    <m/>
    <m/>
    <s v="BRL"/>
    <n v="6.2"/>
    <m/>
    <m/>
    <n v="6.2"/>
    <s v="Não"/>
  </r>
  <r>
    <n v="2026"/>
    <s v="JANEIRO"/>
    <n v="75468174"/>
    <n v="9332667"/>
    <s v="Caixa - 01/2026"/>
    <d v="2026-01-27T00:00:00"/>
    <s v="BEATRIZ SILVA DE SIQUEIRA"/>
    <n v="35575473880"/>
    <x v="1"/>
    <m/>
    <s v="Estacionamento 12"/>
    <s v="ESTACIONAMENTO"/>
    <s v="Não"/>
    <s v="Contem 2 notas esse arquivo"/>
    <m/>
    <s v="CEF SP SUL"/>
    <s v="Saque VExpenses"/>
    <s v="REGIONAL SP"/>
    <n v="1"/>
    <m/>
    <m/>
    <m/>
    <m/>
    <s v="BRL"/>
    <n v="9.4"/>
    <m/>
    <m/>
    <n v="9.4"/>
    <s v="Não"/>
  </r>
  <r>
    <n v="2026"/>
    <s v="JANEIRO"/>
    <n v="75468110"/>
    <n v="9332667"/>
    <s v="Caixa - 01/2026"/>
    <d v="2026-01-27T00:00:00"/>
    <s v="BEATRIZ SILVA DE SIQUEIRA"/>
    <n v="35575473880"/>
    <x v="1"/>
    <m/>
    <s v="Estacionamento 11"/>
    <s v="ESTACIONAMENTO"/>
    <s v="Não"/>
    <s v="Contem 5 notas"/>
    <m/>
    <s v="CEF SP SUL"/>
    <s v="Saque VExpenses"/>
    <s v="REGIONAL SP"/>
    <n v="1"/>
    <m/>
    <m/>
    <m/>
    <m/>
    <s v="BRL"/>
    <n v="15.5"/>
    <m/>
    <m/>
    <n v="15.5"/>
    <s v="Não"/>
  </r>
  <r>
    <n v="2026"/>
    <s v="JANEIRO"/>
    <n v="75468058"/>
    <n v="9332667"/>
    <s v="Caixa - 01/2026"/>
    <d v="2026-01-27T00:00:00"/>
    <s v="BEATRIZ SILVA DE SIQUEIRA"/>
    <n v="35575473880"/>
    <x v="1"/>
    <m/>
    <s v="Estacionamento 10"/>
    <s v="ESTACIONAMENTO"/>
    <s v="Não"/>
    <s v="Contem 2 notas nessa arquivo"/>
    <m/>
    <s v="CEF SP SUL"/>
    <s v="Saque VExpenses"/>
    <s v="REGIONAL SP"/>
    <n v="1"/>
    <m/>
    <m/>
    <m/>
    <m/>
    <s v="BRL"/>
    <n v="5.4"/>
    <m/>
    <m/>
    <n v="5.4"/>
    <s v="Não"/>
  </r>
  <r>
    <n v="2026"/>
    <s v="JANEIRO"/>
    <n v="75468009"/>
    <n v="9332667"/>
    <s v="Caixa - 01/2026"/>
    <d v="2026-01-27T00:00:00"/>
    <s v="BEATRIZ SILVA DE SIQUEIRA"/>
    <n v="35575473880"/>
    <x v="1"/>
    <m/>
    <s v="Estacionamento 9"/>
    <s v="ESTACIONAMENTO"/>
    <s v="Não"/>
    <s v="Estacionamento"/>
    <m/>
    <s v="CEF SP SUL"/>
    <s v="Saque VExpenses"/>
    <s v="REGIONAL SP"/>
    <n v="1"/>
    <m/>
    <m/>
    <m/>
    <m/>
    <s v="BRL"/>
    <n v="2.2000000000000002"/>
    <m/>
    <m/>
    <n v="2.2000000000000002"/>
    <s v="Não"/>
  </r>
  <r>
    <n v="2026"/>
    <s v="JANEIRO"/>
    <n v="76800863"/>
    <n v="9332667"/>
    <s v="Caixa - 01/2026"/>
    <d v="2026-01-2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69.9"/>
    <m/>
    <m/>
    <n v="169.9"/>
    <s v="Não"/>
  </r>
  <r>
    <n v="2026"/>
    <s v="JANEIRO"/>
    <n v="76800821"/>
    <n v="9332667"/>
    <s v="Caixa - 01/2026"/>
    <d v="2026-01-2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71.989999999999995"/>
    <m/>
    <m/>
    <n v="71.989999999999995"/>
    <s v="Não"/>
  </r>
  <r>
    <n v="2026"/>
    <s v="JANEIRO"/>
    <n v="75465329"/>
    <n v="9332667"/>
    <s v="Caixa - 01/2026"/>
    <d v="2026-01-26T00:00:00"/>
    <s v="BEATRIZ SILVA DE SIQUEIRA"/>
    <n v="35575473880"/>
    <x v="1"/>
    <m/>
    <s v="Material 9"/>
    <s v="MATERIAL"/>
    <s v="Não"/>
    <s v="Atendimento de chamado Caixa Econômica Federal"/>
    <m/>
    <s v="CEF SP SUL"/>
    <s v="Saque VExpenses"/>
    <s v="REGIONAL SP"/>
    <n v="1"/>
    <m/>
    <m/>
    <m/>
    <m/>
    <s v="BRL"/>
    <n v="129.9"/>
    <m/>
    <m/>
    <n v="129.9"/>
    <s v="Não"/>
  </r>
  <r>
    <n v="2026"/>
    <s v="JANEIRO"/>
    <n v="75466365"/>
    <n v="9332667"/>
    <s v="Caixa - 01/2026"/>
    <d v="2026-01-24T00:00:00"/>
    <s v="BEATRIZ SILVA DE SIQUEIRA"/>
    <n v="35575473880"/>
    <x v="1"/>
    <m/>
    <s v="Estacionamento 3"/>
    <s v="ESTACIONAMENTO"/>
    <s v="Não"/>
    <s v="Atendimento de chamado Caixa Econômica Federal"/>
    <m/>
    <s v="CEF SP SUL"/>
    <s v="Saque VExpenses"/>
    <s v="REGIONAL SP"/>
    <n v="1"/>
    <m/>
    <m/>
    <m/>
    <m/>
    <s v="BRL"/>
    <n v="20"/>
    <m/>
    <m/>
    <n v="20"/>
    <s v="Não"/>
  </r>
  <r>
    <n v="2026"/>
    <s v="JANEIRO"/>
    <n v="75466235"/>
    <n v="9332667"/>
    <s v="Caixa - 01/2026"/>
    <d v="2026-01-23T00:00:00"/>
    <s v="BEATRIZ SILVA DE SIQUEIRA"/>
    <n v="35575473880"/>
    <x v="1"/>
    <m/>
    <s v="Pedagio 1"/>
    <s v="PEDAGIO"/>
    <s v="Não"/>
    <s v="Atendimento de chamado Caixa Econômica Federal"/>
    <m/>
    <s v="CEF SP SUL"/>
    <s v="Saque VExpenses"/>
    <s v="REGIONAL SP"/>
    <n v="1"/>
    <m/>
    <m/>
    <m/>
    <m/>
    <s v="BRL"/>
    <n v="5.7"/>
    <m/>
    <m/>
    <n v="5.7"/>
    <s v="Não"/>
  </r>
  <r>
    <n v="2026"/>
    <s v="JANEIRO"/>
    <n v="75465287"/>
    <n v="9332667"/>
    <s v="Caixa - 01/2026"/>
    <d v="2026-01-23T00:00:00"/>
    <s v="BEATRIZ SILVA DE SIQUEIRA"/>
    <n v="35575473880"/>
    <x v="1"/>
    <m/>
    <s v="Material 8"/>
    <s v="MATERIAL"/>
    <s v="Não"/>
    <s v="Atendimento de chamado Caixa Econômica Federal"/>
    <m/>
    <s v="CEF SP SUL"/>
    <s v="Saque VExpenses"/>
    <s v="REGIONAL SP"/>
    <n v="1"/>
    <m/>
    <m/>
    <m/>
    <m/>
    <s v="BRL"/>
    <n v="10.9"/>
    <m/>
    <m/>
    <n v="10.9"/>
    <s v="Não"/>
  </r>
  <r>
    <n v="2026"/>
    <s v="JANEIRO"/>
    <n v="76800577"/>
    <n v="9332667"/>
    <s v="Caixa - 01/2026"/>
    <d v="2026-01-22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3"/>
    <m/>
    <m/>
    <n v="3"/>
    <s v="Não"/>
  </r>
  <r>
    <n v="2026"/>
    <s v="JANEIRO"/>
    <n v="75466522"/>
    <n v="9332667"/>
    <s v="Caixa - 01/2026"/>
    <d v="2026-01-22T00:00:00"/>
    <s v="BEATRIZ SILVA DE SIQUEIRA"/>
    <n v="35575473880"/>
    <x v="1"/>
    <m/>
    <s v="Estacionamento 6"/>
    <s v="ESTACIONAMENTO"/>
    <s v="Não"/>
    <s v="Atendimento de chamado Caixa Econômica Federal"/>
    <m/>
    <s v="CEF SP SUL"/>
    <s v="Saque VExpenses"/>
    <s v="REGIONAL SP"/>
    <n v="1"/>
    <m/>
    <m/>
    <m/>
    <m/>
    <s v="BRL"/>
    <n v="17"/>
    <m/>
    <m/>
    <n v="17"/>
    <s v="Não"/>
  </r>
  <r>
    <n v="2026"/>
    <s v="JANEIRO"/>
    <n v="75465666"/>
    <n v="9332667"/>
    <s v="Caixa - 01/2026"/>
    <d v="2026-01-22T00:00:00"/>
    <s v="BEATRIZ SILVA DE SIQUEIRA"/>
    <n v="35575473880"/>
    <x v="1"/>
    <m/>
    <s v="Material 12"/>
    <s v="MATERIAL"/>
    <s v="Não"/>
    <s v="Atendimento de chamado Caixa Econômica Federal"/>
    <m/>
    <s v="CEF SP SUL"/>
    <s v="Saque VExpenses"/>
    <s v="REGIONAL SP"/>
    <n v="1"/>
    <m/>
    <m/>
    <m/>
    <m/>
    <s v="BRL"/>
    <n v="29.79"/>
    <m/>
    <m/>
    <n v="29.79"/>
    <s v="Não"/>
  </r>
  <r>
    <n v="2026"/>
    <s v="JANEIRO"/>
    <n v="75465174"/>
    <n v="9332667"/>
    <s v="Caixa - 01/2026"/>
    <d v="2026-01-22T00:00:00"/>
    <s v="BEATRIZ SILVA DE SIQUEIRA"/>
    <n v="35575473880"/>
    <x v="1"/>
    <m/>
    <s v="Material 6"/>
    <s v="MATERIAL"/>
    <s v="Não"/>
    <s v="Atendimento de chamado Caixa Econômica Federal"/>
    <m/>
    <s v="CEF SP SUL"/>
    <s v="Saque VExpenses"/>
    <s v="REGIONAL SP"/>
    <n v="1"/>
    <m/>
    <m/>
    <m/>
    <m/>
    <s v="BRL"/>
    <n v="9.9"/>
    <m/>
    <m/>
    <n v="9.9"/>
    <s v="Não"/>
  </r>
  <r>
    <n v="2026"/>
    <s v="JANEIRO"/>
    <n v="75465799"/>
    <n v="9332667"/>
    <s v="Caixa - 01/2026"/>
    <d v="2026-01-21T00:00:00"/>
    <s v="BEATRIZ SILVA DE SIQUEIRA"/>
    <n v="35575473880"/>
    <x v="1"/>
    <m/>
    <s v="Material 14"/>
    <s v="MATERIAL"/>
    <s v="Não"/>
    <s v="Atendimento de chamado Caixa Econômica Federal"/>
    <m/>
    <s v="CEF SP SUL"/>
    <s v="Saque VExpenses"/>
    <s v="REGIONAL SP"/>
    <n v="1"/>
    <m/>
    <m/>
    <m/>
    <m/>
    <s v="BRL"/>
    <n v="129.79"/>
    <m/>
    <m/>
    <n v="129.79"/>
    <s v="Não"/>
  </r>
  <r>
    <n v="2026"/>
    <s v="JANEIRO"/>
    <n v="75465723"/>
    <n v="9332667"/>
    <s v="Caixa - 01/2026"/>
    <d v="2026-01-21T00:00:00"/>
    <s v="BEATRIZ SILVA DE SIQUEIRA"/>
    <n v="35575473880"/>
    <x v="1"/>
    <m/>
    <s v="Material 13"/>
    <s v="MATERIAL"/>
    <s v="Não"/>
    <s v="Atendimento de chamado Caixa Econômica Federal"/>
    <m/>
    <s v="CEF SP SUL"/>
    <s v="Saque VExpenses"/>
    <s v="REGIONAL SP"/>
    <n v="1"/>
    <m/>
    <m/>
    <m/>
    <m/>
    <s v="BRL"/>
    <n v="84.89"/>
    <m/>
    <m/>
    <n v="84.89"/>
    <s v="Não"/>
  </r>
  <r>
    <n v="2026"/>
    <s v="JANEIRO"/>
    <n v="76800558"/>
    <n v="9332667"/>
    <s v="Caixa - 01/2026"/>
    <d v="2026-01-17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8.5"/>
    <m/>
    <m/>
    <n v="8.5"/>
    <s v="Não"/>
  </r>
  <r>
    <n v="2026"/>
    <s v="JANEIRO"/>
    <n v="76800963"/>
    <n v="9332667"/>
    <s v="Caixa - 01/2026"/>
    <d v="2026-01-16T00:00:00"/>
    <s v="BEATRIZ SILVA DE SIQUEIRA"/>
    <n v="35575473880"/>
    <x v="1"/>
    <m/>
    <s v="Material"/>
    <s v="MATERIAL"/>
    <s v="Não"/>
    <s v="Atendimento de chamado Caixa Econômica Federal"/>
    <m/>
    <s v="CEF SP SUL"/>
    <s v="Saque VExpenses"/>
    <s v="REGIONAL SP"/>
    <n v="1"/>
    <m/>
    <m/>
    <m/>
    <m/>
    <s v="BRL"/>
    <n v="10"/>
    <m/>
    <m/>
    <n v="10"/>
    <s v="Não"/>
  </r>
  <r>
    <n v="2026"/>
    <s v="JANEIRO"/>
    <n v="75465225"/>
    <n v="9332667"/>
    <s v="Caixa - 01/2026"/>
    <d v="2026-01-16T00:00:00"/>
    <s v="BEATRIZ SILVA DE SIQUEIRA"/>
    <n v="35575473880"/>
    <x v="1"/>
    <m/>
    <s v="Material 7"/>
    <s v="MATERIAL"/>
    <s v="Não"/>
    <s v="Atendimento de chamado Caixa Econômica Federal"/>
    <m/>
    <s v="CEF SP SUL"/>
    <s v="Saque VExpenses"/>
    <s v="REGIONAL SP"/>
    <n v="1"/>
    <m/>
    <m/>
    <m/>
    <m/>
    <s v="BRL"/>
    <n v="49.9"/>
    <m/>
    <m/>
    <n v="49.9"/>
    <s v="Não"/>
  </r>
  <r>
    <n v="2026"/>
    <s v="JANEIRO"/>
    <n v="75466271"/>
    <n v="9332667"/>
    <s v="Caixa - 01/2026"/>
    <d v="2026-01-15T00:00:00"/>
    <s v="BEATRIZ SILVA DE SIQUEIRA"/>
    <n v="35575473880"/>
    <x v="1"/>
    <m/>
    <s v="Estacionamento 1"/>
    <s v="ESTACIONAMENTO"/>
    <s v="Não"/>
    <s v="Atendimento de chamado Caixa Econômica Federal"/>
    <m/>
    <s v="CEF SP SUL"/>
    <s v="Saque VExpenses"/>
    <s v="REGIONAL SP"/>
    <n v="1"/>
    <m/>
    <m/>
    <m/>
    <m/>
    <s v="BRL"/>
    <n v="15"/>
    <m/>
    <m/>
    <n v="15"/>
    <s v="Não"/>
  </r>
  <r>
    <n v="2026"/>
    <s v="JANEIRO"/>
    <n v="75466324"/>
    <n v="9332667"/>
    <s v="Caixa - 01/2026"/>
    <d v="2026-01-14T00:00:00"/>
    <s v="BEATRIZ SILVA DE SIQUEIRA"/>
    <n v="35575473880"/>
    <x v="1"/>
    <m/>
    <s v="Estacionamento 2"/>
    <s v="ESTACIONAMENTO"/>
    <s v="Não"/>
    <s v="Atendimento de chamado Caixa Econômica Federal"/>
    <m/>
    <s v="CEF SP SUL"/>
    <s v="Saque VExpenses"/>
    <s v="REGIONAL SP"/>
    <n v="1"/>
    <m/>
    <m/>
    <m/>
    <m/>
    <s v="BRL"/>
    <n v="15"/>
    <m/>
    <m/>
    <n v="15"/>
    <s v="Não"/>
  </r>
  <r>
    <n v="2026"/>
    <s v="JANEIRO"/>
    <n v="75466414"/>
    <n v="9332667"/>
    <s v="Caixa - 01/2026"/>
    <d v="2026-01-12T00:00:00"/>
    <s v="BEATRIZ SILVA DE SIQUEIRA"/>
    <n v="35575473880"/>
    <x v="1"/>
    <m/>
    <s v="Estacionamento 4"/>
    <s v="ESTACIONAMENTO"/>
    <s v="Não"/>
    <s v="Atendimento de chamado Caixa Econômica Federal"/>
    <m/>
    <s v="CEF SP SUL"/>
    <s v="Saque VExpenses"/>
    <s v="REGIONAL SP"/>
    <n v="1"/>
    <m/>
    <m/>
    <m/>
    <m/>
    <s v="BRL"/>
    <n v="17"/>
    <m/>
    <m/>
    <n v="17"/>
    <s v="Não"/>
  </r>
  <r>
    <n v="2026"/>
    <s v="JANEIRO"/>
    <n v="74536167"/>
    <n v="9332667"/>
    <s v="Caixa - 01/2026"/>
    <d v="2026-01-07T00:00:00"/>
    <s v="BEATRIZ SILVA DE SIQUEIRA"/>
    <n v="35575473880"/>
    <x v="1"/>
    <m/>
    <s v="Material 01"/>
    <s v="MATERIAL"/>
    <s v="Não"/>
    <s v="Atendimento de chamado Caixa Econômica Federal"/>
    <m/>
    <s v="CEF SP SUL"/>
    <s v="Saque VExpenses"/>
    <s v="REGIONAL SP"/>
    <n v="1"/>
    <m/>
    <m/>
    <m/>
    <m/>
    <s v="BRL"/>
    <n v="187"/>
    <m/>
    <m/>
    <n v="187"/>
    <s v="Não"/>
  </r>
  <r>
    <n v="2026"/>
    <s v="JANEIRO"/>
    <n v="74536397"/>
    <n v="9332667"/>
    <s v="Caixa - 01/2026"/>
    <d v="2026-01-05T00:00:00"/>
    <s v="BEATRIZ SILVA DE SIQUEIRA"/>
    <n v="35575473880"/>
    <x v="1"/>
    <m/>
    <s v="Material 4"/>
    <s v="MATERIAL"/>
    <s v="Não"/>
    <s v="Atendimento de chamado Caixa Econômica Federal"/>
    <m/>
    <s v="CEF SP SUL"/>
    <s v="Saque VExpenses"/>
    <s v="REGIONAL SP"/>
    <n v="1"/>
    <m/>
    <m/>
    <m/>
    <m/>
    <s v="BRL"/>
    <n v="119"/>
    <m/>
    <m/>
    <n v="119"/>
    <s v="Não"/>
  </r>
  <r>
    <n v="2026"/>
    <s v="JANEIRO"/>
    <n v="74536370"/>
    <n v="9332667"/>
    <s v="Caixa - 01/2026"/>
    <d v="2026-01-05T00:00:00"/>
    <s v="BEATRIZ SILVA DE SIQUEIRA"/>
    <n v="35575473880"/>
    <x v="1"/>
    <m/>
    <s v="Material 3"/>
    <s v="MATERIAL"/>
    <s v="Não"/>
    <s v="Atendimento de chamado Caixa Econômica Federal"/>
    <m/>
    <s v="CEF SP SUL"/>
    <s v="Saque VExpenses"/>
    <s v="REGIONAL SP"/>
    <n v="1"/>
    <m/>
    <m/>
    <m/>
    <m/>
    <s v="BRL"/>
    <n v="230.05"/>
    <m/>
    <m/>
    <n v="230.05"/>
    <s v="Não"/>
  </r>
  <r>
    <n v="2026"/>
    <s v="JANEIRO"/>
    <n v="74536313"/>
    <n v="9332667"/>
    <s v="Caixa - 01/2026"/>
    <d v="2026-01-05T00:00:00"/>
    <s v="BEATRIZ SILVA DE SIQUEIRA"/>
    <n v="35575473880"/>
    <x v="1"/>
    <m/>
    <s v="Material 2"/>
    <s v="MATERIAL"/>
    <s v="Não"/>
    <s v="Atendimento de chamado Caixa Econômica Federal"/>
    <m/>
    <s v="CEF SP SUL"/>
    <s v="Saque VExpenses"/>
    <s v="REGIONAL SP"/>
    <n v="1"/>
    <m/>
    <m/>
    <m/>
    <m/>
    <s v="BRL"/>
    <n v="75.900000000000006"/>
    <m/>
    <m/>
    <n v="75.900000000000006"/>
    <s v="Não"/>
  </r>
  <r>
    <n v="2025"/>
    <s v="DEZEMBRO"/>
    <n v="75465854"/>
    <n v="9332667"/>
    <s v="Caixa - 01/2026"/>
    <d v="2025-12-18T00:00:00"/>
    <s v="BEATRIZ SILVA DE SIQUEIRA"/>
    <n v="35575473880"/>
    <x v="1"/>
    <m/>
    <s v="Material 15"/>
    <s v="MATERIAL"/>
    <s v="Não"/>
    <s v="Atendimento de chamado Caixa Econômica Federal"/>
    <m/>
    <s v="CEF SP SUL"/>
    <s v="Saque VExpenses"/>
    <s v="REGIONAL SP"/>
    <n v="1"/>
    <m/>
    <m/>
    <m/>
    <m/>
    <s v="BRL"/>
    <n v="450.48"/>
    <m/>
    <m/>
    <n v="450.48"/>
    <s v="Não"/>
  </r>
  <r>
    <n v="2025"/>
    <s v="DEZEMBRO"/>
    <n v="75465608"/>
    <n v="9332667"/>
    <s v="Caixa - 01/2026"/>
    <d v="2025-12-15T00:00:00"/>
    <s v="BEATRIZ SILVA DE SIQUEIRA"/>
    <n v="35575473880"/>
    <x v="1"/>
    <m/>
    <s v="Material 11"/>
    <s v="MATERIAL"/>
    <s v="Não"/>
    <s v="Atendimento de chamado Caixa Econômica Federal"/>
    <m/>
    <s v="CEF SP SUL"/>
    <s v="Saque VExpenses"/>
    <s v="REGIONAL SP"/>
    <n v="1"/>
    <m/>
    <m/>
    <m/>
    <m/>
    <s v="BRL"/>
    <n v="55"/>
    <m/>
    <m/>
    <n v="55"/>
    <s v="Não"/>
  </r>
  <r>
    <n v="2025"/>
    <s v="DEZEMBRO"/>
    <n v="75465110"/>
    <n v="9332667"/>
    <s v="Caixa - 01/2026"/>
    <d v="2025-12-13T00:00:00"/>
    <s v="BEATRIZ SILVA DE SIQUEIRA"/>
    <n v="35575473880"/>
    <x v="1"/>
    <m/>
    <s v="Material 5"/>
    <s v="MATERIAL"/>
    <s v="Não"/>
    <s v="Atendimento de chamado Caixa Econômica Federal"/>
    <m/>
    <s v="CEF SP SUL"/>
    <s v="Saque VExpenses"/>
    <s v="REGIONAL SP"/>
    <n v="1"/>
    <m/>
    <m/>
    <m/>
    <m/>
    <s v="BRL"/>
    <n v="38"/>
    <m/>
    <m/>
    <n v="38"/>
    <s v="Não"/>
  </r>
  <r>
    <n v="2025"/>
    <s v="DEZEMBRO"/>
    <n v="75466465"/>
    <n v="9332667"/>
    <s v="Caixa - 01/2026"/>
    <d v="2025-12-11T00:00:00"/>
    <s v="BEATRIZ SILVA DE SIQUEIRA"/>
    <n v="35575473880"/>
    <x v="1"/>
    <m/>
    <s v="Estacionamento 5"/>
    <s v="ESTACIONAMENTO"/>
    <s v="Não"/>
    <s v="Atendimento de chamado Caixa Econômica Federal"/>
    <m/>
    <s v="CEF SP SUL"/>
    <s v="Saque VExpenses"/>
    <s v="REGIONAL SP"/>
    <n v="1"/>
    <m/>
    <m/>
    <m/>
    <m/>
    <s v="BRL"/>
    <n v="16"/>
    <m/>
    <m/>
    <n v="16"/>
    <s v="Não"/>
  </r>
  <r>
    <n v="2025"/>
    <s v="DEZEMBRO"/>
    <n v="75467794"/>
    <n v="9332667"/>
    <s v="Caixa - 01/2026"/>
    <d v="2025-12-03T00:00:00"/>
    <s v="BEATRIZ SILVA DE SIQUEIRA"/>
    <n v="35575473880"/>
    <x v="1"/>
    <m/>
    <s v="Estacionamento 7"/>
    <s v="ESTACIONAMENTO"/>
    <s v="Não"/>
    <s v="No arquivo contem 4 notas."/>
    <m/>
    <s v="CEF SP SUL"/>
    <s v="Saque VExpenses"/>
    <s v="REGIONAL SP"/>
    <n v="1"/>
    <m/>
    <m/>
    <m/>
    <m/>
    <s v="BRL"/>
    <n v="5"/>
    <m/>
    <m/>
    <n v="5"/>
    <s v="Não"/>
  </r>
  <r>
    <n v="2025"/>
    <s v="NOVEMBRO"/>
    <n v="75465551"/>
    <n v="9332667"/>
    <s v="Caixa - 01/2026"/>
    <d v="2025-11-11T00:00:00"/>
    <s v="BEATRIZ SILVA DE SIQUEIRA"/>
    <n v="35575473880"/>
    <x v="1"/>
    <m/>
    <s v="Material 10"/>
    <s v="MATERIAL"/>
    <s v="Não"/>
    <s v="Atendimento de chamado Caixa Econômica Federal Nota tinha ido por engano no cartão de crédito, por isso a demora na inclusão do caixa"/>
    <m/>
    <s v="CEF SP SUL"/>
    <s v="Saque VExpenses"/>
    <s v="REGIONAL SP"/>
    <n v="1"/>
    <m/>
    <m/>
    <m/>
    <m/>
    <s v="BRL"/>
    <n v="164.25"/>
    <m/>
    <m/>
    <n v="164.25"/>
    <s v="Não"/>
  </r>
  <r>
    <n v="2025"/>
    <s v="OUTUBRO"/>
    <n v="75467913"/>
    <n v="9332667"/>
    <s v="Caixa - 01/2026"/>
    <d v="2025-10-13T00:00:00"/>
    <s v="BEATRIZ SILVA DE SIQUEIRA"/>
    <n v="35575473880"/>
    <x v="1"/>
    <m/>
    <s v="Estacionamento 8"/>
    <s v="ESTACIONAMENTO"/>
    <s v="Não"/>
    <s v="Estacionamento."/>
    <m/>
    <s v="CEF SP SUL"/>
    <s v="Saque VExpenses"/>
    <s v="REGIONAL SP"/>
    <n v="1"/>
    <m/>
    <m/>
    <m/>
    <m/>
    <s v="BRL"/>
    <n v="1.7"/>
    <m/>
    <m/>
    <n v="1.7"/>
    <s v="Não"/>
  </r>
  <r>
    <n v="2025"/>
    <s v="DEZEMBRO"/>
    <n v="74535364"/>
    <n v="9115050"/>
    <s v="Caixa - 12/2025"/>
    <d v="2025-12-30T00:00:00"/>
    <s v="BEATRIZ SILVA DE SIQUEIRA"/>
    <n v="35575473880"/>
    <x v="1"/>
    <m/>
    <s v="Pedagio 11"/>
    <s v="PEDAGIO"/>
    <s v="Não"/>
    <s v="Atendimento de chamado Caixa Econômica Federal"/>
    <m/>
    <s v="CEF SP SUL"/>
    <s v="Saque VExpenses"/>
    <s v="REGIONAL SP"/>
    <n v="1"/>
    <m/>
    <m/>
    <m/>
    <m/>
    <s v="BRL"/>
    <n v="54"/>
    <m/>
    <m/>
    <n v="54"/>
    <s v="Não"/>
  </r>
  <r>
    <n v="2025"/>
    <s v="DEZEMBRO"/>
    <n v="74535343"/>
    <n v="9115050"/>
    <s v="Caixa - 12/2025"/>
    <d v="2025-12-30T00:00:00"/>
    <s v="BEATRIZ SILVA DE SIQUEIRA"/>
    <n v="35575473880"/>
    <x v="1"/>
    <m/>
    <s v="Pedagio 10"/>
    <s v="PEDAGIO"/>
    <s v="Não"/>
    <s v="Atendimento de chamado Caixa Econômica Federal"/>
    <m/>
    <s v="CEF SP SUL"/>
    <s v="Saque VExpenses"/>
    <s v="REGIONAL SP"/>
    <n v="1"/>
    <m/>
    <m/>
    <m/>
    <m/>
    <s v="BRL"/>
    <n v="27.3"/>
    <m/>
    <m/>
    <n v="27.3"/>
    <s v="Não"/>
  </r>
  <r>
    <n v="2025"/>
    <s v="DEZEMBRO"/>
    <n v="74535319"/>
    <n v="9115050"/>
    <s v="Caixa - 12/2025"/>
    <d v="2025-12-30T00:00:00"/>
    <s v="BEATRIZ SILVA DE SIQUEIRA"/>
    <n v="35575473880"/>
    <x v="1"/>
    <m/>
    <s v="Estacionamento 9"/>
    <s v="ESTACIONAMENTO"/>
    <s v="Não"/>
    <s v="Atendimento de chamado Caixa Econômica Federal"/>
    <m/>
    <s v="CEF SP SUL"/>
    <s v="Saque VExpenses"/>
    <s v="REGIONAL SP"/>
    <n v="1"/>
    <m/>
    <m/>
    <m/>
    <m/>
    <s v="BRL"/>
    <n v="60"/>
    <m/>
    <m/>
    <n v="60"/>
    <s v="Não"/>
  </r>
  <r>
    <n v="2025"/>
    <s v="DEZEMBRO"/>
    <n v="74535285"/>
    <n v="9115050"/>
    <s v="Caixa - 12/2025"/>
    <d v="2025-12-30T00:00:00"/>
    <s v="BEATRIZ SILVA DE SIQUEIRA"/>
    <n v="35575473880"/>
    <x v="1"/>
    <m/>
    <s v="Estacionamento 8"/>
    <s v="ESTACIONAMENTO"/>
    <s v="Não"/>
    <s v="Atendimento de chamado Caixa Econômica Federal"/>
    <m/>
    <s v="CEF SP SUL"/>
    <s v="Saque VExpenses"/>
    <s v="REGIONAL SP"/>
    <n v="1"/>
    <m/>
    <m/>
    <m/>
    <m/>
    <s v="BRL"/>
    <n v="65"/>
    <m/>
    <m/>
    <n v="65"/>
    <s v="Não"/>
  </r>
  <r>
    <n v="2025"/>
    <s v="DEZEMBRO"/>
    <n v="74535266"/>
    <n v="9115050"/>
    <s v="Caixa - 12/2025"/>
    <d v="2025-12-30T00:00:00"/>
    <s v="BEATRIZ SILVA DE SIQUEIRA"/>
    <n v="35575473880"/>
    <x v="1"/>
    <m/>
    <s v="Estacionamento 7"/>
    <s v="ESTACIONAMENTO"/>
    <s v="Não"/>
    <s v="Atendimento de chamado Caixa Econômica Federal"/>
    <m/>
    <s v="CEF SP SUL"/>
    <s v="Saque VExpenses"/>
    <s v="REGIONAL SP"/>
    <n v="1"/>
    <m/>
    <m/>
    <m/>
    <m/>
    <s v="BRL"/>
    <n v="91"/>
    <m/>
    <m/>
    <n v="91"/>
    <s v="Não"/>
  </r>
  <r>
    <n v="2025"/>
    <s v="DEZEMBRO"/>
    <n v="74535199"/>
    <n v="9115050"/>
    <s v="Caixa - 12/2025"/>
    <d v="2025-12-30T00:00:00"/>
    <s v="BEATRIZ SILVA DE SIQUEIRA"/>
    <n v="35575473880"/>
    <x v="1"/>
    <m/>
    <s v="Estacionamento 6"/>
    <s v="ESTACIONAMENTO"/>
    <s v="Não"/>
    <s v="Atendimento de chamado Caixa Econômica Federal"/>
    <m/>
    <s v="CEF SP SUL"/>
    <s v="Saque VExpenses"/>
    <s v="REGIONAL SP"/>
    <n v="1"/>
    <m/>
    <m/>
    <m/>
    <m/>
    <s v="BRL"/>
    <n v="47.5"/>
    <m/>
    <m/>
    <n v="47.5"/>
    <s v="Não"/>
  </r>
  <r>
    <n v="2025"/>
    <s v="DEZEMBRO"/>
    <n v="74530505"/>
    <n v="9115050"/>
    <s v="Caixa - 12/2025"/>
    <d v="2025-12-30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98.5"/>
    <m/>
    <m/>
    <n v="98.5"/>
    <s v="Não"/>
  </r>
  <r>
    <n v="2025"/>
    <s v="DEZEMBRO"/>
    <n v="74531291"/>
    <n v="9115050"/>
    <s v="Caixa - 12/2025"/>
    <d v="2025-12-29T00:00:00"/>
    <s v="BEATRIZ SILVA DE SIQUEIRA"/>
    <n v="35575473880"/>
    <x v="1"/>
    <m/>
    <s v="Nota 29"/>
    <s v="MATERIAL"/>
    <s v="Não"/>
    <s v="Nota 29"/>
    <m/>
    <s v="CEF SP SUL"/>
    <s v="Saque VExpenses"/>
    <s v="REGIONAL SP"/>
    <n v="1"/>
    <m/>
    <m/>
    <m/>
    <m/>
    <s v="BRL"/>
    <n v="15"/>
    <m/>
    <m/>
    <n v="15"/>
    <s v="Não"/>
  </r>
  <r>
    <n v="2025"/>
    <s v="DEZEMBRO"/>
    <n v="74530661"/>
    <n v="9115050"/>
    <s v="Caixa - 12/2025"/>
    <d v="2025-12-29T00:00:00"/>
    <s v="BEATRIZ SILVA DE SIQUEIRA"/>
    <n v="35575473880"/>
    <x v="1"/>
    <m/>
    <s v="Nota 19"/>
    <s v="MATERIAL"/>
    <s v="Não"/>
    <s v="Nota 19"/>
    <m/>
    <s v="CEF SP SUL"/>
    <s v="Saque VExpenses"/>
    <s v="REGIONAL SP"/>
    <n v="1"/>
    <m/>
    <m/>
    <m/>
    <m/>
    <s v="BRL"/>
    <n v="168"/>
    <m/>
    <m/>
    <n v="168"/>
    <s v="Não"/>
  </r>
  <r>
    <n v="2025"/>
    <s v="DEZEMBRO"/>
    <n v="74530612"/>
    <n v="9115050"/>
    <s v="Caixa - 12/2025"/>
    <d v="2025-12-29T00:00:00"/>
    <s v="BEATRIZ SILVA DE SIQUEIRA"/>
    <n v="35575473880"/>
    <x v="1"/>
    <m/>
    <s v="Nota 18"/>
    <s v="MATERIAL"/>
    <s v="Não"/>
    <s v="Nota 18"/>
    <m/>
    <s v="CEF SP SUL"/>
    <s v="Saque VExpenses"/>
    <s v="REGIONAL SP"/>
    <n v="1"/>
    <m/>
    <m/>
    <m/>
    <n v="0"/>
    <s v="BRL"/>
    <n v="9.9"/>
    <m/>
    <m/>
    <n v="9.9"/>
    <s v="Não"/>
  </r>
  <r>
    <n v="2025"/>
    <s v="DEZEMBRO"/>
    <n v="74530559"/>
    <n v="9115050"/>
    <s v="Caixa - 12/2025"/>
    <d v="2025-12-29T00:00:00"/>
    <s v="BEATRIZ SILVA DE SIQUEIRA"/>
    <n v="35575473880"/>
    <x v="1"/>
    <m/>
    <s v="Nota 17"/>
    <s v="MATERIAL"/>
    <s v="Não"/>
    <s v="Nota 17"/>
    <m/>
    <s v="CEF SP SUL"/>
    <s v="Saque VExpenses"/>
    <s v="REGIONAL SP"/>
    <n v="1"/>
    <m/>
    <m/>
    <m/>
    <m/>
    <s v="BRL"/>
    <n v="34.99"/>
    <m/>
    <m/>
    <n v="34.99"/>
    <s v="Não"/>
  </r>
  <r>
    <n v="2025"/>
    <s v="DEZEMBRO"/>
    <n v="74144317"/>
    <n v="9115050"/>
    <s v="Caixa - 12/2025"/>
    <d v="2025-12-29T00:00:00"/>
    <s v="BEATRIZ SILVA DE SIQUEIRA"/>
    <n v="35575473880"/>
    <x v="1"/>
    <m/>
    <s v="Estacionamento 5"/>
    <s v="ESTACIONAMENTO"/>
    <s v="Não"/>
    <s v="Atendimento de chamado Caixa Econômica Federal"/>
    <m/>
    <s v="CEF SP SUL"/>
    <s v="Saque VExpenses"/>
    <s v="REGIONAL SP"/>
    <n v="1"/>
    <m/>
    <m/>
    <m/>
    <m/>
    <s v="BRL"/>
    <n v="44"/>
    <m/>
    <m/>
    <n v="44"/>
    <s v="Não"/>
  </r>
  <r>
    <n v="2025"/>
    <s v="DEZEMBRO"/>
    <n v="74144280"/>
    <n v="9115050"/>
    <s v="Caixa - 12/2025"/>
    <d v="2025-12-29T00:00:00"/>
    <s v="BEATRIZ SILVA DE SIQUEIRA"/>
    <n v="35575473880"/>
    <x v="1"/>
    <m/>
    <s v="Estacionamento 4"/>
    <s v="ESTACIONAMENTO"/>
    <s v="Não"/>
    <s v="Atendimento de chamado Caixa Econômica Federal"/>
    <m/>
    <s v="CEF SP SUL"/>
    <s v="Saque VExpenses"/>
    <s v="REGIONAL SP"/>
    <n v="1"/>
    <m/>
    <m/>
    <m/>
    <m/>
    <s v="BRL"/>
    <n v="34"/>
    <m/>
    <m/>
    <n v="34"/>
    <s v="Não"/>
  </r>
  <r>
    <n v="2025"/>
    <s v="DEZEMBRO"/>
    <n v="74144257"/>
    <n v="9115050"/>
    <s v="Caixa - 12/2025"/>
    <d v="2025-12-29T00:00:00"/>
    <s v="BEATRIZ SILVA DE SIQUEIRA"/>
    <n v="35575473880"/>
    <x v="1"/>
    <m/>
    <s v="Estacionamento 3"/>
    <s v="ESTACIONAMENTO"/>
    <s v="Não"/>
    <s v="Atendimento de chamado Caixa Econômica Federal"/>
    <m/>
    <s v="CEF SP SUL"/>
    <s v="Saque VExpenses"/>
    <s v="REGIONAL SP"/>
    <n v="1"/>
    <m/>
    <m/>
    <m/>
    <m/>
    <s v="BRL"/>
    <n v="96"/>
    <m/>
    <m/>
    <n v="96"/>
    <s v="Não"/>
  </r>
  <r>
    <n v="2025"/>
    <s v="DEZEMBRO"/>
    <n v="74144233"/>
    <n v="9115050"/>
    <s v="Caixa - 12/2025"/>
    <d v="2025-12-29T00:00:00"/>
    <s v="BEATRIZ SILVA DE SIQUEIRA"/>
    <n v="35575473880"/>
    <x v="1"/>
    <m/>
    <s v="Pedagio 2"/>
    <s v="PEDAGIO"/>
    <s v="Não"/>
    <s v="Atendimento de chamado Caixa Econômica Federal"/>
    <m/>
    <s v="CEF SP SUL"/>
    <s v="Saque VExpenses"/>
    <s v="REGIONAL SP"/>
    <n v="1"/>
    <m/>
    <m/>
    <m/>
    <m/>
    <s v="BRL"/>
    <n v="32.4"/>
    <m/>
    <m/>
    <n v="32.4"/>
    <s v="Não"/>
  </r>
  <r>
    <n v="2025"/>
    <s v="DEZEMBRO"/>
    <n v="74144208"/>
    <n v="9115050"/>
    <s v="Caixa - 12/2025"/>
    <d v="2025-12-29T00:00:00"/>
    <s v="BEATRIZ SILVA DE SIQUEIRA"/>
    <n v="35575473880"/>
    <x v="1"/>
    <m/>
    <s v="Pedagio 1"/>
    <s v="PEDAGIO"/>
    <s v="Não"/>
    <s v="Atendimento de chamado Caixa Econômica Federal"/>
    <m/>
    <s v="CEF SP SUL"/>
    <s v="Saque VExpenses"/>
    <s v="REGIONAL SP"/>
    <n v="1"/>
    <m/>
    <m/>
    <m/>
    <m/>
    <s v="BRL"/>
    <n v="30.7"/>
    <m/>
    <m/>
    <n v="30.7"/>
    <s v="Não"/>
  </r>
  <r>
    <n v="2025"/>
    <s v="DEZEMBRO"/>
    <n v="74530720"/>
    <n v="9115050"/>
    <s v="Caixa - 12/2025"/>
    <d v="2025-12-27T00:00:00"/>
    <s v="BEATRIZ SILVA DE SIQUEIRA"/>
    <n v="35575473880"/>
    <x v="1"/>
    <m/>
    <s v="Nota 20"/>
    <s v="MATERIAL"/>
    <s v="Não"/>
    <s v="Nota 20"/>
    <m/>
    <s v="CEF SP SUL"/>
    <s v="Saque VExpenses"/>
    <s v="REGIONAL SP"/>
    <n v="1"/>
    <m/>
    <m/>
    <m/>
    <m/>
    <s v="BRL"/>
    <n v="35.700000000000003"/>
    <m/>
    <m/>
    <n v="35.700000000000003"/>
    <s v="Não"/>
  </r>
  <r>
    <n v="2025"/>
    <s v="DEZEMBRO"/>
    <n v="74531393"/>
    <n v="9115050"/>
    <s v="Caixa - 12/2025"/>
    <d v="2025-12-18T00:00:00"/>
    <s v="BEATRIZ SILVA DE SIQUEIRA"/>
    <n v="35575473880"/>
    <x v="1"/>
    <m/>
    <s v="Nota 31"/>
    <s v="MATERIAL"/>
    <s v="Não"/>
    <s v="Nota 31"/>
    <m/>
    <s v="CEF SP SUL"/>
    <s v="Saque VExpenses"/>
    <s v="REGIONAL SP"/>
    <n v="1"/>
    <m/>
    <m/>
    <m/>
    <m/>
    <s v="BRL"/>
    <n v="24"/>
    <m/>
    <m/>
    <n v="24"/>
    <s v="Não"/>
  </r>
  <r>
    <n v="2025"/>
    <s v="DEZEMBRO"/>
    <n v="74531231"/>
    <n v="9115050"/>
    <s v="Caixa - 12/2025"/>
    <d v="2025-12-18T00:00:00"/>
    <s v="BEATRIZ SILVA DE SIQUEIRA"/>
    <n v="35575473880"/>
    <x v="1"/>
    <m/>
    <s v="Nota 28"/>
    <s v="MATERIAL"/>
    <s v="Não"/>
    <s v="Nota 28"/>
    <m/>
    <s v="CEF SP SUL"/>
    <s v="Saque VExpenses"/>
    <s v="REGIONAL SP"/>
    <n v="1"/>
    <m/>
    <m/>
    <m/>
    <m/>
    <s v="BRL"/>
    <n v="40"/>
    <m/>
    <m/>
    <n v="40"/>
    <s v="Não"/>
  </r>
  <r>
    <n v="2025"/>
    <s v="DEZEMBRO"/>
    <n v="74530979"/>
    <n v="9115050"/>
    <s v="Caixa - 12/2025"/>
    <d v="2025-12-17T00:00:00"/>
    <s v="BEATRIZ SILVA DE SIQUEIRA"/>
    <n v="35575473880"/>
    <x v="1"/>
    <m/>
    <s v="Nota 25"/>
    <s v="MATERIAL"/>
    <s v="Não"/>
    <s v="Nota 25"/>
    <m/>
    <s v="CEF SP SUL"/>
    <s v="Saque VExpenses"/>
    <s v="REGIONAL SP"/>
    <n v="1"/>
    <m/>
    <m/>
    <m/>
    <m/>
    <s v="BRL"/>
    <n v="18.8"/>
    <m/>
    <m/>
    <n v="18.8"/>
    <s v="Não"/>
  </r>
  <r>
    <n v="2025"/>
    <s v="DEZEMBRO"/>
    <n v="74530921"/>
    <n v="9115050"/>
    <s v="Caixa - 12/2025"/>
    <d v="2025-12-16T00:00:00"/>
    <s v="BEATRIZ SILVA DE SIQUEIRA"/>
    <n v="35575473880"/>
    <x v="1"/>
    <m/>
    <s v="Nota 24"/>
    <s v="MATERIAL"/>
    <s v="Não"/>
    <s v="Nota 24"/>
    <m/>
    <s v="CEF SP SUL"/>
    <s v="Saque VExpenses"/>
    <s v="REGIONAL SP"/>
    <n v="1"/>
    <m/>
    <m/>
    <m/>
    <m/>
    <s v="BRL"/>
    <n v="24.49"/>
    <m/>
    <m/>
    <n v="24.49"/>
    <s v="Não"/>
  </r>
  <r>
    <n v="2025"/>
    <s v="DEZEMBRO"/>
    <n v="74531043"/>
    <n v="9115050"/>
    <s v="Caixa - 12/2025"/>
    <d v="2025-12-15T00:00:00"/>
    <s v="BEATRIZ SILVA DE SIQUEIRA"/>
    <n v="35575473880"/>
    <x v="1"/>
    <m/>
    <s v="Nota 27"/>
    <s v="MATERIAL"/>
    <s v="Não"/>
    <s v="Nota 27"/>
    <m/>
    <s v="CEF SP SUL"/>
    <s v="Saque VExpenses"/>
    <s v="REGIONAL SP"/>
    <n v="1"/>
    <m/>
    <m/>
    <m/>
    <m/>
    <s v="BRL"/>
    <n v="36.229999999999997"/>
    <m/>
    <m/>
    <n v="36.229999999999997"/>
    <s v="Não"/>
  </r>
  <r>
    <n v="2025"/>
    <s v="DEZEMBRO"/>
    <n v="74530859"/>
    <n v="9115050"/>
    <s v="Caixa - 12/2025"/>
    <d v="2025-12-15T00:00:00"/>
    <s v="BEATRIZ SILVA DE SIQUEIRA"/>
    <n v="35575473880"/>
    <x v="1"/>
    <m/>
    <s v="Nota 23"/>
    <s v="MATERIAL"/>
    <s v="Não"/>
    <s v="Nota 23"/>
    <m/>
    <s v="CEF SP SUL"/>
    <s v="Saque VExpenses"/>
    <s v="REGIONAL SP"/>
    <n v="1"/>
    <m/>
    <m/>
    <m/>
    <m/>
    <s v="BRL"/>
    <n v="10"/>
    <m/>
    <m/>
    <n v="10"/>
    <s v="Não"/>
  </r>
  <r>
    <n v="2025"/>
    <s v="DEZEMBRO"/>
    <n v="74531343"/>
    <n v="9115050"/>
    <s v="Caixa - 12/2025"/>
    <d v="2025-12-12T00:00:00"/>
    <s v="BEATRIZ SILVA DE SIQUEIRA"/>
    <n v="35575473880"/>
    <x v="1"/>
    <m/>
    <s v="Nota 30"/>
    <s v="MATERIAL"/>
    <s v="Não"/>
    <s v="Nota 30"/>
    <m/>
    <s v="CEF SP SUL"/>
    <s v="Saque VExpenses"/>
    <s v="REGIONAL SP"/>
    <n v="1"/>
    <m/>
    <m/>
    <m/>
    <m/>
    <s v="BRL"/>
    <n v="113"/>
    <m/>
    <m/>
    <n v="113"/>
    <s v="Não"/>
  </r>
  <r>
    <n v="2025"/>
    <s v="DEZEMBRO"/>
    <n v="74144081"/>
    <n v="9115050"/>
    <s v="Caixa - 12/2025"/>
    <d v="2025-12-10T00:00:00"/>
    <s v="BEATRIZ SILVA DE SIQUEIRA"/>
    <n v="35575473880"/>
    <x v="1"/>
    <m/>
    <s v="Nota 9"/>
    <s v="MATERIAL"/>
    <s v="Não"/>
    <s v="Atendimento de chamado Caixa Econômica Federal"/>
    <m/>
    <s v="CEF SP SUL"/>
    <s v="Saque VExpenses"/>
    <s v="REGIONAL SP"/>
    <n v="1"/>
    <m/>
    <m/>
    <m/>
    <m/>
    <s v="BRL"/>
    <n v="7.59"/>
    <m/>
    <m/>
    <n v="7.59"/>
    <s v="Não"/>
  </r>
  <r>
    <n v="2025"/>
    <s v="DEZEMBRO"/>
    <n v="74143999"/>
    <n v="9115050"/>
    <s v="Caixa - 12/2025"/>
    <d v="2025-12-10T00:00:00"/>
    <s v="BEATRIZ SILVA DE SIQUEIRA"/>
    <n v="35575473880"/>
    <x v="1"/>
    <m/>
    <s v="Nota 7"/>
    <s v="MATERIAL"/>
    <s v="Não"/>
    <s v="Atendimento de chamado Caixa Econômica Federal"/>
    <m/>
    <s v="CEF SP SUL"/>
    <s v="Saque VExpenses"/>
    <s v="REGIONAL SP"/>
    <n v="1"/>
    <m/>
    <m/>
    <m/>
    <m/>
    <s v="BRL"/>
    <n v="29.99"/>
    <m/>
    <m/>
    <n v="29.99"/>
    <s v="Não"/>
  </r>
  <r>
    <n v="2025"/>
    <s v="DEZEMBRO"/>
    <n v="74530827"/>
    <n v="9115050"/>
    <s v="Caixa - 12/2025"/>
    <d v="2025-12-08T00:00:00"/>
    <s v="BEATRIZ SILVA DE SIQUEIRA"/>
    <n v="35575473880"/>
    <x v="1"/>
    <m/>
    <s v="Nota 22"/>
    <s v="MATERIAL"/>
    <s v="Não"/>
    <s v="Bora 22"/>
    <m/>
    <s v="CEF SP SUL"/>
    <s v="Saque VExpenses"/>
    <s v="REGIONAL SP"/>
    <n v="1"/>
    <m/>
    <m/>
    <m/>
    <m/>
    <s v="BRL"/>
    <n v="9.1999999999999993"/>
    <m/>
    <m/>
    <n v="9.1999999999999993"/>
    <s v="Não"/>
  </r>
  <r>
    <n v="2025"/>
    <s v="DEZEMBRO"/>
    <n v="74530772"/>
    <n v="9115050"/>
    <s v="Caixa - 12/2025"/>
    <d v="2025-12-08T00:00:00"/>
    <s v="BEATRIZ SILVA DE SIQUEIRA"/>
    <n v="35575473880"/>
    <x v="1"/>
    <m/>
    <s v="Nota 21"/>
    <s v="MATERIAL"/>
    <s v="Não"/>
    <s v="Nota 21"/>
    <m/>
    <s v="CEF SP SUL"/>
    <s v="Saque VExpenses"/>
    <s v="REGIONAL SP"/>
    <n v="1"/>
    <m/>
    <m/>
    <m/>
    <m/>
    <s v="BRL"/>
    <n v="21.91"/>
    <m/>
    <m/>
    <n v="21.91"/>
    <s v="Não"/>
  </r>
  <r>
    <n v="2025"/>
    <s v="DEZEMBRO"/>
    <n v="74143920"/>
    <n v="9115050"/>
    <s v="Caixa - 12/2025"/>
    <d v="2025-12-04T00:00:00"/>
    <s v="BEATRIZ SILVA DE SIQUEIRA"/>
    <n v="35575473880"/>
    <x v="1"/>
    <m/>
    <s v="Nota 5"/>
    <s v="MATERIAL"/>
    <s v="Não"/>
    <s v="Atendimento de chamado Caixa Econômica Federal"/>
    <m/>
    <s v="CEF SP SUL"/>
    <s v="Saque VExpenses"/>
    <s v="REGIONAL SP"/>
    <n v="1"/>
    <m/>
    <m/>
    <m/>
    <m/>
    <s v="BRL"/>
    <n v="62"/>
    <m/>
    <m/>
    <n v="62"/>
    <s v="Não"/>
  </r>
  <r>
    <n v="2025"/>
    <s v="DEZEMBRO"/>
    <n v="74143874"/>
    <n v="9115050"/>
    <s v="Caixa - 12/2025"/>
    <d v="2025-12-04T00:00:00"/>
    <s v="BEATRIZ SILVA DE SIQUEIRA"/>
    <n v="35575473880"/>
    <x v="1"/>
    <m/>
    <s v="Nota 4"/>
    <s v="MATERIAL"/>
    <s v="Não"/>
    <s v="Atendimento de chamado Caixa Econômica Federal"/>
    <m/>
    <s v="CEF SP SUL"/>
    <s v="Saque VExpenses"/>
    <s v="REGIONAL SP"/>
    <n v="1"/>
    <m/>
    <m/>
    <m/>
    <m/>
    <s v="BRL"/>
    <n v="9.5"/>
    <m/>
    <m/>
    <n v="9.5"/>
    <s v="Não"/>
  </r>
  <r>
    <n v="2025"/>
    <s v="DEZEMBRO"/>
    <n v="74144048"/>
    <n v="9115050"/>
    <s v="Caixa - 12/2025"/>
    <d v="2025-12-03T00:00:00"/>
    <s v="BEATRIZ SILVA DE SIQUEIRA"/>
    <n v="35575473880"/>
    <x v="1"/>
    <m/>
    <s v="Nota 8"/>
    <s v="MATERIAL"/>
    <s v="Não"/>
    <s v="Atendimento de chamado Caixa Econômica Federal"/>
    <m/>
    <s v="CEF SP SUL"/>
    <s v="Saque VExpenses"/>
    <s v="REGIONAL SP"/>
    <n v="1"/>
    <m/>
    <m/>
    <m/>
    <m/>
    <s v="BRL"/>
    <n v="15.5"/>
    <m/>
    <m/>
    <n v="15.5"/>
    <s v="Não"/>
  </r>
  <r>
    <n v="2025"/>
    <s v="DEZEMBRO"/>
    <n v="74144097"/>
    <n v="9115050"/>
    <s v="Caixa - 12/2025"/>
    <d v="2025-12-02T00:00:00"/>
    <s v="BEATRIZ SILVA DE SIQUEIRA"/>
    <n v="35575473880"/>
    <x v="1"/>
    <m/>
    <s v="Nota 10"/>
    <s v="MATERIAL"/>
    <s v="Não"/>
    <s v="Atendimento de chamado Caixa Econômica Federal"/>
    <m/>
    <s v="CEF SP SUL"/>
    <s v="Saque VExpenses"/>
    <s v="REGIONAL SP"/>
    <n v="1"/>
    <m/>
    <m/>
    <m/>
    <m/>
    <s v="BRL"/>
    <n v="44"/>
    <m/>
    <m/>
    <n v="44"/>
    <s v="Não"/>
  </r>
  <r>
    <n v="2025"/>
    <s v="DEZEMBRO"/>
    <n v="74143953"/>
    <n v="9115050"/>
    <s v="Caixa - 12/2025"/>
    <d v="2025-12-02T00:00:00"/>
    <s v="BEATRIZ SILVA DE SIQUEIRA"/>
    <n v="35575473880"/>
    <x v="1"/>
    <m/>
    <s v="Nota 6"/>
    <s v="MATERIAL"/>
    <s v="Não"/>
    <s v="Atendimento de chamado Caixa Econômica Federal"/>
    <m/>
    <s v="CEF SP SUL"/>
    <s v="Saque VExpenses"/>
    <s v="REGIONAL SP"/>
    <n v="1"/>
    <m/>
    <m/>
    <m/>
    <m/>
    <s v="BRL"/>
    <n v="5.5"/>
    <m/>
    <m/>
    <n v="5.5"/>
    <s v="Não"/>
  </r>
  <r>
    <n v="2025"/>
    <s v="DEZEMBRO"/>
    <n v="73047303"/>
    <n v="9115050"/>
    <s v="Caixa - 12/2025"/>
    <d v="2025-12-02T00:00:00"/>
    <s v="BEATRIZ SILVA DE SIQUEIRA"/>
    <n v="35575473880"/>
    <x v="1"/>
    <m/>
    <s v="Nota 03"/>
    <s v="MATERIAL"/>
    <s v="Não"/>
    <s v="Nota 03"/>
    <m/>
    <s v="CEF SP SUL"/>
    <s v="Saque VExpenses"/>
    <s v="REGIONAL SP"/>
    <n v="1"/>
    <m/>
    <m/>
    <m/>
    <m/>
    <s v="BRL"/>
    <n v="4"/>
    <m/>
    <m/>
    <n v="4"/>
    <s v="Não"/>
  </r>
  <r>
    <n v="2025"/>
    <s v="DEZEMBRO"/>
    <n v="73047238"/>
    <n v="9115050"/>
    <s v="Caixa - 12/2025"/>
    <d v="2025-12-02T00:00:00"/>
    <s v="BEATRIZ SILVA DE SIQUEIRA"/>
    <n v="35575473880"/>
    <x v="1"/>
    <m/>
    <s v="Nota 02"/>
    <s v="MATERIAL"/>
    <s v="Não"/>
    <s v="Nota 02"/>
    <m/>
    <s v="CEF SP SUL"/>
    <s v="Saque VExpenses"/>
    <s v="REGIONAL SP"/>
    <n v="1"/>
    <m/>
    <m/>
    <m/>
    <m/>
    <s v="BRL"/>
    <n v="85"/>
    <m/>
    <m/>
    <n v="85"/>
    <s v="Não"/>
  </r>
  <r>
    <n v="2025"/>
    <s v="DEZEMBRO"/>
    <n v="73023635"/>
    <n v="8982679"/>
    <s v="Caixa - 11/2025"/>
    <d v="2025-12-08T00:00:00"/>
    <s v="BEATRIZ SILVA DE SIQUEIRA"/>
    <n v="35575473880"/>
    <x v="1"/>
    <m/>
    <s v="Nota 42"/>
    <s v="MATERIAL"/>
    <s v="Não"/>
    <s v="Nota 42"/>
    <m/>
    <s v="CEF SP SUL"/>
    <s v="Saque VExpenses"/>
    <s v="REGIONAL SP"/>
    <n v="1"/>
    <m/>
    <m/>
    <m/>
    <m/>
    <s v="BRL"/>
    <n v="55.8"/>
    <m/>
    <m/>
    <n v="55.8"/>
    <s v="Não"/>
  </r>
  <r>
    <n v="2025"/>
    <s v="DEZEMBRO"/>
    <n v="73023581"/>
    <n v="8982679"/>
    <s v="Caixa - 11/2025"/>
    <d v="2025-12-08T00:00:00"/>
    <s v="BEATRIZ SILVA DE SIQUEIRA"/>
    <n v="35575473880"/>
    <x v="1"/>
    <m/>
    <s v="Nota 41"/>
    <s v="MATERIAL"/>
    <s v="Não"/>
    <s v="Nota 41"/>
    <m/>
    <s v="CEF SP SUL"/>
    <s v="Saque VExpenses"/>
    <s v="REGIONAL SP"/>
    <n v="1"/>
    <m/>
    <m/>
    <m/>
    <m/>
    <s v="BRL"/>
    <n v="16.739999999999998"/>
    <m/>
    <m/>
    <n v="16.739999999999998"/>
    <s v="Não"/>
  </r>
  <r>
    <n v="2025"/>
    <s v="DEZEMBRO"/>
    <n v="73023487"/>
    <n v="8982679"/>
    <s v="Caixa - 11/2025"/>
    <d v="2025-12-08T00:00:00"/>
    <s v="BEATRIZ SILVA DE SIQUEIRA"/>
    <n v="35575473880"/>
    <x v="1"/>
    <m/>
    <s v="Nota 40"/>
    <s v="MATERIAL"/>
    <s v="Não"/>
    <s v="Nota 40"/>
    <m/>
    <s v="CEF SP SUL"/>
    <s v="Saque VExpenses"/>
    <s v="REGIONAL SP"/>
    <n v="1"/>
    <m/>
    <m/>
    <m/>
    <m/>
    <s v="BRL"/>
    <n v="21.9"/>
    <m/>
    <m/>
    <n v="21.9"/>
    <s v="Não"/>
  </r>
  <r>
    <n v="2025"/>
    <s v="DEZEMBRO"/>
    <n v="73023389"/>
    <n v="8982679"/>
    <s v="Caixa - 11/2025"/>
    <d v="2025-12-08T00:00:00"/>
    <s v="BEATRIZ SILVA DE SIQUEIRA"/>
    <n v="35575473880"/>
    <x v="1"/>
    <m/>
    <s v="Nota 39"/>
    <s v="MATERIAL"/>
    <s v="Não"/>
    <s v="Nota 39"/>
    <m/>
    <s v="CEF SP SUL"/>
    <s v="Saque VExpenses"/>
    <s v="REGIONAL SP"/>
    <n v="1"/>
    <m/>
    <m/>
    <m/>
    <m/>
    <s v="BRL"/>
    <n v="48.9"/>
    <m/>
    <m/>
    <n v="48.9"/>
    <s v="Não"/>
  </r>
  <r>
    <n v="2025"/>
    <s v="DEZEMBRO"/>
    <n v="73023246"/>
    <n v="8982679"/>
    <s v="Caixa - 11/2025"/>
    <d v="2025-12-08T00:00:00"/>
    <s v="BEATRIZ SILVA DE SIQUEIRA"/>
    <n v="35575473880"/>
    <x v="1"/>
    <m/>
    <s v="Nota 38"/>
    <s v="MATERIAL"/>
    <s v="Não"/>
    <s v="Nota 38"/>
    <m/>
    <s v="CEF SP SUL"/>
    <s v="Saque VExpenses"/>
    <s v="REGIONAL SP"/>
    <n v="1"/>
    <m/>
    <m/>
    <m/>
    <m/>
    <s v="BRL"/>
    <n v="3.43"/>
    <m/>
    <m/>
    <n v="3.43"/>
    <s v="Não"/>
  </r>
  <r>
    <n v="2025"/>
    <s v="DEZEMBRO"/>
    <n v="72556432"/>
    <n v="8982679"/>
    <s v="Caixa - 11/2025"/>
    <d v="2025-12-01T00:00:00"/>
    <s v="BEATRIZ SILVA DE SIQUEIRA"/>
    <n v="35575473880"/>
    <x v="1"/>
    <m/>
    <s v="Nota 34"/>
    <s v="MATERIAL"/>
    <s v="Não"/>
    <s v="Nota 34"/>
    <m/>
    <s v="CEF SP SUL"/>
    <s v="Saque VExpenses"/>
    <s v="REGIONAL SP"/>
    <n v="1"/>
    <m/>
    <m/>
    <m/>
    <m/>
    <s v="BRL"/>
    <n v="232.4"/>
    <m/>
    <m/>
    <n v="232.4"/>
    <s v="Não"/>
  </r>
  <r>
    <n v="2025"/>
    <s v="NOVEMBRO"/>
    <n v="72554200"/>
    <n v="8982679"/>
    <s v="Caixa - 11/2025"/>
    <d v="2025-11-30T00:00:00"/>
    <s v="BEATRIZ SILVA DE SIQUEIRA"/>
    <n v="35575473880"/>
    <x v="1"/>
    <m/>
    <s v="Nota 25"/>
    <s v="MATERIAL"/>
    <s v="Não"/>
    <s v="Nota 25"/>
    <m/>
    <s v="CEF SP SUL"/>
    <s v="Saque VExpenses"/>
    <s v="REGIONAL SP"/>
    <n v="1"/>
    <m/>
    <m/>
    <m/>
    <n v="0"/>
    <s v="BRL"/>
    <n v="119.96"/>
    <m/>
    <m/>
    <n v="119.96"/>
    <s v="Não"/>
  </r>
  <r>
    <n v="2025"/>
    <s v="NOVEMBRO"/>
    <n v="72553875"/>
    <n v="8982679"/>
    <s v="Caixa - 11/2025"/>
    <d v="2025-11-30T00:00:00"/>
    <s v="BEATRIZ SILVA DE SIQUEIRA"/>
    <n v="35575473880"/>
    <x v="1"/>
    <m/>
    <s v="Nota 24"/>
    <s v="MATERIAL"/>
    <s v="Não"/>
    <s v="Nota 24"/>
    <m/>
    <s v="CEF SP SUL"/>
    <s v="Saque VExpenses"/>
    <s v="REGIONAL SP"/>
    <n v="1"/>
    <m/>
    <m/>
    <m/>
    <n v="0"/>
    <s v="BRL"/>
    <n v="150.19999999999999"/>
    <m/>
    <m/>
    <n v="150.19999999999999"/>
    <s v="Não"/>
  </r>
  <r>
    <n v="2025"/>
    <s v="NOVEMBRO"/>
    <n v="72556308"/>
    <n v="8982679"/>
    <s v="Caixa - 11/2025"/>
    <d v="2025-11-26T00:00:00"/>
    <s v="BEATRIZ SILVA DE SIQUEIRA"/>
    <n v="35575473880"/>
    <x v="1"/>
    <m/>
    <s v="Nota 33"/>
    <s v="MATERIAL"/>
    <s v="Não"/>
    <s v="Nota 33"/>
    <m/>
    <s v="CEF SP SUL"/>
    <s v="Saque VExpenses"/>
    <s v="REGIONAL SP"/>
    <n v="1"/>
    <m/>
    <m/>
    <m/>
    <m/>
    <s v="BRL"/>
    <n v="55.5"/>
    <m/>
    <m/>
    <n v="55.5"/>
    <s v="Não"/>
  </r>
  <r>
    <n v="2025"/>
    <s v="NOVEMBRO"/>
    <n v="72556064"/>
    <n v="8982679"/>
    <s v="Caixa - 11/2025"/>
    <d v="2025-11-25T00:00:00"/>
    <s v="BEATRIZ SILVA DE SIQUEIRA"/>
    <n v="35575473880"/>
    <x v="1"/>
    <m/>
    <s v="Nota 31"/>
    <s v="MATERIAL"/>
    <s v="Não"/>
    <s v="Nota 31"/>
    <m/>
    <s v="CEF SP SUL"/>
    <s v="Saque VExpenses"/>
    <s v="REGIONAL SP"/>
    <n v="1"/>
    <m/>
    <m/>
    <m/>
    <m/>
    <s v="BRL"/>
    <n v="392.72"/>
    <m/>
    <m/>
    <n v="392.72"/>
    <s v="Não"/>
  </r>
  <r>
    <n v="2025"/>
    <s v="NOVEMBRO"/>
    <n v="72124812"/>
    <n v="8982679"/>
    <s v="Caixa - 11/2025"/>
    <d v="2025-11-25T00:00:00"/>
    <s v="BEATRIZ SILVA DE SIQUEIRA"/>
    <n v="35575473880"/>
    <x v="1"/>
    <m/>
    <s v="Nota 22"/>
    <s v="ESTACIONAMENTO"/>
    <s v="Não"/>
    <s v="Nota 22"/>
    <m/>
    <s v="CEF SP SUL"/>
    <s v="Saque VExpenses"/>
    <s v="REGIONAL SP"/>
    <n v="1"/>
    <m/>
    <m/>
    <m/>
    <n v="0"/>
    <s v="BRL"/>
    <n v="55"/>
    <m/>
    <m/>
    <n v="55"/>
    <s v="Não"/>
  </r>
  <r>
    <n v="2025"/>
    <s v="NOVEMBRO"/>
    <n v="72124473"/>
    <n v="8982679"/>
    <s v="Caixa - 11/2025"/>
    <d v="2025-11-25T00:00:00"/>
    <s v="BEATRIZ SILVA DE SIQUEIRA"/>
    <n v="35575473880"/>
    <x v="1"/>
    <m/>
    <s v="Nota 20"/>
    <s v="ESTACIONAMENTO"/>
    <s v="Não"/>
    <s v="Nota 20"/>
    <m/>
    <s v="CEF SP SUL"/>
    <s v="Saque VExpenses"/>
    <s v="REGIONAL SP"/>
    <n v="1"/>
    <m/>
    <m/>
    <m/>
    <n v="0"/>
    <s v="BRL"/>
    <n v="60"/>
    <m/>
    <m/>
    <n v="60"/>
    <s v="Não"/>
  </r>
  <r>
    <n v="2025"/>
    <s v="NOVEMBRO"/>
    <n v="72118688"/>
    <n v="8982679"/>
    <s v="Caixa - 11/2025"/>
    <d v="2025-11-25T00:00:00"/>
    <s v="BEATRIZ SILVA DE SIQUEIRA"/>
    <n v="35575473880"/>
    <x v="1"/>
    <m/>
    <s v="Nota 17"/>
    <s v="ESTACIONAMENTO"/>
    <s v="Não"/>
    <s v="Nota 17"/>
    <m/>
    <s v="CEF SP SUL"/>
    <s v="Saque VExpenses"/>
    <s v="REGIONAL SP"/>
    <n v="1"/>
    <m/>
    <m/>
    <m/>
    <n v="0"/>
    <s v="BRL"/>
    <n v="44"/>
    <m/>
    <m/>
    <n v="44"/>
    <s v="Não"/>
  </r>
  <r>
    <n v="2025"/>
    <s v="NOVEMBRO"/>
    <n v="72085860"/>
    <n v="8982679"/>
    <s v="Caixa - 11/2025"/>
    <d v="2025-11-20T00:00:00"/>
    <s v="BEATRIZ SILVA DE SIQUEIRA"/>
    <n v="35575473880"/>
    <x v="1"/>
    <m/>
    <s v="Nota 14"/>
    <s v="MATERIAL"/>
    <s v="Não"/>
    <s v="Nota 14"/>
    <m/>
    <s v="CEF SP SUL"/>
    <s v="Saque VExpenses"/>
    <s v="REGIONAL SP"/>
    <n v="1"/>
    <m/>
    <m/>
    <m/>
    <m/>
    <s v="BRL"/>
    <n v="72"/>
    <m/>
    <m/>
    <n v="72"/>
    <s v="Não"/>
  </r>
  <r>
    <n v="2025"/>
    <s v="NOVEMBRO"/>
    <n v="72084089"/>
    <n v="8982679"/>
    <s v="Caixa - 11/2025"/>
    <d v="2025-11-20T00:00:00"/>
    <s v="BEATRIZ SILVA DE SIQUEIRA"/>
    <n v="35575473880"/>
    <x v="1"/>
    <m/>
    <s v="Nota 01"/>
    <s v="MATERIAL"/>
    <s v="Não"/>
    <s v="Nota 01"/>
    <m/>
    <s v="CEF SP SUL"/>
    <s v="Saque VExpenses"/>
    <s v="REGIONAL SP"/>
    <n v="1"/>
    <m/>
    <m/>
    <m/>
    <m/>
    <s v="BRL"/>
    <n v="93.9"/>
    <m/>
    <m/>
    <n v="93.9"/>
    <s v="Não"/>
  </r>
  <r>
    <n v="2025"/>
    <s v="NOVEMBRO"/>
    <n v="72085391"/>
    <n v="8982679"/>
    <s v="Caixa - 11/2025"/>
    <d v="2025-11-18T00:00:00"/>
    <s v="BEATRIZ SILVA DE SIQUEIRA"/>
    <n v="35575473880"/>
    <x v="1"/>
    <m/>
    <s v="Nota 09"/>
    <s v="MATERIAL"/>
    <s v="Não"/>
    <s v="Nota09"/>
    <m/>
    <s v="CEF SP SUL"/>
    <s v="Saque VExpenses"/>
    <s v="REGIONAL SP"/>
    <n v="1"/>
    <m/>
    <m/>
    <m/>
    <m/>
    <s v="BRL"/>
    <n v="13.98"/>
    <m/>
    <m/>
    <n v="13.98"/>
    <s v="Não"/>
  </r>
  <r>
    <n v="2025"/>
    <s v="NOVEMBRO"/>
    <n v="72084984"/>
    <n v="8982679"/>
    <s v="Caixa - 11/2025"/>
    <d v="2025-11-18T00:00:00"/>
    <s v="BEATRIZ SILVA DE SIQUEIRA"/>
    <n v="35575473880"/>
    <x v="1"/>
    <m/>
    <s v="Nota 08"/>
    <s v="MATERIAL"/>
    <s v="Não"/>
    <s v="Nota 08"/>
    <m/>
    <s v="CEF SP SUL"/>
    <s v="Saque VExpenses"/>
    <s v="REGIONAL SP"/>
    <n v="1"/>
    <m/>
    <m/>
    <m/>
    <m/>
    <s v="BRL"/>
    <n v="24.1"/>
    <m/>
    <m/>
    <n v="24.1"/>
    <s v="Não"/>
  </r>
  <r>
    <n v="2025"/>
    <s v="NOVEMBRO"/>
    <n v="72084384"/>
    <n v="8982679"/>
    <s v="Caixa - 11/2025"/>
    <d v="2025-11-18T00:00:00"/>
    <s v="BEATRIZ SILVA DE SIQUEIRA"/>
    <n v="35575473880"/>
    <x v="1"/>
    <m/>
    <s v="Nota 05"/>
    <s v="MATERIAL"/>
    <s v="Não"/>
    <s v="Nota 05"/>
    <m/>
    <s v="CEF SP SUL"/>
    <s v="Saque VExpenses"/>
    <s v="REGIONAL SP"/>
    <n v="1"/>
    <m/>
    <m/>
    <m/>
    <n v="0"/>
    <s v="BRL"/>
    <n v="45"/>
    <m/>
    <m/>
    <n v="45"/>
    <s v="Não"/>
  </r>
  <r>
    <n v="2025"/>
    <s v="NOVEMBRO"/>
    <n v="72084150"/>
    <n v="8982679"/>
    <s v="Caixa - 11/2025"/>
    <d v="2025-11-18T00:00:00"/>
    <s v="BEATRIZ SILVA DE SIQUEIRA"/>
    <n v="35575473880"/>
    <x v="1"/>
    <m/>
    <s v="Nota 02"/>
    <s v="MATERIAL"/>
    <s v="Não"/>
    <s v="Nota 02"/>
    <m/>
    <s v="CEF SP SUL"/>
    <s v="Saque VExpenses"/>
    <s v="REGIONAL SP"/>
    <n v="1"/>
    <m/>
    <m/>
    <m/>
    <m/>
    <s v="BRL"/>
    <n v="35"/>
    <m/>
    <m/>
    <n v="35"/>
    <s v="Não"/>
  </r>
  <r>
    <n v="2025"/>
    <s v="NOVEMBRO"/>
    <n v="72084860"/>
    <n v="8982679"/>
    <s v="Caixa - 11/2025"/>
    <d v="2025-11-17T00:00:00"/>
    <s v="BEATRIZ SILVA DE SIQUEIRA"/>
    <n v="35575473880"/>
    <x v="1"/>
    <m/>
    <s v="Nota 06"/>
    <s v="MATERIAL"/>
    <s v="Não"/>
    <s v="Nota 06"/>
    <m/>
    <s v="CEF SP SUL"/>
    <s v="Saque VExpenses"/>
    <s v="REGIONAL SP"/>
    <n v="1"/>
    <m/>
    <m/>
    <m/>
    <n v="0"/>
    <s v="BRL"/>
    <n v="40"/>
    <m/>
    <m/>
    <n v="40"/>
    <s v="Não"/>
  </r>
  <r>
    <n v="2025"/>
    <s v="NOVEMBRO"/>
    <n v="72085949"/>
    <n v="8982679"/>
    <s v="Caixa - 11/2025"/>
    <d v="2025-11-13T00:00:00"/>
    <s v="BEATRIZ SILVA DE SIQUEIRA"/>
    <n v="35575473880"/>
    <x v="1"/>
    <m/>
    <s v="Nota 15"/>
    <s v="MATERIAL"/>
    <s v="Não"/>
    <s v="Nota 15"/>
    <m/>
    <s v="CEF SP SUL"/>
    <s v="Saque VExpenses"/>
    <s v="REGIONAL SP"/>
    <n v="1"/>
    <m/>
    <m/>
    <m/>
    <m/>
    <s v="BRL"/>
    <n v="15.4"/>
    <m/>
    <m/>
    <n v="15.4"/>
    <s v="Não"/>
  </r>
  <r>
    <n v="2025"/>
    <s v="NOVEMBRO"/>
    <n v="72555911"/>
    <n v="8982679"/>
    <s v="Caixa - 11/2025"/>
    <d v="2025-11-12T00:00:00"/>
    <s v="BEATRIZ SILVA DE SIQUEIRA"/>
    <n v="35575473880"/>
    <x v="1"/>
    <m/>
    <s v="Nota 30"/>
    <s v="MATERIAL"/>
    <s v="Não"/>
    <s v="Nota 30"/>
    <m/>
    <s v="CEF SP SUL"/>
    <s v="Saque VExpenses"/>
    <s v="REGIONAL SP"/>
    <n v="1"/>
    <m/>
    <m/>
    <m/>
    <m/>
    <s v="BRL"/>
    <n v="10.5"/>
    <m/>
    <m/>
    <n v="10.5"/>
    <s v="Não"/>
  </r>
  <r>
    <n v="2025"/>
    <s v="NOVEMBRO"/>
    <n v="72555638"/>
    <n v="8982679"/>
    <s v="Caixa - 11/2025"/>
    <d v="2025-11-12T00:00:00"/>
    <s v="BEATRIZ SILVA DE SIQUEIRA"/>
    <n v="35575473880"/>
    <x v="1"/>
    <m/>
    <s v="Nota 28"/>
    <s v="MATERIAL"/>
    <s v="Não"/>
    <s v="Nota 28"/>
    <m/>
    <s v="CEF SP SUL"/>
    <s v="Saque VExpenses"/>
    <s v="REGIONAL SP"/>
    <n v="1"/>
    <m/>
    <m/>
    <m/>
    <m/>
    <s v="BRL"/>
    <n v="10.5"/>
    <m/>
    <m/>
    <n v="10.5"/>
    <s v="Não"/>
  </r>
  <r>
    <n v="2025"/>
    <s v="NOVEMBRO"/>
    <n v="72555161"/>
    <n v="8982679"/>
    <s v="Caixa - 11/2025"/>
    <d v="2025-11-12T00:00:00"/>
    <s v="BEATRIZ SILVA DE SIQUEIRA"/>
    <n v="35575473880"/>
    <x v="1"/>
    <m/>
    <s v="Nota 28"/>
    <s v="MATERIAL"/>
    <s v="Não"/>
    <s v="Nota 28"/>
    <m/>
    <s v="CEF SP SUL"/>
    <s v="Saque VExpenses"/>
    <s v="REGIONAL SP"/>
    <n v="1"/>
    <m/>
    <m/>
    <m/>
    <m/>
    <s v="BRL"/>
    <n v="11.99"/>
    <m/>
    <m/>
    <n v="11.99"/>
    <s v="Não"/>
  </r>
  <r>
    <n v="2025"/>
    <s v="NOVEMBRO"/>
    <n v="72555002"/>
    <n v="8982679"/>
    <s v="Caixa - 11/2025"/>
    <d v="2025-11-12T00:00:00"/>
    <s v="BEATRIZ SILVA DE SIQUEIRA"/>
    <n v="35575473880"/>
    <x v="1"/>
    <m/>
    <s v="Nota 26"/>
    <s v="MATERIAL"/>
    <s v="Não"/>
    <s v="Nota 25"/>
    <m/>
    <s v="CEF SP SUL"/>
    <s v="Saque VExpenses"/>
    <s v="REGIONAL SP"/>
    <n v="1"/>
    <m/>
    <m/>
    <m/>
    <m/>
    <s v="BRL"/>
    <n v="13"/>
    <m/>
    <m/>
    <n v="13"/>
    <s v="Não"/>
  </r>
  <r>
    <n v="2025"/>
    <s v="NOVEMBRO"/>
    <n v="72085635"/>
    <n v="8982679"/>
    <s v="Caixa - 11/2025"/>
    <d v="2025-11-12T00:00:00"/>
    <s v="BEATRIZ SILVA DE SIQUEIRA"/>
    <n v="35575473880"/>
    <x v="1"/>
    <m/>
    <s v="Nota 12"/>
    <s v="MATERIAL"/>
    <s v="Não"/>
    <s v="Nota 12"/>
    <m/>
    <s v="CEF SP SUL"/>
    <s v="Saque VExpenses"/>
    <s v="REGIONAL SP"/>
    <n v="1"/>
    <m/>
    <m/>
    <m/>
    <m/>
    <s v="BRL"/>
    <n v="2.25"/>
    <m/>
    <m/>
    <n v="2.25"/>
    <s v="Não"/>
  </r>
  <r>
    <n v="2025"/>
    <s v="NOVEMBRO"/>
    <n v="72085487"/>
    <n v="8982679"/>
    <s v="Caixa - 11/2025"/>
    <d v="2025-11-11T00:00:00"/>
    <s v="BEATRIZ SILVA DE SIQUEIRA"/>
    <n v="35575473880"/>
    <x v="1"/>
    <m/>
    <s v="Nota 10"/>
    <s v="MATERIAL"/>
    <s v="Não"/>
    <s v="Nota 10"/>
    <m/>
    <s v="CEF SP SUL"/>
    <s v="Saque VExpenses"/>
    <s v="REGIONAL SP"/>
    <n v="1"/>
    <m/>
    <m/>
    <m/>
    <m/>
    <s v="BRL"/>
    <n v="113.8"/>
    <m/>
    <m/>
    <n v="113.8"/>
    <s v="Não"/>
  </r>
  <r>
    <n v="2025"/>
    <s v="NOVEMBRO"/>
    <n v="72555313"/>
    <n v="8982679"/>
    <s v="Caixa - 11/2025"/>
    <d v="2025-11-10T00:00:00"/>
    <s v="BEATRIZ SILVA DE SIQUEIRA"/>
    <n v="35575473880"/>
    <x v="1"/>
    <m/>
    <s v="Nota 29"/>
    <s v="MATERIAL"/>
    <s v="Não"/>
    <s v="Nota 29"/>
    <m/>
    <s v="CEF SP SUL"/>
    <s v="Saque VExpenses"/>
    <s v="REGIONAL SP"/>
    <n v="1"/>
    <m/>
    <m/>
    <m/>
    <m/>
    <s v="BRL"/>
    <n v="23"/>
    <m/>
    <m/>
    <n v="23"/>
    <s v="Não"/>
  </r>
  <r>
    <n v="2025"/>
    <s v="NOVEMBRO"/>
    <n v="72085742"/>
    <n v="8982679"/>
    <s v="Caixa - 11/2025"/>
    <d v="2025-11-07T00:00:00"/>
    <s v="BEATRIZ SILVA DE SIQUEIRA"/>
    <n v="35575473880"/>
    <x v="1"/>
    <m/>
    <s v="Nota 13"/>
    <s v="MATERIAL"/>
    <s v="Não"/>
    <s v="Nota 13"/>
    <m/>
    <s v="CEF SP SUL"/>
    <s v="Saque VExpenses"/>
    <s v="REGIONAL SP"/>
    <n v="1"/>
    <m/>
    <m/>
    <m/>
    <m/>
    <s v="BRL"/>
    <n v="42.5"/>
    <m/>
    <m/>
    <n v="42.5"/>
    <s v="Não"/>
  </r>
  <r>
    <n v="2025"/>
    <s v="NOVEMBRO"/>
    <n v="72085554"/>
    <n v="8982679"/>
    <s v="Caixa - 11/2025"/>
    <d v="2025-11-07T00:00:00"/>
    <s v="BEATRIZ SILVA DE SIQUEIRA"/>
    <n v="35575473880"/>
    <x v="1"/>
    <m/>
    <s v="Nota 11"/>
    <s v="MATERIAL"/>
    <s v="Não"/>
    <s v="Nota 11"/>
    <m/>
    <s v="CEF SP SUL"/>
    <s v="Saque VExpenses"/>
    <s v="REGIONAL SP"/>
    <n v="1"/>
    <m/>
    <m/>
    <m/>
    <m/>
    <s v="BRL"/>
    <n v="4.5"/>
    <m/>
    <m/>
    <n v="4.5"/>
    <s v="Não"/>
  </r>
  <r>
    <n v="2025"/>
    <s v="NOVEMBRO"/>
    <n v="72084320"/>
    <n v="8982679"/>
    <s v="Caixa - 11/2025"/>
    <d v="2025-11-06T00:00:00"/>
    <s v="BEATRIZ SILVA DE SIQUEIRA"/>
    <n v="35575473880"/>
    <x v="1"/>
    <m/>
    <s v="Nota 04"/>
    <s v="MATERIAL"/>
    <s v="Não"/>
    <s v="Nota 04"/>
    <m/>
    <s v="CEF SP SUL"/>
    <s v="Saque VExpenses"/>
    <s v="REGIONAL SP"/>
    <n v="1"/>
    <m/>
    <m/>
    <m/>
    <m/>
    <s v="BRL"/>
    <n v="7.9"/>
    <m/>
    <m/>
    <n v="7.9"/>
    <s v="Não"/>
  </r>
  <r>
    <n v="2025"/>
    <s v="NOVEMBRO"/>
    <n v="72084222"/>
    <n v="8982679"/>
    <s v="Caixa - 11/2025"/>
    <d v="2025-11-06T00:00:00"/>
    <s v="BEATRIZ SILVA DE SIQUEIRA"/>
    <n v="35575473880"/>
    <x v="1"/>
    <m/>
    <s v="Nota 03"/>
    <s v="MATERIAL"/>
    <s v="Não"/>
    <s v="Nota 03"/>
    <m/>
    <s v="CEF SP SUL"/>
    <s v="Saque VExpenses"/>
    <s v="REGIONAL SP"/>
    <n v="1"/>
    <m/>
    <m/>
    <m/>
    <m/>
    <s v="BRL"/>
    <n v="114.9"/>
    <m/>
    <m/>
    <n v="114.9"/>
    <s v="Não"/>
  </r>
  <r>
    <n v="2025"/>
    <s v="NOVEMBRO"/>
    <n v="72086038"/>
    <n v="8982679"/>
    <s v="Caixa - 11/2025"/>
    <d v="2025-11-05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22.5"/>
    <m/>
    <m/>
    <n v="22.5"/>
    <s v="Não"/>
  </r>
  <r>
    <n v="2025"/>
    <s v="NOVEMBRO"/>
    <n v="72084581"/>
    <n v="8982679"/>
    <s v="Caixa - 11/2025"/>
    <d v="2025-11-04T00:00:00"/>
    <s v="BEATRIZ SILVA DE SIQUEIRA"/>
    <n v="35575473880"/>
    <x v="1"/>
    <m/>
    <s v="Nota 07"/>
    <s v="MATERIAL"/>
    <s v="Não"/>
    <s v="Nota 07"/>
    <m/>
    <s v="CEF SP SUL"/>
    <s v="Saque VExpenses"/>
    <s v="REGIONAL SP"/>
    <n v="1"/>
    <m/>
    <m/>
    <m/>
    <n v="0"/>
    <s v="BRL"/>
    <n v="27.5"/>
    <m/>
    <m/>
    <n v="27.5"/>
    <s v="Não"/>
  </r>
  <r>
    <n v="2025"/>
    <s v="NOVEMBRO"/>
    <n v="72556202"/>
    <n v="8982679"/>
    <s v="Caixa - 11/2025"/>
    <d v="2025-11-03T00:00:00"/>
    <s v="BEATRIZ SILVA DE SIQUEIRA"/>
    <n v="35575473880"/>
    <x v="1"/>
    <m/>
    <s v="Nota 32"/>
    <s v="MATERIAL"/>
    <s v="Não"/>
    <s v="Nota 32"/>
    <m/>
    <s v="CEF SP SUL"/>
    <s v="Saque VExpenses"/>
    <s v="REGIONAL SP"/>
    <n v="1"/>
    <m/>
    <m/>
    <m/>
    <m/>
    <s v="BRL"/>
    <n v="17.8"/>
    <m/>
    <m/>
    <n v="17.8"/>
    <s v="Não"/>
  </r>
  <r>
    <n v="2025"/>
    <s v="NOVEMBRO"/>
    <n v="72569462"/>
    <n v="8982679"/>
    <s v="Caixa - 11/2025"/>
    <d v="2025-11-01T00:00:00"/>
    <s v="BEATRIZ SILVA DE SIQUEIRA"/>
    <n v="35575473880"/>
    <x v="1"/>
    <m/>
    <s v="Nota 38"/>
    <s v="ESTACIONAMENTO"/>
    <s v="Não"/>
    <s v="Nota 38"/>
    <m/>
    <s v="CEF SP SUL"/>
    <s v="Saque VExpenses"/>
    <s v="REGIONAL SP"/>
    <n v="1"/>
    <m/>
    <m/>
    <m/>
    <n v="0"/>
    <s v="BRL"/>
    <n v="15"/>
    <m/>
    <m/>
    <n v="15"/>
    <s v="Não"/>
  </r>
  <r>
    <n v="2025"/>
    <s v="NOVEMBRO"/>
    <n v="72569308"/>
    <n v="8982679"/>
    <s v="Caixa - 11/2025"/>
    <d v="2025-11-01T00:00:00"/>
    <s v="BEATRIZ SILVA DE SIQUEIRA"/>
    <n v="35575473880"/>
    <x v="1"/>
    <m/>
    <s v="Nota 35"/>
    <s v="ESTACIONAMENTO"/>
    <s v="Não"/>
    <s v="Nota 35"/>
    <m/>
    <s v="CEF SP SUL"/>
    <s v="Saque VExpenses"/>
    <s v="REGIONAL SP"/>
    <n v="1"/>
    <m/>
    <m/>
    <m/>
    <n v="0"/>
    <s v="BRL"/>
    <n v="45.4"/>
    <m/>
    <m/>
    <n v="45.4"/>
    <s v="Não"/>
  </r>
  <r>
    <n v="2025"/>
    <s v="NOVEMBRO"/>
    <n v="72569091"/>
    <n v="8982679"/>
    <s v="Caixa - 11/2025"/>
    <d v="2025-11-01T00:00:00"/>
    <s v="BEATRIZ SILVA DE SIQUEIRA"/>
    <n v="35575473880"/>
    <x v="1"/>
    <m/>
    <s v="Nota 34"/>
    <s v="ESTACIONAMENTO"/>
    <s v="Não"/>
    <s v="Nota 34"/>
    <m/>
    <s v="CEF SP SUL"/>
    <s v="Saque VExpenses"/>
    <s v="REGIONAL SP"/>
    <n v="1"/>
    <m/>
    <m/>
    <m/>
    <n v="0"/>
    <s v="BRL"/>
    <n v="70.8"/>
    <m/>
    <m/>
    <n v="70.8"/>
    <s v="Não"/>
  </r>
  <r>
    <n v="2025"/>
    <s v="NOVEMBRO"/>
    <n v="72124705"/>
    <n v="8982679"/>
    <s v="Caixa - 11/2025"/>
    <d v="2025-11-01T00:00:00"/>
    <s v="BEATRIZ SILVA DE SIQUEIRA"/>
    <n v="35575473880"/>
    <x v="1"/>
    <m/>
    <s v="Nota 21"/>
    <s v="ESTACIONAMENTO"/>
    <s v="Não"/>
    <s v="Nota 21"/>
    <m/>
    <s v="CEF SP SUL"/>
    <s v="Saque VExpenses"/>
    <s v="REGIONAL SP"/>
    <n v="1"/>
    <m/>
    <m/>
    <m/>
    <n v="0"/>
    <s v="BRL"/>
    <n v="24.5"/>
    <m/>
    <m/>
    <n v="24.5"/>
    <s v="Não"/>
  </r>
  <r>
    <n v="2025"/>
    <s v="NOVEMBRO"/>
    <n v="72118815"/>
    <n v="8982679"/>
    <s v="Caixa - 11/2025"/>
    <d v="2025-11-01T00:00:00"/>
    <s v="BEATRIZ SILVA DE SIQUEIRA"/>
    <n v="35575473880"/>
    <x v="1"/>
    <m/>
    <s v="Nota 19"/>
    <s v="ESTACIONAMENTO"/>
    <s v="Não"/>
    <s v="Nota 19"/>
    <m/>
    <s v="CEF SP SUL"/>
    <s v="Saque VExpenses"/>
    <s v="REGIONAL SP"/>
    <n v="1"/>
    <m/>
    <m/>
    <m/>
    <n v="0"/>
    <s v="BRL"/>
    <n v="27"/>
    <m/>
    <m/>
    <n v="27"/>
    <s v="Não"/>
  </r>
  <r>
    <n v="2025"/>
    <s v="NOVEMBRO"/>
    <n v="72118754"/>
    <n v="8982679"/>
    <s v="Caixa - 11/2025"/>
    <d v="2025-11-01T00:00:00"/>
    <s v="BEATRIZ SILVA DE SIQUEIRA"/>
    <n v="35575473880"/>
    <x v="1"/>
    <m/>
    <s v="Nota 18"/>
    <s v="ESTACIONAMENTO"/>
    <s v="Não"/>
    <s v="Nota 18"/>
    <m/>
    <s v="CEF SP SUL"/>
    <s v="Saque VExpenses"/>
    <s v="REGIONAL SP"/>
    <n v="1"/>
    <m/>
    <m/>
    <m/>
    <n v="0"/>
    <s v="BRL"/>
    <n v="58"/>
    <m/>
    <m/>
    <n v="58"/>
    <s v="Não"/>
  </r>
  <r>
    <n v="2025"/>
    <s v="OUTUBRO"/>
    <n v="72082048"/>
    <n v="8982679"/>
    <s v="Caixa - 11/2025"/>
    <d v="2025-10-16T00:00:00"/>
    <s v="BEATRIZ SILVA DE SIQUEIRA"/>
    <n v="35575473880"/>
    <x v="1"/>
    <m/>
    <s v="Nota 17"/>
    <s v="MATERIAL"/>
    <s v="Não"/>
    <s v="Nota 17"/>
    <m/>
    <s v="CEF SP SUL"/>
    <s v="Saque VExpenses"/>
    <s v="REGIONAL SP"/>
    <n v="1"/>
    <m/>
    <m/>
    <m/>
    <n v="0"/>
    <s v="BRL"/>
    <n v="29.9"/>
    <m/>
    <m/>
    <n v="29.9"/>
    <s v="Não"/>
  </r>
  <r>
    <n v="2025"/>
    <s v="OUTUBRO"/>
    <n v="72083034"/>
    <n v="8981940"/>
    <s v="Caixa - 10/2025"/>
    <d v="2025-10-31T00:00:00"/>
    <s v="BEATRIZ SILVA DE SIQUEIRA"/>
    <n v="35575473880"/>
    <x v="1"/>
    <m/>
    <s v="Nota 29"/>
    <s v="MATERIAL"/>
    <s v="Não"/>
    <s v="Nota 29"/>
    <m/>
    <s v="CEF SP SUL"/>
    <s v="Saque VExpenses"/>
    <s v="REGIONAL SP"/>
    <n v="1"/>
    <m/>
    <m/>
    <m/>
    <m/>
    <s v="BRL"/>
    <n v="9.9"/>
    <m/>
    <m/>
    <n v="9.9"/>
    <s v="Não"/>
  </r>
  <r>
    <n v="2025"/>
    <s v="OUTUBRO"/>
    <n v="72081670"/>
    <n v="8981940"/>
    <s v="Caixa - 10/2025"/>
    <d v="2025-10-31T00:00:00"/>
    <s v="BEATRIZ SILVA DE SIQUEIRA"/>
    <n v="35575473880"/>
    <x v="1"/>
    <m/>
    <s v="Nota 12"/>
    <s v="MATERIAL"/>
    <s v="Não"/>
    <s v="Nota 12"/>
    <m/>
    <s v="CEF SP SUL"/>
    <s v="Saque VExpenses"/>
    <s v="REGIONAL SP"/>
    <n v="1"/>
    <m/>
    <m/>
    <m/>
    <m/>
    <s v="BRL"/>
    <n v="56.74"/>
    <m/>
    <m/>
    <n v="56.74"/>
    <s v="Não"/>
  </r>
  <r>
    <n v="2025"/>
    <s v="OUTUBRO"/>
    <n v="72082790"/>
    <n v="8981940"/>
    <s v="Caixa - 10/2025"/>
    <d v="2025-10-30T00:00:00"/>
    <s v="BEATRIZ SILVA DE SIQUEIRA"/>
    <n v="35575473880"/>
    <x v="1"/>
    <m/>
    <s v="Nota 25"/>
    <s v="MATERIAL"/>
    <s v="Não"/>
    <s v="Nota 25"/>
    <m/>
    <s v="CEF SP SUL"/>
    <s v="Saque VExpenses"/>
    <s v="REGIONAL SP"/>
    <n v="1"/>
    <m/>
    <m/>
    <m/>
    <m/>
    <s v="BRL"/>
    <n v="13.77"/>
    <m/>
    <m/>
    <n v="13.77"/>
    <s v="Não"/>
  </r>
  <r>
    <n v="2025"/>
    <s v="OUTUBRO"/>
    <n v="72082631"/>
    <n v="8981940"/>
    <s v="Caixa - 10/2025"/>
    <d v="2025-10-30T00:00:00"/>
    <s v="BEATRIZ SILVA DE SIQUEIRA"/>
    <n v="35575473880"/>
    <x v="1"/>
    <m/>
    <s v="Nota 23"/>
    <s v="MATERIAL"/>
    <s v="Não"/>
    <s v="Nota 23"/>
    <m/>
    <s v="CEF SP SUL"/>
    <s v="Saque VExpenses"/>
    <s v="REGIONAL SP"/>
    <n v="1"/>
    <m/>
    <m/>
    <m/>
    <m/>
    <s v="BRL"/>
    <n v="119.96"/>
    <m/>
    <m/>
    <n v="119.96"/>
    <s v="Não"/>
  </r>
  <r>
    <n v="2025"/>
    <s v="OUTUBRO"/>
    <n v="72081812"/>
    <n v="8981940"/>
    <s v="Caixa - 10/2025"/>
    <d v="2025-10-30T00:00:00"/>
    <s v="BEATRIZ SILVA DE SIQUEIRA"/>
    <n v="35575473880"/>
    <x v="1"/>
    <m/>
    <s v="Nota 13"/>
    <s v="MATERIAL"/>
    <s v="Não"/>
    <s v="Nota 13"/>
    <m/>
    <s v="CEF SP SUL"/>
    <s v="Saque VExpenses"/>
    <s v="REGIONAL SP"/>
    <n v="1"/>
    <m/>
    <m/>
    <m/>
    <m/>
    <s v="BRL"/>
    <n v="19.8"/>
    <m/>
    <m/>
    <n v="19.8"/>
    <s v="Não"/>
  </r>
  <r>
    <n v="2025"/>
    <s v="OUTUBRO"/>
    <n v="72083111"/>
    <n v="8981940"/>
    <s v="Caixa - 10/2025"/>
    <d v="2025-10-29T00:00:00"/>
    <s v="BEATRIZ SILVA DE SIQUEIRA"/>
    <n v="35575473880"/>
    <x v="1"/>
    <m/>
    <s v="Nota 30"/>
    <s v="MATERIAL"/>
    <s v="Não"/>
    <s v="Nota 30"/>
    <m/>
    <s v="CEF SP SUL"/>
    <s v="Saque VExpenses"/>
    <s v="REGIONAL SP"/>
    <n v="1"/>
    <m/>
    <m/>
    <m/>
    <m/>
    <s v="BRL"/>
    <n v="32.33"/>
    <m/>
    <m/>
    <n v="32.33"/>
    <s v="Não"/>
  </r>
  <r>
    <n v="2025"/>
    <s v="OUTUBRO"/>
    <n v="72082948"/>
    <n v="8981940"/>
    <s v="Caixa - 10/2025"/>
    <d v="2025-10-29T00:00:00"/>
    <s v="BEATRIZ SILVA DE SIQUEIRA"/>
    <n v="35575473880"/>
    <x v="1"/>
    <m/>
    <s v="Nota 28"/>
    <s v="MATERIAL"/>
    <s v="Não"/>
    <s v="Nota 28"/>
    <m/>
    <s v="CEF SP SUL"/>
    <s v="Saque VExpenses"/>
    <s v="REGIONAL SP"/>
    <n v="1"/>
    <m/>
    <m/>
    <m/>
    <m/>
    <s v="BRL"/>
    <n v="15"/>
    <m/>
    <m/>
    <n v="15"/>
    <s v="Não"/>
  </r>
  <r>
    <n v="2025"/>
    <s v="OUTUBRO"/>
    <n v="72082726"/>
    <n v="8981940"/>
    <s v="Caixa - 10/2025"/>
    <d v="2025-10-27T00:00:00"/>
    <s v="BEATRIZ SILVA DE SIQUEIRA"/>
    <n v="35575473880"/>
    <x v="1"/>
    <m/>
    <s v="Nota 24"/>
    <s v="MATERIAL"/>
    <s v="Não"/>
    <s v="Nota 24"/>
    <m/>
    <s v="CEF SP SUL"/>
    <s v="Saque VExpenses"/>
    <s v="REGIONAL SP"/>
    <n v="1"/>
    <m/>
    <m/>
    <m/>
    <m/>
    <s v="BRL"/>
    <n v="32"/>
    <m/>
    <m/>
    <n v="32"/>
    <s v="Não"/>
  </r>
  <r>
    <n v="2025"/>
    <s v="OUTUBRO"/>
    <n v="72081572"/>
    <n v="8981940"/>
    <s v="Caixa - 10/2025"/>
    <d v="2025-10-27T00:00:00"/>
    <s v="BEATRIZ SILVA DE SIQUEIRA"/>
    <n v="35575473880"/>
    <x v="1"/>
    <m/>
    <s v="Nota 11"/>
    <s v="MATERIAL"/>
    <s v="Não"/>
    <s v="Nota 11"/>
    <m/>
    <s v="CEF SP SUL"/>
    <s v="Saque VExpenses"/>
    <s v="REGIONAL SP"/>
    <n v="1"/>
    <m/>
    <m/>
    <m/>
    <m/>
    <s v="BRL"/>
    <n v="40.5"/>
    <m/>
    <m/>
    <n v="40.5"/>
    <s v="Não"/>
  </r>
  <r>
    <n v="2025"/>
    <s v="OUTUBRO"/>
    <n v="72081239"/>
    <n v="8981940"/>
    <s v="Caixa - 10/2025"/>
    <d v="2025-10-27T00:00:00"/>
    <s v="BEATRIZ SILVA DE SIQUEIRA"/>
    <n v="35575473880"/>
    <x v="1"/>
    <m/>
    <s v="Nota 08"/>
    <s v="MATERIAL"/>
    <s v="Não"/>
    <s v="Nota 07"/>
    <m/>
    <s v="CEF SP SUL"/>
    <s v="Saque VExpenses"/>
    <s v="REGIONAL SP"/>
    <n v="1"/>
    <m/>
    <m/>
    <m/>
    <n v="0"/>
    <s v="BRL"/>
    <n v="85.99"/>
    <m/>
    <m/>
    <n v="85.99"/>
    <s v="Não"/>
  </r>
  <r>
    <n v="2025"/>
    <s v="OUTUBRO"/>
    <n v="72081467"/>
    <n v="8981940"/>
    <s v="Caixa - 10/2025"/>
    <d v="2025-10-25T00:00:00"/>
    <s v="BEATRIZ SILVA DE SIQUEIRA"/>
    <n v="35575473880"/>
    <x v="1"/>
    <m/>
    <s v="Nota 10"/>
    <s v="MATERIAL"/>
    <s v="Não"/>
    <s v="Nota 10"/>
    <m/>
    <s v="CEF SP SUL"/>
    <s v="Saque VExpenses"/>
    <s v="REGIONAL SP"/>
    <n v="1"/>
    <m/>
    <m/>
    <m/>
    <m/>
    <s v="BRL"/>
    <n v="16.86"/>
    <m/>
    <m/>
    <n v="16.86"/>
    <s v="Não"/>
  </r>
  <r>
    <n v="2025"/>
    <s v="OUTUBRO"/>
    <n v="72082873"/>
    <n v="8981940"/>
    <s v="Caixa - 10/2025"/>
    <d v="2025-10-24T00:00:00"/>
    <s v="BEATRIZ SILVA DE SIQUEIRA"/>
    <n v="35575473880"/>
    <x v="1"/>
    <m/>
    <s v="Nota 26"/>
    <s v="MATERIAL"/>
    <s v="Não"/>
    <s v="Nota 26"/>
    <m/>
    <s v="CEF SP SUL"/>
    <s v="Saque VExpenses"/>
    <s v="REGIONAL SP"/>
    <n v="1"/>
    <m/>
    <m/>
    <m/>
    <m/>
    <s v="BRL"/>
    <n v="36.549999999999997"/>
    <m/>
    <m/>
    <n v="36.549999999999997"/>
    <s v="Não"/>
  </r>
  <r>
    <n v="2025"/>
    <s v="OUTUBRO"/>
    <n v="72081358"/>
    <n v="8981940"/>
    <s v="Caixa - 10/2025"/>
    <d v="2025-10-23T00:00:00"/>
    <s v="BEATRIZ SILVA DE SIQUEIRA"/>
    <n v="35575473880"/>
    <x v="1"/>
    <m/>
    <s v="Nota 09"/>
    <s v="MATERIAL"/>
    <s v="Não"/>
    <s v="Nota 09"/>
    <m/>
    <s v="CEF SP SUL"/>
    <s v="Saque VExpenses"/>
    <s v="REGIONAL SP"/>
    <n v="1"/>
    <m/>
    <m/>
    <m/>
    <m/>
    <s v="BRL"/>
    <n v="27.8"/>
    <m/>
    <m/>
    <n v="27.8"/>
    <s v="Não"/>
  </r>
  <r>
    <n v="2025"/>
    <s v="OUTUBRO"/>
    <n v="72082551"/>
    <n v="8981940"/>
    <s v="Caixa - 10/2025"/>
    <d v="2025-10-22T00:00:00"/>
    <s v="BEATRIZ SILVA DE SIQUEIRA"/>
    <n v="35575473880"/>
    <x v="1"/>
    <m/>
    <s v="Nota 22"/>
    <s v="MATERIAL"/>
    <s v="Não"/>
    <s v="Nota 22"/>
    <m/>
    <s v="CEF SP SUL"/>
    <s v="Saque VExpenses"/>
    <s v="REGIONAL SP"/>
    <n v="1"/>
    <m/>
    <m/>
    <m/>
    <m/>
    <s v="BRL"/>
    <n v="21.7"/>
    <m/>
    <m/>
    <n v="21.7"/>
    <s v="Não"/>
  </r>
  <r>
    <n v="2025"/>
    <s v="OUTUBRO"/>
    <n v="72082369"/>
    <n v="8981940"/>
    <s v="Caixa - 10/2025"/>
    <d v="2025-10-22T00:00:00"/>
    <s v="BEATRIZ SILVA DE SIQUEIRA"/>
    <n v="35575473880"/>
    <x v="1"/>
    <m/>
    <s v="Nota 21"/>
    <s v="MATERIAL"/>
    <s v="Não"/>
    <s v="Nota 21"/>
    <m/>
    <s v="CEF SP SUL"/>
    <s v="Saque VExpenses"/>
    <s v="REGIONAL SP"/>
    <n v="1"/>
    <m/>
    <m/>
    <m/>
    <m/>
    <s v="BRL"/>
    <n v="78.010000000000005"/>
    <m/>
    <m/>
    <n v="78.010000000000005"/>
    <s v="Não"/>
  </r>
  <r>
    <n v="2025"/>
    <s v="OUTUBRO"/>
    <n v="72081164"/>
    <n v="8981940"/>
    <s v="Caixa - 10/2025"/>
    <d v="2025-10-21T00:00:00"/>
    <s v="BEATRIZ SILVA DE SIQUEIRA"/>
    <n v="35575473880"/>
    <x v="1"/>
    <m/>
    <s v="Nota 07"/>
    <s v="MATERIAL"/>
    <s v="Não"/>
    <s v="Nota 07"/>
    <m/>
    <s v="CEF SP SUL"/>
    <s v="Saque VExpenses"/>
    <s v="REGIONAL SP"/>
    <n v="1"/>
    <m/>
    <m/>
    <m/>
    <n v="0"/>
    <s v="BRL"/>
    <n v="41.13"/>
    <m/>
    <m/>
    <n v="41.13"/>
    <s v="Não"/>
  </r>
  <r>
    <n v="2025"/>
    <s v="OUTUBRO"/>
    <n v="72081921"/>
    <n v="8981940"/>
    <s v="Caixa - 10/2025"/>
    <d v="2025-10-20T00:00:00"/>
    <s v="BEATRIZ SILVA DE SIQUEIRA"/>
    <n v="35575473880"/>
    <x v="1"/>
    <m/>
    <s v="Nota 15"/>
    <s v="MATERIAL"/>
    <s v="Não"/>
    <s v="Nota 15"/>
    <m/>
    <s v="CEF SP SUL"/>
    <s v="Saque VExpenses"/>
    <s v="REGIONAL SP"/>
    <n v="1"/>
    <m/>
    <m/>
    <m/>
    <m/>
    <s v="BRL"/>
    <n v="14.9"/>
    <m/>
    <m/>
    <n v="14.9"/>
    <s v="Não"/>
  </r>
  <r>
    <n v="2025"/>
    <s v="OUTUBRO"/>
    <n v="72082199"/>
    <n v="8981940"/>
    <s v="Caixa - 10/2025"/>
    <d v="2025-10-16T00:00:00"/>
    <s v="BEATRIZ SILVA DE SIQUEIRA"/>
    <n v="35575473880"/>
    <x v="1"/>
    <m/>
    <s v="Nota 20"/>
    <s v="MATERIAL"/>
    <s v="Não"/>
    <s v="Nota 20"/>
    <m/>
    <s v="CEF SP SUL"/>
    <s v="Saque VExpenses"/>
    <s v="REGIONAL SP"/>
    <n v="1"/>
    <m/>
    <m/>
    <m/>
    <n v="0"/>
    <s v="BRL"/>
    <n v="28"/>
    <m/>
    <m/>
    <n v="28"/>
    <s v="Não"/>
  </r>
  <r>
    <n v="2025"/>
    <s v="OUTUBRO"/>
    <n v="72082147"/>
    <n v="8981940"/>
    <s v="Caixa - 10/2025"/>
    <d v="2025-10-16T00:00:00"/>
    <s v="BEATRIZ SILVA DE SIQUEIRA"/>
    <n v="35575473880"/>
    <x v="1"/>
    <m/>
    <s v="Nota 19"/>
    <s v="MATERIAL"/>
    <s v="Não"/>
    <s v="Nota 19"/>
    <m/>
    <s v="CEF SP SUL"/>
    <s v="Saque VExpenses"/>
    <s v="REGIONAL SP"/>
    <n v="1"/>
    <m/>
    <m/>
    <m/>
    <m/>
    <s v="BRL"/>
    <n v="29.21"/>
    <m/>
    <m/>
    <n v="29.21"/>
    <s v="Não"/>
  </r>
  <r>
    <n v="2025"/>
    <s v="OUTUBRO"/>
    <n v="72082003"/>
    <n v="8981940"/>
    <s v="Caixa - 10/2025"/>
    <d v="2025-10-15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42"/>
    <m/>
    <m/>
    <n v="42"/>
    <s v="Não"/>
  </r>
  <r>
    <n v="2025"/>
    <s v="OUTUBRO"/>
    <n v="72081073"/>
    <n v="8981940"/>
    <s v="Caixa - 10/2025"/>
    <d v="2025-10-13T00:00:00"/>
    <s v="BEATRIZ SILVA DE SIQUEIRA"/>
    <n v="35575473880"/>
    <x v="1"/>
    <m/>
    <s v="Nota 06"/>
    <s v="MATERIAL"/>
    <s v="Não"/>
    <s v="Nota 06"/>
    <m/>
    <s v="CEF SP SUL"/>
    <s v="Saque VExpenses"/>
    <s v="REGIONAL SP"/>
    <n v="1"/>
    <m/>
    <m/>
    <m/>
    <m/>
    <s v="BRL"/>
    <n v="46.65"/>
    <m/>
    <m/>
    <n v="46.65"/>
    <s v="Não"/>
  </r>
  <r>
    <n v="2025"/>
    <s v="OUTUBRO"/>
    <n v="72080975"/>
    <n v="8981940"/>
    <s v="Caixa - 10/2025"/>
    <d v="2025-10-13T00:00:00"/>
    <s v="BEATRIZ SILVA DE SIQUEIRA"/>
    <n v="35575473880"/>
    <x v="1"/>
    <m/>
    <s v="Nota 05"/>
    <s v="MATERIAL"/>
    <s v="Não"/>
    <s v="Nota 05"/>
    <m/>
    <s v="CEF SP SUL"/>
    <s v="Saque VExpenses"/>
    <s v="REGIONAL SP"/>
    <n v="1"/>
    <m/>
    <m/>
    <m/>
    <m/>
    <s v="BRL"/>
    <n v="14.5"/>
    <m/>
    <m/>
    <n v="14.5"/>
    <s v="Não"/>
  </r>
  <r>
    <n v="2025"/>
    <s v="OUTUBRO"/>
    <n v="72080668"/>
    <n v="8981940"/>
    <s v="Caixa - 10/2025"/>
    <d v="2025-10-13T00:00:00"/>
    <s v="BEATRIZ SILVA DE SIQUEIRA"/>
    <n v="35575473880"/>
    <x v="1"/>
    <m/>
    <s v="Nota 04"/>
    <s v="MATERIAL"/>
    <s v="Não"/>
    <s v="Nota 04"/>
    <m/>
    <s v="CEF SP SUL"/>
    <s v="Saque VExpenses"/>
    <s v="REGIONAL SP"/>
    <n v="1"/>
    <m/>
    <m/>
    <m/>
    <n v="0"/>
    <s v="BRL"/>
    <n v="13.9"/>
    <m/>
    <m/>
    <n v="13.9"/>
    <s v="Não"/>
  </r>
  <r>
    <n v="2025"/>
    <s v="OUTUBRO"/>
    <n v="72080060"/>
    <n v="8981940"/>
    <s v="Caixa - 10/2025"/>
    <d v="2025-10-12T00:00:00"/>
    <s v="BEATRIZ SILVA DE SIQUEIRA"/>
    <n v="35575473880"/>
    <x v="1"/>
    <m/>
    <s v="Nota 01"/>
    <s v="MATERIAL"/>
    <s v="Não"/>
    <s v="Nota 01"/>
    <m/>
    <s v="CEF SP SUL"/>
    <s v="Saque VExpenses"/>
    <s v="REGIONAL SP"/>
    <n v="1"/>
    <m/>
    <m/>
    <m/>
    <m/>
    <s v="BRL"/>
    <n v="65.25"/>
    <m/>
    <m/>
    <n v="65.25"/>
    <s v="Não"/>
  </r>
  <r>
    <n v="2025"/>
    <s v="OUTUBRO"/>
    <n v="72090055"/>
    <n v="8981940"/>
    <s v="Caixa - 10/2025"/>
    <d v="2025-10-01T00:00:00"/>
    <s v="BEATRIZ SILVA DE SIQUEIRA"/>
    <n v="35575473880"/>
    <x v="1"/>
    <m/>
    <s v="Nota 37"/>
    <s v="ESTACIONAMENTO"/>
    <s v="Não"/>
    <s v="Nota 37"/>
    <m/>
    <s v="CEF SP SUL"/>
    <s v="Saque VExpenses"/>
    <s v="REGIONAL SP"/>
    <n v="1"/>
    <m/>
    <m/>
    <m/>
    <m/>
    <s v="BRL"/>
    <n v="21.6"/>
    <m/>
    <m/>
    <n v="21.6"/>
    <s v="Não"/>
  </r>
  <r>
    <n v="2025"/>
    <s v="OUTUBRO"/>
    <n v="72089919"/>
    <n v="8981940"/>
    <s v="Caixa - 10/2025"/>
    <d v="2025-10-01T00:00:00"/>
    <s v="BEATRIZ SILVA DE SIQUEIRA"/>
    <n v="35575473880"/>
    <x v="1"/>
    <m/>
    <s v="Nota 36"/>
    <s v="ESTACIONAMENTO"/>
    <s v="Não"/>
    <s v="Nota 36"/>
    <m/>
    <s v="CEF SP SUL"/>
    <s v="Saque VExpenses"/>
    <s v="REGIONAL SP"/>
    <n v="1"/>
    <m/>
    <m/>
    <m/>
    <m/>
    <s v="BRL"/>
    <n v="80"/>
    <m/>
    <m/>
    <n v="80"/>
    <s v="Não"/>
  </r>
  <r>
    <n v="2025"/>
    <s v="OUTUBRO"/>
    <n v="72089760"/>
    <n v="8981940"/>
    <s v="Caixa - 10/2025"/>
    <d v="2025-10-01T00:00:00"/>
    <s v="BEATRIZ SILVA DE SIQUEIRA"/>
    <n v="35575473880"/>
    <x v="1"/>
    <m/>
    <s v="Nota 35"/>
    <s v="ESTACIONAMENTO"/>
    <s v="Não"/>
    <s v="Nota 35"/>
    <m/>
    <s v="CEF SP SUL"/>
    <s v="Saque VExpenses"/>
    <s v="REGIONAL SP"/>
    <n v="1"/>
    <m/>
    <m/>
    <m/>
    <m/>
    <s v="BRL"/>
    <n v="21.6"/>
    <m/>
    <m/>
    <n v="21.6"/>
    <s v="Não"/>
  </r>
  <r>
    <n v="2025"/>
    <s v="OUTUBRO"/>
    <n v="72089641"/>
    <n v="8981940"/>
    <s v="Caixa - 10/2025"/>
    <d v="2025-10-01T00:00:00"/>
    <s v="BEATRIZ SILVA DE SIQUEIRA"/>
    <n v="35575473880"/>
    <x v="1"/>
    <m/>
    <s v="Nota 34"/>
    <s v="ESTACIONAMENTO"/>
    <s v="Não"/>
    <s v="Nota 34"/>
    <m/>
    <s v="CEF SP SUL"/>
    <s v="Saque VExpenses"/>
    <s v="REGIONAL SP"/>
    <n v="1"/>
    <m/>
    <m/>
    <m/>
    <m/>
    <s v="BRL"/>
    <n v="62.4"/>
    <m/>
    <m/>
    <n v="62.4"/>
    <s v="Não"/>
  </r>
  <r>
    <n v="2025"/>
    <s v="OUTUBRO"/>
    <n v="72089505"/>
    <n v="8981940"/>
    <s v="Caixa - 10/2025"/>
    <d v="2025-10-01T00:00:00"/>
    <s v="BEATRIZ SILVA DE SIQUEIRA"/>
    <n v="35575473880"/>
    <x v="1"/>
    <m/>
    <s v="Nota 33"/>
    <s v="ESTACIONAMENTO"/>
    <s v="Não"/>
    <s v="Nota 33"/>
    <m/>
    <s v="CEF SP SUL"/>
    <s v="Saque VExpenses"/>
    <s v="REGIONAL SP"/>
    <n v="1"/>
    <m/>
    <m/>
    <m/>
    <m/>
    <s v="BRL"/>
    <n v="91"/>
    <m/>
    <m/>
    <n v="91"/>
    <s v="Não"/>
  </r>
  <r>
    <n v="2025"/>
    <s v="OUTUBRO"/>
    <n v="72087347"/>
    <n v="8981940"/>
    <s v="Caixa - 10/2025"/>
    <d v="2025-10-01T00:00:00"/>
    <s v="BEATRIZ SILVA DE SIQUEIRA"/>
    <n v="35575473880"/>
    <x v="1"/>
    <m/>
    <s v="Nota 32"/>
    <s v="ESTACIONAMENTO"/>
    <s v="Não"/>
    <s v="Nota 32"/>
    <m/>
    <s v="CEF SP SUL"/>
    <s v="Saque VExpenses"/>
    <s v="REGIONAL SP"/>
    <n v="1"/>
    <m/>
    <m/>
    <m/>
    <m/>
    <s v="BRL"/>
    <n v="51"/>
    <m/>
    <m/>
    <n v="51"/>
    <s v="Não"/>
  </r>
  <r>
    <n v="2025"/>
    <s v="OUTUBRO"/>
    <n v="72087235"/>
    <n v="8981940"/>
    <s v="Caixa - 10/2025"/>
    <d v="2025-10-01T00:00:00"/>
    <s v="BEATRIZ SILVA DE SIQUEIRA"/>
    <n v="35575473880"/>
    <x v="1"/>
    <m/>
    <s v="Nota 31"/>
    <s v="ESTACIONAMENTO"/>
    <s v="Não"/>
    <s v="Nota 31"/>
    <m/>
    <s v="CEF SP SUL"/>
    <s v="Saque VExpenses"/>
    <s v="REGIONAL SP"/>
    <n v="1"/>
    <m/>
    <m/>
    <m/>
    <m/>
    <s v="BRL"/>
    <n v="58.5"/>
    <m/>
    <m/>
    <n v="58.5"/>
    <s v="Não"/>
  </r>
  <r>
    <n v="2025"/>
    <s v="OUTUBRO"/>
    <n v="72087101"/>
    <n v="8981940"/>
    <s v="Caixa - 10/2025"/>
    <d v="2025-10-01T00:00:00"/>
    <s v="BEATRIZ SILVA DE SIQUEIRA"/>
    <n v="35575473880"/>
    <x v="1"/>
    <m/>
    <s v="Nota 30"/>
    <s v="ESTACIONAMENTO"/>
    <s v="Não"/>
    <s v="Nota 30"/>
    <m/>
    <s v="CEF SP SUL"/>
    <s v="Saque VExpenses"/>
    <s v="REGIONAL SP"/>
    <n v="1"/>
    <m/>
    <m/>
    <m/>
    <m/>
    <s v="BRL"/>
    <n v="16.8"/>
    <m/>
    <m/>
    <n v="16.8"/>
    <s v="Não"/>
  </r>
  <r>
    <n v="2025"/>
    <s v="OUTUBRO"/>
    <n v="72086948"/>
    <n v="8981940"/>
    <s v="Caixa - 10/2025"/>
    <d v="2025-10-01T00:00:00"/>
    <s v="BEATRIZ SILVA DE SIQUEIRA"/>
    <n v="35575473880"/>
    <x v="1"/>
    <m/>
    <s v="Nota 29"/>
    <s v="ESTACIONAMENTO"/>
    <s v="Não"/>
    <s v="Nota 29"/>
    <m/>
    <s v="CEF SP SUL"/>
    <s v="Saque VExpenses"/>
    <s v="REGIONAL SP"/>
    <n v="1"/>
    <m/>
    <m/>
    <m/>
    <m/>
    <s v="BRL"/>
    <n v="85"/>
    <m/>
    <m/>
    <n v="85"/>
    <s v="Não"/>
  </r>
  <r>
    <n v="2025"/>
    <s v="OUTUBRO"/>
    <n v="72086686"/>
    <n v="8981940"/>
    <s v="Caixa - 10/2025"/>
    <d v="2025-10-01T00:00:00"/>
    <s v="BEATRIZ SILVA DE SIQUEIRA"/>
    <n v="35575473880"/>
    <x v="1"/>
    <m/>
    <s v="Nota 28"/>
    <s v="ESTACIONAMENTO"/>
    <s v="Não"/>
    <s v="Nota 28"/>
    <m/>
    <s v="CEF SP SUL"/>
    <s v="Saque VExpenses"/>
    <s v="REGIONAL SP"/>
    <n v="1"/>
    <m/>
    <m/>
    <m/>
    <m/>
    <s v="BRL"/>
    <n v="10.8"/>
    <m/>
    <m/>
    <n v="10.8"/>
    <s v="Não"/>
  </r>
  <r>
    <n v="2025"/>
    <s v="OUTUBRO"/>
    <n v="72086581"/>
    <n v="8981940"/>
    <s v="Caixa - 10/2025"/>
    <d v="2025-10-01T00:00:00"/>
    <s v="BEATRIZ SILVA DE SIQUEIRA"/>
    <n v="35575473880"/>
    <x v="1"/>
    <m/>
    <s v="Nota 27"/>
    <s v="ESTACIONAMENTO"/>
    <s v="Não"/>
    <s v="Nota 27"/>
    <m/>
    <s v="CEF SP SUL"/>
    <s v="Saque VExpenses"/>
    <s v="REGIONAL SP"/>
    <n v="1"/>
    <m/>
    <m/>
    <m/>
    <m/>
    <s v="BRL"/>
    <n v="86"/>
    <m/>
    <m/>
    <n v="86"/>
    <s v="Não"/>
  </r>
  <r>
    <n v="2025"/>
    <s v="SETEMBRO"/>
    <n v="72080232"/>
    <n v="8981940"/>
    <s v="Caixa - 10/2025"/>
    <d v="2025-09-29T00:00:00"/>
    <s v="BEATRIZ SILVA DE SIQUEIRA"/>
    <n v="35575473880"/>
    <x v="1"/>
    <m/>
    <s v="Nota 02"/>
    <s v="MATERIAL"/>
    <s v="Não"/>
    <s v="Nota 02"/>
    <m/>
    <s v="CEF SP SUL"/>
    <s v="Saque VExpenses"/>
    <s v="REGIONAL SP"/>
    <n v="1"/>
    <m/>
    <m/>
    <m/>
    <m/>
    <s v="BRL"/>
    <n v="46.8"/>
    <m/>
    <m/>
    <n v="46.8"/>
    <s v="Não"/>
  </r>
  <r>
    <n v="2025"/>
    <s v="SETEMBRO"/>
    <n v="72080404"/>
    <n v="8981940"/>
    <s v="Caixa - 10/2025"/>
    <d v="2025-09-18T00:00:00"/>
    <s v="BEATRIZ SILVA DE SIQUEIRA"/>
    <n v="35575473880"/>
    <x v="1"/>
    <m/>
    <s v="Nota 03"/>
    <s v="MATERIAL"/>
    <s v="Não"/>
    <s v="Nota 03"/>
    <m/>
    <s v="CEF SP SUL"/>
    <s v="Saque VExpenses"/>
    <s v="REGIONAL SP"/>
    <n v="1"/>
    <m/>
    <m/>
    <m/>
    <m/>
    <s v="BRL"/>
    <n v="27.7"/>
    <m/>
    <m/>
    <n v="27.7"/>
    <s v="Não"/>
  </r>
  <r>
    <n v="2025"/>
    <s v="OUTUBRO"/>
    <n v="69193993"/>
    <n v="8448233"/>
    <s v="Caixa - 09/2025"/>
    <d v="2025-10-08T00:00:00"/>
    <s v="BEATRIZ SILVA DE SIQUEIRA"/>
    <n v="35575473880"/>
    <x v="1"/>
    <m/>
    <s v="Nota 61"/>
    <s v="MATERIAL"/>
    <s v="Não"/>
    <s v="Nota 61"/>
    <m/>
    <s v="CEF SP SUL"/>
    <s v="Saque VExpenses"/>
    <s v="REGIONAL SP"/>
    <n v="1"/>
    <m/>
    <m/>
    <m/>
    <m/>
    <s v="BRL"/>
    <n v="10"/>
    <m/>
    <m/>
    <n v="10"/>
    <s v="Não"/>
  </r>
  <r>
    <n v="2025"/>
    <s v="OUTUBRO"/>
    <n v="69193937"/>
    <n v="8448233"/>
    <s v="Caixa - 09/2025"/>
    <d v="2025-10-08T00:00:00"/>
    <s v="BEATRIZ SILVA DE SIQUEIRA"/>
    <n v="35575473880"/>
    <x v="1"/>
    <m/>
    <s v="Nota 60"/>
    <s v="MATERIAL"/>
    <s v="Não"/>
    <s v="Nota 60"/>
    <m/>
    <s v="CEF SP SUL"/>
    <s v="Saque VExpenses"/>
    <s v="REGIONAL SP"/>
    <n v="1"/>
    <m/>
    <m/>
    <m/>
    <n v="0"/>
    <s v="BRL"/>
    <n v="15"/>
    <m/>
    <m/>
    <n v="15"/>
    <s v="Não"/>
  </r>
  <r>
    <n v="2025"/>
    <s v="OUTUBRO"/>
    <n v="69193562"/>
    <n v="8448233"/>
    <s v="Caixa - 09/2025"/>
    <d v="2025-10-08T00:00:00"/>
    <s v="BEATRIZ SILVA DE SIQUEIRA"/>
    <n v="35575473880"/>
    <x v="1"/>
    <m/>
    <s v="Nota 55"/>
    <s v="MATERIAL"/>
    <s v="Não"/>
    <s v="Nota 55"/>
    <m/>
    <s v="CEF SP SUL"/>
    <s v="Saque VExpenses"/>
    <s v="REGIONAL SP"/>
    <n v="1"/>
    <m/>
    <m/>
    <m/>
    <m/>
    <s v="BRL"/>
    <n v="51.18"/>
    <m/>
    <m/>
    <n v="51.18"/>
    <s v="Não"/>
  </r>
  <r>
    <n v="2025"/>
    <s v="OUTUBRO"/>
    <n v="69193347"/>
    <n v="8448233"/>
    <s v="Caixa - 09/2025"/>
    <d v="2025-10-07T00:00:00"/>
    <s v="BEATRIZ SILVA DE SIQUEIRA"/>
    <n v="35575473880"/>
    <x v="1"/>
    <m/>
    <s v="Nota 52"/>
    <s v="MATERIAL"/>
    <s v="Não"/>
    <s v="Nota 52"/>
    <m/>
    <s v="CEF SP SUL"/>
    <s v="Saque VExpenses"/>
    <s v="REGIONAL SP"/>
    <n v="1"/>
    <m/>
    <m/>
    <m/>
    <m/>
    <s v="BRL"/>
    <n v="12.4"/>
    <m/>
    <m/>
    <n v="12.4"/>
    <s v="Não"/>
  </r>
  <r>
    <n v="2025"/>
    <s v="OUTUBRO"/>
    <n v="69193038"/>
    <n v="8448233"/>
    <s v="Caixa - 09/2025"/>
    <d v="2025-10-07T00:00:00"/>
    <s v="BEATRIZ SILVA DE SIQUEIRA"/>
    <n v="35575473880"/>
    <x v="1"/>
    <m/>
    <s v="Nota 51"/>
    <s v="MATERIAL"/>
    <s v="Não"/>
    <s v="Nota 51"/>
    <m/>
    <s v="CEF SP SUL"/>
    <s v="Saque VExpenses"/>
    <s v="REGIONAL SP"/>
    <n v="1"/>
    <m/>
    <m/>
    <m/>
    <m/>
    <s v="BRL"/>
    <n v="12"/>
    <m/>
    <m/>
    <n v="12"/>
    <s v="Não"/>
  </r>
  <r>
    <n v="2025"/>
    <s v="OUTUBRO"/>
    <n v="69192938"/>
    <n v="8448233"/>
    <s v="Caixa - 09/2025"/>
    <d v="2025-10-07T00:00:00"/>
    <s v="BEATRIZ SILVA DE SIQUEIRA"/>
    <n v="35575473880"/>
    <x v="1"/>
    <m/>
    <s v="Nota 50"/>
    <s v="MATERIAL"/>
    <s v="Não"/>
    <s v="Nota 50"/>
    <m/>
    <s v="CEF SP SUL"/>
    <s v="Saque VExpenses"/>
    <s v="REGIONAL SP"/>
    <n v="1"/>
    <m/>
    <m/>
    <m/>
    <n v="0"/>
    <s v="BRL"/>
    <n v="19.8"/>
    <m/>
    <m/>
    <n v="19.8"/>
    <s v="Não"/>
  </r>
  <r>
    <n v="2025"/>
    <s v="OUTUBRO"/>
    <n v="69192486"/>
    <n v="8448233"/>
    <s v="Caixa - 09/2025"/>
    <d v="2025-10-07T00:00:00"/>
    <s v="BEATRIZ SILVA DE SIQUEIRA"/>
    <n v="35575473880"/>
    <x v="1"/>
    <m/>
    <s v="Nota 44"/>
    <s v="MATERIAL"/>
    <s v="Não"/>
    <s v="Nota 44"/>
    <m/>
    <s v="CEF SP SUL"/>
    <s v="Saque VExpenses"/>
    <s v="REGIONAL SP"/>
    <n v="1"/>
    <m/>
    <m/>
    <m/>
    <m/>
    <s v="BRL"/>
    <n v="23.9"/>
    <m/>
    <m/>
    <n v="23.9"/>
    <s v="Não"/>
  </r>
  <r>
    <n v="2025"/>
    <s v="OUTUBRO"/>
    <n v="69185256"/>
    <n v="8448233"/>
    <s v="Caixa - 09/2025"/>
    <d v="2025-10-07T00:00:00"/>
    <s v="BEATRIZ SILVA DE SIQUEIRA"/>
    <n v="35575473880"/>
    <x v="1"/>
    <m/>
    <s v="Nota 36"/>
    <s v="MATERIAL"/>
    <s v="Não"/>
    <s v="Nota 36"/>
    <m/>
    <s v="CEF SP SUL"/>
    <s v="Saque VExpenses"/>
    <s v="REGIONAL SP"/>
    <n v="1"/>
    <m/>
    <m/>
    <m/>
    <m/>
    <s v="BRL"/>
    <n v="22.33"/>
    <m/>
    <m/>
    <n v="22.33"/>
    <s v="Não"/>
  </r>
  <r>
    <n v="2025"/>
    <s v="OUTUBRO"/>
    <n v="69192284"/>
    <n v="8448233"/>
    <s v="Caixa - 09/2025"/>
    <d v="2025-10-06T00:00:00"/>
    <s v="BEATRIZ SILVA DE SIQUEIRA"/>
    <n v="35575473880"/>
    <x v="1"/>
    <m/>
    <s v="Nota 42"/>
    <s v="MATERIAL"/>
    <s v="Não"/>
    <s v="Nota 42"/>
    <m/>
    <s v="CEF SP SUL"/>
    <s v="Saque VExpenses"/>
    <s v="REGIONAL SP"/>
    <n v="1"/>
    <m/>
    <m/>
    <m/>
    <m/>
    <s v="BRL"/>
    <n v="139.99"/>
    <m/>
    <m/>
    <n v="139.99"/>
    <s v="Não"/>
  </r>
  <r>
    <n v="2025"/>
    <s v="OUTUBRO"/>
    <n v="69193888"/>
    <n v="8448233"/>
    <s v="Caixa - 09/2025"/>
    <d v="2025-10-03T00:00:00"/>
    <s v="BEATRIZ SILVA DE SIQUEIRA"/>
    <n v="35575473880"/>
    <x v="1"/>
    <m/>
    <s v="Nota 59"/>
    <s v="MATERIAL"/>
    <s v="Não"/>
    <s v="Nota 59"/>
    <m/>
    <s v="CEF SP SUL"/>
    <s v="Saque VExpenses"/>
    <s v="REGIONAL SP"/>
    <n v="1"/>
    <m/>
    <m/>
    <m/>
    <m/>
    <s v="BRL"/>
    <n v="111.93"/>
    <m/>
    <m/>
    <n v="111.93"/>
    <s v="Não"/>
  </r>
  <r>
    <n v="2025"/>
    <s v="OUTUBRO"/>
    <n v="69191636"/>
    <n v="8448233"/>
    <s v="Caixa - 09/2025"/>
    <d v="2025-10-03T00:00:00"/>
    <s v="BEATRIZ SILVA DE SIQUEIRA"/>
    <n v="35575473880"/>
    <x v="1"/>
    <m/>
    <s v="Nota 41"/>
    <s v="MATERIAL"/>
    <s v="Não"/>
    <s v="Nota 41"/>
    <m/>
    <s v="CEF SP SUL"/>
    <s v="Saque VExpenses"/>
    <s v="REGIONAL SP"/>
    <n v="1"/>
    <m/>
    <m/>
    <m/>
    <n v="0"/>
    <s v="BRL"/>
    <n v="79.75"/>
    <m/>
    <m/>
    <n v="79.75"/>
    <s v="Não"/>
  </r>
  <r>
    <n v="2025"/>
    <s v="OUTUBRO"/>
    <n v="69191526"/>
    <n v="8448233"/>
    <s v="Caixa - 09/2025"/>
    <d v="2025-10-03T00:00:00"/>
    <s v="BEATRIZ SILVA DE SIQUEIRA"/>
    <n v="35575473880"/>
    <x v="1"/>
    <m/>
    <s v="Nota 40"/>
    <s v="MATERIAL"/>
    <s v="Não"/>
    <s v="Nota 40"/>
    <m/>
    <s v="CEF SP SUL"/>
    <s v="Saque VExpenses"/>
    <s v="REGIONAL SP"/>
    <n v="1"/>
    <m/>
    <m/>
    <m/>
    <m/>
    <s v="BRL"/>
    <n v="22"/>
    <m/>
    <m/>
    <n v="22"/>
    <s v="Não"/>
  </r>
  <r>
    <n v="2025"/>
    <s v="OUTUBRO"/>
    <n v="69192761"/>
    <n v="8448233"/>
    <s v="Caixa - 09/2025"/>
    <d v="2025-10-02T00:00:00"/>
    <s v="BEATRIZ SILVA DE SIQUEIRA"/>
    <n v="35575473880"/>
    <x v="1"/>
    <m/>
    <s v="Nota 47"/>
    <s v="MATERIAL"/>
    <s v="Não"/>
    <s v="Nota 46"/>
    <m/>
    <s v="CEF SP SUL"/>
    <s v="Saque VExpenses"/>
    <s v="REGIONAL SP"/>
    <n v="1"/>
    <m/>
    <m/>
    <m/>
    <m/>
    <s v="BRL"/>
    <n v="6.9"/>
    <m/>
    <m/>
    <n v="6.9"/>
    <s v="Não"/>
  </r>
  <r>
    <n v="2025"/>
    <s v="OUTUBRO"/>
    <n v="69192692"/>
    <n v="8448233"/>
    <s v="Caixa - 09/2025"/>
    <d v="2025-10-02T00:00:00"/>
    <s v="BEATRIZ SILVA DE SIQUEIRA"/>
    <n v="35575473880"/>
    <x v="1"/>
    <m/>
    <s v="Nota 46"/>
    <s v="MATERIAL"/>
    <s v="Não"/>
    <s v="Nota 46"/>
    <m/>
    <s v="CEF SP SUL"/>
    <s v="Saque VExpenses"/>
    <s v="REGIONAL SP"/>
    <n v="1"/>
    <m/>
    <m/>
    <m/>
    <m/>
    <s v="BRL"/>
    <n v="4.9000000000000004"/>
    <m/>
    <m/>
    <n v="4.9000000000000004"/>
    <s v="Não"/>
  </r>
  <r>
    <n v="2025"/>
    <s v="OUTUBRO"/>
    <n v="69192585"/>
    <n v="8448233"/>
    <s v="Caixa - 09/2025"/>
    <d v="2025-10-02T00:00:00"/>
    <s v="BEATRIZ SILVA DE SIQUEIRA"/>
    <n v="35575473880"/>
    <x v="1"/>
    <m/>
    <s v="Nota 46"/>
    <s v="MATERIAL"/>
    <s v="Não"/>
    <s v="Nota 46"/>
    <m/>
    <s v="CEF SP SUL"/>
    <s v="Saque VExpenses"/>
    <s v="REGIONAL SP"/>
    <n v="1"/>
    <m/>
    <m/>
    <m/>
    <m/>
    <s v="BRL"/>
    <n v="13.8"/>
    <m/>
    <m/>
    <n v="13.8"/>
    <s v="Não"/>
  </r>
  <r>
    <n v="2025"/>
    <s v="OUTUBRO"/>
    <n v="69193504"/>
    <n v="8448233"/>
    <s v="Caixa - 09/2025"/>
    <d v="2025-10-01T00:00:00"/>
    <s v="BEATRIZ SILVA DE SIQUEIRA"/>
    <n v="35575473880"/>
    <x v="1"/>
    <m/>
    <s v="Nota 54"/>
    <s v="MATERIAL"/>
    <s v="Não"/>
    <s v="Nota 54"/>
    <m/>
    <s v="CEF SP SUL"/>
    <s v="Saque VExpenses"/>
    <s v="REGIONAL SP"/>
    <n v="1"/>
    <m/>
    <m/>
    <m/>
    <m/>
    <s v="BRL"/>
    <n v="345.18"/>
    <m/>
    <m/>
    <n v="345.18"/>
    <s v="Não"/>
  </r>
  <r>
    <n v="2025"/>
    <s v="OUTUBRO"/>
    <n v="69193426"/>
    <n v="8448233"/>
    <s v="Caixa - 09/2025"/>
    <d v="2025-10-01T00:00:00"/>
    <s v="BEATRIZ SILVA DE SIQUEIRA"/>
    <n v="35575473880"/>
    <x v="1"/>
    <m/>
    <s v="Nota 53"/>
    <s v="MATERIAL"/>
    <s v="Não"/>
    <s v="Nota 53"/>
    <m/>
    <s v="CEF SP SUL"/>
    <s v="Saque VExpenses"/>
    <s v="REGIONAL SP"/>
    <n v="1"/>
    <m/>
    <m/>
    <m/>
    <m/>
    <s v="BRL"/>
    <n v="59.3"/>
    <m/>
    <m/>
    <n v="59.3"/>
    <s v="Não"/>
  </r>
  <r>
    <n v="2025"/>
    <s v="OUTUBRO"/>
    <n v="69192898"/>
    <n v="8448233"/>
    <s v="Caixa - 09/2025"/>
    <d v="2025-10-01T00:00:00"/>
    <s v="BEATRIZ SILVA DE SIQUEIRA"/>
    <n v="35575473880"/>
    <x v="1"/>
    <m/>
    <s v="Nota 49"/>
    <s v="MATERIAL"/>
    <s v="Não"/>
    <s v="Nota 49"/>
    <m/>
    <s v="CEF SP SUL"/>
    <s v="Saque VExpenses"/>
    <s v="REGIONAL SP"/>
    <n v="1"/>
    <m/>
    <m/>
    <m/>
    <m/>
    <s v="BRL"/>
    <n v="57.95"/>
    <m/>
    <m/>
    <n v="57.95"/>
    <s v="Não"/>
  </r>
  <r>
    <n v="2025"/>
    <s v="SETEMBRO"/>
    <n v="69193822"/>
    <n v="8448233"/>
    <s v="Caixa - 09/2025"/>
    <d v="2025-09-30T00:00:00"/>
    <s v="BEATRIZ SILVA DE SIQUEIRA"/>
    <n v="35575473880"/>
    <x v="1"/>
    <m/>
    <s v="Nota 58"/>
    <s v="MATERIAL"/>
    <s v="Não"/>
    <s v="Nota 58"/>
    <m/>
    <s v="CEF SP SUL"/>
    <s v="Saque VExpenses"/>
    <s v="REGIONAL SP"/>
    <n v="1"/>
    <m/>
    <m/>
    <m/>
    <m/>
    <s v="BRL"/>
    <n v="10"/>
    <m/>
    <m/>
    <n v="10"/>
    <s v="Não"/>
  </r>
  <r>
    <n v="2025"/>
    <s v="SETEMBRO"/>
    <n v="69185028"/>
    <n v="8448233"/>
    <s v="Caixa - 09/2025"/>
    <d v="2025-09-30T00:00:00"/>
    <s v="BEATRIZ SILVA DE SIQUEIRA"/>
    <n v="35575473880"/>
    <x v="1"/>
    <m/>
    <s v="Nota 36"/>
    <s v="MATERIAL"/>
    <s v="Não"/>
    <s v="Nota 36"/>
    <m/>
    <s v="CEF SP SUL"/>
    <s v="Saque VExpenses"/>
    <s v="REGIONAL SP"/>
    <n v="1"/>
    <m/>
    <m/>
    <m/>
    <m/>
    <s v="BRL"/>
    <n v="117.9"/>
    <m/>
    <m/>
    <n v="117.9"/>
    <s v="Não"/>
  </r>
  <r>
    <n v="2025"/>
    <s v="SETEMBRO"/>
    <n v="69184257"/>
    <n v="8448233"/>
    <s v="Caixa - 09/2025"/>
    <d v="2025-09-30T00:00:00"/>
    <s v="BEATRIZ SILVA DE SIQUEIRA"/>
    <n v="35575473880"/>
    <x v="1"/>
    <m/>
    <s v="Nota 33"/>
    <s v="ESTACIONAMENTO"/>
    <s v="Não"/>
    <s v="Nota 33"/>
    <m/>
    <s v="CEF SP SUL"/>
    <s v="Saque VExpenses"/>
    <s v="REGIONAL SP"/>
    <n v="1"/>
    <m/>
    <m/>
    <m/>
    <m/>
    <s v="BRL"/>
    <n v="37.5"/>
    <m/>
    <m/>
    <n v="37.5"/>
    <s v="Não"/>
  </r>
  <r>
    <n v="2025"/>
    <s v="SETEMBRO"/>
    <n v="69184133"/>
    <n v="8448233"/>
    <s v="Caixa - 09/2025"/>
    <d v="2025-09-30T00:00:00"/>
    <s v="BEATRIZ SILVA DE SIQUEIRA"/>
    <n v="35575473880"/>
    <x v="1"/>
    <m/>
    <s v="Nota 32"/>
    <s v="ESTACIONAMENTO"/>
    <s v="Não"/>
    <s v="Nota 32"/>
    <m/>
    <s v="CEF SP SUL"/>
    <s v="Saque VExpenses"/>
    <s v="REGIONAL SP"/>
    <n v="1"/>
    <m/>
    <m/>
    <m/>
    <m/>
    <s v="BRL"/>
    <n v="84"/>
    <m/>
    <m/>
    <n v="84"/>
    <s v="Não"/>
  </r>
  <r>
    <n v="2025"/>
    <s v="SETEMBRO"/>
    <n v="69183978"/>
    <n v="8448233"/>
    <s v="Caixa - 09/2025"/>
    <d v="2025-09-30T00:00:00"/>
    <s v="BEATRIZ SILVA DE SIQUEIRA"/>
    <n v="35575473880"/>
    <x v="1"/>
    <m/>
    <s v="Nota 31"/>
    <s v="ESTACIONAMENTO"/>
    <s v="Não"/>
    <s v="Nota 31"/>
    <m/>
    <s v="CEF SP SUL"/>
    <s v="Saque VExpenses"/>
    <s v="REGIONAL SP"/>
    <n v="1"/>
    <m/>
    <m/>
    <m/>
    <m/>
    <s v="BRL"/>
    <n v="110.4"/>
    <m/>
    <m/>
    <n v="110.4"/>
    <s v="Não"/>
  </r>
  <r>
    <n v="2025"/>
    <s v="SETEMBRO"/>
    <n v="69184526"/>
    <n v="8448233"/>
    <s v="Caixa - 09/2025"/>
    <d v="2025-09-29T00:00:00"/>
    <s v="BEATRIZ SILVA DE SIQUEIRA"/>
    <n v="35575473880"/>
    <x v="1"/>
    <m/>
    <s v="Nota 35"/>
    <s v="ESTACIONAMENTO"/>
    <s v="Não"/>
    <s v="Nota 35"/>
    <m/>
    <s v="CEF SP SUL"/>
    <s v="Saque VExpenses"/>
    <s v="REGIONAL SP"/>
    <n v="1"/>
    <m/>
    <m/>
    <m/>
    <m/>
    <s v="BRL"/>
    <n v="52"/>
    <m/>
    <m/>
    <n v="52"/>
    <s v="Não"/>
  </r>
  <r>
    <n v="2025"/>
    <s v="SETEMBRO"/>
    <n v="69193758"/>
    <n v="8448233"/>
    <s v="Caixa - 09/2025"/>
    <d v="2025-09-26T00:00:00"/>
    <s v="BEATRIZ SILVA DE SIQUEIRA"/>
    <n v="35575473880"/>
    <x v="1"/>
    <m/>
    <s v="Nota 57"/>
    <s v="MATERIAL"/>
    <s v="Não"/>
    <s v="Nota 57"/>
    <m/>
    <s v="CEF SP SUL"/>
    <s v="Saque VExpenses"/>
    <s v="REGIONAL SP"/>
    <n v="1"/>
    <m/>
    <m/>
    <m/>
    <m/>
    <s v="BRL"/>
    <n v="68.099999999999994"/>
    <m/>
    <m/>
    <n v="68.099999999999994"/>
    <s v="Não"/>
  </r>
  <r>
    <n v="2025"/>
    <s v="SETEMBRO"/>
    <n v="69192858"/>
    <n v="8448233"/>
    <s v="Caixa - 09/2025"/>
    <d v="2025-09-25T00:00:00"/>
    <s v="BEATRIZ SILVA DE SIQUEIRA"/>
    <n v="35575473880"/>
    <x v="1"/>
    <m/>
    <s v="Nota 47"/>
    <s v="MATERIAL"/>
    <s v="Não"/>
    <s v="Nota 47"/>
    <m/>
    <s v="CEF SP SUL"/>
    <s v="Saque VExpenses"/>
    <s v="REGIONAL SP"/>
    <n v="1"/>
    <m/>
    <m/>
    <m/>
    <m/>
    <s v="BRL"/>
    <n v="17.25"/>
    <m/>
    <m/>
    <n v="17.25"/>
    <s v="Não"/>
  </r>
  <r>
    <n v="2025"/>
    <s v="SETEMBRO"/>
    <n v="69193719"/>
    <n v="8448233"/>
    <s v="Caixa - 09/2025"/>
    <d v="2025-09-24T00:00:00"/>
    <s v="BEATRIZ SILVA DE SIQUEIRA"/>
    <n v="35575473880"/>
    <x v="1"/>
    <m/>
    <s v="Nota 56"/>
    <s v="MATERIAL"/>
    <s v="Não"/>
    <s v="Nota 56"/>
    <m/>
    <s v="CEF SP SUL"/>
    <s v="Saque VExpenses"/>
    <s v="REGIONAL SP"/>
    <n v="1"/>
    <m/>
    <m/>
    <m/>
    <m/>
    <s v="BRL"/>
    <n v="64"/>
    <m/>
    <m/>
    <n v="64"/>
    <s v="Não"/>
  </r>
  <r>
    <n v="2025"/>
    <s v="SETEMBRO"/>
    <n v="69191314"/>
    <n v="8448233"/>
    <s v="Caixa - 09/2025"/>
    <d v="2025-09-24T00:00:00"/>
    <s v="BEATRIZ SILVA DE SIQUEIRA"/>
    <n v="35575473880"/>
    <x v="1"/>
    <m/>
    <s v="Nota 38"/>
    <s v="MATERIAL"/>
    <s v="Não"/>
    <s v="Nota 38"/>
    <m/>
    <s v="CEF SP SUL"/>
    <s v="Saque VExpenses"/>
    <s v="REGIONAL SP"/>
    <n v="1"/>
    <m/>
    <m/>
    <m/>
    <m/>
    <s v="BRL"/>
    <n v="46.9"/>
    <m/>
    <m/>
    <n v="46.9"/>
    <s v="Não"/>
  </r>
  <r>
    <n v="2025"/>
    <s v="SETEMBRO"/>
    <n v="68105629"/>
    <n v="8448233"/>
    <s v="Caixa - 09/2025"/>
    <d v="2025-09-23T00:00:00"/>
    <s v="BEATRIZ SILVA DE SIQUEIRA"/>
    <n v="35575473880"/>
    <x v="1"/>
    <m/>
    <s v="Nota 09"/>
    <s v="ESTACIONAMENTO"/>
    <s v="Não"/>
    <s v="Nota 09"/>
    <m/>
    <s v="CEF SP SUL"/>
    <s v="Saque VExpenses"/>
    <s v="REGIONAL SP"/>
    <n v="1"/>
    <m/>
    <m/>
    <m/>
    <m/>
    <s v="BRL"/>
    <n v="20.399999999999999"/>
    <m/>
    <m/>
    <n v="20.399999999999999"/>
    <s v="Não"/>
  </r>
  <r>
    <n v="2025"/>
    <s v="SETEMBRO"/>
    <n v="68105539"/>
    <n v="8448233"/>
    <s v="Caixa - 09/2025"/>
    <d v="2025-09-23T00:00:00"/>
    <s v="BEATRIZ SILVA DE SIQUEIRA"/>
    <n v="35575473880"/>
    <x v="1"/>
    <m/>
    <s v="Nota 08"/>
    <s v="ESTACIONAMENTO"/>
    <s v="Não"/>
    <s v="Nota 08"/>
    <m/>
    <s v="CEF SP SUL"/>
    <s v="Saque VExpenses"/>
    <s v="REGIONAL SP"/>
    <n v="1"/>
    <m/>
    <m/>
    <m/>
    <m/>
    <s v="BRL"/>
    <n v="60"/>
    <m/>
    <m/>
    <n v="60"/>
    <s v="Não"/>
  </r>
  <r>
    <n v="2025"/>
    <s v="SETEMBRO"/>
    <n v="68108640"/>
    <n v="8448233"/>
    <s v="Caixa - 09/2025"/>
    <d v="2025-09-19T00:00:00"/>
    <s v="BEATRIZ SILVA DE SIQUEIRA"/>
    <n v="35575473880"/>
    <x v="1"/>
    <m/>
    <s v="Nota 23"/>
    <s v="MATERIAL"/>
    <s v="Não"/>
    <s v="Nota 23"/>
    <m/>
    <s v="CEF SP SUL"/>
    <s v="Saque VExpenses"/>
    <s v="REGIONAL SP"/>
    <n v="1"/>
    <m/>
    <m/>
    <m/>
    <m/>
    <s v="BRL"/>
    <n v="9.9"/>
    <m/>
    <m/>
    <n v="9.9"/>
    <s v="Não"/>
  </r>
  <r>
    <n v="2025"/>
    <s v="SETEMBRO"/>
    <n v="69191419"/>
    <n v="8448233"/>
    <s v="Caixa - 09/2025"/>
    <d v="2025-09-18T00:00:00"/>
    <s v="BEATRIZ SILVA DE SIQUEIRA"/>
    <n v="35575473880"/>
    <x v="1"/>
    <m/>
    <s v="Nota 39"/>
    <s v="MATERIAL"/>
    <s v="Não"/>
    <s v="Nota 39"/>
    <m/>
    <s v="CEF SP SUL"/>
    <s v="Saque VExpenses"/>
    <s v="REGIONAL SP"/>
    <n v="1"/>
    <m/>
    <m/>
    <m/>
    <m/>
    <s v="BRL"/>
    <n v="12.7"/>
    <m/>
    <m/>
    <n v="12.7"/>
    <s v="Não"/>
  </r>
  <r>
    <n v="2025"/>
    <s v="SETEMBRO"/>
    <n v="68196197"/>
    <n v="8448233"/>
    <s v="Caixa - 09/2025"/>
    <d v="2025-09-18T00:00:00"/>
    <s v="BEATRIZ SILVA DE SIQUEIRA"/>
    <n v="35575473880"/>
    <x v="1"/>
    <m/>
    <s v="Nota 27"/>
    <s v="MATERIAL"/>
    <s v="Não"/>
    <s v="Nota 27"/>
    <m/>
    <s v="CEF SP SUL"/>
    <s v="Saque VExpenses"/>
    <s v="REGIONAL SP"/>
    <n v="1"/>
    <m/>
    <m/>
    <m/>
    <m/>
    <s v="BRL"/>
    <n v="97"/>
    <m/>
    <m/>
    <n v="97"/>
    <s v="Não"/>
  </r>
  <r>
    <n v="2025"/>
    <s v="SETEMBRO"/>
    <n v="68196135"/>
    <n v="8448233"/>
    <s v="Caixa - 09/2025"/>
    <d v="2025-09-18T00:00:00"/>
    <s v="BEATRIZ SILVA DE SIQUEIRA"/>
    <n v="35575473880"/>
    <x v="1"/>
    <m/>
    <s v="Nota 26"/>
    <s v="MATERIAL"/>
    <s v="Não"/>
    <s v="Nota 26"/>
    <m/>
    <s v="CEF SP SUL"/>
    <s v="Saque VExpenses"/>
    <s v="REGIONAL SP"/>
    <n v="1"/>
    <m/>
    <m/>
    <m/>
    <n v="0"/>
    <s v="BRL"/>
    <n v="25"/>
    <m/>
    <m/>
    <n v="25"/>
    <s v="Não"/>
  </r>
  <r>
    <n v="2025"/>
    <s v="SETEMBRO"/>
    <n v="68196068"/>
    <n v="8448233"/>
    <s v="Caixa - 09/2025"/>
    <d v="2025-09-18T00:00:00"/>
    <s v="BEATRIZ SILVA DE SIQUEIRA"/>
    <n v="35575473880"/>
    <x v="1"/>
    <m/>
    <s v="Nota 25"/>
    <s v="MATERIAL"/>
    <s v="Não"/>
    <s v="Nota 25"/>
    <m/>
    <s v="CEF SP SUL"/>
    <s v="Saque VExpenses"/>
    <s v="REGIONAL SP"/>
    <n v="1"/>
    <m/>
    <m/>
    <m/>
    <m/>
    <s v="BRL"/>
    <n v="17.600000000000001"/>
    <m/>
    <m/>
    <n v="17.600000000000001"/>
    <s v="Não"/>
  </r>
  <r>
    <n v="2025"/>
    <s v="SETEMBRO"/>
    <n v="68106389"/>
    <n v="8448233"/>
    <s v="Caixa - 09/2025"/>
    <d v="2025-09-18T00:00:00"/>
    <s v="BEATRIZ SILVA DE SIQUEIRA"/>
    <n v="35575473880"/>
    <x v="1"/>
    <m/>
    <s v="Nota 14"/>
    <s v="MATERIAL"/>
    <s v="Não"/>
    <s v="Nota 14"/>
    <m/>
    <s v="CEF SP SUL"/>
    <s v="Saque VExpenses"/>
    <s v="REGIONAL SP"/>
    <n v="1"/>
    <m/>
    <m/>
    <m/>
    <m/>
    <s v="BRL"/>
    <n v="45"/>
    <m/>
    <m/>
    <n v="45"/>
    <s v="Não"/>
  </r>
  <r>
    <n v="2025"/>
    <s v="SETEMBRO"/>
    <n v="68105964"/>
    <n v="8448233"/>
    <s v="Caixa - 09/2025"/>
    <d v="2025-09-18T00:00:00"/>
    <s v="BEATRIZ SILVA DE SIQUEIRA"/>
    <n v="35575473880"/>
    <x v="1"/>
    <m/>
    <s v="Nota 11"/>
    <s v="MATERIAL"/>
    <s v="Não"/>
    <s v="Nota 11"/>
    <m/>
    <s v="CEF SP SUL"/>
    <s v="Saque VExpenses"/>
    <s v="REGIONAL SP"/>
    <n v="1"/>
    <m/>
    <m/>
    <m/>
    <m/>
    <s v="BRL"/>
    <n v="65.5"/>
    <m/>
    <m/>
    <n v="65.5"/>
    <s v="Não"/>
  </r>
  <r>
    <n v="2025"/>
    <s v="SETEMBRO"/>
    <n v="68105840"/>
    <n v="8448233"/>
    <s v="Caixa - 09/2025"/>
    <d v="2025-09-18T00:00:00"/>
    <s v="BEATRIZ SILVA DE SIQUEIRA"/>
    <n v="35575473880"/>
    <x v="1"/>
    <m/>
    <s v="Nota 10"/>
    <s v="MATERIAL"/>
    <s v="Não"/>
    <s v="Nota 10"/>
    <m/>
    <s v="CEF SP SUL"/>
    <s v="Saque VExpenses"/>
    <s v="REGIONAL SP"/>
    <n v="1"/>
    <m/>
    <m/>
    <m/>
    <m/>
    <s v="BRL"/>
    <n v="24"/>
    <m/>
    <m/>
    <n v="24"/>
    <s v="Não"/>
  </r>
  <r>
    <n v="2025"/>
    <s v="SETEMBRO"/>
    <n v="68106289"/>
    <n v="8448233"/>
    <s v="Caixa - 09/2025"/>
    <d v="2025-09-17T00:00:00"/>
    <s v="BEATRIZ SILVA DE SIQUEIRA"/>
    <n v="35575473880"/>
    <x v="1"/>
    <m/>
    <s v="Nota 13"/>
    <s v="MATERIAL"/>
    <s v="Não"/>
    <s v="Nota 13"/>
    <m/>
    <s v="CEF SP SUL"/>
    <s v="Saque VExpenses"/>
    <s v="REGIONAL SP"/>
    <n v="1"/>
    <m/>
    <m/>
    <m/>
    <m/>
    <s v="BRL"/>
    <n v="54"/>
    <m/>
    <m/>
    <n v="54"/>
    <s v="Não"/>
  </r>
  <r>
    <n v="2025"/>
    <s v="SETEMBRO"/>
    <n v="68105045"/>
    <n v="8448233"/>
    <s v="Caixa - 09/2025"/>
    <d v="2025-09-17T00:00:00"/>
    <s v="BEATRIZ SILVA DE SIQUEIRA"/>
    <n v="35575473880"/>
    <x v="1"/>
    <m/>
    <s v="Nota 04"/>
    <s v="ESTACIONAMENTO"/>
    <s v="Não"/>
    <s v="Nota 04"/>
    <m/>
    <s v="CEF SP SUL"/>
    <s v="Saque VExpenses"/>
    <s v="REGIONAL SP"/>
    <n v="1"/>
    <m/>
    <m/>
    <m/>
    <m/>
    <s v="BRL"/>
    <n v="62"/>
    <m/>
    <m/>
    <n v="62"/>
    <s v="Não"/>
  </r>
  <r>
    <n v="2025"/>
    <s v="SETEMBRO"/>
    <n v="68106094"/>
    <n v="8448233"/>
    <s v="Caixa - 09/2025"/>
    <d v="2025-09-16T00:00:00"/>
    <s v="BEATRIZ SILVA DE SIQUEIRA"/>
    <n v="35575473880"/>
    <x v="1"/>
    <m/>
    <s v="Nota 12"/>
    <s v="MATERIAL"/>
    <s v="Não"/>
    <s v="Nota 12"/>
    <m/>
    <s v="CEF SP SUL"/>
    <s v="Saque VExpenses"/>
    <s v="REGIONAL SP"/>
    <n v="1"/>
    <m/>
    <m/>
    <m/>
    <m/>
    <s v="BRL"/>
    <n v="34"/>
    <m/>
    <m/>
    <n v="34"/>
    <s v="Não"/>
  </r>
  <r>
    <n v="2025"/>
    <s v="SETEMBRO"/>
    <n v="68106654"/>
    <n v="8448233"/>
    <s v="Caixa - 09/2025"/>
    <d v="2025-09-15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39"/>
    <m/>
    <m/>
    <n v="39"/>
    <s v="Não"/>
  </r>
  <r>
    <n v="2025"/>
    <s v="SETEMBRO"/>
    <n v="68105429"/>
    <n v="8448233"/>
    <s v="Caixa - 09/2025"/>
    <d v="2025-09-15T00:00:00"/>
    <s v="BEATRIZ SILVA DE SIQUEIRA"/>
    <n v="35575473880"/>
    <x v="1"/>
    <m/>
    <s v="Nota 07"/>
    <s v="ESTACIONAMENTO"/>
    <s v="Não"/>
    <s v="Nota 07"/>
    <m/>
    <s v="CEF SP SUL"/>
    <s v="Saque VExpenses"/>
    <s v="REGIONAL SP"/>
    <n v="1"/>
    <m/>
    <m/>
    <m/>
    <m/>
    <s v="BRL"/>
    <n v="107.8"/>
    <m/>
    <m/>
    <n v="107.8"/>
    <s v="Não"/>
  </r>
  <r>
    <n v="2025"/>
    <s v="SETEMBRO"/>
    <n v="68106934"/>
    <n v="8448233"/>
    <s v="Caixa - 09/2025"/>
    <d v="2025-09-13T00:00:00"/>
    <s v="BEATRIZ SILVA DE SIQUEIRA"/>
    <n v="35575473880"/>
    <x v="1"/>
    <m/>
    <s v="Nota 18"/>
    <s v="MATERIAL"/>
    <s v="Não"/>
    <s v="Nota 18"/>
    <m/>
    <s v="CEF SP SUL"/>
    <s v="Saque VExpenses"/>
    <s v="REGIONAL SP"/>
    <n v="1"/>
    <m/>
    <m/>
    <m/>
    <m/>
    <s v="BRL"/>
    <n v="73.94"/>
    <m/>
    <m/>
    <n v="73.94"/>
    <s v="Não"/>
  </r>
  <r>
    <n v="2025"/>
    <s v="SETEMBRO"/>
    <n v="68106562"/>
    <n v="8448233"/>
    <s v="Caixa - 09/2025"/>
    <d v="2025-09-12T00:00:00"/>
    <s v="BEATRIZ SILVA DE SIQUEIRA"/>
    <n v="35575473880"/>
    <x v="1"/>
    <m/>
    <s v="Nota 15"/>
    <s v="MATERIAL"/>
    <s v="Não"/>
    <s v="Nota 15"/>
    <m/>
    <s v="CEF SP SUL"/>
    <s v="Saque VExpenses"/>
    <s v="REGIONAL SP"/>
    <n v="1"/>
    <m/>
    <m/>
    <m/>
    <m/>
    <s v="BRL"/>
    <n v="69"/>
    <m/>
    <m/>
    <n v="69"/>
    <s v="Não"/>
  </r>
  <r>
    <n v="2025"/>
    <s v="SETEMBRO"/>
    <n v="68108550"/>
    <n v="8448233"/>
    <s v="Caixa - 09/2025"/>
    <d v="2025-09-11T00:00:00"/>
    <s v="BEATRIZ SILVA DE SIQUEIRA"/>
    <n v="35575473880"/>
    <x v="1"/>
    <m/>
    <s v="Nota 22"/>
    <s v="MATERIAL"/>
    <s v="Não"/>
    <s v="Nota 22"/>
    <m/>
    <s v="CEF SP SUL"/>
    <s v="Saque VExpenses"/>
    <s v="REGIONAL SP"/>
    <n v="1"/>
    <m/>
    <m/>
    <m/>
    <m/>
    <s v="BRL"/>
    <n v="46.9"/>
    <m/>
    <m/>
    <n v="46.9"/>
    <s v="Não"/>
  </r>
  <r>
    <n v="2025"/>
    <s v="SETEMBRO"/>
    <n v="68107197"/>
    <n v="8448233"/>
    <s v="Caixa - 09/2025"/>
    <d v="2025-09-11T00:00:00"/>
    <s v="BEATRIZ SILVA DE SIQUEIRA"/>
    <n v="35575473880"/>
    <x v="1"/>
    <m/>
    <s v="Nota 19"/>
    <s v="MATERIAL"/>
    <s v="Não"/>
    <s v="Nota 19"/>
    <m/>
    <s v="CEF SP SUL"/>
    <s v="Saque VExpenses"/>
    <s v="REGIONAL SP"/>
    <n v="1"/>
    <m/>
    <m/>
    <m/>
    <m/>
    <s v="BRL"/>
    <n v="10"/>
    <m/>
    <m/>
    <n v="10"/>
    <s v="Não"/>
  </r>
  <r>
    <n v="2025"/>
    <s v="SETEMBRO"/>
    <n v="68107281"/>
    <n v="8448233"/>
    <s v="Caixa - 09/2025"/>
    <d v="2025-09-10T00:00:00"/>
    <s v="BEATRIZ SILVA DE SIQUEIRA"/>
    <n v="35575473880"/>
    <x v="1"/>
    <m/>
    <s v="Nota 20"/>
    <s v="MATERIAL"/>
    <s v="Não"/>
    <s v="Nota 20"/>
    <m/>
    <s v="CEF SP SUL"/>
    <s v="Saque VExpenses"/>
    <s v="REGIONAL SP"/>
    <n v="1"/>
    <m/>
    <m/>
    <m/>
    <m/>
    <s v="BRL"/>
    <n v="49.7"/>
    <m/>
    <m/>
    <n v="49.7"/>
    <s v="Não"/>
  </r>
  <r>
    <n v="2025"/>
    <s v="SETEMBRO"/>
    <n v="68104905"/>
    <n v="8448233"/>
    <s v="Caixa - 09/2025"/>
    <d v="2025-09-09T00:00:00"/>
    <s v="BEATRIZ SILVA DE SIQUEIRA"/>
    <n v="35575473880"/>
    <x v="1"/>
    <m/>
    <s v="Nota 03"/>
    <s v="ESTACIONAMENTO"/>
    <s v="Não"/>
    <s v="Nota 03."/>
    <m/>
    <s v="CEF SP SUL"/>
    <s v="Saque VExpenses"/>
    <s v="REGIONAL SP"/>
    <n v="1"/>
    <m/>
    <m/>
    <m/>
    <m/>
    <s v="BRL"/>
    <n v="31.1"/>
    <m/>
    <m/>
    <n v="31.1"/>
    <s v="Não"/>
  </r>
  <r>
    <n v="2025"/>
    <s v="SETEMBRO"/>
    <n v="69184377"/>
    <n v="8448233"/>
    <s v="Caixa - 09/2025"/>
    <d v="2025-09-08T00:00:00"/>
    <s v="BEATRIZ SILVA DE SIQUEIRA"/>
    <n v="35575473880"/>
    <x v="1"/>
    <m/>
    <s v="Nota 34"/>
    <s v="ESTACIONAMENTO"/>
    <s v="Não"/>
    <s v="Nota 43"/>
    <m/>
    <s v="CEF SP SUL"/>
    <s v="Saque VExpenses"/>
    <s v="REGIONAL SP"/>
    <n v="1"/>
    <m/>
    <m/>
    <m/>
    <m/>
    <s v="BRL"/>
    <n v="41.1"/>
    <m/>
    <m/>
    <n v="41.1"/>
    <s v="Não"/>
  </r>
  <r>
    <n v="2025"/>
    <s v="SETEMBRO"/>
    <n v="68107419"/>
    <n v="8448233"/>
    <s v="Caixa - 09/2025"/>
    <d v="2025-09-08T00:00:00"/>
    <s v="BEATRIZ SILVA DE SIQUEIRA"/>
    <n v="35575473880"/>
    <x v="1"/>
    <m/>
    <s v="Nota 21"/>
    <s v="MATERIAL"/>
    <s v="Não"/>
    <s v="Nota 21"/>
    <m/>
    <s v="CEF SP SUL"/>
    <s v="Saque VExpenses"/>
    <s v="REGIONAL SP"/>
    <n v="1"/>
    <m/>
    <m/>
    <m/>
    <m/>
    <s v="BRL"/>
    <n v="132.9"/>
    <m/>
    <m/>
    <n v="132.9"/>
    <s v="Não"/>
  </r>
  <r>
    <n v="2025"/>
    <s v="SETEMBRO"/>
    <n v="68108866"/>
    <n v="8448233"/>
    <s v="Caixa - 09/2025"/>
    <d v="2025-09-06T00:00:00"/>
    <s v="BEATRIZ SILVA DE SIQUEIRA"/>
    <n v="35575473880"/>
    <x v="1"/>
    <m/>
    <s v="Nota 27"/>
    <s v="MATERIAL"/>
    <s v="Não"/>
    <s v="Nota 27"/>
    <m/>
    <s v="CEF SP SUL"/>
    <s v="Saque VExpenses"/>
    <s v="REGIONAL SP"/>
    <n v="1"/>
    <m/>
    <m/>
    <m/>
    <m/>
    <s v="BRL"/>
    <n v="246.96"/>
    <m/>
    <m/>
    <n v="246.96"/>
    <s v="Não"/>
  </r>
  <r>
    <n v="2025"/>
    <s v="SETEMBRO"/>
    <n v="68108709"/>
    <n v="8448233"/>
    <s v="Caixa - 09/2025"/>
    <d v="2025-09-06T00:00:00"/>
    <s v="BEATRIZ SILVA DE SIQUEIRA"/>
    <n v="35575473880"/>
    <x v="1"/>
    <m/>
    <s v="Nota 24"/>
    <s v="MATERIAL"/>
    <s v="Não"/>
    <s v="Nota 24"/>
    <m/>
    <s v="CEF SP SUL"/>
    <s v="Saque VExpenses"/>
    <s v="REGIONAL SP"/>
    <n v="1"/>
    <m/>
    <m/>
    <m/>
    <m/>
    <s v="BRL"/>
    <n v="20.2"/>
    <m/>
    <m/>
    <n v="20.2"/>
    <s v="Não"/>
  </r>
  <r>
    <n v="2025"/>
    <s v="SETEMBRO"/>
    <n v="68108799"/>
    <n v="8448233"/>
    <s v="Caixa - 09/2025"/>
    <d v="2025-09-04T00:00:00"/>
    <s v="BEATRIZ SILVA DE SIQUEIRA"/>
    <n v="35575473880"/>
    <x v="1"/>
    <m/>
    <s v="Nota 25"/>
    <s v="MATERIAL"/>
    <s v="Não"/>
    <s v="Nota 25"/>
    <m/>
    <s v="CEF SP SUL"/>
    <s v="Saque VExpenses"/>
    <s v="REGIONAL SP"/>
    <n v="1"/>
    <m/>
    <m/>
    <m/>
    <m/>
    <s v="BRL"/>
    <n v="29.97"/>
    <m/>
    <m/>
    <n v="29.97"/>
    <s v="Não"/>
  </r>
  <r>
    <n v="2025"/>
    <s v="SETEMBRO"/>
    <n v="69192408"/>
    <n v="8448233"/>
    <s v="Caixa - 09/2025"/>
    <d v="2025-09-03T00:00:00"/>
    <s v="BEATRIZ SILVA DE SIQUEIRA"/>
    <n v="35575473880"/>
    <x v="1"/>
    <m/>
    <s v="Nota 43"/>
    <s v="MATERIAL"/>
    <s v="Não"/>
    <s v="Nota 43"/>
    <m/>
    <s v="CEF SP SUL"/>
    <s v="Saque VExpenses"/>
    <s v="REGIONAL SP"/>
    <n v="1"/>
    <m/>
    <m/>
    <m/>
    <m/>
    <s v="BRL"/>
    <n v="5.5"/>
    <m/>
    <m/>
    <n v="5.5"/>
    <s v="Não"/>
  </r>
  <r>
    <n v="2025"/>
    <s v="SETEMBRO"/>
    <n v="68104793"/>
    <n v="8448233"/>
    <s v="Caixa - 09/2025"/>
    <d v="2025-09-03T00:00:00"/>
    <s v="BEATRIZ SILVA DE SIQUEIRA"/>
    <n v="35575473880"/>
    <x v="1"/>
    <m/>
    <s v="Nota 02"/>
    <s v="ESTACIONAMENTO"/>
    <s v="Não"/>
    <s v="Nota 02"/>
    <m/>
    <s v="CEF SP SUL"/>
    <s v="Saque VExpenses"/>
    <s v="REGIONAL SP"/>
    <n v="1"/>
    <m/>
    <m/>
    <m/>
    <m/>
    <s v="BRL"/>
    <n v="26.21"/>
    <m/>
    <m/>
    <n v="26.21"/>
    <s v="Não"/>
  </r>
  <r>
    <n v="2025"/>
    <s v="SETEMBRO"/>
    <n v="68106784"/>
    <n v="8448233"/>
    <s v="Caixa - 09/2025"/>
    <d v="2025-09-02T00:00:00"/>
    <s v="BEATRIZ SILVA DE SIQUEIRA"/>
    <n v="35575473880"/>
    <x v="1"/>
    <m/>
    <s v="Nota 17"/>
    <s v="MATERIAL"/>
    <s v="Não"/>
    <s v="Nota 17"/>
    <m/>
    <s v="CEF SP SUL"/>
    <s v="Saque VExpenses"/>
    <s v="REGIONAL SP"/>
    <n v="1"/>
    <m/>
    <m/>
    <m/>
    <m/>
    <s v="BRL"/>
    <n v="134.22"/>
    <m/>
    <m/>
    <n v="134.22"/>
    <s v="Não"/>
  </r>
  <r>
    <n v="2025"/>
    <s v="SETEMBRO"/>
    <n v="68105131"/>
    <n v="8448233"/>
    <s v="Caixa - 09/2025"/>
    <d v="2025-09-02T00:00:00"/>
    <s v="BEATRIZ SILVA DE SIQUEIRA"/>
    <n v="35575473880"/>
    <x v="1"/>
    <m/>
    <s v="Nota 05"/>
    <s v="ESTACIONAMENTO"/>
    <s v="Não"/>
    <s v="Nota 05"/>
    <m/>
    <s v="CEF SP SUL"/>
    <s v="Saque VExpenses"/>
    <s v="REGIONAL SP"/>
    <n v="1"/>
    <m/>
    <m/>
    <m/>
    <m/>
    <s v="BRL"/>
    <n v="31"/>
    <m/>
    <m/>
    <n v="31"/>
    <s v="Não"/>
  </r>
  <r>
    <n v="2025"/>
    <s v="SETEMBRO"/>
    <n v="68105225"/>
    <n v="8448233"/>
    <s v="Caixa - 09/2025"/>
    <d v="2025-09-01T00:00:00"/>
    <s v="BEATRIZ SILVA DE SIQUEIRA"/>
    <n v="35575473880"/>
    <x v="1"/>
    <m/>
    <s v="Nota 06"/>
    <s v="ESTACIONAMENTO"/>
    <s v="Não"/>
    <s v="Nota 06"/>
    <m/>
    <s v="CEF SP SUL"/>
    <s v="Saque VExpenses"/>
    <s v="REGIONAL SP"/>
    <n v="1"/>
    <m/>
    <m/>
    <m/>
    <m/>
    <s v="BRL"/>
    <n v="50"/>
    <m/>
    <m/>
    <n v="50"/>
    <s v="Não"/>
  </r>
  <r>
    <n v="2025"/>
    <s v="SETEMBRO"/>
    <n v="68104664"/>
    <n v="8448233"/>
    <s v="Caixa - 09/2025"/>
    <d v="2025-09-01T00:00:00"/>
    <s v="BEATRIZ SILVA DE SIQUEIRA"/>
    <n v="35575473880"/>
    <x v="1"/>
    <m/>
    <s v="Nota 01"/>
    <s v="ESTACIONAMENTO"/>
    <s v="Não"/>
    <s v="Nota 01"/>
    <m/>
    <s v="CEF SP SUL"/>
    <s v="Saque VExpenses"/>
    <s v="REGIONAL SP"/>
    <n v="1"/>
    <m/>
    <m/>
    <m/>
    <m/>
    <s v="BRL"/>
    <n v="83.8"/>
    <m/>
    <m/>
    <n v="83.8"/>
    <s v="Não"/>
  </r>
  <r>
    <n v="2025"/>
    <s v="AGOSTO"/>
    <n v="68107055"/>
    <n v="8448233"/>
    <s v="Caixa - 09/2025"/>
    <d v="2025-08-27T00:00:00"/>
    <s v="BEATRIZ SILVA DE SIQUEIRA"/>
    <n v="35575473880"/>
    <x v="1"/>
    <m/>
    <s v="Nota 19"/>
    <s v="MATERIAL"/>
    <s v="Não"/>
    <s v="Nota 19"/>
    <m/>
    <s v="CEF SP SUL"/>
    <s v="Saque VExpenses"/>
    <s v="REGIONAL SP"/>
    <n v="1"/>
    <m/>
    <m/>
    <m/>
    <m/>
    <s v="BRL"/>
    <n v="12.97"/>
    <m/>
    <m/>
    <n v="12.97"/>
    <s v="Não"/>
  </r>
  <r>
    <n v="2025"/>
    <s v="SETEMBRO"/>
    <n v="67343855"/>
    <n v="8293794"/>
    <s v="Caixa - 08/2025"/>
    <d v="2025-09-05T00:00:00"/>
    <s v="BEATRIZ SILVA DE SIQUEIRA"/>
    <n v="35575473880"/>
    <x v="1"/>
    <m/>
    <s v="Nota 26"/>
    <s v="MATERIAL"/>
    <s v="Não"/>
    <s v="Nota 25 relatório de 09/2025 fechado não possível inclusão no mesmo"/>
    <m/>
    <s v="CEF SP SUL"/>
    <s v="Saque VExpenses"/>
    <s v="REGIONAL SP"/>
    <n v="1"/>
    <m/>
    <m/>
    <m/>
    <n v="0"/>
    <s v="BRL"/>
    <n v="45"/>
    <m/>
    <m/>
    <n v="45"/>
    <s v="Não"/>
  </r>
  <r>
    <n v="2025"/>
    <s v="SETEMBRO"/>
    <n v="67343746"/>
    <n v="8293794"/>
    <s v="Caixa - 08/2025"/>
    <d v="2025-09-05T00:00:00"/>
    <s v="BEATRIZ SILVA DE SIQUEIRA"/>
    <n v="35575473880"/>
    <x v="1"/>
    <m/>
    <s v="Nota 24"/>
    <s v="MATERIAL"/>
    <s v="Não"/>
    <s v="Nota 24 relatório de 09/2025 fechado não possível inclusão no mesmo"/>
    <m/>
    <s v="CEF SP SUL"/>
    <s v="Saque VExpenses"/>
    <s v="REGIONAL SP"/>
    <n v="1"/>
    <m/>
    <m/>
    <m/>
    <n v="0"/>
    <s v="BRL"/>
    <n v="76"/>
    <m/>
    <m/>
    <n v="76"/>
    <s v="Não"/>
  </r>
  <r>
    <n v="2025"/>
    <s v="SETEMBRO"/>
    <n v="67343706"/>
    <n v="8293794"/>
    <s v="Caixa - 08/2025"/>
    <d v="2025-09-05T00:00:00"/>
    <s v="BEATRIZ SILVA DE SIQUEIRA"/>
    <n v="35575473880"/>
    <x v="1"/>
    <m/>
    <s v="Nota 23"/>
    <s v="MATERIAL"/>
    <s v="Não"/>
    <s v="Nota 23 relatório de 09/2025 fechado não possível inclusão no mesmo"/>
    <m/>
    <s v="CEF SP SUL"/>
    <s v="Saque VExpenses"/>
    <s v="REGIONAL SP"/>
    <n v="1"/>
    <m/>
    <m/>
    <m/>
    <n v="0"/>
    <s v="BRL"/>
    <n v="60"/>
    <m/>
    <m/>
    <n v="60"/>
    <s v="Não"/>
  </r>
  <r>
    <n v="2025"/>
    <s v="SETEMBRO"/>
    <n v="67343802"/>
    <n v="8293794"/>
    <s v="Caixa - 08/2025"/>
    <d v="2025-09-04T00:00:00"/>
    <s v="BEATRIZ SILVA DE SIQUEIRA"/>
    <n v="35575473880"/>
    <x v="1"/>
    <m/>
    <s v="Nota 25"/>
    <s v="MATERIAL"/>
    <s v="Não"/>
    <s v="Nota 25 relatório de 09/2025 fechado não possível inclusão no mesmo"/>
    <m/>
    <s v="CEF SP SUL"/>
    <s v="Saque VExpenses"/>
    <s v="REGIONAL SP"/>
    <n v="1"/>
    <m/>
    <m/>
    <m/>
    <n v="0"/>
    <s v="BRL"/>
    <n v="78.2"/>
    <m/>
    <m/>
    <n v="78.2"/>
    <s v="Não"/>
  </r>
  <r>
    <n v="2025"/>
    <s v="AGOSTO"/>
    <n v="66916417"/>
    <n v="8293794"/>
    <s v="Caixa - 08/2025"/>
    <d v="2025-08-28T00:00:00"/>
    <s v="BEATRIZ SILVA DE SIQUEIRA"/>
    <n v="35575473880"/>
    <x v="1"/>
    <m/>
    <s v="Nota 06"/>
    <s v="MATERIAL"/>
    <s v="Não"/>
    <s v="Nota 06"/>
    <m/>
    <s v="CEF SP SUL"/>
    <s v="Saque VExpenses"/>
    <s v="REGIONAL SP"/>
    <n v="1"/>
    <m/>
    <m/>
    <m/>
    <n v="0"/>
    <s v="BRL"/>
    <n v="31"/>
    <m/>
    <m/>
    <n v="31"/>
    <s v="Não"/>
  </r>
  <r>
    <n v="2025"/>
    <s v="AGOSTO"/>
    <n v="66925862"/>
    <n v="8293794"/>
    <s v="Caixa - 08/2025"/>
    <d v="2025-08-27T00:00:00"/>
    <s v="BEATRIZ SILVA DE SIQUEIRA"/>
    <n v="35575473880"/>
    <x v="1"/>
    <m/>
    <s v="Nota 22"/>
    <s v="ESTACIONAMENTO"/>
    <s v="Não"/>
    <s v="Nota 22"/>
    <m/>
    <s v="CEF SP SUL"/>
    <s v="Saque VExpenses"/>
    <s v="REGIONAL SP"/>
    <n v="1"/>
    <m/>
    <m/>
    <m/>
    <n v="0"/>
    <s v="BRL"/>
    <n v="102"/>
    <m/>
    <m/>
    <n v="102"/>
    <s v="Não"/>
  </r>
  <r>
    <n v="2025"/>
    <s v="AGOSTO"/>
    <n v="66917382"/>
    <n v="8293794"/>
    <s v="Caixa - 08/2025"/>
    <d v="2025-08-27T00:00:00"/>
    <s v="BEATRIZ SILVA DE SIQUEIRA"/>
    <n v="35575473880"/>
    <x v="1"/>
    <m/>
    <s v="Nota 13"/>
    <s v="MATERIAL"/>
    <s v="Não"/>
    <s v="Nota 13"/>
    <m/>
    <s v="CEF SP SUL"/>
    <s v="Saque VExpenses"/>
    <s v="REGIONAL SP"/>
    <n v="1"/>
    <m/>
    <m/>
    <m/>
    <m/>
    <s v="BRL"/>
    <n v="151.74"/>
    <m/>
    <m/>
    <n v="151.74"/>
    <s v="Não"/>
  </r>
  <r>
    <n v="2025"/>
    <s v="AGOSTO"/>
    <n v="66915880"/>
    <n v="8293794"/>
    <s v="Caixa - 08/2025"/>
    <d v="2025-08-27T00:00:00"/>
    <s v="BEATRIZ SILVA DE SIQUEIRA"/>
    <n v="35575473880"/>
    <x v="1"/>
    <m/>
    <s v="Nota 01"/>
    <s v="MATERIAL"/>
    <s v="Não"/>
    <s v="Nota 01"/>
    <m/>
    <s v="CEF SP SUL"/>
    <s v="Saque VExpenses"/>
    <s v="REGIONAL SP"/>
    <n v="1"/>
    <m/>
    <m/>
    <m/>
    <m/>
    <s v="BRL"/>
    <n v="13"/>
    <m/>
    <m/>
    <n v="13"/>
    <s v="Não"/>
  </r>
  <r>
    <n v="2025"/>
    <s v="AGOSTO"/>
    <n v="66916798"/>
    <n v="8293794"/>
    <s v="Caixa - 08/2025"/>
    <d v="2025-08-25T00:00:00"/>
    <s v="BEATRIZ SILVA DE SIQUEIRA"/>
    <n v="35575473880"/>
    <x v="1"/>
    <m/>
    <s v="Nota 08"/>
    <s v="MATERIAL"/>
    <s v="Não"/>
    <s v="Nota 08"/>
    <m/>
    <s v="CEF SP SUL"/>
    <s v="Saque VExpenses"/>
    <s v="REGIONAL SP"/>
    <n v="1"/>
    <m/>
    <m/>
    <m/>
    <m/>
    <s v="BRL"/>
    <n v="23.3"/>
    <m/>
    <m/>
    <n v="23.3"/>
    <s v="Não"/>
  </r>
  <r>
    <n v="2025"/>
    <s v="AGOSTO"/>
    <n v="66916262"/>
    <n v="8293794"/>
    <s v="Caixa - 08/2025"/>
    <d v="2025-08-25T00:00:00"/>
    <s v="BEATRIZ SILVA DE SIQUEIRA"/>
    <n v="35575473880"/>
    <x v="1"/>
    <m/>
    <s v="Nota 04"/>
    <s v="MATERIAL"/>
    <s v="Não"/>
    <s v="Nota 04"/>
    <m/>
    <s v="CEF SP SUL"/>
    <s v="Saque VExpenses"/>
    <s v="REGIONAL SP"/>
    <n v="1"/>
    <m/>
    <m/>
    <m/>
    <m/>
    <s v="BRL"/>
    <n v="163.13999999999999"/>
    <m/>
    <m/>
    <n v="163.13999999999999"/>
    <s v="Não"/>
  </r>
  <r>
    <n v="2025"/>
    <s v="AGOSTO"/>
    <n v="66916007"/>
    <n v="8293794"/>
    <s v="Caixa - 08/2025"/>
    <d v="2025-08-25T00:00:00"/>
    <s v="BEATRIZ SILVA DE SIQUEIRA"/>
    <n v="35575473880"/>
    <x v="1"/>
    <m/>
    <s v="Nota 02"/>
    <s v="MATERIAL"/>
    <s v="Não"/>
    <s v="Nota 02"/>
    <m/>
    <s v="CEF SP SUL"/>
    <s v="Saque VExpenses"/>
    <s v="REGIONAL SP"/>
    <n v="1"/>
    <m/>
    <m/>
    <m/>
    <m/>
    <s v="BRL"/>
    <n v="11.97"/>
    <m/>
    <m/>
    <n v="11.97"/>
    <s v="Não"/>
  </r>
  <r>
    <n v="2025"/>
    <s v="AGOSTO"/>
    <n v="66918296"/>
    <n v="8293794"/>
    <s v="Caixa - 08/2025"/>
    <d v="2025-08-24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66.19"/>
    <m/>
    <m/>
    <n v="66.19"/>
    <s v="Não"/>
  </r>
  <r>
    <n v="2025"/>
    <s v="AGOSTO"/>
    <n v="66926144"/>
    <n v="8293794"/>
    <s v="Caixa - 08/2025"/>
    <d v="2025-08-23T00:00:00"/>
    <s v="BEATRIZ SILVA DE SIQUEIRA"/>
    <n v="35575473880"/>
    <x v="1"/>
    <m/>
    <s v="Nota 23"/>
    <s v="ESTACIONAMENTO"/>
    <s v="Não"/>
    <s v="Nota 23"/>
    <m/>
    <s v="CEF SP SUL"/>
    <s v="Saque VExpenses"/>
    <s v="REGIONAL SP"/>
    <n v="1"/>
    <m/>
    <m/>
    <m/>
    <m/>
    <s v="BRL"/>
    <n v="123.9"/>
    <m/>
    <m/>
    <n v="123.9"/>
    <s v="Não"/>
  </r>
  <r>
    <n v="2025"/>
    <s v="AGOSTO"/>
    <n v="66916358"/>
    <n v="8293794"/>
    <s v="Caixa - 08/2025"/>
    <d v="2025-08-23T00:00:00"/>
    <s v="BEATRIZ SILVA DE SIQUEIRA"/>
    <n v="35575473880"/>
    <x v="1"/>
    <m/>
    <s v="Nota 05"/>
    <s v="MATERIAL"/>
    <s v="Não"/>
    <s v="Nota 05"/>
    <m/>
    <s v="CEF SP SUL"/>
    <s v="Saque VExpenses"/>
    <s v="REGIONAL SP"/>
    <n v="1"/>
    <m/>
    <m/>
    <m/>
    <m/>
    <s v="BRL"/>
    <n v="307.5"/>
    <m/>
    <m/>
    <n v="307.5"/>
    <s v="Não"/>
  </r>
  <r>
    <n v="2025"/>
    <s v="AGOSTO"/>
    <n v="66916944"/>
    <n v="8293794"/>
    <s v="Caixa - 08/2025"/>
    <d v="2025-08-20T00:00:00"/>
    <s v="BEATRIZ SILVA DE SIQUEIRA"/>
    <n v="35575473880"/>
    <x v="1"/>
    <m/>
    <s v="Nota 10"/>
    <s v="MATERIAL"/>
    <s v="Não"/>
    <s v="Nota 10"/>
    <m/>
    <s v="CEF SP SUL"/>
    <s v="Saque VExpenses"/>
    <s v="REGIONAL SP"/>
    <n v="1"/>
    <m/>
    <m/>
    <m/>
    <m/>
    <s v="BRL"/>
    <n v="68.599999999999994"/>
    <m/>
    <m/>
    <n v="68.599999999999994"/>
    <s v="Não"/>
  </r>
  <r>
    <n v="2025"/>
    <s v="AGOSTO"/>
    <n v="66916102"/>
    <n v="8293794"/>
    <s v="Caixa - 08/2025"/>
    <d v="2025-08-20T00:00:00"/>
    <s v="BEATRIZ SILVA DE SIQUEIRA"/>
    <n v="35575473880"/>
    <x v="1"/>
    <m/>
    <s v="Nota 03"/>
    <s v="MATERIAL"/>
    <s v="Não"/>
    <s v="Nota 03"/>
    <m/>
    <s v="CEF SP SUL"/>
    <s v="Saque VExpenses"/>
    <s v="REGIONAL SP"/>
    <n v="1"/>
    <m/>
    <m/>
    <m/>
    <m/>
    <s v="BRL"/>
    <n v="18.2"/>
    <m/>
    <m/>
    <n v="18.2"/>
    <s v="Não"/>
  </r>
  <r>
    <n v="2025"/>
    <s v="AGOSTO"/>
    <n v="66917616"/>
    <n v="8293794"/>
    <s v="Caixa - 08/2025"/>
    <d v="2025-08-16T00:00:00"/>
    <s v="BEATRIZ SILVA DE SIQUEIRA"/>
    <n v="35575473880"/>
    <x v="1"/>
    <m/>
    <s v="Nota 13"/>
    <s v="MATERIAL"/>
    <s v="Não"/>
    <s v="Nota 13"/>
    <m/>
    <s v="CEF SP SUL"/>
    <s v="Saque VExpenses"/>
    <s v="REGIONAL SP"/>
    <n v="1"/>
    <m/>
    <m/>
    <m/>
    <m/>
    <s v="BRL"/>
    <n v="41"/>
    <m/>
    <m/>
    <n v="41"/>
    <s v="Não"/>
  </r>
  <r>
    <n v="2025"/>
    <s v="AGOSTO"/>
    <n v="66917139"/>
    <n v="8293794"/>
    <s v="Caixa - 08/2025"/>
    <d v="2025-08-16T00:00:00"/>
    <s v="BEATRIZ SILVA DE SIQUEIRA"/>
    <n v="35575473880"/>
    <x v="1"/>
    <m/>
    <s v="Nota 12"/>
    <s v="MATERIAL"/>
    <s v="Não"/>
    <s v="Nota12"/>
    <m/>
    <s v="CEF SP SUL"/>
    <s v="Saque VExpenses"/>
    <s v="REGIONAL SP"/>
    <n v="1"/>
    <m/>
    <m/>
    <m/>
    <m/>
    <s v="BRL"/>
    <n v="59"/>
    <m/>
    <m/>
    <n v="59"/>
    <s v="Não"/>
  </r>
  <r>
    <n v="2025"/>
    <s v="AGOSTO"/>
    <n v="66925424"/>
    <n v="8293794"/>
    <s v="Caixa - 08/2025"/>
    <d v="2025-08-14T00:00:00"/>
    <s v="BEATRIZ SILVA DE SIQUEIRA"/>
    <n v="35575473880"/>
    <x v="1"/>
    <m/>
    <s v="Nota 21"/>
    <s v="ESTACIONAMENTO"/>
    <s v="Não"/>
    <s v="Nota 21"/>
    <m/>
    <s v="CEF SP SUL"/>
    <s v="Saque VExpenses"/>
    <s v="REGIONAL SP"/>
    <n v="1"/>
    <m/>
    <m/>
    <m/>
    <n v="0"/>
    <s v="BRL"/>
    <n v="37"/>
    <m/>
    <m/>
    <n v="37"/>
    <s v="Não"/>
  </r>
  <r>
    <n v="2025"/>
    <s v="AGOSTO"/>
    <n v="66925089"/>
    <n v="8293794"/>
    <s v="Caixa - 08/2025"/>
    <d v="2025-08-14T00:00:00"/>
    <s v="BEATRIZ SILVA DE SIQUEIRA"/>
    <n v="35575473880"/>
    <x v="1"/>
    <m/>
    <s v="Nota 20"/>
    <s v="ESTACIONAMENTO"/>
    <s v="Não"/>
    <s v="Nota 20"/>
    <m/>
    <s v="CEF SP SUL"/>
    <s v="Saque VExpenses"/>
    <s v="REGIONAL SP"/>
    <n v="1"/>
    <m/>
    <m/>
    <m/>
    <n v="0"/>
    <s v="BRL"/>
    <n v="59.2"/>
    <m/>
    <m/>
    <n v="59.2"/>
    <s v="Não"/>
  </r>
  <r>
    <n v="2025"/>
    <s v="AGOSTO"/>
    <n v="66918464"/>
    <n v="8293794"/>
    <s v="Caixa - 08/2025"/>
    <d v="2025-08-12T00:00:00"/>
    <s v="BEATRIZ SILVA DE SIQUEIRA"/>
    <n v="35575473880"/>
    <x v="1"/>
    <m/>
    <s v="Nota 17"/>
    <s v="MATERIAL"/>
    <s v="Não"/>
    <s v="Nota 17"/>
    <m/>
    <s v="CEF SP SUL"/>
    <s v="Saque VExpenses"/>
    <s v="REGIONAL SP"/>
    <n v="1"/>
    <m/>
    <m/>
    <m/>
    <n v="0"/>
    <s v="BRL"/>
    <n v="39.979999999999997"/>
    <m/>
    <m/>
    <n v="39.979999999999997"/>
    <s v="Não"/>
  </r>
  <r>
    <n v="2025"/>
    <s v="AGOSTO"/>
    <n v="66917925"/>
    <n v="8293794"/>
    <s v="Caixa - 08/2025"/>
    <d v="2025-08-12T00:00:00"/>
    <s v="BEATRIZ SILVA DE SIQUEIRA"/>
    <n v="35575473880"/>
    <x v="1"/>
    <m/>
    <s v="Nota 15"/>
    <s v="MATERIAL"/>
    <s v="Não"/>
    <s v="Nota 15"/>
    <m/>
    <s v="CEF SP SUL"/>
    <s v="Saque VExpenses"/>
    <s v="REGIONAL SP"/>
    <n v="1"/>
    <m/>
    <m/>
    <m/>
    <m/>
    <s v="BRL"/>
    <n v="61.89"/>
    <m/>
    <m/>
    <n v="61.89"/>
    <s v="Não"/>
  </r>
  <r>
    <n v="2025"/>
    <s v="AGOSTO"/>
    <n v="66916880"/>
    <n v="8293794"/>
    <s v="Caixa - 08/2025"/>
    <d v="2025-08-12T00:00:00"/>
    <s v="BEATRIZ SILVA DE SIQUEIRA"/>
    <n v="35575473880"/>
    <x v="1"/>
    <m/>
    <s v="Nota 09"/>
    <s v="MATERIAL"/>
    <s v="Não"/>
    <s v="Nota 09"/>
    <m/>
    <s v="CEF SP SUL"/>
    <s v="Saque VExpenses"/>
    <s v="REGIONAL SP"/>
    <n v="1"/>
    <m/>
    <m/>
    <m/>
    <m/>
    <s v="BRL"/>
    <n v="25.9"/>
    <m/>
    <m/>
    <n v="25.9"/>
    <s v="Não"/>
  </r>
  <r>
    <n v="2025"/>
    <s v="AGOSTO"/>
    <n v="66918122"/>
    <n v="8293794"/>
    <s v="Caixa - 08/2025"/>
    <d v="2025-08-08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m/>
    <s v="BRL"/>
    <n v="78"/>
    <m/>
    <m/>
    <n v="78"/>
    <s v="Não"/>
  </r>
  <r>
    <n v="2025"/>
    <s v="AGOSTO"/>
    <n v="66916518"/>
    <n v="8293794"/>
    <s v="Caixa - 08/2025"/>
    <d v="2025-08-08T00:00:00"/>
    <s v="BEATRIZ SILVA DE SIQUEIRA"/>
    <n v="35575473880"/>
    <x v="1"/>
    <m/>
    <s v="Nota 07"/>
    <s v="MATERIAL"/>
    <s v="Não"/>
    <s v="Nota 07"/>
    <m/>
    <s v="CEF SP SUL"/>
    <s v="Saque VExpenses"/>
    <s v="REGIONAL SP"/>
    <n v="1"/>
    <m/>
    <m/>
    <m/>
    <m/>
    <s v="BRL"/>
    <n v="75.8"/>
    <m/>
    <m/>
    <n v="75.8"/>
    <s v="Não"/>
  </r>
  <r>
    <n v="2025"/>
    <s v="AGOSTO"/>
    <n v="66924788"/>
    <n v="8293794"/>
    <s v="Caixa - 08/2025"/>
    <d v="2025-08-07T00:00:00"/>
    <s v="BEATRIZ SILVA DE SIQUEIRA"/>
    <n v="35575473880"/>
    <x v="1"/>
    <m/>
    <s v="Nota 19"/>
    <s v="ESTACIONAMENTO"/>
    <s v="Não"/>
    <s v="Nota 19"/>
    <m/>
    <s v="CEF SP SUL"/>
    <s v="Saque VExpenses"/>
    <s v="REGIONAL SP"/>
    <n v="1"/>
    <m/>
    <m/>
    <m/>
    <n v="0"/>
    <s v="BRL"/>
    <n v="155.1"/>
    <m/>
    <m/>
    <n v="155.1"/>
    <s v="Não"/>
  </r>
  <r>
    <n v="2025"/>
    <s v="AGOSTO"/>
    <n v="66916991"/>
    <n v="8293794"/>
    <s v="Caixa - 08/2025"/>
    <d v="2025-08-07T00:00:00"/>
    <s v="BEATRIZ SILVA DE SIQUEIRA"/>
    <n v="35575473880"/>
    <x v="1"/>
    <m/>
    <s v="Nota 11"/>
    <s v="MATERIAL"/>
    <s v="Não"/>
    <s v="Nota 11"/>
    <m/>
    <s v="CEF SP SUL"/>
    <s v="Saque VExpenses"/>
    <s v="REGIONAL SP"/>
    <n v="1"/>
    <m/>
    <m/>
    <m/>
    <m/>
    <s v="BRL"/>
    <n v="170.05"/>
    <m/>
    <m/>
    <n v="170.05"/>
    <s v="Não"/>
  </r>
  <r>
    <n v="2025"/>
    <s v="AGOSTO"/>
    <n v="66924609"/>
    <n v="8293794"/>
    <s v="Caixa - 08/2025"/>
    <d v="2025-08-06T00:00:00"/>
    <s v="BEATRIZ SILVA DE SIQUEIRA"/>
    <n v="35575473880"/>
    <x v="1"/>
    <m/>
    <s v="Nota 18"/>
    <s v="ESTACIONAMENTO"/>
    <s v="Não"/>
    <s v="Notas 18"/>
    <m/>
    <s v="CEF SP SUL"/>
    <s v="Saque VExpenses"/>
    <s v="REGIONAL SP"/>
    <n v="1"/>
    <m/>
    <m/>
    <m/>
    <m/>
    <s v="BRL"/>
    <n v="113.8"/>
    <m/>
    <m/>
    <n v="113.8"/>
    <s v="Não"/>
  </r>
  <r>
    <n v="2025"/>
    <s v="AGOSTO"/>
    <n v="66917740"/>
    <n v="8293794"/>
    <s v="Caixa - 08/2025"/>
    <d v="2025-08-05T00:00:00"/>
    <s v="BEATRIZ SILVA DE SIQUEIRA"/>
    <n v="35575473880"/>
    <x v="1"/>
    <m/>
    <s v="Nota 14"/>
    <s v="MATERIAL"/>
    <s v="Não"/>
    <s v="Nota 14"/>
    <m/>
    <s v="CEF SP SUL"/>
    <s v="Saque VExpenses"/>
    <s v="REGIONAL SP"/>
    <n v="1"/>
    <m/>
    <m/>
    <m/>
    <m/>
    <s v="BRL"/>
    <n v="30.73"/>
    <m/>
    <m/>
    <n v="30.73"/>
    <s v="Não"/>
  </r>
  <r>
    <n v="2025"/>
    <s v="AGOSTO"/>
    <n v="66916638"/>
    <n v="8293794"/>
    <s v="Caixa - 08/2025"/>
    <d v="2025-08-01T00:00:00"/>
    <s v="BEATRIZ SILVA DE SIQUEIRA"/>
    <n v="35575473880"/>
    <x v="1"/>
    <m/>
    <s v="Nota 08"/>
    <s v="MATERIAL"/>
    <s v="Não"/>
    <s v="Nota 08"/>
    <m/>
    <s v="CEF SP SUL"/>
    <s v="Saque VExpenses"/>
    <s v="REGIONAL SP"/>
    <n v="1"/>
    <m/>
    <m/>
    <m/>
    <m/>
    <s v="BRL"/>
    <n v="312"/>
    <m/>
    <m/>
    <n v="312"/>
    <s v="Não"/>
  </r>
  <r>
    <n v="2025"/>
    <s v="JULHO"/>
    <n v="64894964"/>
    <n v="7861855"/>
    <s v="Caixa - 07/2025"/>
    <d v="2025-07-31T00:00:00"/>
    <s v="BEATRIZ SILVA DE SIQUEIRA"/>
    <n v="35575473880"/>
    <x v="1"/>
    <m/>
    <s v="Nota 22"/>
    <s v="ESTACIONAMENTO"/>
    <s v="Não"/>
    <s v="Nota 22"/>
    <m/>
    <s v="CEF SP SUL"/>
    <s v="Saque VExpenses"/>
    <s v="REGIONAL SP"/>
    <n v="1"/>
    <m/>
    <m/>
    <m/>
    <n v="0"/>
    <s v="BRL"/>
    <n v="158.9"/>
    <m/>
    <m/>
    <n v="158.9"/>
    <s v="Não"/>
  </r>
  <r>
    <n v="2025"/>
    <s v="JULHO"/>
    <n v="64897736"/>
    <n v="7861855"/>
    <s v="Caixa - 07/2025"/>
    <d v="2025-07-30T00:00:00"/>
    <s v="BEATRIZ SILVA DE SIQUEIRA"/>
    <n v="35575473880"/>
    <x v="1"/>
    <m/>
    <s v="Nota 23"/>
    <s v="ESTACIONAMENTO"/>
    <s v="Não"/>
    <s v="Nota23"/>
    <m/>
    <s v="CEF SP SUL"/>
    <s v="Saque VExpenses"/>
    <s v="REGIONAL SP"/>
    <n v="1"/>
    <m/>
    <m/>
    <m/>
    <n v="0"/>
    <s v="BRL"/>
    <n v="96.9"/>
    <m/>
    <m/>
    <n v="96.9"/>
    <s v="Não"/>
  </r>
  <r>
    <n v="2025"/>
    <s v="JULHO"/>
    <n v="64891303"/>
    <n v="7861855"/>
    <s v="Caixa - 07/2025"/>
    <d v="2025-07-30T00:00:00"/>
    <s v="BEATRIZ SILVA DE SIQUEIRA"/>
    <n v="35575473880"/>
    <x v="1"/>
    <m/>
    <s v="Nota 21"/>
    <s v="MATERIAL"/>
    <s v="Não"/>
    <s v="Nota 21"/>
    <m/>
    <s v="CEF SP SUL"/>
    <s v="Saque VExpenses"/>
    <s v="REGIONAL SP"/>
    <n v="1"/>
    <m/>
    <m/>
    <m/>
    <m/>
    <s v="BRL"/>
    <n v="6.9"/>
    <m/>
    <m/>
    <n v="6.9"/>
    <s v="Não"/>
  </r>
  <r>
    <n v="2025"/>
    <s v="JULHO"/>
    <n v="64890423"/>
    <n v="7861855"/>
    <s v="Caixa - 07/2025"/>
    <d v="2025-07-30T00:00:00"/>
    <s v="BEATRIZ SILVA DE SIQUEIRA"/>
    <n v="35575473880"/>
    <x v="1"/>
    <m/>
    <s v="Nota 18"/>
    <s v="MATERIAL"/>
    <s v="Não"/>
    <s v="Nota 18"/>
    <m/>
    <s v="CEF SP SUL"/>
    <s v="Saque VExpenses"/>
    <s v="REGIONAL SP"/>
    <n v="1"/>
    <m/>
    <m/>
    <m/>
    <n v="0"/>
    <s v="BRL"/>
    <n v="6.5"/>
    <m/>
    <m/>
    <n v="6.5"/>
    <s v="Não"/>
  </r>
  <r>
    <n v="2025"/>
    <s v="JULHO"/>
    <n v="64890283"/>
    <n v="7861855"/>
    <s v="Caixa - 07/2025"/>
    <d v="2025-07-30T00:00:00"/>
    <s v="BEATRIZ SILVA DE SIQUEIRA"/>
    <n v="35575473880"/>
    <x v="1"/>
    <m/>
    <s v="Nota 17"/>
    <s v="MATERIAL"/>
    <s v="Não"/>
    <s v="Nota 17"/>
    <m/>
    <s v="CEF SP SUL"/>
    <s v="Saque VExpenses"/>
    <s v="REGIONAL SP"/>
    <n v="1"/>
    <m/>
    <m/>
    <m/>
    <n v="0"/>
    <s v="BRL"/>
    <n v="90"/>
    <m/>
    <m/>
    <n v="90"/>
    <s v="Não"/>
  </r>
  <r>
    <n v="2025"/>
    <s v="JULHO"/>
    <n v="64897898"/>
    <n v="7861855"/>
    <s v="Caixa - 07/2025"/>
    <d v="2025-07-29T00:00:00"/>
    <s v="BEATRIZ SILVA DE SIQUEIRA"/>
    <n v="35575473880"/>
    <x v="1"/>
    <m/>
    <s v="Nota 24"/>
    <s v="ESTACIONAMENTO"/>
    <s v="Não"/>
    <s v="Nota 24"/>
    <m/>
    <s v="CEF SP SUL"/>
    <s v="Saque VExpenses"/>
    <s v="REGIONAL SP"/>
    <n v="1"/>
    <m/>
    <m/>
    <m/>
    <n v="0"/>
    <s v="BRL"/>
    <n v="18"/>
    <m/>
    <m/>
    <n v="18"/>
    <s v="Não"/>
  </r>
  <r>
    <n v="2025"/>
    <s v="JULHO"/>
    <n v="64891002"/>
    <n v="7861855"/>
    <s v="Caixa - 07/2025"/>
    <d v="2025-07-29T00:00:00"/>
    <s v="BEATRIZ SILVA DE SIQUEIRA"/>
    <n v="35575473880"/>
    <x v="1"/>
    <m/>
    <s v="Nota 20"/>
    <s v="MATERIAL"/>
    <s v="Não"/>
    <s v="Nota 20"/>
    <m/>
    <s v="CEF SP SUL"/>
    <s v="Saque VExpenses"/>
    <s v="REGIONAL SP"/>
    <n v="1"/>
    <m/>
    <m/>
    <m/>
    <m/>
    <s v="BRL"/>
    <n v="35"/>
    <m/>
    <m/>
    <n v="35"/>
    <s v="Não"/>
  </r>
  <r>
    <n v="2025"/>
    <s v="JULHO"/>
    <n v="64615337"/>
    <n v="7861855"/>
    <s v="Caixa - 07/2025"/>
    <d v="2025-07-28T00:00:00"/>
    <s v="BEATRIZ SILVA DE SIQUEIRA"/>
    <n v="35575473880"/>
    <x v="1"/>
    <m/>
    <s v="Nota 15"/>
    <s v="ESTACIONAMENTO"/>
    <s v="Não"/>
    <s v="Nota 15"/>
    <m/>
    <s v="CEF SP SUL"/>
    <s v="Saque VExpenses"/>
    <s v="REGIONAL SP"/>
    <n v="1"/>
    <m/>
    <m/>
    <m/>
    <n v="0"/>
    <s v="BRL"/>
    <n v="54.3"/>
    <m/>
    <m/>
    <n v="54.3"/>
    <s v="Não"/>
  </r>
  <r>
    <n v="2025"/>
    <s v="JULHO"/>
    <n v="64890140"/>
    <n v="7861855"/>
    <s v="Caixa - 07/2025"/>
    <d v="2025-07-26T00:00:00"/>
    <s v="BEATRIZ SILVA DE SIQUEIRA"/>
    <n v="35575473880"/>
    <x v="1"/>
    <m/>
    <s v="Nota 16"/>
    <s v="MATERIAL"/>
    <s v="Não"/>
    <s v="Nota 16"/>
    <m/>
    <s v="CEF SP SUL"/>
    <s v="Saque VExpenses"/>
    <s v="REGIONAL SP"/>
    <n v="1"/>
    <m/>
    <m/>
    <m/>
    <n v="0"/>
    <s v="BRL"/>
    <n v="46.39"/>
    <m/>
    <m/>
    <n v="46.39"/>
    <s v="Não"/>
  </r>
  <r>
    <n v="2025"/>
    <s v="JULHO"/>
    <n v="64477478"/>
    <n v="7861855"/>
    <s v="Caixa - 07/2025"/>
    <d v="2025-07-25T00:00:00"/>
    <s v="BEATRIZ SILVA DE SIQUEIRA"/>
    <n v="35575473880"/>
    <x v="1"/>
    <m/>
    <s v="Nota 13"/>
    <s v="ESTACIONAMENTO"/>
    <s v="Não"/>
    <s v="Nota 13"/>
    <m/>
    <s v="CEF SP SUL"/>
    <s v="Saque VExpenses"/>
    <s v="REGIONAL SP"/>
    <n v="1"/>
    <m/>
    <m/>
    <m/>
    <n v="0"/>
    <s v="BRL"/>
    <n v="62.8"/>
    <m/>
    <m/>
    <n v="62.8"/>
    <s v="Não"/>
  </r>
  <r>
    <n v="2025"/>
    <s v="JULHO"/>
    <n v="64614183"/>
    <n v="7861855"/>
    <s v="Caixa - 07/2025"/>
    <d v="2025-07-24T00:00:00"/>
    <s v="BEATRIZ SILVA DE SIQUEIRA"/>
    <n v="35575473880"/>
    <x v="1"/>
    <m/>
    <s v="Nota 14"/>
    <s v="MATERIAL"/>
    <s v="Não"/>
    <s v="Nota 14"/>
    <m/>
    <s v="CEF SP SUL"/>
    <s v="Saque VExpenses"/>
    <s v="REGIONAL SP"/>
    <n v="1"/>
    <m/>
    <m/>
    <m/>
    <m/>
    <s v="BRL"/>
    <n v="7.9"/>
    <m/>
    <m/>
    <n v="7.9"/>
    <s v="Não"/>
  </r>
  <r>
    <n v="2025"/>
    <s v="JULHO"/>
    <n v="64890687"/>
    <n v="7861855"/>
    <s v="Caixa - 07/2025"/>
    <d v="2025-07-23T00:00:00"/>
    <s v="BEATRIZ SILVA DE SIQUEIRA"/>
    <n v="35575473880"/>
    <x v="1"/>
    <m/>
    <s v="Nota 19"/>
    <s v="MATERIAL"/>
    <s v="Não"/>
    <s v="Nota 19"/>
    <m/>
    <s v="CEF SP SUL"/>
    <s v="Saque VExpenses"/>
    <s v="REGIONAL SP"/>
    <n v="1"/>
    <m/>
    <m/>
    <m/>
    <m/>
    <s v="BRL"/>
    <n v="17.149999999999999"/>
    <m/>
    <m/>
    <n v="17.149999999999999"/>
    <s v="Não"/>
  </r>
  <r>
    <n v="2025"/>
    <s v="JULHO"/>
    <n v="64260814"/>
    <n v="7861855"/>
    <s v="Caixa - 07/2025"/>
    <d v="2025-07-22T00:00:00"/>
    <s v="BEATRIZ SILVA DE SIQUEIRA"/>
    <n v="35575473880"/>
    <x v="1"/>
    <m/>
    <s v="Nota 10"/>
    <s v="ESTACIONAMENTO"/>
    <s v="Não"/>
    <s v="Nota 10"/>
    <m/>
    <s v="CEF SP SUL"/>
    <s v="Saque VExpenses"/>
    <s v="REGIONAL SP"/>
    <n v="1"/>
    <m/>
    <m/>
    <m/>
    <n v="0"/>
    <s v="BRL"/>
    <n v="113.4"/>
    <m/>
    <m/>
    <n v="113.4"/>
    <s v="Não"/>
  </r>
  <r>
    <n v="2025"/>
    <s v="JULHO"/>
    <n v="64890063"/>
    <n v="7861855"/>
    <s v="Caixa - 07/2025"/>
    <d v="2025-07-21T00:00:00"/>
    <s v="BEATRIZ SILVA DE SIQUEIRA"/>
    <n v="35575473880"/>
    <x v="1"/>
    <m/>
    <s v="Nota 15"/>
    <s v="MATERIAL"/>
    <s v="Não"/>
    <s v="Nota 15"/>
    <m/>
    <s v="CEF SP SUL"/>
    <s v="Saque VExpenses"/>
    <s v="REGIONAL SP"/>
    <n v="1"/>
    <m/>
    <m/>
    <m/>
    <m/>
    <s v="BRL"/>
    <n v="35.799999999999997"/>
    <m/>
    <m/>
    <n v="35.799999999999997"/>
    <s v="Não"/>
  </r>
  <r>
    <n v="2025"/>
    <s v="JULHO"/>
    <n v="64476050"/>
    <n v="7861855"/>
    <s v="Caixa - 07/2025"/>
    <d v="2025-07-17T00:00:00"/>
    <s v="BEATRIZ SILVA DE SIQUEIRA"/>
    <n v="35575473880"/>
    <x v="1"/>
    <m/>
    <s v="Nota 11"/>
    <s v="MATERIAL"/>
    <s v="Não"/>
    <s v="Nota 11"/>
    <m/>
    <s v="CEF SP SUL"/>
    <s v="Saque VExpenses"/>
    <s v="REGIONAL SP"/>
    <n v="1"/>
    <m/>
    <m/>
    <m/>
    <m/>
    <s v="BRL"/>
    <n v="29.9"/>
    <m/>
    <m/>
    <n v="29.9"/>
    <s v="Não"/>
  </r>
  <r>
    <n v="2025"/>
    <s v="JULHO"/>
    <n v="64258581"/>
    <n v="7861855"/>
    <s v="Caixa - 07/2025"/>
    <d v="2025-07-14T00:00:00"/>
    <s v="BEATRIZ SILVA DE SIQUEIRA"/>
    <n v="35575473880"/>
    <x v="1"/>
    <m/>
    <s v="Nota 07"/>
    <s v="MATERIAL"/>
    <s v="Não"/>
    <s v="Nota 07"/>
    <m/>
    <s v="CEF SP SUL"/>
    <s v="Saque VExpenses"/>
    <s v="REGIONAL SP"/>
    <n v="1"/>
    <m/>
    <m/>
    <m/>
    <m/>
    <s v="BRL"/>
    <n v="38.200000000000003"/>
    <m/>
    <m/>
    <n v="38.200000000000003"/>
    <s v="Não"/>
  </r>
  <r>
    <n v="2025"/>
    <s v="JULHO"/>
    <n v="64258503"/>
    <n v="7861855"/>
    <s v="Caixa - 07/2025"/>
    <d v="2025-07-10T00:00:00"/>
    <s v="BEATRIZ SILVA DE SIQUEIRA"/>
    <n v="35575473880"/>
    <x v="1"/>
    <m/>
    <s v="Nota 06"/>
    <s v="MATERIAL"/>
    <s v="Não"/>
    <s v="Nota 06"/>
    <m/>
    <s v="CEF SP SUL"/>
    <s v="Saque VExpenses"/>
    <s v="REGIONAL SP"/>
    <n v="1"/>
    <m/>
    <m/>
    <m/>
    <m/>
    <s v="BRL"/>
    <n v="24.3"/>
    <m/>
    <m/>
    <n v="24.3"/>
    <s v="Não"/>
  </r>
  <r>
    <n v="2025"/>
    <s v="JULHO"/>
    <n v="64258667"/>
    <n v="7861855"/>
    <s v="Caixa - 07/2025"/>
    <d v="2025-07-09T00:00:00"/>
    <s v="BEATRIZ SILVA DE SIQUEIRA"/>
    <n v="35575473880"/>
    <x v="1"/>
    <m/>
    <s v="Nota 08"/>
    <s v="MATERIAL"/>
    <s v="Não"/>
    <s v="Nota 08"/>
    <m/>
    <s v="CEF SP SUL"/>
    <s v="Saque VExpenses"/>
    <s v="REGIONAL SP"/>
    <n v="1"/>
    <m/>
    <m/>
    <m/>
    <m/>
    <s v="BRL"/>
    <n v="222.1"/>
    <m/>
    <m/>
    <n v="222.1"/>
    <s v="Não"/>
  </r>
  <r>
    <n v="2025"/>
    <s v="JULHO"/>
    <n v="63720154"/>
    <n v="7861855"/>
    <s v="Caixa - 07/2025"/>
    <d v="2025-07-08T00:00:00"/>
    <s v="BEATRIZ SILVA DE SIQUEIRA"/>
    <n v="35575473880"/>
    <x v="1"/>
    <m/>
    <s v="Nota 03"/>
    <s v="MATERIAL"/>
    <s v="Não"/>
    <s v="Nota 03"/>
    <m/>
    <s v="CEF SP SUL"/>
    <s v="Saque VExpenses"/>
    <s v="REGIONAL SP"/>
    <n v="1"/>
    <m/>
    <m/>
    <m/>
    <n v="0"/>
    <s v="BRL"/>
    <n v="85.44"/>
    <m/>
    <m/>
    <n v="85.44"/>
    <s v="Não"/>
  </r>
  <r>
    <n v="2025"/>
    <s v="JULHO"/>
    <n v="64258336"/>
    <n v="7861855"/>
    <s v="Caixa - 07/2025"/>
    <d v="2025-07-04T00:00:00"/>
    <s v="BEATRIZ SILVA DE SIQUEIRA"/>
    <n v="35575473880"/>
    <x v="1"/>
    <m/>
    <s v="Nota 05"/>
    <s v="MATERIAL"/>
    <s v="Não"/>
    <s v="Nota 05"/>
    <m/>
    <s v="CEF SP SUL"/>
    <s v="Saque VExpenses"/>
    <s v="REGIONAL SP"/>
    <n v="1"/>
    <m/>
    <m/>
    <m/>
    <m/>
    <s v="BRL"/>
    <n v="228"/>
    <m/>
    <m/>
    <n v="228"/>
    <s v="Não"/>
  </r>
  <r>
    <n v="2025"/>
    <s v="JULHO"/>
    <n v="63689112"/>
    <n v="7861855"/>
    <s v="Caixa - 07/2025"/>
    <d v="2025-07-02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149"/>
    <m/>
    <m/>
    <n v="149"/>
    <s v="Não"/>
  </r>
  <r>
    <n v="2025"/>
    <s v="JULHO"/>
    <n v="63689007"/>
    <n v="7861855"/>
    <s v="Caixa - 07/2025"/>
    <d v="2025-07-02T00:00:00"/>
    <s v="BEATRIZ SILVA DE SIQUEIRA"/>
    <n v="35575473880"/>
    <x v="1"/>
    <m/>
    <s v="Material"/>
    <s v="MATERIAL"/>
    <s v="Não"/>
    <s v="Atendimento de chamado caixa econômica"/>
    <m/>
    <s v="CEF SP SUL"/>
    <s v="Saque VExpenses"/>
    <s v="REGIONAL SP"/>
    <n v="1"/>
    <m/>
    <m/>
    <m/>
    <m/>
    <s v="BRL"/>
    <n v="27"/>
    <m/>
    <m/>
    <n v="27"/>
    <s v="Não"/>
  </r>
  <r>
    <n v="2025"/>
    <s v="JUNHO"/>
    <n v="63245804"/>
    <n v="7769036"/>
    <s v="Caixa 06/2025"/>
    <d v="2025-06-30T00:00:00"/>
    <s v="BEATRIZ SILVA DE SIQUEIRA"/>
    <n v="35575473880"/>
    <x v="1"/>
    <m/>
    <s v="Nota"/>
    <s v="ESTACIONAMENTO"/>
    <s v="Não"/>
    <s v="Nota 12"/>
    <m/>
    <s v="CEF SP SUL"/>
    <s v="Saque VExpenses"/>
    <s v="REGIONAL SP"/>
    <n v="1"/>
    <m/>
    <m/>
    <m/>
    <n v="0"/>
    <s v="BRL"/>
    <n v="45.4"/>
    <m/>
    <m/>
    <n v="45.4"/>
    <s v="Não"/>
  </r>
  <r>
    <n v="2025"/>
    <s v="JUNHO"/>
    <n v="63101852"/>
    <n v="7769036"/>
    <s v="Caixa 06/2025"/>
    <d v="2025-06-30T00:00:00"/>
    <s v="BEATRIZ SILVA DE SIQUEIRA"/>
    <n v="35575473880"/>
    <x v="1"/>
    <m/>
    <s v="Estacionamento 03"/>
    <s v="ESTACIONAMENTO"/>
    <s v="Não"/>
    <s v="Notas"/>
    <m/>
    <s v="CEF SP SUL"/>
    <s v="Saque VExpenses"/>
    <s v="REGIONAL SP"/>
    <n v="1"/>
    <m/>
    <m/>
    <m/>
    <n v="0"/>
    <s v="BRL"/>
    <n v="104.9"/>
    <m/>
    <m/>
    <n v="104.9"/>
    <s v="Não"/>
  </r>
  <r>
    <n v="2025"/>
    <s v="JUNHO"/>
    <n v="63101737"/>
    <n v="7769036"/>
    <s v="Caixa 06/2025"/>
    <d v="2025-06-30T00:00:00"/>
    <s v="BEATRIZ SILVA DE SIQUEIRA"/>
    <n v="35575473880"/>
    <x v="1"/>
    <m/>
    <s v="Estacionamento2"/>
    <s v="ESTACIONAMENTO"/>
    <s v="Não"/>
    <s v="Notas"/>
    <m/>
    <s v="CEF SP SUL"/>
    <s v="Saque VExpenses"/>
    <s v="REGIONAL SP"/>
    <n v="1"/>
    <m/>
    <m/>
    <m/>
    <n v="0"/>
    <s v="BRL"/>
    <n v="177.8"/>
    <m/>
    <m/>
    <n v="177.8"/>
    <s v="Não"/>
  </r>
  <r>
    <n v="2025"/>
    <s v="JUNHO"/>
    <n v="63042685"/>
    <n v="7769036"/>
    <s v="Caixa 06/2025"/>
    <d v="2025-06-30T00:00:00"/>
    <s v="BEATRIZ SILVA DE SIQUEIRA"/>
    <n v="35575473880"/>
    <x v="1"/>
    <m/>
    <s v="Estacionamentos"/>
    <s v="ESTACIONAMENTO"/>
    <s v="Não"/>
    <s v="Notas"/>
    <m/>
    <s v="CEF SP SUL"/>
    <s v="Saque VExpenses"/>
    <s v="REGIONAL SP"/>
    <n v="1"/>
    <m/>
    <m/>
    <m/>
    <n v="0"/>
    <s v="BRL"/>
    <n v="85.84"/>
    <m/>
    <m/>
    <n v="85.84"/>
    <s v="Não"/>
  </r>
  <r>
    <n v="2025"/>
    <s v="JUNHO"/>
    <n v="63244747"/>
    <n v="7769036"/>
    <s v="Caixa 06/2025"/>
    <d v="2025-06-26T00:00:00"/>
    <s v="BEATRIZ SILVA DE SIQUEIRA"/>
    <n v="35575473880"/>
    <x v="1"/>
    <m/>
    <s v="Nota"/>
    <s v="MATERIAL"/>
    <s v="Não"/>
    <s v="Nota 11"/>
    <m/>
    <s v="CEF SP SUL"/>
    <s v="Saque VExpenses"/>
    <s v="REGIONAL SP"/>
    <n v="1"/>
    <m/>
    <m/>
    <m/>
    <m/>
    <s v="BRL"/>
    <n v="14.5"/>
    <m/>
    <m/>
    <n v="14.5"/>
    <s v="Não"/>
  </r>
  <r>
    <n v="2025"/>
    <s v="JUNHO"/>
    <n v="63103128"/>
    <n v="7769036"/>
    <s v="Caixa 06/2025"/>
    <d v="2025-06-23T00:00:00"/>
    <s v="BEATRIZ SILVA DE SIQUEIRA"/>
    <n v="35575473880"/>
    <x v="1"/>
    <m/>
    <s v="Nota"/>
    <s v="MATERIAL"/>
    <s v="Não"/>
    <s v="Nota 9"/>
    <m/>
    <s v="CEF SP SUL"/>
    <s v="Saque VExpenses"/>
    <s v="REGIONAL SP"/>
    <n v="1"/>
    <m/>
    <m/>
    <m/>
    <m/>
    <s v="BRL"/>
    <n v="189"/>
    <m/>
    <m/>
    <n v="189"/>
    <s v="Não"/>
  </r>
  <r>
    <n v="2025"/>
    <s v="JUNHO"/>
    <n v="63102732"/>
    <n v="7769036"/>
    <s v="Caixa 06/2025"/>
    <d v="2025-06-13T00:00:00"/>
    <s v="BEATRIZ SILVA DE SIQUEIRA"/>
    <n v="35575473880"/>
    <x v="1"/>
    <m/>
    <s v="Nota"/>
    <s v="MATERIAL"/>
    <s v="Não"/>
    <s v="Nota5"/>
    <m/>
    <s v="CEF SP SUL"/>
    <s v="Saque VExpenses"/>
    <s v="REGIONAL SP"/>
    <n v="1"/>
    <m/>
    <m/>
    <m/>
    <m/>
    <s v="BRL"/>
    <n v="68"/>
    <m/>
    <m/>
    <n v="68"/>
    <s v="Não"/>
  </r>
  <r>
    <n v="2025"/>
    <s v="JUNHO"/>
    <n v="63102320"/>
    <n v="7769036"/>
    <s v="Caixa 06/2025"/>
    <d v="2025-06-12T00:00:00"/>
    <s v="BEATRIZ SILVA DE SIQUEIRA"/>
    <n v="35575473880"/>
    <x v="1"/>
    <m/>
    <s v="Nota"/>
    <s v="MATERIAL"/>
    <s v="Não"/>
    <s v="Nota2"/>
    <m/>
    <s v="CEF SP SUL"/>
    <s v="Saque VExpenses"/>
    <s v="REGIONAL SP"/>
    <n v="1"/>
    <m/>
    <m/>
    <m/>
    <n v="0"/>
    <s v="BRL"/>
    <n v="199.9"/>
    <m/>
    <m/>
    <n v="199.9"/>
    <s v="Não"/>
  </r>
  <r>
    <n v="2025"/>
    <s v="JUNHO"/>
    <n v="63102845"/>
    <n v="7769036"/>
    <s v="Caixa 06/2025"/>
    <d v="2025-06-10T00:00:00"/>
    <s v="BEATRIZ SILVA DE SIQUEIRA"/>
    <n v="35575473880"/>
    <x v="1"/>
    <m/>
    <s v="Nota"/>
    <s v="MATERIAL"/>
    <s v="Não"/>
    <s v="Nota7"/>
    <m/>
    <s v="CEF SP SUL"/>
    <s v="Saque VExpenses"/>
    <s v="REGIONAL SP"/>
    <n v="1"/>
    <m/>
    <m/>
    <m/>
    <n v="0"/>
    <s v="BRL"/>
    <n v="97.98"/>
    <m/>
    <m/>
    <n v="97.98"/>
    <s v="Não"/>
  </r>
  <r>
    <n v="2025"/>
    <s v="MAIO"/>
    <n v="63102992"/>
    <n v="7769036"/>
    <s v="Caixa 06/2025"/>
    <d v="2025-05-24T00:00:00"/>
    <s v="BEATRIZ SILVA DE SIQUEIRA"/>
    <n v="35575473880"/>
    <x v="1"/>
    <m/>
    <s v="Nota"/>
    <s v="MATERIAL"/>
    <s v="Não"/>
    <s v="Nota8"/>
    <m/>
    <s v="CEF SP SUL"/>
    <s v="Saque VExpenses"/>
    <s v="REGIONAL SP"/>
    <n v="1"/>
    <m/>
    <m/>
    <m/>
    <m/>
    <s v="BRL"/>
    <n v="175.29"/>
    <m/>
    <m/>
    <n v="175.29"/>
    <s v="Não"/>
  </r>
  <r>
    <n v="2025"/>
    <s v="MAIO"/>
    <n v="63102164"/>
    <n v="7769036"/>
    <s v="Caixa 06/2025"/>
    <d v="2025-05-23T00:00:00"/>
    <s v="BEATRIZ SILVA DE SIQUEIRA"/>
    <n v="35575473880"/>
    <x v="1"/>
    <m/>
    <s v="Nota"/>
    <s v="MATERIAL"/>
    <s v="Não"/>
    <s v="01"/>
    <m/>
    <s v="CEF SP SUL"/>
    <s v="Saque VExpenses"/>
    <s v="REGIONAL SP"/>
    <n v="1"/>
    <m/>
    <m/>
    <m/>
    <m/>
    <s v="BRL"/>
    <n v="11"/>
    <m/>
    <m/>
    <n v="11"/>
    <s v="Não"/>
  </r>
  <r>
    <n v="2025"/>
    <s v="MAIO"/>
    <n v="63102636"/>
    <n v="7769036"/>
    <s v="Caixa 06/2025"/>
    <d v="2025-05-19T00:00:00"/>
    <s v="BEATRIZ SILVA DE SIQUEIRA"/>
    <n v="35575473880"/>
    <x v="1"/>
    <m/>
    <s v="Nota"/>
    <s v="MATERIAL"/>
    <s v="Não"/>
    <s v="Nota 4"/>
    <m/>
    <s v="CEF SP SUL"/>
    <s v="Saque VExpenses"/>
    <s v="REGIONAL SP"/>
    <n v="1"/>
    <m/>
    <m/>
    <m/>
    <m/>
    <s v="BRL"/>
    <n v="10"/>
    <m/>
    <m/>
    <n v="10"/>
    <s v="Não"/>
  </r>
  <r>
    <n v="2025"/>
    <s v="MAIO"/>
    <n v="63103561"/>
    <n v="7769036"/>
    <s v="Caixa 06/2025"/>
    <d v="2025-05-14T00:00:00"/>
    <s v="BEATRIZ SILVA DE SIQUEIRA"/>
    <n v="35575473880"/>
    <x v="1"/>
    <m/>
    <s v="Nota"/>
    <s v="MATERIAL"/>
    <s v="Não"/>
    <s v="Nota10"/>
    <m/>
    <s v="CEF SP SUL"/>
    <s v="Saque VExpenses"/>
    <s v="REGIONAL SP"/>
    <n v="1"/>
    <m/>
    <m/>
    <m/>
    <m/>
    <s v="BRL"/>
    <n v="9.9"/>
    <m/>
    <m/>
    <n v="9.9"/>
    <s v="Não"/>
  </r>
  <r>
    <n v="2025"/>
    <s v="MAIO"/>
    <n v="63102442"/>
    <n v="7769036"/>
    <s v="Caixa 06/2025"/>
    <d v="2025-05-14T00:00:00"/>
    <s v="BEATRIZ SILVA DE SIQUEIRA"/>
    <n v="35575473880"/>
    <x v="1"/>
    <m/>
    <s v="Nota"/>
    <s v="MATERIAL"/>
    <s v="Não"/>
    <s v="Nota 3"/>
    <m/>
    <s v="CEF SP SUL"/>
    <s v="Saque VExpenses"/>
    <s v="REGIONAL SP"/>
    <n v="1"/>
    <m/>
    <m/>
    <m/>
    <m/>
    <s v="BRL"/>
    <n v="9.5"/>
    <m/>
    <m/>
    <n v="9.5"/>
    <s v="N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C6788-177F-476C-A3A5-51E7E624002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K7:L10" firstHeaderRow="1" firstDataRow="1" firstDataCol="1"/>
  <pivotFields count="29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VALOR " fld="27" baseField="0" baseItem="0" numFmtId="44"/>
  </dataFields>
  <formats count="15"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8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295E7-7366-4A21-9851-248EABCE598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P19" firstHeaderRow="1" firstDataRow="2" firstDataCol="1"/>
  <pivotFields count="10">
    <pivotField axis="axisRow"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9"/>
    <field x="7"/>
    <field x="0"/>
  </rowFields>
  <rowItems count="17">
    <i>
      <x v="1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" fld="6" baseField="0" baseItem="0" numFmtId="44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C628-2E34-4171-A2FD-3371C4BF8BA8}">
  <sheetPr>
    <tabColor theme="4" tint="0.39997558519241921"/>
  </sheetPr>
  <dimension ref="A4:L30"/>
  <sheetViews>
    <sheetView showGridLines="0" tabSelected="1" topLeftCell="A7" zoomScale="90" zoomScaleNormal="90" workbookViewId="0">
      <selection activeCell="M28" sqref="M28"/>
    </sheetView>
  </sheetViews>
  <sheetFormatPr defaultRowHeight="15" x14ac:dyDescent="0.25"/>
  <cols>
    <col min="1" max="1" width="2.42578125" style="1" customWidth="1"/>
    <col min="2" max="2" width="8.140625" style="1" customWidth="1"/>
    <col min="3" max="3" width="9.7109375" style="1" bestFit="1" customWidth="1"/>
    <col min="4" max="4" width="12.140625" style="1" bestFit="1" customWidth="1"/>
    <col min="5" max="5" width="13" style="1" bestFit="1" customWidth="1"/>
    <col min="6" max="6" width="10.42578125" style="1" bestFit="1" customWidth="1"/>
    <col min="7" max="7" width="14.140625" style="1" bestFit="1" customWidth="1"/>
    <col min="8" max="8" width="14.7109375" style="1" bestFit="1" customWidth="1"/>
    <col min="9" max="9" width="12.5703125" style="1" bestFit="1" customWidth="1"/>
    <col min="10" max="10" width="3" style="1" customWidth="1"/>
    <col min="11" max="11" width="13.140625" style="1" customWidth="1"/>
    <col min="12" max="12" width="13.85546875" bestFit="1" customWidth="1"/>
    <col min="13" max="13" width="3.42578125" customWidth="1"/>
    <col min="14" max="14" width="13.5703125" customWidth="1"/>
    <col min="15" max="15" width="13.85546875" bestFit="1" customWidth="1"/>
  </cols>
  <sheetData>
    <row r="4" spans="2:12" ht="18.75" x14ac:dyDescent="0.3">
      <c r="B4" s="80" t="s">
        <v>0</v>
      </c>
      <c r="C4" s="80"/>
      <c r="D4" s="80"/>
      <c r="E4" s="80"/>
      <c r="F4" s="80"/>
      <c r="G4" s="80"/>
      <c r="H4" s="80"/>
      <c r="I4" s="80"/>
      <c r="J4"/>
    </row>
    <row r="5" spans="2:12" ht="5.25" customHeight="1" x14ac:dyDescent="0.25">
      <c r="F5" s="2"/>
    </row>
    <row r="6" spans="2:12" ht="15.75" x14ac:dyDescent="0.25">
      <c r="B6" s="81" t="s">
        <v>13</v>
      </c>
      <c r="C6" s="81"/>
      <c r="D6" s="81"/>
      <c r="E6" s="81"/>
      <c r="F6" s="81"/>
      <c r="G6" s="81"/>
      <c r="H6" s="81"/>
      <c r="I6" s="81"/>
    </row>
    <row r="7" spans="2:12" x14ac:dyDescent="0.25">
      <c r="B7" s="3" t="s">
        <v>465</v>
      </c>
      <c r="C7" s="41" t="s">
        <v>451</v>
      </c>
      <c r="D7" s="4" t="s">
        <v>232</v>
      </c>
      <c r="E7" s="4" t="s">
        <v>24</v>
      </c>
      <c r="F7" s="4" t="s">
        <v>37</v>
      </c>
      <c r="G7" s="4" t="s">
        <v>468</v>
      </c>
      <c r="H7" s="4" t="s">
        <v>469</v>
      </c>
      <c r="I7" s="5" t="s">
        <v>470</v>
      </c>
      <c r="K7" s="70" t="s">
        <v>466</v>
      </c>
      <c r="L7" s="71" t="s">
        <v>467</v>
      </c>
    </row>
    <row r="8" spans="2:12" x14ac:dyDescent="0.25">
      <c r="B8" s="42">
        <v>2025</v>
      </c>
      <c r="C8" s="44" t="s">
        <v>453</v>
      </c>
      <c r="D8" s="6">
        <f>SUMIFS(EXTRATO!I:I,EXTRATO!G:G,FECHAMENTO!$D$7,EXTRATO!B:B,FECHAMENTO!C8,EXTRATO!A:A,FECHAMENTO!B8)</f>
        <v>1183.02</v>
      </c>
      <c r="E8" s="6">
        <f>SUMIFS(EXTRATO!I:I,EXTRATO!G:G,FECHAMENTO!$E$7,EXTRATO!B:B,FECHAMENTO!C8,EXTRATO!A:A,FECHAMENTO!B8)</f>
        <v>0</v>
      </c>
      <c r="F8" s="6">
        <f>SUMIFS(EXTRATO!I:I,EXTRATO!G:G,FECHAMENTO!$F$7,EXTRATO!B:B,FECHAMENTO!C8,EXTRATO!A:A,FECHAMENTO!B8)</f>
        <v>0</v>
      </c>
      <c r="G8" s="6">
        <f>SUMIFS('PREST. CONTAS'!AB:AB,'PREST. CONTAS'!B:B,FECHAMENTO!C8,'PREST. CONTAS'!A:A,FECHAMENTO!B8,'PREST. CONTAS'!I:I,"&lt;&gt;Aberto",'PREST. CONTAS'!I:I,"&lt;&gt;Reprovado")</f>
        <v>215.69</v>
      </c>
      <c r="H8" s="6">
        <f t="shared" ref="H8:H22" si="0">D8+E8+F8-G8</f>
        <v>967.32999999999993</v>
      </c>
      <c r="I8" s="7">
        <f>H8</f>
        <v>967.32999999999993</v>
      </c>
      <c r="K8" s="50" t="s">
        <v>275</v>
      </c>
      <c r="L8" s="51">
        <v>2082.3999999999996</v>
      </c>
    </row>
    <row r="9" spans="2:12" x14ac:dyDescent="0.25">
      <c r="B9" s="43">
        <v>2025</v>
      </c>
      <c r="C9" s="45" t="s">
        <v>454</v>
      </c>
      <c r="D9" s="40">
        <f>SUMIFS(EXTRATO!I:I,EXTRATO!G:G,FECHAMENTO!$D$7,EXTRATO!B:B,FECHAMENTO!C9,EXTRATO!A:A,FECHAMENTO!B9)</f>
        <v>1210.98</v>
      </c>
      <c r="E9" s="40">
        <f>SUMIFS(EXTRATO!I:I,EXTRATO!G:G,FECHAMENTO!$E$7,EXTRATO!B:B,FECHAMENTO!C9,EXTRATO!A:A,FECHAMENTO!B9)</f>
        <v>0</v>
      </c>
      <c r="F9" s="40">
        <f>SUMIFS(EXTRATO!I:I,EXTRATO!G:G,FECHAMENTO!$F$7,EXTRATO!B:B,FECHAMENTO!C9,EXTRATO!A:A,FECHAMENTO!B9)</f>
        <v>-21</v>
      </c>
      <c r="G9" s="40">
        <f>SUMIFS('PREST. CONTAS'!AB:AB,'PREST. CONTAS'!B:B,C9,'PREST. CONTAS'!A:A,B9,'PREST. CONTAS'!I:I,"&lt;&gt;Aberto",'PREST. CONTAS'!I:I,"&lt;&gt;Reprovado")</f>
        <v>983.32</v>
      </c>
      <c r="H9" s="40">
        <f t="shared" si="0"/>
        <v>206.65999999999997</v>
      </c>
      <c r="I9" s="8">
        <f t="shared" ref="I9:I15" si="1">H9+I8</f>
        <v>1173.9899999999998</v>
      </c>
      <c r="K9" s="50" t="s">
        <v>299</v>
      </c>
      <c r="L9" s="51">
        <v>24955.93</v>
      </c>
    </row>
    <row r="10" spans="2:12" x14ac:dyDescent="0.25">
      <c r="B10" s="43">
        <v>2025</v>
      </c>
      <c r="C10" s="45" t="s">
        <v>455</v>
      </c>
      <c r="D10" s="40">
        <f>SUMIFS(EXTRATO!I:I,EXTRATO!G:G,FECHAMENTO!$D$7,EXTRATO!B:B,FECHAMENTO!C10,EXTRATO!A:A,FECHAMENTO!B10)</f>
        <v>2953.46</v>
      </c>
      <c r="E10" s="40">
        <f>SUMIFS(EXTRATO!I:I,EXTRATO!G:G,FECHAMENTO!$E$7,EXTRATO!B:B,FECHAMENTO!C10,EXTRATO!A:A,FECHAMENTO!B10)</f>
        <v>0</v>
      </c>
      <c r="F10" s="40">
        <f>SUMIFS(EXTRATO!I:I,EXTRATO!G:G,FECHAMENTO!$F$7,EXTRATO!B:B,FECHAMENTO!C10,EXTRATO!A:A,FECHAMENTO!B10)</f>
        <v>-28</v>
      </c>
      <c r="G10" s="40">
        <f>SUMIFS('PREST. CONTAS'!AB:AB,'PREST. CONTAS'!B:B,C10,'PREST. CONTAS'!A:A,B10,'PREST. CONTAS'!I:I,"&lt;&gt;Aberto",'PREST. CONTAS'!I:I,"&lt;&gt;Reprovado")</f>
        <v>1553.8799999999999</v>
      </c>
      <c r="H10" s="40">
        <f t="shared" si="0"/>
        <v>1371.5800000000002</v>
      </c>
      <c r="I10" s="8">
        <f t="shared" si="1"/>
        <v>2545.5699999999997</v>
      </c>
      <c r="K10" s="50" t="s">
        <v>234</v>
      </c>
      <c r="L10" s="51">
        <v>27038.33</v>
      </c>
    </row>
    <row r="11" spans="2:12" x14ac:dyDescent="0.25">
      <c r="B11" s="43">
        <v>2025</v>
      </c>
      <c r="C11" s="45" t="s">
        <v>456</v>
      </c>
      <c r="D11" s="40">
        <f>SUMIFS(EXTRATO!I:I,EXTRATO!G:G,FECHAMENTO!$D$7,EXTRATO!B:B,FECHAMENTO!C11,EXTRATO!A:A,FECHAMENTO!B11)</f>
        <v>0</v>
      </c>
      <c r="E11" s="40">
        <f>SUMIFS(EXTRATO!I:I,EXTRATO!G:G,FECHAMENTO!$E$7,EXTRATO!B:B,FECHAMENTO!C11,EXTRATO!A:A,FECHAMENTO!B11)</f>
        <v>0</v>
      </c>
      <c r="F11" s="40">
        <f>SUMIFS(EXTRATO!I:I,EXTRATO!G:G,FECHAMENTO!$F$7,EXTRATO!B:B,FECHAMENTO!C11,EXTRATO!A:A,FECHAMENTO!B11)</f>
        <v>0</v>
      </c>
      <c r="G11" s="40">
        <f>SUMIFS('PREST. CONTAS'!AB:AB,'PREST. CONTAS'!B:B,C11,'PREST. CONTAS'!A:A,B11,'PREST. CONTAS'!I:I,"&lt;&gt;Aberto",'PREST. CONTAS'!I:I,"&lt;&gt;Reprovado")</f>
        <v>2352.96</v>
      </c>
      <c r="H11" s="40">
        <f t="shared" si="0"/>
        <v>-2352.96</v>
      </c>
      <c r="I11" s="8">
        <f t="shared" si="1"/>
        <v>192.60999999999967</v>
      </c>
    </row>
    <row r="12" spans="2:12" x14ac:dyDescent="0.25">
      <c r="B12" s="43">
        <v>2025</v>
      </c>
      <c r="C12" s="45" t="s">
        <v>457</v>
      </c>
      <c r="D12" s="40">
        <f>SUMIFS(EXTRATO!I:I,EXTRATO!G:G,FECHAMENTO!$D$7,EXTRATO!B:B,FECHAMENTO!C12,EXTRATO!A:A,FECHAMENTO!B12)</f>
        <v>4195.54</v>
      </c>
      <c r="E12" s="40">
        <f>SUMIFS(EXTRATO!I:I,EXTRATO!G:G,FECHAMENTO!$E$7,EXTRATO!B:B,FECHAMENTO!C12,EXTRATO!A:A,FECHAMENTO!B12)</f>
        <v>0</v>
      </c>
      <c r="F12" s="40">
        <f>SUMIFS(EXTRATO!I:I,EXTRATO!G:G,FECHAMENTO!$F$7,EXTRATO!B:B,FECHAMENTO!C12,EXTRATO!A:A,FECHAMENTO!B12)</f>
        <v>-28</v>
      </c>
      <c r="G12" s="40">
        <f>SUMIFS('PREST. CONTAS'!AB:AB,'PREST. CONTAS'!B:B,C12,'PREST. CONTAS'!A:A,B12,'PREST. CONTAS'!I:I,"&lt;&gt;Aberto",'PREST. CONTAS'!I:I,"&lt;&gt;Reprovado")</f>
        <v>2698.1499999999996</v>
      </c>
      <c r="H12" s="40">
        <f t="shared" si="0"/>
        <v>1469.3900000000003</v>
      </c>
      <c r="I12" s="8">
        <f t="shared" si="1"/>
        <v>1662</v>
      </c>
    </row>
    <row r="13" spans="2:12" x14ac:dyDescent="0.25">
      <c r="B13" s="43">
        <v>2025</v>
      </c>
      <c r="C13" s="45" t="s">
        <v>458</v>
      </c>
      <c r="D13" s="40">
        <f>SUMIFS(EXTRATO!I:I,EXTRATO!G:G,FECHAMENTO!$D$7,EXTRATO!B:B,FECHAMENTO!C13,EXTRATO!A:A,FECHAMENTO!B13)</f>
        <v>2957.62</v>
      </c>
      <c r="E13" s="40">
        <f>SUMIFS(EXTRATO!I:I,EXTRATO!G:G,FECHAMENTO!$E$7,EXTRATO!B:B,FECHAMENTO!C13,EXTRATO!A:A,FECHAMENTO!B13)</f>
        <v>0</v>
      </c>
      <c r="F13" s="40">
        <f>SUMIFS(EXTRATO!I:I,EXTRATO!G:G,FECHAMENTO!$F$7,EXTRATO!B:B,FECHAMENTO!C13,EXTRATO!A:A,FECHAMENTO!B13)</f>
        <v>-28</v>
      </c>
      <c r="G13" s="40">
        <f>SUMIFS('PREST. CONTAS'!AB:AB,'PREST. CONTAS'!B:B,C13,'PREST. CONTAS'!A:A,B13,'PREST. CONTAS'!I:I,"&lt;&gt;Aberto",'PREST. CONTAS'!I:I,"&lt;&gt;Reprovado")</f>
        <v>2527.0600000000004</v>
      </c>
      <c r="H13" s="40">
        <f t="shared" si="0"/>
        <v>402.55999999999949</v>
      </c>
      <c r="I13" s="8">
        <f t="shared" si="1"/>
        <v>2064.5599999999995</v>
      </c>
    </row>
    <row r="14" spans="2:12" x14ac:dyDescent="0.25">
      <c r="B14" s="43">
        <v>2025</v>
      </c>
      <c r="C14" s="45" t="s">
        <v>459</v>
      </c>
      <c r="D14" s="40">
        <f>SUMIFS(EXTRATO!I:I,EXTRATO!G:G,FECHAMENTO!$D$7,EXTRATO!B:B,FECHAMENTO!C14,EXTRATO!A:A,FECHAMENTO!B14)</f>
        <v>688.07</v>
      </c>
      <c r="E14" s="40">
        <f>SUMIFS(EXTRATO!I:I,EXTRATO!G:G,FECHAMENTO!$E$7,EXTRATO!B:B,FECHAMENTO!C14,EXTRATO!A:A,FECHAMENTO!B14)</f>
        <v>0</v>
      </c>
      <c r="F14" s="40">
        <f>SUMIFS(EXTRATO!I:I,EXTRATO!G:G,FECHAMENTO!$F$7,EXTRATO!B:B,FECHAMENTO!C14,EXTRATO!A:A,FECHAMENTO!B14)</f>
        <v>-7</v>
      </c>
      <c r="G14" s="40">
        <f>SUMIFS('PREST. CONTAS'!AB:AB,'PREST. CONTAS'!B:B,C14,'PREST. CONTAS'!A:A,B14,'PREST. CONTAS'!I:I,"&lt;&gt;Aberto",'PREST. CONTAS'!I:I,"&lt;&gt;Reprovado")</f>
        <v>2044.3500000000004</v>
      </c>
      <c r="H14" s="40">
        <f t="shared" si="0"/>
        <v>-1363.2800000000002</v>
      </c>
      <c r="I14" s="8">
        <f t="shared" si="1"/>
        <v>701.27999999999929</v>
      </c>
    </row>
    <row r="15" spans="2:12" x14ac:dyDescent="0.25">
      <c r="B15" s="43">
        <v>2025</v>
      </c>
      <c r="C15" s="45" t="s">
        <v>460</v>
      </c>
      <c r="D15" s="40">
        <f>SUMIFS(EXTRATO!I:I,EXTRATO!G:G,FECHAMENTO!$D$7,EXTRATO!B:B,FECHAMENTO!C15,EXTRATO!A:A,FECHAMENTO!B15)</f>
        <v>1588.74</v>
      </c>
      <c r="E15" s="40">
        <f>SUMIFS(EXTRATO!I:I,EXTRATO!G:G,FECHAMENTO!$E$7,EXTRATO!B:B,FECHAMENTO!C15,EXTRATO!A:A,FECHAMENTO!B15)</f>
        <v>0</v>
      </c>
      <c r="F15" s="40">
        <f>SUMIFS(EXTRATO!I:I,EXTRATO!G:G,FECHAMENTO!$F$7,EXTRATO!B:B,FECHAMENTO!C15,EXTRATO!A:A,FECHAMENTO!B15)</f>
        <v>-14</v>
      </c>
      <c r="G15" s="40">
        <f>SUMIFS('PREST. CONTAS'!AB:AB,'PREST. CONTAS'!B:B,C15,'PREST. CONTAS'!A:A,B15,'PREST. CONTAS'!I:I,"&lt;&gt;Aberto",'PREST. CONTAS'!I:I,"&lt;&gt;Reprovado")</f>
        <v>2448.3500000000004</v>
      </c>
      <c r="H15" s="40">
        <f t="shared" si="0"/>
        <v>-873.61000000000035</v>
      </c>
      <c r="I15" s="8">
        <f t="shared" si="1"/>
        <v>-172.33000000000106</v>
      </c>
    </row>
    <row r="16" spans="2:12" x14ac:dyDescent="0.25">
      <c r="B16" s="43">
        <v>2026</v>
      </c>
      <c r="C16" s="45" t="s">
        <v>461</v>
      </c>
      <c r="D16" s="40">
        <f>SUMIFS(EXTRATO!I:I,EXTRATO!G:G,FECHAMENTO!$D$7,EXTRATO!B:B,FECHAMENTO!C16,EXTRATO!A:A,FECHAMENTO!B16)</f>
        <v>4306</v>
      </c>
      <c r="E16" s="40">
        <f>SUMIFS(EXTRATO!I:I,EXTRATO!G:G,FECHAMENTO!$E$7,EXTRATO!B:B,FECHAMENTO!C16,EXTRATO!A:A,FECHAMENTO!B16)</f>
        <v>-6.43</v>
      </c>
      <c r="F16" s="40">
        <f>SUMIFS(EXTRATO!I:I,EXTRATO!G:G,FECHAMENTO!$F$7,EXTRATO!B:B,FECHAMENTO!C16,EXTRATO!A:A,FECHAMENTO!B16)</f>
        <v>-35</v>
      </c>
      <c r="G16" s="40">
        <f>SUMIFS('PREST. CONTAS'!AB:AB,'PREST. CONTAS'!B:B,C16,'PREST. CONTAS'!A:A,B16,'PREST. CONTAS'!I:I,"&lt;&gt;Aberto",'PREST. CONTAS'!I:I,"&lt;&gt;Reprovado")</f>
        <v>1845.7300000000002</v>
      </c>
      <c r="H16" s="40">
        <f t="shared" si="0"/>
        <v>2418.8399999999992</v>
      </c>
      <c r="I16" s="8">
        <f>H16+I15</f>
        <v>2246.5099999999984</v>
      </c>
    </row>
    <row r="17" spans="2:12" x14ac:dyDescent="0.25">
      <c r="B17" s="43">
        <v>2026</v>
      </c>
      <c r="C17" s="45" t="s">
        <v>462</v>
      </c>
      <c r="D17" s="40">
        <f>SUMIFS(EXTRATO!I:I,EXTRATO!G:G,FECHAMENTO!$D$7,EXTRATO!B:B,FECHAMENTO!C17,EXTRATO!A:A,FECHAMENTO!B17)</f>
        <v>2013.46</v>
      </c>
      <c r="E17" s="40">
        <f>SUMIFS(EXTRATO!I:I,EXTRATO!G:G,FECHAMENTO!$E$7,EXTRATO!B:B,FECHAMENTO!C17,EXTRATO!A:A,FECHAMENTO!B17)</f>
        <v>0</v>
      </c>
      <c r="F17" s="40">
        <f>SUMIFS(EXTRATO!I:I,EXTRATO!G:G,FECHAMENTO!$F$7,EXTRATO!B:B,FECHAMENTO!C17,EXTRATO!A:A,FECHAMENTO!B17)</f>
        <v>-21</v>
      </c>
      <c r="G17" s="40">
        <f>SUMIFS('PREST. CONTAS'!AB:AB,'PREST. CONTAS'!B:B,C17,'PREST. CONTAS'!A:A,B17,'PREST. CONTAS'!I:I,"&lt;&gt;Aberto",'PREST. CONTAS'!I:I,"&lt;&gt;Reprovado")</f>
        <v>2889.9900000000002</v>
      </c>
      <c r="H17" s="40">
        <f t="shared" si="0"/>
        <v>-897.5300000000002</v>
      </c>
      <c r="I17" s="8">
        <f t="shared" ref="I17:I22" si="2">H17+I16</f>
        <v>1348.9799999999982</v>
      </c>
    </row>
    <row r="18" spans="2:12" x14ac:dyDescent="0.25">
      <c r="B18" s="43">
        <v>2026</v>
      </c>
      <c r="C18" s="45" t="s">
        <v>463</v>
      </c>
      <c r="D18" s="40">
        <f>SUMIFS(EXTRATO!I:I,EXTRATO!G:G,FECHAMENTO!$D$7,EXTRATO!B:B,FECHAMENTO!C18,EXTRATO!A:A,FECHAMENTO!B18)</f>
        <v>1812.4399999999998</v>
      </c>
      <c r="E18" s="40">
        <f>SUMIFS(EXTRATO!I:I,EXTRATO!G:G,FECHAMENTO!$E$7,EXTRATO!B:B,FECHAMENTO!C18,EXTRATO!A:A,FECHAMENTO!B18)</f>
        <v>0</v>
      </c>
      <c r="F18" s="40">
        <f>SUMIFS(EXTRATO!I:I,EXTRATO!G:G,FECHAMENTO!$F$7,EXTRATO!B:B,FECHAMENTO!C18,EXTRATO!A:A,FECHAMENTO!B18)</f>
        <v>-14</v>
      </c>
      <c r="G18" s="40">
        <f>SUMIFS('PREST. CONTAS'!AB:AB,'PREST. CONTAS'!B:B,C18,'PREST. CONTAS'!A:A,B18,'PREST. CONTAS'!I:I,"&lt;&gt;Aberto",'PREST. CONTAS'!I:I,"&lt;&gt;Reprovado")</f>
        <v>1925.92</v>
      </c>
      <c r="H18" s="40">
        <f t="shared" si="0"/>
        <v>-127.48000000000025</v>
      </c>
      <c r="I18" s="8">
        <f t="shared" si="2"/>
        <v>1221.499999999998</v>
      </c>
    </row>
    <row r="19" spans="2:12" x14ac:dyDescent="0.25">
      <c r="B19" s="43">
        <v>2026</v>
      </c>
      <c r="C19" s="45" t="s">
        <v>464</v>
      </c>
      <c r="D19" s="40">
        <f>SUMIFS(EXTRATO!I:I,EXTRATO!G:G,FECHAMENTO!$D$7,EXTRATO!B:B,FECHAMENTO!C19,EXTRATO!A:A,FECHAMENTO!B19)</f>
        <v>1810.16</v>
      </c>
      <c r="E19" s="40">
        <f>SUMIFS(EXTRATO!I:I,EXTRATO!G:G,FECHAMENTO!$E$7,EXTRATO!B:B,FECHAMENTO!C19,EXTRATO!A:A,FECHAMENTO!B19)</f>
        <v>0</v>
      </c>
      <c r="F19" s="40">
        <f>SUMIFS(EXTRATO!I:I,EXTRATO!G:G,FECHAMENTO!$F$7,EXTRATO!B:B,FECHAMENTO!C19,EXTRATO!A:A,FECHAMENTO!B19)</f>
        <v>-14</v>
      </c>
      <c r="G19" s="40">
        <f>SUMIFS('PREST. CONTAS'!AB:AB,'PREST. CONTAS'!B:B,C19,'PREST. CONTAS'!A:A,B19,'PREST. CONTAS'!I:I,"&lt;&gt;Aberto",'PREST. CONTAS'!I:I,"&lt;&gt;Reprovado")</f>
        <v>1434.8300000000004</v>
      </c>
      <c r="H19" s="40">
        <f t="shared" si="0"/>
        <v>361.3299999999997</v>
      </c>
      <c r="I19" s="8">
        <f t="shared" si="2"/>
        <v>1582.8299999999977</v>
      </c>
    </row>
    <row r="20" spans="2:12" x14ac:dyDescent="0.25">
      <c r="B20" s="43">
        <v>2026</v>
      </c>
      <c r="C20" s="45" t="s">
        <v>453</v>
      </c>
      <c r="D20" s="40">
        <f>SUMIFS(EXTRATO!I:I,EXTRATO!G:G,FECHAMENTO!$D$7,EXTRATO!B:B,FECHAMENTO!C20,EXTRATO!A:A,FECHAMENTO!B20)</f>
        <v>1594.15</v>
      </c>
      <c r="E20" s="40">
        <f>SUMIFS(EXTRATO!I:I,EXTRATO!G:G,FECHAMENTO!$E$7,EXTRATO!B:B,FECHAMENTO!C20,EXTRATO!A:A,FECHAMENTO!B20)</f>
        <v>0</v>
      </c>
      <c r="F20" s="40">
        <f>SUMIFS(EXTRATO!I:I,EXTRATO!G:G,FECHAMENTO!$F$7,EXTRATO!B:B,FECHAMENTO!C20,EXTRATO!A:A,FECHAMENTO!B20)</f>
        <v>-28</v>
      </c>
      <c r="G20" s="40">
        <f>SUMIFS('PREST. CONTAS'!AB:AB,'PREST. CONTAS'!B:B,C20,'PREST. CONTAS'!A:A,B20,'PREST. CONTAS'!I:I,"&lt;&gt;Aberto",'PREST. CONTAS'!I:I,"&lt;&gt;Reprovado")</f>
        <v>1178.31</v>
      </c>
      <c r="H20" s="40">
        <f t="shared" si="0"/>
        <v>387.84000000000015</v>
      </c>
      <c r="I20" s="8">
        <f t="shared" si="2"/>
        <v>1970.6699999999978</v>
      </c>
    </row>
    <row r="21" spans="2:12" x14ac:dyDescent="0.25">
      <c r="B21" s="43">
        <v>2026</v>
      </c>
      <c r="C21" s="45" t="s">
        <v>454</v>
      </c>
      <c r="D21" s="40">
        <f>SUMIFS(EXTRATO!I:I,EXTRATO!G:G,FECHAMENTO!$D$7,EXTRATO!B:B,FECHAMENTO!C21,EXTRATO!A:A,FECHAMENTO!B21)</f>
        <v>391.86</v>
      </c>
      <c r="E21" s="40">
        <f>SUMIFS(EXTRATO!I:I,EXTRATO!G:G,FECHAMENTO!$E$7,EXTRATO!B:B,FECHAMENTO!C21,EXTRATO!A:A,FECHAMENTO!B21)</f>
        <v>0</v>
      </c>
      <c r="F21" s="40">
        <f>SUMIFS(EXTRATO!I:I,EXTRATO!G:G,FECHAMENTO!$F$7,EXTRATO!B:B,FECHAMENTO!C21,EXTRATO!A:A,FECHAMENTO!B21)</f>
        <v>-7</v>
      </c>
      <c r="G21" s="40">
        <f>SUMIFS('PREST. CONTAS'!AB:AB,'PREST. CONTAS'!B:B,C21,'PREST. CONTAS'!A:A,B21,'PREST. CONTAS'!I:I,"&lt;&gt;Aberto",'PREST. CONTAS'!I:I,"&lt;&gt;Reprovado")</f>
        <v>857.38999999999987</v>
      </c>
      <c r="H21" s="40">
        <f t="shared" si="0"/>
        <v>-472.52999999999986</v>
      </c>
      <c r="I21" s="8">
        <f t="shared" si="2"/>
        <v>1498.1399999999981</v>
      </c>
    </row>
    <row r="22" spans="2:12" x14ac:dyDescent="0.25">
      <c r="B22" s="47">
        <v>2026</v>
      </c>
      <c r="C22" s="46" t="s">
        <v>455</v>
      </c>
      <c r="D22" s="9">
        <f>SUMIFS(EXTRATO!I:I,EXTRATO!G:G,FECHAMENTO!$D$7,EXTRATO!B:B,FECHAMENTO!C22,EXTRATO!A:A,FECHAMENTO!B22)</f>
        <v>985.93</v>
      </c>
      <c r="E22" s="9">
        <f>SUMIFS(EXTRATO!I:I,EXTRATO!G:G,FECHAMENTO!$E$7,EXTRATO!B:B,FECHAMENTO!C22,EXTRATO!A:A,FECHAMENTO!B22)</f>
        <v>0</v>
      </c>
      <c r="F22" s="9">
        <f>SUMIFS(EXTRATO!I:I,EXTRATO!G:G,FECHAMENTO!$F$7,EXTRATO!B:B,FECHAMENTO!C22,EXTRATO!A:A,FECHAMENTO!B22)</f>
        <v>-7</v>
      </c>
      <c r="G22" s="9">
        <f>SUMIFS('PREST. CONTAS'!AB:AB,'PREST. CONTAS'!B:B,C22,'PREST. CONTAS'!A:A,B22,'PREST. CONTAS'!I:I,"&lt;&gt;Aberto",'PREST. CONTAS'!I:I,"&lt;&gt;Reprovado")</f>
        <v>0</v>
      </c>
      <c r="H22" s="9">
        <f t="shared" si="0"/>
        <v>978.93</v>
      </c>
      <c r="I22" s="10">
        <f t="shared" si="2"/>
        <v>2477.0699999999979</v>
      </c>
    </row>
    <row r="23" spans="2:12" ht="14.25" customHeight="1" x14ac:dyDescent="0.25">
      <c r="B23" s="11"/>
      <c r="C23" s="11"/>
      <c r="D23" s="12">
        <f>SUM(D8:D22)</f>
        <v>27691.43</v>
      </c>
      <c r="E23" s="13">
        <f t="shared" ref="E23:H23" si="3">SUM(E8:E22)</f>
        <v>-6.43</v>
      </c>
      <c r="F23" s="13">
        <f t="shared" si="3"/>
        <v>-252</v>
      </c>
      <c r="G23" s="13">
        <f>SUM(G8:G22)</f>
        <v>24955.930000000004</v>
      </c>
      <c r="H23" s="14">
        <f t="shared" si="3"/>
        <v>2477.0699999999979</v>
      </c>
    </row>
    <row r="24" spans="2:12" x14ac:dyDescent="0.25">
      <c r="D24" s="15"/>
      <c r="E24" s="16"/>
      <c r="F24" s="16"/>
      <c r="G24" s="77"/>
      <c r="H24" s="77"/>
    </row>
    <row r="25" spans="2:12" x14ac:dyDescent="0.25">
      <c r="B25" s="78" t="s">
        <v>2</v>
      </c>
      <c r="C25" s="79"/>
      <c r="D25" s="79"/>
      <c r="E25" s="79"/>
      <c r="F25" s="79"/>
      <c r="G25" s="79"/>
      <c r="H25" s="58">
        <f>H23</f>
        <v>2477.0699999999979</v>
      </c>
      <c r="K25" s="73" t="s">
        <v>3</v>
      </c>
      <c r="L25" s="74"/>
    </row>
    <row r="26" spans="2:12" ht="15" customHeight="1" x14ac:dyDescent="0.25">
      <c r="B26" s="66" t="s">
        <v>4</v>
      </c>
      <c r="C26" s="67"/>
      <c r="D26" s="67"/>
      <c r="E26" s="59"/>
      <c r="F26" s="59"/>
      <c r="G26" s="59"/>
      <c r="H26" s="60">
        <f>D23+E23+F23</f>
        <v>27433</v>
      </c>
      <c r="K26" s="72" t="s">
        <v>5</v>
      </c>
      <c r="L26" s="17" t="s">
        <v>6</v>
      </c>
    </row>
    <row r="27" spans="2:12" ht="15" customHeight="1" x14ac:dyDescent="0.25">
      <c r="B27" s="64" t="s">
        <v>7</v>
      </c>
      <c r="C27" s="65"/>
      <c r="D27" s="65"/>
      <c r="E27" s="61"/>
      <c r="F27" s="61"/>
      <c r="G27" s="61"/>
      <c r="H27" s="54">
        <f>G23</f>
        <v>24955.930000000004</v>
      </c>
      <c r="K27" s="72" t="s">
        <v>8</v>
      </c>
      <c r="L27" s="17" t="s">
        <v>9</v>
      </c>
    </row>
    <row r="28" spans="2:12" x14ac:dyDescent="0.25">
      <c r="B28" s="68" t="s">
        <v>10</v>
      </c>
      <c r="C28" s="69"/>
      <c r="D28" s="69"/>
      <c r="E28" s="69"/>
      <c r="F28" s="59"/>
      <c r="G28" s="59"/>
      <c r="H28" s="55">
        <f>H26-H27</f>
        <v>2477.0699999999961</v>
      </c>
    </row>
    <row r="29" spans="2:12" x14ac:dyDescent="0.25">
      <c r="B29" s="63" t="s">
        <v>11</v>
      </c>
      <c r="C29" s="62"/>
      <c r="D29" s="62"/>
      <c r="E29" s="62"/>
      <c r="F29" s="59"/>
      <c r="G29" s="59"/>
      <c r="H29" s="56">
        <v>3</v>
      </c>
    </row>
    <row r="30" spans="2:12" x14ac:dyDescent="0.25">
      <c r="B30" s="75" t="s">
        <v>12</v>
      </c>
      <c r="C30" s="76"/>
      <c r="D30" s="76"/>
      <c r="E30" s="76"/>
      <c r="F30" s="76"/>
      <c r="G30" s="76"/>
      <c r="H30" s="57">
        <f>H28-H29</f>
        <v>2474.0699999999961</v>
      </c>
    </row>
  </sheetData>
  <mergeCells count="6">
    <mergeCell ref="K25:L25"/>
    <mergeCell ref="B30:G30"/>
    <mergeCell ref="G24:H24"/>
    <mergeCell ref="B25:G25"/>
    <mergeCell ref="B4:I4"/>
    <mergeCell ref="B6:I6"/>
  </mergeCells>
  <phoneticPr fontId="20" type="noConversion"/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E96F-6E9D-45E4-8C5F-C3F320D368A8}">
  <sheetPr filterMode="1"/>
  <dimension ref="A1:AC402"/>
  <sheetViews>
    <sheetView topLeftCell="R1" workbookViewId="0">
      <selection activeCell="F1" sqref="F1:F1048576"/>
    </sheetView>
  </sheetViews>
  <sheetFormatPr defaultRowHeight="12.75" x14ac:dyDescent="0.2"/>
  <cols>
    <col min="1" max="1" width="5" style="48" bestFit="1" customWidth="1"/>
    <col min="2" max="2" width="10.140625" style="48" bestFit="1" customWidth="1"/>
    <col min="3" max="3" width="12.140625" style="35" bestFit="1" customWidth="1"/>
    <col min="4" max="4" width="12.85546875" style="35" bestFit="1" customWidth="1"/>
    <col min="5" max="5" width="23.28515625" style="35" bestFit="1" customWidth="1"/>
    <col min="6" max="6" width="10.42578125" style="35" bestFit="1" customWidth="1"/>
    <col min="7" max="7" width="23.140625" style="35" bestFit="1" customWidth="1"/>
    <col min="8" max="8" width="12" style="35" bestFit="1" customWidth="1"/>
    <col min="9" max="9" width="8.5703125" style="35" bestFit="1" customWidth="1"/>
    <col min="10" max="10" width="16.28515625" style="35" bestFit="1" customWidth="1"/>
    <col min="11" max="11" width="22" style="35" bestFit="1" customWidth="1"/>
    <col min="12" max="12" width="24" style="35" bestFit="1" customWidth="1"/>
    <col min="13" max="13" width="11.85546875" style="35" bestFit="1" customWidth="1"/>
    <col min="14" max="14" width="255.7109375" style="35" bestFit="1" customWidth="1"/>
    <col min="15" max="15" width="16.28515625" style="35" bestFit="1" customWidth="1"/>
    <col min="16" max="16" width="14.28515625" style="35" bestFit="1" customWidth="1"/>
    <col min="17" max="17" width="20" style="35" bestFit="1" customWidth="1"/>
    <col min="18" max="18" width="11" style="35" bestFit="1" customWidth="1"/>
    <col min="19" max="19" width="18.140625" style="35" bestFit="1" customWidth="1"/>
    <col min="20" max="20" width="22.28515625" style="35" bestFit="1" customWidth="1"/>
    <col min="21" max="21" width="20.5703125" style="35" bestFit="1" customWidth="1"/>
    <col min="22" max="22" width="10.7109375" style="35" bestFit="1" customWidth="1"/>
    <col min="23" max="23" width="19.5703125" style="35" bestFit="1" customWidth="1"/>
    <col min="24" max="24" width="16.7109375" style="35" bestFit="1" customWidth="1"/>
    <col min="25" max="25" width="7.85546875" style="35" bestFit="1" customWidth="1"/>
    <col min="26" max="26" width="17.85546875" style="35" bestFit="1" customWidth="1"/>
    <col min="27" max="27" width="14.42578125" style="35" bestFit="1" customWidth="1"/>
    <col min="28" max="28" width="10" style="53" bestFit="1" customWidth="1"/>
    <col min="29" max="29" width="17.42578125" style="35" bestFit="1" customWidth="1"/>
    <col min="30" max="16384" width="9.140625" style="35"/>
  </cols>
  <sheetData>
    <row r="1" spans="1:29" x14ac:dyDescent="0.2">
      <c r="A1" s="48" t="s">
        <v>465</v>
      </c>
      <c r="B1" s="48" t="s">
        <v>451</v>
      </c>
      <c r="C1" s="30" t="s">
        <v>250</v>
      </c>
      <c r="D1" s="30" t="s">
        <v>251</v>
      </c>
      <c r="E1" s="30" t="s">
        <v>252</v>
      </c>
      <c r="F1" s="31" t="s">
        <v>14</v>
      </c>
      <c r="G1" s="30" t="s">
        <v>253</v>
      </c>
      <c r="H1" s="30" t="s">
        <v>254</v>
      </c>
      <c r="I1" s="30" t="s">
        <v>255</v>
      </c>
      <c r="J1" s="31" t="s">
        <v>256</v>
      </c>
      <c r="K1" s="30" t="s">
        <v>257</v>
      </c>
      <c r="L1" s="30" t="s">
        <v>258</v>
      </c>
      <c r="M1" s="30" t="s">
        <v>259</v>
      </c>
      <c r="N1" s="32" t="s">
        <v>260</v>
      </c>
      <c r="O1" s="30" t="s">
        <v>261</v>
      </c>
      <c r="P1" s="30" t="s">
        <v>262</v>
      </c>
      <c r="Q1" s="30" t="s">
        <v>263</v>
      </c>
      <c r="R1" s="30" t="s">
        <v>264</v>
      </c>
      <c r="S1" s="30" t="s">
        <v>265</v>
      </c>
      <c r="T1" s="33" t="s">
        <v>266</v>
      </c>
      <c r="U1" s="30" t="s">
        <v>267</v>
      </c>
      <c r="V1" s="34" t="s">
        <v>268</v>
      </c>
      <c r="W1" s="30" t="s">
        <v>269</v>
      </c>
      <c r="X1" s="34" t="s">
        <v>270</v>
      </c>
      <c r="Y1" s="34" t="s">
        <v>20</v>
      </c>
      <c r="Z1" s="30" t="s">
        <v>271</v>
      </c>
      <c r="AA1" s="30" t="s">
        <v>272</v>
      </c>
      <c r="AB1" s="52" t="s">
        <v>273</v>
      </c>
      <c r="AC1" s="30" t="s">
        <v>274</v>
      </c>
    </row>
    <row r="2" spans="1:29" hidden="1" x14ac:dyDescent="0.2">
      <c r="A2" s="48">
        <f>YEAR(F2)</f>
        <v>2026</v>
      </c>
      <c r="B2" s="49" t="str">
        <f>UPPER(TEXT(F2,"MMMM"))</f>
        <v>JULHO</v>
      </c>
      <c r="C2" s="35">
        <v>87556404</v>
      </c>
      <c r="D2" s="35">
        <v>10906730</v>
      </c>
      <c r="E2" s="35" t="s">
        <v>284</v>
      </c>
      <c r="F2" s="36">
        <v>46227</v>
      </c>
      <c r="G2" s="35" t="s">
        <v>13</v>
      </c>
      <c r="H2" s="35">
        <v>35575473880</v>
      </c>
      <c r="I2" s="35" t="s">
        <v>275</v>
      </c>
      <c r="J2" s="36"/>
      <c r="K2" s="35" t="s">
        <v>285</v>
      </c>
      <c r="L2" s="35" t="s">
        <v>276</v>
      </c>
      <c r="M2" s="35" t="s">
        <v>277</v>
      </c>
      <c r="N2" s="37" t="s">
        <v>278</v>
      </c>
      <c r="P2" s="35" t="s">
        <v>279</v>
      </c>
      <c r="Q2" s="35" t="s">
        <v>286</v>
      </c>
      <c r="R2" s="35" t="s">
        <v>280</v>
      </c>
      <c r="S2" s="35">
        <v>1</v>
      </c>
      <c r="T2" s="38"/>
      <c r="V2" s="39"/>
      <c r="X2" s="39" t="s">
        <v>281</v>
      </c>
      <c r="Y2" s="39">
        <v>45</v>
      </c>
      <c r="AB2" s="53">
        <v>45</v>
      </c>
      <c r="AC2" s="35" t="s">
        <v>277</v>
      </c>
    </row>
    <row r="3" spans="1:29" hidden="1" x14ac:dyDescent="0.2">
      <c r="A3" s="48">
        <f t="shared" ref="A3:A66" si="0">YEAR(F3)</f>
        <v>2026</v>
      </c>
      <c r="B3" s="49" t="str">
        <f t="shared" ref="B3:B66" si="1">UPPER(TEXT(F3,"MMMM"))</f>
        <v>JULHO</v>
      </c>
      <c r="C3" s="35">
        <v>87002054</v>
      </c>
      <c r="D3" s="35">
        <v>10906730</v>
      </c>
      <c r="E3" s="35" t="s">
        <v>284</v>
      </c>
      <c r="F3" s="36">
        <v>46221</v>
      </c>
      <c r="G3" s="35" t="s">
        <v>13</v>
      </c>
      <c r="H3" s="35">
        <v>35575473880</v>
      </c>
      <c r="I3" s="35" t="s">
        <v>275</v>
      </c>
      <c r="J3" s="36"/>
      <c r="K3" s="35" t="s">
        <v>285</v>
      </c>
      <c r="L3" s="35" t="s">
        <v>276</v>
      </c>
      <c r="M3" s="35" t="s">
        <v>277</v>
      </c>
      <c r="N3" s="37" t="s">
        <v>278</v>
      </c>
      <c r="P3" s="35" t="s">
        <v>279</v>
      </c>
      <c r="Q3" s="35" t="s">
        <v>286</v>
      </c>
      <c r="R3" s="35" t="s">
        <v>280</v>
      </c>
      <c r="S3" s="35">
        <v>1</v>
      </c>
      <c r="T3" s="38"/>
      <c r="V3" s="39"/>
      <c r="X3" s="39" t="s">
        <v>281</v>
      </c>
      <c r="Y3" s="39">
        <v>74.5</v>
      </c>
      <c r="AB3" s="53">
        <v>74.5</v>
      </c>
      <c r="AC3" s="35" t="s">
        <v>277</v>
      </c>
    </row>
    <row r="4" spans="1:29" hidden="1" x14ac:dyDescent="0.2">
      <c r="A4" s="48">
        <f t="shared" si="0"/>
        <v>2026</v>
      </c>
      <c r="B4" s="49" t="str">
        <f t="shared" si="1"/>
        <v>JULHO</v>
      </c>
      <c r="C4" s="35">
        <v>87001977</v>
      </c>
      <c r="D4" s="35">
        <v>10906730</v>
      </c>
      <c r="E4" s="35" t="s">
        <v>284</v>
      </c>
      <c r="F4" s="36">
        <v>46221</v>
      </c>
      <c r="G4" s="35" t="s">
        <v>13</v>
      </c>
      <c r="H4" s="35">
        <v>35575473880</v>
      </c>
      <c r="I4" s="35" t="s">
        <v>275</v>
      </c>
      <c r="J4" s="36"/>
      <c r="K4" s="35" t="s">
        <v>285</v>
      </c>
      <c r="L4" s="35" t="s">
        <v>276</v>
      </c>
      <c r="M4" s="35" t="s">
        <v>277</v>
      </c>
      <c r="N4" s="37" t="s">
        <v>278</v>
      </c>
      <c r="P4" s="35" t="s">
        <v>279</v>
      </c>
      <c r="Q4" s="35" t="s">
        <v>286</v>
      </c>
      <c r="R4" s="35" t="s">
        <v>280</v>
      </c>
      <c r="S4" s="35">
        <v>1</v>
      </c>
      <c r="T4" s="38"/>
      <c r="V4" s="39"/>
      <c r="X4" s="39" t="s">
        <v>281</v>
      </c>
      <c r="Y4" s="39">
        <v>83.1</v>
      </c>
      <c r="AB4" s="53">
        <v>83.1</v>
      </c>
      <c r="AC4" s="35" t="s">
        <v>277</v>
      </c>
    </row>
    <row r="5" spans="1:29" hidden="1" x14ac:dyDescent="0.2">
      <c r="A5" s="48">
        <f t="shared" si="0"/>
        <v>2026</v>
      </c>
      <c r="B5" s="49" t="str">
        <f t="shared" si="1"/>
        <v>JULHO</v>
      </c>
      <c r="C5" s="35">
        <v>87001778</v>
      </c>
      <c r="D5" s="35">
        <v>10906730</v>
      </c>
      <c r="E5" s="35" t="s">
        <v>284</v>
      </c>
      <c r="F5" s="36">
        <v>46221</v>
      </c>
      <c r="G5" s="35" t="s">
        <v>13</v>
      </c>
      <c r="H5" s="35">
        <v>35575473880</v>
      </c>
      <c r="I5" s="35" t="s">
        <v>275</v>
      </c>
      <c r="J5" s="36"/>
      <c r="K5" s="35" t="s">
        <v>285</v>
      </c>
      <c r="L5" s="35" t="s">
        <v>276</v>
      </c>
      <c r="M5" s="35" t="s">
        <v>277</v>
      </c>
      <c r="N5" s="37" t="s">
        <v>278</v>
      </c>
      <c r="P5" s="35" t="s">
        <v>279</v>
      </c>
      <c r="Q5" s="35" t="s">
        <v>286</v>
      </c>
      <c r="R5" s="35" t="s">
        <v>280</v>
      </c>
      <c r="S5" s="35">
        <v>1</v>
      </c>
      <c r="T5" s="38"/>
      <c r="V5" s="39"/>
      <c r="X5" s="39" t="s">
        <v>281</v>
      </c>
      <c r="Y5" s="39">
        <v>62.8</v>
      </c>
      <c r="AB5" s="53">
        <v>62.8</v>
      </c>
      <c r="AC5" s="35" t="s">
        <v>277</v>
      </c>
    </row>
    <row r="6" spans="1:29" hidden="1" x14ac:dyDescent="0.2">
      <c r="A6" s="48">
        <f t="shared" si="0"/>
        <v>2026</v>
      </c>
      <c r="B6" s="49" t="str">
        <f t="shared" si="1"/>
        <v>JULHO</v>
      </c>
      <c r="C6" s="35">
        <v>87001416</v>
      </c>
      <c r="D6" s="35">
        <v>10906730</v>
      </c>
      <c r="E6" s="35" t="s">
        <v>284</v>
      </c>
      <c r="F6" s="36">
        <v>46221</v>
      </c>
      <c r="G6" s="35" t="s">
        <v>13</v>
      </c>
      <c r="H6" s="35">
        <v>35575473880</v>
      </c>
      <c r="I6" s="35" t="s">
        <v>275</v>
      </c>
      <c r="J6" s="36"/>
      <c r="K6" s="35" t="s">
        <v>285</v>
      </c>
      <c r="L6" s="35" t="s">
        <v>276</v>
      </c>
      <c r="M6" s="35" t="s">
        <v>277</v>
      </c>
      <c r="N6" s="37" t="s">
        <v>278</v>
      </c>
      <c r="P6" s="35" t="s">
        <v>279</v>
      </c>
      <c r="Q6" s="35" t="s">
        <v>286</v>
      </c>
      <c r="R6" s="35" t="s">
        <v>280</v>
      </c>
      <c r="S6" s="35">
        <v>1</v>
      </c>
      <c r="T6" s="38"/>
      <c r="V6" s="39"/>
      <c r="X6" s="39" t="s">
        <v>281</v>
      </c>
      <c r="Y6" s="39">
        <v>53.33</v>
      </c>
      <c r="AB6" s="53">
        <v>53.33</v>
      </c>
      <c r="AC6" s="35" t="s">
        <v>277</v>
      </c>
    </row>
    <row r="7" spans="1:29" hidden="1" x14ac:dyDescent="0.2">
      <c r="A7" s="48">
        <f t="shared" si="0"/>
        <v>2026</v>
      </c>
      <c r="B7" s="49" t="str">
        <f t="shared" si="1"/>
        <v>JULHO</v>
      </c>
      <c r="C7" s="35">
        <v>87002136</v>
      </c>
      <c r="D7" s="35">
        <v>10906730</v>
      </c>
      <c r="E7" s="35" t="s">
        <v>284</v>
      </c>
      <c r="F7" s="36">
        <v>46220</v>
      </c>
      <c r="G7" s="35" t="s">
        <v>13</v>
      </c>
      <c r="H7" s="35">
        <v>35575473880</v>
      </c>
      <c r="I7" s="35" t="s">
        <v>275</v>
      </c>
      <c r="J7" s="36"/>
      <c r="K7" s="35" t="s">
        <v>285</v>
      </c>
      <c r="L7" s="35" t="s">
        <v>276</v>
      </c>
      <c r="M7" s="35" t="s">
        <v>277</v>
      </c>
      <c r="N7" s="37" t="s">
        <v>278</v>
      </c>
      <c r="P7" s="35" t="s">
        <v>279</v>
      </c>
      <c r="Q7" s="35" t="s">
        <v>286</v>
      </c>
      <c r="R7" s="35" t="s">
        <v>280</v>
      </c>
      <c r="S7" s="35">
        <v>1</v>
      </c>
      <c r="T7" s="38"/>
      <c r="V7" s="39"/>
      <c r="X7" s="39" t="s">
        <v>281</v>
      </c>
      <c r="Y7" s="39">
        <v>51.21</v>
      </c>
      <c r="AB7" s="53">
        <v>51.21</v>
      </c>
      <c r="AC7" s="35" t="s">
        <v>277</v>
      </c>
    </row>
    <row r="8" spans="1:29" hidden="1" x14ac:dyDescent="0.2">
      <c r="A8" s="48">
        <f t="shared" si="0"/>
        <v>2026</v>
      </c>
      <c r="B8" s="49" t="str">
        <f t="shared" si="1"/>
        <v>JULHO</v>
      </c>
      <c r="C8" s="35">
        <v>87001089</v>
      </c>
      <c r="D8" s="35">
        <v>10906730</v>
      </c>
      <c r="E8" s="35" t="s">
        <v>284</v>
      </c>
      <c r="F8" s="36">
        <v>46217</v>
      </c>
      <c r="G8" s="35" t="s">
        <v>13</v>
      </c>
      <c r="H8" s="35">
        <v>35575473880</v>
      </c>
      <c r="I8" s="35" t="s">
        <v>275</v>
      </c>
      <c r="J8" s="36"/>
      <c r="K8" s="35" t="s">
        <v>285</v>
      </c>
      <c r="L8" s="35" t="s">
        <v>276</v>
      </c>
      <c r="M8" s="35" t="s">
        <v>277</v>
      </c>
      <c r="N8" s="37" t="s">
        <v>278</v>
      </c>
      <c r="P8" s="35" t="s">
        <v>279</v>
      </c>
      <c r="Q8" s="35" t="s">
        <v>286</v>
      </c>
      <c r="R8" s="35" t="s">
        <v>280</v>
      </c>
      <c r="S8" s="35">
        <v>1</v>
      </c>
      <c r="T8" s="38"/>
      <c r="V8" s="39"/>
      <c r="X8" s="39" t="s">
        <v>281</v>
      </c>
      <c r="Y8" s="39">
        <v>110</v>
      </c>
      <c r="AB8" s="53">
        <v>110</v>
      </c>
      <c r="AC8" s="35" t="s">
        <v>277</v>
      </c>
    </row>
    <row r="9" spans="1:29" hidden="1" x14ac:dyDescent="0.2">
      <c r="A9" s="48">
        <f t="shared" si="0"/>
        <v>2026</v>
      </c>
      <c r="B9" s="49" t="str">
        <f t="shared" si="1"/>
        <v>JULHO</v>
      </c>
      <c r="C9" s="35">
        <v>87000987</v>
      </c>
      <c r="D9" s="35">
        <v>10906730</v>
      </c>
      <c r="E9" s="35" t="s">
        <v>284</v>
      </c>
      <c r="F9" s="36">
        <v>46216</v>
      </c>
      <c r="G9" s="35" t="s">
        <v>13</v>
      </c>
      <c r="H9" s="35">
        <v>35575473880</v>
      </c>
      <c r="I9" s="35" t="s">
        <v>275</v>
      </c>
      <c r="J9" s="36"/>
      <c r="K9" s="35" t="s">
        <v>285</v>
      </c>
      <c r="L9" s="35" t="s">
        <v>276</v>
      </c>
      <c r="M9" s="35" t="s">
        <v>277</v>
      </c>
      <c r="N9" s="37" t="s">
        <v>278</v>
      </c>
      <c r="P9" s="35" t="s">
        <v>279</v>
      </c>
      <c r="Q9" s="35" t="s">
        <v>286</v>
      </c>
      <c r="R9" s="35" t="s">
        <v>280</v>
      </c>
      <c r="S9" s="35">
        <v>1</v>
      </c>
      <c r="T9" s="38"/>
      <c r="V9" s="39"/>
      <c r="X9" s="39" t="s">
        <v>281</v>
      </c>
      <c r="Y9" s="39">
        <v>25</v>
      </c>
      <c r="AB9" s="53">
        <v>25</v>
      </c>
      <c r="AC9" s="35" t="s">
        <v>277</v>
      </c>
    </row>
    <row r="10" spans="1:29" hidden="1" x14ac:dyDescent="0.2">
      <c r="A10" s="48">
        <f t="shared" si="0"/>
        <v>2026</v>
      </c>
      <c r="B10" s="49" t="str">
        <f t="shared" si="1"/>
        <v>JULHO</v>
      </c>
      <c r="C10" s="35">
        <v>87001218</v>
      </c>
      <c r="D10" s="35">
        <v>10906730</v>
      </c>
      <c r="E10" s="35" t="s">
        <v>284</v>
      </c>
      <c r="F10" s="36">
        <v>46210</v>
      </c>
      <c r="G10" s="35" t="s">
        <v>13</v>
      </c>
      <c r="H10" s="35">
        <v>35575473880</v>
      </c>
      <c r="I10" s="35" t="s">
        <v>275</v>
      </c>
      <c r="J10" s="36"/>
      <c r="K10" s="35" t="s">
        <v>285</v>
      </c>
      <c r="L10" s="35" t="s">
        <v>276</v>
      </c>
      <c r="M10" s="35" t="s">
        <v>277</v>
      </c>
      <c r="N10" s="37" t="s">
        <v>278</v>
      </c>
      <c r="P10" s="35" t="s">
        <v>279</v>
      </c>
      <c r="Q10" s="35" t="s">
        <v>286</v>
      </c>
      <c r="R10" s="35" t="s">
        <v>280</v>
      </c>
      <c r="S10" s="35">
        <v>1</v>
      </c>
      <c r="T10" s="38"/>
      <c r="V10" s="39"/>
      <c r="X10" s="39" t="s">
        <v>281</v>
      </c>
      <c r="Y10" s="39">
        <v>6</v>
      </c>
      <c r="AB10" s="53">
        <v>6</v>
      </c>
      <c r="AC10" s="35" t="s">
        <v>277</v>
      </c>
    </row>
    <row r="11" spans="1:29" hidden="1" x14ac:dyDescent="0.2">
      <c r="A11" s="48">
        <f t="shared" si="0"/>
        <v>2026</v>
      </c>
      <c r="B11" s="49" t="str">
        <f t="shared" si="1"/>
        <v>JULHO</v>
      </c>
      <c r="C11" s="35">
        <v>87001310</v>
      </c>
      <c r="D11" s="35">
        <v>10906730</v>
      </c>
      <c r="E11" s="35" t="s">
        <v>284</v>
      </c>
      <c r="F11" s="36">
        <v>46209</v>
      </c>
      <c r="G11" s="35" t="s">
        <v>13</v>
      </c>
      <c r="H11" s="35">
        <v>35575473880</v>
      </c>
      <c r="I11" s="35" t="s">
        <v>275</v>
      </c>
      <c r="J11" s="36"/>
      <c r="K11" s="35" t="s">
        <v>285</v>
      </c>
      <c r="L11" s="35" t="s">
        <v>276</v>
      </c>
      <c r="M11" s="35" t="s">
        <v>277</v>
      </c>
      <c r="N11" s="37" t="s">
        <v>278</v>
      </c>
      <c r="P11" s="35" t="s">
        <v>279</v>
      </c>
      <c r="Q11" s="35" t="s">
        <v>286</v>
      </c>
      <c r="R11" s="35" t="s">
        <v>280</v>
      </c>
      <c r="S11" s="35">
        <v>1</v>
      </c>
      <c r="T11" s="38"/>
      <c r="V11" s="39"/>
      <c r="X11" s="39" t="s">
        <v>281</v>
      </c>
      <c r="Y11" s="39">
        <v>40</v>
      </c>
      <c r="AB11" s="53">
        <v>40</v>
      </c>
      <c r="AC11" s="35" t="s">
        <v>277</v>
      </c>
    </row>
    <row r="12" spans="1:29" hidden="1" x14ac:dyDescent="0.2">
      <c r="A12" s="48">
        <f t="shared" si="0"/>
        <v>2026</v>
      </c>
      <c r="B12" s="49" t="str">
        <f t="shared" si="1"/>
        <v>JULHO</v>
      </c>
      <c r="C12" s="35">
        <v>86328704</v>
      </c>
      <c r="D12" s="35">
        <v>10906730</v>
      </c>
      <c r="E12" s="35" t="s">
        <v>284</v>
      </c>
      <c r="F12" s="36">
        <v>46207</v>
      </c>
      <c r="G12" s="35" t="s">
        <v>13</v>
      </c>
      <c r="H12" s="35">
        <v>35575473880</v>
      </c>
      <c r="I12" s="35" t="s">
        <v>275</v>
      </c>
      <c r="J12" s="36"/>
      <c r="K12" s="35" t="s">
        <v>287</v>
      </c>
      <c r="L12" s="35" t="s">
        <v>276</v>
      </c>
      <c r="M12" s="35" t="s">
        <v>277</v>
      </c>
      <c r="N12" s="37" t="s">
        <v>287</v>
      </c>
      <c r="P12" s="35" t="s">
        <v>279</v>
      </c>
      <c r="Q12" s="35" t="s">
        <v>286</v>
      </c>
      <c r="R12" s="35" t="s">
        <v>280</v>
      </c>
      <c r="S12" s="35">
        <v>1</v>
      </c>
      <c r="T12" s="38"/>
      <c r="V12" s="39"/>
      <c r="X12" s="39" t="s">
        <v>281</v>
      </c>
      <c r="Y12" s="39">
        <v>31</v>
      </c>
      <c r="AB12" s="53">
        <v>31</v>
      </c>
      <c r="AC12" s="35" t="s">
        <v>277</v>
      </c>
    </row>
    <row r="13" spans="1:29" hidden="1" x14ac:dyDescent="0.2">
      <c r="A13" s="48">
        <f t="shared" si="0"/>
        <v>2026</v>
      </c>
      <c r="B13" s="49" t="str">
        <f t="shared" si="1"/>
        <v>JULHO</v>
      </c>
      <c r="C13" s="35">
        <v>86057697</v>
      </c>
      <c r="D13" s="35">
        <v>10906730</v>
      </c>
      <c r="E13" s="35" t="s">
        <v>284</v>
      </c>
      <c r="F13" s="36">
        <v>46206</v>
      </c>
      <c r="G13" s="35" t="s">
        <v>13</v>
      </c>
      <c r="H13" s="35">
        <v>35575473880</v>
      </c>
      <c r="I13" s="35" t="s">
        <v>275</v>
      </c>
      <c r="J13" s="36"/>
      <c r="K13" s="35" t="s">
        <v>288</v>
      </c>
      <c r="L13" s="35" t="s">
        <v>276</v>
      </c>
      <c r="M13" s="35" t="s">
        <v>277</v>
      </c>
      <c r="N13" s="37" t="s">
        <v>289</v>
      </c>
      <c r="P13" s="35" t="s">
        <v>279</v>
      </c>
      <c r="Q13" s="35" t="s">
        <v>286</v>
      </c>
      <c r="R13" s="35" t="s">
        <v>280</v>
      </c>
      <c r="S13" s="35">
        <v>1</v>
      </c>
      <c r="T13" s="38"/>
      <c r="V13" s="39"/>
      <c r="X13" s="39" t="s">
        <v>281</v>
      </c>
      <c r="Y13" s="39">
        <v>60</v>
      </c>
      <c r="AB13" s="53">
        <v>60</v>
      </c>
      <c r="AC13" s="35" t="s">
        <v>277</v>
      </c>
    </row>
    <row r="14" spans="1:29" hidden="1" x14ac:dyDescent="0.2">
      <c r="A14" s="48">
        <f t="shared" si="0"/>
        <v>2026</v>
      </c>
      <c r="B14" s="49" t="str">
        <f t="shared" si="1"/>
        <v>JULHO</v>
      </c>
      <c r="C14" s="35">
        <v>87001635</v>
      </c>
      <c r="D14" s="35">
        <v>10906730</v>
      </c>
      <c r="E14" s="35" t="s">
        <v>284</v>
      </c>
      <c r="F14" s="36">
        <v>46205</v>
      </c>
      <c r="G14" s="35" t="s">
        <v>13</v>
      </c>
      <c r="H14" s="35">
        <v>35575473880</v>
      </c>
      <c r="I14" s="35" t="s">
        <v>275</v>
      </c>
      <c r="J14" s="36"/>
      <c r="K14" s="35" t="s">
        <v>285</v>
      </c>
      <c r="L14" s="35" t="s">
        <v>276</v>
      </c>
      <c r="M14" s="35" t="s">
        <v>277</v>
      </c>
      <c r="N14" s="37" t="s">
        <v>278</v>
      </c>
      <c r="P14" s="35" t="s">
        <v>279</v>
      </c>
      <c r="Q14" s="35" t="s">
        <v>286</v>
      </c>
      <c r="R14" s="35" t="s">
        <v>280</v>
      </c>
      <c r="S14" s="35">
        <v>1</v>
      </c>
      <c r="T14" s="38"/>
      <c r="V14" s="39"/>
      <c r="X14" s="39" t="s">
        <v>281</v>
      </c>
      <c r="Y14" s="39">
        <v>129.9</v>
      </c>
      <c r="AB14" s="53">
        <v>129.9</v>
      </c>
      <c r="AC14" s="35" t="s">
        <v>277</v>
      </c>
    </row>
    <row r="15" spans="1:29" hidden="1" x14ac:dyDescent="0.2">
      <c r="A15" s="48">
        <f t="shared" si="0"/>
        <v>2026</v>
      </c>
      <c r="B15" s="49" t="str">
        <f t="shared" si="1"/>
        <v>JULHO</v>
      </c>
      <c r="C15" s="35">
        <v>86057898</v>
      </c>
      <c r="D15" s="35">
        <v>10906730</v>
      </c>
      <c r="E15" s="35" t="s">
        <v>284</v>
      </c>
      <c r="F15" s="36">
        <v>46205</v>
      </c>
      <c r="G15" s="35" t="s">
        <v>13</v>
      </c>
      <c r="H15" s="35">
        <v>35575473880</v>
      </c>
      <c r="I15" s="35" t="s">
        <v>275</v>
      </c>
      <c r="J15" s="36"/>
      <c r="K15" s="35" t="s">
        <v>290</v>
      </c>
      <c r="L15" s="35" t="s">
        <v>276</v>
      </c>
      <c r="M15" s="35" t="s">
        <v>277</v>
      </c>
      <c r="N15" s="37" t="s">
        <v>290</v>
      </c>
      <c r="P15" s="35" t="s">
        <v>279</v>
      </c>
      <c r="Q15" s="35" t="s">
        <v>286</v>
      </c>
      <c r="R15" s="35" t="s">
        <v>280</v>
      </c>
      <c r="S15" s="35">
        <v>1</v>
      </c>
      <c r="T15" s="38"/>
      <c r="V15" s="39"/>
      <c r="X15" s="39" t="s">
        <v>281</v>
      </c>
      <c r="Y15" s="39">
        <v>8.6</v>
      </c>
      <c r="AB15" s="53">
        <v>8.6</v>
      </c>
      <c r="AC15" s="35" t="s">
        <v>277</v>
      </c>
    </row>
    <row r="16" spans="1:29" hidden="1" x14ac:dyDescent="0.2">
      <c r="A16" s="48">
        <f t="shared" si="0"/>
        <v>2026</v>
      </c>
      <c r="B16" s="49" t="str">
        <f t="shared" si="1"/>
        <v>JULHO</v>
      </c>
      <c r="C16" s="35">
        <v>87557309</v>
      </c>
      <c r="D16" s="35">
        <v>10906730</v>
      </c>
      <c r="E16" s="35" t="s">
        <v>284</v>
      </c>
      <c r="F16" s="36">
        <v>46204</v>
      </c>
      <c r="G16" s="35" t="s">
        <v>13</v>
      </c>
      <c r="H16" s="35">
        <v>35575473880</v>
      </c>
      <c r="I16" s="35" t="s">
        <v>275</v>
      </c>
      <c r="J16" s="36"/>
      <c r="K16" s="35" t="s">
        <v>291</v>
      </c>
      <c r="L16" s="35" t="s">
        <v>282</v>
      </c>
      <c r="M16" s="35" t="s">
        <v>277</v>
      </c>
      <c r="N16" s="37" t="s">
        <v>278</v>
      </c>
      <c r="P16" s="35" t="s">
        <v>279</v>
      </c>
      <c r="Q16" s="35" t="s">
        <v>286</v>
      </c>
      <c r="R16" s="35" t="s">
        <v>280</v>
      </c>
      <c r="S16" s="35">
        <v>1</v>
      </c>
      <c r="T16" s="38"/>
      <c r="V16" s="39"/>
      <c r="X16" s="39" t="s">
        <v>281</v>
      </c>
      <c r="Y16" s="39">
        <v>40.799999999999997</v>
      </c>
      <c r="AB16" s="53">
        <v>40.799999999999997</v>
      </c>
      <c r="AC16" s="35" t="s">
        <v>277</v>
      </c>
    </row>
    <row r="17" spans="1:29" hidden="1" x14ac:dyDescent="0.2">
      <c r="A17" s="48">
        <f t="shared" si="0"/>
        <v>2026</v>
      </c>
      <c r="B17" s="49" t="str">
        <f t="shared" si="1"/>
        <v>JULHO</v>
      </c>
      <c r="C17" s="35">
        <v>87144433</v>
      </c>
      <c r="D17" s="35">
        <v>10906730</v>
      </c>
      <c r="E17" s="35" t="s">
        <v>284</v>
      </c>
      <c r="F17" s="36">
        <v>46204</v>
      </c>
      <c r="G17" s="35" t="s">
        <v>13</v>
      </c>
      <c r="H17" s="35">
        <v>35575473880</v>
      </c>
      <c r="I17" s="35" t="s">
        <v>275</v>
      </c>
      <c r="J17" s="36"/>
      <c r="K17" s="35" t="s">
        <v>291</v>
      </c>
      <c r="L17" s="35" t="s">
        <v>282</v>
      </c>
      <c r="M17" s="35" t="s">
        <v>277</v>
      </c>
      <c r="N17" s="37" t="s">
        <v>278</v>
      </c>
      <c r="P17" s="35" t="s">
        <v>279</v>
      </c>
      <c r="Q17" s="35" t="s">
        <v>286</v>
      </c>
      <c r="R17" s="35" t="s">
        <v>280</v>
      </c>
      <c r="S17" s="35">
        <v>1</v>
      </c>
      <c r="T17" s="38"/>
      <c r="V17" s="39"/>
      <c r="X17" s="39" t="s">
        <v>281</v>
      </c>
      <c r="Y17" s="39">
        <v>330.8</v>
      </c>
      <c r="AB17" s="53">
        <v>330.8</v>
      </c>
      <c r="AC17" s="35" t="s">
        <v>277</v>
      </c>
    </row>
    <row r="18" spans="1:29" hidden="1" x14ac:dyDescent="0.2">
      <c r="A18" s="48">
        <f t="shared" si="0"/>
        <v>2026</v>
      </c>
      <c r="B18" s="49" t="str">
        <f t="shared" si="1"/>
        <v>JULHO</v>
      </c>
      <c r="C18" s="35">
        <v>86058020</v>
      </c>
      <c r="D18" s="35">
        <v>10906730</v>
      </c>
      <c r="E18" s="35" t="s">
        <v>284</v>
      </c>
      <c r="F18" s="36">
        <v>46204</v>
      </c>
      <c r="G18" s="35" t="s">
        <v>13</v>
      </c>
      <c r="H18" s="35">
        <v>35575473880</v>
      </c>
      <c r="I18" s="35" t="s">
        <v>275</v>
      </c>
      <c r="J18" s="36"/>
      <c r="K18" s="35" t="s">
        <v>292</v>
      </c>
      <c r="L18" s="35" t="s">
        <v>276</v>
      </c>
      <c r="M18" s="35" t="s">
        <v>277</v>
      </c>
      <c r="N18" s="37" t="s">
        <v>292</v>
      </c>
      <c r="P18" s="35" t="s">
        <v>279</v>
      </c>
      <c r="Q18" s="35" t="s">
        <v>286</v>
      </c>
      <c r="R18" s="35" t="s">
        <v>280</v>
      </c>
      <c r="S18" s="35">
        <v>1</v>
      </c>
      <c r="T18" s="38"/>
      <c r="V18" s="39"/>
      <c r="X18" s="39" t="s">
        <v>281</v>
      </c>
      <c r="Y18" s="39">
        <v>2.99</v>
      </c>
      <c r="AB18" s="53">
        <v>2.99</v>
      </c>
      <c r="AC18" s="35" t="s">
        <v>277</v>
      </c>
    </row>
    <row r="19" spans="1:29" hidden="1" x14ac:dyDescent="0.2">
      <c r="A19" s="48">
        <f t="shared" si="0"/>
        <v>2026</v>
      </c>
      <c r="B19" s="49" t="str">
        <f t="shared" si="1"/>
        <v>JUNHO</v>
      </c>
      <c r="C19" s="35">
        <v>87146033</v>
      </c>
      <c r="D19" s="35">
        <v>10906730</v>
      </c>
      <c r="E19" s="35" t="s">
        <v>284</v>
      </c>
      <c r="F19" s="36">
        <v>46198</v>
      </c>
      <c r="G19" s="35" t="s">
        <v>13</v>
      </c>
      <c r="H19" s="35">
        <v>35575473880</v>
      </c>
      <c r="I19" s="35" t="s">
        <v>275</v>
      </c>
      <c r="J19" s="36"/>
      <c r="K19" s="35" t="s">
        <v>276</v>
      </c>
      <c r="L19" s="35" t="s">
        <v>276</v>
      </c>
      <c r="M19" s="35" t="s">
        <v>277</v>
      </c>
      <c r="N19" s="37" t="s">
        <v>278</v>
      </c>
      <c r="P19" s="35" t="s">
        <v>279</v>
      </c>
      <c r="Q19" s="35" t="s">
        <v>286</v>
      </c>
      <c r="R19" s="35" t="s">
        <v>280</v>
      </c>
      <c r="S19" s="35">
        <v>1</v>
      </c>
      <c r="T19" s="38"/>
      <c r="V19" s="39"/>
      <c r="X19" s="39" t="s">
        <v>281</v>
      </c>
      <c r="Y19" s="39">
        <v>70</v>
      </c>
      <c r="AB19" s="53">
        <v>70</v>
      </c>
      <c r="AC19" s="35" t="s">
        <v>277</v>
      </c>
    </row>
    <row r="20" spans="1:29" hidden="1" x14ac:dyDescent="0.2">
      <c r="A20" s="48">
        <f t="shared" si="0"/>
        <v>2026</v>
      </c>
      <c r="B20" s="49" t="str">
        <f t="shared" si="1"/>
        <v>JUNHO</v>
      </c>
      <c r="C20" s="35">
        <v>87144760</v>
      </c>
      <c r="D20" s="35">
        <v>10906730</v>
      </c>
      <c r="E20" s="35" t="s">
        <v>284</v>
      </c>
      <c r="F20" s="36">
        <v>46189</v>
      </c>
      <c r="G20" s="35" t="s">
        <v>13</v>
      </c>
      <c r="H20" s="35">
        <v>35575473880</v>
      </c>
      <c r="I20" s="35" t="s">
        <v>275</v>
      </c>
      <c r="J20" s="36"/>
      <c r="K20" s="35" t="s">
        <v>285</v>
      </c>
      <c r="L20" s="35" t="s">
        <v>276</v>
      </c>
      <c r="M20" s="35" t="s">
        <v>277</v>
      </c>
      <c r="N20" s="37" t="s">
        <v>293</v>
      </c>
      <c r="P20" s="35" t="s">
        <v>279</v>
      </c>
      <c r="Q20" s="35" t="s">
        <v>286</v>
      </c>
      <c r="R20" s="35" t="s">
        <v>280</v>
      </c>
      <c r="S20" s="35">
        <v>1</v>
      </c>
      <c r="T20" s="38"/>
      <c r="V20" s="39"/>
      <c r="W20" s="35">
        <v>0</v>
      </c>
      <c r="X20" s="39" t="s">
        <v>281</v>
      </c>
      <c r="Y20" s="39">
        <v>690</v>
      </c>
      <c r="AB20" s="53">
        <v>690</v>
      </c>
      <c r="AC20" s="35" t="s">
        <v>294</v>
      </c>
    </row>
    <row r="21" spans="1:29" hidden="1" x14ac:dyDescent="0.2">
      <c r="A21" s="48">
        <f t="shared" si="0"/>
        <v>2026</v>
      </c>
      <c r="B21" s="49" t="str">
        <f t="shared" si="1"/>
        <v>MARÇO</v>
      </c>
      <c r="C21" s="35">
        <v>81660359</v>
      </c>
      <c r="D21" s="35">
        <v>10906730</v>
      </c>
      <c r="E21" s="35" t="s">
        <v>284</v>
      </c>
      <c r="F21" s="36">
        <v>46111</v>
      </c>
      <c r="G21" s="35" t="s">
        <v>13</v>
      </c>
      <c r="H21" s="35">
        <v>35575473880</v>
      </c>
      <c r="I21" s="35" t="s">
        <v>275</v>
      </c>
      <c r="J21" s="36"/>
      <c r="K21" s="35" t="s">
        <v>295</v>
      </c>
      <c r="L21" s="35" t="s">
        <v>276</v>
      </c>
      <c r="M21" s="35" t="s">
        <v>277</v>
      </c>
      <c r="N21" s="37" t="s">
        <v>296</v>
      </c>
      <c r="P21" s="35" t="s">
        <v>279</v>
      </c>
      <c r="Q21" s="35" t="s">
        <v>286</v>
      </c>
      <c r="R21" s="35" t="s">
        <v>280</v>
      </c>
      <c r="S21" s="35">
        <v>1</v>
      </c>
      <c r="T21" s="38"/>
      <c r="V21" s="39"/>
      <c r="W21" s="35">
        <v>0</v>
      </c>
      <c r="X21" s="39" t="s">
        <v>281</v>
      </c>
      <c r="Y21" s="39">
        <v>139.97999999999999</v>
      </c>
      <c r="AB21" s="53">
        <v>139.97999999999999</v>
      </c>
      <c r="AC21" s="35" t="s">
        <v>277</v>
      </c>
    </row>
    <row r="22" spans="1:29" hidden="1" x14ac:dyDescent="0.2">
      <c r="A22" s="48">
        <f t="shared" si="0"/>
        <v>2026</v>
      </c>
      <c r="B22" s="49" t="str">
        <f t="shared" si="1"/>
        <v>MARÇO</v>
      </c>
      <c r="C22" s="35">
        <v>81659592</v>
      </c>
      <c r="D22" s="35">
        <v>10906730</v>
      </c>
      <c r="E22" s="35" t="s">
        <v>284</v>
      </c>
      <c r="F22" s="36">
        <v>46102</v>
      </c>
      <c r="G22" s="35" t="s">
        <v>13</v>
      </c>
      <c r="H22" s="35">
        <v>35575473880</v>
      </c>
      <c r="I22" s="35" t="s">
        <v>275</v>
      </c>
      <c r="J22" s="36"/>
      <c r="K22" s="35" t="s">
        <v>285</v>
      </c>
      <c r="L22" s="35" t="s">
        <v>276</v>
      </c>
      <c r="M22" s="35" t="s">
        <v>277</v>
      </c>
      <c r="N22" s="37" t="s">
        <v>297</v>
      </c>
      <c r="P22" s="35" t="s">
        <v>279</v>
      </c>
      <c r="Q22" s="35" t="s">
        <v>286</v>
      </c>
      <c r="R22" s="35" t="s">
        <v>280</v>
      </c>
      <c r="S22" s="35">
        <v>1</v>
      </c>
      <c r="T22" s="38"/>
      <c r="V22" s="39"/>
      <c r="W22" s="35">
        <v>0</v>
      </c>
      <c r="X22" s="39" t="s">
        <v>281</v>
      </c>
      <c r="Y22" s="39">
        <v>27.39</v>
      </c>
      <c r="AB22" s="53">
        <v>27.39</v>
      </c>
      <c r="AC22" s="35" t="s">
        <v>277</v>
      </c>
    </row>
    <row r="23" spans="1:29" x14ac:dyDescent="0.2">
      <c r="A23" s="48">
        <f t="shared" si="0"/>
        <v>2026</v>
      </c>
      <c r="B23" s="49" t="str">
        <f t="shared" si="1"/>
        <v>JUNHO</v>
      </c>
      <c r="C23" s="35">
        <v>85799387</v>
      </c>
      <c r="D23" s="35">
        <v>10657027</v>
      </c>
      <c r="E23" s="35" t="s">
        <v>298</v>
      </c>
      <c r="F23" s="36">
        <v>46203</v>
      </c>
      <c r="G23" s="35" t="s">
        <v>13</v>
      </c>
      <c r="H23" s="35">
        <v>35575473880</v>
      </c>
      <c r="I23" s="35" t="s">
        <v>299</v>
      </c>
      <c r="J23" s="36"/>
      <c r="K23" s="35" t="s">
        <v>285</v>
      </c>
      <c r="L23" s="35" t="s">
        <v>276</v>
      </c>
      <c r="M23" s="35" t="s">
        <v>277</v>
      </c>
      <c r="N23" s="37" t="s">
        <v>278</v>
      </c>
      <c r="P23" s="35" t="s">
        <v>279</v>
      </c>
      <c r="Q23" s="35" t="s">
        <v>286</v>
      </c>
      <c r="R23" s="35" t="s">
        <v>280</v>
      </c>
      <c r="S23" s="35">
        <v>1</v>
      </c>
      <c r="T23" s="38"/>
      <c r="V23" s="39"/>
      <c r="X23" s="39" t="s">
        <v>281</v>
      </c>
      <c r="Y23" s="39">
        <v>125</v>
      </c>
      <c r="AB23" s="53">
        <v>125</v>
      </c>
      <c r="AC23" s="35" t="s">
        <v>277</v>
      </c>
    </row>
    <row r="24" spans="1:29" x14ac:dyDescent="0.2">
      <c r="A24" s="48">
        <f t="shared" si="0"/>
        <v>2026</v>
      </c>
      <c r="B24" s="49" t="str">
        <f t="shared" si="1"/>
        <v>JUNHO</v>
      </c>
      <c r="C24" s="35">
        <v>85718404</v>
      </c>
      <c r="D24" s="35">
        <v>10657027</v>
      </c>
      <c r="E24" s="35" t="s">
        <v>298</v>
      </c>
      <c r="F24" s="36">
        <v>46203</v>
      </c>
      <c r="G24" s="35" t="s">
        <v>13</v>
      </c>
      <c r="H24" s="35">
        <v>35575473880</v>
      </c>
      <c r="I24" s="35" t="s">
        <v>299</v>
      </c>
      <c r="J24" s="36"/>
      <c r="K24" s="35" t="s">
        <v>285</v>
      </c>
      <c r="L24" s="35" t="s">
        <v>276</v>
      </c>
      <c r="M24" s="35" t="s">
        <v>277</v>
      </c>
      <c r="N24" s="37" t="s">
        <v>278</v>
      </c>
      <c r="P24" s="35" t="s">
        <v>279</v>
      </c>
      <c r="Q24" s="35" t="s">
        <v>286</v>
      </c>
      <c r="R24" s="35" t="s">
        <v>280</v>
      </c>
      <c r="S24" s="35">
        <v>1</v>
      </c>
      <c r="T24" s="38"/>
      <c r="V24" s="39"/>
      <c r="X24" s="39" t="s">
        <v>281</v>
      </c>
      <c r="Y24" s="39">
        <v>14.99</v>
      </c>
      <c r="AB24" s="53">
        <v>14.99</v>
      </c>
      <c r="AC24" s="35" t="s">
        <v>277</v>
      </c>
    </row>
    <row r="25" spans="1:29" x14ac:dyDescent="0.2">
      <c r="A25" s="48">
        <f t="shared" si="0"/>
        <v>2026</v>
      </c>
      <c r="B25" s="49" t="str">
        <f t="shared" si="1"/>
        <v>JUNHO</v>
      </c>
      <c r="C25" s="35">
        <v>86057174</v>
      </c>
      <c r="D25" s="35">
        <v>10657027</v>
      </c>
      <c r="E25" s="35" t="s">
        <v>298</v>
      </c>
      <c r="F25" s="36">
        <v>46202</v>
      </c>
      <c r="G25" s="35" t="s">
        <v>13</v>
      </c>
      <c r="H25" s="35">
        <v>35575473880</v>
      </c>
      <c r="I25" s="35" t="s">
        <v>299</v>
      </c>
      <c r="J25" s="36"/>
      <c r="K25" s="35" t="s">
        <v>289</v>
      </c>
      <c r="L25" s="35" t="s">
        <v>282</v>
      </c>
      <c r="M25" s="35" t="s">
        <v>277</v>
      </c>
      <c r="N25" s="37" t="s">
        <v>289</v>
      </c>
      <c r="P25" s="35" t="s">
        <v>279</v>
      </c>
      <c r="Q25" s="35" t="s">
        <v>300</v>
      </c>
      <c r="R25" s="35" t="s">
        <v>280</v>
      </c>
      <c r="S25" s="35">
        <v>1</v>
      </c>
      <c r="T25" s="38"/>
      <c r="V25" s="39"/>
      <c r="X25" s="39" t="s">
        <v>281</v>
      </c>
      <c r="Y25" s="39">
        <v>8</v>
      </c>
      <c r="AB25" s="53">
        <v>8</v>
      </c>
      <c r="AC25" s="35" t="s">
        <v>277</v>
      </c>
    </row>
    <row r="26" spans="1:29" x14ac:dyDescent="0.2">
      <c r="A26" s="48">
        <f t="shared" si="0"/>
        <v>2026</v>
      </c>
      <c r="B26" s="49" t="str">
        <f t="shared" si="1"/>
        <v>JUNHO</v>
      </c>
      <c r="C26" s="35">
        <v>85799326</v>
      </c>
      <c r="D26" s="35">
        <v>10657027</v>
      </c>
      <c r="E26" s="35" t="s">
        <v>298</v>
      </c>
      <c r="F26" s="36">
        <v>46202</v>
      </c>
      <c r="G26" s="35" t="s">
        <v>13</v>
      </c>
      <c r="H26" s="35">
        <v>35575473880</v>
      </c>
      <c r="I26" s="35" t="s">
        <v>299</v>
      </c>
      <c r="J26" s="36"/>
      <c r="K26" s="35" t="s">
        <v>285</v>
      </c>
      <c r="L26" s="35" t="s">
        <v>276</v>
      </c>
      <c r="M26" s="35" t="s">
        <v>277</v>
      </c>
      <c r="N26" s="37" t="s">
        <v>278</v>
      </c>
      <c r="P26" s="35" t="s">
        <v>279</v>
      </c>
      <c r="Q26" s="35" t="s">
        <v>286</v>
      </c>
      <c r="R26" s="35" t="s">
        <v>280</v>
      </c>
      <c r="S26" s="35">
        <v>1</v>
      </c>
      <c r="T26" s="38"/>
      <c r="V26" s="39"/>
      <c r="X26" s="39" t="s">
        <v>281</v>
      </c>
      <c r="Y26" s="39">
        <v>69</v>
      </c>
      <c r="AB26" s="53">
        <v>69</v>
      </c>
      <c r="AC26" s="35" t="s">
        <v>277</v>
      </c>
    </row>
    <row r="27" spans="1:29" x14ac:dyDescent="0.2">
      <c r="A27" s="48">
        <f t="shared" si="0"/>
        <v>2026</v>
      </c>
      <c r="B27" s="49" t="str">
        <f t="shared" si="1"/>
        <v>JUNHO</v>
      </c>
      <c r="C27" s="35">
        <v>86056975</v>
      </c>
      <c r="D27" s="35">
        <v>10657027</v>
      </c>
      <c r="E27" s="35" t="s">
        <v>298</v>
      </c>
      <c r="F27" s="36">
        <v>46201</v>
      </c>
      <c r="G27" s="35" t="s">
        <v>13</v>
      </c>
      <c r="H27" s="35">
        <v>35575473880</v>
      </c>
      <c r="I27" s="35" t="s">
        <v>299</v>
      </c>
      <c r="J27" s="36"/>
      <c r="K27" s="35" t="s">
        <v>301</v>
      </c>
      <c r="L27" s="35" t="s">
        <v>276</v>
      </c>
      <c r="M27" s="35" t="s">
        <v>277</v>
      </c>
      <c r="N27" s="37" t="s">
        <v>302</v>
      </c>
      <c r="P27" s="35" t="s">
        <v>279</v>
      </c>
      <c r="Q27" s="35" t="s">
        <v>300</v>
      </c>
      <c r="R27" s="35" t="s">
        <v>280</v>
      </c>
      <c r="S27" s="35">
        <v>1</v>
      </c>
      <c r="T27" s="38"/>
      <c r="V27" s="39"/>
      <c r="X27" s="39" t="s">
        <v>281</v>
      </c>
      <c r="Y27" s="39">
        <v>23.4</v>
      </c>
      <c r="AB27" s="53">
        <v>23.4</v>
      </c>
      <c r="AC27" s="35" t="s">
        <v>277</v>
      </c>
    </row>
    <row r="28" spans="1:29" x14ac:dyDescent="0.2">
      <c r="A28" s="48">
        <f t="shared" si="0"/>
        <v>2026</v>
      </c>
      <c r="B28" s="49" t="str">
        <f t="shared" si="1"/>
        <v>JUNHO</v>
      </c>
      <c r="C28" s="35">
        <v>86056713</v>
      </c>
      <c r="D28" s="35">
        <v>10657027</v>
      </c>
      <c r="E28" s="35" t="s">
        <v>298</v>
      </c>
      <c r="F28" s="36">
        <v>46199</v>
      </c>
      <c r="G28" s="35" t="s">
        <v>13</v>
      </c>
      <c r="H28" s="35">
        <v>35575473880</v>
      </c>
      <c r="I28" s="35" t="s">
        <v>299</v>
      </c>
      <c r="J28" s="36"/>
      <c r="K28" s="35" t="s">
        <v>303</v>
      </c>
      <c r="L28" s="35" t="s">
        <v>276</v>
      </c>
      <c r="M28" s="35" t="s">
        <v>277</v>
      </c>
      <c r="N28" s="37" t="s">
        <v>304</v>
      </c>
      <c r="P28" s="35" t="s">
        <v>279</v>
      </c>
      <c r="Q28" s="35" t="s">
        <v>300</v>
      </c>
      <c r="R28" s="35" t="s">
        <v>280</v>
      </c>
      <c r="S28" s="35">
        <v>1</v>
      </c>
      <c r="T28" s="38"/>
      <c r="V28" s="39"/>
      <c r="X28" s="39" t="s">
        <v>281</v>
      </c>
      <c r="Y28" s="39">
        <v>42.66</v>
      </c>
      <c r="AB28" s="53">
        <v>42.66</v>
      </c>
      <c r="AC28" s="35" t="s">
        <v>277</v>
      </c>
    </row>
    <row r="29" spans="1:29" x14ac:dyDescent="0.2">
      <c r="A29" s="48">
        <f t="shared" si="0"/>
        <v>2026</v>
      </c>
      <c r="B29" s="49" t="str">
        <f t="shared" si="1"/>
        <v>JUNHO</v>
      </c>
      <c r="C29" s="35">
        <v>85799448</v>
      </c>
      <c r="D29" s="35">
        <v>10657027</v>
      </c>
      <c r="E29" s="35" t="s">
        <v>298</v>
      </c>
      <c r="F29" s="36">
        <v>46198</v>
      </c>
      <c r="G29" s="35" t="s">
        <v>13</v>
      </c>
      <c r="H29" s="35">
        <v>35575473880</v>
      </c>
      <c r="I29" s="35" t="s">
        <v>299</v>
      </c>
      <c r="J29" s="36"/>
      <c r="K29" s="35" t="s">
        <v>285</v>
      </c>
      <c r="L29" s="35" t="s">
        <v>276</v>
      </c>
      <c r="M29" s="35" t="s">
        <v>277</v>
      </c>
      <c r="N29" s="37" t="s">
        <v>278</v>
      </c>
      <c r="P29" s="35" t="s">
        <v>279</v>
      </c>
      <c r="Q29" s="35" t="s">
        <v>286</v>
      </c>
      <c r="R29" s="35" t="s">
        <v>280</v>
      </c>
      <c r="S29" s="35">
        <v>1</v>
      </c>
      <c r="T29" s="38"/>
      <c r="V29" s="39"/>
      <c r="X29" s="39" t="s">
        <v>281</v>
      </c>
      <c r="Y29" s="39">
        <v>14.4</v>
      </c>
      <c r="AB29" s="53">
        <v>14.4</v>
      </c>
      <c r="AC29" s="35" t="s">
        <v>277</v>
      </c>
    </row>
    <row r="30" spans="1:29" x14ac:dyDescent="0.2">
      <c r="A30" s="48">
        <f t="shared" si="0"/>
        <v>2026</v>
      </c>
      <c r="B30" s="49" t="str">
        <f t="shared" si="1"/>
        <v>JUNHO</v>
      </c>
      <c r="C30" s="35">
        <v>85799274</v>
      </c>
      <c r="D30" s="35">
        <v>10657027</v>
      </c>
      <c r="E30" s="35" t="s">
        <v>298</v>
      </c>
      <c r="F30" s="36">
        <v>46195</v>
      </c>
      <c r="G30" s="35" t="s">
        <v>13</v>
      </c>
      <c r="H30" s="35">
        <v>35575473880</v>
      </c>
      <c r="I30" s="35" t="s">
        <v>299</v>
      </c>
      <c r="J30" s="36"/>
      <c r="K30" s="35" t="s">
        <v>285</v>
      </c>
      <c r="L30" s="35" t="s">
        <v>276</v>
      </c>
      <c r="M30" s="35" t="s">
        <v>277</v>
      </c>
      <c r="N30" s="37" t="s">
        <v>278</v>
      </c>
      <c r="P30" s="35" t="s">
        <v>279</v>
      </c>
      <c r="Q30" s="35" t="s">
        <v>286</v>
      </c>
      <c r="R30" s="35" t="s">
        <v>280</v>
      </c>
      <c r="S30" s="35">
        <v>1</v>
      </c>
      <c r="T30" s="38"/>
      <c r="V30" s="39"/>
      <c r="X30" s="39" t="s">
        <v>281</v>
      </c>
      <c r="Y30" s="39">
        <v>49.9</v>
      </c>
      <c r="AB30" s="53">
        <v>49.9</v>
      </c>
      <c r="AC30" s="35" t="s">
        <v>277</v>
      </c>
    </row>
    <row r="31" spans="1:29" x14ac:dyDescent="0.2">
      <c r="A31" s="48">
        <f t="shared" si="0"/>
        <v>2026</v>
      </c>
      <c r="B31" s="49" t="str">
        <f t="shared" si="1"/>
        <v>JUNHO</v>
      </c>
      <c r="C31" s="35">
        <v>85325892</v>
      </c>
      <c r="D31" s="35">
        <v>10657027</v>
      </c>
      <c r="E31" s="35" t="s">
        <v>298</v>
      </c>
      <c r="F31" s="36">
        <v>46190</v>
      </c>
      <c r="G31" s="35" t="s">
        <v>13</v>
      </c>
      <c r="H31" s="35">
        <v>35575473880</v>
      </c>
      <c r="I31" s="35" t="s">
        <v>299</v>
      </c>
      <c r="J31" s="36"/>
      <c r="K31" s="35" t="s">
        <v>285</v>
      </c>
      <c r="L31" s="35" t="s">
        <v>276</v>
      </c>
      <c r="M31" s="35" t="s">
        <v>277</v>
      </c>
      <c r="N31" s="37" t="s">
        <v>278</v>
      </c>
      <c r="P31" s="35" t="s">
        <v>279</v>
      </c>
      <c r="Q31" s="35" t="s">
        <v>286</v>
      </c>
      <c r="R31" s="35" t="s">
        <v>280</v>
      </c>
      <c r="S31" s="35">
        <v>1</v>
      </c>
      <c r="T31" s="38"/>
      <c r="V31" s="39"/>
      <c r="X31" s="39" t="s">
        <v>281</v>
      </c>
      <c r="Y31" s="39">
        <v>39</v>
      </c>
      <c r="AB31" s="53">
        <v>39</v>
      </c>
      <c r="AC31" s="35" t="s">
        <v>277</v>
      </c>
    </row>
    <row r="32" spans="1:29" x14ac:dyDescent="0.2">
      <c r="A32" s="48">
        <f t="shared" si="0"/>
        <v>2026</v>
      </c>
      <c r="B32" s="49" t="str">
        <f t="shared" si="1"/>
        <v>JUNHO</v>
      </c>
      <c r="C32" s="35">
        <v>85325789</v>
      </c>
      <c r="D32" s="35">
        <v>10657027</v>
      </c>
      <c r="E32" s="35" t="s">
        <v>298</v>
      </c>
      <c r="F32" s="36">
        <v>46183</v>
      </c>
      <c r="G32" s="35" t="s">
        <v>13</v>
      </c>
      <c r="H32" s="35">
        <v>35575473880</v>
      </c>
      <c r="I32" s="35" t="s">
        <v>299</v>
      </c>
      <c r="J32" s="36"/>
      <c r="K32" s="35" t="s">
        <v>285</v>
      </c>
      <c r="L32" s="35" t="s">
        <v>276</v>
      </c>
      <c r="M32" s="35" t="s">
        <v>277</v>
      </c>
      <c r="N32" s="37" t="s">
        <v>278</v>
      </c>
      <c r="P32" s="35" t="s">
        <v>279</v>
      </c>
      <c r="Q32" s="35" t="s">
        <v>286</v>
      </c>
      <c r="R32" s="35" t="s">
        <v>280</v>
      </c>
      <c r="S32" s="35">
        <v>1</v>
      </c>
      <c r="T32" s="38"/>
      <c r="V32" s="39"/>
      <c r="X32" s="39" t="s">
        <v>281</v>
      </c>
      <c r="Y32" s="39">
        <v>36</v>
      </c>
      <c r="AB32" s="53">
        <v>36</v>
      </c>
      <c r="AC32" s="35" t="s">
        <v>277</v>
      </c>
    </row>
    <row r="33" spans="1:29" x14ac:dyDescent="0.2">
      <c r="A33" s="48">
        <f t="shared" si="0"/>
        <v>2026</v>
      </c>
      <c r="B33" s="49" t="str">
        <f t="shared" si="1"/>
        <v>JUNHO</v>
      </c>
      <c r="C33" s="35">
        <v>84256192</v>
      </c>
      <c r="D33" s="35">
        <v>10657027</v>
      </c>
      <c r="E33" s="35" t="s">
        <v>298</v>
      </c>
      <c r="F33" s="36">
        <v>46182</v>
      </c>
      <c r="G33" s="35" t="s">
        <v>13</v>
      </c>
      <c r="H33" s="35">
        <v>35575473880</v>
      </c>
      <c r="I33" s="35" t="s">
        <v>299</v>
      </c>
      <c r="J33" s="36"/>
      <c r="K33" s="35" t="s">
        <v>285</v>
      </c>
      <c r="L33" s="35" t="s">
        <v>276</v>
      </c>
      <c r="M33" s="35" t="s">
        <v>277</v>
      </c>
      <c r="N33" s="37" t="s">
        <v>305</v>
      </c>
      <c r="P33" s="35" t="s">
        <v>279</v>
      </c>
      <c r="Q33" s="35" t="s">
        <v>286</v>
      </c>
      <c r="R33" s="35" t="s">
        <v>280</v>
      </c>
      <c r="S33" s="35">
        <v>1</v>
      </c>
      <c r="T33" s="38"/>
      <c r="V33" s="39"/>
      <c r="X33" s="39" t="s">
        <v>281</v>
      </c>
      <c r="Y33" s="39">
        <v>75.94</v>
      </c>
      <c r="AB33" s="53">
        <v>75.94</v>
      </c>
      <c r="AC33" s="35" t="s">
        <v>277</v>
      </c>
    </row>
    <row r="34" spans="1:29" x14ac:dyDescent="0.2">
      <c r="A34" s="48">
        <f t="shared" si="0"/>
        <v>2026</v>
      </c>
      <c r="B34" s="49" t="str">
        <f t="shared" si="1"/>
        <v>JUNHO</v>
      </c>
      <c r="C34" s="35">
        <v>85342217</v>
      </c>
      <c r="D34" s="35">
        <v>10657027</v>
      </c>
      <c r="E34" s="35" t="s">
        <v>298</v>
      </c>
      <c r="F34" s="36">
        <v>46174</v>
      </c>
      <c r="G34" s="35" t="s">
        <v>13</v>
      </c>
      <c r="H34" s="35">
        <v>35575473880</v>
      </c>
      <c r="I34" s="35" t="s">
        <v>299</v>
      </c>
      <c r="J34" s="36"/>
      <c r="K34" s="35" t="s">
        <v>291</v>
      </c>
      <c r="L34" s="35" t="s">
        <v>282</v>
      </c>
      <c r="M34" s="35" t="s">
        <v>277</v>
      </c>
      <c r="N34" s="37" t="s">
        <v>278</v>
      </c>
      <c r="P34" s="35" t="s">
        <v>279</v>
      </c>
      <c r="Q34" s="35" t="s">
        <v>286</v>
      </c>
      <c r="R34" s="35" t="s">
        <v>280</v>
      </c>
      <c r="S34" s="35">
        <v>1</v>
      </c>
      <c r="T34" s="38"/>
      <c r="V34" s="39"/>
      <c r="X34" s="39" t="s">
        <v>281</v>
      </c>
      <c r="Y34" s="39">
        <v>217.3</v>
      </c>
      <c r="AB34" s="53">
        <v>217.3</v>
      </c>
      <c r="AC34" s="35" t="s">
        <v>277</v>
      </c>
    </row>
    <row r="35" spans="1:29" x14ac:dyDescent="0.2">
      <c r="A35" s="48">
        <f t="shared" si="0"/>
        <v>2026</v>
      </c>
      <c r="B35" s="49" t="str">
        <f t="shared" si="1"/>
        <v>JUNHO</v>
      </c>
      <c r="C35" s="35">
        <v>84206202</v>
      </c>
      <c r="D35" s="35">
        <v>10657027</v>
      </c>
      <c r="E35" s="35" t="s">
        <v>298</v>
      </c>
      <c r="F35" s="36">
        <v>46174</v>
      </c>
      <c r="G35" s="35" t="s">
        <v>13</v>
      </c>
      <c r="H35" s="35">
        <v>35575473880</v>
      </c>
      <c r="I35" s="35" t="s">
        <v>299</v>
      </c>
      <c r="J35" s="36"/>
      <c r="K35" s="35" t="s">
        <v>306</v>
      </c>
      <c r="L35" s="35" t="s">
        <v>282</v>
      </c>
      <c r="M35" s="35" t="s">
        <v>277</v>
      </c>
      <c r="N35" s="37" t="s">
        <v>278</v>
      </c>
      <c r="P35" s="35" t="s">
        <v>279</v>
      </c>
      <c r="Q35" s="35" t="s">
        <v>286</v>
      </c>
      <c r="R35" s="35" t="s">
        <v>280</v>
      </c>
      <c r="S35" s="35">
        <v>1</v>
      </c>
      <c r="T35" s="38"/>
      <c r="V35" s="39"/>
      <c r="X35" s="39" t="s">
        <v>281</v>
      </c>
      <c r="Y35" s="39">
        <v>141.80000000000001</v>
      </c>
      <c r="AB35" s="53">
        <v>141.80000000000001</v>
      </c>
      <c r="AC35" s="35" t="s">
        <v>277</v>
      </c>
    </row>
    <row r="36" spans="1:29" x14ac:dyDescent="0.2">
      <c r="A36" s="48">
        <f t="shared" si="0"/>
        <v>2026</v>
      </c>
      <c r="B36" s="49" t="str">
        <f t="shared" si="1"/>
        <v>MAIO</v>
      </c>
      <c r="C36" s="35">
        <v>84181924</v>
      </c>
      <c r="D36" s="35">
        <v>10424271</v>
      </c>
      <c r="E36" s="35" t="s">
        <v>307</v>
      </c>
      <c r="F36" s="36">
        <v>46170</v>
      </c>
      <c r="G36" s="35" t="s">
        <v>13</v>
      </c>
      <c r="H36" s="35">
        <v>35575473880</v>
      </c>
      <c r="I36" s="35" t="s">
        <v>299</v>
      </c>
      <c r="J36" s="36"/>
      <c r="K36" s="35" t="s">
        <v>285</v>
      </c>
      <c r="L36" s="35" t="s">
        <v>276</v>
      </c>
      <c r="M36" s="35" t="s">
        <v>277</v>
      </c>
      <c r="N36" s="37" t="s">
        <v>278</v>
      </c>
      <c r="P36" s="35" t="s">
        <v>279</v>
      </c>
      <c r="Q36" s="35" t="s">
        <v>286</v>
      </c>
      <c r="R36" s="35" t="s">
        <v>280</v>
      </c>
      <c r="S36" s="35">
        <v>1</v>
      </c>
      <c r="T36" s="38"/>
      <c r="V36" s="39"/>
      <c r="X36" s="39" t="s">
        <v>281</v>
      </c>
      <c r="Y36" s="39">
        <v>29.99</v>
      </c>
      <c r="AB36" s="53">
        <v>29.99</v>
      </c>
      <c r="AC36" s="35" t="s">
        <v>277</v>
      </c>
    </row>
    <row r="37" spans="1:29" x14ac:dyDescent="0.2">
      <c r="A37" s="48">
        <f t="shared" si="0"/>
        <v>2026</v>
      </c>
      <c r="B37" s="49" t="str">
        <f t="shared" si="1"/>
        <v>MAIO</v>
      </c>
      <c r="C37" s="35">
        <v>84184106</v>
      </c>
      <c r="D37" s="35">
        <v>10424271</v>
      </c>
      <c r="E37" s="35" t="s">
        <v>307</v>
      </c>
      <c r="F37" s="36">
        <v>46169</v>
      </c>
      <c r="G37" s="35" t="s">
        <v>13</v>
      </c>
      <c r="H37" s="35">
        <v>35575473880</v>
      </c>
      <c r="I37" s="35" t="s">
        <v>299</v>
      </c>
      <c r="J37" s="36"/>
      <c r="K37" s="35" t="s">
        <v>285</v>
      </c>
      <c r="L37" s="35" t="s">
        <v>276</v>
      </c>
      <c r="M37" s="35" t="s">
        <v>277</v>
      </c>
      <c r="N37" s="37" t="s">
        <v>278</v>
      </c>
      <c r="P37" s="35" t="s">
        <v>279</v>
      </c>
      <c r="Q37" s="35" t="s">
        <v>286</v>
      </c>
      <c r="R37" s="35" t="s">
        <v>280</v>
      </c>
      <c r="S37" s="35">
        <v>1</v>
      </c>
      <c r="T37" s="38"/>
      <c r="V37" s="39"/>
      <c r="X37" s="39" t="s">
        <v>281</v>
      </c>
      <c r="Y37" s="39">
        <v>8.5</v>
      </c>
      <c r="AB37" s="53">
        <v>8.5</v>
      </c>
      <c r="AC37" s="35" t="s">
        <v>277</v>
      </c>
    </row>
    <row r="38" spans="1:29" x14ac:dyDescent="0.2">
      <c r="A38" s="48">
        <f t="shared" si="0"/>
        <v>2026</v>
      </c>
      <c r="B38" s="49" t="str">
        <f t="shared" si="1"/>
        <v>MAIO</v>
      </c>
      <c r="C38" s="35">
        <v>84183714</v>
      </c>
      <c r="D38" s="35">
        <v>10424271</v>
      </c>
      <c r="E38" s="35" t="s">
        <v>307</v>
      </c>
      <c r="F38" s="36">
        <v>46169</v>
      </c>
      <c r="G38" s="35" t="s">
        <v>13</v>
      </c>
      <c r="H38" s="35">
        <v>35575473880</v>
      </c>
      <c r="I38" s="35" t="s">
        <v>299</v>
      </c>
      <c r="J38" s="36"/>
      <c r="K38" s="35" t="s">
        <v>285</v>
      </c>
      <c r="L38" s="35" t="s">
        <v>276</v>
      </c>
      <c r="M38" s="35" t="s">
        <v>277</v>
      </c>
      <c r="N38" s="37" t="s">
        <v>278</v>
      </c>
      <c r="P38" s="35" t="s">
        <v>279</v>
      </c>
      <c r="Q38" s="35" t="s">
        <v>286</v>
      </c>
      <c r="R38" s="35" t="s">
        <v>280</v>
      </c>
      <c r="S38" s="35">
        <v>1</v>
      </c>
      <c r="T38" s="38"/>
      <c r="V38" s="39"/>
      <c r="X38" s="39" t="s">
        <v>281</v>
      </c>
      <c r="Y38" s="39">
        <v>69.900000000000006</v>
      </c>
      <c r="AB38" s="53">
        <v>69.900000000000006</v>
      </c>
      <c r="AC38" s="35" t="s">
        <v>277</v>
      </c>
    </row>
    <row r="39" spans="1:29" x14ac:dyDescent="0.2">
      <c r="A39" s="48">
        <f t="shared" si="0"/>
        <v>2026</v>
      </c>
      <c r="B39" s="49" t="str">
        <f t="shared" si="1"/>
        <v>MAIO</v>
      </c>
      <c r="C39" s="35">
        <v>84181798</v>
      </c>
      <c r="D39" s="35">
        <v>10424271</v>
      </c>
      <c r="E39" s="35" t="s">
        <v>307</v>
      </c>
      <c r="F39" s="36">
        <v>46167</v>
      </c>
      <c r="G39" s="35" t="s">
        <v>13</v>
      </c>
      <c r="H39" s="35">
        <v>35575473880</v>
      </c>
      <c r="I39" s="35" t="s">
        <v>299</v>
      </c>
      <c r="J39" s="36"/>
      <c r="K39" s="35" t="s">
        <v>285</v>
      </c>
      <c r="L39" s="35" t="s">
        <v>276</v>
      </c>
      <c r="M39" s="35" t="s">
        <v>277</v>
      </c>
      <c r="N39" s="37" t="s">
        <v>278</v>
      </c>
      <c r="P39" s="35" t="s">
        <v>279</v>
      </c>
      <c r="Q39" s="35" t="s">
        <v>286</v>
      </c>
      <c r="R39" s="35" t="s">
        <v>280</v>
      </c>
      <c r="S39" s="35">
        <v>1</v>
      </c>
      <c r="T39" s="38"/>
      <c r="V39" s="39"/>
      <c r="X39" s="39" t="s">
        <v>281</v>
      </c>
      <c r="Y39" s="39">
        <v>18.899999999999999</v>
      </c>
      <c r="AB39" s="53">
        <v>18.899999999999999</v>
      </c>
      <c r="AC39" s="35" t="s">
        <v>277</v>
      </c>
    </row>
    <row r="40" spans="1:29" x14ac:dyDescent="0.2">
      <c r="A40" s="48">
        <f t="shared" si="0"/>
        <v>2026</v>
      </c>
      <c r="B40" s="49" t="str">
        <f t="shared" si="1"/>
        <v>MAIO</v>
      </c>
      <c r="C40" s="35">
        <v>84183923</v>
      </c>
      <c r="D40" s="35">
        <v>10424271</v>
      </c>
      <c r="E40" s="35" t="s">
        <v>307</v>
      </c>
      <c r="F40" s="36">
        <v>46161</v>
      </c>
      <c r="G40" s="35" t="s">
        <v>13</v>
      </c>
      <c r="H40" s="35">
        <v>35575473880</v>
      </c>
      <c r="I40" s="35" t="s">
        <v>299</v>
      </c>
      <c r="J40" s="36"/>
      <c r="K40" s="35" t="s">
        <v>285</v>
      </c>
      <c r="L40" s="35" t="s">
        <v>276</v>
      </c>
      <c r="M40" s="35" t="s">
        <v>277</v>
      </c>
      <c r="N40" s="37" t="s">
        <v>278</v>
      </c>
      <c r="P40" s="35" t="s">
        <v>279</v>
      </c>
      <c r="Q40" s="35" t="s">
        <v>286</v>
      </c>
      <c r="R40" s="35" t="s">
        <v>280</v>
      </c>
      <c r="S40" s="35">
        <v>1</v>
      </c>
      <c r="T40" s="38"/>
      <c r="V40" s="39"/>
      <c r="X40" s="39" t="s">
        <v>281</v>
      </c>
      <c r="Y40" s="39">
        <v>125</v>
      </c>
      <c r="AB40" s="53">
        <v>125</v>
      </c>
      <c r="AC40" s="35" t="s">
        <v>277</v>
      </c>
    </row>
    <row r="41" spans="1:29" x14ac:dyDescent="0.2">
      <c r="A41" s="48">
        <f t="shared" si="0"/>
        <v>2026</v>
      </c>
      <c r="B41" s="49" t="str">
        <f t="shared" si="1"/>
        <v>MAIO</v>
      </c>
      <c r="C41" s="35">
        <v>82900223</v>
      </c>
      <c r="D41" s="35">
        <v>10424271</v>
      </c>
      <c r="E41" s="35" t="s">
        <v>307</v>
      </c>
      <c r="F41" s="36">
        <v>46161</v>
      </c>
      <c r="G41" s="35" t="s">
        <v>13</v>
      </c>
      <c r="H41" s="35">
        <v>35575473880</v>
      </c>
      <c r="I41" s="35" t="s">
        <v>299</v>
      </c>
      <c r="J41" s="36"/>
      <c r="K41" s="35" t="s">
        <v>285</v>
      </c>
      <c r="L41" s="35" t="s">
        <v>276</v>
      </c>
      <c r="M41" s="35" t="s">
        <v>277</v>
      </c>
      <c r="N41" s="37" t="s">
        <v>278</v>
      </c>
      <c r="P41" s="35" t="s">
        <v>279</v>
      </c>
      <c r="Q41" s="35" t="s">
        <v>286</v>
      </c>
      <c r="R41" s="35" t="s">
        <v>280</v>
      </c>
      <c r="S41" s="35">
        <v>1</v>
      </c>
      <c r="T41" s="38"/>
      <c r="V41" s="39"/>
      <c r="X41" s="39" t="s">
        <v>281</v>
      </c>
      <c r="Y41" s="39">
        <v>13</v>
      </c>
      <c r="AB41" s="53">
        <v>13</v>
      </c>
      <c r="AC41" s="35" t="s">
        <v>277</v>
      </c>
    </row>
    <row r="42" spans="1:29" x14ac:dyDescent="0.2">
      <c r="A42" s="48">
        <f t="shared" si="0"/>
        <v>2026</v>
      </c>
      <c r="B42" s="49" t="str">
        <f t="shared" si="1"/>
        <v>MAIO</v>
      </c>
      <c r="C42" s="35">
        <v>84181468</v>
      </c>
      <c r="D42" s="35">
        <v>10424271</v>
      </c>
      <c r="E42" s="35" t="s">
        <v>307</v>
      </c>
      <c r="F42" s="36">
        <v>46160</v>
      </c>
      <c r="G42" s="35" t="s">
        <v>13</v>
      </c>
      <c r="H42" s="35">
        <v>35575473880</v>
      </c>
      <c r="I42" s="35" t="s">
        <v>299</v>
      </c>
      <c r="J42" s="36"/>
      <c r="K42" s="35" t="s">
        <v>285</v>
      </c>
      <c r="L42" s="35" t="s">
        <v>276</v>
      </c>
      <c r="M42" s="35" t="s">
        <v>277</v>
      </c>
      <c r="N42" s="37" t="s">
        <v>278</v>
      </c>
      <c r="P42" s="35" t="s">
        <v>279</v>
      </c>
      <c r="Q42" s="35" t="s">
        <v>286</v>
      </c>
      <c r="R42" s="35" t="s">
        <v>280</v>
      </c>
      <c r="S42" s="35">
        <v>1</v>
      </c>
      <c r="T42" s="38"/>
      <c r="V42" s="39"/>
      <c r="X42" s="39" t="s">
        <v>281</v>
      </c>
      <c r="Y42" s="39">
        <v>54.11</v>
      </c>
      <c r="AB42" s="53">
        <v>54.11</v>
      </c>
      <c r="AC42" s="35" t="s">
        <v>277</v>
      </c>
    </row>
    <row r="43" spans="1:29" x14ac:dyDescent="0.2">
      <c r="A43" s="48">
        <f t="shared" si="0"/>
        <v>2026</v>
      </c>
      <c r="B43" s="49" t="str">
        <f t="shared" si="1"/>
        <v>MAIO</v>
      </c>
      <c r="C43" s="35">
        <v>82637728</v>
      </c>
      <c r="D43" s="35">
        <v>10424271</v>
      </c>
      <c r="E43" s="35" t="s">
        <v>307</v>
      </c>
      <c r="F43" s="36">
        <v>46157</v>
      </c>
      <c r="G43" s="35" t="s">
        <v>13</v>
      </c>
      <c r="H43" s="35">
        <v>35575473880</v>
      </c>
      <c r="I43" s="35" t="s">
        <v>299</v>
      </c>
      <c r="J43" s="36"/>
      <c r="K43" s="35" t="s">
        <v>285</v>
      </c>
      <c r="L43" s="35" t="s">
        <v>276</v>
      </c>
      <c r="M43" s="35" t="s">
        <v>277</v>
      </c>
      <c r="N43" s="37" t="s">
        <v>278</v>
      </c>
      <c r="P43" s="35" t="s">
        <v>279</v>
      </c>
      <c r="Q43" s="35" t="s">
        <v>286</v>
      </c>
      <c r="R43" s="35" t="s">
        <v>280</v>
      </c>
      <c r="S43" s="35">
        <v>1</v>
      </c>
      <c r="T43" s="38"/>
      <c r="V43" s="39"/>
      <c r="X43" s="39" t="s">
        <v>281</v>
      </c>
      <c r="Y43" s="39">
        <v>29.5</v>
      </c>
      <c r="AB43" s="53">
        <v>29.5</v>
      </c>
      <c r="AC43" s="35" t="s">
        <v>277</v>
      </c>
    </row>
    <row r="44" spans="1:29" x14ac:dyDescent="0.2">
      <c r="A44" s="48">
        <f t="shared" si="0"/>
        <v>2026</v>
      </c>
      <c r="B44" s="49" t="str">
        <f t="shared" si="1"/>
        <v>MAIO</v>
      </c>
      <c r="C44" s="35">
        <v>82637394</v>
      </c>
      <c r="D44" s="35">
        <v>10424271</v>
      </c>
      <c r="E44" s="35" t="s">
        <v>307</v>
      </c>
      <c r="F44" s="36">
        <v>46157</v>
      </c>
      <c r="G44" s="35" t="s">
        <v>13</v>
      </c>
      <c r="H44" s="35">
        <v>35575473880</v>
      </c>
      <c r="I44" s="35" t="s">
        <v>299</v>
      </c>
      <c r="J44" s="36"/>
      <c r="K44" s="35" t="s">
        <v>285</v>
      </c>
      <c r="L44" s="35" t="s">
        <v>276</v>
      </c>
      <c r="M44" s="35" t="s">
        <v>277</v>
      </c>
      <c r="N44" s="37" t="s">
        <v>278</v>
      </c>
      <c r="P44" s="35" t="s">
        <v>279</v>
      </c>
      <c r="Q44" s="35" t="s">
        <v>286</v>
      </c>
      <c r="R44" s="35" t="s">
        <v>280</v>
      </c>
      <c r="S44" s="35">
        <v>1</v>
      </c>
      <c r="T44" s="38"/>
      <c r="V44" s="39"/>
      <c r="X44" s="39" t="s">
        <v>281</v>
      </c>
      <c r="Y44" s="39">
        <v>19.899999999999999</v>
      </c>
      <c r="AB44" s="53">
        <v>19.899999999999999</v>
      </c>
      <c r="AC44" s="35" t="s">
        <v>277</v>
      </c>
    </row>
    <row r="45" spans="1:29" x14ac:dyDescent="0.2">
      <c r="A45" s="48">
        <f t="shared" si="0"/>
        <v>2026</v>
      </c>
      <c r="B45" s="49" t="str">
        <f t="shared" si="1"/>
        <v>MAIO</v>
      </c>
      <c r="C45" s="35">
        <v>82497040</v>
      </c>
      <c r="D45" s="35">
        <v>10424271</v>
      </c>
      <c r="E45" s="35" t="s">
        <v>307</v>
      </c>
      <c r="F45" s="36">
        <v>46157</v>
      </c>
      <c r="G45" s="35" t="s">
        <v>13</v>
      </c>
      <c r="H45" s="35">
        <v>35575473880</v>
      </c>
      <c r="I45" s="35" t="s">
        <v>299</v>
      </c>
      <c r="J45" s="36"/>
      <c r="K45" s="35" t="s">
        <v>285</v>
      </c>
      <c r="L45" s="35" t="s">
        <v>276</v>
      </c>
      <c r="M45" s="35" t="s">
        <v>277</v>
      </c>
      <c r="N45" s="37" t="s">
        <v>278</v>
      </c>
      <c r="P45" s="35" t="s">
        <v>279</v>
      </c>
      <c r="Q45" s="35" t="s">
        <v>286</v>
      </c>
      <c r="R45" s="35" t="s">
        <v>280</v>
      </c>
      <c r="S45" s="35">
        <v>1</v>
      </c>
      <c r="T45" s="38"/>
      <c r="V45" s="39"/>
      <c r="X45" s="39" t="s">
        <v>281</v>
      </c>
      <c r="Y45" s="39">
        <v>152.1</v>
      </c>
      <c r="AB45" s="53">
        <v>152.1</v>
      </c>
      <c r="AC45" s="35" t="s">
        <v>277</v>
      </c>
    </row>
    <row r="46" spans="1:29" x14ac:dyDescent="0.2">
      <c r="A46" s="48">
        <f t="shared" si="0"/>
        <v>2026</v>
      </c>
      <c r="B46" s="49" t="str">
        <f t="shared" si="1"/>
        <v>MAIO</v>
      </c>
      <c r="C46" s="35">
        <v>82900173</v>
      </c>
      <c r="D46" s="35">
        <v>10424271</v>
      </c>
      <c r="E46" s="35" t="s">
        <v>307</v>
      </c>
      <c r="F46" s="36">
        <v>46154</v>
      </c>
      <c r="G46" s="35" t="s">
        <v>13</v>
      </c>
      <c r="H46" s="35">
        <v>35575473880</v>
      </c>
      <c r="I46" s="35" t="s">
        <v>299</v>
      </c>
      <c r="J46" s="36"/>
      <c r="K46" s="35" t="s">
        <v>285</v>
      </c>
      <c r="L46" s="35" t="s">
        <v>276</v>
      </c>
      <c r="M46" s="35" t="s">
        <v>277</v>
      </c>
      <c r="N46" s="37" t="s">
        <v>278</v>
      </c>
      <c r="P46" s="35" t="s">
        <v>279</v>
      </c>
      <c r="Q46" s="35" t="s">
        <v>286</v>
      </c>
      <c r="R46" s="35" t="s">
        <v>280</v>
      </c>
      <c r="S46" s="35">
        <v>1</v>
      </c>
      <c r="T46" s="38"/>
      <c r="V46" s="39"/>
      <c r="X46" s="39" t="s">
        <v>281</v>
      </c>
      <c r="Y46" s="39">
        <v>5</v>
      </c>
      <c r="AB46" s="53">
        <v>5</v>
      </c>
      <c r="AC46" s="35" t="s">
        <v>277</v>
      </c>
    </row>
    <row r="47" spans="1:29" x14ac:dyDescent="0.2">
      <c r="A47" s="48">
        <f t="shared" si="0"/>
        <v>2026</v>
      </c>
      <c r="B47" s="49" t="str">
        <f t="shared" si="1"/>
        <v>MAIO</v>
      </c>
      <c r="C47" s="35">
        <v>82637078</v>
      </c>
      <c r="D47" s="35">
        <v>10424271</v>
      </c>
      <c r="E47" s="35" t="s">
        <v>307</v>
      </c>
      <c r="F47" s="36">
        <v>46154</v>
      </c>
      <c r="G47" s="35" t="s">
        <v>13</v>
      </c>
      <c r="H47" s="35">
        <v>35575473880</v>
      </c>
      <c r="I47" s="35" t="s">
        <v>299</v>
      </c>
      <c r="J47" s="36"/>
      <c r="K47" s="35" t="s">
        <v>285</v>
      </c>
      <c r="L47" s="35" t="s">
        <v>276</v>
      </c>
      <c r="M47" s="35" t="s">
        <v>277</v>
      </c>
      <c r="N47" s="37" t="s">
        <v>278</v>
      </c>
      <c r="P47" s="35" t="s">
        <v>279</v>
      </c>
      <c r="Q47" s="35" t="s">
        <v>286</v>
      </c>
      <c r="R47" s="35" t="s">
        <v>280</v>
      </c>
      <c r="S47" s="35">
        <v>1</v>
      </c>
      <c r="T47" s="38"/>
      <c r="V47" s="39"/>
      <c r="X47" s="39" t="s">
        <v>281</v>
      </c>
      <c r="Y47" s="39">
        <v>25</v>
      </c>
      <c r="AB47" s="53">
        <v>25</v>
      </c>
      <c r="AC47" s="35" t="s">
        <v>277</v>
      </c>
    </row>
    <row r="48" spans="1:29" x14ac:dyDescent="0.2">
      <c r="A48" s="48">
        <f t="shared" si="0"/>
        <v>2026</v>
      </c>
      <c r="B48" s="49" t="str">
        <f t="shared" si="1"/>
        <v>MAIO</v>
      </c>
      <c r="C48" s="35">
        <v>82496969</v>
      </c>
      <c r="D48" s="35">
        <v>10424271</v>
      </c>
      <c r="E48" s="35" t="s">
        <v>307</v>
      </c>
      <c r="F48" s="36">
        <v>46153</v>
      </c>
      <c r="G48" s="35" t="s">
        <v>13</v>
      </c>
      <c r="H48" s="35">
        <v>35575473880</v>
      </c>
      <c r="I48" s="35" t="s">
        <v>299</v>
      </c>
      <c r="J48" s="36"/>
      <c r="K48" s="35" t="s">
        <v>285</v>
      </c>
      <c r="L48" s="35" t="s">
        <v>276</v>
      </c>
      <c r="M48" s="35" t="s">
        <v>277</v>
      </c>
      <c r="N48" s="37" t="s">
        <v>278</v>
      </c>
      <c r="P48" s="35" t="s">
        <v>279</v>
      </c>
      <c r="Q48" s="35" t="s">
        <v>286</v>
      </c>
      <c r="R48" s="35" t="s">
        <v>280</v>
      </c>
      <c r="S48" s="35">
        <v>1</v>
      </c>
      <c r="T48" s="38"/>
      <c r="V48" s="39"/>
      <c r="X48" s="39" t="s">
        <v>281</v>
      </c>
      <c r="Y48" s="39">
        <v>6.9</v>
      </c>
      <c r="AB48" s="53">
        <v>6.9</v>
      </c>
      <c r="AC48" s="35" t="s">
        <v>277</v>
      </c>
    </row>
    <row r="49" spans="1:29" x14ac:dyDescent="0.2">
      <c r="A49" s="48">
        <f t="shared" si="0"/>
        <v>2026</v>
      </c>
      <c r="B49" s="49" t="str">
        <f t="shared" si="1"/>
        <v>MAIO</v>
      </c>
      <c r="C49" s="35">
        <v>82497143</v>
      </c>
      <c r="D49" s="35">
        <v>10424271</v>
      </c>
      <c r="E49" s="35" t="s">
        <v>307</v>
      </c>
      <c r="F49" s="36">
        <v>46151</v>
      </c>
      <c r="G49" s="35" t="s">
        <v>13</v>
      </c>
      <c r="H49" s="35">
        <v>35575473880</v>
      </c>
      <c r="I49" s="35" t="s">
        <v>299</v>
      </c>
      <c r="J49" s="36"/>
      <c r="K49" s="35" t="s">
        <v>285</v>
      </c>
      <c r="L49" s="35" t="s">
        <v>276</v>
      </c>
      <c r="M49" s="35" t="s">
        <v>277</v>
      </c>
      <c r="N49" s="37" t="s">
        <v>278</v>
      </c>
      <c r="P49" s="35" t="s">
        <v>279</v>
      </c>
      <c r="Q49" s="35" t="s">
        <v>286</v>
      </c>
      <c r="R49" s="35" t="s">
        <v>280</v>
      </c>
      <c r="S49" s="35">
        <v>1</v>
      </c>
      <c r="T49" s="38"/>
      <c r="V49" s="39"/>
      <c r="X49" s="39" t="s">
        <v>281</v>
      </c>
      <c r="Y49" s="39">
        <v>12</v>
      </c>
      <c r="AB49" s="53">
        <v>12</v>
      </c>
      <c r="AC49" s="35" t="s">
        <v>277</v>
      </c>
    </row>
    <row r="50" spans="1:29" x14ac:dyDescent="0.2">
      <c r="A50" s="48">
        <f t="shared" si="0"/>
        <v>2026</v>
      </c>
      <c r="B50" s="49" t="str">
        <f t="shared" si="1"/>
        <v>MAIO</v>
      </c>
      <c r="C50" s="35">
        <v>83160557</v>
      </c>
      <c r="D50" s="35">
        <v>10424271</v>
      </c>
      <c r="E50" s="35" t="s">
        <v>307</v>
      </c>
      <c r="F50" s="36">
        <v>46148</v>
      </c>
      <c r="G50" s="35" t="s">
        <v>13</v>
      </c>
      <c r="H50" s="35">
        <v>35575473880</v>
      </c>
      <c r="I50" s="35" t="s">
        <v>299</v>
      </c>
      <c r="J50" s="36"/>
      <c r="K50" s="35" t="s">
        <v>285</v>
      </c>
      <c r="L50" s="35" t="s">
        <v>276</v>
      </c>
      <c r="M50" s="35" t="s">
        <v>277</v>
      </c>
      <c r="N50" s="37" t="s">
        <v>278</v>
      </c>
      <c r="P50" s="35" t="s">
        <v>279</v>
      </c>
      <c r="Q50" s="35" t="s">
        <v>286</v>
      </c>
      <c r="R50" s="35" t="s">
        <v>280</v>
      </c>
      <c r="S50" s="35">
        <v>1</v>
      </c>
      <c r="T50" s="38"/>
      <c r="V50" s="39"/>
      <c r="X50" s="39" t="s">
        <v>281</v>
      </c>
      <c r="Y50" s="39">
        <v>41</v>
      </c>
      <c r="AB50" s="53">
        <v>41</v>
      </c>
      <c r="AC50" s="35" t="s">
        <v>277</v>
      </c>
    </row>
    <row r="51" spans="1:29" x14ac:dyDescent="0.2">
      <c r="A51" s="48">
        <f t="shared" si="0"/>
        <v>2026</v>
      </c>
      <c r="B51" s="49" t="str">
        <f t="shared" si="1"/>
        <v>MAIO</v>
      </c>
      <c r="C51" s="35">
        <v>82496855</v>
      </c>
      <c r="D51" s="35">
        <v>10424271</v>
      </c>
      <c r="E51" s="35" t="s">
        <v>307</v>
      </c>
      <c r="F51" s="36">
        <v>46146</v>
      </c>
      <c r="G51" s="35" t="s">
        <v>13</v>
      </c>
      <c r="H51" s="35">
        <v>35575473880</v>
      </c>
      <c r="I51" s="35" t="s">
        <v>299</v>
      </c>
      <c r="J51" s="36"/>
      <c r="K51" s="35" t="s">
        <v>285</v>
      </c>
      <c r="L51" s="35" t="s">
        <v>276</v>
      </c>
      <c r="M51" s="35" t="s">
        <v>277</v>
      </c>
      <c r="N51" s="37" t="s">
        <v>278</v>
      </c>
      <c r="P51" s="35" t="s">
        <v>279</v>
      </c>
      <c r="Q51" s="35" t="s">
        <v>286</v>
      </c>
      <c r="R51" s="35" t="s">
        <v>280</v>
      </c>
      <c r="S51" s="35">
        <v>1</v>
      </c>
      <c r="T51" s="38"/>
      <c r="V51" s="39"/>
      <c r="X51" s="39" t="s">
        <v>281</v>
      </c>
      <c r="Y51" s="39">
        <v>54.16</v>
      </c>
      <c r="AB51" s="53">
        <v>54.16</v>
      </c>
      <c r="AC51" s="35" t="s">
        <v>277</v>
      </c>
    </row>
    <row r="52" spans="1:29" x14ac:dyDescent="0.2">
      <c r="A52" s="48">
        <f t="shared" si="0"/>
        <v>2026</v>
      </c>
      <c r="B52" s="49" t="str">
        <f t="shared" si="1"/>
        <v>MAIO</v>
      </c>
      <c r="C52" s="35">
        <v>84188001</v>
      </c>
      <c r="D52" s="35">
        <v>10424271</v>
      </c>
      <c r="E52" s="35" t="s">
        <v>307</v>
      </c>
      <c r="F52" s="36">
        <v>46143</v>
      </c>
      <c r="G52" s="35" t="s">
        <v>13</v>
      </c>
      <c r="H52" s="35">
        <v>35575473880</v>
      </c>
      <c r="I52" s="35" t="s">
        <v>299</v>
      </c>
      <c r="J52" s="36"/>
      <c r="K52" s="35" t="s">
        <v>291</v>
      </c>
      <c r="L52" s="35" t="s">
        <v>282</v>
      </c>
      <c r="M52" s="35" t="s">
        <v>277</v>
      </c>
      <c r="N52" s="37" t="s">
        <v>278</v>
      </c>
      <c r="P52" s="35" t="s">
        <v>279</v>
      </c>
      <c r="Q52" s="35" t="s">
        <v>286</v>
      </c>
      <c r="R52" s="35" t="s">
        <v>280</v>
      </c>
      <c r="S52" s="35">
        <v>1</v>
      </c>
      <c r="T52" s="38"/>
      <c r="V52" s="39"/>
      <c r="X52" s="39" t="s">
        <v>281</v>
      </c>
      <c r="Y52" s="39">
        <v>120.9</v>
      </c>
      <c r="AB52" s="53">
        <v>120.9</v>
      </c>
      <c r="AC52" s="35" t="s">
        <v>277</v>
      </c>
    </row>
    <row r="53" spans="1:29" x14ac:dyDescent="0.2">
      <c r="A53" s="48">
        <f t="shared" si="0"/>
        <v>2026</v>
      </c>
      <c r="B53" s="49" t="str">
        <f t="shared" si="1"/>
        <v>MAIO</v>
      </c>
      <c r="C53" s="35">
        <v>83162959</v>
      </c>
      <c r="D53" s="35">
        <v>10424271</v>
      </c>
      <c r="E53" s="35" t="s">
        <v>307</v>
      </c>
      <c r="F53" s="36">
        <v>46143</v>
      </c>
      <c r="G53" s="35" t="s">
        <v>13</v>
      </c>
      <c r="H53" s="35">
        <v>35575473880</v>
      </c>
      <c r="I53" s="35" t="s">
        <v>299</v>
      </c>
      <c r="J53" s="36"/>
      <c r="K53" s="35" t="s">
        <v>291</v>
      </c>
      <c r="L53" s="35" t="s">
        <v>282</v>
      </c>
      <c r="M53" s="35" t="s">
        <v>277</v>
      </c>
      <c r="N53" s="37" t="s">
        <v>278</v>
      </c>
      <c r="P53" s="35" t="s">
        <v>279</v>
      </c>
      <c r="Q53" s="35" t="s">
        <v>286</v>
      </c>
      <c r="R53" s="35" t="s">
        <v>280</v>
      </c>
      <c r="S53" s="35">
        <v>1</v>
      </c>
      <c r="T53" s="38"/>
      <c r="V53" s="39"/>
      <c r="X53" s="39" t="s">
        <v>281</v>
      </c>
      <c r="Y53" s="39">
        <v>178.2</v>
      </c>
      <c r="AB53" s="53">
        <v>178.2</v>
      </c>
      <c r="AC53" s="35" t="s">
        <v>277</v>
      </c>
    </row>
    <row r="54" spans="1:29" x14ac:dyDescent="0.2">
      <c r="A54" s="48">
        <f t="shared" si="0"/>
        <v>2026</v>
      </c>
      <c r="B54" s="49" t="str">
        <f t="shared" si="1"/>
        <v>MAIO</v>
      </c>
      <c r="C54" s="35">
        <v>82899618</v>
      </c>
      <c r="D54" s="35">
        <v>10424271</v>
      </c>
      <c r="E54" s="35" t="s">
        <v>307</v>
      </c>
      <c r="F54" s="36">
        <v>46143</v>
      </c>
      <c r="G54" s="35" t="s">
        <v>13</v>
      </c>
      <c r="H54" s="35">
        <v>35575473880</v>
      </c>
      <c r="I54" s="35" t="s">
        <v>299</v>
      </c>
      <c r="J54" s="36"/>
      <c r="K54" s="35" t="s">
        <v>291</v>
      </c>
      <c r="L54" s="35" t="s">
        <v>282</v>
      </c>
      <c r="M54" s="35" t="s">
        <v>277</v>
      </c>
      <c r="N54" s="37" t="s">
        <v>278</v>
      </c>
      <c r="P54" s="35" t="s">
        <v>279</v>
      </c>
      <c r="Q54" s="35" t="s">
        <v>286</v>
      </c>
      <c r="R54" s="35" t="s">
        <v>280</v>
      </c>
      <c r="S54" s="35">
        <v>1</v>
      </c>
      <c r="T54" s="38"/>
      <c r="V54" s="39"/>
      <c r="X54" s="39" t="s">
        <v>281</v>
      </c>
      <c r="Y54" s="39">
        <v>214.25</v>
      </c>
      <c r="AB54" s="53">
        <v>214.25</v>
      </c>
      <c r="AC54" s="35" t="s">
        <v>277</v>
      </c>
    </row>
    <row r="55" spans="1:29" x14ac:dyDescent="0.2">
      <c r="A55" s="48">
        <f t="shared" si="0"/>
        <v>2026</v>
      </c>
      <c r="B55" s="49" t="str">
        <f t="shared" si="1"/>
        <v>ABRIL</v>
      </c>
      <c r="C55" s="35">
        <v>83160404</v>
      </c>
      <c r="D55" s="35">
        <v>10424271</v>
      </c>
      <c r="E55" s="35" t="s">
        <v>307</v>
      </c>
      <c r="F55" s="36">
        <v>46142</v>
      </c>
      <c r="G55" s="35" t="s">
        <v>13</v>
      </c>
      <c r="H55" s="35">
        <v>35575473880</v>
      </c>
      <c r="I55" s="35" t="s">
        <v>299</v>
      </c>
      <c r="J55" s="36"/>
      <c r="K55" s="35" t="s">
        <v>285</v>
      </c>
      <c r="L55" s="35" t="s">
        <v>276</v>
      </c>
      <c r="M55" s="35" t="s">
        <v>277</v>
      </c>
      <c r="N55" s="37" t="s">
        <v>278</v>
      </c>
      <c r="P55" s="35" t="s">
        <v>279</v>
      </c>
      <c r="Q55" s="35" t="s">
        <v>286</v>
      </c>
      <c r="R55" s="35" t="s">
        <v>280</v>
      </c>
      <c r="S55" s="35">
        <v>1</v>
      </c>
      <c r="T55" s="38"/>
      <c r="V55" s="39"/>
      <c r="X55" s="39" t="s">
        <v>281</v>
      </c>
      <c r="Y55" s="39">
        <v>18.5</v>
      </c>
      <c r="AB55" s="53">
        <v>18.5</v>
      </c>
      <c r="AC55" s="35" t="s">
        <v>277</v>
      </c>
    </row>
    <row r="56" spans="1:29" x14ac:dyDescent="0.2">
      <c r="A56" s="48">
        <f t="shared" si="0"/>
        <v>2026</v>
      </c>
      <c r="B56" s="49" t="str">
        <f t="shared" si="1"/>
        <v>ABRIL</v>
      </c>
      <c r="C56" s="35">
        <v>84345252</v>
      </c>
      <c r="D56" s="35">
        <v>10424271</v>
      </c>
      <c r="E56" s="35" t="s">
        <v>307</v>
      </c>
      <c r="F56" s="36">
        <v>46140</v>
      </c>
      <c r="G56" s="35" t="s">
        <v>13</v>
      </c>
      <c r="H56" s="35">
        <v>35575473880</v>
      </c>
      <c r="I56" s="35" t="s">
        <v>299</v>
      </c>
      <c r="J56" s="36"/>
      <c r="K56" s="35" t="s">
        <v>285</v>
      </c>
      <c r="L56" s="35" t="s">
        <v>276</v>
      </c>
      <c r="M56" s="35" t="s">
        <v>277</v>
      </c>
      <c r="N56" s="37" t="s">
        <v>304</v>
      </c>
      <c r="P56" s="35" t="s">
        <v>279</v>
      </c>
      <c r="Q56" s="35" t="s">
        <v>286</v>
      </c>
      <c r="R56" s="35" t="s">
        <v>280</v>
      </c>
      <c r="S56" s="35">
        <v>1</v>
      </c>
      <c r="T56" s="38"/>
      <c r="V56" s="39"/>
      <c r="X56" s="39" t="s">
        <v>281</v>
      </c>
      <c r="Y56" s="39">
        <v>71</v>
      </c>
      <c r="AB56" s="53">
        <v>71</v>
      </c>
      <c r="AC56" s="35" t="s">
        <v>277</v>
      </c>
    </row>
    <row r="57" spans="1:29" x14ac:dyDescent="0.2">
      <c r="A57" s="48">
        <f t="shared" si="0"/>
        <v>2026</v>
      </c>
      <c r="B57" s="49" t="str">
        <f t="shared" si="1"/>
        <v>ABRIL</v>
      </c>
      <c r="C57" s="35">
        <v>81666462</v>
      </c>
      <c r="D57" s="35">
        <v>10306286</v>
      </c>
      <c r="E57" s="35" t="s">
        <v>308</v>
      </c>
      <c r="F57" s="36">
        <v>46135</v>
      </c>
      <c r="G57" s="35" t="s">
        <v>13</v>
      </c>
      <c r="H57" s="35">
        <v>35575473880</v>
      </c>
      <c r="I57" s="35" t="s">
        <v>299</v>
      </c>
      <c r="J57" s="36"/>
      <c r="K57" s="35" t="s">
        <v>285</v>
      </c>
      <c r="L57" s="35" t="s">
        <v>276</v>
      </c>
      <c r="M57" s="35" t="s">
        <v>277</v>
      </c>
      <c r="N57" s="37" t="s">
        <v>309</v>
      </c>
      <c r="P57" s="35" t="s">
        <v>279</v>
      </c>
      <c r="Q57" s="35" t="s">
        <v>286</v>
      </c>
      <c r="R57" s="35" t="s">
        <v>280</v>
      </c>
      <c r="S57" s="35">
        <v>1</v>
      </c>
      <c r="T57" s="38"/>
      <c r="V57" s="39"/>
      <c r="X57" s="39" t="s">
        <v>281</v>
      </c>
      <c r="Y57" s="39">
        <v>51.8</v>
      </c>
      <c r="AB57" s="53">
        <v>51.8</v>
      </c>
      <c r="AC57" s="35" t="s">
        <v>277</v>
      </c>
    </row>
    <row r="58" spans="1:29" x14ac:dyDescent="0.2">
      <c r="A58" s="48">
        <f t="shared" si="0"/>
        <v>2026</v>
      </c>
      <c r="B58" s="49" t="str">
        <f t="shared" si="1"/>
        <v>ABRIL</v>
      </c>
      <c r="C58" s="35">
        <v>81660193</v>
      </c>
      <c r="D58" s="35">
        <v>10306286</v>
      </c>
      <c r="E58" s="35" t="s">
        <v>308</v>
      </c>
      <c r="F58" s="36">
        <v>46130</v>
      </c>
      <c r="G58" s="35" t="s">
        <v>13</v>
      </c>
      <c r="H58" s="35">
        <v>35575473880</v>
      </c>
      <c r="I58" s="35" t="s">
        <v>299</v>
      </c>
      <c r="J58" s="36"/>
      <c r="K58" s="35" t="s">
        <v>295</v>
      </c>
      <c r="L58" s="35" t="s">
        <v>276</v>
      </c>
      <c r="M58" s="35" t="s">
        <v>277</v>
      </c>
      <c r="N58" s="37" t="s">
        <v>309</v>
      </c>
      <c r="P58" s="35" t="s">
        <v>279</v>
      </c>
      <c r="Q58" s="35" t="s">
        <v>286</v>
      </c>
      <c r="R58" s="35" t="s">
        <v>280</v>
      </c>
      <c r="S58" s="35">
        <v>1</v>
      </c>
      <c r="T58" s="38"/>
      <c r="V58" s="39"/>
      <c r="X58" s="39" t="s">
        <v>281</v>
      </c>
      <c r="Y58" s="39">
        <v>9.8000000000000007</v>
      </c>
      <c r="AB58" s="53">
        <v>9.8000000000000007</v>
      </c>
      <c r="AC58" s="35" t="s">
        <v>277</v>
      </c>
    </row>
    <row r="59" spans="1:29" x14ac:dyDescent="0.2">
      <c r="A59" s="48">
        <f t="shared" si="0"/>
        <v>2026</v>
      </c>
      <c r="B59" s="49" t="str">
        <f t="shared" si="1"/>
        <v>ABRIL</v>
      </c>
      <c r="C59" s="35">
        <v>81660593</v>
      </c>
      <c r="D59" s="35">
        <v>10306286</v>
      </c>
      <c r="E59" s="35" t="s">
        <v>308</v>
      </c>
      <c r="F59" s="36">
        <v>46128</v>
      </c>
      <c r="G59" s="35" t="s">
        <v>13</v>
      </c>
      <c r="H59" s="35">
        <v>35575473880</v>
      </c>
      <c r="I59" s="35" t="s">
        <v>299</v>
      </c>
      <c r="J59" s="36"/>
      <c r="K59" s="35" t="s">
        <v>295</v>
      </c>
      <c r="L59" s="35" t="s">
        <v>276</v>
      </c>
      <c r="M59" s="35" t="s">
        <v>277</v>
      </c>
      <c r="N59" s="37" t="s">
        <v>309</v>
      </c>
      <c r="P59" s="35" t="s">
        <v>279</v>
      </c>
      <c r="Q59" s="35" t="s">
        <v>286</v>
      </c>
      <c r="R59" s="35" t="s">
        <v>280</v>
      </c>
      <c r="S59" s="35">
        <v>1</v>
      </c>
      <c r="T59" s="38"/>
      <c r="V59" s="39"/>
      <c r="W59" s="35">
        <v>0</v>
      </c>
      <c r="X59" s="39" t="s">
        <v>281</v>
      </c>
      <c r="Y59" s="39">
        <v>37.89</v>
      </c>
      <c r="AB59" s="53">
        <v>37.89</v>
      </c>
      <c r="AC59" s="35" t="s">
        <v>277</v>
      </c>
    </row>
    <row r="60" spans="1:29" x14ac:dyDescent="0.2">
      <c r="A60" s="48">
        <f t="shared" si="0"/>
        <v>2026</v>
      </c>
      <c r="B60" s="49" t="str">
        <f t="shared" si="1"/>
        <v>ABRIL</v>
      </c>
      <c r="C60" s="35">
        <v>81659514</v>
      </c>
      <c r="D60" s="35">
        <v>10306286</v>
      </c>
      <c r="E60" s="35" t="s">
        <v>308</v>
      </c>
      <c r="F60" s="36">
        <v>46128</v>
      </c>
      <c r="G60" s="35" t="s">
        <v>13</v>
      </c>
      <c r="H60" s="35">
        <v>35575473880</v>
      </c>
      <c r="I60" s="35" t="s">
        <v>299</v>
      </c>
      <c r="J60" s="36"/>
      <c r="K60" s="35" t="s">
        <v>295</v>
      </c>
      <c r="L60" s="35" t="s">
        <v>276</v>
      </c>
      <c r="M60" s="35" t="s">
        <v>277</v>
      </c>
      <c r="N60" s="37" t="s">
        <v>309</v>
      </c>
      <c r="P60" s="35" t="s">
        <v>279</v>
      </c>
      <c r="Q60" s="35" t="s">
        <v>286</v>
      </c>
      <c r="R60" s="35" t="s">
        <v>280</v>
      </c>
      <c r="S60" s="35">
        <v>1</v>
      </c>
      <c r="T60" s="38"/>
      <c r="V60" s="39"/>
      <c r="X60" s="39" t="s">
        <v>281</v>
      </c>
      <c r="Y60" s="39">
        <v>37.89</v>
      </c>
      <c r="AB60" s="53">
        <v>37.89</v>
      </c>
      <c r="AC60" s="35" t="s">
        <v>277</v>
      </c>
    </row>
    <row r="61" spans="1:29" x14ac:dyDescent="0.2">
      <c r="A61" s="48">
        <f t="shared" si="0"/>
        <v>2026</v>
      </c>
      <c r="B61" s="49" t="str">
        <f t="shared" si="1"/>
        <v>ABRIL</v>
      </c>
      <c r="C61" s="35">
        <v>81660479</v>
      </c>
      <c r="D61" s="35">
        <v>10306286</v>
      </c>
      <c r="E61" s="35" t="s">
        <v>308</v>
      </c>
      <c r="F61" s="36">
        <v>46120</v>
      </c>
      <c r="G61" s="35" t="s">
        <v>13</v>
      </c>
      <c r="H61" s="35">
        <v>35575473880</v>
      </c>
      <c r="I61" s="35" t="s">
        <v>299</v>
      </c>
      <c r="J61" s="36"/>
      <c r="K61" s="35" t="s">
        <v>295</v>
      </c>
      <c r="L61" s="35" t="s">
        <v>276</v>
      </c>
      <c r="M61" s="35" t="s">
        <v>277</v>
      </c>
      <c r="N61" s="37" t="s">
        <v>309</v>
      </c>
      <c r="P61" s="35" t="s">
        <v>279</v>
      </c>
      <c r="Q61" s="35" t="s">
        <v>286</v>
      </c>
      <c r="R61" s="35" t="s">
        <v>280</v>
      </c>
      <c r="S61" s="35">
        <v>1</v>
      </c>
      <c r="T61" s="38"/>
      <c r="V61" s="39"/>
      <c r="X61" s="39" t="s">
        <v>281</v>
      </c>
      <c r="Y61" s="39">
        <v>39.5</v>
      </c>
      <c r="AB61" s="53">
        <v>39.5</v>
      </c>
      <c r="AC61" s="35" t="s">
        <v>277</v>
      </c>
    </row>
    <row r="62" spans="1:29" x14ac:dyDescent="0.2">
      <c r="A62" s="48">
        <f t="shared" si="0"/>
        <v>2026</v>
      </c>
      <c r="B62" s="49" t="str">
        <f t="shared" si="1"/>
        <v>ABRIL</v>
      </c>
      <c r="C62" s="35">
        <v>81660253</v>
      </c>
      <c r="D62" s="35">
        <v>10306286</v>
      </c>
      <c r="E62" s="35" t="s">
        <v>308</v>
      </c>
      <c r="F62" s="36">
        <v>46120</v>
      </c>
      <c r="G62" s="35" t="s">
        <v>13</v>
      </c>
      <c r="H62" s="35">
        <v>35575473880</v>
      </c>
      <c r="I62" s="35" t="s">
        <v>299</v>
      </c>
      <c r="J62" s="36"/>
      <c r="K62" s="35" t="s">
        <v>295</v>
      </c>
      <c r="L62" s="35" t="s">
        <v>276</v>
      </c>
      <c r="M62" s="35" t="s">
        <v>277</v>
      </c>
      <c r="N62" s="37" t="s">
        <v>309</v>
      </c>
      <c r="P62" s="35" t="s">
        <v>279</v>
      </c>
      <c r="Q62" s="35" t="s">
        <v>286</v>
      </c>
      <c r="R62" s="35" t="s">
        <v>280</v>
      </c>
      <c r="S62" s="35">
        <v>1</v>
      </c>
      <c r="T62" s="38"/>
      <c r="V62" s="39"/>
      <c r="X62" s="39" t="s">
        <v>281</v>
      </c>
      <c r="Y62" s="39">
        <v>10.7</v>
      </c>
      <c r="AB62" s="53">
        <v>10.7</v>
      </c>
      <c r="AC62" s="35" t="s">
        <v>277</v>
      </c>
    </row>
    <row r="63" spans="1:29" x14ac:dyDescent="0.2">
      <c r="A63" s="48">
        <f t="shared" si="0"/>
        <v>2026</v>
      </c>
      <c r="B63" s="49" t="str">
        <f t="shared" si="1"/>
        <v>ABRIL</v>
      </c>
      <c r="C63" s="35">
        <v>81666536</v>
      </c>
      <c r="D63" s="35">
        <v>10306286</v>
      </c>
      <c r="E63" s="35" t="s">
        <v>308</v>
      </c>
      <c r="F63" s="36">
        <v>46114</v>
      </c>
      <c r="G63" s="35" t="s">
        <v>13</v>
      </c>
      <c r="H63" s="35">
        <v>35575473880</v>
      </c>
      <c r="I63" s="35" t="s">
        <v>299</v>
      </c>
      <c r="J63" s="36"/>
      <c r="K63" s="35" t="s">
        <v>285</v>
      </c>
      <c r="L63" s="35" t="s">
        <v>276</v>
      </c>
      <c r="M63" s="35" t="s">
        <v>277</v>
      </c>
      <c r="N63" s="37" t="s">
        <v>309</v>
      </c>
      <c r="P63" s="35" t="s">
        <v>279</v>
      </c>
      <c r="Q63" s="35" t="s">
        <v>286</v>
      </c>
      <c r="R63" s="35" t="s">
        <v>280</v>
      </c>
      <c r="S63" s="35">
        <v>1</v>
      </c>
      <c r="T63" s="38"/>
      <c r="V63" s="39"/>
      <c r="X63" s="39" t="s">
        <v>281</v>
      </c>
      <c r="Y63" s="39">
        <v>44.6</v>
      </c>
      <c r="AB63" s="53">
        <v>44.6</v>
      </c>
      <c r="AC63" s="35" t="s">
        <v>277</v>
      </c>
    </row>
    <row r="64" spans="1:29" x14ac:dyDescent="0.2">
      <c r="A64" s="48">
        <f t="shared" si="0"/>
        <v>2026</v>
      </c>
      <c r="B64" s="49" t="str">
        <f t="shared" si="1"/>
        <v>ABRIL</v>
      </c>
      <c r="C64" s="35">
        <v>81660043</v>
      </c>
      <c r="D64" s="35">
        <v>10306286</v>
      </c>
      <c r="E64" s="35" t="s">
        <v>308</v>
      </c>
      <c r="F64" s="36">
        <v>46114</v>
      </c>
      <c r="G64" s="35" t="s">
        <v>13</v>
      </c>
      <c r="H64" s="35">
        <v>35575473880</v>
      </c>
      <c r="I64" s="35" t="s">
        <v>299</v>
      </c>
      <c r="J64" s="36"/>
      <c r="K64" s="35" t="s">
        <v>295</v>
      </c>
      <c r="L64" s="35" t="s">
        <v>276</v>
      </c>
      <c r="M64" s="35" t="s">
        <v>277</v>
      </c>
      <c r="N64" s="37" t="s">
        <v>309</v>
      </c>
      <c r="P64" s="35" t="s">
        <v>279</v>
      </c>
      <c r="Q64" s="35" t="s">
        <v>286</v>
      </c>
      <c r="R64" s="35" t="s">
        <v>280</v>
      </c>
      <c r="S64" s="35">
        <v>1</v>
      </c>
      <c r="T64" s="38"/>
      <c r="V64" s="39"/>
      <c r="X64" s="39" t="s">
        <v>281</v>
      </c>
      <c r="Y64" s="39">
        <v>88.9</v>
      </c>
      <c r="AB64" s="53">
        <v>88.9</v>
      </c>
      <c r="AC64" s="35" t="s">
        <v>277</v>
      </c>
    </row>
    <row r="65" spans="1:29" x14ac:dyDescent="0.2">
      <c r="A65" s="48">
        <f t="shared" si="0"/>
        <v>2026</v>
      </c>
      <c r="B65" s="49" t="str">
        <f t="shared" si="1"/>
        <v>ABRIL</v>
      </c>
      <c r="C65" s="35">
        <v>81783947</v>
      </c>
      <c r="D65" s="35">
        <v>10306286</v>
      </c>
      <c r="E65" s="35" t="s">
        <v>308</v>
      </c>
      <c r="F65" s="36">
        <v>46113</v>
      </c>
      <c r="G65" s="35" t="s">
        <v>13</v>
      </c>
      <c r="H65" s="35">
        <v>35575473880</v>
      </c>
      <c r="I65" s="35" t="s">
        <v>299</v>
      </c>
      <c r="J65" s="36"/>
      <c r="K65" s="35" t="s">
        <v>295</v>
      </c>
      <c r="L65" s="35" t="s">
        <v>276</v>
      </c>
      <c r="M65" s="35" t="s">
        <v>277</v>
      </c>
      <c r="N65" s="37" t="s">
        <v>278</v>
      </c>
      <c r="P65" s="35" t="s">
        <v>279</v>
      </c>
      <c r="Q65" s="35" t="s">
        <v>286</v>
      </c>
      <c r="R65" s="35" t="s">
        <v>280</v>
      </c>
      <c r="S65" s="35">
        <v>1</v>
      </c>
      <c r="T65" s="38"/>
      <c r="V65" s="39"/>
      <c r="X65" s="39" t="s">
        <v>281</v>
      </c>
      <c r="Y65" s="39">
        <v>173</v>
      </c>
      <c r="AB65" s="53">
        <v>173</v>
      </c>
      <c r="AC65" s="35" t="s">
        <v>277</v>
      </c>
    </row>
    <row r="66" spans="1:29" x14ac:dyDescent="0.2">
      <c r="A66" s="48">
        <f t="shared" si="0"/>
        <v>2026</v>
      </c>
      <c r="B66" s="49" t="str">
        <f t="shared" si="1"/>
        <v>ABRIL</v>
      </c>
      <c r="C66" s="35">
        <v>81680496</v>
      </c>
      <c r="D66" s="35">
        <v>10306286</v>
      </c>
      <c r="E66" s="35" t="s">
        <v>308</v>
      </c>
      <c r="F66" s="36">
        <v>46113</v>
      </c>
      <c r="G66" s="35" t="s">
        <v>13</v>
      </c>
      <c r="H66" s="35">
        <v>35575473880</v>
      </c>
      <c r="I66" s="35" t="s">
        <v>299</v>
      </c>
      <c r="J66" s="36"/>
      <c r="K66" s="35" t="s">
        <v>291</v>
      </c>
      <c r="L66" s="35" t="s">
        <v>283</v>
      </c>
      <c r="M66" s="35" t="s">
        <v>277</v>
      </c>
      <c r="N66" s="37" t="s">
        <v>278</v>
      </c>
      <c r="P66" s="35" t="s">
        <v>279</v>
      </c>
      <c r="Q66" s="35" t="s">
        <v>286</v>
      </c>
      <c r="R66" s="35" t="s">
        <v>280</v>
      </c>
      <c r="S66" s="35">
        <v>1</v>
      </c>
      <c r="T66" s="38"/>
      <c r="V66" s="39"/>
      <c r="X66" s="39" t="s">
        <v>281</v>
      </c>
      <c r="Y66" s="39">
        <v>593.45000000000005</v>
      </c>
      <c r="AB66" s="53">
        <v>593.45000000000005</v>
      </c>
      <c r="AC66" s="35" t="s">
        <v>277</v>
      </c>
    </row>
    <row r="67" spans="1:29" x14ac:dyDescent="0.2">
      <c r="A67" s="48">
        <f t="shared" ref="A67:A130" si="2">YEAR(F67)</f>
        <v>2026</v>
      </c>
      <c r="B67" s="49" t="str">
        <f t="shared" ref="B67:B130" si="3">UPPER(TEXT(F67,"MMMM"))</f>
        <v>ABRIL</v>
      </c>
      <c r="C67" s="35">
        <v>81666645</v>
      </c>
      <c r="D67" s="35">
        <v>10306286</v>
      </c>
      <c r="E67" s="35" t="s">
        <v>308</v>
      </c>
      <c r="F67" s="36">
        <v>46113</v>
      </c>
      <c r="G67" s="35" t="s">
        <v>13</v>
      </c>
      <c r="H67" s="35">
        <v>35575473880</v>
      </c>
      <c r="I67" s="35" t="s">
        <v>299</v>
      </c>
      <c r="J67" s="36"/>
      <c r="K67" s="35" t="s">
        <v>295</v>
      </c>
      <c r="L67" s="35" t="s">
        <v>276</v>
      </c>
      <c r="M67" s="35" t="s">
        <v>277</v>
      </c>
      <c r="N67" s="37" t="s">
        <v>309</v>
      </c>
      <c r="P67" s="35" t="s">
        <v>279</v>
      </c>
      <c r="Q67" s="35" t="s">
        <v>286</v>
      </c>
      <c r="R67" s="35" t="s">
        <v>280</v>
      </c>
      <c r="S67" s="35">
        <v>1</v>
      </c>
      <c r="T67" s="38"/>
      <c r="V67" s="39"/>
      <c r="X67" s="39" t="s">
        <v>281</v>
      </c>
      <c r="Y67" s="39">
        <v>128.9</v>
      </c>
      <c r="AB67" s="53">
        <v>128.9</v>
      </c>
      <c r="AC67" s="35" t="s">
        <v>277</v>
      </c>
    </row>
    <row r="68" spans="1:29" x14ac:dyDescent="0.2">
      <c r="A68" s="48">
        <f t="shared" si="2"/>
        <v>2026</v>
      </c>
      <c r="B68" s="49" t="str">
        <f t="shared" si="3"/>
        <v>ABRIL</v>
      </c>
      <c r="C68" s="35">
        <v>81659718</v>
      </c>
      <c r="D68" s="35">
        <v>10306286</v>
      </c>
      <c r="E68" s="35" t="s">
        <v>308</v>
      </c>
      <c r="F68" s="36">
        <v>46113</v>
      </c>
      <c r="G68" s="35" t="s">
        <v>13</v>
      </c>
      <c r="H68" s="35">
        <v>35575473880</v>
      </c>
      <c r="I68" s="35" t="s">
        <v>299</v>
      </c>
      <c r="J68" s="36"/>
      <c r="K68" s="35" t="s">
        <v>295</v>
      </c>
      <c r="L68" s="35" t="s">
        <v>276</v>
      </c>
      <c r="M68" s="35" t="s">
        <v>277</v>
      </c>
      <c r="N68" s="37" t="s">
        <v>309</v>
      </c>
      <c r="P68" s="35" t="s">
        <v>279</v>
      </c>
      <c r="Q68" s="35" t="s">
        <v>286</v>
      </c>
      <c r="R68" s="35" t="s">
        <v>280</v>
      </c>
      <c r="S68" s="35">
        <v>1</v>
      </c>
      <c r="T68" s="38"/>
      <c r="V68" s="39"/>
      <c r="X68" s="39" t="s">
        <v>281</v>
      </c>
      <c r="Y68" s="39">
        <v>128.9</v>
      </c>
      <c r="AB68" s="53">
        <v>128.9</v>
      </c>
      <c r="AC68" s="35" t="s">
        <v>277</v>
      </c>
    </row>
    <row r="69" spans="1:29" x14ac:dyDescent="0.2">
      <c r="A69" s="48">
        <f t="shared" si="2"/>
        <v>2026</v>
      </c>
      <c r="B69" s="49" t="str">
        <f t="shared" si="3"/>
        <v>MARÇO</v>
      </c>
      <c r="C69" s="35">
        <v>79662281</v>
      </c>
      <c r="D69" s="35">
        <v>9847728</v>
      </c>
      <c r="E69" s="35" t="s">
        <v>310</v>
      </c>
      <c r="F69" s="36">
        <v>46112</v>
      </c>
      <c r="G69" s="35" t="s">
        <v>13</v>
      </c>
      <c r="H69" s="35">
        <v>35575473880</v>
      </c>
      <c r="I69" s="35" t="s">
        <v>299</v>
      </c>
      <c r="J69" s="36"/>
      <c r="K69" s="35" t="s">
        <v>285</v>
      </c>
      <c r="L69" s="35" t="s">
        <v>276</v>
      </c>
      <c r="M69" s="35" t="s">
        <v>277</v>
      </c>
      <c r="N69" s="37" t="s">
        <v>311</v>
      </c>
      <c r="P69" s="35" t="s">
        <v>279</v>
      </c>
      <c r="Q69" s="35" t="s">
        <v>286</v>
      </c>
      <c r="R69" s="35" t="s">
        <v>280</v>
      </c>
      <c r="S69" s="35">
        <v>1</v>
      </c>
      <c r="T69" s="38"/>
      <c r="V69" s="39"/>
      <c r="X69" s="39" t="s">
        <v>281</v>
      </c>
      <c r="Y69" s="39">
        <v>77.650000000000006</v>
      </c>
      <c r="AB69" s="53">
        <v>77.650000000000006</v>
      </c>
      <c r="AC69" s="35" t="s">
        <v>277</v>
      </c>
    </row>
    <row r="70" spans="1:29" x14ac:dyDescent="0.2">
      <c r="A70" s="48">
        <f t="shared" si="2"/>
        <v>2026</v>
      </c>
      <c r="B70" s="49" t="str">
        <f t="shared" si="3"/>
        <v>MARÇO</v>
      </c>
      <c r="C70" s="35">
        <v>79662624</v>
      </c>
      <c r="D70" s="35">
        <v>9847728</v>
      </c>
      <c r="E70" s="35" t="s">
        <v>310</v>
      </c>
      <c r="F70" s="36">
        <v>46109</v>
      </c>
      <c r="G70" s="35" t="s">
        <v>13</v>
      </c>
      <c r="H70" s="35">
        <v>35575473880</v>
      </c>
      <c r="I70" s="35" t="s">
        <v>299</v>
      </c>
      <c r="J70" s="36"/>
      <c r="K70" s="35" t="s">
        <v>285</v>
      </c>
      <c r="L70" s="35" t="s">
        <v>276</v>
      </c>
      <c r="M70" s="35" t="s">
        <v>277</v>
      </c>
      <c r="N70" s="37" t="s">
        <v>311</v>
      </c>
      <c r="P70" s="35" t="s">
        <v>279</v>
      </c>
      <c r="Q70" s="35" t="s">
        <v>286</v>
      </c>
      <c r="R70" s="35" t="s">
        <v>280</v>
      </c>
      <c r="S70" s="35">
        <v>1</v>
      </c>
      <c r="T70" s="38"/>
      <c r="V70" s="39"/>
      <c r="X70" s="39" t="s">
        <v>281</v>
      </c>
      <c r="Y70" s="39">
        <v>418.6</v>
      </c>
      <c r="AB70" s="53">
        <v>418.6</v>
      </c>
      <c r="AC70" s="35" t="s">
        <v>277</v>
      </c>
    </row>
    <row r="71" spans="1:29" x14ac:dyDescent="0.2">
      <c r="A71" s="48">
        <f t="shared" si="2"/>
        <v>2026</v>
      </c>
      <c r="B71" s="49" t="str">
        <f t="shared" si="3"/>
        <v>MARÇO</v>
      </c>
      <c r="C71" s="35">
        <v>79662492</v>
      </c>
      <c r="D71" s="35">
        <v>9847728</v>
      </c>
      <c r="E71" s="35" t="s">
        <v>310</v>
      </c>
      <c r="F71" s="36">
        <v>46109</v>
      </c>
      <c r="G71" s="35" t="s">
        <v>13</v>
      </c>
      <c r="H71" s="35">
        <v>35575473880</v>
      </c>
      <c r="I71" s="35" t="s">
        <v>299</v>
      </c>
      <c r="J71" s="36"/>
      <c r="K71" s="35" t="s">
        <v>285</v>
      </c>
      <c r="L71" s="35" t="s">
        <v>276</v>
      </c>
      <c r="M71" s="35" t="s">
        <v>277</v>
      </c>
      <c r="N71" s="37" t="s">
        <v>311</v>
      </c>
      <c r="P71" s="35" t="s">
        <v>279</v>
      </c>
      <c r="Q71" s="35" t="s">
        <v>286</v>
      </c>
      <c r="R71" s="35" t="s">
        <v>280</v>
      </c>
      <c r="S71" s="35">
        <v>1</v>
      </c>
      <c r="T71" s="38"/>
      <c r="V71" s="39"/>
      <c r="X71" s="39" t="s">
        <v>281</v>
      </c>
      <c r="Y71" s="39">
        <v>48.9</v>
      </c>
      <c r="AB71" s="53">
        <v>48.9</v>
      </c>
      <c r="AC71" s="35" t="s">
        <v>277</v>
      </c>
    </row>
    <row r="72" spans="1:29" x14ac:dyDescent="0.2">
      <c r="A72" s="48">
        <f t="shared" si="2"/>
        <v>2026</v>
      </c>
      <c r="B72" s="49" t="str">
        <f t="shared" si="3"/>
        <v>MARÇO</v>
      </c>
      <c r="C72" s="35">
        <v>79662447</v>
      </c>
      <c r="D72" s="35">
        <v>9847728</v>
      </c>
      <c r="E72" s="35" t="s">
        <v>310</v>
      </c>
      <c r="F72" s="36">
        <v>46109</v>
      </c>
      <c r="G72" s="35" t="s">
        <v>13</v>
      </c>
      <c r="H72" s="35">
        <v>35575473880</v>
      </c>
      <c r="I72" s="35" t="s">
        <v>299</v>
      </c>
      <c r="J72" s="36"/>
      <c r="K72" s="35" t="s">
        <v>285</v>
      </c>
      <c r="L72" s="35" t="s">
        <v>276</v>
      </c>
      <c r="M72" s="35" t="s">
        <v>277</v>
      </c>
      <c r="N72" s="37" t="s">
        <v>311</v>
      </c>
      <c r="P72" s="35" t="s">
        <v>279</v>
      </c>
      <c r="Q72" s="35" t="s">
        <v>286</v>
      </c>
      <c r="R72" s="35" t="s">
        <v>280</v>
      </c>
      <c r="S72" s="35">
        <v>1</v>
      </c>
      <c r="T72" s="38"/>
      <c r="V72" s="39"/>
      <c r="X72" s="39" t="s">
        <v>281</v>
      </c>
      <c r="Y72" s="39">
        <v>27.6</v>
      </c>
      <c r="AB72" s="53">
        <v>27.6</v>
      </c>
      <c r="AC72" s="35" t="s">
        <v>277</v>
      </c>
    </row>
    <row r="73" spans="1:29" x14ac:dyDescent="0.2">
      <c r="A73" s="48">
        <f t="shared" si="2"/>
        <v>2026</v>
      </c>
      <c r="B73" s="49" t="str">
        <f t="shared" si="3"/>
        <v>MARÇO</v>
      </c>
      <c r="C73" s="35">
        <v>79662666</v>
      </c>
      <c r="D73" s="35">
        <v>9847728</v>
      </c>
      <c r="E73" s="35" t="s">
        <v>310</v>
      </c>
      <c r="F73" s="36">
        <v>46107</v>
      </c>
      <c r="G73" s="35" t="s">
        <v>13</v>
      </c>
      <c r="H73" s="35">
        <v>35575473880</v>
      </c>
      <c r="I73" s="35" t="s">
        <v>299</v>
      </c>
      <c r="J73" s="36"/>
      <c r="K73" s="35" t="s">
        <v>285</v>
      </c>
      <c r="L73" s="35" t="s">
        <v>276</v>
      </c>
      <c r="M73" s="35" t="s">
        <v>277</v>
      </c>
      <c r="N73" s="37" t="s">
        <v>311</v>
      </c>
      <c r="P73" s="35" t="s">
        <v>279</v>
      </c>
      <c r="Q73" s="35" t="s">
        <v>286</v>
      </c>
      <c r="R73" s="35" t="s">
        <v>280</v>
      </c>
      <c r="S73" s="35">
        <v>1</v>
      </c>
      <c r="T73" s="38"/>
      <c r="V73" s="39"/>
      <c r="X73" s="39" t="s">
        <v>281</v>
      </c>
      <c r="Y73" s="39">
        <v>12.58</v>
      </c>
      <c r="AB73" s="53">
        <v>12.58</v>
      </c>
      <c r="AC73" s="35" t="s">
        <v>277</v>
      </c>
    </row>
    <row r="74" spans="1:29" x14ac:dyDescent="0.2">
      <c r="A74" s="48">
        <f t="shared" si="2"/>
        <v>2026</v>
      </c>
      <c r="B74" s="49" t="str">
        <f t="shared" si="3"/>
        <v>MARÇO</v>
      </c>
      <c r="C74" s="35">
        <v>79662334</v>
      </c>
      <c r="D74" s="35">
        <v>9847728</v>
      </c>
      <c r="E74" s="35" t="s">
        <v>310</v>
      </c>
      <c r="F74" s="36">
        <v>46107</v>
      </c>
      <c r="G74" s="35" t="s">
        <v>13</v>
      </c>
      <c r="H74" s="35">
        <v>35575473880</v>
      </c>
      <c r="I74" s="35" t="s">
        <v>299</v>
      </c>
      <c r="J74" s="36"/>
      <c r="K74" s="35" t="s">
        <v>285</v>
      </c>
      <c r="L74" s="35" t="s">
        <v>276</v>
      </c>
      <c r="M74" s="35" t="s">
        <v>277</v>
      </c>
      <c r="N74" s="37" t="s">
        <v>311</v>
      </c>
      <c r="P74" s="35" t="s">
        <v>279</v>
      </c>
      <c r="Q74" s="35" t="s">
        <v>286</v>
      </c>
      <c r="R74" s="35" t="s">
        <v>280</v>
      </c>
      <c r="S74" s="35">
        <v>1</v>
      </c>
      <c r="T74" s="38"/>
      <c r="V74" s="39"/>
      <c r="X74" s="39" t="s">
        <v>281</v>
      </c>
      <c r="Y74" s="39">
        <v>15.8</v>
      </c>
      <c r="AB74" s="53">
        <v>15.8</v>
      </c>
      <c r="AC74" s="35" t="s">
        <v>277</v>
      </c>
    </row>
    <row r="75" spans="1:29" x14ac:dyDescent="0.2">
      <c r="A75" s="48">
        <f t="shared" si="2"/>
        <v>2026</v>
      </c>
      <c r="B75" s="49" t="str">
        <f t="shared" si="3"/>
        <v>MARÇO</v>
      </c>
      <c r="C75" s="35">
        <v>79041753</v>
      </c>
      <c r="D75" s="35">
        <v>9847728</v>
      </c>
      <c r="E75" s="35" t="s">
        <v>310</v>
      </c>
      <c r="F75" s="36">
        <v>46105</v>
      </c>
      <c r="G75" s="35" t="s">
        <v>13</v>
      </c>
      <c r="H75" s="35">
        <v>35575473880</v>
      </c>
      <c r="I75" s="35" t="s">
        <v>299</v>
      </c>
      <c r="J75" s="36"/>
      <c r="K75" s="35" t="s">
        <v>306</v>
      </c>
      <c r="L75" s="35" t="s">
        <v>282</v>
      </c>
      <c r="M75" s="35" t="s">
        <v>277</v>
      </c>
      <c r="N75" s="37" t="s">
        <v>312</v>
      </c>
      <c r="P75" s="35" t="s">
        <v>279</v>
      </c>
      <c r="Q75" s="35" t="s">
        <v>286</v>
      </c>
      <c r="R75" s="35" t="s">
        <v>280</v>
      </c>
      <c r="S75" s="35">
        <v>1</v>
      </c>
      <c r="T75" s="38"/>
      <c r="V75" s="39"/>
      <c r="X75" s="39" t="s">
        <v>281</v>
      </c>
      <c r="Y75" s="39">
        <v>93.9</v>
      </c>
      <c r="AB75" s="53">
        <v>93.9</v>
      </c>
      <c r="AC75" s="35" t="s">
        <v>277</v>
      </c>
    </row>
    <row r="76" spans="1:29" x14ac:dyDescent="0.2">
      <c r="A76" s="48">
        <f t="shared" si="2"/>
        <v>2026</v>
      </c>
      <c r="B76" s="49" t="str">
        <f t="shared" si="3"/>
        <v>MARÇO</v>
      </c>
      <c r="C76" s="35">
        <v>79662553</v>
      </c>
      <c r="D76" s="35">
        <v>9847728</v>
      </c>
      <c r="E76" s="35" t="s">
        <v>310</v>
      </c>
      <c r="F76" s="36">
        <v>46104</v>
      </c>
      <c r="G76" s="35" t="s">
        <v>13</v>
      </c>
      <c r="H76" s="35">
        <v>35575473880</v>
      </c>
      <c r="I76" s="35" t="s">
        <v>299</v>
      </c>
      <c r="J76" s="36"/>
      <c r="K76" s="35" t="s">
        <v>285</v>
      </c>
      <c r="L76" s="35" t="s">
        <v>276</v>
      </c>
      <c r="M76" s="35" t="s">
        <v>277</v>
      </c>
      <c r="N76" s="37" t="s">
        <v>311</v>
      </c>
      <c r="P76" s="35" t="s">
        <v>279</v>
      </c>
      <c r="Q76" s="35" t="s">
        <v>286</v>
      </c>
      <c r="R76" s="35" t="s">
        <v>280</v>
      </c>
      <c r="S76" s="35">
        <v>1</v>
      </c>
      <c r="T76" s="38"/>
      <c r="V76" s="39"/>
      <c r="X76" s="39" t="s">
        <v>281</v>
      </c>
      <c r="Y76" s="39">
        <v>25.45</v>
      </c>
      <c r="AB76" s="53">
        <v>25.45</v>
      </c>
      <c r="AC76" s="35" t="s">
        <v>277</v>
      </c>
    </row>
    <row r="77" spans="1:29" x14ac:dyDescent="0.2">
      <c r="A77" s="48">
        <f t="shared" si="2"/>
        <v>2026</v>
      </c>
      <c r="B77" s="49" t="str">
        <f t="shared" si="3"/>
        <v>MARÇO</v>
      </c>
      <c r="C77" s="35">
        <v>78353737</v>
      </c>
      <c r="D77" s="35">
        <v>9847728</v>
      </c>
      <c r="E77" s="35" t="s">
        <v>310</v>
      </c>
      <c r="F77" s="36">
        <v>46094</v>
      </c>
      <c r="G77" s="35" t="s">
        <v>13</v>
      </c>
      <c r="H77" s="35">
        <v>35575473880</v>
      </c>
      <c r="I77" s="35" t="s">
        <v>299</v>
      </c>
      <c r="J77" s="36"/>
      <c r="K77" s="35" t="s">
        <v>306</v>
      </c>
      <c r="L77" s="35" t="s">
        <v>282</v>
      </c>
      <c r="M77" s="35" t="s">
        <v>277</v>
      </c>
      <c r="N77" s="37" t="s">
        <v>313</v>
      </c>
      <c r="P77" s="35" t="s">
        <v>279</v>
      </c>
      <c r="Q77" s="35" t="s">
        <v>286</v>
      </c>
      <c r="R77" s="35" t="s">
        <v>280</v>
      </c>
      <c r="S77" s="35">
        <v>1</v>
      </c>
      <c r="T77" s="38"/>
      <c r="V77" s="39"/>
      <c r="X77" s="39" t="s">
        <v>281</v>
      </c>
      <c r="Y77" s="39">
        <v>210.2</v>
      </c>
      <c r="AB77" s="53">
        <v>210.2</v>
      </c>
      <c r="AC77" s="35" t="s">
        <v>277</v>
      </c>
    </row>
    <row r="78" spans="1:29" x14ac:dyDescent="0.2">
      <c r="A78" s="48">
        <f t="shared" si="2"/>
        <v>2026</v>
      </c>
      <c r="B78" s="49" t="str">
        <f t="shared" si="3"/>
        <v>MARÇO</v>
      </c>
      <c r="C78" s="35">
        <v>78328849</v>
      </c>
      <c r="D78" s="35">
        <v>9847728</v>
      </c>
      <c r="E78" s="35" t="s">
        <v>310</v>
      </c>
      <c r="F78" s="36">
        <v>46093</v>
      </c>
      <c r="G78" s="35" t="s">
        <v>13</v>
      </c>
      <c r="H78" s="35">
        <v>35575473880</v>
      </c>
      <c r="I78" s="35" t="s">
        <v>299</v>
      </c>
      <c r="J78" s="36"/>
      <c r="K78" s="35" t="s">
        <v>285</v>
      </c>
      <c r="L78" s="35" t="s">
        <v>276</v>
      </c>
      <c r="M78" s="35" t="s">
        <v>277</v>
      </c>
      <c r="N78" s="37" t="s">
        <v>314</v>
      </c>
      <c r="P78" s="35" t="s">
        <v>279</v>
      </c>
      <c r="Q78" s="35" t="s">
        <v>286</v>
      </c>
      <c r="R78" s="35" t="s">
        <v>280</v>
      </c>
      <c r="S78" s="35">
        <v>1</v>
      </c>
      <c r="T78" s="38"/>
      <c r="V78" s="39"/>
      <c r="X78" s="39" t="s">
        <v>281</v>
      </c>
      <c r="Y78" s="39">
        <v>28</v>
      </c>
      <c r="AB78" s="53">
        <v>28</v>
      </c>
      <c r="AC78" s="35" t="s">
        <v>277</v>
      </c>
    </row>
    <row r="79" spans="1:29" x14ac:dyDescent="0.2">
      <c r="A79" s="48">
        <f t="shared" si="2"/>
        <v>2026</v>
      </c>
      <c r="B79" s="49" t="str">
        <f t="shared" si="3"/>
        <v>MARÇO</v>
      </c>
      <c r="C79" s="35">
        <v>81928444</v>
      </c>
      <c r="D79" s="35">
        <v>9847728</v>
      </c>
      <c r="E79" s="35" t="s">
        <v>310</v>
      </c>
      <c r="F79" s="36">
        <v>46092</v>
      </c>
      <c r="G79" s="35" t="s">
        <v>13</v>
      </c>
      <c r="H79" s="35">
        <v>35575473880</v>
      </c>
      <c r="I79" s="35" t="s">
        <v>299</v>
      </c>
      <c r="J79" s="36"/>
      <c r="K79" s="35" t="s">
        <v>306</v>
      </c>
      <c r="L79" s="35" t="s">
        <v>282</v>
      </c>
      <c r="M79" s="35" t="s">
        <v>277</v>
      </c>
      <c r="N79" s="37" t="s">
        <v>278</v>
      </c>
      <c r="P79" s="35" t="s">
        <v>279</v>
      </c>
      <c r="Q79" s="35" t="s">
        <v>286</v>
      </c>
      <c r="R79" s="35" t="s">
        <v>280</v>
      </c>
      <c r="S79" s="35">
        <v>1</v>
      </c>
      <c r="T79" s="38"/>
      <c r="V79" s="39"/>
      <c r="X79" s="39" t="s">
        <v>281</v>
      </c>
      <c r="Y79" s="39">
        <v>7</v>
      </c>
      <c r="AB79" s="53">
        <v>7</v>
      </c>
      <c r="AC79" s="35" t="s">
        <v>277</v>
      </c>
    </row>
    <row r="80" spans="1:29" x14ac:dyDescent="0.2">
      <c r="A80" s="48">
        <f t="shared" si="2"/>
        <v>2026</v>
      </c>
      <c r="B80" s="49" t="str">
        <f t="shared" si="3"/>
        <v>MARÇO</v>
      </c>
      <c r="C80" s="35">
        <v>78329000</v>
      </c>
      <c r="D80" s="35">
        <v>9847728</v>
      </c>
      <c r="E80" s="35" t="s">
        <v>310</v>
      </c>
      <c r="F80" s="36">
        <v>46092</v>
      </c>
      <c r="G80" s="35" t="s">
        <v>13</v>
      </c>
      <c r="H80" s="35">
        <v>35575473880</v>
      </c>
      <c r="I80" s="35" t="s">
        <v>299</v>
      </c>
      <c r="J80" s="36"/>
      <c r="K80" s="35" t="s">
        <v>285</v>
      </c>
      <c r="L80" s="35" t="s">
        <v>276</v>
      </c>
      <c r="M80" s="35" t="s">
        <v>277</v>
      </c>
      <c r="N80" s="37" t="s">
        <v>314</v>
      </c>
      <c r="P80" s="35" t="s">
        <v>279</v>
      </c>
      <c r="Q80" s="35" t="s">
        <v>286</v>
      </c>
      <c r="R80" s="35" t="s">
        <v>280</v>
      </c>
      <c r="S80" s="35">
        <v>1</v>
      </c>
      <c r="T80" s="38"/>
      <c r="V80" s="39"/>
      <c r="X80" s="39" t="s">
        <v>281</v>
      </c>
      <c r="Y80" s="39">
        <v>44.34</v>
      </c>
      <c r="AB80" s="53">
        <v>44.34</v>
      </c>
      <c r="AC80" s="35" t="s">
        <v>277</v>
      </c>
    </row>
    <row r="81" spans="1:29" x14ac:dyDescent="0.2">
      <c r="A81" s="48">
        <f t="shared" si="2"/>
        <v>2026</v>
      </c>
      <c r="B81" s="49" t="str">
        <f t="shared" si="3"/>
        <v>MARÇO</v>
      </c>
      <c r="C81" s="35">
        <v>78328668</v>
      </c>
      <c r="D81" s="35">
        <v>9847728</v>
      </c>
      <c r="E81" s="35" t="s">
        <v>310</v>
      </c>
      <c r="F81" s="36">
        <v>46092</v>
      </c>
      <c r="G81" s="35" t="s">
        <v>13</v>
      </c>
      <c r="H81" s="35">
        <v>35575473880</v>
      </c>
      <c r="I81" s="35" t="s">
        <v>299</v>
      </c>
      <c r="J81" s="36"/>
      <c r="K81" s="35" t="s">
        <v>285</v>
      </c>
      <c r="L81" s="35" t="s">
        <v>276</v>
      </c>
      <c r="M81" s="35" t="s">
        <v>277</v>
      </c>
      <c r="N81" s="37" t="s">
        <v>314</v>
      </c>
      <c r="P81" s="35" t="s">
        <v>279</v>
      </c>
      <c r="Q81" s="35" t="s">
        <v>286</v>
      </c>
      <c r="R81" s="35" t="s">
        <v>280</v>
      </c>
      <c r="S81" s="35">
        <v>1</v>
      </c>
      <c r="T81" s="38"/>
      <c r="V81" s="39"/>
      <c r="X81" s="39" t="s">
        <v>281</v>
      </c>
      <c r="Y81" s="39">
        <v>21.6</v>
      </c>
      <c r="AB81" s="53">
        <v>21.6</v>
      </c>
      <c r="AC81" s="35" t="s">
        <v>277</v>
      </c>
    </row>
    <row r="82" spans="1:29" x14ac:dyDescent="0.2">
      <c r="A82" s="48">
        <f t="shared" si="2"/>
        <v>2026</v>
      </c>
      <c r="B82" s="49" t="str">
        <f t="shared" si="3"/>
        <v>MARÇO</v>
      </c>
      <c r="C82" s="35">
        <v>78328065</v>
      </c>
      <c r="D82" s="35">
        <v>9847728</v>
      </c>
      <c r="E82" s="35" t="s">
        <v>310</v>
      </c>
      <c r="F82" s="36">
        <v>46091</v>
      </c>
      <c r="G82" s="35" t="s">
        <v>13</v>
      </c>
      <c r="H82" s="35">
        <v>35575473880</v>
      </c>
      <c r="I82" s="35" t="s">
        <v>299</v>
      </c>
      <c r="J82" s="36"/>
      <c r="K82" s="35" t="s">
        <v>285</v>
      </c>
      <c r="L82" s="35" t="s">
        <v>276</v>
      </c>
      <c r="M82" s="35" t="s">
        <v>277</v>
      </c>
      <c r="N82" s="37" t="s">
        <v>314</v>
      </c>
      <c r="P82" s="35" t="s">
        <v>279</v>
      </c>
      <c r="Q82" s="35" t="s">
        <v>286</v>
      </c>
      <c r="R82" s="35" t="s">
        <v>280</v>
      </c>
      <c r="S82" s="35">
        <v>1</v>
      </c>
      <c r="T82" s="38"/>
      <c r="V82" s="39"/>
      <c r="X82" s="39" t="s">
        <v>281</v>
      </c>
      <c r="Y82" s="39">
        <v>69.8</v>
      </c>
      <c r="AB82" s="53">
        <v>69.8</v>
      </c>
      <c r="AC82" s="35" t="s">
        <v>277</v>
      </c>
    </row>
    <row r="83" spans="1:29" x14ac:dyDescent="0.2">
      <c r="A83" s="48">
        <f t="shared" si="2"/>
        <v>2026</v>
      </c>
      <c r="B83" s="49" t="str">
        <f t="shared" si="3"/>
        <v>MARÇO</v>
      </c>
      <c r="C83" s="35">
        <v>78328934</v>
      </c>
      <c r="D83" s="35">
        <v>9847728</v>
      </c>
      <c r="E83" s="35" t="s">
        <v>310</v>
      </c>
      <c r="F83" s="36">
        <v>46090</v>
      </c>
      <c r="G83" s="35" t="s">
        <v>13</v>
      </c>
      <c r="H83" s="35">
        <v>35575473880</v>
      </c>
      <c r="I83" s="35" t="s">
        <v>299</v>
      </c>
      <c r="J83" s="36"/>
      <c r="K83" s="35" t="s">
        <v>285</v>
      </c>
      <c r="L83" s="35" t="s">
        <v>276</v>
      </c>
      <c r="M83" s="35" t="s">
        <v>277</v>
      </c>
      <c r="N83" s="37" t="s">
        <v>314</v>
      </c>
      <c r="P83" s="35" t="s">
        <v>279</v>
      </c>
      <c r="Q83" s="35" t="s">
        <v>286</v>
      </c>
      <c r="R83" s="35" t="s">
        <v>280</v>
      </c>
      <c r="S83" s="35">
        <v>1</v>
      </c>
      <c r="T83" s="38"/>
      <c r="V83" s="39"/>
      <c r="X83" s="39" t="s">
        <v>281</v>
      </c>
      <c r="Y83" s="39">
        <v>70</v>
      </c>
      <c r="AB83" s="53">
        <v>70</v>
      </c>
      <c r="AC83" s="35" t="s">
        <v>277</v>
      </c>
    </row>
    <row r="84" spans="1:29" x14ac:dyDescent="0.2">
      <c r="A84" s="48">
        <f t="shared" si="2"/>
        <v>2026</v>
      </c>
      <c r="B84" s="49" t="str">
        <f t="shared" si="3"/>
        <v>MARÇO</v>
      </c>
      <c r="C84" s="35">
        <v>78328155</v>
      </c>
      <c r="D84" s="35">
        <v>9847728</v>
      </c>
      <c r="E84" s="35" t="s">
        <v>310</v>
      </c>
      <c r="F84" s="36">
        <v>46087</v>
      </c>
      <c r="G84" s="35" t="s">
        <v>13</v>
      </c>
      <c r="H84" s="35">
        <v>35575473880</v>
      </c>
      <c r="I84" s="35" t="s">
        <v>299</v>
      </c>
      <c r="J84" s="36"/>
      <c r="K84" s="35" t="s">
        <v>285</v>
      </c>
      <c r="L84" s="35" t="s">
        <v>276</v>
      </c>
      <c r="M84" s="35" t="s">
        <v>277</v>
      </c>
      <c r="N84" s="37" t="s">
        <v>314</v>
      </c>
      <c r="P84" s="35" t="s">
        <v>279</v>
      </c>
      <c r="Q84" s="35" t="s">
        <v>286</v>
      </c>
      <c r="R84" s="35" t="s">
        <v>280</v>
      </c>
      <c r="S84" s="35">
        <v>1</v>
      </c>
      <c r="T84" s="38"/>
      <c r="V84" s="39"/>
      <c r="X84" s="39" t="s">
        <v>281</v>
      </c>
      <c r="Y84" s="39">
        <v>369.9</v>
      </c>
      <c r="AB84" s="53">
        <v>369.9</v>
      </c>
      <c r="AC84" s="35" t="s">
        <v>277</v>
      </c>
    </row>
    <row r="85" spans="1:29" x14ac:dyDescent="0.2">
      <c r="A85" s="48">
        <f t="shared" si="2"/>
        <v>2026</v>
      </c>
      <c r="B85" s="49" t="str">
        <f t="shared" si="3"/>
        <v>MARÇO</v>
      </c>
      <c r="C85" s="35">
        <v>78249483</v>
      </c>
      <c r="D85" s="35">
        <v>9847728</v>
      </c>
      <c r="E85" s="35" t="s">
        <v>310</v>
      </c>
      <c r="F85" s="36">
        <v>46087</v>
      </c>
      <c r="G85" s="35" t="s">
        <v>13</v>
      </c>
      <c r="H85" s="35">
        <v>35575473880</v>
      </c>
      <c r="I85" s="35" t="s">
        <v>299</v>
      </c>
      <c r="J85" s="36"/>
      <c r="K85" s="35" t="s">
        <v>285</v>
      </c>
      <c r="L85" s="35" t="s">
        <v>276</v>
      </c>
      <c r="M85" s="35" t="s">
        <v>277</v>
      </c>
      <c r="N85" s="37" t="s">
        <v>314</v>
      </c>
      <c r="P85" s="35" t="s">
        <v>279</v>
      </c>
      <c r="Q85" s="35" t="s">
        <v>286</v>
      </c>
      <c r="R85" s="35" t="s">
        <v>280</v>
      </c>
      <c r="S85" s="35">
        <v>1</v>
      </c>
      <c r="T85" s="38"/>
      <c r="V85" s="39"/>
      <c r="X85" s="39" t="s">
        <v>281</v>
      </c>
      <c r="Y85" s="39">
        <v>10.5</v>
      </c>
      <c r="AB85" s="53">
        <v>10.5</v>
      </c>
      <c r="AC85" s="35" t="s">
        <v>277</v>
      </c>
    </row>
    <row r="86" spans="1:29" x14ac:dyDescent="0.2">
      <c r="A86" s="48">
        <f t="shared" si="2"/>
        <v>2026</v>
      </c>
      <c r="B86" s="49" t="str">
        <f t="shared" si="3"/>
        <v>MARÇO</v>
      </c>
      <c r="C86" s="35">
        <v>81928587</v>
      </c>
      <c r="D86" s="35">
        <v>9847728</v>
      </c>
      <c r="E86" s="35" t="s">
        <v>310</v>
      </c>
      <c r="F86" s="36">
        <v>46086</v>
      </c>
      <c r="G86" s="35" t="s">
        <v>13</v>
      </c>
      <c r="H86" s="35">
        <v>35575473880</v>
      </c>
      <c r="I86" s="35" t="s">
        <v>299</v>
      </c>
      <c r="J86" s="36"/>
      <c r="K86" s="35" t="s">
        <v>285</v>
      </c>
      <c r="L86" s="35" t="s">
        <v>276</v>
      </c>
      <c r="M86" s="35" t="s">
        <v>277</v>
      </c>
      <c r="N86" s="37" t="s">
        <v>278</v>
      </c>
      <c r="P86" s="35" t="s">
        <v>279</v>
      </c>
      <c r="Q86" s="35" t="s">
        <v>286</v>
      </c>
      <c r="R86" s="35" t="s">
        <v>280</v>
      </c>
      <c r="S86" s="35">
        <v>1</v>
      </c>
      <c r="T86" s="38"/>
      <c r="V86" s="39"/>
      <c r="X86" s="39" t="s">
        <v>281</v>
      </c>
      <c r="Y86" s="39">
        <v>112.6</v>
      </c>
      <c r="AB86" s="53">
        <v>112.6</v>
      </c>
      <c r="AC86" s="35" t="s">
        <v>277</v>
      </c>
    </row>
    <row r="87" spans="1:29" x14ac:dyDescent="0.2">
      <c r="A87" s="48">
        <f t="shared" si="2"/>
        <v>2026</v>
      </c>
      <c r="B87" s="49" t="str">
        <f t="shared" si="3"/>
        <v>MARÇO</v>
      </c>
      <c r="C87" s="35">
        <v>79661014</v>
      </c>
      <c r="D87" s="35">
        <v>9847728</v>
      </c>
      <c r="E87" s="35" t="s">
        <v>310</v>
      </c>
      <c r="F87" s="36">
        <v>46082</v>
      </c>
      <c r="G87" s="35" t="s">
        <v>13</v>
      </c>
      <c r="H87" s="35">
        <v>35575473880</v>
      </c>
      <c r="I87" s="35" t="s">
        <v>299</v>
      </c>
      <c r="J87" s="36"/>
      <c r="K87" s="35" t="s">
        <v>291</v>
      </c>
      <c r="L87" s="35" t="s">
        <v>282</v>
      </c>
      <c r="M87" s="35" t="s">
        <v>277</v>
      </c>
      <c r="N87" s="37" t="s">
        <v>315</v>
      </c>
      <c r="P87" s="35" t="s">
        <v>279</v>
      </c>
      <c r="Q87" s="35" t="s">
        <v>286</v>
      </c>
      <c r="R87" s="35" t="s">
        <v>280</v>
      </c>
      <c r="S87" s="35">
        <v>1</v>
      </c>
      <c r="T87" s="38"/>
      <c r="V87" s="39"/>
      <c r="X87" s="39" t="s">
        <v>281</v>
      </c>
      <c r="Y87" s="39">
        <v>261.5</v>
      </c>
      <c r="AB87" s="53">
        <v>261.5</v>
      </c>
      <c r="AC87" s="35" t="s">
        <v>277</v>
      </c>
    </row>
    <row r="88" spans="1:29" x14ac:dyDescent="0.2">
      <c r="A88" s="48">
        <f t="shared" si="2"/>
        <v>2026</v>
      </c>
      <c r="B88" s="49" t="str">
        <f t="shared" si="3"/>
        <v>FEVEREIRO</v>
      </c>
      <c r="C88" s="35">
        <v>78277156</v>
      </c>
      <c r="D88" s="35">
        <v>9644206</v>
      </c>
      <c r="E88" s="35" t="s">
        <v>316</v>
      </c>
      <c r="F88" s="36">
        <v>46081</v>
      </c>
      <c r="G88" s="35" t="s">
        <v>13</v>
      </c>
      <c r="H88" s="35">
        <v>35575473880</v>
      </c>
      <c r="I88" s="35" t="s">
        <v>299</v>
      </c>
      <c r="J88" s="36"/>
      <c r="K88" s="35" t="s">
        <v>306</v>
      </c>
      <c r="L88" s="35" t="s">
        <v>282</v>
      </c>
      <c r="M88" s="35" t="s">
        <v>277</v>
      </c>
      <c r="N88" s="37" t="s">
        <v>317</v>
      </c>
      <c r="P88" s="35" t="s">
        <v>279</v>
      </c>
      <c r="Q88" s="35" t="s">
        <v>286</v>
      </c>
      <c r="R88" s="35" t="s">
        <v>280</v>
      </c>
      <c r="S88" s="35">
        <v>1</v>
      </c>
      <c r="T88" s="38"/>
      <c r="V88" s="39"/>
      <c r="X88" s="39" t="s">
        <v>281</v>
      </c>
      <c r="Y88" s="39">
        <v>458.5</v>
      </c>
      <c r="AB88" s="53">
        <v>458.5</v>
      </c>
      <c r="AC88" s="35" t="s">
        <v>277</v>
      </c>
    </row>
    <row r="89" spans="1:29" x14ac:dyDescent="0.2">
      <c r="A89" s="48">
        <f t="shared" si="2"/>
        <v>2026</v>
      </c>
      <c r="B89" s="49" t="str">
        <f t="shared" si="3"/>
        <v>FEVEREIRO</v>
      </c>
      <c r="C89" s="35">
        <v>78250085</v>
      </c>
      <c r="D89" s="35">
        <v>9644206</v>
      </c>
      <c r="E89" s="35" t="s">
        <v>316</v>
      </c>
      <c r="F89" s="36">
        <v>46080</v>
      </c>
      <c r="G89" s="35" t="s">
        <v>13</v>
      </c>
      <c r="H89" s="35">
        <v>35575473880</v>
      </c>
      <c r="I89" s="35" t="s">
        <v>299</v>
      </c>
      <c r="J89" s="36"/>
      <c r="K89" s="35" t="s">
        <v>285</v>
      </c>
      <c r="L89" s="35" t="s">
        <v>276</v>
      </c>
      <c r="M89" s="35" t="s">
        <v>277</v>
      </c>
      <c r="N89" s="37" t="s">
        <v>314</v>
      </c>
      <c r="P89" s="35" t="s">
        <v>279</v>
      </c>
      <c r="Q89" s="35" t="s">
        <v>286</v>
      </c>
      <c r="R89" s="35" t="s">
        <v>280</v>
      </c>
      <c r="S89" s="35">
        <v>1</v>
      </c>
      <c r="T89" s="38"/>
      <c r="V89" s="39"/>
      <c r="X89" s="39" t="s">
        <v>281</v>
      </c>
      <c r="Y89" s="39">
        <v>11</v>
      </c>
      <c r="AB89" s="53">
        <v>11</v>
      </c>
      <c r="AC89" s="35" t="s">
        <v>277</v>
      </c>
    </row>
    <row r="90" spans="1:29" x14ac:dyDescent="0.2">
      <c r="A90" s="48">
        <f t="shared" si="2"/>
        <v>2026</v>
      </c>
      <c r="B90" s="49" t="str">
        <f t="shared" si="3"/>
        <v>FEVEREIRO</v>
      </c>
      <c r="C90" s="35">
        <v>78250312</v>
      </c>
      <c r="D90" s="35">
        <v>9644206</v>
      </c>
      <c r="E90" s="35" t="s">
        <v>316</v>
      </c>
      <c r="F90" s="36">
        <v>46079</v>
      </c>
      <c r="G90" s="35" t="s">
        <v>13</v>
      </c>
      <c r="H90" s="35">
        <v>35575473880</v>
      </c>
      <c r="I90" s="35" t="s">
        <v>299</v>
      </c>
      <c r="J90" s="36"/>
      <c r="K90" s="35" t="s">
        <v>285</v>
      </c>
      <c r="L90" s="35" t="s">
        <v>276</v>
      </c>
      <c r="M90" s="35" t="s">
        <v>277</v>
      </c>
      <c r="N90" s="37" t="s">
        <v>314</v>
      </c>
      <c r="P90" s="35" t="s">
        <v>279</v>
      </c>
      <c r="Q90" s="35" t="s">
        <v>286</v>
      </c>
      <c r="R90" s="35" t="s">
        <v>280</v>
      </c>
      <c r="S90" s="35">
        <v>1</v>
      </c>
      <c r="T90" s="38"/>
      <c r="V90" s="39"/>
      <c r="X90" s="39" t="s">
        <v>281</v>
      </c>
      <c r="Y90" s="39">
        <v>50</v>
      </c>
      <c r="AB90" s="53">
        <v>50</v>
      </c>
      <c r="AC90" s="35" t="s">
        <v>277</v>
      </c>
    </row>
    <row r="91" spans="1:29" x14ac:dyDescent="0.2">
      <c r="A91" s="48">
        <f t="shared" si="2"/>
        <v>2026</v>
      </c>
      <c r="B91" s="49" t="str">
        <f t="shared" si="3"/>
        <v>FEVEREIRO</v>
      </c>
      <c r="C91" s="35">
        <v>78250207</v>
      </c>
      <c r="D91" s="35">
        <v>9644206</v>
      </c>
      <c r="E91" s="35" t="s">
        <v>316</v>
      </c>
      <c r="F91" s="36">
        <v>46076</v>
      </c>
      <c r="G91" s="35" t="s">
        <v>13</v>
      </c>
      <c r="H91" s="35">
        <v>35575473880</v>
      </c>
      <c r="I91" s="35" t="s">
        <v>299</v>
      </c>
      <c r="J91" s="36"/>
      <c r="K91" s="35" t="s">
        <v>285</v>
      </c>
      <c r="L91" s="35" t="s">
        <v>276</v>
      </c>
      <c r="M91" s="35" t="s">
        <v>277</v>
      </c>
      <c r="N91" s="37" t="s">
        <v>314</v>
      </c>
      <c r="P91" s="35" t="s">
        <v>279</v>
      </c>
      <c r="Q91" s="35" t="s">
        <v>286</v>
      </c>
      <c r="R91" s="35" t="s">
        <v>280</v>
      </c>
      <c r="S91" s="35">
        <v>1</v>
      </c>
      <c r="T91" s="38"/>
      <c r="V91" s="39"/>
      <c r="X91" s="39" t="s">
        <v>281</v>
      </c>
      <c r="Y91" s="39">
        <v>211.24</v>
      </c>
      <c r="AB91" s="53">
        <v>211.24</v>
      </c>
      <c r="AC91" s="35" t="s">
        <v>277</v>
      </c>
    </row>
    <row r="92" spans="1:29" x14ac:dyDescent="0.2">
      <c r="A92" s="48">
        <f t="shared" si="2"/>
        <v>2026</v>
      </c>
      <c r="B92" s="49" t="str">
        <f t="shared" si="3"/>
        <v>FEVEREIRO</v>
      </c>
      <c r="C92" s="35">
        <v>78250130</v>
      </c>
      <c r="D92" s="35">
        <v>9644206</v>
      </c>
      <c r="E92" s="35" t="s">
        <v>316</v>
      </c>
      <c r="F92" s="36">
        <v>46076</v>
      </c>
      <c r="G92" s="35" t="s">
        <v>13</v>
      </c>
      <c r="H92" s="35">
        <v>35575473880</v>
      </c>
      <c r="I92" s="35" t="s">
        <v>299</v>
      </c>
      <c r="J92" s="36"/>
      <c r="K92" s="35" t="s">
        <v>285</v>
      </c>
      <c r="L92" s="35" t="s">
        <v>276</v>
      </c>
      <c r="M92" s="35" t="s">
        <v>277</v>
      </c>
      <c r="N92" s="37" t="s">
        <v>314</v>
      </c>
      <c r="P92" s="35" t="s">
        <v>279</v>
      </c>
      <c r="Q92" s="35" t="s">
        <v>286</v>
      </c>
      <c r="R92" s="35" t="s">
        <v>280</v>
      </c>
      <c r="S92" s="35">
        <v>1</v>
      </c>
      <c r="T92" s="38"/>
      <c r="V92" s="39"/>
      <c r="X92" s="39" t="s">
        <v>281</v>
      </c>
      <c r="Y92" s="39">
        <v>6.48</v>
      </c>
      <c r="AB92" s="53">
        <v>6.48</v>
      </c>
      <c r="AC92" s="35" t="s">
        <v>277</v>
      </c>
    </row>
    <row r="93" spans="1:29" x14ac:dyDescent="0.2">
      <c r="A93" s="48">
        <f t="shared" si="2"/>
        <v>2026</v>
      </c>
      <c r="B93" s="49" t="str">
        <f t="shared" si="3"/>
        <v>FEVEREIRO</v>
      </c>
      <c r="C93" s="35">
        <v>78250052</v>
      </c>
      <c r="D93" s="35">
        <v>9644206</v>
      </c>
      <c r="E93" s="35" t="s">
        <v>316</v>
      </c>
      <c r="F93" s="36">
        <v>46076</v>
      </c>
      <c r="G93" s="35" t="s">
        <v>13</v>
      </c>
      <c r="H93" s="35">
        <v>35575473880</v>
      </c>
      <c r="I93" s="35" t="s">
        <v>299</v>
      </c>
      <c r="J93" s="36"/>
      <c r="K93" s="35" t="s">
        <v>285</v>
      </c>
      <c r="L93" s="35" t="s">
        <v>276</v>
      </c>
      <c r="M93" s="35" t="s">
        <v>277</v>
      </c>
      <c r="N93" s="37" t="s">
        <v>314</v>
      </c>
      <c r="P93" s="35" t="s">
        <v>279</v>
      </c>
      <c r="Q93" s="35" t="s">
        <v>286</v>
      </c>
      <c r="R93" s="35" t="s">
        <v>280</v>
      </c>
      <c r="S93" s="35">
        <v>1</v>
      </c>
      <c r="T93" s="38"/>
      <c r="V93" s="39"/>
      <c r="X93" s="39" t="s">
        <v>281</v>
      </c>
      <c r="Y93" s="39">
        <v>29.5</v>
      </c>
      <c r="AB93" s="53">
        <v>29.5</v>
      </c>
      <c r="AC93" s="35" t="s">
        <v>277</v>
      </c>
    </row>
    <row r="94" spans="1:29" x14ac:dyDescent="0.2">
      <c r="A94" s="48">
        <f t="shared" si="2"/>
        <v>2026</v>
      </c>
      <c r="B94" s="49" t="str">
        <f t="shared" si="3"/>
        <v>FEVEREIRO</v>
      </c>
      <c r="C94" s="35">
        <v>77074949</v>
      </c>
      <c r="D94" s="35">
        <v>9644206</v>
      </c>
      <c r="E94" s="35" t="s">
        <v>316</v>
      </c>
      <c r="F94" s="36">
        <v>46076</v>
      </c>
      <c r="G94" s="35" t="s">
        <v>13</v>
      </c>
      <c r="H94" s="35">
        <v>35575473880</v>
      </c>
      <c r="I94" s="35" t="s">
        <v>299</v>
      </c>
      <c r="J94" s="36"/>
      <c r="K94" s="35" t="s">
        <v>306</v>
      </c>
      <c r="L94" s="35" t="s">
        <v>282</v>
      </c>
      <c r="M94" s="35" t="s">
        <v>277</v>
      </c>
      <c r="N94" s="37" t="s">
        <v>314</v>
      </c>
      <c r="P94" s="35" t="s">
        <v>279</v>
      </c>
      <c r="Q94" s="35" t="s">
        <v>286</v>
      </c>
      <c r="R94" s="35" t="s">
        <v>280</v>
      </c>
      <c r="S94" s="35">
        <v>1</v>
      </c>
      <c r="T94" s="38"/>
      <c r="V94" s="39"/>
      <c r="X94" s="39" t="s">
        <v>281</v>
      </c>
      <c r="Y94" s="39">
        <v>57.08</v>
      </c>
      <c r="AB94" s="53">
        <v>57.08</v>
      </c>
      <c r="AC94" s="35" t="s">
        <v>277</v>
      </c>
    </row>
    <row r="95" spans="1:29" x14ac:dyDescent="0.2">
      <c r="A95" s="48">
        <f t="shared" si="2"/>
        <v>2026</v>
      </c>
      <c r="B95" s="49" t="str">
        <f t="shared" si="3"/>
        <v>FEVEREIRO</v>
      </c>
      <c r="C95" s="35">
        <v>77074688</v>
      </c>
      <c r="D95" s="35">
        <v>9644206</v>
      </c>
      <c r="E95" s="35" t="s">
        <v>316</v>
      </c>
      <c r="F95" s="36">
        <v>46073</v>
      </c>
      <c r="G95" s="35" t="s">
        <v>13</v>
      </c>
      <c r="H95" s="35">
        <v>35575473880</v>
      </c>
      <c r="I95" s="35" t="s">
        <v>299</v>
      </c>
      <c r="J95" s="36"/>
      <c r="K95" s="35" t="s">
        <v>285</v>
      </c>
      <c r="L95" s="35" t="s">
        <v>276</v>
      </c>
      <c r="M95" s="35" t="s">
        <v>277</v>
      </c>
      <c r="N95" s="37" t="s">
        <v>314</v>
      </c>
      <c r="P95" s="35" t="s">
        <v>279</v>
      </c>
      <c r="Q95" s="35" t="s">
        <v>286</v>
      </c>
      <c r="R95" s="35" t="s">
        <v>280</v>
      </c>
      <c r="S95" s="35">
        <v>1</v>
      </c>
      <c r="T95" s="38"/>
      <c r="V95" s="39"/>
      <c r="X95" s="39" t="s">
        <v>281</v>
      </c>
      <c r="Y95" s="39">
        <v>15.42</v>
      </c>
      <c r="AB95" s="53">
        <v>15.42</v>
      </c>
      <c r="AC95" s="35" t="s">
        <v>277</v>
      </c>
    </row>
    <row r="96" spans="1:29" x14ac:dyDescent="0.2">
      <c r="A96" s="48">
        <f t="shared" si="2"/>
        <v>2026</v>
      </c>
      <c r="B96" s="49" t="str">
        <f t="shared" si="3"/>
        <v>FEVEREIRO</v>
      </c>
      <c r="C96" s="35">
        <v>76920020</v>
      </c>
      <c r="D96" s="35">
        <v>9644206</v>
      </c>
      <c r="E96" s="35" t="s">
        <v>316</v>
      </c>
      <c r="F96" s="36">
        <v>46073</v>
      </c>
      <c r="G96" s="35" t="s">
        <v>13</v>
      </c>
      <c r="H96" s="35">
        <v>35575473880</v>
      </c>
      <c r="I96" s="35" t="s">
        <v>299</v>
      </c>
      <c r="J96" s="36"/>
      <c r="K96" s="35" t="s">
        <v>306</v>
      </c>
      <c r="L96" s="35" t="s">
        <v>282</v>
      </c>
      <c r="M96" s="35" t="s">
        <v>277</v>
      </c>
      <c r="N96" s="37" t="s">
        <v>314</v>
      </c>
      <c r="P96" s="35" t="s">
        <v>279</v>
      </c>
      <c r="Q96" s="35" t="s">
        <v>286</v>
      </c>
      <c r="R96" s="35" t="s">
        <v>280</v>
      </c>
      <c r="S96" s="35">
        <v>1</v>
      </c>
      <c r="T96" s="38"/>
      <c r="V96" s="39"/>
      <c r="X96" s="39" t="s">
        <v>281</v>
      </c>
      <c r="Y96" s="39">
        <v>47</v>
      </c>
      <c r="AB96" s="53">
        <v>47</v>
      </c>
      <c r="AC96" s="35" t="s">
        <v>277</v>
      </c>
    </row>
    <row r="97" spans="1:29" x14ac:dyDescent="0.2">
      <c r="A97" s="48">
        <f t="shared" si="2"/>
        <v>2026</v>
      </c>
      <c r="B97" s="49" t="str">
        <f t="shared" si="3"/>
        <v>FEVEREIRO</v>
      </c>
      <c r="C97" s="35">
        <v>77074793</v>
      </c>
      <c r="D97" s="35">
        <v>9644206</v>
      </c>
      <c r="E97" s="35" t="s">
        <v>316</v>
      </c>
      <c r="F97" s="36">
        <v>46072</v>
      </c>
      <c r="G97" s="35" t="s">
        <v>13</v>
      </c>
      <c r="H97" s="35">
        <v>35575473880</v>
      </c>
      <c r="I97" s="35" t="s">
        <v>299</v>
      </c>
      <c r="J97" s="36"/>
      <c r="K97" s="35" t="s">
        <v>285</v>
      </c>
      <c r="L97" s="35" t="s">
        <v>276</v>
      </c>
      <c r="M97" s="35" t="s">
        <v>277</v>
      </c>
      <c r="N97" s="37" t="s">
        <v>314</v>
      </c>
      <c r="P97" s="35" t="s">
        <v>279</v>
      </c>
      <c r="Q97" s="35" t="s">
        <v>286</v>
      </c>
      <c r="R97" s="35" t="s">
        <v>280</v>
      </c>
      <c r="S97" s="35">
        <v>1</v>
      </c>
      <c r="T97" s="38"/>
      <c r="V97" s="39"/>
      <c r="X97" s="39" t="s">
        <v>281</v>
      </c>
      <c r="Y97" s="39">
        <v>149.99</v>
      </c>
      <c r="AB97" s="53">
        <v>149.99</v>
      </c>
      <c r="AC97" s="35" t="s">
        <v>277</v>
      </c>
    </row>
    <row r="98" spans="1:29" x14ac:dyDescent="0.2">
      <c r="A98" s="48">
        <f t="shared" si="2"/>
        <v>2026</v>
      </c>
      <c r="B98" s="49" t="str">
        <f t="shared" si="3"/>
        <v>FEVEREIRO</v>
      </c>
      <c r="C98" s="35">
        <v>77074757</v>
      </c>
      <c r="D98" s="35">
        <v>9644206</v>
      </c>
      <c r="E98" s="35" t="s">
        <v>316</v>
      </c>
      <c r="F98" s="36">
        <v>46072</v>
      </c>
      <c r="G98" s="35" t="s">
        <v>13</v>
      </c>
      <c r="H98" s="35">
        <v>35575473880</v>
      </c>
      <c r="I98" s="35" t="s">
        <v>299</v>
      </c>
      <c r="J98" s="36"/>
      <c r="K98" s="35" t="s">
        <v>285</v>
      </c>
      <c r="L98" s="35" t="s">
        <v>276</v>
      </c>
      <c r="M98" s="35" t="s">
        <v>277</v>
      </c>
      <c r="N98" s="37" t="s">
        <v>314</v>
      </c>
      <c r="P98" s="35" t="s">
        <v>279</v>
      </c>
      <c r="Q98" s="35" t="s">
        <v>286</v>
      </c>
      <c r="R98" s="35" t="s">
        <v>280</v>
      </c>
      <c r="S98" s="35">
        <v>1</v>
      </c>
      <c r="T98" s="38"/>
      <c r="V98" s="39"/>
      <c r="X98" s="39" t="s">
        <v>281</v>
      </c>
      <c r="Y98" s="39">
        <v>13.96</v>
      </c>
      <c r="AB98" s="53">
        <v>13.96</v>
      </c>
      <c r="AC98" s="35" t="s">
        <v>277</v>
      </c>
    </row>
    <row r="99" spans="1:29" x14ac:dyDescent="0.2">
      <c r="A99" s="48">
        <f t="shared" si="2"/>
        <v>2026</v>
      </c>
      <c r="B99" s="49" t="str">
        <f t="shared" si="3"/>
        <v>FEVEREIRO</v>
      </c>
      <c r="C99" s="35">
        <v>77074466</v>
      </c>
      <c r="D99" s="35">
        <v>9644206</v>
      </c>
      <c r="E99" s="35" t="s">
        <v>316</v>
      </c>
      <c r="F99" s="36">
        <v>46072</v>
      </c>
      <c r="G99" s="35" t="s">
        <v>13</v>
      </c>
      <c r="H99" s="35">
        <v>35575473880</v>
      </c>
      <c r="I99" s="35" t="s">
        <v>299</v>
      </c>
      <c r="J99" s="36"/>
      <c r="K99" s="35" t="s">
        <v>285</v>
      </c>
      <c r="L99" s="35" t="s">
        <v>276</v>
      </c>
      <c r="M99" s="35" t="s">
        <v>277</v>
      </c>
      <c r="N99" s="37" t="s">
        <v>314</v>
      </c>
      <c r="P99" s="35" t="s">
        <v>279</v>
      </c>
      <c r="Q99" s="35" t="s">
        <v>286</v>
      </c>
      <c r="R99" s="35" t="s">
        <v>280</v>
      </c>
      <c r="S99" s="35">
        <v>1</v>
      </c>
      <c r="T99" s="38"/>
      <c r="V99" s="39"/>
      <c r="X99" s="39" t="s">
        <v>281</v>
      </c>
      <c r="Y99" s="39">
        <v>10.9</v>
      </c>
      <c r="AB99" s="53">
        <v>10.9</v>
      </c>
      <c r="AC99" s="35" t="s">
        <v>277</v>
      </c>
    </row>
    <row r="100" spans="1:29" x14ac:dyDescent="0.2">
      <c r="A100" s="48">
        <f t="shared" si="2"/>
        <v>2026</v>
      </c>
      <c r="B100" s="49" t="str">
        <f t="shared" si="3"/>
        <v>FEVEREIRO</v>
      </c>
      <c r="C100" s="35">
        <v>76919999</v>
      </c>
      <c r="D100" s="35">
        <v>9644206</v>
      </c>
      <c r="E100" s="35" t="s">
        <v>316</v>
      </c>
      <c r="F100" s="36">
        <v>46072</v>
      </c>
      <c r="G100" s="35" t="s">
        <v>13</v>
      </c>
      <c r="H100" s="35">
        <v>35575473880</v>
      </c>
      <c r="I100" s="35" t="s">
        <v>299</v>
      </c>
      <c r="J100" s="36"/>
      <c r="K100" s="35" t="s">
        <v>285</v>
      </c>
      <c r="L100" s="35" t="s">
        <v>276</v>
      </c>
      <c r="M100" s="35" t="s">
        <v>277</v>
      </c>
      <c r="N100" s="37" t="s">
        <v>314</v>
      </c>
      <c r="P100" s="35" t="s">
        <v>279</v>
      </c>
      <c r="Q100" s="35" t="s">
        <v>286</v>
      </c>
      <c r="R100" s="35" t="s">
        <v>280</v>
      </c>
      <c r="S100" s="35">
        <v>1</v>
      </c>
      <c r="T100" s="38"/>
      <c r="V100" s="39"/>
      <c r="X100" s="39" t="s">
        <v>281</v>
      </c>
      <c r="Y100" s="39">
        <v>420</v>
      </c>
      <c r="AB100" s="53">
        <v>420</v>
      </c>
      <c r="AC100" s="35" t="s">
        <v>277</v>
      </c>
    </row>
    <row r="101" spans="1:29" x14ac:dyDescent="0.2">
      <c r="A101" s="48">
        <f t="shared" si="2"/>
        <v>2026</v>
      </c>
      <c r="B101" s="49" t="str">
        <f t="shared" si="3"/>
        <v>FEVEREIRO</v>
      </c>
      <c r="C101" s="35">
        <v>76920059</v>
      </c>
      <c r="D101" s="35">
        <v>9644206</v>
      </c>
      <c r="E101" s="35" t="s">
        <v>316</v>
      </c>
      <c r="F101" s="36">
        <v>46071</v>
      </c>
      <c r="G101" s="35" t="s">
        <v>13</v>
      </c>
      <c r="H101" s="35">
        <v>35575473880</v>
      </c>
      <c r="I101" s="35" t="s">
        <v>299</v>
      </c>
      <c r="J101" s="36"/>
      <c r="K101" s="35" t="s">
        <v>285</v>
      </c>
      <c r="L101" s="35" t="s">
        <v>276</v>
      </c>
      <c r="M101" s="35" t="s">
        <v>277</v>
      </c>
      <c r="N101" s="37" t="s">
        <v>314</v>
      </c>
      <c r="P101" s="35" t="s">
        <v>279</v>
      </c>
      <c r="Q101" s="35" t="s">
        <v>286</v>
      </c>
      <c r="R101" s="35" t="s">
        <v>280</v>
      </c>
      <c r="S101" s="35">
        <v>1</v>
      </c>
      <c r="T101" s="38"/>
      <c r="V101" s="39"/>
      <c r="X101" s="39" t="s">
        <v>281</v>
      </c>
      <c r="Y101" s="39">
        <v>380</v>
      </c>
      <c r="AB101" s="53">
        <v>380</v>
      </c>
      <c r="AC101" s="35" t="s">
        <v>277</v>
      </c>
    </row>
    <row r="102" spans="1:29" x14ac:dyDescent="0.2">
      <c r="A102" s="48">
        <f t="shared" si="2"/>
        <v>2026</v>
      </c>
      <c r="B102" s="49" t="str">
        <f t="shared" si="3"/>
        <v>FEVEREIRO</v>
      </c>
      <c r="C102" s="35">
        <v>76801166</v>
      </c>
      <c r="D102" s="35">
        <v>9644206</v>
      </c>
      <c r="E102" s="35" t="s">
        <v>316</v>
      </c>
      <c r="F102" s="36">
        <v>46071</v>
      </c>
      <c r="G102" s="35" t="s">
        <v>13</v>
      </c>
      <c r="H102" s="35">
        <v>35575473880</v>
      </c>
      <c r="I102" s="35" t="s">
        <v>299</v>
      </c>
      <c r="J102" s="36"/>
      <c r="K102" s="35" t="s">
        <v>306</v>
      </c>
      <c r="L102" s="35" t="s">
        <v>282</v>
      </c>
      <c r="M102" s="35" t="s">
        <v>277</v>
      </c>
      <c r="N102" s="37" t="s">
        <v>314</v>
      </c>
      <c r="P102" s="35" t="s">
        <v>279</v>
      </c>
      <c r="Q102" s="35" t="s">
        <v>286</v>
      </c>
      <c r="R102" s="35" t="s">
        <v>280</v>
      </c>
      <c r="S102" s="35">
        <v>1</v>
      </c>
      <c r="T102" s="38"/>
      <c r="V102" s="39"/>
      <c r="X102" s="39" t="s">
        <v>281</v>
      </c>
      <c r="Y102" s="39">
        <v>37</v>
      </c>
      <c r="AB102" s="53">
        <v>37</v>
      </c>
      <c r="AC102" s="35" t="s">
        <v>277</v>
      </c>
    </row>
    <row r="103" spans="1:29" x14ac:dyDescent="0.2">
      <c r="A103" s="48">
        <f t="shared" si="2"/>
        <v>2026</v>
      </c>
      <c r="B103" s="49" t="str">
        <f t="shared" si="3"/>
        <v>FEVEREIRO</v>
      </c>
      <c r="C103" s="35">
        <v>76801140</v>
      </c>
      <c r="D103" s="35">
        <v>9644206</v>
      </c>
      <c r="E103" s="35" t="s">
        <v>316</v>
      </c>
      <c r="F103" s="36">
        <v>46071</v>
      </c>
      <c r="G103" s="35" t="s">
        <v>13</v>
      </c>
      <c r="H103" s="35">
        <v>35575473880</v>
      </c>
      <c r="I103" s="35" t="s">
        <v>299</v>
      </c>
      <c r="J103" s="36"/>
      <c r="K103" s="35" t="s">
        <v>318</v>
      </c>
      <c r="L103" s="35" t="s">
        <v>283</v>
      </c>
      <c r="M103" s="35" t="s">
        <v>277</v>
      </c>
      <c r="N103" s="37" t="s">
        <v>314</v>
      </c>
      <c r="P103" s="35" t="s">
        <v>279</v>
      </c>
      <c r="Q103" s="35" t="s">
        <v>286</v>
      </c>
      <c r="R103" s="35" t="s">
        <v>280</v>
      </c>
      <c r="S103" s="35">
        <v>1</v>
      </c>
      <c r="T103" s="38"/>
      <c r="V103" s="39"/>
      <c r="X103" s="39" t="s">
        <v>281</v>
      </c>
      <c r="Y103" s="39">
        <v>21.6</v>
      </c>
      <c r="AB103" s="53">
        <v>21.6</v>
      </c>
      <c r="AC103" s="35" t="s">
        <v>277</v>
      </c>
    </row>
    <row r="104" spans="1:29" x14ac:dyDescent="0.2">
      <c r="A104" s="48">
        <f t="shared" si="2"/>
        <v>2026</v>
      </c>
      <c r="B104" s="49" t="str">
        <f t="shared" si="3"/>
        <v>FEVEREIRO</v>
      </c>
      <c r="C104" s="35">
        <v>76801108</v>
      </c>
      <c r="D104" s="35">
        <v>9644206</v>
      </c>
      <c r="E104" s="35" t="s">
        <v>316</v>
      </c>
      <c r="F104" s="36">
        <v>46071</v>
      </c>
      <c r="G104" s="35" t="s">
        <v>13</v>
      </c>
      <c r="H104" s="35">
        <v>35575473880</v>
      </c>
      <c r="I104" s="35" t="s">
        <v>299</v>
      </c>
      <c r="J104" s="36"/>
      <c r="K104" s="35" t="s">
        <v>306</v>
      </c>
      <c r="L104" s="35" t="s">
        <v>282</v>
      </c>
      <c r="M104" s="35" t="s">
        <v>277</v>
      </c>
      <c r="N104" s="37" t="s">
        <v>314</v>
      </c>
      <c r="P104" s="35" t="s">
        <v>279</v>
      </c>
      <c r="Q104" s="35" t="s">
        <v>286</v>
      </c>
      <c r="R104" s="35" t="s">
        <v>280</v>
      </c>
      <c r="S104" s="35">
        <v>1</v>
      </c>
      <c r="T104" s="38"/>
      <c r="V104" s="39"/>
      <c r="X104" s="39" t="s">
        <v>281</v>
      </c>
      <c r="Y104" s="39">
        <v>78.900000000000006</v>
      </c>
      <c r="AB104" s="53">
        <v>78.900000000000006</v>
      </c>
      <c r="AC104" s="35" t="s">
        <v>277</v>
      </c>
    </row>
    <row r="105" spans="1:29" x14ac:dyDescent="0.2">
      <c r="A105" s="48">
        <f t="shared" si="2"/>
        <v>2026</v>
      </c>
      <c r="B105" s="49" t="str">
        <f t="shared" si="3"/>
        <v>FEVEREIRO</v>
      </c>
      <c r="C105" s="35">
        <v>77074849</v>
      </c>
      <c r="D105" s="35">
        <v>9644206</v>
      </c>
      <c r="E105" s="35" t="s">
        <v>316</v>
      </c>
      <c r="F105" s="36">
        <v>46065</v>
      </c>
      <c r="G105" s="35" t="s">
        <v>13</v>
      </c>
      <c r="H105" s="35">
        <v>35575473880</v>
      </c>
      <c r="I105" s="35" t="s">
        <v>299</v>
      </c>
      <c r="J105" s="36"/>
      <c r="K105" s="35" t="s">
        <v>319</v>
      </c>
      <c r="L105" s="35" t="s">
        <v>276</v>
      </c>
      <c r="M105" s="35" t="s">
        <v>277</v>
      </c>
      <c r="N105" s="37" t="s">
        <v>314</v>
      </c>
      <c r="P105" s="35" t="s">
        <v>279</v>
      </c>
      <c r="Q105" s="35" t="s">
        <v>286</v>
      </c>
      <c r="R105" s="35" t="s">
        <v>280</v>
      </c>
      <c r="S105" s="35">
        <v>1</v>
      </c>
      <c r="T105" s="38"/>
      <c r="V105" s="39"/>
      <c r="X105" s="39" t="s">
        <v>281</v>
      </c>
      <c r="Y105" s="39">
        <v>37</v>
      </c>
      <c r="AB105" s="53">
        <v>37</v>
      </c>
      <c r="AC105" s="35" t="s">
        <v>277</v>
      </c>
    </row>
    <row r="106" spans="1:29" x14ac:dyDescent="0.2">
      <c r="A106" s="48">
        <f t="shared" si="2"/>
        <v>2026</v>
      </c>
      <c r="B106" s="49" t="str">
        <f t="shared" si="3"/>
        <v>FEVEREIRO</v>
      </c>
      <c r="C106" s="35">
        <v>76919891</v>
      </c>
      <c r="D106" s="35">
        <v>9644206</v>
      </c>
      <c r="E106" s="35" t="s">
        <v>316</v>
      </c>
      <c r="F106" s="36">
        <v>46064</v>
      </c>
      <c r="G106" s="35" t="s">
        <v>13</v>
      </c>
      <c r="H106" s="35">
        <v>35575473880</v>
      </c>
      <c r="I106" s="35" t="s">
        <v>299</v>
      </c>
      <c r="J106" s="36"/>
      <c r="K106" s="35" t="s">
        <v>285</v>
      </c>
      <c r="L106" s="35" t="s">
        <v>276</v>
      </c>
      <c r="M106" s="35" t="s">
        <v>277</v>
      </c>
      <c r="N106" s="37" t="s">
        <v>314</v>
      </c>
      <c r="P106" s="35" t="s">
        <v>279</v>
      </c>
      <c r="Q106" s="35" t="s">
        <v>286</v>
      </c>
      <c r="R106" s="35" t="s">
        <v>280</v>
      </c>
      <c r="S106" s="35">
        <v>1</v>
      </c>
      <c r="T106" s="38"/>
      <c r="V106" s="39"/>
      <c r="X106" s="39" t="s">
        <v>281</v>
      </c>
      <c r="Y106" s="39">
        <v>128.59</v>
      </c>
      <c r="AB106" s="53">
        <v>128.59</v>
      </c>
      <c r="AC106" s="35" t="s">
        <v>277</v>
      </c>
    </row>
    <row r="107" spans="1:29" x14ac:dyDescent="0.2">
      <c r="A107" s="48">
        <f t="shared" si="2"/>
        <v>2026</v>
      </c>
      <c r="B107" s="49" t="str">
        <f t="shared" si="3"/>
        <v>FEVEREIRO</v>
      </c>
      <c r="C107" s="35">
        <v>77074421</v>
      </c>
      <c r="D107" s="35">
        <v>9644206</v>
      </c>
      <c r="E107" s="35" t="s">
        <v>316</v>
      </c>
      <c r="F107" s="36">
        <v>46063</v>
      </c>
      <c r="G107" s="35" t="s">
        <v>13</v>
      </c>
      <c r="H107" s="35">
        <v>35575473880</v>
      </c>
      <c r="I107" s="35" t="s">
        <v>299</v>
      </c>
      <c r="J107" s="36"/>
      <c r="K107" s="35" t="s">
        <v>285</v>
      </c>
      <c r="L107" s="35" t="s">
        <v>276</v>
      </c>
      <c r="M107" s="35" t="s">
        <v>277</v>
      </c>
      <c r="N107" s="37" t="s">
        <v>314</v>
      </c>
      <c r="P107" s="35" t="s">
        <v>279</v>
      </c>
      <c r="Q107" s="35" t="s">
        <v>286</v>
      </c>
      <c r="R107" s="35" t="s">
        <v>280</v>
      </c>
      <c r="S107" s="35">
        <v>1</v>
      </c>
      <c r="T107" s="38"/>
      <c r="V107" s="39"/>
      <c r="X107" s="39" t="s">
        <v>281</v>
      </c>
      <c r="Y107" s="39">
        <v>12</v>
      </c>
      <c r="AB107" s="53">
        <v>12</v>
      </c>
      <c r="AC107" s="35" t="s">
        <v>277</v>
      </c>
    </row>
    <row r="108" spans="1:29" x14ac:dyDescent="0.2">
      <c r="A108" s="48">
        <f t="shared" si="2"/>
        <v>2026</v>
      </c>
      <c r="B108" s="49" t="str">
        <f t="shared" si="3"/>
        <v>FEVEREIRO</v>
      </c>
      <c r="C108" s="35">
        <v>76801284</v>
      </c>
      <c r="D108" s="35">
        <v>9644206</v>
      </c>
      <c r="E108" s="35" t="s">
        <v>316</v>
      </c>
      <c r="F108" s="36">
        <v>46063</v>
      </c>
      <c r="G108" s="35" t="s">
        <v>13</v>
      </c>
      <c r="H108" s="35">
        <v>35575473880</v>
      </c>
      <c r="I108" s="35" t="s">
        <v>299</v>
      </c>
      <c r="J108" s="36"/>
      <c r="K108" s="35" t="s">
        <v>285</v>
      </c>
      <c r="L108" s="35" t="s">
        <v>276</v>
      </c>
      <c r="M108" s="35" t="s">
        <v>277</v>
      </c>
      <c r="N108" s="37" t="s">
        <v>314</v>
      </c>
      <c r="P108" s="35" t="s">
        <v>279</v>
      </c>
      <c r="Q108" s="35" t="s">
        <v>286</v>
      </c>
      <c r="R108" s="35" t="s">
        <v>280</v>
      </c>
      <c r="S108" s="35">
        <v>1</v>
      </c>
      <c r="T108" s="38"/>
      <c r="V108" s="39"/>
      <c r="X108" s="39" t="s">
        <v>281</v>
      </c>
      <c r="Y108" s="39">
        <v>13.5</v>
      </c>
      <c r="AB108" s="53">
        <v>13.5</v>
      </c>
      <c r="AC108" s="35" t="s">
        <v>277</v>
      </c>
    </row>
    <row r="109" spans="1:29" x14ac:dyDescent="0.2">
      <c r="A109" s="48">
        <f t="shared" si="2"/>
        <v>2026</v>
      </c>
      <c r="B109" s="49" t="str">
        <f t="shared" si="3"/>
        <v>FEVEREIRO</v>
      </c>
      <c r="C109" s="35">
        <v>76801233</v>
      </c>
      <c r="D109" s="35">
        <v>9644206</v>
      </c>
      <c r="E109" s="35" t="s">
        <v>316</v>
      </c>
      <c r="F109" s="36">
        <v>46057</v>
      </c>
      <c r="G109" s="35" t="s">
        <v>13</v>
      </c>
      <c r="H109" s="35">
        <v>35575473880</v>
      </c>
      <c r="I109" s="35" t="s">
        <v>299</v>
      </c>
      <c r="J109" s="36"/>
      <c r="K109" s="35" t="s">
        <v>285</v>
      </c>
      <c r="L109" s="35" t="s">
        <v>276</v>
      </c>
      <c r="M109" s="35" t="s">
        <v>277</v>
      </c>
      <c r="N109" s="37" t="s">
        <v>314</v>
      </c>
      <c r="P109" s="35" t="s">
        <v>279</v>
      </c>
      <c r="Q109" s="35" t="s">
        <v>286</v>
      </c>
      <c r="R109" s="35" t="s">
        <v>280</v>
      </c>
      <c r="S109" s="35">
        <v>1</v>
      </c>
      <c r="T109" s="38"/>
      <c r="V109" s="39"/>
      <c r="X109" s="39" t="s">
        <v>281</v>
      </c>
      <c r="Y109" s="39">
        <v>71</v>
      </c>
      <c r="AB109" s="53">
        <v>71</v>
      </c>
      <c r="AC109" s="35" t="s">
        <v>277</v>
      </c>
    </row>
    <row r="110" spans="1:29" x14ac:dyDescent="0.2">
      <c r="A110" s="48">
        <f t="shared" si="2"/>
        <v>2026</v>
      </c>
      <c r="B110" s="49" t="str">
        <f t="shared" si="3"/>
        <v>FEVEREIRO</v>
      </c>
      <c r="C110" s="35">
        <v>76801208</v>
      </c>
      <c r="D110" s="35">
        <v>9644206</v>
      </c>
      <c r="E110" s="35" t="s">
        <v>316</v>
      </c>
      <c r="F110" s="36">
        <v>46056</v>
      </c>
      <c r="G110" s="35" t="s">
        <v>13</v>
      </c>
      <c r="H110" s="35">
        <v>35575473880</v>
      </c>
      <c r="I110" s="35" t="s">
        <v>299</v>
      </c>
      <c r="J110" s="36"/>
      <c r="K110" s="35" t="s">
        <v>285</v>
      </c>
      <c r="L110" s="35" t="s">
        <v>276</v>
      </c>
      <c r="M110" s="35" t="s">
        <v>277</v>
      </c>
      <c r="N110" s="37" t="s">
        <v>314</v>
      </c>
      <c r="P110" s="35" t="s">
        <v>279</v>
      </c>
      <c r="Q110" s="35" t="s">
        <v>286</v>
      </c>
      <c r="R110" s="35" t="s">
        <v>280</v>
      </c>
      <c r="S110" s="35">
        <v>1</v>
      </c>
      <c r="T110" s="38"/>
      <c r="V110" s="39"/>
      <c r="X110" s="39" t="s">
        <v>281</v>
      </c>
      <c r="Y110" s="39">
        <v>9.9499999999999993</v>
      </c>
      <c r="AB110" s="53">
        <v>9.9499999999999993</v>
      </c>
      <c r="AC110" s="35" t="s">
        <v>277</v>
      </c>
    </row>
    <row r="111" spans="1:29" x14ac:dyDescent="0.2">
      <c r="A111" s="48">
        <f t="shared" si="2"/>
        <v>2026</v>
      </c>
      <c r="B111" s="49" t="str">
        <f t="shared" si="3"/>
        <v>FEVEREIRO</v>
      </c>
      <c r="C111" s="35">
        <v>78277362</v>
      </c>
      <c r="D111" s="35">
        <v>9644206</v>
      </c>
      <c r="E111" s="35" t="s">
        <v>316</v>
      </c>
      <c r="F111" s="36">
        <v>46055</v>
      </c>
      <c r="G111" s="35" t="s">
        <v>13</v>
      </c>
      <c r="H111" s="35">
        <v>35575473880</v>
      </c>
      <c r="I111" s="35" t="s">
        <v>299</v>
      </c>
      <c r="J111" s="36"/>
      <c r="K111" s="35" t="s">
        <v>318</v>
      </c>
      <c r="L111" s="35" t="s">
        <v>283</v>
      </c>
      <c r="M111" s="35" t="s">
        <v>277</v>
      </c>
      <c r="N111" s="37" t="s">
        <v>320</v>
      </c>
      <c r="P111" s="35" t="s">
        <v>279</v>
      </c>
      <c r="Q111" s="35" t="s">
        <v>286</v>
      </c>
      <c r="R111" s="35" t="s">
        <v>280</v>
      </c>
      <c r="S111" s="35">
        <v>1</v>
      </c>
      <c r="T111" s="38"/>
      <c r="V111" s="39"/>
      <c r="X111" s="39" t="s">
        <v>281</v>
      </c>
      <c r="Y111" s="39">
        <v>17</v>
      </c>
      <c r="AB111" s="53">
        <v>17</v>
      </c>
      <c r="AC111" s="35" t="s">
        <v>277</v>
      </c>
    </row>
    <row r="112" spans="1:29" x14ac:dyDescent="0.2">
      <c r="A112" s="48">
        <f t="shared" si="2"/>
        <v>2026</v>
      </c>
      <c r="B112" s="49" t="str">
        <f t="shared" si="3"/>
        <v>FEVEREIRO</v>
      </c>
      <c r="C112" s="35">
        <v>76919855</v>
      </c>
      <c r="D112" s="35">
        <v>9644206</v>
      </c>
      <c r="E112" s="35" t="s">
        <v>316</v>
      </c>
      <c r="F112" s="36">
        <v>46055</v>
      </c>
      <c r="G112" s="35" t="s">
        <v>13</v>
      </c>
      <c r="H112" s="35">
        <v>35575473880</v>
      </c>
      <c r="I112" s="35" t="s">
        <v>299</v>
      </c>
      <c r="J112" s="36"/>
      <c r="K112" s="35" t="s">
        <v>285</v>
      </c>
      <c r="L112" s="35" t="s">
        <v>276</v>
      </c>
      <c r="M112" s="35" t="s">
        <v>277</v>
      </c>
      <c r="N112" s="37" t="s">
        <v>314</v>
      </c>
      <c r="P112" s="35" t="s">
        <v>279</v>
      </c>
      <c r="Q112" s="35" t="s">
        <v>286</v>
      </c>
      <c r="R112" s="35" t="s">
        <v>280</v>
      </c>
      <c r="S112" s="35">
        <v>1</v>
      </c>
      <c r="T112" s="38"/>
      <c r="V112" s="39"/>
      <c r="X112" s="39" t="s">
        <v>281</v>
      </c>
      <c r="Y112" s="39">
        <v>90.37</v>
      </c>
      <c r="AB112" s="53">
        <v>90.37</v>
      </c>
      <c r="AC112" s="35" t="s">
        <v>277</v>
      </c>
    </row>
    <row r="113" spans="1:29" x14ac:dyDescent="0.2">
      <c r="A113" s="48">
        <f t="shared" si="2"/>
        <v>2026</v>
      </c>
      <c r="B113" s="49" t="str">
        <f t="shared" si="3"/>
        <v>FEVEREIRO</v>
      </c>
      <c r="C113" s="35">
        <v>76802772</v>
      </c>
      <c r="D113" s="35">
        <v>9644206</v>
      </c>
      <c r="E113" s="35" t="s">
        <v>316</v>
      </c>
      <c r="F113" s="36">
        <v>46055</v>
      </c>
      <c r="G113" s="35" t="s">
        <v>13</v>
      </c>
      <c r="H113" s="35">
        <v>35575473880</v>
      </c>
      <c r="I113" s="35" t="s">
        <v>299</v>
      </c>
      <c r="J113" s="36"/>
      <c r="K113" s="35" t="s">
        <v>318</v>
      </c>
      <c r="L113" s="35" t="s">
        <v>283</v>
      </c>
      <c r="M113" s="35" t="s">
        <v>277</v>
      </c>
      <c r="N113" s="37" t="s">
        <v>321</v>
      </c>
      <c r="P113" s="35" t="s">
        <v>279</v>
      </c>
      <c r="Q113" s="35" t="s">
        <v>286</v>
      </c>
      <c r="R113" s="35" t="s">
        <v>280</v>
      </c>
      <c r="S113" s="35">
        <v>1</v>
      </c>
      <c r="T113" s="38"/>
      <c r="V113" s="39"/>
      <c r="X113" s="39" t="s">
        <v>281</v>
      </c>
      <c r="Y113" s="39">
        <v>39.44</v>
      </c>
      <c r="AB113" s="53">
        <v>39.44</v>
      </c>
      <c r="AC113" s="35" t="s">
        <v>277</v>
      </c>
    </row>
    <row r="114" spans="1:29" x14ac:dyDescent="0.2">
      <c r="A114" s="48">
        <f t="shared" si="2"/>
        <v>2026</v>
      </c>
      <c r="B114" s="49" t="str">
        <f t="shared" si="3"/>
        <v>FEVEREIRO</v>
      </c>
      <c r="C114" s="35">
        <v>76801386</v>
      </c>
      <c r="D114" s="35">
        <v>9644206</v>
      </c>
      <c r="E114" s="35" t="s">
        <v>316</v>
      </c>
      <c r="F114" s="36">
        <v>46055</v>
      </c>
      <c r="G114" s="35" t="s">
        <v>13</v>
      </c>
      <c r="H114" s="35">
        <v>35575473880</v>
      </c>
      <c r="I114" s="35" t="s">
        <v>299</v>
      </c>
      <c r="J114" s="36"/>
      <c r="K114" s="35" t="s">
        <v>318</v>
      </c>
      <c r="L114" s="35" t="s">
        <v>283</v>
      </c>
      <c r="M114" s="35" t="s">
        <v>277</v>
      </c>
      <c r="N114" s="37" t="s">
        <v>314</v>
      </c>
      <c r="P114" s="35" t="s">
        <v>279</v>
      </c>
      <c r="Q114" s="35" t="s">
        <v>286</v>
      </c>
      <c r="R114" s="35" t="s">
        <v>280</v>
      </c>
      <c r="S114" s="35">
        <v>1</v>
      </c>
      <c r="T114" s="38"/>
      <c r="V114" s="39"/>
      <c r="X114" s="39" t="s">
        <v>281</v>
      </c>
      <c r="Y114" s="39">
        <v>27.57</v>
      </c>
      <c r="AB114" s="53">
        <v>27.57</v>
      </c>
      <c r="AC114" s="35" t="s">
        <v>277</v>
      </c>
    </row>
    <row r="115" spans="1:29" x14ac:dyDescent="0.2">
      <c r="A115" s="48">
        <f t="shared" si="2"/>
        <v>2026</v>
      </c>
      <c r="B115" s="49" t="str">
        <f t="shared" si="3"/>
        <v>FEVEREIRO</v>
      </c>
      <c r="C115" s="35">
        <v>76801322</v>
      </c>
      <c r="D115" s="35">
        <v>9644206</v>
      </c>
      <c r="E115" s="35" t="s">
        <v>316</v>
      </c>
      <c r="F115" s="36">
        <v>46055</v>
      </c>
      <c r="G115" s="35" t="s">
        <v>13</v>
      </c>
      <c r="H115" s="35">
        <v>35575473880</v>
      </c>
      <c r="I115" s="35" t="s">
        <v>299</v>
      </c>
      <c r="J115" s="36"/>
      <c r="K115" s="35" t="s">
        <v>285</v>
      </c>
      <c r="L115" s="35" t="s">
        <v>276</v>
      </c>
      <c r="M115" s="35" t="s">
        <v>277</v>
      </c>
      <c r="N115" s="37" t="s">
        <v>314</v>
      </c>
      <c r="P115" s="35" t="s">
        <v>279</v>
      </c>
      <c r="Q115" s="35" t="s">
        <v>286</v>
      </c>
      <c r="R115" s="35" t="s">
        <v>280</v>
      </c>
      <c r="S115" s="35">
        <v>1</v>
      </c>
      <c r="T115" s="38"/>
      <c r="V115" s="39"/>
      <c r="X115" s="39" t="s">
        <v>281</v>
      </c>
      <c r="Y115" s="39">
        <v>179</v>
      </c>
      <c r="AB115" s="53">
        <v>179</v>
      </c>
      <c r="AC115" s="35" t="s">
        <v>277</v>
      </c>
    </row>
    <row r="116" spans="1:29" x14ac:dyDescent="0.2">
      <c r="A116" s="48">
        <f t="shared" si="2"/>
        <v>2026</v>
      </c>
      <c r="B116" s="49" t="str">
        <f t="shared" si="3"/>
        <v>JANEIRO</v>
      </c>
      <c r="C116" s="35">
        <v>78249662</v>
      </c>
      <c r="D116" s="35">
        <v>9644206</v>
      </c>
      <c r="E116" s="35" t="s">
        <v>316</v>
      </c>
      <c r="F116" s="36">
        <v>46053</v>
      </c>
      <c r="G116" s="35" t="s">
        <v>13</v>
      </c>
      <c r="H116" s="35">
        <v>35575473880</v>
      </c>
      <c r="I116" s="35" t="s">
        <v>299</v>
      </c>
      <c r="J116" s="36"/>
      <c r="K116" s="35" t="s">
        <v>318</v>
      </c>
      <c r="L116" s="35" t="s">
        <v>283</v>
      </c>
      <c r="M116" s="35" t="s">
        <v>277</v>
      </c>
      <c r="N116" s="37" t="s">
        <v>313</v>
      </c>
      <c r="P116" s="35" t="s">
        <v>279</v>
      </c>
      <c r="Q116" s="35" t="s">
        <v>286</v>
      </c>
      <c r="R116" s="35" t="s">
        <v>280</v>
      </c>
      <c r="S116" s="35">
        <v>1</v>
      </c>
      <c r="T116" s="38"/>
      <c r="V116" s="39"/>
      <c r="X116" s="39" t="s">
        <v>281</v>
      </c>
      <c r="Y116" s="39">
        <v>28.1</v>
      </c>
      <c r="AB116" s="53">
        <v>28.1</v>
      </c>
      <c r="AC116" s="35" t="s">
        <v>277</v>
      </c>
    </row>
    <row r="117" spans="1:29" x14ac:dyDescent="0.2">
      <c r="A117" s="48">
        <f t="shared" si="2"/>
        <v>2026</v>
      </c>
      <c r="B117" s="49" t="str">
        <f t="shared" si="3"/>
        <v>JANEIRO</v>
      </c>
      <c r="C117" s="35">
        <v>78250174</v>
      </c>
      <c r="D117" s="35">
        <v>9644206</v>
      </c>
      <c r="E117" s="35" t="s">
        <v>316</v>
      </c>
      <c r="F117" s="36">
        <v>46031</v>
      </c>
      <c r="G117" s="35" t="s">
        <v>13</v>
      </c>
      <c r="H117" s="35">
        <v>35575473880</v>
      </c>
      <c r="I117" s="35" t="s">
        <v>299</v>
      </c>
      <c r="J117" s="36"/>
      <c r="K117" s="35" t="s">
        <v>285</v>
      </c>
      <c r="L117" s="35" t="s">
        <v>276</v>
      </c>
      <c r="M117" s="35" t="s">
        <v>277</v>
      </c>
      <c r="N117" s="37" t="s">
        <v>314</v>
      </c>
      <c r="P117" s="35" t="s">
        <v>279</v>
      </c>
      <c r="Q117" s="35" t="s">
        <v>286</v>
      </c>
      <c r="R117" s="35" t="s">
        <v>280</v>
      </c>
      <c r="S117" s="35">
        <v>1</v>
      </c>
      <c r="T117" s="38"/>
      <c r="V117" s="39"/>
      <c r="X117" s="39" t="s">
        <v>281</v>
      </c>
      <c r="Y117" s="39">
        <v>18.2</v>
      </c>
      <c r="AB117" s="53">
        <v>18.2</v>
      </c>
      <c r="AC117" s="35" t="s">
        <v>277</v>
      </c>
    </row>
    <row r="118" spans="1:29" x14ac:dyDescent="0.2">
      <c r="A118" s="48">
        <f t="shared" si="2"/>
        <v>2026</v>
      </c>
      <c r="B118" s="49" t="str">
        <f t="shared" si="3"/>
        <v>FEVEREIRO</v>
      </c>
      <c r="C118" s="35">
        <v>76919720</v>
      </c>
      <c r="D118" s="35">
        <v>9332667</v>
      </c>
      <c r="E118" s="35" t="s">
        <v>322</v>
      </c>
      <c r="F118" s="36">
        <v>46073</v>
      </c>
      <c r="G118" s="35" t="s">
        <v>13</v>
      </c>
      <c r="H118" s="35">
        <v>35575473880</v>
      </c>
      <c r="I118" s="35" t="s">
        <v>299</v>
      </c>
      <c r="J118" s="36"/>
      <c r="K118" s="35" t="s">
        <v>306</v>
      </c>
      <c r="L118" s="35" t="s">
        <v>282</v>
      </c>
      <c r="M118" s="35" t="s">
        <v>277</v>
      </c>
      <c r="N118" s="37" t="s">
        <v>314</v>
      </c>
      <c r="P118" s="35" t="s">
        <v>279</v>
      </c>
      <c r="Q118" s="35" t="s">
        <v>286</v>
      </c>
      <c r="R118" s="35" t="s">
        <v>280</v>
      </c>
      <c r="S118" s="35">
        <v>1</v>
      </c>
      <c r="T118" s="38"/>
      <c r="V118" s="39"/>
      <c r="X118" s="39" t="s">
        <v>281</v>
      </c>
      <c r="Y118" s="39">
        <v>35</v>
      </c>
      <c r="AB118" s="53">
        <v>35</v>
      </c>
      <c r="AC118" s="35" t="s">
        <v>277</v>
      </c>
    </row>
    <row r="119" spans="1:29" x14ac:dyDescent="0.2">
      <c r="A119" s="48">
        <f t="shared" si="2"/>
        <v>2026</v>
      </c>
      <c r="B119" s="49" t="str">
        <f t="shared" si="3"/>
        <v>FEVEREIRO</v>
      </c>
      <c r="C119" s="35">
        <v>76802682</v>
      </c>
      <c r="D119" s="35">
        <v>9332667</v>
      </c>
      <c r="E119" s="35" t="s">
        <v>322</v>
      </c>
      <c r="F119" s="36">
        <v>46071</v>
      </c>
      <c r="G119" s="35" t="s">
        <v>13</v>
      </c>
      <c r="H119" s="35">
        <v>35575473880</v>
      </c>
      <c r="I119" s="35" t="s">
        <v>299</v>
      </c>
      <c r="J119" s="36"/>
      <c r="K119" s="35" t="s">
        <v>323</v>
      </c>
      <c r="L119" s="35" t="s">
        <v>324</v>
      </c>
      <c r="M119" s="35" t="s">
        <v>277</v>
      </c>
      <c r="N119" s="37" t="s">
        <v>321</v>
      </c>
      <c r="P119" s="35" t="s">
        <v>279</v>
      </c>
      <c r="Q119" s="35" t="s">
        <v>286</v>
      </c>
      <c r="R119" s="35" t="s">
        <v>280</v>
      </c>
      <c r="S119" s="35">
        <v>1</v>
      </c>
      <c r="T119" s="38"/>
      <c r="V119" s="39"/>
      <c r="X119" s="39" t="s">
        <v>281</v>
      </c>
      <c r="Y119" s="39">
        <v>231</v>
      </c>
      <c r="AB119" s="53">
        <v>231</v>
      </c>
      <c r="AC119" s="35" t="s">
        <v>277</v>
      </c>
    </row>
    <row r="120" spans="1:29" x14ac:dyDescent="0.2">
      <c r="A120" s="48">
        <f t="shared" si="2"/>
        <v>2026</v>
      </c>
      <c r="B120" s="49" t="str">
        <f t="shared" si="3"/>
        <v>JANEIRO</v>
      </c>
      <c r="C120" s="35">
        <v>76800735</v>
      </c>
      <c r="D120" s="35">
        <v>9332667</v>
      </c>
      <c r="E120" s="35" t="s">
        <v>322</v>
      </c>
      <c r="F120" s="36">
        <v>46053</v>
      </c>
      <c r="G120" s="35" t="s">
        <v>13</v>
      </c>
      <c r="H120" s="35">
        <v>35575473880</v>
      </c>
      <c r="I120" s="35" t="s">
        <v>299</v>
      </c>
      <c r="J120" s="36"/>
      <c r="K120" s="35" t="s">
        <v>306</v>
      </c>
      <c r="L120" s="35" t="s">
        <v>282</v>
      </c>
      <c r="M120" s="35" t="s">
        <v>277</v>
      </c>
      <c r="N120" s="37" t="s">
        <v>314</v>
      </c>
      <c r="P120" s="35" t="s">
        <v>279</v>
      </c>
      <c r="Q120" s="35" t="s">
        <v>286</v>
      </c>
      <c r="R120" s="35" t="s">
        <v>280</v>
      </c>
      <c r="S120" s="35">
        <v>1</v>
      </c>
      <c r="T120" s="38"/>
      <c r="V120" s="39"/>
      <c r="X120" s="39" t="s">
        <v>281</v>
      </c>
      <c r="Y120" s="39">
        <v>46</v>
      </c>
      <c r="AB120" s="53">
        <v>46</v>
      </c>
      <c r="AC120" s="35" t="s">
        <v>277</v>
      </c>
    </row>
    <row r="121" spans="1:29" x14ac:dyDescent="0.2">
      <c r="A121" s="48">
        <f t="shared" si="2"/>
        <v>2026</v>
      </c>
      <c r="B121" s="49" t="str">
        <f t="shared" si="3"/>
        <v>JANEIRO</v>
      </c>
      <c r="C121" s="35">
        <v>76800701</v>
      </c>
      <c r="D121" s="35">
        <v>9332667</v>
      </c>
      <c r="E121" s="35" t="s">
        <v>322</v>
      </c>
      <c r="F121" s="36">
        <v>46053</v>
      </c>
      <c r="G121" s="35" t="s">
        <v>13</v>
      </c>
      <c r="H121" s="35">
        <v>35575473880</v>
      </c>
      <c r="I121" s="35" t="s">
        <v>299</v>
      </c>
      <c r="J121" s="36"/>
      <c r="K121" s="35" t="s">
        <v>306</v>
      </c>
      <c r="L121" s="35" t="s">
        <v>282</v>
      </c>
      <c r="M121" s="35" t="s">
        <v>277</v>
      </c>
      <c r="N121" s="37" t="s">
        <v>314</v>
      </c>
      <c r="P121" s="35" t="s">
        <v>279</v>
      </c>
      <c r="Q121" s="35" t="s">
        <v>286</v>
      </c>
      <c r="R121" s="35" t="s">
        <v>280</v>
      </c>
      <c r="S121" s="35">
        <v>1</v>
      </c>
      <c r="T121" s="38"/>
      <c r="V121" s="39"/>
      <c r="X121" s="39" t="s">
        <v>281</v>
      </c>
      <c r="Y121" s="39">
        <v>56</v>
      </c>
      <c r="AB121" s="53">
        <v>56</v>
      </c>
      <c r="AC121" s="35" t="s">
        <v>277</v>
      </c>
    </row>
    <row r="122" spans="1:29" x14ac:dyDescent="0.2">
      <c r="A122" s="48">
        <f t="shared" si="2"/>
        <v>2026</v>
      </c>
      <c r="B122" s="49" t="str">
        <f t="shared" si="3"/>
        <v>JANEIRO</v>
      </c>
      <c r="C122" s="35">
        <v>76800641</v>
      </c>
      <c r="D122" s="35">
        <v>9332667</v>
      </c>
      <c r="E122" s="35" t="s">
        <v>322</v>
      </c>
      <c r="F122" s="36">
        <v>46053</v>
      </c>
      <c r="G122" s="35" t="s">
        <v>13</v>
      </c>
      <c r="H122" s="35">
        <v>35575473880</v>
      </c>
      <c r="I122" s="35" t="s">
        <v>299</v>
      </c>
      <c r="J122" s="36"/>
      <c r="K122" s="35" t="s">
        <v>306</v>
      </c>
      <c r="L122" s="35" t="s">
        <v>282</v>
      </c>
      <c r="M122" s="35" t="s">
        <v>277</v>
      </c>
      <c r="N122" s="37" t="s">
        <v>314</v>
      </c>
      <c r="P122" s="35" t="s">
        <v>279</v>
      </c>
      <c r="Q122" s="35" t="s">
        <v>286</v>
      </c>
      <c r="R122" s="35" t="s">
        <v>280</v>
      </c>
      <c r="S122" s="35">
        <v>1</v>
      </c>
      <c r="T122" s="38"/>
      <c r="V122" s="39"/>
      <c r="X122" s="39" t="s">
        <v>281</v>
      </c>
      <c r="Y122" s="39">
        <v>35</v>
      </c>
      <c r="AB122" s="53">
        <v>35</v>
      </c>
      <c r="AC122" s="35" t="s">
        <v>277</v>
      </c>
    </row>
    <row r="123" spans="1:29" x14ac:dyDescent="0.2">
      <c r="A123" s="48">
        <f t="shared" si="2"/>
        <v>2026</v>
      </c>
      <c r="B123" s="49" t="str">
        <f t="shared" si="3"/>
        <v>JANEIRO</v>
      </c>
      <c r="C123" s="35">
        <v>76919770</v>
      </c>
      <c r="D123" s="35">
        <v>9332667</v>
      </c>
      <c r="E123" s="35" t="s">
        <v>322</v>
      </c>
      <c r="F123" s="36">
        <v>46051</v>
      </c>
      <c r="G123" s="35" t="s">
        <v>13</v>
      </c>
      <c r="H123" s="35">
        <v>35575473880</v>
      </c>
      <c r="I123" s="35" t="s">
        <v>299</v>
      </c>
      <c r="J123" s="36"/>
      <c r="K123" s="35" t="s">
        <v>325</v>
      </c>
      <c r="L123" s="35" t="s">
        <v>276</v>
      </c>
      <c r="M123" s="35" t="s">
        <v>277</v>
      </c>
      <c r="N123" s="37" t="s">
        <v>314</v>
      </c>
      <c r="P123" s="35" t="s">
        <v>279</v>
      </c>
      <c r="Q123" s="35" t="s">
        <v>286</v>
      </c>
      <c r="R123" s="35" t="s">
        <v>280</v>
      </c>
      <c r="S123" s="35">
        <v>1</v>
      </c>
      <c r="T123" s="38"/>
      <c r="V123" s="39"/>
      <c r="X123" s="39" t="s">
        <v>281</v>
      </c>
      <c r="Y123" s="39">
        <v>49.8</v>
      </c>
      <c r="AB123" s="53">
        <v>49.8</v>
      </c>
      <c r="AC123" s="35" t="s">
        <v>277</v>
      </c>
    </row>
    <row r="124" spans="1:29" x14ac:dyDescent="0.2">
      <c r="A124" s="48">
        <f t="shared" si="2"/>
        <v>2026</v>
      </c>
      <c r="B124" s="49" t="str">
        <f t="shared" si="3"/>
        <v>JANEIRO</v>
      </c>
      <c r="C124" s="35">
        <v>76800927</v>
      </c>
      <c r="D124" s="35">
        <v>9332667</v>
      </c>
      <c r="E124" s="35" t="s">
        <v>322</v>
      </c>
      <c r="F124" s="36">
        <v>46051</v>
      </c>
      <c r="G124" s="35" t="s">
        <v>13</v>
      </c>
      <c r="H124" s="35">
        <v>35575473880</v>
      </c>
      <c r="I124" s="35" t="s">
        <v>299</v>
      </c>
      <c r="J124" s="36"/>
      <c r="K124" s="35" t="s">
        <v>285</v>
      </c>
      <c r="L124" s="35" t="s">
        <v>276</v>
      </c>
      <c r="M124" s="35" t="s">
        <v>277</v>
      </c>
      <c r="N124" s="37" t="s">
        <v>314</v>
      </c>
      <c r="P124" s="35" t="s">
        <v>279</v>
      </c>
      <c r="Q124" s="35" t="s">
        <v>286</v>
      </c>
      <c r="R124" s="35" t="s">
        <v>280</v>
      </c>
      <c r="S124" s="35">
        <v>1</v>
      </c>
      <c r="T124" s="38"/>
      <c r="V124" s="39"/>
      <c r="X124" s="39" t="s">
        <v>281</v>
      </c>
      <c r="Y124" s="39">
        <v>100.65</v>
      </c>
      <c r="AB124" s="53">
        <v>100.65</v>
      </c>
      <c r="AC124" s="35" t="s">
        <v>277</v>
      </c>
    </row>
    <row r="125" spans="1:29" x14ac:dyDescent="0.2">
      <c r="A125" s="48">
        <f t="shared" si="2"/>
        <v>2026</v>
      </c>
      <c r="B125" s="49" t="str">
        <f t="shared" si="3"/>
        <v>JANEIRO</v>
      </c>
      <c r="C125" s="35">
        <v>76801009</v>
      </c>
      <c r="D125" s="35">
        <v>9332667</v>
      </c>
      <c r="E125" s="35" t="s">
        <v>322</v>
      </c>
      <c r="F125" s="36">
        <v>46050</v>
      </c>
      <c r="G125" s="35" t="s">
        <v>13</v>
      </c>
      <c r="H125" s="35">
        <v>35575473880</v>
      </c>
      <c r="I125" s="35" t="s">
        <v>299</v>
      </c>
      <c r="J125" s="36"/>
      <c r="K125" s="35" t="s">
        <v>285</v>
      </c>
      <c r="L125" s="35" t="s">
        <v>276</v>
      </c>
      <c r="M125" s="35" t="s">
        <v>277</v>
      </c>
      <c r="N125" s="37" t="s">
        <v>314</v>
      </c>
      <c r="P125" s="35" t="s">
        <v>279</v>
      </c>
      <c r="Q125" s="35" t="s">
        <v>286</v>
      </c>
      <c r="R125" s="35" t="s">
        <v>280</v>
      </c>
      <c r="S125" s="35">
        <v>1</v>
      </c>
      <c r="T125" s="38"/>
      <c r="V125" s="39"/>
      <c r="X125" s="39" t="s">
        <v>281</v>
      </c>
      <c r="Y125" s="39">
        <v>40</v>
      </c>
      <c r="AB125" s="53">
        <v>40</v>
      </c>
      <c r="AC125" s="35" t="s">
        <v>277</v>
      </c>
    </row>
    <row r="126" spans="1:29" x14ac:dyDescent="0.2">
      <c r="A126" s="48">
        <f t="shared" si="2"/>
        <v>2026</v>
      </c>
      <c r="B126" s="49" t="str">
        <f t="shared" si="3"/>
        <v>JANEIRO</v>
      </c>
      <c r="C126" s="35">
        <v>76800779</v>
      </c>
      <c r="D126" s="35">
        <v>9332667</v>
      </c>
      <c r="E126" s="35" t="s">
        <v>322</v>
      </c>
      <c r="F126" s="36">
        <v>46050</v>
      </c>
      <c r="G126" s="35" t="s">
        <v>13</v>
      </c>
      <c r="H126" s="35">
        <v>35575473880</v>
      </c>
      <c r="I126" s="35" t="s">
        <v>299</v>
      </c>
      <c r="J126" s="36"/>
      <c r="K126" s="35" t="s">
        <v>285</v>
      </c>
      <c r="L126" s="35" t="s">
        <v>276</v>
      </c>
      <c r="M126" s="35" t="s">
        <v>277</v>
      </c>
      <c r="N126" s="37" t="s">
        <v>314</v>
      </c>
      <c r="P126" s="35" t="s">
        <v>279</v>
      </c>
      <c r="Q126" s="35" t="s">
        <v>286</v>
      </c>
      <c r="R126" s="35" t="s">
        <v>280</v>
      </c>
      <c r="S126" s="35">
        <v>1</v>
      </c>
      <c r="T126" s="38"/>
      <c r="V126" s="39"/>
      <c r="X126" s="39" t="s">
        <v>281</v>
      </c>
      <c r="Y126" s="39">
        <v>16.5</v>
      </c>
      <c r="AB126" s="53">
        <v>16.5</v>
      </c>
      <c r="AC126" s="35" t="s">
        <v>277</v>
      </c>
    </row>
    <row r="127" spans="1:29" x14ac:dyDescent="0.2">
      <c r="A127" s="48">
        <f t="shared" si="2"/>
        <v>2026</v>
      </c>
      <c r="B127" s="49" t="str">
        <f t="shared" si="3"/>
        <v>JANEIRO</v>
      </c>
      <c r="C127" s="35">
        <v>75468259</v>
      </c>
      <c r="D127" s="35">
        <v>9332667</v>
      </c>
      <c r="E127" s="35" t="s">
        <v>322</v>
      </c>
      <c r="F127" s="36">
        <v>46049</v>
      </c>
      <c r="G127" s="35" t="s">
        <v>13</v>
      </c>
      <c r="H127" s="35">
        <v>35575473880</v>
      </c>
      <c r="I127" s="35" t="s">
        <v>299</v>
      </c>
      <c r="J127" s="36"/>
      <c r="K127" s="35" t="s">
        <v>326</v>
      </c>
      <c r="L127" s="35" t="s">
        <v>282</v>
      </c>
      <c r="M127" s="35" t="s">
        <v>277</v>
      </c>
      <c r="N127" s="37" t="s">
        <v>306</v>
      </c>
      <c r="P127" s="35" t="s">
        <v>279</v>
      </c>
      <c r="Q127" s="35" t="s">
        <v>286</v>
      </c>
      <c r="R127" s="35" t="s">
        <v>280</v>
      </c>
      <c r="S127" s="35">
        <v>1</v>
      </c>
      <c r="T127" s="38"/>
      <c r="V127" s="39"/>
      <c r="X127" s="39" t="s">
        <v>281</v>
      </c>
      <c r="Y127" s="39">
        <v>6.67</v>
      </c>
      <c r="AB127" s="53">
        <v>6.67</v>
      </c>
      <c r="AC127" s="35" t="s">
        <v>277</v>
      </c>
    </row>
    <row r="128" spans="1:29" x14ac:dyDescent="0.2">
      <c r="A128" s="48">
        <f t="shared" si="2"/>
        <v>2026</v>
      </c>
      <c r="B128" s="49" t="str">
        <f t="shared" si="3"/>
        <v>JANEIRO</v>
      </c>
      <c r="C128" s="35">
        <v>75468221</v>
      </c>
      <c r="D128" s="35">
        <v>9332667</v>
      </c>
      <c r="E128" s="35" t="s">
        <v>322</v>
      </c>
      <c r="F128" s="36">
        <v>46049</v>
      </c>
      <c r="G128" s="35" t="s">
        <v>13</v>
      </c>
      <c r="H128" s="35">
        <v>35575473880</v>
      </c>
      <c r="I128" s="35" t="s">
        <v>299</v>
      </c>
      <c r="J128" s="36"/>
      <c r="K128" s="35" t="s">
        <v>327</v>
      </c>
      <c r="L128" s="35" t="s">
        <v>282</v>
      </c>
      <c r="M128" s="35" t="s">
        <v>277</v>
      </c>
      <c r="N128" s="37" t="s">
        <v>306</v>
      </c>
      <c r="P128" s="35" t="s">
        <v>279</v>
      </c>
      <c r="Q128" s="35" t="s">
        <v>286</v>
      </c>
      <c r="R128" s="35" t="s">
        <v>280</v>
      </c>
      <c r="S128" s="35">
        <v>1</v>
      </c>
      <c r="T128" s="38"/>
      <c r="V128" s="39"/>
      <c r="X128" s="39" t="s">
        <v>281</v>
      </c>
      <c r="Y128" s="39">
        <v>6.2</v>
      </c>
      <c r="AB128" s="53">
        <v>6.2</v>
      </c>
      <c r="AC128" s="35" t="s">
        <v>277</v>
      </c>
    </row>
    <row r="129" spans="1:29" x14ac:dyDescent="0.2">
      <c r="A129" s="48">
        <f t="shared" si="2"/>
        <v>2026</v>
      </c>
      <c r="B129" s="49" t="str">
        <f t="shared" si="3"/>
        <v>JANEIRO</v>
      </c>
      <c r="C129" s="35">
        <v>75468174</v>
      </c>
      <c r="D129" s="35">
        <v>9332667</v>
      </c>
      <c r="E129" s="35" t="s">
        <v>322</v>
      </c>
      <c r="F129" s="36">
        <v>46049</v>
      </c>
      <c r="G129" s="35" t="s">
        <v>13</v>
      </c>
      <c r="H129" s="35">
        <v>35575473880</v>
      </c>
      <c r="I129" s="35" t="s">
        <v>299</v>
      </c>
      <c r="J129" s="36"/>
      <c r="K129" s="35" t="s">
        <v>328</v>
      </c>
      <c r="L129" s="35" t="s">
        <v>282</v>
      </c>
      <c r="M129" s="35" t="s">
        <v>277</v>
      </c>
      <c r="N129" s="37" t="s">
        <v>329</v>
      </c>
      <c r="P129" s="35" t="s">
        <v>279</v>
      </c>
      <c r="Q129" s="35" t="s">
        <v>286</v>
      </c>
      <c r="R129" s="35" t="s">
        <v>280</v>
      </c>
      <c r="S129" s="35">
        <v>1</v>
      </c>
      <c r="T129" s="38"/>
      <c r="V129" s="39"/>
      <c r="X129" s="39" t="s">
        <v>281</v>
      </c>
      <c r="Y129" s="39">
        <v>9.4</v>
      </c>
      <c r="AB129" s="53">
        <v>9.4</v>
      </c>
      <c r="AC129" s="35" t="s">
        <v>277</v>
      </c>
    </row>
    <row r="130" spans="1:29" x14ac:dyDescent="0.2">
      <c r="A130" s="48">
        <f t="shared" si="2"/>
        <v>2026</v>
      </c>
      <c r="B130" s="49" t="str">
        <f t="shared" si="3"/>
        <v>JANEIRO</v>
      </c>
      <c r="C130" s="35">
        <v>75468110</v>
      </c>
      <c r="D130" s="35">
        <v>9332667</v>
      </c>
      <c r="E130" s="35" t="s">
        <v>322</v>
      </c>
      <c r="F130" s="36">
        <v>46049</v>
      </c>
      <c r="G130" s="35" t="s">
        <v>13</v>
      </c>
      <c r="H130" s="35">
        <v>35575473880</v>
      </c>
      <c r="I130" s="35" t="s">
        <v>299</v>
      </c>
      <c r="J130" s="36"/>
      <c r="K130" s="35" t="s">
        <v>330</v>
      </c>
      <c r="L130" s="35" t="s">
        <v>282</v>
      </c>
      <c r="M130" s="35" t="s">
        <v>277</v>
      </c>
      <c r="N130" s="37" t="s">
        <v>331</v>
      </c>
      <c r="P130" s="35" t="s">
        <v>279</v>
      </c>
      <c r="Q130" s="35" t="s">
        <v>286</v>
      </c>
      <c r="R130" s="35" t="s">
        <v>280</v>
      </c>
      <c r="S130" s="35">
        <v>1</v>
      </c>
      <c r="T130" s="38"/>
      <c r="V130" s="39"/>
      <c r="X130" s="39" t="s">
        <v>281</v>
      </c>
      <c r="Y130" s="39">
        <v>15.5</v>
      </c>
      <c r="AB130" s="53">
        <v>15.5</v>
      </c>
      <c r="AC130" s="35" t="s">
        <v>277</v>
      </c>
    </row>
    <row r="131" spans="1:29" x14ac:dyDescent="0.2">
      <c r="A131" s="48">
        <f t="shared" ref="A131:A194" si="4">YEAR(F131)</f>
        <v>2026</v>
      </c>
      <c r="B131" s="49" t="str">
        <f t="shared" ref="B131:B194" si="5">UPPER(TEXT(F131,"MMMM"))</f>
        <v>JANEIRO</v>
      </c>
      <c r="C131" s="35">
        <v>75468058</v>
      </c>
      <c r="D131" s="35">
        <v>9332667</v>
      </c>
      <c r="E131" s="35" t="s">
        <v>322</v>
      </c>
      <c r="F131" s="36">
        <v>46049</v>
      </c>
      <c r="G131" s="35" t="s">
        <v>13</v>
      </c>
      <c r="H131" s="35">
        <v>35575473880</v>
      </c>
      <c r="I131" s="35" t="s">
        <v>299</v>
      </c>
      <c r="J131" s="36"/>
      <c r="K131" s="35" t="s">
        <v>332</v>
      </c>
      <c r="L131" s="35" t="s">
        <v>282</v>
      </c>
      <c r="M131" s="35" t="s">
        <v>277</v>
      </c>
      <c r="N131" s="37" t="s">
        <v>333</v>
      </c>
      <c r="P131" s="35" t="s">
        <v>279</v>
      </c>
      <c r="Q131" s="35" t="s">
        <v>286</v>
      </c>
      <c r="R131" s="35" t="s">
        <v>280</v>
      </c>
      <c r="S131" s="35">
        <v>1</v>
      </c>
      <c r="T131" s="38"/>
      <c r="V131" s="39"/>
      <c r="X131" s="39" t="s">
        <v>281</v>
      </c>
      <c r="Y131" s="39">
        <v>5.4</v>
      </c>
      <c r="AB131" s="53">
        <v>5.4</v>
      </c>
      <c r="AC131" s="35" t="s">
        <v>277</v>
      </c>
    </row>
    <row r="132" spans="1:29" x14ac:dyDescent="0.2">
      <c r="A132" s="48">
        <f t="shared" si="4"/>
        <v>2026</v>
      </c>
      <c r="B132" s="49" t="str">
        <f t="shared" si="5"/>
        <v>JANEIRO</v>
      </c>
      <c r="C132" s="35">
        <v>75468009</v>
      </c>
      <c r="D132" s="35">
        <v>9332667</v>
      </c>
      <c r="E132" s="35" t="s">
        <v>322</v>
      </c>
      <c r="F132" s="36">
        <v>46049</v>
      </c>
      <c r="G132" s="35" t="s">
        <v>13</v>
      </c>
      <c r="H132" s="35">
        <v>35575473880</v>
      </c>
      <c r="I132" s="35" t="s">
        <v>299</v>
      </c>
      <c r="J132" s="36"/>
      <c r="K132" s="35" t="s">
        <v>334</v>
      </c>
      <c r="L132" s="35" t="s">
        <v>282</v>
      </c>
      <c r="M132" s="35" t="s">
        <v>277</v>
      </c>
      <c r="N132" s="37" t="s">
        <v>306</v>
      </c>
      <c r="P132" s="35" t="s">
        <v>279</v>
      </c>
      <c r="Q132" s="35" t="s">
        <v>286</v>
      </c>
      <c r="R132" s="35" t="s">
        <v>280</v>
      </c>
      <c r="S132" s="35">
        <v>1</v>
      </c>
      <c r="T132" s="38"/>
      <c r="V132" s="39"/>
      <c r="X132" s="39" t="s">
        <v>281</v>
      </c>
      <c r="Y132" s="39">
        <v>2.2000000000000002</v>
      </c>
      <c r="AB132" s="53">
        <v>2.2000000000000002</v>
      </c>
      <c r="AC132" s="35" t="s">
        <v>277</v>
      </c>
    </row>
    <row r="133" spans="1:29" x14ac:dyDescent="0.2">
      <c r="A133" s="48">
        <f t="shared" si="4"/>
        <v>2026</v>
      </c>
      <c r="B133" s="49" t="str">
        <f t="shared" si="5"/>
        <v>JANEIRO</v>
      </c>
      <c r="C133" s="35">
        <v>76800863</v>
      </c>
      <c r="D133" s="35">
        <v>9332667</v>
      </c>
      <c r="E133" s="35" t="s">
        <v>322</v>
      </c>
      <c r="F133" s="36">
        <v>46048</v>
      </c>
      <c r="G133" s="35" t="s">
        <v>13</v>
      </c>
      <c r="H133" s="35">
        <v>35575473880</v>
      </c>
      <c r="I133" s="35" t="s">
        <v>299</v>
      </c>
      <c r="J133" s="36"/>
      <c r="K133" s="35" t="s">
        <v>285</v>
      </c>
      <c r="L133" s="35" t="s">
        <v>276</v>
      </c>
      <c r="M133" s="35" t="s">
        <v>277</v>
      </c>
      <c r="N133" s="37" t="s">
        <v>314</v>
      </c>
      <c r="P133" s="35" t="s">
        <v>279</v>
      </c>
      <c r="Q133" s="35" t="s">
        <v>286</v>
      </c>
      <c r="R133" s="35" t="s">
        <v>280</v>
      </c>
      <c r="S133" s="35">
        <v>1</v>
      </c>
      <c r="T133" s="38"/>
      <c r="V133" s="39"/>
      <c r="X133" s="39" t="s">
        <v>281</v>
      </c>
      <c r="Y133" s="39">
        <v>169.9</v>
      </c>
      <c r="AB133" s="53">
        <v>169.9</v>
      </c>
      <c r="AC133" s="35" t="s">
        <v>277</v>
      </c>
    </row>
    <row r="134" spans="1:29" x14ac:dyDescent="0.2">
      <c r="A134" s="48">
        <f t="shared" si="4"/>
        <v>2026</v>
      </c>
      <c r="B134" s="49" t="str">
        <f t="shared" si="5"/>
        <v>JANEIRO</v>
      </c>
      <c r="C134" s="35">
        <v>76800821</v>
      </c>
      <c r="D134" s="35">
        <v>9332667</v>
      </c>
      <c r="E134" s="35" t="s">
        <v>322</v>
      </c>
      <c r="F134" s="36">
        <v>46048</v>
      </c>
      <c r="G134" s="35" t="s">
        <v>13</v>
      </c>
      <c r="H134" s="35">
        <v>35575473880</v>
      </c>
      <c r="I134" s="35" t="s">
        <v>299</v>
      </c>
      <c r="J134" s="36"/>
      <c r="K134" s="35" t="s">
        <v>285</v>
      </c>
      <c r="L134" s="35" t="s">
        <v>276</v>
      </c>
      <c r="M134" s="35" t="s">
        <v>277</v>
      </c>
      <c r="N134" s="37" t="s">
        <v>314</v>
      </c>
      <c r="P134" s="35" t="s">
        <v>279</v>
      </c>
      <c r="Q134" s="35" t="s">
        <v>286</v>
      </c>
      <c r="R134" s="35" t="s">
        <v>280</v>
      </c>
      <c r="S134" s="35">
        <v>1</v>
      </c>
      <c r="T134" s="38"/>
      <c r="V134" s="39"/>
      <c r="X134" s="39" t="s">
        <v>281</v>
      </c>
      <c r="Y134" s="39">
        <v>71.989999999999995</v>
      </c>
      <c r="AB134" s="53">
        <v>71.989999999999995</v>
      </c>
      <c r="AC134" s="35" t="s">
        <v>277</v>
      </c>
    </row>
    <row r="135" spans="1:29" x14ac:dyDescent="0.2">
      <c r="A135" s="48">
        <f t="shared" si="4"/>
        <v>2026</v>
      </c>
      <c r="B135" s="49" t="str">
        <f t="shared" si="5"/>
        <v>JANEIRO</v>
      </c>
      <c r="C135" s="35">
        <v>75465329</v>
      </c>
      <c r="D135" s="35">
        <v>9332667</v>
      </c>
      <c r="E135" s="35" t="s">
        <v>322</v>
      </c>
      <c r="F135" s="36">
        <v>46048</v>
      </c>
      <c r="G135" s="35" t="s">
        <v>13</v>
      </c>
      <c r="H135" s="35">
        <v>35575473880</v>
      </c>
      <c r="I135" s="35" t="s">
        <v>299</v>
      </c>
      <c r="J135" s="36"/>
      <c r="K135" s="35" t="s">
        <v>335</v>
      </c>
      <c r="L135" s="35" t="s">
        <v>276</v>
      </c>
      <c r="M135" s="35" t="s">
        <v>277</v>
      </c>
      <c r="N135" s="37" t="s">
        <v>314</v>
      </c>
      <c r="P135" s="35" t="s">
        <v>279</v>
      </c>
      <c r="Q135" s="35" t="s">
        <v>286</v>
      </c>
      <c r="R135" s="35" t="s">
        <v>280</v>
      </c>
      <c r="S135" s="35">
        <v>1</v>
      </c>
      <c r="T135" s="38"/>
      <c r="V135" s="39"/>
      <c r="X135" s="39" t="s">
        <v>281</v>
      </c>
      <c r="Y135" s="39">
        <v>129.9</v>
      </c>
      <c r="AB135" s="53">
        <v>129.9</v>
      </c>
      <c r="AC135" s="35" t="s">
        <v>277</v>
      </c>
    </row>
    <row r="136" spans="1:29" x14ac:dyDescent="0.2">
      <c r="A136" s="48">
        <f t="shared" si="4"/>
        <v>2026</v>
      </c>
      <c r="B136" s="49" t="str">
        <f t="shared" si="5"/>
        <v>JANEIRO</v>
      </c>
      <c r="C136" s="35">
        <v>75466365</v>
      </c>
      <c r="D136" s="35">
        <v>9332667</v>
      </c>
      <c r="E136" s="35" t="s">
        <v>322</v>
      </c>
      <c r="F136" s="36">
        <v>46046</v>
      </c>
      <c r="G136" s="35" t="s">
        <v>13</v>
      </c>
      <c r="H136" s="35">
        <v>35575473880</v>
      </c>
      <c r="I136" s="35" t="s">
        <v>299</v>
      </c>
      <c r="J136" s="36"/>
      <c r="K136" s="35" t="s">
        <v>336</v>
      </c>
      <c r="L136" s="35" t="s">
        <v>282</v>
      </c>
      <c r="M136" s="35" t="s">
        <v>277</v>
      </c>
      <c r="N136" s="37" t="s">
        <v>314</v>
      </c>
      <c r="P136" s="35" t="s">
        <v>279</v>
      </c>
      <c r="Q136" s="35" t="s">
        <v>286</v>
      </c>
      <c r="R136" s="35" t="s">
        <v>280</v>
      </c>
      <c r="S136" s="35">
        <v>1</v>
      </c>
      <c r="T136" s="38"/>
      <c r="V136" s="39"/>
      <c r="X136" s="39" t="s">
        <v>281</v>
      </c>
      <c r="Y136" s="39">
        <v>20</v>
      </c>
      <c r="AB136" s="53">
        <v>20</v>
      </c>
      <c r="AC136" s="35" t="s">
        <v>277</v>
      </c>
    </row>
    <row r="137" spans="1:29" x14ac:dyDescent="0.2">
      <c r="A137" s="48">
        <f t="shared" si="4"/>
        <v>2026</v>
      </c>
      <c r="B137" s="49" t="str">
        <f t="shared" si="5"/>
        <v>JANEIRO</v>
      </c>
      <c r="C137" s="35">
        <v>75466235</v>
      </c>
      <c r="D137" s="35">
        <v>9332667</v>
      </c>
      <c r="E137" s="35" t="s">
        <v>322</v>
      </c>
      <c r="F137" s="36">
        <v>46045</v>
      </c>
      <c r="G137" s="35" t="s">
        <v>13</v>
      </c>
      <c r="H137" s="35">
        <v>35575473880</v>
      </c>
      <c r="I137" s="35" t="s">
        <v>299</v>
      </c>
      <c r="J137" s="36"/>
      <c r="K137" s="35" t="s">
        <v>337</v>
      </c>
      <c r="L137" s="35" t="s">
        <v>283</v>
      </c>
      <c r="M137" s="35" t="s">
        <v>277</v>
      </c>
      <c r="N137" s="37" t="s">
        <v>314</v>
      </c>
      <c r="P137" s="35" t="s">
        <v>279</v>
      </c>
      <c r="Q137" s="35" t="s">
        <v>286</v>
      </c>
      <c r="R137" s="35" t="s">
        <v>280</v>
      </c>
      <c r="S137" s="35">
        <v>1</v>
      </c>
      <c r="T137" s="38"/>
      <c r="V137" s="39"/>
      <c r="X137" s="39" t="s">
        <v>281</v>
      </c>
      <c r="Y137" s="39">
        <v>5.7</v>
      </c>
      <c r="AB137" s="53">
        <v>5.7</v>
      </c>
      <c r="AC137" s="35" t="s">
        <v>277</v>
      </c>
    </row>
    <row r="138" spans="1:29" x14ac:dyDescent="0.2">
      <c r="A138" s="48">
        <f t="shared" si="4"/>
        <v>2026</v>
      </c>
      <c r="B138" s="49" t="str">
        <f t="shared" si="5"/>
        <v>JANEIRO</v>
      </c>
      <c r="C138" s="35">
        <v>75465287</v>
      </c>
      <c r="D138" s="35">
        <v>9332667</v>
      </c>
      <c r="E138" s="35" t="s">
        <v>322</v>
      </c>
      <c r="F138" s="36">
        <v>46045</v>
      </c>
      <c r="G138" s="35" t="s">
        <v>13</v>
      </c>
      <c r="H138" s="35">
        <v>35575473880</v>
      </c>
      <c r="I138" s="35" t="s">
        <v>299</v>
      </c>
      <c r="J138" s="36"/>
      <c r="K138" s="35" t="s">
        <v>338</v>
      </c>
      <c r="L138" s="35" t="s">
        <v>276</v>
      </c>
      <c r="M138" s="35" t="s">
        <v>277</v>
      </c>
      <c r="N138" s="37" t="s">
        <v>314</v>
      </c>
      <c r="P138" s="35" t="s">
        <v>279</v>
      </c>
      <c r="Q138" s="35" t="s">
        <v>286</v>
      </c>
      <c r="R138" s="35" t="s">
        <v>280</v>
      </c>
      <c r="S138" s="35">
        <v>1</v>
      </c>
      <c r="T138" s="38"/>
      <c r="V138" s="39"/>
      <c r="X138" s="39" t="s">
        <v>281</v>
      </c>
      <c r="Y138" s="39">
        <v>10.9</v>
      </c>
      <c r="AB138" s="53">
        <v>10.9</v>
      </c>
      <c r="AC138" s="35" t="s">
        <v>277</v>
      </c>
    </row>
    <row r="139" spans="1:29" x14ac:dyDescent="0.2">
      <c r="A139" s="48">
        <f t="shared" si="4"/>
        <v>2026</v>
      </c>
      <c r="B139" s="49" t="str">
        <f t="shared" si="5"/>
        <v>JANEIRO</v>
      </c>
      <c r="C139" s="35">
        <v>76800577</v>
      </c>
      <c r="D139" s="35">
        <v>9332667</v>
      </c>
      <c r="E139" s="35" t="s">
        <v>322</v>
      </c>
      <c r="F139" s="36">
        <v>46044</v>
      </c>
      <c r="G139" s="35" t="s">
        <v>13</v>
      </c>
      <c r="H139" s="35">
        <v>35575473880</v>
      </c>
      <c r="I139" s="35" t="s">
        <v>299</v>
      </c>
      <c r="J139" s="36"/>
      <c r="K139" s="35" t="s">
        <v>285</v>
      </c>
      <c r="L139" s="35" t="s">
        <v>276</v>
      </c>
      <c r="M139" s="35" t="s">
        <v>277</v>
      </c>
      <c r="N139" s="37" t="s">
        <v>314</v>
      </c>
      <c r="P139" s="35" t="s">
        <v>279</v>
      </c>
      <c r="Q139" s="35" t="s">
        <v>286</v>
      </c>
      <c r="R139" s="35" t="s">
        <v>280</v>
      </c>
      <c r="S139" s="35">
        <v>1</v>
      </c>
      <c r="T139" s="38"/>
      <c r="V139" s="39"/>
      <c r="X139" s="39" t="s">
        <v>281</v>
      </c>
      <c r="Y139" s="39">
        <v>3</v>
      </c>
      <c r="AB139" s="53">
        <v>3</v>
      </c>
      <c r="AC139" s="35" t="s">
        <v>277</v>
      </c>
    </row>
    <row r="140" spans="1:29" x14ac:dyDescent="0.2">
      <c r="A140" s="48">
        <f t="shared" si="4"/>
        <v>2026</v>
      </c>
      <c r="B140" s="49" t="str">
        <f t="shared" si="5"/>
        <v>JANEIRO</v>
      </c>
      <c r="C140" s="35">
        <v>75466522</v>
      </c>
      <c r="D140" s="35">
        <v>9332667</v>
      </c>
      <c r="E140" s="35" t="s">
        <v>322</v>
      </c>
      <c r="F140" s="36">
        <v>46044</v>
      </c>
      <c r="G140" s="35" t="s">
        <v>13</v>
      </c>
      <c r="H140" s="35">
        <v>35575473880</v>
      </c>
      <c r="I140" s="35" t="s">
        <v>299</v>
      </c>
      <c r="J140" s="36"/>
      <c r="K140" s="35" t="s">
        <v>339</v>
      </c>
      <c r="L140" s="35" t="s">
        <v>282</v>
      </c>
      <c r="M140" s="35" t="s">
        <v>277</v>
      </c>
      <c r="N140" s="37" t="s">
        <v>314</v>
      </c>
      <c r="P140" s="35" t="s">
        <v>279</v>
      </c>
      <c r="Q140" s="35" t="s">
        <v>286</v>
      </c>
      <c r="R140" s="35" t="s">
        <v>280</v>
      </c>
      <c r="S140" s="35">
        <v>1</v>
      </c>
      <c r="T140" s="38"/>
      <c r="V140" s="39"/>
      <c r="X140" s="39" t="s">
        <v>281</v>
      </c>
      <c r="Y140" s="39">
        <v>17</v>
      </c>
      <c r="AB140" s="53">
        <v>17</v>
      </c>
      <c r="AC140" s="35" t="s">
        <v>277</v>
      </c>
    </row>
    <row r="141" spans="1:29" x14ac:dyDescent="0.2">
      <c r="A141" s="48">
        <f t="shared" si="4"/>
        <v>2026</v>
      </c>
      <c r="B141" s="49" t="str">
        <f t="shared" si="5"/>
        <v>JANEIRO</v>
      </c>
      <c r="C141" s="35">
        <v>75465666</v>
      </c>
      <c r="D141" s="35">
        <v>9332667</v>
      </c>
      <c r="E141" s="35" t="s">
        <v>322</v>
      </c>
      <c r="F141" s="36">
        <v>46044</v>
      </c>
      <c r="G141" s="35" t="s">
        <v>13</v>
      </c>
      <c r="H141" s="35">
        <v>35575473880</v>
      </c>
      <c r="I141" s="35" t="s">
        <v>299</v>
      </c>
      <c r="J141" s="36"/>
      <c r="K141" s="35" t="s">
        <v>340</v>
      </c>
      <c r="L141" s="35" t="s">
        <v>276</v>
      </c>
      <c r="M141" s="35" t="s">
        <v>277</v>
      </c>
      <c r="N141" s="37" t="s">
        <v>314</v>
      </c>
      <c r="P141" s="35" t="s">
        <v>279</v>
      </c>
      <c r="Q141" s="35" t="s">
        <v>286</v>
      </c>
      <c r="R141" s="35" t="s">
        <v>280</v>
      </c>
      <c r="S141" s="35">
        <v>1</v>
      </c>
      <c r="T141" s="38"/>
      <c r="V141" s="39"/>
      <c r="X141" s="39" t="s">
        <v>281</v>
      </c>
      <c r="Y141" s="39">
        <v>29.79</v>
      </c>
      <c r="AB141" s="53">
        <v>29.79</v>
      </c>
      <c r="AC141" s="35" t="s">
        <v>277</v>
      </c>
    </row>
    <row r="142" spans="1:29" x14ac:dyDescent="0.2">
      <c r="A142" s="48">
        <f t="shared" si="4"/>
        <v>2026</v>
      </c>
      <c r="B142" s="49" t="str">
        <f t="shared" si="5"/>
        <v>JANEIRO</v>
      </c>
      <c r="C142" s="35">
        <v>75465174</v>
      </c>
      <c r="D142" s="35">
        <v>9332667</v>
      </c>
      <c r="E142" s="35" t="s">
        <v>322</v>
      </c>
      <c r="F142" s="36">
        <v>46044</v>
      </c>
      <c r="G142" s="35" t="s">
        <v>13</v>
      </c>
      <c r="H142" s="35">
        <v>35575473880</v>
      </c>
      <c r="I142" s="35" t="s">
        <v>299</v>
      </c>
      <c r="J142" s="36"/>
      <c r="K142" s="35" t="s">
        <v>341</v>
      </c>
      <c r="L142" s="35" t="s">
        <v>276</v>
      </c>
      <c r="M142" s="35" t="s">
        <v>277</v>
      </c>
      <c r="N142" s="37" t="s">
        <v>314</v>
      </c>
      <c r="P142" s="35" t="s">
        <v>279</v>
      </c>
      <c r="Q142" s="35" t="s">
        <v>286</v>
      </c>
      <c r="R142" s="35" t="s">
        <v>280</v>
      </c>
      <c r="S142" s="35">
        <v>1</v>
      </c>
      <c r="T142" s="38"/>
      <c r="V142" s="39"/>
      <c r="X142" s="39" t="s">
        <v>281</v>
      </c>
      <c r="Y142" s="39">
        <v>9.9</v>
      </c>
      <c r="AB142" s="53">
        <v>9.9</v>
      </c>
      <c r="AC142" s="35" t="s">
        <v>277</v>
      </c>
    </row>
    <row r="143" spans="1:29" x14ac:dyDescent="0.2">
      <c r="A143" s="48">
        <f t="shared" si="4"/>
        <v>2026</v>
      </c>
      <c r="B143" s="49" t="str">
        <f t="shared" si="5"/>
        <v>JANEIRO</v>
      </c>
      <c r="C143" s="35">
        <v>75465799</v>
      </c>
      <c r="D143" s="35">
        <v>9332667</v>
      </c>
      <c r="E143" s="35" t="s">
        <v>322</v>
      </c>
      <c r="F143" s="36">
        <v>46043</v>
      </c>
      <c r="G143" s="35" t="s">
        <v>13</v>
      </c>
      <c r="H143" s="35">
        <v>35575473880</v>
      </c>
      <c r="I143" s="35" t="s">
        <v>299</v>
      </c>
      <c r="J143" s="36"/>
      <c r="K143" s="35" t="s">
        <v>342</v>
      </c>
      <c r="L143" s="35" t="s">
        <v>276</v>
      </c>
      <c r="M143" s="35" t="s">
        <v>277</v>
      </c>
      <c r="N143" s="37" t="s">
        <v>314</v>
      </c>
      <c r="P143" s="35" t="s">
        <v>279</v>
      </c>
      <c r="Q143" s="35" t="s">
        <v>286</v>
      </c>
      <c r="R143" s="35" t="s">
        <v>280</v>
      </c>
      <c r="S143" s="35">
        <v>1</v>
      </c>
      <c r="T143" s="38"/>
      <c r="V143" s="39"/>
      <c r="X143" s="39" t="s">
        <v>281</v>
      </c>
      <c r="Y143" s="39">
        <v>129.79</v>
      </c>
      <c r="AB143" s="53">
        <v>129.79</v>
      </c>
      <c r="AC143" s="35" t="s">
        <v>277</v>
      </c>
    </row>
    <row r="144" spans="1:29" x14ac:dyDescent="0.2">
      <c r="A144" s="48">
        <f t="shared" si="4"/>
        <v>2026</v>
      </c>
      <c r="B144" s="49" t="str">
        <f t="shared" si="5"/>
        <v>JANEIRO</v>
      </c>
      <c r="C144" s="35">
        <v>75465723</v>
      </c>
      <c r="D144" s="35">
        <v>9332667</v>
      </c>
      <c r="E144" s="35" t="s">
        <v>322</v>
      </c>
      <c r="F144" s="36">
        <v>46043</v>
      </c>
      <c r="G144" s="35" t="s">
        <v>13</v>
      </c>
      <c r="H144" s="35">
        <v>35575473880</v>
      </c>
      <c r="I144" s="35" t="s">
        <v>299</v>
      </c>
      <c r="J144" s="36"/>
      <c r="K144" s="35" t="s">
        <v>343</v>
      </c>
      <c r="L144" s="35" t="s">
        <v>276</v>
      </c>
      <c r="M144" s="35" t="s">
        <v>277</v>
      </c>
      <c r="N144" s="37" t="s">
        <v>314</v>
      </c>
      <c r="P144" s="35" t="s">
        <v>279</v>
      </c>
      <c r="Q144" s="35" t="s">
        <v>286</v>
      </c>
      <c r="R144" s="35" t="s">
        <v>280</v>
      </c>
      <c r="S144" s="35">
        <v>1</v>
      </c>
      <c r="T144" s="38"/>
      <c r="V144" s="39"/>
      <c r="X144" s="39" t="s">
        <v>281</v>
      </c>
      <c r="Y144" s="39">
        <v>84.89</v>
      </c>
      <c r="AB144" s="53">
        <v>84.89</v>
      </c>
      <c r="AC144" s="35" t="s">
        <v>277</v>
      </c>
    </row>
    <row r="145" spans="1:29" x14ac:dyDescent="0.2">
      <c r="A145" s="48">
        <f t="shared" si="4"/>
        <v>2026</v>
      </c>
      <c r="B145" s="49" t="str">
        <f t="shared" si="5"/>
        <v>JANEIRO</v>
      </c>
      <c r="C145" s="35">
        <v>76800558</v>
      </c>
      <c r="D145" s="35">
        <v>9332667</v>
      </c>
      <c r="E145" s="35" t="s">
        <v>322</v>
      </c>
      <c r="F145" s="36">
        <v>46039</v>
      </c>
      <c r="G145" s="35" t="s">
        <v>13</v>
      </c>
      <c r="H145" s="35">
        <v>35575473880</v>
      </c>
      <c r="I145" s="35" t="s">
        <v>299</v>
      </c>
      <c r="J145" s="36"/>
      <c r="K145" s="35" t="s">
        <v>285</v>
      </c>
      <c r="L145" s="35" t="s">
        <v>276</v>
      </c>
      <c r="M145" s="35" t="s">
        <v>277</v>
      </c>
      <c r="N145" s="37" t="s">
        <v>314</v>
      </c>
      <c r="P145" s="35" t="s">
        <v>279</v>
      </c>
      <c r="Q145" s="35" t="s">
        <v>286</v>
      </c>
      <c r="R145" s="35" t="s">
        <v>280</v>
      </c>
      <c r="S145" s="35">
        <v>1</v>
      </c>
      <c r="T145" s="38"/>
      <c r="V145" s="39"/>
      <c r="X145" s="39" t="s">
        <v>281</v>
      </c>
      <c r="Y145" s="39">
        <v>8.5</v>
      </c>
      <c r="AB145" s="53">
        <v>8.5</v>
      </c>
      <c r="AC145" s="35" t="s">
        <v>277</v>
      </c>
    </row>
    <row r="146" spans="1:29" x14ac:dyDescent="0.2">
      <c r="A146" s="48">
        <f t="shared" si="4"/>
        <v>2026</v>
      </c>
      <c r="B146" s="49" t="str">
        <f t="shared" si="5"/>
        <v>JANEIRO</v>
      </c>
      <c r="C146" s="35">
        <v>76800963</v>
      </c>
      <c r="D146" s="35">
        <v>9332667</v>
      </c>
      <c r="E146" s="35" t="s">
        <v>322</v>
      </c>
      <c r="F146" s="36">
        <v>46038</v>
      </c>
      <c r="G146" s="35" t="s">
        <v>13</v>
      </c>
      <c r="H146" s="35">
        <v>35575473880</v>
      </c>
      <c r="I146" s="35" t="s">
        <v>299</v>
      </c>
      <c r="J146" s="36"/>
      <c r="K146" s="35" t="s">
        <v>285</v>
      </c>
      <c r="L146" s="35" t="s">
        <v>276</v>
      </c>
      <c r="M146" s="35" t="s">
        <v>277</v>
      </c>
      <c r="N146" s="37" t="s">
        <v>314</v>
      </c>
      <c r="P146" s="35" t="s">
        <v>279</v>
      </c>
      <c r="Q146" s="35" t="s">
        <v>286</v>
      </c>
      <c r="R146" s="35" t="s">
        <v>280</v>
      </c>
      <c r="S146" s="35">
        <v>1</v>
      </c>
      <c r="T146" s="38"/>
      <c r="V146" s="39"/>
      <c r="X146" s="39" t="s">
        <v>281</v>
      </c>
      <c r="Y146" s="39">
        <v>10</v>
      </c>
      <c r="AB146" s="53">
        <v>10</v>
      </c>
      <c r="AC146" s="35" t="s">
        <v>277</v>
      </c>
    </row>
    <row r="147" spans="1:29" x14ac:dyDescent="0.2">
      <c r="A147" s="48">
        <f t="shared" si="4"/>
        <v>2026</v>
      </c>
      <c r="B147" s="49" t="str">
        <f t="shared" si="5"/>
        <v>JANEIRO</v>
      </c>
      <c r="C147" s="35">
        <v>75465225</v>
      </c>
      <c r="D147" s="35">
        <v>9332667</v>
      </c>
      <c r="E147" s="35" t="s">
        <v>322</v>
      </c>
      <c r="F147" s="36">
        <v>46038</v>
      </c>
      <c r="G147" s="35" t="s">
        <v>13</v>
      </c>
      <c r="H147" s="35">
        <v>35575473880</v>
      </c>
      <c r="I147" s="35" t="s">
        <v>299</v>
      </c>
      <c r="J147" s="36"/>
      <c r="K147" s="35" t="s">
        <v>344</v>
      </c>
      <c r="L147" s="35" t="s">
        <v>276</v>
      </c>
      <c r="M147" s="35" t="s">
        <v>277</v>
      </c>
      <c r="N147" s="37" t="s">
        <v>314</v>
      </c>
      <c r="P147" s="35" t="s">
        <v>279</v>
      </c>
      <c r="Q147" s="35" t="s">
        <v>286</v>
      </c>
      <c r="R147" s="35" t="s">
        <v>280</v>
      </c>
      <c r="S147" s="35">
        <v>1</v>
      </c>
      <c r="T147" s="38"/>
      <c r="V147" s="39"/>
      <c r="X147" s="39" t="s">
        <v>281</v>
      </c>
      <c r="Y147" s="39">
        <v>49.9</v>
      </c>
      <c r="AB147" s="53">
        <v>49.9</v>
      </c>
      <c r="AC147" s="35" t="s">
        <v>277</v>
      </c>
    </row>
    <row r="148" spans="1:29" x14ac:dyDescent="0.2">
      <c r="A148" s="48">
        <f t="shared" si="4"/>
        <v>2026</v>
      </c>
      <c r="B148" s="49" t="str">
        <f t="shared" si="5"/>
        <v>JANEIRO</v>
      </c>
      <c r="C148" s="35">
        <v>75466271</v>
      </c>
      <c r="D148" s="35">
        <v>9332667</v>
      </c>
      <c r="E148" s="35" t="s">
        <v>322</v>
      </c>
      <c r="F148" s="36">
        <v>46037</v>
      </c>
      <c r="G148" s="35" t="s">
        <v>13</v>
      </c>
      <c r="H148" s="35">
        <v>35575473880</v>
      </c>
      <c r="I148" s="35" t="s">
        <v>299</v>
      </c>
      <c r="J148" s="36"/>
      <c r="K148" s="35" t="s">
        <v>345</v>
      </c>
      <c r="L148" s="35" t="s">
        <v>282</v>
      </c>
      <c r="M148" s="35" t="s">
        <v>277</v>
      </c>
      <c r="N148" s="37" t="s">
        <v>314</v>
      </c>
      <c r="P148" s="35" t="s">
        <v>279</v>
      </c>
      <c r="Q148" s="35" t="s">
        <v>286</v>
      </c>
      <c r="R148" s="35" t="s">
        <v>280</v>
      </c>
      <c r="S148" s="35">
        <v>1</v>
      </c>
      <c r="T148" s="38"/>
      <c r="V148" s="39"/>
      <c r="X148" s="39" t="s">
        <v>281</v>
      </c>
      <c r="Y148" s="39">
        <v>15</v>
      </c>
      <c r="AB148" s="53">
        <v>15</v>
      </c>
      <c r="AC148" s="35" t="s">
        <v>277</v>
      </c>
    </row>
    <row r="149" spans="1:29" x14ac:dyDescent="0.2">
      <c r="A149" s="48">
        <f t="shared" si="4"/>
        <v>2026</v>
      </c>
      <c r="B149" s="49" t="str">
        <f t="shared" si="5"/>
        <v>JANEIRO</v>
      </c>
      <c r="C149" s="35">
        <v>75466324</v>
      </c>
      <c r="D149" s="35">
        <v>9332667</v>
      </c>
      <c r="E149" s="35" t="s">
        <v>322</v>
      </c>
      <c r="F149" s="36">
        <v>46036</v>
      </c>
      <c r="G149" s="35" t="s">
        <v>13</v>
      </c>
      <c r="H149" s="35">
        <v>35575473880</v>
      </c>
      <c r="I149" s="35" t="s">
        <v>299</v>
      </c>
      <c r="J149" s="36"/>
      <c r="K149" s="35" t="s">
        <v>346</v>
      </c>
      <c r="L149" s="35" t="s">
        <v>282</v>
      </c>
      <c r="M149" s="35" t="s">
        <v>277</v>
      </c>
      <c r="N149" s="37" t="s">
        <v>314</v>
      </c>
      <c r="P149" s="35" t="s">
        <v>279</v>
      </c>
      <c r="Q149" s="35" t="s">
        <v>286</v>
      </c>
      <c r="R149" s="35" t="s">
        <v>280</v>
      </c>
      <c r="S149" s="35">
        <v>1</v>
      </c>
      <c r="T149" s="38"/>
      <c r="V149" s="39"/>
      <c r="X149" s="39" t="s">
        <v>281</v>
      </c>
      <c r="Y149" s="39">
        <v>15</v>
      </c>
      <c r="AB149" s="53">
        <v>15</v>
      </c>
      <c r="AC149" s="35" t="s">
        <v>277</v>
      </c>
    </row>
    <row r="150" spans="1:29" x14ac:dyDescent="0.2">
      <c r="A150" s="48">
        <f t="shared" si="4"/>
        <v>2026</v>
      </c>
      <c r="B150" s="49" t="str">
        <f t="shared" si="5"/>
        <v>JANEIRO</v>
      </c>
      <c r="C150" s="35">
        <v>75466414</v>
      </c>
      <c r="D150" s="35">
        <v>9332667</v>
      </c>
      <c r="E150" s="35" t="s">
        <v>322</v>
      </c>
      <c r="F150" s="36">
        <v>46034</v>
      </c>
      <c r="G150" s="35" t="s">
        <v>13</v>
      </c>
      <c r="H150" s="35">
        <v>35575473880</v>
      </c>
      <c r="I150" s="35" t="s">
        <v>299</v>
      </c>
      <c r="J150" s="36"/>
      <c r="K150" s="35" t="s">
        <v>347</v>
      </c>
      <c r="L150" s="35" t="s">
        <v>282</v>
      </c>
      <c r="M150" s="35" t="s">
        <v>277</v>
      </c>
      <c r="N150" s="37" t="s">
        <v>314</v>
      </c>
      <c r="P150" s="35" t="s">
        <v>279</v>
      </c>
      <c r="Q150" s="35" t="s">
        <v>286</v>
      </c>
      <c r="R150" s="35" t="s">
        <v>280</v>
      </c>
      <c r="S150" s="35">
        <v>1</v>
      </c>
      <c r="T150" s="38"/>
      <c r="V150" s="39"/>
      <c r="X150" s="39" t="s">
        <v>281</v>
      </c>
      <c r="Y150" s="39">
        <v>17</v>
      </c>
      <c r="AB150" s="53">
        <v>17</v>
      </c>
      <c r="AC150" s="35" t="s">
        <v>277</v>
      </c>
    </row>
    <row r="151" spans="1:29" x14ac:dyDescent="0.2">
      <c r="A151" s="48">
        <f t="shared" si="4"/>
        <v>2026</v>
      </c>
      <c r="B151" s="49" t="str">
        <f t="shared" si="5"/>
        <v>JANEIRO</v>
      </c>
      <c r="C151" s="35">
        <v>74536167</v>
      </c>
      <c r="D151" s="35">
        <v>9332667</v>
      </c>
      <c r="E151" s="35" t="s">
        <v>322</v>
      </c>
      <c r="F151" s="36">
        <v>46029</v>
      </c>
      <c r="G151" s="35" t="s">
        <v>13</v>
      </c>
      <c r="H151" s="35">
        <v>35575473880</v>
      </c>
      <c r="I151" s="35" t="s">
        <v>299</v>
      </c>
      <c r="J151" s="36"/>
      <c r="K151" s="35" t="s">
        <v>348</v>
      </c>
      <c r="L151" s="35" t="s">
        <v>276</v>
      </c>
      <c r="M151" s="35" t="s">
        <v>277</v>
      </c>
      <c r="N151" s="37" t="s">
        <v>314</v>
      </c>
      <c r="P151" s="35" t="s">
        <v>279</v>
      </c>
      <c r="Q151" s="35" t="s">
        <v>286</v>
      </c>
      <c r="R151" s="35" t="s">
        <v>280</v>
      </c>
      <c r="S151" s="35">
        <v>1</v>
      </c>
      <c r="T151" s="38"/>
      <c r="V151" s="39"/>
      <c r="X151" s="39" t="s">
        <v>281</v>
      </c>
      <c r="Y151" s="39">
        <v>187</v>
      </c>
      <c r="AB151" s="53">
        <v>187</v>
      </c>
      <c r="AC151" s="35" t="s">
        <v>277</v>
      </c>
    </row>
    <row r="152" spans="1:29" x14ac:dyDescent="0.2">
      <c r="A152" s="48">
        <f t="shared" si="4"/>
        <v>2026</v>
      </c>
      <c r="B152" s="49" t="str">
        <f t="shared" si="5"/>
        <v>JANEIRO</v>
      </c>
      <c r="C152" s="35">
        <v>74536397</v>
      </c>
      <c r="D152" s="35">
        <v>9332667</v>
      </c>
      <c r="E152" s="35" t="s">
        <v>322</v>
      </c>
      <c r="F152" s="36">
        <v>46027</v>
      </c>
      <c r="G152" s="35" t="s">
        <v>13</v>
      </c>
      <c r="H152" s="35">
        <v>35575473880</v>
      </c>
      <c r="I152" s="35" t="s">
        <v>299</v>
      </c>
      <c r="J152" s="36"/>
      <c r="K152" s="35" t="s">
        <v>349</v>
      </c>
      <c r="L152" s="35" t="s">
        <v>276</v>
      </c>
      <c r="M152" s="35" t="s">
        <v>277</v>
      </c>
      <c r="N152" s="37" t="s">
        <v>314</v>
      </c>
      <c r="P152" s="35" t="s">
        <v>279</v>
      </c>
      <c r="Q152" s="35" t="s">
        <v>286</v>
      </c>
      <c r="R152" s="35" t="s">
        <v>280</v>
      </c>
      <c r="S152" s="35">
        <v>1</v>
      </c>
      <c r="T152" s="38"/>
      <c r="V152" s="39"/>
      <c r="X152" s="39" t="s">
        <v>281</v>
      </c>
      <c r="Y152" s="39">
        <v>119</v>
      </c>
      <c r="AB152" s="53">
        <v>119</v>
      </c>
      <c r="AC152" s="35" t="s">
        <v>277</v>
      </c>
    </row>
    <row r="153" spans="1:29" x14ac:dyDescent="0.2">
      <c r="A153" s="48">
        <f t="shared" si="4"/>
        <v>2026</v>
      </c>
      <c r="B153" s="49" t="str">
        <f t="shared" si="5"/>
        <v>JANEIRO</v>
      </c>
      <c r="C153" s="35">
        <v>74536370</v>
      </c>
      <c r="D153" s="35">
        <v>9332667</v>
      </c>
      <c r="E153" s="35" t="s">
        <v>322</v>
      </c>
      <c r="F153" s="36">
        <v>46027</v>
      </c>
      <c r="G153" s="35" t="s">
        <v>13</v>
      </c>
      <c r="H153" s="35">
        <v>35575473880</v>
      </c>
      <c r="I153" s="35" t="s">
        <v>299</v>
      </c>
      <c r="J153" s="36"/>
      <c r="K153" s="35" t="s">
        <v>350</v>
      </c>
      <c r="L153" s="35" t="s">
        <v>276</v>
      </c>
      <c r="M153" s="35" t="s">
        <v>277</v>
      </c>
      <c r="N153" s="37" t="s">
        <v>314</v>
      </c>
      <c r="P153" s="35" t="s">
        <v>279</v>
      </c>
      <c r="Q153" s="35" t="s">
        <v>286</v>
      </c>
      <c r="R153" s="35" t="s">
        <v>280</v>
      </c>
      <c r="S153" s="35">
        <v>1</v>
      </c>
      <c r="T153" s="38"/>
      <c r="V153" s="39"/>
      <c r="X153" s="39" t="s">
        <v>281</v>
      </c>
      <c r="Y153" s="39">
        <v>230.05</v>
      </c>
      <c r="AB153" s="53">
        <v>230.05</v>
      </c>
      <c r="AC153" s="35" t="s">
        <v>277</v>
      </c>
    </row>
    <row r="154" spans="1:29" x14ac:dyDescent="0.2">
      <c r="A154" s="48">
        <f t="shared" si="4"/>
        <v>2026</v>
      </c>
      <c r="B154" s="49" t="str">
        <f t="shared" si="5"/>
        <v>JANEIRO</v>
      </c>
      <c r="C154" s="35">
        <v>74536313</v>
      </c>
      <c r="D154" s="35">
        <v>9332667</v>
      </c>
      <c r="E154" s="35" t="s">
        <v>322</v>
      </c>
      <c r="F154" s="36">
        <v>46027</v>
      </c>
      <c r="G154" s="35" t="s">
        <v>13</v>
      </c>
      <c r="H154" s="35">
        <v>35575473880</v>
      </c>
      <c r="I154" s="35" t="s">
        <v>299</v>
      </c>
      <c r="J154" s="36"/>
      <c r="K154" s="35" t="s">
        <v>351</v>
      </c>
      <c r="L154" s="35" t="s">
        <v>276</v>
      </c>
      <c r="M154" s="35" t="s">
        <v>277</v>
      </c>
      <c r="N154" s="37" t="s">
        <v>314</v>
      </c>
      <c r="P154" s="35" t="s">
        <v>279</v>
      </c>
      <c r="Q154" s="35" t="s">
        <v>286</v>
      </c>
      <c r="R154" s="35" t="s">
        <v>280</v>
      </c>
      <c r="S154" s="35">
        <v>1</v>
      </c>
      <c r="T154" s="38"/>
      <c r="V154" s="39"/>
      <c r="X154" s="39" t="s">
        <v>281</v>
      </c>
      <c r="Y154" s="39">
        <v>75.900000000000006</v>
      </c>
      <c r="AB154" s="53">
        <v>75.900000000000006</v>
      </c>
      <c r="AC154" s="35" t="s">
        <v>277</v>
      </c>
    </row>
    <row r="155" spans="1:29" x14ac:dyDescent="0.2">
      <c r="A155" s="48">
        <f t="shared" si="4"/>
        <v>2025</v>
      </c>
      <c r="B155" s="49" t="str">
        <f t="shared" si="5"/>
        <v>DEZEMBRO</v>
      </c>
      <c r="C155" s="35">
        <v>75465854</v>
      </c>
      <c r="D155" s="35">
        <v>9332667</v>
      </c>
      <c r="E155" s="35" t="s">
        <v>322</v>
      </c>
      <c r="F155" s="36">
        <v>46009</v>
      </c>
      <c r="G155" s="35" t="s">
        <v>13</v>
      </c>
      <c r="H155" s="35">
        <v>35575473880</v>
      </c>
      <c r="I155" s="35" t="s">
        <v>299</v>
      </c>
      <c r="J155" s="36"/>
      <c r="K155" s="35" t="s">
        <v>352</v>
      </c>
      <c r="L155" s="35" t="s">
        <v>276</v>
      </c>
      <c r="M155" s="35" t="s">
        <v>277</v>
      </c>
      <c r="N155" s="37" t="s">
        <v>314</v>
      </c>
      <c r="P155" s="35" t="s">
        <v>279</v>
      </c>
      <c r="Q155" s="35" t="s">
        <v>286</v>
      </c>
      <c r="R155" s="35" t="s">
        <v>280</v>
      </c>
      <c r="S155" s="35">
        <v>1</v>
      </c>
      <c r="T155" s="38"/>
      <c r="V155" s="39"/>
      <c r="X155" s="39" t="s">
        <v>281</v>
      </c>
      <c r="Y155" s="39">
        <v>450.48</v>
      </c>
      <c r="AB155" s="53">
        <v>450.48</v>
      </c>
      <c r="AC155" s="35" t="s">
        <v>277</v>
      </c>
    </row>
    <row r="156" spans="1:29" x14ac:dyDescent="0.2">
      <c r="A156" s="48">
        <f t="shared" si="4"/>
        <v>2025</v>
      </c>
      <c r="B156" s="49" t="str">
        <f t="shared" si="5"/>
        <v>DEZEMBRO</v>
      </c>
      <c r="C156" s="35">
        <v>75465608</v>
      </c>
      <c r="D156" s="35">
        <v>9332667</v>
      </c>
      <c r="E156" s="35" t="s">
        <v>322</v>
      </c>
      <c r="F156" s="36">
        <v>46006</v>
      </c>
      <c r="G156" s="35" t="s">
        <v>13</v>
      </c>
      <c r="H156" s="35">
        <v>35575473880</v>
      </c>
      <c r="I156" s="35" t="s">
        <v>299</v>
      </c>
      <c r="J156" s="36"/>
      <c r="K156" s="35" t="s">
        <v>353</v>
      </c>
      <c r="L156" s="35" t="s">
        <v>276</v>
      </c>
      <c r="M156" s="35" t="s">
        <v>277</v>
      </c>
      <c r="N156" s="37" t="s">
        <v>314</v>
      </c>
      <c r="P156" s="35" t="s">
        <v>279</v>
      </c>
      <c r="Q156" s="35" t="s">
        <v>286</v>
      </c>
      <c r="R156" s="35" t="s">
        <v>280</v>
      </c>
      <c r="S156" s="35">
        <v>1</v>
      </c>
      <c r="T156" s="38"/>
      <c r="V156" s="39"/>
      <c r="X156" s="39" t="s">
        <v>281</v>
      </c>
      <c r="Y156" s="39">
        <v>55</v>
      </c>
      <c r="AB156" s="53">
        <v>55</v>
      </c>
      <c r="AC156" s="35" t="s">
        <v>277</v>
      </c>
    </row>
    <row r="157" spans="1:29" x14ac:dyDescent="0.2">
      <c r="A157" s="48">
        <f t="shared" si="4"/>
        <v>2025</v>
      </c>
      <c r="B157" s="49" t="str">
        <f t="shared" si="5"/>
        <v>DEZEMBRO</v>
      </c>
      <c r="C157" s="35">
        <v>75465110</v>
      </c>
      <c r="D157" s="35">
        <v>9332667</v>
      </c>
      <c r="E157" s="35" t="s">
        <v>322</v>
      </c>
      <c r="F157" s="36">
        <v>46004</v>
      </c>
      <c r="G157" s="35" t="s">
        <v>13</v>
      </c>
      <c r="H157" s="35">
        <v>35575473880</v>
      </c>
      <c r="I157" s="35" t="s">
        <v>299</v>
      </c>
      <c r="J157" s="36"/>
      <c r="K157" s="35" t="s">
        <v>354</v>
      </c>
      <c r="L157" s="35" t="s">
        <v>276</v>
      </c>
      <c r="M157" s="35" t="s">
        <v>277</v>
      </c>
      <c r="N157" s="37" t="s">
        <v>314</v>
      </c>
      <c r="P157" s="35" t="s">
        <v>279</v>
      </c>
      <c r="Q157" s="35" t="s">
        <v>286</v>
      </c>
      <c r="R157" s="35" t="s">
        <v>280</v>
      </c>
      <c r="S157" s="35">
        <v>1</v>
      </c>
      <c r="T157" s="38"/>
      <c r="V157" s="39"/>
      <c r="X157" s="39" t="s">
        <v>281</v>
      </c>
      <c r="Y157" s="39">
        <v>38</v>
      </c>
      <c r="AB157" s="53">
        <v>38</v>
      </c>
      <c r="AC157" s="35" t="s">
        <v>277</v>
      </c>
    </row>
    <row r="158" spans="1:29" x14ac:dyDescent="0.2">
      <c r="A158" s="48">
        <f t="shared" si="4"/>
        <v>2025</v>
      </c>
      <c r="B158" s="49" t="str">
        <f t="shared" si="5"/>
        <v>DEZEMBRO</v>
      </c>
      <c r="C158" s="35">
        <v>75466465</v>
      </c>
      <c r="D158" s="35">
        <v>9332667</v>
      </c>
      <c r="E158" s="35" t="s">
        <v>322</v>
      </c>
      <c r="F158" s="36">
        <v>46002</v>
      </c>
      <c r="G158" s="35" t="s">
        <v>13</v>
      </c>
      <c r="H158" s="35">
        <v>35575473880</v>
      </c>
      <c r="I158" s="35" t="s">
        <v>299</v>
      </c>
      <c r="J158" s="36"/>
      <c r="K158" s="35" t="s">
        <v>355</v>
      </c>
      <c r="L158" s="35" t="s">
        <v>282</v>
      </c>
      <c r="M158" s="35" t="s">
        <v>277</v>
      </c>
      <c r="N158" s="37" t="s">
        <v>314</v>
      </c>
      <c r="P158" s="35" t="s">
        <v>279</v>
      </c>
      <c r="Q158" s="35" t="s">
        <v>286</v>
      </c>
      <c r="R158" s="35" t="s">
        <v>280</v>
      </c>
      <c r="S158" s="35">
        <v>1</v>
      </c>
      <c r="T158" s="38"/>
      <c r="V158" s="39"/>
      <c r="X158" s="39" t="s">
        <v>281</v>
      </c>
      <c r="Y158" s="39">
        <v>16</v>
      </c>
      <c r="AB158" s="53">
        <v>16</v>
      </c>
      <c r="AC158" s="35" t="s">
        <v>277</v>
      </c>
    </row>
    <row r="159" spans="1:29" x14ac:dyDescent="0.2">
      <c r="A159" s="48">
        <f t="shared" si="4"/>
        <v>2025</v>
      </c>
      <c r="B159" s="49" t="str">
        <f t="shared" si="5"/>
        <v>DEZEMBRO</v>
      </c>
      <c r="C159" s="35">
        <v>75467794</v>
      </c>
      <c r="D159" s="35">
        <v>9332667</v>
      </c>
      <c r="E159" s="35" t="s">
        <v>322</v>
      </c>
      <c r="F159" s="36">
        <v>45994</v>
      </c>
      <c r="G159" s="35" t="s">
        <v>13</v>
      </c>
      <c r="H159" s="35">
        <v>35575473880</v>
      </c>
      <c r="I159" s="35" t="s">
        <v>299</v>
      </c>
      <c r="J159" s="36"/>
      <c r="K159" s="35" t="s">
        <v>356</v>
      </c>
      <c r="L159" s="35" t="s">
        <v>282</v>
      </c>
      <c r="M159" s="35" t="s">
        <v>277</v>
      </c>
      <c r="N159" s="37" t="s">
        <v>357</v>
      </c>
      <c r="P159" s="35" t="s">
        <v>279</v>
      </c>
      <c r="Q159" s="35" t="s">
        <v>286</v>
      </c>
      <c r="R159" s="35" t="s">
        <v>280</v>
      </c>
      <c r="S159" s="35">
        <v>1</v>
      </c>
      <c r="T159" s="38"/>
      <c r="V159" s="39"/>
      <c r="X159" s="39" t="s">
        <v>281</v>
      </c>
      <c r="Y159" s="39">
        <v>5</v>
      </c>
      <c r="AB159" s="53">
        <v>5</v>
      </c>
      <c r="AC159" s="35" t="s">
        <v>277</v>
      </c>
    </row>
    <row r="160" spans="1:29" x14ac:dyDescent="0.2">
      <c r="A160" s="48">
        <f t="shared" si="4"/>
        <v>2025</v>
      </c>
      <c r="B160" s="49" t="str">
        <f t="shared" si="5"/>
        <v>NOVEMBRO</v>
      </c>
      <c r="C160" s="35">
        <v>75465551</v>
      </c>
      <c r="D160" s="35">
        <v>9332667</v>
      </c>
      <c r="E160" s="35" t="s">
        <v>322</v>
      </c>
      <c r="F160" s="36">
        <v>45972</v>
      </c>
      <c r="G160" s="35" t="s">
        <v>13</v>
      </c>
      <c r="H160" s="35">
        <v>35575473880</v>
      </c>
      <c r="I160" s="35" t="s">
        <v>299</v>
      </c>
      <c r="J160" s="36"/>
      <c r="K160" s="35" t="s">
        <v>358</v>
      </c>
      <c r="L160" s="35" t="s">
        <v>276</v>
      </c>
      <c r="M160" s="35" t="s">
        <v>277</v>
      </c>
      <c r="N160" s="37" t="s">
        <v>359</v>
      </c>
      <c r="P160" s="35" t="s">
        <v>279</v>
      </c>
      <c r="Q160" s="35" t="s">
        <v>286</v>
      </c>
      <c r="R160" s="35" t="s">
        <v>280</v>
      </c>
      <c r="S160" s="35">
        <v>1</v>
      </c>
      <c r="T160" s="38"/>
      <c r="V160" s="39"/>
      <c r="X160" s="39" t="s">
        <v>281</v>
      </c>
      <c r="Y160" s="39">
        <v>164.25</v>
      </c>
      <c r="AB160" s="53">
        <v>164.25</v>
      </c>
      <c r="AC160" s="35" t="s">
        <v>277</v>
      </c>
    </row>
    <row r="161" spans="1:29" x14ac:dyDescent="0.2">
      <c r="A161" s="48">
        <f t="shared" si="4"/>
        <v>2025</v>
      </c>
      <c r="B161" s="49" t="str">
        <f t="shared" si="5"/>
        <v>OUTUBRO</v>
      </c>
      <c r="C161" s="35">
        <v>75467913</v>
      </c>
      <c r="D161" s="35">
        <v>9332667</v>
      </c>
      <c r="E161" s="35" t="s">
        <v>322</v>
      </c>
      <c r="F161" s="36">
        <v>45943</v>
      </c>
      <c r="G161" s="35" t="s">
        <v>13</v>
      </c>
      <c r="H161" s="35">
        <v>35575473880</v>
      </c>
      <c r="I161" s="35" t="s">
        <v>299</v>
      </c>
      <c r="J161" s="36"/>
      <c r="K161" s="35" t="s">
        <v>360</v>
      </c>
      <c r="L161" s="35" t="s">
        <v>282</v>
      </c>
      <c r="M161" s="35" t="s">
        <v>277</v>
      </c>
      <c r="N161" s="37" t="s">
        <v>361</v>
      </c>
      <c r="P161" s="35" t="s">
        <v>279</v>
      </c>
      <c r="Q161" s="35" t="s">
        <v>286</v>
      </c>
      <c r="R161" s="35" t="s">
        <v>280</v>
      </c>
      <c r="S161" s="35">
        <v>1</v>
      </c>
      <c r="T161" s="38"/>
      <c r="V161" s="39"/>
      <c r="X161" s="39" t="s">
        <v>281</v>
      </c>
      <c r="Y161" s="39">
        <v>1.7</v>
      </c>
      <c r="AB161" s="53">
        <v>1.7</v>
      </c>
      <c r="AC161" s="35" t="s">
        <v>277</v>
      </c>
    </row>
    <row r="162" spans="1:29" x14ac:dyDescent="0.2">
      <c r="A162" s="48">
        <f t="shared" si="4"/>
        <v>2025</v>
      </c>
      <c r="B162" s="49" t="str">
        <f t="shared" si="5"/>
        <v>DEZEMBRO</v>
      </c>
      <c r="C162" s="35">
        <v>74535364</v>
      </c>
      <c r="D162" s="35">
        <v>9115050</v>
      </c>
      <c r="E162" s="35" t="s">
        <v>362</v>
      </c>
      <c r="F162" s="36">
        <v>46021</v>
      </c>
      <c r="G162" s="35" t="s">
        <v>13</v>
      </c>
      <c r="H162" s="35">
        <v>35575473880</v>
      </c>
      <c r="I162" s="35" t="s">
        <v>299</v>
      </c>
      <c r="J162" s="36"/>
      <c r="K162" s="35" t="s">
        <v>363</v>
      </c>
      <c r="L162" s="35" t="s">
        <v>283</v>
      </c>
      <c r="M162" s="35" t="s">
        <v>277</v>
      </c>
      <c r="N162" s="37" t="s">
        <v>314</v>
      </c>
      <c r="P162" s="35" t="s">
        <v>279</v>
      </c>
      <c r="Q162" s="35" t="s">
        <v>286</v>
      </c>
      <c r="R162" s="35" t="s">
        <v>280</v>
      </c>
      <c r="S162" s="35">
        <v>1</v>
      </c>
      <c r="T162" s="38"/>
      <c r="V162" s="39"/>
      <c r="X162" s="39" t="s">
        <v>281</v>
      </c>
      <c r="Y162" s="39">
        <v>54</v>
      </c>
      <c r="AB162" s="53">
        <v>54</v>
      </c>
      <c r="AC162" s="35" t="s">
        <v>277</v>
      </c>
    </row>
    <row r="163" spans="1:29" x14ac:dyDescent="0.2">
      <c r="A163" s="48">
        <f t="shared" si="4"/>
        <v>2025</v>
      </c>
      <c r="B163" s="49" t="str">
        <f t="shared" si="5"/>
        <v>DEZEMBRO</v>
      </c>
      <c r="C163" s="35">
        <v>74535343</v>
      </c>
      <c r="D163" s="35">
        <v>9115050</v>
      </c>
      <c r="E163" s="35" t="s">
        <v>362</v>
      </c>
      <c r="F163" s="36">
        <v>46021</v>
      </c>
      <c r="G163" s="35" t="s">
        <v>13</v>
      </c>
      <c r="H163" s="35">
        <v>35575473880</v>
      </c>
      <c r="I163" s="35" t="s">
        <v>299</v>
      </c>
      <c r="J163" s="36"/>
      <c r="K163" s="35" t="s">
        <v>364</v>
      </c>
      <c r="L163" s="35" t="s">
        <v>283</v>
      </c>
      <c r="M163" s="35" t="s">
        <v>277</v>
      </c>
      <c r="N163" s="37" t="s">
        <v>314</v>
      </c>
      <c r="P163" s="35" t="s">
        <v>279</v>
      </c>
      <c r="Q163" s="35" t="s">
        <v>286</v>
      </c>
      <c r="R163" s="35" t="s">
        <v>280</v>
      </c>
      <c r="S163" s="35">
        <v>1</v>
      </c>
      <c r="T163" s="38"/>
      <c r="V163" s="39"/>
      <c r="X163" s="39" t="s">
        <v>281</v>
      </c>
      <c r="Y163" s="39">
        <v>27.3</v>
      </c>
      <c r="AB163" s="53">
        <v>27.3</v>
      </c>
      <c r="AC163" s="35" t="s">
        <v>277</v>
      </c>
    </row>
    <row r="164" spans="1:29" x14ac:dyDescent="0.2">
      <c r="A164" s="48">
        <f t="shared" si="4"/>
        <v>2025</v>
      </c>
      <c r="B164" s="49" t="str">
        <f t="shared" si="5"/>
        <v>DEZEMBRO</v>
      </c>
      <c r="C164" s="35">
        <v>74535319</v>
      </c>
      <c r="D164" s="35">
        <v>9115050</v>
      </c>
      <c r="E164" s="35" t="s">
        <v>362</v>
      </c>
      <c r="F164" s="36">
        <v>46021</v>
      </c>
      <c r="G164" s="35" t="s">
        <v>13</v>
      </c>
      <c r="H164" s="35">
        <v>35575473880</v>
      </c>
      <c r="I164" s="35" t="s">
        <v>299</v>
      </c>
      <c r="J164" s="36"/>
      <c r="K164" s="35" t="s">
        <v>334</v>
      </c>
      <c r="L164" s="35" t="s">
        <v>282</v>
      </c>
      <c r="M164" s="35" t="s">
        <v>277</v>
      </c>
      <c r="N164" s="37" t="s">
        <v>314</v>
      </c>
      <c r="P164" s="35" t="s">
        <v>279</v>
      </c>
      <c r="Q164" s="35" t="s">
        <v>286</v>
      </c>
      <c r="R164" s="35" t="s">
        <v>280</v>
      </c>
      <c r="S164" s="35">
        <v>1</v>
      </c>
      <c r="T164" s="38"/>
      <c r="V164" s="39"/>
      <c r="X164" s="39" t="s">
        <v>281</v>
      </c>
      <c r="Y164" s="39">
        <v>60</v>
      </c>
      <c r="AB164" s="53">
        <v>60</v>
      </c>
      <c r="AC164" s="35" t="s">
        <v>277</v>
      </c>
    </row>
    <row r="165" spans="1:29" x14ac:dyDescent="0.2">
      <c r="A165" s="48">
        <f t="shared" si="4"/>
        <v>2025</v>
      </c>
      <c r="B165" s="49" t="str">
        <f t="shared" si="5"/>
        <v>DEZEMBRO</v>
      </c>
      <c r="C165" s="35">
        <v>74535285</v>
      </c>
      <c r="D165" s="35">
        <v>9115050</v>
      </c>
      <c r="E165" s="35" t="s">
        <v>362</v>
      </c>
      <c r="F165" s="36">
        <v>46021</v>
      </c>
      <c r="G165" s="35" t="s">
        <v>13</v>
      </c>
      <c r="H165" s="35">
        <v>35575473880</v>
      </c>
      <c r="I165" s="35" t="s">
        <v>299</v>
      </c>
      <c r="J165" s="36"/>
      <c r="K165" s="35" t="s">
        <v>360</v>
      </c>
      <c r="L165" s="35" t="s">
        <v>282</v>
      </c>
      <c r="M165" s="35" t="s">
        <v>277</v>
      </c>
      <c r="N165" s="37" t="s">
        <v>314</v>
      </c>
      <c r="P165" s="35" t="s">
        <v>279</v>
      </c>
      <c r="Q165" s="35" t="s">
        <v>286</v>
      </c>
      <c r="R165" s="35" t="s">
        <v>280</v>
      </c>
      <c r="S165" s="35">
        <v>1</v>
      </c>
      <c r="T165" s="38"/>
      <c r="V165" s="39"/>
      <c r="X165" s="39" t="s">
        <v>281</v>
      </c>
      <c r="Y165" s="39">
        <v>65</v>
      </c>
      <c r="AB165" s="53">
        <v>65</v>
      </c>
      <c r="AC165" s="35" t="s">
        <v>277</v>
      </c>
    </row>
    <row r="166" spans="1:29" x14ac:dyDescent="0.2">
      <c r="A166" s="48">
        <f t="shared" si="4"/>
        <v>2025</v>
      </c>
      <c r="B166" s="49" t="str">
        <f t="shared" si="5"/>
        <v>DEZEMBRO</v>
      </c>
      <c r="C166" s="35">
        <v>74535266</v>
      </c>
      <c r="D166" s="35">
        <v>9115050</v>
      </c>
      <c r="E166" s="35" t="s">
        <v>362</v>
      </c>
      <c r="F166" s="36">
        <v>46021</v>
      </c>
      <c r="G166" s="35" t="s">
        <v>13</v>
      </c>
      <c r="H166" s="35">
        <v>35575473880</v>
      </c>
      <c r="I166" s="35" t="s">
        <v>299</v>
      </c>
      <c r="J166" s="36"/>
      <c r="K166" s="35" t="s">
        <v>356</v>
      </c>
      <c r="L166" s="35" t="s">
        <v>282</v>
      </c>
      <c r="M166" s="35" t="s">
        <v>277</v>
      </c>
      <c r="N166" s="37" t="s">
        <v>314</v>
      </c>
      <c r="P166" s="35" t="s">
        <v>279</v>
      </c>
      <c r="Q166" s="35" t="s">
        <v>286</v>
      </c>
      <c r="R166" s="35" t="s">
        <v>280</v>
      </c>
      <c r="S166" s="35">
        <v>1</v>
      </c>
      <c r="T166" s="38"/>
      <c r="V166" s="39"/>
      <c r="X166" s="39" t="s">
        <v>281</v>
      </c>
      <c r="Y166" s="39">
        <v>91</v>
      </c>
      <c r="AB166" s="53">
        <v>91</v>
      </c>
      <c r="AC166" s="35" t="s">
        <v>277</v>
      </c>
    </row>
    <row r="167" spans="1:29" x14ac:dyDescent="0.2">
      <c r="A167" s="48">
        <f t="shared" si="4"/>
        <v>2025</v>
      </c>
      <c r="B167" s="49" t="str">
        <f t="shared" si="5"/>
        <v>DEZEMBRO</v>
      </c>
      <c r="C167" s="35">
        <v>74535199</v>
      </c>
      <c r="D167" s="35">
        <v>9115050</v>
      </c>
      <c r="E167" s="35" t="s">
        <v>362</v>
      </c>
      <c r="F167" s="36">
        <v>46021</v>
      </c>
      <c r="G167" s="35" t="s">
        <v>13</v>
      </c>
      <c r="H167" s="35">
        <v>35575473880</v>
      </c>
      <c r="I167" s="35" t="s">
        <v>299</v>
      </c>
      <c r="J167" s="36"/>
      <c r="K167" s="35" t="s">
        <v>339</v>
      </c>
      <c r="L167" s="35" t="s">
        <v>282</v>
      </c>
      <c r="M167" s="35" t="s">
        <v>277</v>
      </c>
      <c r="N167" s="37" t="s">
        <v>314</v>
      </c>
      <c r="P167" s="35" t="s">
        <v>279</v>
      </c>
      <c r="Q167" s="35" t="s">
        <v>286</v>
      </c>
      <c r="R167" s="35" t="s">
        <v>280</v>
      </c>
      <c r="S167" s="35">
        <v>1</v>
      </c>
      <c r="T167" s="38"/>
      <c r="V167" s="39"/>
      <c r="X167" s="39" t="s">
        <v>281</v>
      </c>
      <c r="Y167" s="39">
        <v>47.5</v>
      </c>
      <c r="AB167" s="53">
        <v>47.5</v>
      </c>
      <c r="AC167" s="35" t="s">
        <v>277</v>
      </c>
    </row>
    <row r="168" spans="1:29" x14ac:dyDescent="0.2">
      <c r="A168" s="48">
        <f t="shared" si="4"/>
        <v>2025</v>
      </c>
      <c r="B168" s="49" t="str">
        <f t="shared" si="5"/>
        <v>DEZEMBRO</v>
      </c>
      <c r="C168" s="35">
        <v>74530505</v>
      </c>
      <c r="D168" s="35">
        <v>9115050</v>
      </c>
      <c r="E168" s="35" t="s">
        <v>362</v>
      </c>
      <c r="F168" s="36">
        <v>46021</v>
      </c>
      <c r="G168" s="35" t="s">
        <v>13</v>
      </c>
      <c r="H168" s="35">
        <v>35575473880</v>
      </c>
      <c r="I168" s="35" t="s">
        <v>299</v>
      </c>
      <c r="J168" s="36"/>
      <c r="K168" s="35" t="s">
        <v>365</v>
      </c>
      <c r="L168" s="35" t="s">
        <v>276</v>
      </c>
      <c r="M168" s="35" t="s">
        <v>277</v>
      </c>
      <c r="N168" s="37" t="s">
        <v>365</v>
      </c>
      <c r="P168" s="35" t="s">
        <v>279</v>
      </c>
      <c r="Q168" s="35" t="s">
        <v>286</v>
      </c>
      <c r="R168" s="35" t="s">
        <v>280</v>
      </c>
      <c r="S168" s="35">
        <v>1</v>
      </c>
      <c r="T168" s="38"/>
      <c r="V168" s="39"/>
      <c r="X168" s="39" t="s">
        <v>281</v>
      </c>
      <c r="Y168" s="39">
        <v>98.5</v>
      </c>
      <c r="AB168" s="53">
        <v>98.5</v>
      </c>
      <c r="AC168" s="35" t="s">
        <v>277</v>
      </c>
    </row>
    <row r="169" spans="1:29" x14ac:dyDescent="0.2">
      <c r="A169" s="48">
        <f t="shared" si="4"/>
        <v>2025</v>
      </c>
      <c r="B169" s="49" t="str">
        <f t="shared" si="5"/>
        <v>DEZEMBRO</v>
      </c>
      <c r="C169" s="35">
        <v>74531291</v>
      </c>
      <c r="D169" s="35">
        <v>9115050</v>
      </c>
      <c r="E169" s="35" t="s">
        <v>362</v>
      </c>
      <c r="F169" s="36">
        <v>46020</v>
      </c>
      <c r="G169" s="35" t="s">
        <v>13</v>
      </c>
      <c r="H169" s="35">
        <v>35575473880</v>
      </c>
      <c r="I169" s="35" t="s">
        <v>299</v>
      </c>
      <c r="J169" s="36"/>
      <c r="K169" s="35" t="s">
        <v>366</v>
      </c>
      <c r="L169" s="35" t="s">
        <v>276</v>
      </c>
      <c r="M169" s="35" t="s">
        <v>277</v>
      </c>
      <c r="N169" s="37" t="s">
        <v>366</v>
      </c>
      <c r="P169" s="35" t="s">
        <v>279</v>
      </c>
      <c r="Q169" s="35" t="s">
        <v>286</v>
      </c>
      <c r="R169" s="35" t="s">
        <v>280</v>
      </c>
      <c r="S169" s="35">
        <v>1</v>
      </c>
      <c r="T169" s="38"/>
      <c r="V169" s="39"/>
      <c r="X169" s="39" t="s">
        <v>281</v>
      </c>
      <c r="Y169" s="39">
        <v>15</v>
      </c>
      <c r="AB169" s="53">
        <v>15</v>
      </c>
      <c r="AC169" s="35" t="s">
        <v>277</v>
      </c>
    </row>
    <row r="170" spans="1:29" x14ac:dyDescent="0.2">
      <c r="A170" s="48">
        <f t="shared" si="4"/>
        <v>2025</v>
      </c>
      <c r="B170" s="49" t="str">
        <f t="shared" si="5"/>
        <v>DEZEMBRO</v>
      </c>
      <c r="C170" s="35">
        <v>74530661</v>
      </c>
      <c r="D170" s="35">
        <v>9115050</v>
      </c>
      <c r="E170" s="35" t="s">
        <v>362</v>
      </c>
      <c r="F170" s="36">
        <v>46020</v>
      </c>
      <c r="G170" s="35" t="s">
        <v>13</v>
      </c>
      <c r="H170" s="35">
        <v>35575473880</v>
      </c>
      <c r="I170" s="35" t="s">
        <v>299</v>
      </c>
      <c r="J170" s="36"/>
      <c r="K170" s="35" t="s">
        <v>367</v>
      </c>
      <c r="L170" s="35" t="s">
        <v>276</v>
      </c>
      <c r="M170" s="35" t="s">
        <v>277</v>
      </c>
      <c r="N170" s="37" t="s">
        <v>367</v>
      </c>
      <c r="P170" s="35" t="s">
        <v>279</v>
      </c>
      <c r="Q170" s="35" t="s">
        <v>286</v>
      </c>
      <c r="R170" s="35" t="s">
        <v>280</v>
      </c>
      <c r="S170" s="35">
        <v>1</v>
      </c>
      <c r="T170" s="38"/>
      <c r="V170" s="39"/>
      <c r="X170" s="39" t="s">
        <v>281</v>
      </c>
      <c r="Y170" s="39">
        <v>168</v>
      </c>
      <c r="AB170" s="53">
        <v>168</v>
      </c>
      <c r="AC170" s="35" t="s">
        <v>277</v>
      </c>
    </row>
    <row r="171" spans="1:29" x14ac:dyDescent="0.2">
      <c r="A171" s="48">
        <f t="shared" si="4"/>
        <v>2025</v>
      </c>
      <c r="B171" s="49" t="str">
        <f t="shared" si="5"/>
        <v>DEZEMBRO</v>
      </c>
      <c r="C171" s="35">
        <v>74530612</v>
      </c>
      <c r="D171" s="35">
        <v>9115050</v>
      </c>
      <c r="E171" s="35" t="s">
        <v>362</v>
      </c>
      <c r="F171" s="36">
        <v>46020</v>
      </c>
      <c r="G171" s="35" t="s">
        <v>13</v>
      </c>
      <c r="H171" s="35">
        <v>35575473880</v>
      </c>
      <c r="I171" s="35" t="s">
        <v>299</v>
      </c>
      <c r="J171" s="36"/>
      <c r="K171" s="35" t="s">
        <v>368</v>
      </c>
      <c r="L171" s="35" t="s">
        <v>276</v>
      </c>
      <c r="M171" s="35" t="s">
        <v>277</v>
      </c>
      <c r="N171" s="37" t="s">
        <v>368</v>
      </c>
      <c r="P171" s="35" t="s">
        <v>279</v>
      </c>
      <c r="Q171" s="35" t="s">
        <v>286</v>
      </c>
      <c r="R171" s="35" t="s">
        <v>280</v>
      </c>
      <c r="S171" s="35">
        <v>1</v>
      </c>
      <c r="T171" s="38"/>
      <c r="V171" s="39"/>
      <c r="W171" s="35">
        <v>0</v>
      </c>
      <c r="X171" s="39" t="s">
        <v>281</v>
      </c>
      <c r="Y171" s="39">
        <v>9.9</v>
      </c>
      <c r="AB171" s="53">
        <v>9.9</v>
      </c>
      <c r="AC171" s="35" t="s">
        <v>277</v>
      </c>
    </row>
    <row r="172" spans="1:29" x14ac:dyDescent="0.2">
      <c r="A172" s="48">
        <f t="shared" si="4"/>
        <v>2025</v>
      </c>
      <c r="B172" s="49" t="str">
        <f t="shared" si="5"/>
        <v>DEZEMBRO</v>
      </c>
      <c r="C172" s="35">
        <v>74530559</v>
      </c>
      <c r="D172" s="35">
        <v>9115050</v>
      </c>
      <c r="E172" s="35" t="s">
        <v>362</v>
      </c>
      <c r="F172" s="36">
        <v>46020</v>
      </c>
      <c r="G172" s="35" t="s">
        <v>13</v>
      </c>
      <c r="H172" s="35">
        <v>35575473880</v>
      </c>
      <c r="I172" s="35" t="s">
        <v>299</v>
      </c>
      <c r="J172" s="36"/>
      <c r="K172" s="35" t="s">
        <v>369</v>
      </c>
      <c r="L172" s="35" t="s">
        <v>276</v>
      </c>
      <c r="M172" s="35" t="s">
        <v>277</v>
      </c>
      <c r="N172" s="37" t="s">
        <v>369</v>
      </c>
      <c r="P172" s="35" t="s">
        <v>279</v>
      </c>
      <c r="Q172" s="35" t="s">
        <v>286</v>
      </c>
      <c r="R172" s="35" t="s">
        <v>280</v>
      </c>
      <c r="S172" s="35">
        <v>1</v>
      </c>
      <c r="T172" s="38"/>
      <c r="V172" s="39"/>
      <c r="X172" s="39" t="s">
        <v>281</v>
      </c>
      <c r="Y172" s="39">
        <v>34.99</v>
      </c>
      <c r="AB172" s="53">
        <v>34.99</v>
      </c>
      <c r="AC172" s="35" t="s">
        <v>277</v>
      </c>
    </row>
    <row r="173" spans="1:29" x14ac:dyDescent="0.2">
      <c r="A173" s="48">
        <f t="shared" si="4"/>
        <v>2025</v>
      </c>
      <c r="B173" s="49" t="str">
        <f t="shared" si="5"/>
        <v>DEZEMBRO</v>
      </c>
      <c r="C173" s="35">
        <v>74144317</v>
      </c>
      <c r="D173" s="35">
        <v>9115050</v>
      </c>
      <c r="E173" s="35" t="s">
        <v>362</v>
      </c>
      <c r="F173" s="36">
        <v>46020</v>
      </c>
      <c r="G173" s="35" t="s">
        <v>13</v>
      </c>
      <c r="H173" s="35">
        <v>35575473880</v>
      </c>
      <c r="I173" s="35" t="s">
        <v>299</v>
      </c>
      <c r="J173" s="36"/>
      <c r="K173" s="35" t="s">
        <v>355</v>
      </c>
      <c r="L173" s="35" t="s">
        <v>282</v>
      </c>
      <c r="M173" s="35" t="s">
        <v>277</v>
      </c>
      <c r="N173" s="37" t="s">
        <v>314</v>
      </c>
      <c r="P173" s="35" t="s">
        <v>279</v>
      </c>
      <c r="Q173" s="35" t="s">
        <v>286</v>
      </c>
      <c r="R173" s="35" t="s">
        <v>280</v>
      </c>
      <c r="S173" s="35">
        <v>1</v>
      </c>
      <c r="T173" s="38"/>
      <c r="V173" s="39"/>
      <c r="X173" s="39" t="s">
        <v>281</v>
      </c>
      <c r="Y173" s="39">
        <v>44</v>
      </c>
      <c r="AB173" s="53">
        <v>44</v>
      </c>
      <c r="AC173" s="35" t="s">
        <v>277</v>
      </c>
    </row>
    <row r="174" spans="1:29" x14ac:dyDescent="0.2">
      <c r="A174" s="48">
        <f t="shared" si="4"/>
        <v>2025</v>
      </c>
      <c r="B174" s="49" t="str">
        <f t="shared" si="5"/>
        <v>DEZEMBRO</v>
      </c>
      <c r="C174" s="35">
        <v>74144280</v>
      </c>
      <c r="D174" s="35">
        <v>9115050</v>
      </c>
      <c r="E174" s="35" t="s">
        <v>362</v>
      </c>
      <c r="F174" s="36">
        <v>46020</v>
      </c>
      <c r="G174" s="35" t="s">
        <v>13</v>
      </c>
      <c r="H174" s="35">
        <v>35575473880</v>
      </c>
      <c r="I174" s="35" t="s">
        <v>299</v>
      </c>
      <c r="J174" s="36"/>
      <c r="K174" s="35" t="s">
        <v>347</v>
      </c>
      <c r="L174" s="35" t="s">
        <v>282</v>
      </c>
      <c r="M174" s="35" t="s">
        <v>277</v>
      </c>
      <c r="N174" s="37" t="s">
        <v>314</v>
      </c>
      <c r="P174" s="35" t="s">
        <v>279</v>
      </c>
      <c r="Q174" s="35" t="s">
        <v>286</v>
      </c>
      <c r="R174" s="35" t="s">
        <v>280</v>
      </c>
      <c r="S174" s="35">
        <v>1</v>
      </c>
      <c r="T174" s="38"/>
      <c r="V174" s="39"/>
      <c r="X174" s="39" t="s">
        <v>281</v>
      </c>
      <c r="Y174" s="39">
        <v>34</v>
      </c>
      <c r="AB174" s="53">
        <v>34</v>
      </c>
      <c r="AC174" s="35" t="s">
        <v>277</v>
      </c>
    </row>
    <row r="175" spans="1:29" x14ac:dyDescent="0.2">
      <c r="A175" s="48">
        <f t="shared" si="4"/>
        <v>2025</v>
      </c>
      <c r="B175" s="49" t="str">
        <f t="shared" si="5"/>
        <v>DEZEMBRO</v>
      </c>
      <c r="C175" s="35">
        <v>74144257</v>
      </c>
      <c r="D175" s="35">
        <v>9115050</v>
      </c>
      <c r="E175" s="35" t="s">
        <v>362</v>
      </c>
      <c r="F175" s="36">
        <v>46020</v>
      </c>
      <c r="G175" s="35" t="s">
        <v>13</v>
      </c>
      <c r="H175" s="35">
        <v>35575473880</v>
      </c>
      <c r="I175" s="35" t="s">
        <v>299</v>
      </c>
      <c r="J175" s="36"/>
      <c r="K175" s="35" t="s">
        <v>336</v>
      </c>
      <c r="L175" s="35" t="s">
        <v>282</v>
      </c>
      <c r="M175" s="35" t="s">
        <v>277</v>
      </c>
      <c r="N175" s="37" t="s">
        <v>314</v>
      </c>
      <c r="P175" s="35" t="s">
        <v>279</v>
      </c>
      <c r="Q175" s="35" t="s">
        <v>286</v>
      </c>
      <c r="R175" s="35" t="s">
        <v>280</v>
      </c>
      <c r="S175" s="35">
        <v>1</v>
      </c>
      <c r="T175" s="38"/>
      <c r="V175" s="39"/>
      <c r="X175" s="39" t="s">
        <v>281</v>
      </c>
      <c r="Y175" s="39">
        <v>96</v>
      </c>
      <c r="AB175" s="53">
        <v>96</v>
      </c>
      <c r="AC175" s="35" t="s">
        <v>277</v>
      </c>
    </row>
    <row r="176" spans="1:29" x14ac:dyDescent="0.2">
      <c r="A176" s="48">
        <f t="shared" si="4"/>
        <v>2025</v>
      </c>
      <c r="B176" s="49" t="str">
        <f t="shared" si="5"/>
        <v>DEZEMBRO</v>
      </c>
      <c r="C176" s="35">
        <v>74144233</v>
      </c>
      <c r="D176" s="35">
        <v>9115050</v>
      </c>
      <c r="E176" s="35" t="s">
        <v>362</v>
      </c>
      <c r="F176" s="36">
        <v>46020</v>
      </c>
      <c r="G176" s="35" t="s">
        <v>13</v>
      </c>
      <c r="H176" s="35">
        <v>35575473880</v>
      </c>
      <c r="I176" s="35" t="s">
        <v>299</v>
      </c>
      <c r="J176" s="36"/>
      <c r="K176" s="35" t="s">
        <v>370</v>
      </c>
      <c r="L176" s="35" t="s">
        <v>283</v>
      </c>
      <c r="M176" s="35" t="s">
        <v>277</v>
      </c>
      <c r="N176" s="37" t="s">
        <v>314</v>
      </c>
      <c r="P176" s="35" t="s">
        <v>279</v>
      </c>
      <c r="Q176" s="35" t="s">
        <v>286</v>
      </c>
      <c r="R176" s="35" t="s">
        <v>280</v>
      </c>
      <c r="S176" s="35">
        <v>1</v>
      </c>
      <c r="T176" s="38"/>
      <c r="V176" s="39"/>
      <c r="X176" s="39" t="s">
        <v>281</v>
      </c>
      <c r="Y176" s="39">
        <v>32.4</v>
      </c>
      <c r="AB176" s="53">
        <v>32.4</v>
      </c>
      <c r="AC176" s="35" t="s">
        <v>277</v>
      </c>
    </row>
    <row r="177" spans="1:29" x14ac:dyDescent="0.2">
      <c r="A177" s="48">
        <f t="shared" si="4"/>
        <v>2025</v>
      </c>
      <c r="B177" s="49" t="str">
        <f t="shared" si="5"/>
        <v>DEZEMBRO</v>
      </c>
      <c r="C177" s="35">
        <v>74144208</v>
      </c>
      <c r="D177" s="35">
        <v>9115050</v>
      </c>
      <c r="E177" s="35" t="s">
        <v>362</v>
      </c>
      <c r="F177" s="36">
        <v>46020</v>
      </c>
      <c r="G177" s="35" t="s">
        <v>13</v>
      </c>
      <c r="H177" s="35">
        <v>35575473880</v>
      </c>
      <c r="I177" s="35" t="s">
        <v>299</v>
      </c>
      <c r="J177" s="36"/>
      <c r="K177" s="35" t="s">
        <v>337</v>
      </c>
      <c r="L177" s="35" t="s">
        <v>283</v>
      </c>
      <c r="M177" s="35" t="s">
        <v>277</v>
      </c>
      <c r="N177" s="37" t="s">
        <v>314</v>
      </c>
      <c r="P177" s="35" t="s">
        <v>279</v>
      </c>
      <c r="Q177" s="35" t="s">
        <v>286</v>
      </c>
      <c r="R177" s="35" t="s">
        <v>280</v>
      </c>
      <c r="S177" s="35">
        <v>1</v>
      </c>
      <c r="T177" s="38"/>
      <c r="V177" s="39"/>
      <c r="X177" s="39" t="s">
        <v>281</v>
      </c>
      <c r="Y177" s="39">
        <v>30.7</v>
      </c>
      <c r="AB177" s="53">
        <v>30.7</v>
      </c>
      <c r="AC177" s="35" t="s">
        <v>277</v>
      </c>
    </row>
    <row r="178" spans="1:29" x14ac:dyDescent="0.2">
      <c r="A178" s="48">
        <f t="shared" si="4"/>
        <v>2025</v>
      </c>
      <c r="B178" s="49" t="str">
        <f t="shared" si="5"/>
        <v>DEZEMBRO</v>
      </c>
      <c r="C178" s="35">
        <v>74530720</v>
      </c>
      <c r="D178" s="35">
        <v>9115050</v>
      </c>
      <c r="E178" s="35" t="s">
        <v>362</v>
      </c>
      <c r="F178" s="36">
        <v>46018</v>
      </c>
      <c r="G178" s="35" t="s">
        <v>13</v>
      </c>
      <c r="H178" s="35">
        <v>35575473880</v>
      </c>
      <c r="I178" s="35" t="s">
        <v>299</v>
      </c>
      <c r="J178" s="36"/>
      <c r="K178" s="35" t="s">
        <v>371</v>
      </c>
      <c r="L178" s="35" t="s">
        <v>276</v>
      </c>
      <c r="M178" s="35" t="s">
        <v>277</v>
      </c>
      <c r="N178" s="37" t="s">
        <v>371</v>
      </c>
      <c r="P178" s="35" t="s">
        <v>279</v>
      </c>
      <c r="Q178" s="35" t="s">
        <v>286</v>
      </c>
      <c r="R178" s="35" t="s">
        <v>280</v>
      </c>
      <c r="S178" s="35">
        <v>1</v>
      </c>
      <c r="T178" s="38"/>
      <c r="V178" s="39"/>
      <c r="X178" s="39" t="s">
        <v>281</v>
      </c>
      <c r="Y178" s="39">
        <v>35.700000000000003</v>
      </c>
      <c r="AB178" s="53">
        <v>35.700000000000003</v>
      </c>
      <c r="AC178" s="35" t="s">
        <v>277</v>
      </c>
    </row>
    <row r="179" spans="1:29" x14ac:dyDescent="0.2">
      <c r="A179" s="48">
        <f t="shared" si="4"/>
        <v>2025</v>
      </c>
      <c r="B179" s="49" t="str">
        <f t="shared" si="5"/>
        <v>DEZEMBRO</v>
      </c>
      <c r="C179" s="35">
        <v>74531393</v>
      </c>
      <c r="D179" s="35">
        <v>9115050</v>
      </c>
      <c r="E179" s="35" t="s">
        <v>362</v>
      </c>
      <c r="F179" s="36">
        <v>46009</v>
      </c>
      <c r="G179" s="35" t="s">
        <v>13</v>
      </c>
      <c r="H179" s="35">
        <v>35575473880</v>
      </c>
      <c r="I179" s="35" t="s">
        <v>299</v>
      </c>
      <c r="J179" s="36"/>
      <c r="K179" s="35" t="s">
        <v>372</v>
      </c>
      <c r="L179" s="35" t="s">
        <v>276</v>
      </c>
      <c r="M179" s="35" t="s">
        <v>277</v>
      </c>
      <c r="N179" s="37" t="s">
        <v>372</v>
      </c>
      <c r="P179" s="35" t="s">
        <v>279</v>
      </c>
      <c r="Q179" s="35" t="s">
        <v>286</v>
      </c>
      <c r="R179" s="35" t="s">
        <v>280</v>
      </c>
      <c r="S179" s="35">
        <v>1</v>
      </c>
      <c r="T179" s="38"/>
      <c r="V179" s="39"/>
      <c r="X179" s="39" t="s">
        <v>281</v>
      </c>
      <c r="Y179" s="39">
        <v>24</v>
      </c>
      <c r="AB179" s="53">
        <v>24</v>
      </c>
      <c r="AC179" s="35" t="s">
        <v>277</v>
      </c>
    </row>
    <row r="180" spans="1:29" x14ac:dyDescent="0.2">
      <c r="A180" s="48">
        <f t="shared" si="4"/>
        <v>2025</v>
      </c>
      <c r="B180" s="49" t="str">
        <f t="shared" si="5"/>
        <v>DEZEMBRO</v>
      </c>
      <c r="C180" s="35">
        <v>74531231</v>
      </c>
      <c r="D180" s="35">
        <v>9115050</v>
      </c>
      <c r="E180" s="35" t="s">
        <v>362</v>
      </c>
      <c r="F180" s="36">
        <v>46009</v>
      </c>
      <c r="G180" s="35" t="s">
        <v>13</v>
      </c>
      <c r="H180" s="35">
        <v>35575473880</v>
      </c>
      <c r="I180" s="35" t="s">
        <v>299</v>
      </c>
      <c r="J180" s="36"/>
      <c r="K180" s="35" t="s">
        <v>373</v>
      </c>
      <c r="L180" s="35" t="s">
        <v>276</v>
      </c>
      <c r="M180" s="35" t="s">
        <v>277</v>
      </c>
      <c r="N180" s="37" t="s">
        <v>373</v>
      </c>
      <c r="P180" s="35" t="s">
        <v>279</v>
      </c>
      <c r="Q180" s="35" t="s">
        <v>286</v>
      </c>
      <c r="R180" s="35" t="s">
        <v>280</v>
      </c>
      <c r="S180" s="35">
        <v>1</v>
      </c>
      <c r="T180" s="38"/>
      <c r="V180" s="39"/>
      <c r="X180" s="39" t="s">
        <v>281</v>
      </c>
      <c r="Y180" s="39">
        <v>40</v>
      </c>
      <c r="AB180" s="53">
        <v>40</v>
      </c>
      <c r="AC180" s="35" t="s">
        <v>277</v>
      </c>
    </row>
    <row r="181" spans="1:29" x14ac:dyDescent="0.2">
      <c r="A181" s="48">
        <f t="shared" si="4"/>
        <v>2025</v>
      </c>
      <c r="B181" s="49" t="str">
        <f t="shared" si="5"/>
        <v>DEZEMBRO</v>
      </c>
      <c r="C181" s="35">
        <v>74530979</v>
      </c>
      <c r="D181" s="35">
        <v>9115050</v>
      </c>
      <c r="E181" s="35" t="s">
        <v>362</v>
      </c>
      <c r="F181" s="36">
        <v>46008</v>
      </c>
      <c r="G181" s="35" t="s">
        <v>13</v>
      </c>
      <c r="H181" s="35">
        <v>35575473880</v>
      </c>
      <c r="I181" s="35" t="s">
        <v>299</v>
      </c>
      <c r="J181" s="36"/>
      <c r="K181" s="35" t="s">
        <v>374</v>
      </c>
      <c r="L181" s="35" t="s">
        <v>276</v>
      </c>
      <c r="M181" s="35" t="s">
        <v>277</v>
      </c>
      <c r="N181" s="37" t="s">
        <v>374</v>
      </c>
      <c r="P181" s="35" t="s">
        <v>279</v>
      </c>
      <c r="Q181" s="35" t="s">
        <v>286</v>
      </c>
      <c r="R181" s="35" t="s">
        <v>280</v>
      </c>
      <c r="S181" s="35">
        <v>1</v>
      </c>
      <c r="T181" s="38"/>
      <c r="V181" s="39"/>
      <c r="X181" s="39" t="s">
        <v>281</v>
      </c>
      <c r="Y181" s="39">
        <v>18.8</v>
      </c>
      <c r="AB181" s="53">
        <v>18.8</v>
      </c>
      <c r="AC181" s="35" t="s">
        <v>277</v>
      </c>
    </row>
    <row r="182" spans="1:29" x14ac:dyDescent="0.2">
      <c r="A182" s="48">
        <f t="shared" si="4"/>
        <v>2025</v>
      </c>
      <c r="B182" s="49" t="str">
        <f t="shared" si="5"/>
        <v>DEZEMBRO</v>
      </c>
      <c r="C182" s="35">
        <v>74530921</v>
      </c>
      <c r="D182" s="35">
        <v>9115050</v>
      </c>
      <c r="E182" s="35" t="s">
        <v>362</v>
      </c>
      <c r="F182" s="36">
        <v>46007</v>
      </c>
      <c r="G182" s="35" t="s">
        <v>13</v>
      </c>
      <c r="H182" s="35">
        <v>35575473880</v>
      </c>
      <c r="I182" s="35" t="s">
        <v>299</v>
      </c>
      <c r="J182" s="36"/>
      <c r="K182" s="35" t="s">
        <v>375</v>
      </c>
      <c r="L182" s="35" t="s">
        <v>276</v>
      </c>
      <c r="M182" s="35" t="s">
        <v>277</v>
      </c>
      <c r="N182" s="37" t="s">
        <v>375</v>
      </c>
      <c r="P182" s="35" t="s">
        <v>279</v>
      </c>
      <c r="Q182" s="35" t="s">
        <v>286</v>
      </c>
      <c r="R182" s="35" t="s">
        <v>280</v>
      </c>
      <c r="S182" s="35">
        <v>1</v>
      </c>
      <c r="T182" s="38"/>
      <c r="V182" s="39"/>
      <c r="X182" s="39" t="s">
        <v>281</v>
      </c>
      <c r="Y182" s="39">
        <v>24.49</v>
      </c>
      <c r="AB182" s="53">
        <v>24.49</v>
      </c>
      <c r="AC182" s="35" t="s">
        <v>277</v>
      </c>
    </row>
    <row r="183" spans="1:29" x14ac:dyDescent="0.2">
      <c r="A183" s="48">
        <f t="shared" si="4"/>
        <v>2025</v>
      </c>
      <c r="B183" s="49" t="str">
        <f t="shared" si="5"/>
        <v>DEZEMBRO</v>
      </c>
      <c r="C183" s="35">
        <v>74531043</v>
      </c>
      <c r="D183" s="35">
        <v>9115050</v>
      </c>
      <c r="E183" s="35" t="s">
        <v>362</v>
      </c>
      <c r="F183" s="36">
        <v>46006</v>
      </c>
      <c r="G183" s="35" t="s">
        <v>13</v>
      </c>
      <c r="H183" s="35">
        <v>35575473880</v>
      </c>
      <c r="I183" s="35" t="s">
        <v>299</v>
      </c>
      <c r="J183" s="36"/>
      <c r="K183" s="35" t="s">
        <v>376</v>
      </c>
      <c r="L183" s="35" t="s">
        <v>276</v>
      </c>
      <c r="M183" s="35" t="s">
        <v>277</v>
      </c>
      <c r="N183" s="37" t="s">
        <v>376</v>
      </c>
      <c r="P183" s="35" t="s">
        <v>279</v>
      </c>
      <c r="Q183" s="35" t="s">
        <v>286</v>
      </c>
      <c r="R183" s="35" t="s">
        <v>280</v>
      </c>
      <c r="S183" s="35">
        <v>1</v>
      </c>
      <c r="T183" s="38"/>
      <c r="V183" s="39"/>
      <c r="X183" s="39" t="s">
        <v>281</v>
      </c>
      <c r="Y183" s="39">
        <v>36.229999999999997</v>
      </c>
      <c r="AB183" s="53">
        <v>36.229999999999997</v>
      </c>
      <c r="AC183" s="35" t="s">
        <v>277</v>
      </c>
    </row>
    <row r="184" spans="1:29" x14ac:dyDescent="0.2">
      <c r="A184" s="48">
        <f t="shared" si="4"/>
        <v>2025</v>
      </c>
      <c r="B184" s="49" t="str">
        <f t="shared" si="5"/>
        <v>DEZEMBRO</v>
      </c>
      <c r="C184" s="35">
        <v>74530859</v>
      </c>
      <c r="D184" s="35">
        <v>9115050</v>
      </c>
      <c r="E184" s="35" t="s">
        <v>362</v>
      </c>
      <c r="F184" s="36">
        <v>46006</v>
      </c>
      <c r="G184" s="35" t="s">
        <v>13</v>
      </c>
      <c r="H184" s="35">
        <v>35575473880</v>
      </c>
      <c r="I184" s="35" t="s">
        <v>299</v>
      </c>
      <c r="J184" s="36"/>
      <c r="K184" s="35" t="s">
        <v>377</v>
      </c>
      <c r="L184" s="35" t="s">
        <v>276</v>
      </c>
      <c r="M184" s="35" t="s">
        <v>277</v>
      </c>
      <c r="N184" s="37" t="s">
        <v>377</v>
      </c>
      <c r="P184" s="35" t="s">
        <v>279</v>
      </c>
      <c r="Q184" s="35" t="s">
        <v>286</v>
      </c>
      <c r="R184" s="35" t="s">
        <v>280</v>
      </c>
      <c r="S184" s="35">
        <v>1</v>
      </c>
      <c r="T184" s="38"/>
      <c r="V184" s="39"/>
      <c r="X184" s="39" t="s">
        <v>281</v>
      </c>
      <c r="Y184" s="39">
        <v>10</v>
      </c>
      <c r="AB184" s="53">
        <v>10</v>
      </c>
      <c r="AC184" s="35" t="s">
        <v>277</v>
      </c>
    </row>
    <row r="185" spans="1:29" x14ac:dyDescent="0.2">
      <c r="A185" s="48">
        <f t="shared" si="4"/>
        <v>2025</v>
      </c>
      <c r="B185" s="49" t="str">
        <f t="shared" si="5"/>
        <v>DEZEMBRO</v>
      </c>
      <c r="C185" s="35">
        <v>74531343</v>
      </c>
      <c r="D185" s="35">
        <v>9115050</v>
      </c>
      <c r="E185" s="35" t="s">
        <v>362</v>
      </c>
      <c r="F185" s="36">
        <v>46003</v>
      </c>
      <c r="G185" s="35" t="s">
        <v>13</v>
      </c>
      <c r="H185" s="35">
        <v>35575473880</v>
      </c>
      <c r="I185" s="35" t="s">
        <v>299</v>
      </c>
      <c r="J185" s="36"/>
      <c r="K185" s="35" t="s">
        <v>378</v>
      </c>
      <c r="L185" s="35" t="s">
        <v>276</v>
      </c>
      <c r="M185" s="35" t="s">
        <v>277</v>
      </c>
      <c r="N185" s="37" t="s">
        <v>378</v>
      </c>
      <c r="P185" s="35" t="s">
        <v>279</v>
      </c>
      <c r="Q185" s="35" t="s">
        <v>286</v>
      </c>
      <c r="R185" s="35" t="s">
        <v>280</v>
      </c>
      <c r="S185" s="35">
        <v>1</v>
      </c>
      <c r="T185" s="38"/>
      <c r="V185" s="39"/>
      <c r="X185" s="39" t="s">
        <v>281</v>
      </c>
      <c r="Y185" s="39">
        <v>113</v>
      </c>
      <c r="AB185" s="53">
        <v>113</v>
      </c>
      <c r="AC185" s="35" t="s">
        <v>277</v>
      </c>
    </row>
    <row r="186" spans="1:29" x14ac:dyDescent="0.2">
      <c r="A186" s="48">
        <f t="shared" si="4"/>
        <v>2025</v>
      </c>
      <c r="B186" s="49" t="str">
        <f t="shared" si="5"/>
        <v>DEZEMBRO</v>
      </c>
      <c r="C186" s="35">
        <v>74144081</v>
      </c>
      <c r="D186" s="35">
        <v>9115050</v>
      </c>
      <c r="E186" s="35" t="s">
        <v>362</v>
      </c>
      <c r="F186" s="36">
        <v>46001</v>
      </c>
      <c r="G186" s="35" t="s">
        <v>13</v>
      </c>
      <c r="H186" s="35">
        <v>35575473880</v>
      </c>
      <c r="I186" s="35" t="s">
        <v>299</v>
      </c>
      <c r="J186" s="36"/>
      <c r="K186" s="35" t="s">
        <v>379</v>
      </c>
      <c r="L186" s="35" t="s">
        <v>276</v>
      </c>
      <c r="M186" s="35" t="s">
        <v>277</v>
      </c>
      <c r="N186" s="37" t="s">
        <v>314</v>
      </c>
      <c r="P186" s="35" t="s">
        <v>279</v>
      </c>
      <c r="Q186" s="35" t="s">
        <v>286</v>
      </c>
      <c r="R186" s="35" t="s">
        <v>280</v>
      </c>
      <c r="S186" s="35">
        <v>1</v>
      </c>
      <c r="T186" s="38"/>
      <c r="V186" s="39"/>
      <c r="X186" s="39" t="s">
        <v>281</v>
      </c>
      <c r="Y186" s="39">
        <v>7.59</v>
      </c>
      <c r="AB186" s="53">
        <v>7.59</v>
      </c>
      <c r="AC186" s="35" t="s">
        <v>277</v>
      </c>
    </row>
    <row r="187" spans="1:29" x14ac:dyDescent="0.2">
      <c r="A187" s="48">
        <f t="shared" si="4"/>
        <v>2025</v>
      </c>
      <c r="B187" s="49" t="str">
        <f t="shared" si="5"/>
        <v>DEZEMBRO</v>
      </c>
      <c r="C187" s="35">
        <v>74143999</v>
      </c>
      <c r="D187" s="35">
        <v>9115050</v>
      </c>
      <c r="E187" s="35" t="s">
        <v>362</v>
      </c>
      <c r="F187" s="36">
        <v>46001</v>
      </c>
      <c r="G187" s="35" t="s">
        <v>13</v>
      </c>
      <c r="H187" s="35">
        <v>35575473880</v>
      </c>
      <c r="I187" s="35" t="s">
        <v>299</v>
      </c>
      <c r="J187" s="36"/>
      <c r="K187" s="35" t="s">
        <v>287</v>
      </c>
      <c r="L187" s="35" t="s">
        <v>276</v>
      </c>
      <c r="M187" s="35" t="s">
        <v>277</v>
      </c>
      <c r="N187" s="37" t="s">
        <v>314</v>
      </c>
      <c r="P187" s="35" t="s">
        <v>279</v>
      </c>
      <c r="Q187" s="35" t="s">
        <v>286</v>
      </c>
      <c r="R187" s="35" t="s">
        <v>280</v>
      </c>
      <c r="S187" s="35">
        <v>1</v>
      </c>
      <c r="T187" s="38"/>
      <c r="V187" s="39"/>
      <c r="X187" s="39" t="s">
        <v>281</v>
      </c>
      <c r="Y187" s="39">
        <v>29.99</v>
      </c>
      <c r="AB187" s="53">
        <v>29.99</v>
      </c>
      <c r="AC187" s="35" t="s">
        <v>277</v>
      </c>
    </row>
    <row r="188" spans="1:29" x14ac:dyDescent="0.2">
      <c r="A188" s="48">
        <f t="shared" si="4"/>
        <v>2025</v>
      </c>
      <c r="B188" s="49" t="str">
        <f t="shared" si="5"/>
        <v>DEZEMBRO</v>
      </c>
      <c r="C188" s="35">
        <v>74530827</v>
      </c>
      <c r="D188" s="35">
        <v>9115050</v>
      </c>
      <c r="E188" s="35" t="s">
        <v>362</v>
      </c>
      <c r="F188" s="36">
        <v>45999</v>
      </c>
      <c r="G188" s="35" t="s">
        <v>13</v>
      </c>
      <c r="H188" s="35">
        <v>35575473880</v>
      </c>
      <c r="I188" s="35" t="s">
        <v>299</v>
      </c>
      <c r="J188" s="36"/>
      <c r="K188" s="35" t="s">
        <v>380</v>
      </c>
      <c r="L188" s="35" t="s">
        <v>276</v>
      </c>
      <c r="M188" s="35" t="s">
        <v>277</v>
      </c>
      <c r="N188" s="37" t="s">
        <v>381</v>
      </c>
      <c r="P188" s="35" t="s">
        <v>279</v>
      </c>
      <c r="Q188" s="35" t="s">
        <v>286</v>
      </c>
      <c r="R188" s="35" t="s">
        <v>280</v>
      </c>
      <c r="S188" s="35">
        <v>1</v>
      </c>
      <c r="T188" s="38"/>
      <c r="V188" s="39"/>
      <c r="X188" s="39" t="s">
        <v>281</v>
      </c>
      <c r="Y188" s="39">
        <v>9.1999999999999993</v>
      </c>
      <c r="AB188" s="53">
        <v>9.1999999999999993</v>
      </c>
      <c r="AC188" s="35" t="s">
        <v>277</v>
      </c>
    </row>
    <row r="189" spans="1:29" x14ac:dyDescent="0.2">
      <c r="A189" s="48">
        <f t="shared" si="4"/>
        <v>2025</v>
      </c>
      <c r="B189" s="49" t="str">
        <f t="shared" si="5"/>
        <v>DEZEMBRO</v>
      </c>
      <c r="C189" s="35">
        <v>74530772</v>
      </c>
      <c r="D189" s="35">
        <v>9115050</v>
      </c>
      <c r="E189" s="35" t="s">
        <v>362</v>
      </c>
      <c r="F189" s="36">
        <v>45999</v>
      </c>
      <c r="G189" s="35" t="s">
        <v>13</v>
      </c>
      <c r="H189" s="35">
        <v>35575473880</v>
      </c>
      <c r="I189" s="35" t="s">
        <v>299</v>
      </c>
      <c r="J189" s="36"/>
      <c r="K189" s="35" t="s">
        <v>382</v>
      </c>
      <c r="L189" s="35" t="s">
        <v>276</v>
      </c>
      <c r="M189" s="35" t="s">
        <v>277</v>
      </c>
      <c r="N189" s="37" t="s">
        <v>382</v>
      </c>
      <c r="P189" s="35" t="s">
        <v>279</v>
      </c>
      <c r="Q189" s="35" t="s">
        <v>286</v>
      </c>
      <c r="R189" s="35" t="s">
        <v>280</v>
      </c>
      <c r="S189" s="35">
        <v>1</v>
      </c>
      <c r="T189" s="38"/>
      <c r="V189" s="39"/>
      <c r="X189" s="39" t="s">
        <v>281</v>
      </c>
      <c r="Y189" s="39">
        <v>21.91</v>
      </c>
      <c r="AB189" s="53">
        <v>21.91</v>
      </c>
      <c r="AC189" s="35" t="s">
        <v>277</v>
      </c>
    </row>
    <row r="190" spans="1:29" x14ac:dyDescent="0.2">
      <c r="A190" s="48">
        <f t="shared" si="4"/>
        <v>2025</v>
      </c>
      <c r="B190" s="49" t="str">
        <f t="shared" si="5"/>
        <v>DEZEMBRO</v>
      </c>
      <c r="C190" s="35">
        <v>74143920</v>
      </c>
      <c r="D190" s="35">
        <v>9115050</v>
      </c>
      <c r="E190" s="35" t="s">
        <v>362</v>
      </c>
      <c r="F190" s="36">
        <v>45995</v>
      </c>
      <c r="G190" s="35" t="s">
        <v>13</v>
      </c>
      <c r="H190" s="35">
        <v>35575473880</v>
      </c>
      <c r="I190" s="35" t="s">
        <v>299</v>
      </c>
      <c r="J190" s="36"/>
      <c r="K190" s="35" t="s">
        <v>292</v>
      </c>
      <c r="L190" s="35" t="s">
        <v>276</v>
      </c>
      <c r="M190" s="35" t="s">
        <v>277</v>
      </c>
      <c r="N190" s="37" t="s">
        <v>314</v>
      </c>
      <c r="P190" s="35" t="s">
        <v>279</v>
      </c>
      <c r="Q190" s="35" t="s">
        <v>286</v>
      </c>
      <c r="R190" s="35" t="s">
        <v>280</v>
      </c>
      <c r="S190" s="35">
        <v>1</v>
      </c>
      <c r="T190" s="38"/>
      <c r="V190" s="39"/>
      <c r="X190" s="39" t="s">
        <v>281</v>
      </c>
      <c r="Y190" s="39">
        <v>62</v>
      </c>
      <c r="AB190" s="53">
        <v>62</v>
      </c>
      <c r="AC190" s="35" t="s">
        <v>277</v>
      </c>
    </row>
    <row r="191" spans="1:29" x14ac:dyDescent="0.2">
      <c r="A191" s="48">
        <f t="shared" si="4"/>
        <v>2025</v>
      </c>
      <c r="B191" s="49" t="str">
        <f t="shared" si="5"/>
        <v>DEZEMBRO</v>
      </c>
      <c r="C191" s="35">
        <v>74143874</v>
      </c>
      <c r="D191" s="35">
        <v>9115050</v>
      </c>
      <c r="E191" s="35" t="s">
        <v>362</v>
      </c>
      <c r="F191" s="36">
        <v>45995</v>
      </c>
      <c r="G191" s="35" t="s">
        <v>13</v>
      </c>
      <c r="H191" s="35">
        <v>35575473880</v>
      </c>
      <c r="I191" s="35" t="s">
        <v>299</v>
      </c>
      <c r="J191" s="36"/>
      <c r="K191" s="35" t="s">
        <v>290</v>
      </c>
      <c r="L191" s="35" t="s">
        <v>276</v>
      </c>
      <c r="M191" s="35" t="s">
        <v>277</v>
      </c>
      <c r="N191" s="37" t="s">
        <v>314</v>
      </c>
      <c r="P191" s="35" t="s">
        <v>279</v>
      </c>
      <c r="Q191" s="35" t="s">
        <v>286</v>
      </c>
      <c r="R191" s="35" t="s">
        <v>280</v>
      </c>
      <c r="S191" s="35">
        <v>1</v>
      </c>
      <c r="T191" s="38"/>
      <c r="V191" s="39"/>
      <c r="X191" s="39" t="s">
        <v>281</v>
      </c>
      <c r="Y191" s="39">
        <v>9.5</v>
      </c>
      <c r="AB191" s="53">
        <v>9.5</v>
      </c>
      <c r="AC191" s="35" t="s">
        <v>277</v>
      </c>
    </row>
    <row r="192" spans="1:29" x14ac:dyDescent="0.2">
      <c r="A192" s="48">
        <f t="shared" si="4"/>
        <v>2025</v>
      </c>
      <c r="B192" s="49" t="str">
        <f t="shared" si="5"/>
        <v>DEZEMBRO</v>
      </c>
      <c r="C192" s="35">
        <v>74144048</v>
      </c>
      <c r="D192" s="35">
        <v>9115050</v>
      </c>
      <c r="E192" s="35" t="s">
        <v>362</v>
      </c>
      <c r="F192" s="36">
        <v>45994</v>
      </c>
      <c r="G192" s="35" t="s">
        <v>13</v>
      </c>
      <c r="H192" s="35">
        <v>35575473880</v>
      </c>
      <c r="I192" s="35" t="s">
        <v>299</v>
      </c>
      <c r="J192" s="36"/>
      <c r="K192" s="35" t="s">
        <v>383</v>
      </c>
      <c r="L192" s="35" t="s">
        <v>276</v>
      </c>
      <c r="M192" s="35" t="s">
        <v>277</v>
      </c>
      <c r="N192" s="37" t="s">
        <v>314</v>
      </c>
      <c r="P192" s="35" t="s">
        <v>279</v>
      </c>
      <c r="Q192" s="35" t="s">
        <v>286</v>
      </c>
      <c r="R192" s="35" t="s">
        <v>280</v>
      </c>
      <c r="S192" s="35">
        <v>1</v>
      </c>
      <c r="T192" s="38"/>
      <c r="V192" s="39"/>
      <c r="X192" s="39" t="s">
        <v>281</v>
      </c>
      <c r="Y192" s="39">
        <v>15.5</v>
      </c>
      <c r="AB192" s="53">
        <v>15.5</v>
      </c>
      <c r="AC192" s="35" t="s">
        <v>277</v>
      </c>
    </row>
    <row r="193" spans="1:29" x14ac:dyDescent="0.2">
      <c r="A193" s="48">
        <f t="shared" si="4"/>
        <v>2025</v>
      </c>
      <c r="B193" s="49" t="str">
        <f t="shared" si="5"/>
        <v>DEZEMBRO</v>
      </c>
      <c r="C193" s="35">
        <v>74144097</v>
      </c>
      <c r="D193" s="35">
        <v>9115050</v>
      </c>
      <c r="E193" s="35" t="s">
        <v>362</v>
      </c>
      <c r="F193" s="36">
        <v>45993</v>
      </c>
      <c r="G193" s="35" t="s">
        <v>13</v>
      </c>
      <c r="H193" s="35">
        <v>35575473880</v>
      </c>
      <c r="I193" s="35" t="s">
        <v>299</v>
      </c>
      <c r="J193" s="36"/>
      <c r="K193" s="35" t="s">
        <v>384</v>
      </c>
      <c r="L193" s="35" t="s">
        <v>276</v>
      </c>
      <c r="M193" s="35" t="s">
        <v>277</v>
      </c>
      <c r="N193" s="37" t="s">
        <v>314</v>
      </c>
      <c r="P193" s="35" t="s">
        <v>279</v>
      </c>
      <c r="Q193" s="35" t="s">
        <v>286</v>
      </c>
      <c r="R193" s="35" t="s">
        <v>280</v>
      </c>
      <c r="S193" s="35">
        <v>1</v>
      </c>
      <c r="T193" s="38"/>
      <c r="V193" s="39"/>
      <c r="X193" s="39" t="s">
        <v>281</v>
      </c>
      <c r="Y193" s="39">
        <v>44</v>
      </c>
      <c r="AB193" s="53">
        <v>44</v>
      </c>
      <c r="AC193" s="35" t="s">
        <v>277</v>
      </c>
    </row>
    <row r="194" spans="1:29" x14ac:dyDescent="0.2">
      <c r="A194" s="48">
        <f t="shared" si="4"/>
        <v>2025</v>
      </c>
      <c r="B194" s="49" t="str">
        <f t="shared" si="5"/>
        <v>DEZEMBRO</v>
      </c>
      <c r="C194" s="35">
        <v>74143953</v>
      </c>
      <c r="D194" s="35">
        <v>9115050</v>
      </c>
      <c r="E194" s="35" t="s">
        <v>362</v>
      </c>
      <c r="F194" s="36">
        <v>45993</v>
      </c>
      <c r="G194" s="35" t="s">
        <v>13</v>
      </c>
      <c r="H194" s="35">
        <v>35575473880</v>
      </c>
      <c r="I194" s="35" t="s">
        <v>299</v>
      </c>
      <c r="J194" s="36"/>
      <c r="K194" s="35" t="s">
        <v>385</v>
      </c>
      <c r="L194" s="35" t="s">
        <v>276</v>
      </c>
      <c r="M194" s="35" t="s">
        <v>277</v>
      </c>
      <c r="N194" s="37" t="s">
        <v>314</v>
      </c>
      <c r="P194" s="35" t="s">
        <v>279</v>
      </c>
      <c r="Q194" s="35" t="s">
        <v>286</v>
      </c>
      <c r="R194" s="35" t="s">
        <v>280</v>
      </c>
      <c r="S194" s="35">
        <v>1</v>
      </c>
      <c r="T194" s="38"/>
      <c r="V194" s="39"/>
      <c r="X194" s="39" t="s">
        <v>281</v>
      </c>
      <c r="Y194" s="39">
        <v>5.5</v>
      </c>
      <c r="AB194" s="53">
        <v>5.5</v>
      </c>
      <c r="AC194" s="35" t="s">
        <v>277</v>
      </c>
    </row>
    <row r="195" spans="1:29" x14ac:dyDescent="0.2">
      <c r="A195" s="48">
        <f t="shared" ref="A195:A258" si="6">YEAR(F195)</f>
        <v>2025</v>
      </c>
      <c r="B195" s="49" t="str">
        <f t="shared" ref="B195:B258" si="7">UPPER(TEXT(F195,"MMMM"))</f>
        <v>DEZEMBRO</v>
      </c>
      <c r="C195" s="35">
        <v>73047303</v>
      </c>
      <c r="D195" s="35">
        <v>9115050</v>
      </c>
      <c r="E195" s="35" t="s">
        <v>362</v>
      </c>
      <c r="F195" s="36">
        <v>45993</v>
      </c>
      <c r="G195" s="35" t="s">
        <v>13</v>
      </c>
      <c r="H195" s="35">
        <v>35575473880</v>
      </c>
      <c r="I195" s="35" t="s">
        <v>299</v>
      </c>
      <c r="J195" s="36"/>
      <c r="K195" s="35" t="s">
        <v>301</v>
      </c>
      <c r="L195" s="35" t="s">
        <v>276</v>
      </c>
      <c r="M195" s="35" t="s">
        <v>277</v>
      </c>
      <c r="N195" s="37" t="s">
        <v>301</v>
      </c>
      <c r="P195" s="35" t="s">
        <v>279</v>
      </c>
      <c r="Q195" s="35" t="s">
        <v>286</v>
      </c>
      <c r="R195" s="35" t="s">
        <v>280</v>
      </c>
      <c r="S195" s="35">
        <v>1</v>
      </c>
      <c r="T195" s="38"/>
      <c r="V195" s="39"/>
      <c r="X195" s="39" t="s">
        <v>281</v>
      </c>
      <c r="Y195" s="39">
        <v>4</v>
      </c>
      <c r="AB195" s="53">
        <v>4</v>
      </c>
      <c r="AC195" s="35" t="s">
        <v>277</v>
      </c>
    </row>
    <row r="196" spans="1:29" x14ac:dyDescent="0.2">
      <c r="A196" s="48">
        <f t="shared" si="6"/>
        <v>2025</v>
      </c>
      <c r="B196" s="49" t="str">
        <f t="shared" si="7"/>
        <v>DEZEMBRO</v>
      </c>
      <c r="C196" s="35">
        <v>73047238</v>
      </c>
      <c r="D196" s="35">
        <v>9115050</v>
      </c>
      <c r="E196" s="35" t="s">
        <v>362</v>
      </c>
      <c r="F196" s="36">
        <v>45993</v>
      </c>
      <c r="G196" s="35" t="s">
        <v>13</v>
      </c>
      <c r="H196" s="35">
        <v>35575473880</v>
      </c>
      <c r="I196" s="35" t="s">
        <v>299</v>
      </c>
      <c r="J196" s="36"/>
      <c r="K196" s="35" t="s">
        <v>288</v>
      </c>
      <c r="L196" s="35" t="s">
        <v>276</v>
      </c>
      <c r="M196" s="35" t="s">
        <v>277</v>
      </c>
      <c r="N196" s="37" t="s">
        <v>288</v>
      </c>
      <c r="P196" s="35" t="s">
        <v>279</v>
      </c>
      <c r="Q196" s="35" t="s">
        <v>286</v>
      </c>
      <c r="R196" s="35" t="s">
        <v>280</v>
      </c>
      <c r="S196" s="35">
        <v>1</v>
      </c>
      <c r="T196" s="38"/>
      <c r="V196" s="39"/>
      <c r="X196" s="39" t="s">
        <v>281</v>
      </c>
      <c r="Y196" s="39">
        <v>85</v>
      </c>
      <c r="AB196" s="53">
        <v>85</v>
      </c>
      <c r="AC196" s="35" t="s">
        <v>277</v>
      </c>
    </row>
    <row r="197" spans="1:29" x14ac:dyDescent="0.2">
      <c r="A197" s="48">
        <f t="shared" si="6"/>
        <v>2025</v>
      </c>
      <c r="B197" s="49" t="str">
        <f t="shared" si="7"/>
        <v>DEZEMBRO</v>
      </c>
      <c r="C197" s="35">
        <v>73023635</v>
      </c>
      <c r="D197" s="35">
        <v>8982679</v>
      </c>
      <c r="E197" s="35" t="s">
        <v>390</v>
      </c>
      <c r="F197" s="36">
        <v>45999</v>
      </c>
      <c r="G197" s="35" t="s">
        <v>13</v>
      </c>
      <c r="H197" s="35">
        <v>35575473880</v>
      </c>
      <c r="I197" s="35" t="s">
        <v>299</v>
      </c>
      <c r="J197" s="36"/>
      <c r="K197" s="35" t="s">
        <v>391</v>
      </c>
      <c r="L197" s="35" t="s">
        <v>276</v>
      </c>
      <c r="M197" s="35" t="s">
        <v>277</v>
      </c>
      <c r="N197" s="37" t="s">
        <v>391</v>
      </c>
      <c r="P197" s="35" t="s">
        <v>279</v>
      </c>
      <c r="Q197" s="35" t="s">
        <v>286</v>
      </c>
      <c r="R197" s="35" t="s">
        <v>280</v>
      </c>
      <c r="S197" s="35">
        <v>1</v>
      </c>
      <c r="T197" s="38"/>
      <c r="V197" s="39"/>
      <c r="X197" s="39" t="s">
        <v>281</v>
      </c>
      <c r="Y197" s="39">
        <v>55.8</v>
      </c>
      <c r="AB197" s="53">
        <v>55.8</v>
      </c>
      <c r="AC197" s="35" t="s">
        <v>277</v>
      </c>
    </row>
    <row r="198" spans="1:29" x14ac:dyDescent="0.2">
      <c r="A198" s="48">
        <f t="shared" si="6"/>
        <v>2025</v>
      </c>
      <c r="B198" s="49" t="str">
        <f t="shared" si="7"/>
        <v>DEZEMBRO</v>
      </c>
      <c r="C198" s="35">
        <v>73023581</v>
      </c>
      <c r="D198" s="35">
        <v>8982679</v>
      </c>
      <c r="E198" s="35" t="s">
        <v>390</v>
      </c>
      <c r="F198" s="36">
        <v>45999</v>
      </c>
      <c r="G198" s="35" t="s">
        <v>13</v>
      </c>
      <c r="H198" s="35">
        <v>35575473880</v>
      </c>
      <c r="I198" s="35" t="s">
        <v>299</v>
      </c>
      <c r="J198" s="36"/>
      <c r="K198" s="35" t="s">
        <v>392</v>
      </c>
      <c r="L198" s="35" t="s">
        <v>276</v>
      </c>
      <c r="M198" s="35" t="s">
        <v>277</v>
      </c>
      <c r="N198" s="37" t="s">
        <v>392</v>
      </c>
      <c r="P198" s="35" t="s">
        <v>279</v>
      </c>
      <c r="Q198" s="35" t="s">
        <v>286</v>
      </c>
      <c r="R198" s="35" t="s">
        <v>280</v>
      </c>
      <c r="S198" s="35">
        <v>1</v>
      </c>
      <c r="T198" s="38"/>
      <c r="V198" s="39"/>
      <c r="X198" s="39" t="s">
        <v>281</v>
      </c>
      <c r="Y198" s="39">
        <v>16.739999999999998</v>
      </c>
      <c r="AB198" s="53">
        <v>16.739999999999998</v>
      </c>
      <c r="AC198" s="35" t="s">
        <v>277</v>
      </c>
    </row>
    <row r="199" spans="1:29" x14ac:dyDescent="0.2">
      <c r="A199" s="48">
        <f t="shared" si="6"/>
        <v>2025</v>
      </c>
      <c r="B199" s="49" t="str">
        <f t="shared" si="7"/>
        <v>DEZEMBRO</v>
      </c>
      <c r="C199" s="35">
        <v>73023487</v>
      </c>
      <c r="D199" s="35">
        <v>8982679</v>
      </c>
      <c r="E199" s="35" t="s">
        <v>390</v>
      </c>
      <c r="F199" s="36">
        <v>45999</v>
      </c>
      <c r="G199" s="35" t="s">
        <v>13</v>
      </c>
      <c r="H199" s="35">
        <v>35575473880</v>
      </c>
      <c r="I199" s="35" t="s">
        <v>299</v>
      </c>
      <c r="J199" s="36"/>
      <c r="K199" s="35" t="s">
        <v>393</v>
      </c>
      <c r="L199" s="35" t="s">
        <v>276</v>
      </c>
      <c r="M199" s="35" t="s">
        <v>277</v>
      </c>
      <c r="N199" s="37" t="s">
        <v>393</v>
      </c>
      <c r="P199" s="35" t="s">
        <v>279</v>
      </c>
      <c r="Q199" s="35" t="s">
        <v>286</v>
      </c>
      <c r="R199" s="35" t="s">
        <v>280</v>
      </c>
      <c r="S199" s="35">
        <v>1</v>
      </c>
      <c r="T199" s="38"/>
      <c r="V199" s="39"/>
      <c r="X199" s="39" t="s">
        <v>281</v>
      </c>
      <c r="Y199" s="39">
        <v>21.9</v>
      </c>
      <c r="AB199" s="53">
        <v>21.9</v>
      </c>
      <c r="AC199" s="35" t="s">
        <v>277</v>
      </c>
    </row>
    <row r="200" spans="1:29" x14ac:dyDescent="0.2">
      <c r="A200" s="48">
        <f t="shared" si="6"/>
        <v>2025</v>
      </c>
      <c r="B200" s="49" t="str">
        <f t="shared" si="7"/>
        <v>DEZEMBRO</v>
      </c>
      <c r="C200" s="35">
        <v>73023389</v>
      </c>
      <c r="D200" s="35">
        <v>8982679</v>
      </c>
      <c r="E200" s="35" t="s">
        <v>390</v>
      </c>
      <c r="F200" s="36">
        <v>45999</v>
      </c>
      <c r="G200" s="35" t="s">
        <v>13</v>
      </c>
      <c r="H200" s="35">
        <v>35575473880</v>
      </c>
      <c r="I200" s="35" t="s">
        <v>299</v>
      </c>
      <c r="J200" s="36"/>
      <c r="K200" s="35" t="s">
        <v>394</v>
      </c>
      <c r="L200" s="35" t="s">
        <v>276</v>
      </c>
      <c r="M200" s="35" t="s">
        <v>277</v>
      </c>
      <c r="N200" s="37" t="s">
        <v>394</v>
      </c>
      <c r="P200" s="35" t="s">
        <v>279</v>
      </c>
      <c r="Q200" s="35" t="s">
        <v>286</v>
      </c>
      <c r="R200" s="35" t="s">
        <v>280</v>
      </c>
      <c r="S200" s="35">
        <v>1</v>
      </c>
      <c r="T200" s="38"/>
      <c r="V200" s="39"/>
      <c r="X200" s="39" t="s">
        <v>281</v>
      </c>
      <c r="Y200" s="39">
        <v>48.9</v>
      </c>
      <c r="AB200" s="53">
        <v>48.9</v>
      </c>
      <c r="AC200" s="35" t="s">
        <v>277</v>
      </c>
    </row>
    <row r="201" spans="1:29" x14ac:dyDescent="0.2">
      <c r="A201" s="48">
        <f t="shared" si="6"/>
        <v>2025</v>
      </c>
      <c r="B201" s="49" t="str">
        <f t="shared" si="7"/>
        <v>DEZEMBRO</v>
      </c>
      <c r="C201" s="35">
        <v>73023246</v>
      </c>
      <c r="D201" s="35">
        <v>8982679</v>
      </c>
      <c r="E201" s="35" t="s">
        <v>390</v>
      </c>
      <c r="F201" s="36">
        <v>45999</v>
      </c>
      <c r="G201" s="35" t="s">
        <v>13</v>
      </c>
      <c r="H201" s="35">
        <v>35575473880</v>
      </c>
      <c r="I201" s="35" t="s">
        <v>299</v>
      </c>
      <c r="J201" s="36"/>
      <c r="K201" s="35" t="s">
        <v>395</v>
      </c>
      <c r="L201" s="35" t="s">
        <v>276</v>
      </c>
      <c r="M201" s="35" t="s">
        <v>277</v>
      </c>
      <c r="N201" s="37" t="s">
        <v>395</v>
      </c>
      <c r="P201" s="35" t="s">
        <v>279</v>
      </c>
      <c r="Q201" s="35" t="s">
        <v>286</v>
      </c>
      <c r="R201" s="35" t="s">
        <v>280</v>
      </c>
      <c r="S201" s="35">
        <v>1</v>
      </c>
      <c r="T201" s="38"/>
      <c r="V201" s="39"/>
      <c r="X201" s="39" t="s">
        <v>281</v>
      </c>
      <c r="Y201" s="39">
        <v>3.43</v>
      </c>
      <c r="AB201" s="53">
        <v>3.43</v>
      </c>
      <c r="AC201" s="35" t="s">
        <v>277</v>
      </c>
    </row>
    <row r="202" spans="1:29" x14ac:dyDescent="0.2">
      <c r="A202" s="48">
        <f t="shared" si="6"/>
        <v>2025</v>
      </c>
      <c r="B202" s="49" t="str">
        <f t="shared" si="7"/>
        <v>DEZEMBRO</v>
      </c>
      <c r="C202" s="35">
        <v>72556432</v>
      </c>
      <c r="D202" s="35">
        <v>8982679</v>
      </c>
      <c r="E202" s="35" t="s">
        <v>390</v>
      </c>
      <c r="F202" s="36">
        <v>45992</v>
      </c>
      <c r="G202" s="35" t="s">
        <v>13</v>
      </c>
      <c r="H202" s="35">
        <v>35575473880</v>
      </c>
      <c r="I202" s="35" t="s">
        <v>299</v>
      </c>
      <c r="J202" s="36"/>
      <c r="K202" s="35" t="s">
        <v>396</v>
      </c>
      <c r="L202" s="35" t="s">
        <v>276</v>
      </c>
      <c r="M202" s="35" t="s">
        <v>277</v>
      </c>
      <c r="N202" s="37" t="s">
        <v>396</v>
      </c>
      <c r="P202" s="35" t="s">
        <v>279</v>
      </c>
      <c r="Q202" s="35" t="s">
        <v>286</v>
      </c>
      <c r="R202" s="35" t="s">
        <v>280</v>
      </c>
      <c r="S202" s="35">
        <v>1</v>
      </c>
      <c r="T202" s="38"/>
      <c r="V202" s="39"/>
      <c r="X202" s="39" t="s">
        <v>281</v>
      </c>
      <c r="Y202" s="39">
        <v>232.4</v>
      </c>
      <c r="AB202" s="53">
        <v>232.4</v>
      </c>
      <c r="AC202" s="35" t="s">
        <v>277</v>
      </c>
    </row>
    <row r="203" spans="1:29" x14ac:dyDescent="0.2">
      <c r="A203" s="48">
        <f t="shared" si="6"/>
        <v>2025</v>
      </c>
      <c r="B203" s="49" t="str">
        <f t="shared" si="7"/>
        <v>NOVEMBRO</v>
      </c>
      <c r="C203" s="35">
        <v>72554200</v>
      </c>
      <c r="D203" s="35">
        <v>8982679</v>
      </c>
      <c r="E203" s="35" t="s">
        <v>390</v>
      </c>
      <c r="F203" s="36">
        <v>45991</v>
      </c>
      <c r="G203" s="35" t="s">
        <v>13</v>
      </c>
      <c r="H203" s="35">
        <v>35575473880</v>
      </c>
      <c r="I203" s="35" t="s">
        <v>299</v>
      </c>
      <c r="J203" s="36"/>
      <c r="K203" s="35" t="s">
        <v>374</v>
      </c>
      <c r="L203" s="35" t="s">
        <v>276</v>
      </c>
      <c r="M203" s="35" t="s">
        <v>277</v>
      </c>
      <c r="N203" s="37" t="s">
        <v>374</v>
      </c>
      <c r="P203" s="35" t="s">
        <v>279</v>
      </c>
      <c r="Q203" s="35" t="s">
        <v>286</v>
      </c>
      <c r="R203" s="35" t="s">
        <v>280</v>
      </c>
      <c r="S203" s="35">
        <v>1</v>
      </c>
      <c r="T203" s="38"/>
      <c r="V203" s="39"/>
      <c r="W203" s="35">
        <v>0</v>
      </c>
      <c r="X203" s="39" t="s">
        <v>281</v>
      </c>
      <c r="Y203" s="39">
        <v>119.96</v>
      </c>
      <c r="AB203" s="53">
        <v>119.96</v>
      </c>
      <c r="AC203" s="35" t="s">
        <v>277</v>
      </c>
    </row>
    <row r="204" spans="1:29" x14ac:dyDescent="0.2">
      <c r="A204" s="48">
        <f t="shared" si="6"/>
        <v>2025</v>
      </c>
      <c r="B204" s="49" t="str">
        <f t="shared" si="7"/>
        <v>NOVEMBRO</v>
      </c>
      <c r="C204" s="35">
        <v>72553875</v>
      </c>
      <c r="D204" s="35">
        <v>8982679</v>
      </c>
      <c r="E204" s="35" t="s">
        <v>390</v>
      </c>
      <c r="F204" s="36">
        <v>45991</v>
      </c>
      <c r="G204" s="35" t="s">
        <v>13</v>
      </c>
      <c r="H204" s="35">
        <v>35575473880</v>
      </c>
      <c r="I204" s="35" t="s">
        <v>299</v>
      </c>
      <c r="J204" s="36"/>
      <c r="K204" s="35" t="s">
        <v>375</v>
      </c>
      <c r="L204" s="35" t="s">
        <v>276</v>
      </c>
      <c r="M204" s="35" t="s">
        <v>277</v>
      </c>
      <c r="N204" s="37" t="s">
        <v>375</v>
      </c>
      <c r="P204" s="35" t="s">
        <v>279</v>
      </c>
      <c r="Q204" s="35" t="s">
        <v>286</v>
      </c>
      <c r="R204" s="35" t="s">
        <v>280</v>
      </c>
      <c r="S204" s="35">
        <v>1</v>
      </c>
      <c r="T204" s="38"/>
      <c r="V204" s="39"/>
      <c r="W204" s="35">
        <v>0</v>
      </c>
      <c r="X204" s="39" t="s">
        <v>281</v>
      </c>
      <c r="Y204" s="39">
        <v>150.19999999999999</v>
      </c>
      <c r="AB204" s="53">
        <v>150.19999999999999</v>
      </c>
      <c r="AC204" s="35" t="s">
        <v>277</v>
      </c>
    </row>
    <row r="205" spans="1:29" x14ac:dyDescent="0.2">
      <c r="A205" s="48">
        <f t="shared" si="6"/>
        <v>2025</v>
      </c>
      <c r="B205" s="49" t="str">
        <f t="shared" si="7"/>
        <v>NOVEMBRO</v>
      </c>
      <c r="C205" s="35">
        <v>72556308</v>
      </c>
      <c r="D205" s="35">
        <v>8982679</v>
      </c>
      <c r="E205" s="35" t="s">
        <v>390</v>
      </c>
      <c r="F205" s="36">
        <v>45987</v>
      </c>
      <c r="G205" s="35" t="s">
        <v>13</v>
      </c>
      <c r="H205" s="35">
        <v>35575473880</v>
      </c>
      <c r="I205" s="35" t="s">
        <v>299</v>
      </c>
      <c r="J205" s="36"/>
      <c r="K205" s="35" t="s">
        <v>397</v>
      </c>
      <c r="L205" s="35" t="s">
        <v>276</v>
      </c>
      <c r="M205" s="35" t="s">
        <v>277</v>
      </c>
      <c r="N205" s="37" t="s">
        <v>397</v>
      </c>
      <c r="P205" s="35" t="s">
        <v>279</v>
      </c>
      <c r="Q205" s="35" t="s">
        <v>286</v>
      </c>
      <c r="R205" s="35" t="s">
        <v>280</v>
      </c>
      <c r="S205" s="35">
        <v>1</v>
      </c>
      <c r="T205" s="38"/>
      <c r="V205" s="39"/>
      <c r="X205" s="39" t="s">
        <v>281</v>
      </c>
      <c r="Y205" s="39">
        <v>55.5</v>
      </c>
      <c r="AB205" s="53">
        <v>55.5</v>
      </c>
      <c r="AC205" s="35" t="s">
        <v>277</v>
      </c>
    </row>
    <row r="206" spans="1:29" x14ac:dyDescent="0.2">
      <c r="A206" s="48">
        <f t="shared" si="6"/>
        <v>2025</v>
      </c>
      <c r="B206" s="49" t="str">
        <f t="shared" si="7"/>
        <v>NOVEMBRO</v>
      </c>
      <c r="C206" s="35">
        <v>72556064</v>
      </c>
      <c r="D206" s="35">
        <v>8982679</v>
      </c>
      <c r="E206" s="35" t="s">
        <v>390</v>
      </c>
      <c r="F206" s="36">
        <v>45986</v>
      </c>
      <c r="G206" s="35" t="s">
        <v>13</v>
      </c>
      <c r="H206" s="35">
        <v>35575473880</v>
      </c>
      <c r="I206" s="35" t="s">
        <v>299</v>
      </c>
      <c r="J206" s="36"/>
      <c r="K206" s="35" t="s">
        <v>372</v>
      </c>
      <c r="L206" s="35" t="s">
        <v>276</v>
      </c>
      <c r="M206" s="35" t="s">
        <v>277</v>
      </c>
      <c r="N206" s="37" t="s">
        <v>372</v>
      </c>
      <c r="P206" s="35" t="s">
        <v>279</v>
      </c>
      <c r="Q206" s="35" t="s">
        <v>286</v>
      </c>
      <c r="R206" s="35" t="s">
        <v>280</v>
      </c>
      <c r="S206" s="35">
        <v>1</v>
      </c>
      <c r="T206" s="38"/>
      <c r="V206" s="39"/>
      <c r="X206" s="39" t="s">
        <v>281</v>
      </c>
      <c r="Y206" s="39">
        <v>392.72</v>
      </c>
      <c r="AB206" s="53">
        <v>392.72</v>
      </c>
      <c r="AC206" s="35" t="s">
        <v>277</v>
      </c>
    </row>
    <row r="207" spans="1:29" x14ac:dyDescent="0.2">
      <c r="A207" s="48">
        <f t="shared" si="6"/>
        <v>2025</v>
      </c>
      <c r="B207" s="49" t="str">
        <f t="shared" si="7"/>
        <v>NOVEMBRO</v>
      </c>
      <c r="C207" s="35">
        <v>72124812</v>
      </c>
      <c r="D207" s="35">
        <v>8982679</v>
      </c>
      <c r="E207" s="35" t="s">
        <v>390</v>
      </c>
      <c r="F207" s="36">
        <v>45986</v>
      </c>
      <c r="G207" s="35" t="s">
        <v>13</v>
      </c>
      <c r="H207" s="35">
        <v>35575473880</v>
      </c>
      <c r="I207" s="35" t="s">
        <v>299</v>
      </c>
      <c r="J207" s="36"/>
      <c r="K207" s="35" t="s">
        <v>380</v>
      </c>
      <c r="L207" s="35" t="s">
        <v>282</v>
      </c>
      <c r="M207" s="35" t="s">
        <v>277</v>
      </c>
      <c r="N207" s="37" t="s">
        <v>380</v>
      </c>
      <c r="P207" s="35" t="s">
        <v>279</v>
      </c>
      <c r="Q207" s="35" t="s">
        <v>286</v>
      </c>
      <c r="R207" s="35" t="s">
        <v>280</v>
      </c>
      <c r="S207" s="35">
        <v>1</v>
      </c>
      <c r="T207" s="38"/>
      <c r="V207" s="39"/>
      <c r="W207" s="35">
        <v>0</v>
      </c>
      <c r="X207" s="39" t="s">
        <v>281</v>
      </c>
      <c r="Y207" s="39">
        <v>55</v>
      </c>
      <c r="AB207" s="53">
        <v>55</v>
      </c>
      <c r="AC207" s="35" t="s">
        <v>277</v>
      </c>
    </row>
    <row r="208" spans="1:29" x14ac:dyDescent="0.2">
      <c r="A208" s="48">
        <f t="shared" si="6"/>
        <v>2025</v>
      </c>
      <c r="B208" s="49" t="str">
        <f t="shared" si="7"/>
        <v>NOVEMBRO</v>
      </c>
      <c r="C208" s="35">
        <v>72124473</v>
      </c>
      <c r="D208" s="35">
        <v>8982679</v>
      </c>
      <c r="E208" s="35" t="s">
        <v>390</v>
      </c>
      <c r="F208" s="36">
        <v>45986</v>
      </c>
      <c r="G208" s="35" t="s">
        <v>13</v>
      </c>
      <c r="H208" s="35">
        <v>35575473880</v>
      </c>
      <c r="I208" s="35" t="s">
        <v>299</v>
      </c>
      <c r="J208" s="36"/>
      <c r="K208" s="35" t="s">
        <v>371</v>
      </c>
      <c r="L208" s="35" t="s">
        <v>282</v>
      </c>
      <c r="M208" s="35" t="s">
        <v>277</v>
      </c>
      <c r="N208" s="37" t="s">
        <v>371</v>
      </c>
      <c r="P208" s="35" t="s">
        <v>279</v>
      </c>
      <c r="Q208" s="35" t="s">
        <v>286</v>
      </c>
      <c r="R208" s="35" t="s">
        <v>280</v>
      </c>
      <c r="S208" s="35">
        <v>1</v>
      </c>
      <c r="T208" s="38"/>
      <c r="V208" s="39"/>
      <c r="W208" s="35">
        <v>0</v>
      </c>
      <c r="X208" s="39" t="s">
        <v>281</v>
      </c>
      <c r="Y208" s="39">
        <v>60</v>
      </c>
      <c r="AB208" s="53">
        <v>60</v>
      </c>
      <c r="AC208" s="35" t="s">
        <v>277</v>
      </c>
    </row>
    <row r="209" spans="1:29" x14ac:dyDescent="0.2">
      <c r="A209" s="48">
        <f t="shared" si="6"/>
        <v>2025</v>
      </c>
      <c r="B209" s="49" t="str">
        <f t="shared" si="7"/>
        <v>NOVEMBRO</v>
      </c>
      <c r="C209" s="35">
        <v>72118688</v>
      </c>
      <c r="D209" s="35">
        <v>8982679</v>
      </c>
      <c r="E209" s="35" t="s">
        <v>390</v>
      </c>
      <c r="F209" s="36">
        <v>45986</v>
      </c>
      <c r="G209" s="35" t="s">
        <v>13</v>
      </c>
      <c r="H209" s="35">
        <v>35575473880</v>
      </c>
      <c r="I209" s="35" t="s">
        <v>299</v>
      </c>
      <c r="J209" s="36"/>
      <c r="K209" s="35" t="s">
        <v>369</v>
      </c>
      <c r="L209" s="35" t="s">
        <v>282</v>
      </c>
      <c r="M209" s="35" t="s">
        <v>277</v>
      </c>
      <c r="N209" s="37" t="s">
        <v>369</v>
      </c>
      <c r="P209" s="35" t="s">
        <v>279</v>
      </c>
      <c r="Q209" s="35" t="s">
        <v>286</v>
      </c>
      <c r="R209" s="35" t="s">
        <v>280</v>
      </c>
      <c r="S209" s="35">
        <v>1</v>
      </c>
      <c r="T209" s="38"/>
      <c r="V209" s="39"/>
      <c r="W209" s="35">
        <v>0</v>
      </c>
      <c r="X209" s="39" t="s">
        <v>281</v>
      </c>
      <c r="Y209" s="39">
        <v>44</v>
      </c>
      <c r="AB209" s="53">
        <v>44</v>
      </c>
      <c r="AC209" s="35" t="s">
        <v>277</v>
      </c>
    </row>
    <row r="210" spans="1:29" x14ac:dyDescent="0.2">
      <c r="A210" s="48">
        <f t="shared" si="6"/>
        <v>2025</v>
      </c>
      <c r="B210" s="49" t="str">
        <f t="shared" si="7"/>
        <v>NOVEMBRO</v>
      </c>
      <c r="C210" s="35">
        <v>72085860</v>
      </c>
      <c r="D210" s="35">
        <v>8982679</v>
      </c>
      <c r="E210" s="35" t="s">
        <v>390</v>
      </c>
      <c r="F210" s="36">
        <v>45981</v>
      </c>
      <c r="G210" s="35" t="s">
        <v>13</v>
      </c>
      <c r="H210" s="35">
        <v>35575473880</v>
      </c>
      <c r="I210" s="35" t="s">
        <v>299</v>
      </c>
      <c r="J210" s="36"/>
      <c r="K210" s="35" t="s">
        <v>398</v>
      </c>
      <c r="L210" s="35" t="s">
        <v>276</v>
      </c>
      <c r="M210" s="35" t="s">
        <v>277</v>
      </c>
      <c r="N210" s="37" t="s">
        <v>398</v>
      </c>
      <c r="P210" s="35" t="s">
        <v>279</v>
      </c>
      <c r="Q210" s="35" t="s">
        <v>286</v>
      </c>
      <c r="R210" s="35" t="s">
        <v>280</v>
      </c>
      <c r="S210" s="35">
        <v>1</v>
      </c>
      <c r="T210" s="38"/>
      <c r="V210" s="39"/>
      <c r="X210" s="39" t="s">
        <v>281</v>
      </c>
      <c r="Y210" s="39">
        <v>72</v>
      </c>
      <c r="AB210" s="53">
        <v>72</v>
      </c>
      <c r="AC210" s="35" t="s">
        <v>277</v>
      </c>
    </row>
    <row r="211" spans="1:29" x14ac:dyDescent="0.2">
      <c r="A211" s="48">
        <f t="shared" si="6"/>
        <v>2025</v>
      </c>
      <c r="B211" s="49" t="str">
        <f t="shared" si="7"/>
        <v>NOVEMBRO</v>
      </c>
      <c r="C211" s="35">
        <v>72084089</v>
      </c>
      <c r="D211" s="35">
        <v>8982679</v>
      </c>
      <c r="E211" s="35" t="s">
        <v>390</v>
      </c>
      <c r="F211" s="36">
        <v>45981</v>
      </c>
      <c r="G211" s="35" t="s">
        <v>13</v>
      </c>
      <c r="H211" s="35">
        <v>35575473880</v>
      </c>
      <c r="I211" s="35" t="s">
        <v>299</v>
      </c>
      <c r="J211" s="36"/>
      <c r="K211" s="35" t="s">
        <v>399</v>
      </c>
      <c r="L211" s="35" t="s">
        <v>276</v>
      </c>
      <c r="M211" s="35" t="s">
        <v>277</v>
      </c>
      <c r="N211" s="37" t="s">
        <v>399</v>
      </c>
      <c r="P211" s="35" t="s">
        <v>279</v>
      </c>
      <c r="Q211" s="35" t="s">
        <v>286</v>
      </c>
      <c r="R211" s="35" t="s">
        <v>280</v>
      </c>
      <c r="S211" s="35">
        <v>1</v>
      </c>
      <c r="T211" s="38"/>
      <c r="V211" s="39"/>
      <c r="X211" s="39" t="s">
        <v>281</v>
      </c>
      <c r="Y211" s="39">
        <v>93.9</v>
      </c>
      <c r="AB211" s="53">
        <v>93.9</v>
      </c>
      <c r="AC211" s="35" t="s">
        <v>277</v>
      </c>
    </row>
    <row r="212" spans="1:29" x14ac:dyDescent="0.2">
      <c r="A212" s="48">
        <f t="shared" si="6"/>
        <v>2025</v>
      </c>
      <c r="B212" s="49" t="str">
        <f t="shared" si="7"/>
        <v>NOVEMBRO</v>
      </c>
      <c r="C212" s="35">
        <v>72085391</v>
      </c>
      <c r="D212" s="35">
        <v>8982679</v>
      </c>
      <c r="E212" s="35" t="s">
        <v>390</v>
      </c>
      <c r="F212" s="36">
        <v>45979</v>
      </c>
      <c r="G212" s="35" t="s">
        <v>13</v>
      </c>
      <c r="H212" s="35">
        <v>35575473880</v>
      </c>
      <c r="I212" s="35" t="s">
        <v>299</v>
      </c>
      <c r="J212" s="36"/>
      <c r="K212" s="35" t="s">
        <v>388</v>
      </c>
      <c r="L212" s="35" t="s">
        <v>276</v>
      </c>
      <c r="M212" s="35" t="s">
        <v>277</v>
      </c>
      <c r="N212" s="37" t="s">
        <v>400</v>
      </c>
      <c r="P212" s="35" t="s">
        <v>279</v>
      </c>
      <c r="Q212" s="35" t="s">
        <v>286</v>
      </c>
      <c r="R212" s="35" t="s">
        <v>280</v>
      </c>
      <c r="S212" s="35">
        <v>1</v>
      </c>
      <c r="T212" s="38"/>
      <c r="V212" s="39"/>
      <c r="X212" s="39" t="s">
        <v>281</v>
      </c>
      <c r="Y212" s="39">
        <v>13.98</v>
      </c>
      <c r="AB212" s="53">
        <v>13.98</v>
      </c>
      <c r="AC212" s="35" t="s">
        <v>277</v>
      </c>
    </row>
    <row r="213" spans="1:29" x14ac:dyDescent="0.2">
      <c r="A213" s="48">
        <f t="shared" si="6"/>
        <v>2025</v>
      </c>
      <c r="B213" s="49" t="str">
        <f t="shared" si="7"/>
        <v>NOVEMBRO</v>
      </c>
      <c r="C213" s="35">
        <v>72084984</v>
      </c>
      <c r="D213" s="35">
        <v>8982679</v>
      </c>
      <c r="E213" s="35" t="s">
        <v>390</v>
      </c>
      <c r="F213" s="36">
        <v>45979</v>
      </c>
      <c r="G213" s="35" t="s">
        <v>13</v>
      </c>
      <c r="H213" s="35">
        <v>35575473880</v>
      </c>
      <c r="I213" s="35" t="s">
        <v>299</v>
      </c>
      <c r="J213" s="36"/>
      <c r="K213" s="35" t="s">
        <v>389</v>
      </c>
      <c r="L213" s="35" t="s">
        <v>276</v>
      </c>
      <c r="M213" s="35" t="s">
        <v>277</v>
      </c>
      <c r="N213" s="37" t="s">
        <v>389</v>
      </c>
      <c r="P213" s="35" t="s">
        <v>279</v>
      </c>
      <c r="Q213" s="35" t="s">
        <v>286</v>
      </c>
      <c r="R213" s="35" t="s">
        <v>280</v>
      </c>
      <c r="S213" s="35">
        <v>1</v>
      </c>
      <c r="T213" s="38"/>
      <c r="V213" s="39"/>
      <c r="X213" s="39" t="s">
        <v>281</v>
      </c>
      <c r="Y213" s="39">
        <v>24.1</v>
      </c>
      <c r="AB213" s="53">
        <v>24.1</v>
      </c>
      <c r="AC213" s="35" t="s">
        <v>277</v>
      </c>
    </row>
    <row r="214" spans="1:29" x14ac:dyDescent="0.2">
      <c r="A214" s="48">
        <f t="shared" si="6"/>
        <v>2025</v>
      </c>
      <c r="B214" s="49" t="str">
        <f t="shared" si="7"/>
        <v>NOVEMBRO</v>
      </c>
      <c r="C214" s="35">
        <v>72084384</v>
      </c>
      <c r="D214" s="35">
        <v>8982679</v>
      </c>
      <c r="E214" s="35" t="s">
        <v>390</v>
      </c>
      <c r="F214" s="36">
        <v>45979</v>
      </c>
      <c r="G214" s="35" t="s">
        <v>13</v>
      </c>
      <c r="H214" s="35">
        <v>35575473880</v>
      </c>
      <c r="I214" s="35" t="s">
        <v>299</v>
      </c>
      <c r="J214" s="36"/>
      <c r="K214" s="35" t="s">
        <v>401</v>
      </c>
      <c r="L214" s="35" t="s">
        <v>276</v>
      </c>
      <c r="M214" s="35" t="s">
        <v>277</v>
      </c>
      <c r="N214" s="37" t="s">
        <v>401</v>
      </c>
      <c r="P214" s="35" t="s">
        <v>279</v>
      </c>
      <c r="Q214" s="35" t="s">
        <v>286</v>
      </c>
      <c r="R214" s="35" t="s">
        <v>280</v>
      </c>
      <c r="S214" s="35">
        <v>1</v>
      </c>
      <c r="T214" s="38"/>
      <c r="V214" s="39"/>
      <c r="W214" s="35">
        <v>0</v>
      </c>
      <c r="X214" s="39" t="s">
        <v>281</v>
      </c>
      <c r="Y214" s="39">
        <v>45</v>
      </c>
      <c r="AB214" s="53">
        <v>45</v>
      </c>
      <c r="AC214" s="35" t="s">
        <v>277</v>
      </c>
    </row>
    <row r="215" spans="1:29" x14ac:dyDescent="0.2">
      <c r="A215" s="48">
        <f t="shared" si="6"/>
        <v>2025</v>
      </c>
      <c r="B215" s="49" t="str">
        <f t="shared" si="7"/>
        <v>NOVEMBRO</v>
      </c>
      <c r="C215" s="35">
        <v>72084150</v>
      </c>
      <c r="D215" s="35">
        <v>8982679</v>
      </c>
      <c r="E215" s="35" t="s">
        <v>390</v>
      </c>
      <c r="F215" s="36">
        <v>45979</v>
      </c>
      <c r="G215" s="35" t="s">
        <v>13</v>
      </c>
      <c r="H215" s="35">
        <v>35575473880</v>
      </c>
      <c r="I215" s="35" t="s">
        <v>299</v>
      </c>
      <c r="J215" s="36"/>
      <c r="K215" s="35" t="s">
        <v>288</v>
      </c>
      <c r="L215" s="35" t="s">
        <v>276</v>
      </c>
      <c r="M215" s="35" t="s">
        <v>277</v>
      </c>
      <c r="N215" s="37" t="s">
        <v>288</v>
      </c>
      <c r="P215" s="35" t="s">
        <v>279</v>
      </c>
      <c r="Q215" s="35" t="s">
        <v>286</v>
      </c>
      <c r="R215" s="35" t="s">
        <v>280</v>
      </c>
      <c r="S215" s="35">
        <v>1</v>
      </c>
      <c r="T215" s="38"/>
      <c r="V215" s="39"/>
      <c r="X215" s="39" t="s">
        <v>281</v>
      </c>
      <c r="Y215" s="39">
        <v>35</v>
      </c>
      <c r="AB215" s="53">
        <v>35</v>
      </c>
      <c r="AC215" s="35" t="s">
        <v>277</v>
      </c>
    </row>
    <row r="216" spans="1:29" x14ac:dyDescent="0.2">
      <c r="A216" s="48">
        <f t="shared" si="6"/>
        <v>2025</v>
      </c>
      <c r="B216" s="49" t="str">
        <f t="shared" si="7"/>
        <v>NOVEMBRO</v>
      </c>
      <c r="C216" s="35">
        <v>72084860</v>
      </c>
      <c r="D216" s="35">
        <v>8982679</v>
      </c>
      <c r="E216" s="35" t="s">
        <v>390</v>
      </c>
      <c r="F216" s="36">
        <v>45978</v>
      </c>
      <c r="G216" s="35" t="s">
        <v>13</v>
      </c>
      <c r="H216" s="35">
        <v>35575473880</v>
      </c>
      <c r="I216" s="35" t="s">
        <v>299</v>
      </c>
      <c r="J216" s="36"/>
      <c r="K216" s="35" t="s">
        <v>402</v>
      </c>
      <c r="L216" s="35" t="s">
        <v>276</v>
      </c>
      <c r="M216" s="35" t="s">
        <v>277</v>
      </c>
      <c r="N216" s="37" t="s">
        <v>402</v>
      </c>
      <c r="P216" s="35" t="s">
        <v>279</v>
      </c>
      <c r="Q216" s="35" t="s">
        <v>286</v>
      </c>
      <c r="R216" s="35" t="s">
        <v>280</v>
      </c>
      <c r="S216" s="35">
        <v>1</v>
      </c>
      <c r="T216" s="38"/>
      <c r="V216" s="39"/>
      <c r="W216" s="35">
        <v>0</v>
      </c>
      <c r="X216" s="39" t="s">
        <v>281</v>
      </c>
      <c r="Y216" s="39">
        <v>40</v>
      </c>
      <c r="AB216" s="53">
        <v>40</v>
      </c>
      <c r="AC216" s="35" t="s">
        <v>277</v>
      </c>
    </row>
    <row r="217" spans="1:29" x14ac:dyDescent="0.2">
      <c r="A217" s="48">
        <f t="shared" si="6"/>
        <v>2025</v>
      </c>
      <c r="B217" s="49" t="str">
        <f t="shared" si="7"/>
        <v>NOVEMBRO</v>
      </c>
      <c r="C217" s="35">
        <v>72085949</v>
      </c>
      <c r="D217" s="35">
        <v>8982679</v>
      </c>
      <c r="E217" s="35" t="s">
        <v>390</v>
      </c>
      <c r="F217" s="36">
        <v>45974</v>
      </c>
      <c r="G217" s="35" t="s">
        <v>13</v>
      </c>
      <c r="H217" s="35">
        <v>35575473880</v>
      </c>
      <c r="I217" s="35" t="s">
        <v>299</v>
      </c>
      <c r="J217" s="36"/>
      <c r="K217" s="35" t="s">
        <v>403</v>
      </c>
      <c r="L217" s="35" t="s">
        <v>276</v>
      </c>
      <c r="M217" s="35" t="s">
        <v>277</v>
      </c>
      <c r="N217" s="37" t="s">
        <v>403</v>
      </c>
      <c r="P217" s="35" t="s">
        <v>279</v>
      </c>
      <c r="Q217" s="35" t="s">
        <v>286</v>
      </c>
      <c r="R217" s="35" t="s">
        <v>280</v>
      </c>
      <c r="S217" s="35">
        <v>1</v>
      </c>
      <c r="T217" s="38"/>
      <c r="V217" s="39"/>
      <c r="X217" s="39" t="s">
        <v>281</v>
      </c>
      <c r="Y217" s="39">
        <v>15.4</v>
      </c>
      <c r="AB217" s="53">
        <v>15.4</v>
      </c>
      <c r="AC217" s="35" t="s">
        <v>277</v>
      </c>
    </row>
    <row r="218" spans="1:29" x14ac:dyDescent="0.2">
      <c r="A218" s="48">
        <f t="shared" si="6"/>
        <v>2025</v>
      </c>
      <c r="B218" s="49" t="str">
        <f t="shared" si="7"/>
        <v>NOVEMBRO</v>
      </c>
      <c r="C218" s="35">
        <v>72555911</v>
      </c>
      <c r="D218" s="35">
        <v>8982679</v>
      </c>
      <c r="E218" s="35" t="s">
        <v>390</v>
      </c>
      <c r="F218" s="36">
        <v>45973</v>
      </c>
      <c r="G218" s="35" t="s">
        <v>13</v>
      </c>
      <c r="H218" s="35">
        <v>35575473880</v>
      </c>
      <c r="I218" s="35" t="s">
        <v>299</v>
      </c>
      <c r="J218" s="36"/>
      <c r="K218" s="35" t="s">
        <v>378</v>
      </c>
      <c r="L218" s="35" t="s">
        <v>276</v>
      </c>
      <c r="M218" s="35" t="s">
        <v>277</v>
      </c>
      <c r="N218" s="37" t="s">
        <v>378</v>
      </c>
      <c r="P218" s="35" t="s">
        <v>279</v>
      </c>
      <c r="Q218" s="35" t="s">
        <v>286</v>
      </c>
      <c r="R218" s="35" t="s">
        <v>280</v>
      </c>
      <c r="S218" s="35">
        <v>1</v>
      </c>
      <c r="T218" s="38"/>
      <c r="V218" s="39"/>
      <c r="X218" s="39" t="s">
        <v>281</v>
      </c>
      <c r="Y218" s="39">
        <v>10.5</v>
      </c>
      <c r="AB218" s="53">
        <v>10.5</v>
      </c>
      <c r="AC218" s="35" t="s">
        <v>277</v>
      </c>
    </row>
    <row r="219" spans="1:29" x14ac:dyDescent="0.2">
      <c r="A219" s="48">
        <f t="shared" si="6"/>
        <v>2025</v>
      </c>
      <c r="B219" s="49" t="str">
        <f t="shared" si="7"/>
        <v>NOVEMBRO</v>
      </c>
      <c r="C219" s="35">
        <v>72555638</v>
      </c>
      <c r="D219" s="35">
        <v>8982679</v>
      </c>
      <c r="E219" s="35" t="s">
        <v>390</v>
      </c>
      <c r="F219" s="36">
        <v>45973</v>
      </c>
      <c r="G219" s="35" t="s">
        <v>13</v>
      </c>
      <c r="H219" s="35">
        <v>35575473880</v>
      </c>
      <c r="I219" s="35" t="s">
        <v>299</v>
      </c>
      <c r="J219" s="36"/>
      <c r="K219" s="35" t="s">
        <v>373</v>
      </c>
      <c r="L219" s="35" t="s">
        <v>276</v>
      </c>
      <c r="M219" s="35" t="s">
        <v>277</v>
      </c>
      <c r="N219" s="37" t="s">
        <v>373</v>
      </c>
      <c r="P219" s="35" t="s">
        <v>279</v>
      </c>
      <c r="Q219" s="35" t="s">
        <v>286</v>
      </c>
      <c r="R219" s="35" t="s">
        <v>280</v>
      </c>
      <c r="S219" s="35">
        <v>1</v>
      </c>
      <c r="T219" s="38"/>
      <c r="V219" s="39"/>
      <c r="X219" s="39" t="s">
        <v>281</v>
      </c>
      <c r="Y219" s="39">
        <v>10.5</v>
      </c>
      <c r="AB219" s="53">
        <v>10.5</v>
      </c>
      <c r="AC219" s="35" t="s">
        <v>277</v>
      </c>
    </row>
    <row r="220" spans="1:29" x14ac:dyDescent="0.2">
      <c r="A220" s="48">
        <f t="shared" si="6"/>
        <v>2025</v>
      </c>
      <c r="B220" s="49" t="str">
        <f t="shared" si="7"/>
        <v>NOVEMBRO</v>
      </c>
      <c r="C220" s="35">
        <v>72555161</v>
      </c>
      <c r="D220" s="35">
        <v>8982679</v>
      </c>
      <c r="E220" s="35" t="s">
        <v>390</v>
      </c>
      <c r="F220" s="36">
        <v>45973</v>
      </c>
      <c r="G220" s="35" t="s">
        <v>13</v>
      </c>
      <c r="H220" s="35">
        <v>35575473880</v>
      </c>
      <c r="I220" s="35" t="s">
        <v>299</v>
      </c>
      <c r="J220" s="36"/>
      <c r="K220" s="35" t="s">
        <v>373</v>
      </c>
      <c r="L220" s="35" t="s">
        <v>276</v>
      </c>
      <c r="M220" s="35" t="s">
        <v>277</v>
      </c>
      <c r="N220" s="37" t="s">
        <v>373</v>
      </c>
      <c r="P220" s="35" t="s">
        <v>279</v>
      </c>
      <c r="Q220" s="35" t="s">
        <v>286</v>
      </c>
      <c r="R220" s="35" t="s">
        <v>280</v>
      </c>
      <c r="S220" s="35">
        <v>1</v>
      </c>
      <c r="T220" s="38"/>
      <c r="V220" s="39"/>
      <c r="X220" s="39" t="s">
        <v>281</v>
      </c>
      <c r="Y220" s="39">
        <v>11.99</v>
      </c>
      <c r="AB220" s="53">
        <v>11.99</v>
      </c>
      <c r="AC220" s="35" t="s">
        <v>277</v>
      </c>
    </row>
    <row r="221" spans="1:29" x14ac:dyDescent="0.2">
      <c r="A221" s="48">
        <f t="shared" si="6"/>
        <v>2025</v>
      </c>
      <c r="B221" s="49" t="str">
        <f t="shared" si="7"/>
        <v>NOVEMBRO</v>
      </c>
      <c r="C221" s="35">
        <v>72555002</v>
      </c>
      <c r="D221" s="35">
        <v>8982679</v>
      </c>
      <c r="E221" s="35" t="s">
        <v>390</v>
      </c>
      <c r="F221" s="36">
        <v>45973</v>
      </c>
      <c r="G221" s="35" t="s">
        <v>13</v>
      </c>
      <c r="H221" s="35">
        <v>35575473880</v>
      </c>
      <c r="I221" s="35" t="s">
        <v>299</v>
      </c>
      <c r="J221" s="36"/>
      <c r="K221" s="35" t="s">
        <v>404</v>
      </c>
      <c r="L221" s="35" t="s">
        <v>276</v>
      </c>
      <c r="M221" s="35" t="s">
        <v>277</v>
      </c>
      <c r="N221" s="37" t="s">
        <v>374</v>
      </c>
      <c r="P221" s="35" t="s">
        <v>279</v>
      </c>
      <c r="Q221" s="35" t="s">
        <v>286</v>
      </c>
      <c r="R221" s="35" t="s">
        <v>280</v>
      </c>
      <c r="S221" s="35">
        <v>1</v>
      </c>
      <c r="T221" s="38"/>
      <c r="V221" s="39"/>
      <c r="X221" s="39" t="s">
        <v>281</v>
      </c>
      <c r="Y221" s="39">
        <v>13</v>
      </c>
      <c r="AB221" s="53">
        <v>13</v>
      </c>
      <c r="AC221" s="35" t="s">
        <v>277</v>
      </c>
    </row>
    <row r="222" spans="1:29" x14ac:dyDescent="0.2">
      <c r="A222" s="48">
        <f t="shared" si="6"/>
        <v>2025</v>
      </c>
      <c r="B222" s="49" t="str">
        <f t="shared" si="7"/>
        <v>NOVEMBRO</v>
      </c>
      <c r="C222" s="35">
        <v>72085635</v>
      </c>
      <c r="D222" s="35">
        <v>8982679</v>
      </c>
      <c r="E222" s="35" t="s">
        <v>390</v>
      </c>
      <c r="F222" s="36">
        <v>45973</v>
      </c>
      <c r="G222" s="35" t="s">
        <v>13</v>
      </c>
      <c r="H222" s="35">
        <v>35575473880</v>
      </c>
      <c r="I222" s="35" t="s">
        <v>299</v>
      </c>
      <c r="J222" s="36"/>
      <c r="K222" s="35" t="s">
        <v>386</v>
      </c>
      <c r="L222" s="35" t="s">
        <v>276</v>
      </c>
      <c r="M222" s="35" t="s">
        <v>277</v>
      </c>
      <c r="N222" s="37" t="s">
        <v>386</v>
      </c>
      <c r="P222" s="35" t="s">
        <v>279</v>
      </c>
      <c r="Q222" s="35" t="s">
        <v>286</v>
      </c>
      <c r="R222" s="35" t="s">
        <v>280</v>
      </c>
      <c r="S222" s="35">
        <v>1</v>
      </c>
      <c r="T222" s="38"/>
      <c r="V222" s="39"/>
      <c r="X222" s="39" t="s">
        <v>281</v>
      </c>
      <c r="Y222" s="39">
        <v>2.25</v>
      </c>
      <c r="AB222" s="53">
        <v>2.25</v>
      </c>
      <c r="AC222" s="35" t="s">
        <v>277</v>
      </c>
    </row>
    <row r="223" spans="1:29" x14ac:dyDescent="0.2">
      <c r="A223" s="48">
        <f t="shared" si="6"/>
        <v>2025</v>
      </c>
      <c r="B223" s="49" t="str">
        <f t="shared" si="7"/>
        <v>NOVEMBRO</v>
      </c>
      <c r="C223" s="35">
        <v>72085487</v>
      </c>
      <c r="D223" s="35">
        <v>8982679</v>
      </c>
      <c r="E223" s="35" t="s">
        <v>390</v>
      </c>
      <c r="F223" s="36">
        <v>45972</v>
      </c>
      <c r="G223" s="35" t="s">
        <v>13</v>
      </c>
      <c r="H223" s="35">
        <v>35575473880</v>
      </c>
      <c r="I223" s="35" t="s">
        <v>299</v>
      </c>
      <c r="J223" s="36"/>
      <c r="K223" s="35" t="s">
        <v>384</v>
      </c>
      <c r="L223" s="35" t="s">
        <v>276</v>
      </c>
      <c r="M223" s="35" t="s">
        <v>277</v>
      </c>
      <c r="N223" s="37" t="s">
        <v>384</v>
      </c>
      <c r="P223" s="35" t="s">
        <v>279</v>
      </c>
      <c r="Q223" s="35" t="s">
        <v>286</v>
      </c>
      <c r="R223" s="35" t="s">
        <v>280</v>
      </c>
      <c r="S223" s="35">
        <v>1</v>
      </c>
      <c r="T223" s="38"/>
      <c r="V223" s="39"/>
      <c r="X223" s="39" t="s">
        <v>281</v>
      </c>
      <c r="Y223" s="39">
        <v>113.8</v>
      </c>
      <c r="AB223" s="53">
        <v>113.8</v>
      </c>
      <c r="AC223" s="35" t="s">
        <v>277</v>
      </c>
    </row>
    <row r="224" spans="1:29" x14ac:dyDescent="0.2">
      <c r="A224" s="48">
        <f t="shared" si="6"/>
        <v>2025</v>
      </c>
      <c r="B224" s="49" t="str">
        <f t="shared" si="7"/>
        <v>NOVEMBRO</v>
      </c>
      <c r="C224" s="35">
        <v>72555313</v>
      </c>
      <c r="D224" s="35">
        <v>8982679</v>
      </c>
      <c r="E224" s="35" t="s">
        <v>390</v>
      </c>
      <c r="F224" s="36">
        <v>45971</v>
      </c>
      <c r="G224" s="35" t="s">
        <v>13</v>
      </c>
      <c r="H224" s="35">
        <v>35575473880</v>
      </c>
      <c r="I224" s="35" t="s">
        <v>299</v>
      </c>
      <c r="J224" s="36"/>
      <c r="K224" s="35" t="s">
        <v>366</v>
      </c>
      <c r="L224" s="35" t="s">
        <v>276</v>
      </c>
      <c r="M224" s="35" t="s">
        <v>277</v>
      </c>
      <c r="N224" s="37" t="s">
        <v>366</v>
      </c>
      <c r="P224" s="35" t="s">
        <v>279</v>
      </c>
      <c r="Q224" s="35" t="s">
        <v>286</v>
      </c>
      <c r="R224" s="35" t="s">
        <v>280</v>
      </c>
      <c r="S224" s="35">
        <v>1</v>
      </c>
      <c r="T224" s="38"/>
      <c r="V224" s="39"/>
      <c r="X224" s="39" t="s">
        <v>281</v>
      </c>
      <c r="Y224" s="39">
        <v>23</v>
      </c>
      <c r="AB224" s="53">
        <v>23</v>
      </c>
      <c r="AC224" s="35" t="s">
        <v>277</v>
      </c>
    </row>
    <row r="225" spans="1:29" x14ac:dyDescent="0.2">
      <c r="A225" s="48">
        <f t="shared" si="6"/>
        <v>2025</v>
      </c>
      <c r="B225" s="49" t="str">
        <f t="shared" si="7"/>
        <v>NOVEMBRO</v>
      </c>
      <c r="C225" s="35">
        <v>72085742</v>
      </c>
      <c r="D225" s="35">
        <v>8982679</v>
      </c>
      <c r="E225" s="35" t="s">
        <v>390</v>
      </c>
      <c r="F225" s="36">
        <v>45968</v>
      </c>
      <c r="G225" s="35" t="s">
        <v>13</v>
      </c>
      <c r="H225" s="35">
        <v>35575473880</v>
      </c>
      <c r="I225" s="35" t="s">
        <v>299</v>
      </c>
      <c r="J225" s="36"/>
      <c r="K225" s="35" t="s">
        <v>405</v>
      </c>
      <c r="L225" s="35" t="s">
        <v>276</v>
      </c>
      <c r="M225" s="35" t="s">
        <v>277</v>
      </c>
      <c r="N225" s="37" t="s">
        <v>405</v>
      </c>
      <c r="P225" s="35" t="s">
        <v>279</v>
      </c>
      <c r="Q225" s="35" t="s">
        <v>286</v>
      </c>
      <c r="R225" s="35" t="s">
        <v>280</v>
      </c>
      <c r="S225" s="35">
        <v>1</v>
      </c>
      <c r="T225" s="38"/>
      <c r="V225" s="39"/>
      <c r="X225" s="39" t="s">
        <v>281</v>
      </c>
      <c r="Y225" s="39">
        <v>42.5</v>
      </c>
      <c r="AB225" s="53">
        <v>42.5</v>
      </c>
      <c r="AC225" s="35" t="s">
        <v>277</v>
      </c>
    </row>
    <row r="226" spans="1:29" x14ac:dyDescent="0.2">
      <c r="A226" s="48">
        <f t="shared" si="6"/>
        <v>2025</v>
      </c>
      <c r="B226" s="49" t="str">
        <f t="shared" si="7"/>
        <v>NOVEMBRO</v>
      </c>
      <c r="C226" s="35">
        <v>72085554</v>
      </c>
      <c r="D226" s="35">
        <v>8982679</v>
      </c>
      <c r="E226" s="35" t="s">
        <v>390</v>
      </c>
      <c r="F226" s="36">
        <v>45968</v>
      </c>
      <c r="G226" s="35" t="s">
        <v>13</v>
      </c>
      <c r="H226" s="35">
        <v>35575473880</v>
      </c>
      <c r="I226" s="35" t="s">
        <v>299</v>
      </c>
      <c r="J226" s="36"/>
      <c r="K226" s="35" t="s">
        <v>387</v>
      </c>
      <c r="L226" s="35" t="s">
        <v>276</v>
      </c>
      <c r="M226" s="35" t="s">
        <v>277</v>
      </c>
      <c r="N226" s="37" t="s">
        <v>387</v>
      </c>
      <c r="P226" s="35" t="s">
        <v>279</v>
      </c>
      <c r="Q226" s="35" t="s">
        <v>286</v>
      </c>
      <c r="R226" s="35" t="s">
        <v>280</v>
      </c>
      <c r="S226" s="35">
        <v>1</v>
      </c>
      <c r="T226" s="38"/>
      <c r="V226" s="39"/>
      <c r="X226" s="39" t="s">
        <v>281</v>
      </c>
      <c r="Y226" s="39">
        <v>4.5</v>
      </c>
      <c r="AB226" s="53">
        <v>4.5</v>
      </c>
      <c r="AC226" s="35" t="s">
        <v>277</v>
      </c>
    </row>
    <row r="227" spans="1:29" x14ac:dyDescent="0.2">
      <c r="A227" s="48">
        <f t="shared" si="6"/>
        <v>2025</v>
      </c>
      <c r="B227" s="49" t="str">
        <f t="shared" si="7"/>
        <v>NOVEMBRO</v>
      </c>
      <c r="C227" s="35">
        <v>72084320</v>
      </c>
      <c r="D227" s="35">
        <v>8982679</v>
      </c>
      <c r="E227" s="35" t="s">
        <v>390</v>
      </c>
      <c r="F227" s="36">
        <v>45967</v>
      </c>
      <c r="G227" s="35" t="s">
        <v>13</v>
      </c>
      <c r="H227" s="35">
        <v>35575473880</v>
      </c>
      <c r="I227" s="35" t="s">
        <v>299</v>
      </c>
      <c r="J227" s="36"/>
      <c r="K227" s="35" t="s">
        <v>406</v>
      </c>
      <c r="L227" s="35" t="s">
        <v>276</v>
      </c>
      <c r="M227" s="35" t="s">
        <v>277</v>
      </c>
      <c r="N227" s="37" t="s">
        <v>406</v>
      </c>
      <c r="P227" s="35" t="s">
        <v>279</v>
      </c>
      <c r="Q227" s="35" t="s">
        <v>286</v>
      </c>
      <c r="R227" s="35" t="s">
        <v>280</v>
      </c>
      <c r="S227" s="35">
        <v>1</v>
      </c>
      <c r="T227" s="38"/>
      <c r="V227" s="39"/>
      <c r="X227" s="39" t="s">
        <v>281</v>
      </c>
      <c r="Y227" s="39">
        <v>7.9</v>
      </c>
      <c r="AB227" s="53">
        <v>7.9</v>
      </c>
      <c r="AC227" s="35" t="s">
        <v>277</v>
      </c>
    </row>
    <row r="228" spans="1:29" x14ac:dyDescent="0.2">
      <c r="A228" s="48">
        <f t="shared" si="6"/>
        <v>2025</v>
      </c>
      <c r="B228" s="49" t="str">
        <f t="shared" si="7"/>
        <v>NOVEMBRO</v>
      </c>
      <c r="C228" s="35">
        <v>72084222</v>
      </c>
      <c r="D228" s="35">
        <v>8982679</v>
      </c>
      <c r="E228" s="35" t="s">
        <v>390</v>
      </c>
      <c r="F228" s="36">
        <v>45967</v>
      </c>
      <c r="G228" s="35" t="s">
        <v>13</v>
      </c>
      <c r="H228" s="35">
        <v>35575473880</v>
      </c>
      <c r="I228" s="35" t="s">
        <v>299</v>
      </c>
      <c r="J228" s="36"/>
      <c r="K228" s="35" t="s">
        <v>301</v>
      </c>
      <c r="L228" s="35" t="s">
        <v>276</v>
      </c>
      <c r="M228" s="35" t="s">
        <v>277</v>
      </c>
      <c r="N228" s="37" t="s">
        <v>301</v>
      </c>
      <c r="P228" s="35" t="s">
        <v>279</v>
      </c>
      <c r="Q228" s="35" t="s">
        <v>286</v>
      </c>
      <c r="R228" s="35" t="s">
        <v>280</v>
      </c>
      <c r="S228" s="35">
        <v>1</v>
      </c>
      <c r="T228" s="38"/>
      <c r="V228" s="39"/>
      <c r="X228" s="39" t="s">
        <v>281</v>
      </c>
      <c r="Y228" s="39">
        <v>114.9</v>
      </c>
      <c r="AB228" s="53">
        <v>114.9</v>
      </c>
      <c r="AC228" s="35" t="s">
        <v>277</v>
      </c>
    </row>
    <row r="229" spans="1:29" x14ac:dyDescent="0.2">
      <c r="A229" s="48">
        <f t="shared" si="6"/>
        <v>2025</v>
      </c>
      <c r="B229" s="49" t="str">
        <f t="shared" si="7"/>
        <v>NOVEMBRO</v>
      </c>
      <c r="C229" s="35">
        <v>72086038</v>
      </c>
      <c r="D229" s="35">
        <v>8982679</v>
      </c>
      <c r="E229" s="35" t="s">
        <v>390</v>
      </c>
      <c r="F229" s="36">
        <v>45966</v>
      </c>
      <c r="G229" s="35" t="s">
        <v>13</v>
      </c>
      <c r="H229" s="35">
        <v>35575473880</v>
      </c>
      <c r="I229" s="35" t="s">
        <v>299</v>
      </c>
      <c r="J229" s="36"/>
      <c r="K229" s="35" t="s">
        <v>365</v>
      </c>
      <c r="L229" s="35" t="s">
        <v>276</v>
      </c>
      <c r="M229" s="35" t="s">
        <v>277</v>
      </c>
      <c r="N229" s="37" t="s">
        <v>365</v>
      </c>
      <c r="P229" s="35" t="s">
        <v>279</v>
      </c>
      <c r="Q229" s="35" t="s">
        <v>286</v>
      </c>
      <c r="R229" s="35" t="s">
        <v>280</v>
      </c>
      <c r="S229" s="35">
        <v>1</v>
      </c>
      <c r="T229" s="38"/>
      <c r="V229" s="39"/>
      <c r="X229" s="39" t="s">
        <v>281</v>
      </c>
      <c r="Y229" s="39">
        <v>22.5</v>
      </c>
      <c r="AB229" s="53">
        <v>22.5</v>
      </c>
      <c r="AC229" s="35" t="s">
        <v>277</v>
      </c>
    </row>
    <row r="230" spans="1:29" x14ac:dyDescent="0.2">
      <c r="A230" s="48">
        <f t="shared" si="6"/>
        <v>2025</v>
      </c>
      <c r="B230" s="49" t="str">
        <f t="shared" si="7"/>
        <v>NOVEMBRO</v>
      </c>
      <c r="C230" s="35">
        <v>72084581</v>
      </c>
      <c r="D230" s="35">
        <v>8982679</v>
      </c>
      <c r="E230" s="35" t="s">
        <v>390</v>
      </c>
      <c r="F230" s="36">
        <v>45965</v>
      </c>
      <c r="G230" s="35" t="s">
        <v>13</v>
      </c>
      <c r="H230" s="35">
        <v>35575473880</v>
      </c>
      <c r="I230" s="35" t="s">
        <v>299</v>
      </c>
      <c r="J230" s="36"/>
      <c r="K230" s="35" t="s">
        <v>407</v>
      </c>
      <c r="L230" s="35" t="s">
        <v>276</v>
      </c>
      <c r="M230" s="35" t="s">
        <v>277</v>
      </c>
      <c r="N230" s="37" t="s">
        <v>407</v>
      </c>
      <c r="P230" s="35" t="s">
        <v>279</v>
      </c>
      <c r="Q230" s="35" t="s">
        <v>286</v>
      </c>
      <c r="R230" s="35" t="s">
        <v>280</v>
      </c>
      <c r="S230" s="35">
        <v>1</v>
      </c>
      <c r="T230" s="38"/>
      <c r="V230" s="39"/>
      <c r="W230" s="35">
        <v>0</v>
      </c>
      <c r="X230" s="39" t="s">
        <v>281</v>
      </c>
      <c r="Y230" s="39">
        <v>27.5</v>
      </c>
      <c r="AB230" s="53">
        <v>27.5</v>
      </c>
      <c r="AC230" s="35" t="s">
        <v>277</v>
      </c>
    </row>
    <row r="231" spans="1:29" x14ac:dyDescent="0.2">
      <c r="A231" s="48">
        <f t="shared" si="6"/>
        <v>2025</v>
      </c>
      <c r="B231" s="49" t="str">
        <f t="shared" si="7"/>
        <v>NOVEMBRO</v>
      </c>
      <c r="C231" s="35">
        <v>72556202</v>
      </c>
      <c r="D231" s="35">
        <v>8982679</v>
      </c>
      <c r="E231" s="35" t="s">
        <v>390</v>
      </c>
      <c r="F231" s="36">
        <v>45964</v>
      </c>
      <c r="G231" s="35" t="s">
        <v>13</v>
      </c>
      <c r="H231" s="35">
        <v>35575473880</v>
      </c>
      <c r="I231" s="35" t="s">
        <v>299</v>
      </c>
      <c r="J231" s="36"/>
      <c r="K231" s="35" t="s">
        <v>408</v>
      </c>
      <c r="L231" s="35" t="s">
        <v>276</v>
      </c>
      <c r="M231" s="35" t="s">
        <v>277</v>
      </c>
      <c r="N231" s="37" t="s">
        <v>408</v>
      </c>
      <c r="P231" s="35" t="s">
        <v>279</v>
      </c>
      <c r="Q231" s="35" t="s">
        <v>286</v>
      </c>
      <c r="R231" s="35" t="s">
        <v>280</v>
      </c>
      <c r="S231" s="35">
        <v>1</v>
      </c>
      <c r="T231" s="38"/>
      <c r="V231" s="39"/>
      <c r="X231" s="39" t="s">
        <v>281</v>
      </c>
      <c r="Y231" s="39">
        <v>17.8</v>
      </c>
      <c r="AB231" s="53">
        <v>17.8</v>
      </c>
      <c r="AC231" s="35" t="s">
        <v>277</v>
      </c>
    </row>
    <row r="232" spans="1:29" x14ac:dyDescent="0.2">
      <c r="A232" s="48">
        <f t="shared" si="6"/>
        <v>2025</v>
      </c>
      <c r="B232" s="49" t="str">
        <f t="shared" si="7"/>
        <v>NOVEMBRO</v>
      </c>
      <c r="C232" s="35">
        <v>72569462</v>
      </c>
      <c r="D232" s="35">
        <v>8982679</v>
      </c>
      <c r="E232" s="35" t="s">
        <v>390</v>
      </c>
      <c r="F232" s="36">
        <v>45962</v>
      </c>
      <c r="G232" s="35" t="s">
        <v>13</v>
      </c>
      <c r="H232" s="35">
        <v>35575473880</v>
      </c>
      <c r="I232" s="35" t="s">
        <v>299</v>
      </c>
      <c r="J232" s="36"/>
      <c r="K232" s="35" t="s">
        <v>395</v>
      </c>
      <c r="L232" s="35" t="s">
        <v>282</v>
      </c>
      <c r="M232" s="35" t="s">
        <v>277</v>
      </c>
      <c r="N232" s="37" t="s">
        <v>395</v>
      </c>
      <c r="P232" s="35" t="s">
        <v>279</v>
      </c>
      <c r="Q232" s="35" t="s">
        <v>286</v>
      </c>
      <c r="R232" s="35" t="s">
        <v>280</v>
      </c>
      <c r="S232" s="35">
        <v>1</v>
      </c>
      <c r="T232" s="38"/>
      <c r="V232" s="39"/>
      <c r="W232" s="35">
        <v>0</v>
      </c>
      <c r="X232" s="39" t="s">
        <v>281</v>
      </c>
      <c r="Y232" s="39">
        <v>15</v>
      </c>
      <c r="AB232" s="53">
        <v>15</v>
      </c>
      <c r="AC232" s="35" t="s">
        <v>277</v>
      </c>
    </row>
    <row r="233" spans="1:29" x14ac:dyDescent="0.2">
      <c r="A233" s="48">
        <f t="shared" si="6"/>
        <v>2025</v>
      </c>
      <c r="B233" s="49" t="str">
        <f t="shared" si="7"/>
        <v>NOVEMBRO</v>
      </c>
      <c r="C233" s="35">
        <v>72569308</v>
      </c>
      <c r="D233" s="35">
        <v>8982679</v>
      </c>
      <c r="E233" s="35" t="s">
        <v>390</v>
      </c>
      <c r="F233" s="36">
        <v>45962</v>
      </c>
      <c r="G233" s="35" t="s">
        <v>13</v>
      </c>
      <c r="H233" s="35">
        <v>35575473880</v>
      </c>
      <c r="I233" s="35" t="s">
        <v>299</v>
      </c>
      <c r="J233" s="36"/>
      <c r="K233" s="35" t="s">
        <v>409</v>
      </c>
      <c r="L233" s="35" t="s">
        <v>282</v>
      </c>
      <c r="M233" s="35" t="s">
        <v>277</v>
      </c>
      <c r="N233" s="37" t="s">
        <v>409</v>
      </c>
      <c r="P233" s="35" t="s">
        <v>279</v>
      </c>
      <c r="Q233" s="35" t="s">
        <v>286</v>
      </c>
      <c r="R233" s="35" t="s">
        <v>280</v>
      </c>
      <c r="S233" s="35">
        <v>1</v>
      </c>
      <c r="T233" s="38"/>
      <c r="V233" s="39"/>
      <c r="W233" s="35">
        <v>0</v>
      </c>
      <c r="X233" s="39" t="s">
        <v>281</v>
      </c>
      <c r="Y233" s="39">
        <v>45.4</v>
      </c>
      <c r="AB233" s="53">
        <v>45.4</v>
      </c>
      <c r="AC233" s="35" t="s">
        <v>277</v>
      </c>
    </row>
    <row r="234" spans="1:29" x14ac:dyDescent="0.2">
      <c r="A234" s="48">
        <f t="shared" si="6"/>
        <v>2025</v>
      </c>
      <c r="B234" s="49" t="str">
        <f t="shared" si="7"/>
        <v>NOVEMBRO</v>
      </c>
      <c r="C234" s="35">
        <v>72569091</v>
      </c>
      <c r="D234" s="35">
        <v>8982679</v>
      </c>
      <c r="E234" s="35" t="s">
        <v>390</v>
      </c>
      <c r="F234" s="36">
        <v>45962</v>
      </c>
      <c r="G234" s="35" t="s">
        <v>13</v>
      </c>
      <c r="H234" s="35">
        <v>35575473880</v>
      </c>
      <c r="I234" s="35" t="s">
        <v>299</v>
      </c>
      <c r="J234" s="36"/>
      <c r="K234" s="35" t="s">
        <v>396</v>
      </c>
      <c r="L234" s="35" t="s">
        <v>282</v>
      </c>
      <c r="M234" s="35" t="s">
        <v>277</v>
      </c>
      <c r="N234" s="37" t="s">
        <v>396</v>
      </c>
      <c r="P234" s="35" t="s">
        <v>279</v>
      </c>
      <c r="Q234" s="35" t="s">
        <v>286</v>
      </c>
      <c r="R234" s="35" t="s">
        <v>280</v>
      </c>
      <c r="S234" s="35">
        <v>1</v>
      </c>
      <c r="T234" s="38"/>
      <c r="V234" s="39"/>
      <c r="W234" s="35">
        <v>0</v>
      </c>
      <c r="X234" s="39" t="s">
        <v>281</v>
      </c>
      <c r="Y234" s="39">
        <v>70.8</v>
      </c>
      <c r="AB234" s="53">
        <v>70.8</v>
      </c>
      <c r="AC234" s="35" t="s">
        <v>277</v>
      </c>
    </row>
    <row r="235" spans="1:29" x14ac:dyDescent="0.2">
      <c r="A235" s="48">
        <f t="shared" si="6"/>
        <v>2025</v>
      </c>
      <c r="B235" s="49" t="str">
        <f t="shared" si="7"/>
        <v>NOVEMBRO</v>
      </c>
      <c r="C235" s="35">
        <v>72124705</v>
      </c>
      <c r="D235" s="35">
        <v>8982679</v>
      </c>
      <c r="E235" s="35" t="s">
        <v>390</v>
      </c>
      <c r="F235" s="36">
        <v>45962</v>
      </c>
      <c r="G235" s="35" t="s">
        <v>13</v>
      </c>
      <c r="H235" s="35">
        <v>35575473880</v>
      </c>
      <c r="I235" s="35" t="s">
        <v>299</v>
      </c>
      <c r="J235" s="36"/>
      <c r="K235" s="35" t="s">
        <v>382</v>
      </c>
      <c r="L235" s="35" t="s">
        <v>282</v>
      </c>
      <c r="M235" s="35" t="s">
        <v>277</v>
      </c>
      <c r="N235" s="37" t="s">
        <v>382</v>
      </c>
      <c r="P235" s="35" t="s">
        <v>279</v>
      </c>
      <c r="Q235" s="35" t="s">
        <v>286</v>
      </c>
      <c r="R235" s="35" t="s">
        <v>280</v>
      </c>
      <c r="S235" s="35">
        <v>1</v>
      </c>
      <c r="T235" s="38"/>
      <c r="V235" s="39"/>
      <c r="W235" s="35">
        <v>0</v>
      </c>
      <c r="X235" s="39" t="s">
        <v>281</v>
      </c>
      <c r="Y235" s="39">
        <v>24.5</v>
      </c>
      <c r="AB235" s="53">
        <v>24.5</v>
      </c>
      <c r="AC235" s="35" t="s">
        <v>277</v>
      </c>
    </row>
    <row r="236" spans="1:29" x14ac:dyDescent="0.2">
      <c r="A236" s="48">
        <f t="shared" si="6"/>
        <v>2025</v>
      </c>
      <c r="B236" s="49" t="str">
        <f t="shared" si="7"/>
        <v>NOVEMBRO</v>
      </c>
      <c r="C236" s="35">
        <v>72118815</v>
      </c>
      <c r="D236" s="35">
        <v>8982679</v>
      </c>
      <c r="E236" s="35" t="s">
        <v>390</v>
      </c>
      <c r="F236" s="36">
        <v>45962</v>
      </c>
      <c r="G236" s="35" t="s">
        <v>13</v>
      </c>
      <c r="H236" s="35">
        <v>35575473880</v>
      </c>
      <c r="I236" s="35" t="s">
        <v>299</v>
      </c>
      <c r="J236" s="36"/>
      <c r="K236" s="35" t="s">
        <v>367</v>
      </c>
      <c r="L236" s="35" t="s">
        <v>282</v>
      </c>
      <c r="M236" s="35" t="s">
        <v>277</v>
      </c>
      <c r="N236" s="37" t="s">
        <v>367</v>
      </c>
      <c r="P236" s="35" t="s">
        <v>279</v>
      </c>
      <c r="Q236" s="35" t="s">
        <v>286</v>
      </c>
      <c r="R236" s="35" t="s">
        <v>280</v>
      </c>
      <c r="S236" s="35">
        <v>1</v>
      </c>
      <c r="T236" s="38"/>
      <c r="V236" s="39"/>
      <c r="W236" s="35">
        <v>0</v>
      </c>
      <c r="X236" s="39" t="s">
        <v>281</v>
      </c>
      <c r="Y236" s="39">
        <v>27</v>
      </c>
      <c r="AB236" s="53">
        <v>27</v>
      </c>
      <c r="AC236" s="35" t="s">
        <v>277</v>
      </c>
    </row>
    <row r="237" spans="1:29" x14ac:dyDescent="0.2">
      <c r="A237" s="48">
        <f t="shared" si="6"/>
        <v>2025</v>
      </c>
      <c r="B237" s="49" t="str">
        <f t="shared" si="7"/>
        <v>NOVEMBRO</v>
      </c>
      <c r="C237" s="35">
        <v>72118754</v>
      </c>
      <c r="D237" s="35">
        <v>8982679</v>
      </c>
      <c r="E237" s="35" t="s">
        <v>390</v>
      </c>
      <c r="F237" s="36">
        <v>45962</v>
      </c>
      <c r="G237" s="35" t="s">
        <v>13</v>
      </c>
      <c r="H237" s="35">
        <v>35575473880</v>
      </c>
      <c r="I237" s="35" t="s">
        <v>299</v>
      </c>
      <c r="J237" s="36"/>
      <c r="K237" s="35" t="s">
        <v>368</v>
      </c>
      <c r="L237" s="35" t="s">
        <v>282</v>
      </c>
      <c r="M237" s="35" t="s">
        <v>277</v>
      </c>
      <c r="N237" s="37" t="s">
        <v>368</v>
      </c>
      <c r="P237" s="35" t="s">
        <v>279</v>
      </c>
      <c r="Q237" s="35" t="s">
        <v>286</v>
      </c>
      <c r="R237" s="35" t="s">
        <v>280</v>
      </c>
      <c r="S237" s="35">
        <v>1</v>
      </c>
      <c r="T237" s="38"/>
      <c r="V237" s="39"/>
      <c r="W237" s="35">
        <v>0</v>
      </c>
      <c r="X237" s="39" t="s">
        <v>281</v>
      </c>
      <c r="Y237" s="39">
        <v>58</v>
      </c>
      <c r="AB237" s="53">
        <v>58</v>
      </c>
      <c r="AC237" s="35" t="s">
        <v>277</v>
      </c>
    </row>
    <row r="238" spans="1:29" x14ac:dyDescent="0.2">
      <c r="A238" s="48">
        <f t="shared" si="6"/>
        <v>2025</v>
      </c>
      <c r="B238" s="49" t="str">
        <f t="shared" si="7"/>
        <v>OUTUBRO</v>
      </c>
      <c r="C238" s="35">
        <v>72082048</v>
      </c>
      <c r="D238" s="35">
        <v>8982679</v>
      </c>
      <c r="E238" s="35" t="s">
        <v>390</v>
      </c>
      <c r="F238" s="36">
        <v>45946</v>
      </c>
      <c r="G238" s="35" t="s">
        <v>13</v>
      </c>
      <c r="H238" s="35">
        <v>35575473880</v>
      </c>
      <c r="I238" s="35" t="s">
        <v>299</v>
      </c>
      <c r="J238" s="36"/>
      <c r="K238" s="35" t="s">
        <v>369</v>
      </c>
      <c r="L238" s="35" t="s">
        <v>276</v>
      </c>
      <c r="M238" s="35" t="s">
        <v>277</v>
      </c>
      <c r="N238" s="37" t="s">
        <v>369</v>
      </c>
      <c r="P238" s="35" t="s">
        <v>279</v>
      </c>
      <c r="Q238" s="35" t="s">
        <v>286</v>
      </c>
      <c r="R238" s="35" t="s">
        <v>280</v>
      </c>
      <c r="S238" s="35">
        <v>1</v>
      </c>
      <c r="T238" s="38"/>
      <c r="V238" s="39"/>
      <c r="W238" s="35">
        <v>0</v>
      </c>
      <c r="X238" s="39" t="s">
        <v>281</v>
      </c>
      <c r="Y238" s="39">
        <v>29.9</v>
      </c>
      <c r="AB238" s="53">
        <v>29.9</v>
      </c>
      <c r="AC238" s="35" t="s">
        <v>277</v>
      </c>
    </row>
    <row r="239" spans="1:29" x14ac:dyDescent="0.2">
      <c r="A239" s="48">
        <f t="shared" si="6"/>
        <v>2025</v>
      </c>
      <c r="B239" s="49" t="str">
        <f t="shared" si="7"/>
        <v>OUTUBRO</v>
      </c>
      <c r="C239" s="35">
        <v>72083034</v>
      </c>
      <c r="D239" s="35">
        <v>8981940</v>
      </c>
      <c r="E239" s="35" t="s">
        <v>410</v>
      </c>
      <c r="F239" s="36">
        <v>45961</v>
      </c>
      <c r="G239" s="35" t="s">
        <v>13</v>
      </c>
      <c r="H239" s="35">
        <v>35575473880</v>
      </c>
      <c r="I239" s="35" t="s">
        <v>299</v>
      </c>
      <c r="J239" s="36"/>
      <c r="K239" s="35" t="s">
        <v>366</v>
      </c>
      <c r="L239" s="35" t="s">
        <v>276</v>
      </c>
      <c r="M239" s="35" t="s">
        <v>277</v>
      </c>
      <c r="N239" s="37" t="s">
        <v>366</v>
      </c>
      <c r="P239" s="35" t="s">
        <v>279</v>
      </c>
      <c r="Q239" s="35" t="s">
        <v>286</v>
      </c>
      <c r="R239" s="35" t="s">
        <v>280</v>
      </c>
      <c r="S239" s="35">
        <v>1</v>
      </c>
      <c r="T239" s="38"/>
      <c r="V239" s="39"/>
      <c r="X239" s="39" t="s">
        <v>281</v>
      </c>
      <c r="Y239" s="39">
        <v>9.9</v>
      </c>
      <c r="AB239" s="53">
        <v>9.9</v>
      </c>
      <c r="AC239" s="35" t="s">
        <v>277</v>
      </c>
    </row>
    <row r="240" spans="1:29" x14ac:dyDescent="0.2">
      <c r="A240" s="48">
        <f t="shared" si="6"/>
        <v>2025</v>
      </c>
      <c r="B240" s="49" t="str">
        <f t="shared" si="7"/>
        <v>OUTUBRO</v>
      </c>
      <c r="C240" s="35">
        <v>72081670</v>
      </c>
      <c r="D240" s="35">
        <v>8981940</v>
      </c>
      <c r="E240" s="35" t="s">
        <v>410</v>
      </c>
      <c r="F240" s="36">
        <v>45961</v>
      </c>
      <c r="G240" s="35" t="s">
        <v>13</v>
      </c>
      <c r="H240" s="35">
        <v>35575473880</v>
      </c>
      <c r="I240" s="35" t="s">
        <v>299</v>
      </c>
      <c r="J240" s="36"/>
      <c r="K240" s="35" t="s">
        <v>386</v>
      </c>
      <c r="L240" s="35" t="s">
        <v>276</v>
      </c>
      <c r="M240" s="35" t="s">
        <v>277</v>
      </c>
      <c r="N240" s="37" t="s">
        <v>386</v>
      </c>
      <c r="P240" s="35" t="s">
        <v>279</v>
      </c>
      <c r="Q240" s="35" t="s">
        <v>286</v>
      </c>
      <c r="R240" s="35" t="s">
        <v>280</v>
      </c>
      <c r="S240" s="35">
        <v>1</v>
      </c>
      <c r="T240" s="38"/>
      <c r="V240" s="39"/>
      <c r="X240" s="39" t="s">
        <v>281</v>
      </c>
      <c r="Y240" s="39">
        <v>56.74</v>
      </c>
      <c r="AB240" s="53">
        <v>56.74</v>
      </c>
      <c r="AC240" s="35" t="s">
        <v>277</v>
      </c>
    </row>
    <row r="241" spans="1:29" x14ac:dyDescent="0.2">
      <c r="A241" s="48">
        <f t="shared" si="6"/>
        <v>2025</v>
      </c>
      <c r="B241" s="49" t="str">
        <f t="shared" si="7"/>
        <v>OUTUBRO</v>
      </c>
      <c r="C241" s="35">
        <v>72082790</v>
      </c>
      <c r="D241" s="35">
        <v>8981940</v>
      </c>
      <c r="E241" s="35" t="s">
        <v>410</v>
      </c>
      <c r="F241" s="36">
        <v>45960</v>
      </c>
      <c r="G241" s="35" t="s">
        <v>13</v>
      </c>
      <c r="H241" s="35">
        <v>35575473880</v>
      </c>
      <c r="I241" s="35" t="s">
        <v>299</v>
      </c>
      <c r="J241" s="36"/>
      <c r="K241" s="35" t="s">
        <v>374</v>
      </c>
      <c r="L241" s="35" t="s">
        <v>276</v>
      </c>
      <c r="M241" s="35" t="s">
        <v>277</v>
      </c>
      <c r="N241" s="37" t="s">
        <v>374</v>
      </c>
      <c r="P241" s="35" t="s">
        <v>279</v>
      </c>
      <c r="Q241" s="35" t="s">
        <v>286</v>
      </c>
      <c r="R241" s="35" t="s">
        <v>280</v>
      </c>
      <c r="S241" s="35">
        <v>1</v>
      </c>
      <c r="T241" s="38"/>
      <c r="V241" s="39"/>
      <c r="X241" s="39" t="s">
        <v>281</v>
      </c>
      <c r="Y241" s="39">
        <v>13.77</v>
      </c>
      <c r="AB241" s="53">
        <v>13.77</v>
      </c>
      <c r="AC241" s="35" t="s">
        <v>277</v>
      </c>
    </row>
    <row r="242" spans="1:29" x14ac:dyDescent="0.2">
      <c r="A242" s="48">
        <f t="shared" si="6"/>
        <v>2025</v>
      </c>
      <c r="B242" s="49" t="str">
        <f t="shared" si="7"/>
        <v>OUTUBRO</v>
      </c>
      <c r="C242" s="35">
        <v>72082631</v>
      </c>
      <c r="D242" s="35">
        <v>8981940</v>
      </c>
      <c r="E242" s="35" t="s">
        <v>410</v>
      </c>
      <c r="F242" s="36">
        <v>45960</v>
      </c>
      <c r="G242" s="35" t="s">
        <v>13</v>
      </c>
      <c r="H242" s="35">
        <v>35575473880</v>
      </c>
      <c r="I242" s="35" t="s">
        <v>299</v>
      </c>
      <c r="J242" s="36"/>
      <c r="K242" s="35" t="s">
        <v>377</v>
      </c>
      <c r="L242" s="35" t="s">
        <v>276</v>
      </c>
      <c r="M242" s="35" t="s">
        <v>277</v>
      </c>
      <c r="N242" s="37" t="s">
        <v>377</v>
      </c>
      <c r="P242" s="35" t="s">
        <v>279</v>
      </c>
      <c r="Q242" s="35" t="s">
        <v>286</v>
      </c>
      <c r="R242" s="35" t="s">
        <v>280</v>
      </c>
      <c r="S242" s="35">
        <v>1</v>
      </c>
      <c r="T242" s="38"/>
      <c r="V242" s="39"/>
      <c r="X242" s="39" t="s">
        <v>281</v>
      </c>
      <c r="Y242" s="39">
        <v>119.96</v>
      </c>
      <c r="AB242" s="53">
        <v>119.96</v>
      </c>
      <c r="AC242" s="35" t="s">
        <v>277</v>
      </c>
    </row>
    <row r="243" spans="1:29" x14ac:dyDescent="0.2">
      <c r="A243" s="48">
        <f t="shared" si="6"/>
        <v>2025</v>
      </c>
      <c r="B243" s="49" t="str">
        <f t="shared" si="7"/>
        <v>OUTUBRO</v>
      </c>
      <c r="C243" s="35">
        <v>72081812</v>
      </c>
      <c r="D243" s="35">
        <v>8981940</v>
      </c>
      <c r="E243" s="35" t="s">
        <v>410</v>
      </c>
      <c r="F243" s="36">
        <v>45960</v>
      </c>
      <c r="G243" s="35" t="s">
        <v>13</v>
      </c>
      <c r="H243" s="35">
        <v>35575473880</v>
      </c>
      <c r="I243" s="35" t="s">
        <v>299</v>
      </c>
      <c r="J243" s="36"/>
      <c r="K243" s="35" t="s">
        <v>405</v>
      </c>
      <c r="L243" s="35" t="s">
        <v>276</v>
      </c>
      <c r="M243" s="35" t="s">
        <v>277</v>
      </c>
      <c r="N243" s="37" t="s">
        <v>405</v>
      </c>
      <c r="P243" s="35" t="s">
        <v>279</v>
      </c>
      <c r="Q243" s="35" t="s">
        <v>286</v>
      </c>
      <c r="R243" s="35" t="s">
        <v>280</v>
      </c>
      <c r="S243" s="35">
        <v>1</v>
      </c>
      <c r="T243" s="38"/>
      <c r="V243" s="39"/>
      <c r="X243" s="39" t="s">
        <v>281</v>
      </c>
      <c r="Y243" s="39">
        <v>19.8</v>
      </c>
      <c r="AB243" s="53">
        <v>19.8</v>
      </c>
      <c r="AC243" s="35" t="s">
        <v>277</v>
      </c>
    </row>
    <row r="244" spans="1:29" x14ac:dyDescent="0.2">
      <c r="A244" s="48">
        <f t="shared" si="6"/>
        <v>2025</v>
      </c>
      <c r="B244" s="49" t="str">
        <f t="shared" si="7"/>
        <v>OUTUBRO</v>
      </c>
      <c r="C244" s="35">
        <v>72083111</v>
      </c>
      <c r="D244" s="35">
        <v>8981940</v>
      </c>
      <c r="E244" s="35" t="s">
        <v>410</v>
      </c>
      <c r="F244" s="36">
        <v>45959</v>
      </c>
      <c r="G244" s="35" t="s">
        <v>13</v>
      </c>
      <c r="H244" s="35">
        <v>35575473880</v>
      </c>
      <c r="I244" s="35" t="s">
        <v>299</v>
      </c>
      <c r="J244" s="36"/>
      <c r="K244" s="35" t="s">
        <v>378</v>
      </c>
      <c r="L244" s="35" t="s">
        <v>276</v>
      </c>
      <c r="M244" s="35" t="s">
        <v>277</v>
      </c>
      <c r="N244" s="37" t="s">
        <v>378</v>
      </c>
      <c r="P244" s="35" t="s">
        <v>279</v>
      </c>
      <c r="Q244" s="35" t="s">
        <v>286</v>
      </c>
      <c r="R244" s="35" t="s">
        <v>280</v>
      </c>
      <c r="S244" s="35">
        <v>1</v>
      </c>
      <c r="T244" s="38"/>
      <c r="V244" s="39"/>
      <c r="X244" s="39" t="s">
        <v>281</v>
      </c>
      <c r="Y244" s="39">
        <v>32.33</v>
      </c>
      <c r="AB244" s="53">
        <v>32.33</v>
      </c>
      <c r="AC244" s="35" t="s">
        <v>277</v>
      </c>
    </row>
    <row r="245" spans="1:29" x14ac:dyDescent="0.2">
      <c r="A245" s="48">
        <f t="shared" si="6"/>
        <v>2025</v>
      </c>
      <c r="B245" s="49" t="str">
        <f t="shared" si="7"/>
        <v>OUTUBRO</v>
      </c>
      <c r="C245" s="35">
        <v>72082948</v>
      </c>
      <c r="D245" s="35">
        <v>8981940</v>
      </c>
      <c r="E245" s="35" t="s">
        <v>410</v>
      </c>
      <c r="F245" s="36">
        <v>45959</v>
      </c>
      <c r="G245" s="35" t="s">
        <v>13</v>
      </c>
      <c r="H245" s="35">
        <v>35575473880</v>
      </c>
      <c r="I245" s="35" t="s">
        <v>299</v>
      </c>
      <c r="J245" s="36"/>
      <c r="K245" s="35" t="s">
        <v>373</v>
      </c>
      <c r="L245" s="35" t="s">
        <v>276</v>
      </c>
      <c r="M245" s="35" t="s">
        <v>277</v>
      </c>
      <c r="N245" s="37" t="s">
        <v>373</v>
      </c>
      <c r="P245" s="35" t="s">
        <v>279</v>
      </c>
      <c r="Q245" s="35" t="s">
        <v>286</v>
      </c>
      <c r="R245" s="35" t="s">
        <v>280</v>
      </c>
      <c r="S245" s="35">
        <v>1</v>
      </c>
      <c r="T245" s="38"/>
      <c r="V245" s="39"/>
      <c r="X245" s="39" t="s">
        <v>281</v>
      </c>
      <c r="Y245" s="39">
        <v>15</v>
      </c>
      <c r="AB245" s="53">
        <v>15</v>
      </c>
      <c r="AC245" s="35" t="s">
        <v>277</v>
      </c>
    </row>
    <row r="246" spans="1:29" x14ac:dyDescent="0.2">
      <c r="A246" s="48">
        <f t="shared" si="6"/>
        <v>2025</v>
      </c>
      <c r="B246" s="49" t="str">
        <f t="shared" si="7"/>
        <v>OUTUBRO</v>
      </c>
      <c r="C246" s="35">
        <v>72082726</v>
      </c>
      <c r="D246" s="35">
        <v>8981940</v>
      </c>
      <c r="E246" s="35" t="s">
        <v>410</v>
      </c>
      <c r="F246" s="36">
        <v>45957</v>
      </c>
      <c r="G246" s="35" t="s">
        <v>13</v>
      </c>
      <c r="H246" s="35">
        <v>35575473880</v>
      </c>
      <c r="I246" s="35" t="s">
        <v>299</v>
      </c>
      <c r="J246" s="36"/>
      <c r="K246" s="35" t="s">
        <v>375</v>
      </c>
      <c r="L246" s="35" t="s">
        <v>276</v>
      </c>
      <c r="M246" s="35" t="s">
        <v>277</v>
      </c>
      <c r="N246" s="37" t="s">
        <v>375</v>
      </c>
      <c r="P246" s="35" t="s">
        <v>279</v>
      </c>
      <c r="Q246" s="35" t="s">
        <v>286</v>
      </c>
      <c r="R246" s="35" t="s">
        <v>280</v>
      </c>
      <c r="S246" s="35">
        <v>1</v>
      </c>
      <c r="T246" s="38"/>
      <c r="V246" s="39"/>
      <c r="X246" s="39" t="s">
        <v>281</v>
      </c>
      <c r="Y246" s="39">
        <v>32</v>
      </c>
      <c r="AB246" s="53">
        <v>32</v>
      </c>
      <c r="AC246" s="35" t="s">
        <v>277</v>
      </c>
    </row>
    <row r="247" spans="1:29" x14ac:dyDescent="0.2">
      <c r="A247" s="48">
        <f t="shared" si="6"/>
        <v>2025</v>
      </c>
      <c r="B247" s="49" t="str">
        <f t="shared" si="7"/>
        <v>OUTUBRO</v>
      </c>
      <c r="C247" s="35">
        <v>72081572</v>
      </c>
      <c r="D247" s="35">
        <v>8981940</v>
      </c>
      <c r="E247" s="35" t="s">
        <v>410</v>
      </c>
      <c r="F247" s="36">
        <v>45957</v>
      </c>
      <c r="G247" s="35" t="s">
        <v>13</v>
      </c>
      <c r="H247" s="35">
        <v>35575473880</v>
      </c>
      <c r="I247" s="35" t="s">
        <v>299</v>
      </c>
      <c r="J247" s="36"/>
      <c r="K247" s="35" t="s">
        <v>387</v>
      </c>
      <c r="L247" s="35" t="s">
        <v>276</v>
      </c>
      <c r="M247" s="35" t="s">
        <v>277</v>
      </c>
      <c r="N247" s="37" t="s">
        <v>387</v>
      </c>
      <c r="P247" s="35" t="s">
        <v>279</v>
      </c>
      <c r="Q247" s="35" t="s">
        <v>286</v>
      </c>
      <c r="R247" s="35" t="s">
        <v>280</v>
      </c>
      <c r="S247" s="35">
        <v>1</v>
      </c>
      <c r="T247" s="38"/>
      <c r="V247" s="39"/>
      <c r="X247" s="39" t="s">
        <v>281</v>
      </c>
      <c r="Y247" s="39">
        <v>40.5</v>
      </c>
      <c r="AB247" s="53">
        <v>40.5</v>
      </c>
      <c r="AC247" s="35" t="s">
        <v>277</v>
      </c>
    </row>
    <row r="248" spans="1:29" x14ac:dyDescent="0.2">
      <c r="A248" s="48">
        <f t="shared" si="6"/>
        <v>2025</v>
      </c>
      <c r="B248" s="49" t="str">
        <f t="shared" si="7"/>
        <v>OUTUBRO</v>
      </c>
      <c r="C248" s="35">
        <v>72081239</v>
      </c>
      <c r="D248" s="35">
        <v>8981940</v>
      </c>
      <c r="E248" s="35" t="s">
        <v>410</v>
      </c>
      <c r="F248" s="36">
        <v>45957</v>
      </c>
      <c r="G248" s="35" t="s">
        <v>13</v>
      </c>
      <c r="H248" s="35">
        <v>35575473880</v>
      </c>
      <c r="I248" s="35" t="s">
        <v>299</v>
      </c>
      <c r="J248" s="36"/>
      <c r="K248" s="35" t="s">
        <v>389</v>
      </c>
      <c r="L248" s="35" t="s">
        <v>276</v>
      </c>
      <c r="M248" s="35" t="s">
        <v>277</v>
      </c>
      <c r="N248" s="37" t="s">
        <v>407</v>
      </c>
      <c r="P248" s="35" t="s">
        <v>279</v>
      </c>
      <c r="Q248" s="35" t="s">
        <v>286</v>
      </c>
      <c r="R248" s="35" t="s">
        <v>280</v>
      </c>
      <c r="S248" s="35">
        <v>1</v>
      </c>
      <c r="T248" s="38"/>
      <c r="V248" s="39"/>
      <c r="W248" s="35">
        <v>0</v>
      </c>
      <c r="X248" s="39" t="s">
        <v>281</v>
      </c>
      <c r="Y248" s="39">
        <v>85.99</v>
      </c>
      <c r="AB248" s="53">
        <v>85.99</v>
      </c>
      <c r="AC248" s="35" t="s">
        <v>277</v>
      </c>
    </row>
    <row r="249" spans="1:29" x14ac:dyDescent="0.2">
      <c r="A249" s="48">
        <f t="shared" si="6"/>
        <v>2025</v>
      </c>
      <c r="B249" s="49" t="str">
        <f t="shared" si="7"/>
        <v>OUTUBRO</v>
      </c>
      <c r="C249" s="35">
        <v>72081467</v>
      </c>
      <c r="D249" s="35">
        <v>8981940</v>
      </c>
      <c r="E249" s="35" t="s">
        <v>410</v>
      </c>
      <c r="F249" s="36">
        <v>45955</v>
      </c>
      <c r="G249" s="35" t="s">
        <v>13</v>
      </c>
      <c r="H249" s="35">
        <v>35575473880</v>
      </c>
      <c r="I249" s="35" t="s">
        <v>299</v>
      </c>
      <c r="J249" s="36"/>
      <c r="K249" s="35" t="s">
        <v>384</v>
      </c>
      <c r="L249" s="35" t="s">
        <v>276</v>
      </c>
      <c r="M249" s="35" t="s">
        <v>277</v>
      </c>
      <c r="N249" s="37" t="s">
        <v>384</v>
      </c>
      <c r="P249" s="35" t="s">
        <v>279</v>
      </c>
      <c r="Q249" s="35" t="s">
        <v>286</v>
      </c>
      <c r="R249" s="35" t="s">
        <v>280</v>
      </c>
      <c r="S249" s="35">
        <v>1</v>
      </c>
      <c r="T249" s="38"/>
      <c r="V249" s="39"/>
      <c r="X249" s="39" t="s">
        <v>281</v>
      </c>
      <c r="Y249" s="39">
        <v>16.86</v>
      </c>
      <c r="AB249" s="53">
        <v>16.86</v>
      </c>
      <c r="AC249" s="35" t="s">
        <v>277</v>
      </c>
    </row>
    <row r="250" spans="1:29" x14ac:dyDescent="0.2">
      <c r="A250" s="48">
        <f t="shared" si="6"/>
        <v>2025</v>
      </c>
      <c r="B250" s="49" t="str">
        <f t="shared" si="7"/>
        <v>OUTUBRO</v>
      </c>
      <c r="C250" s="35">
        <v>72082873</v>
      </c>
      <c r="D250" s="35">
        <v>8981940</v>
      </c>
      <c r="E250" s="35" t="s">
        <v>410</v>
      </c>
      <c r="F250" s="36">
        <v>45954</v>
      </c>
      <c r="G250" s="35" t="s">
        <v>13</v>
      </c>
      <c r="H250" s="35">
        <v>35575473880</v>
      </c>
      <c r="I250" s="35" t="s">
        <v>299</v>
      </c>
      <c r="J250" s="36"/>
      <c r="K250" s="35" t="s">
        <v>404</v>
      </c>
      <c r="L250" s="35" t="s">
        <v>276</v>
      </c>
      <c r="M250" s="35" t="s">
        <v>277</v>
      </c>
      <c r="N250" s="37" t="s">
        <v>404</v>
      </c>
      <c r="P250" s="35" t="s">
        <v>279</v>
      </c>
      <c r="Q250" s="35" t="s">
        <v>286</v>
      </c>
      <c r="R250" s="35" t="s">
        <v>280</v>
      </c>
      <c r="S250" s="35">
        <v>1</v>
      </c>
      <c r="T250" s="38"/>
      <c r="V250" s="39"/>
      <c r="X250" s="39" t="s">
        <v>281</v>
      </c>
      <c r="Y250" s="39">
        <v>36.549999999999997</v>
      </c>
      <c r="AB250" s="53">
        <v>36.549999999999997</v>
      </c>
      <c r="AC250" s="35" t="s">
        <v>277</v>
      </c>
    </row>
    <row r="251" spans="1:29" x14ac:dyDescent="0.2">
      <c r="A251" s="48">
        <f t="shared" si="6"/>
        <v>2025</v>
      </c>
      <c r="B251" s="49" t="str">
        <f t="shared" si="7"/>
        <v>OUTUBRO</v>
      </c>
      <c r="C251" s="35">
        <v>72081358</v>
      </c>
      <c r="D251" s="35">
        <v>8981940</v>
      </c>
      <c r="E251" s="35" t="s">
        <v>410</v>
      </c>
      <c r="F251" s="36">
        <v>45953</v>
      </c>
      <c r="G251" s="35" t="s">
        <v>13</v>
      </c>
      <c r="H251" s="35">
        <v>35575473880</v>
      </c>
      <c r="I251" s="35" t="s">
        <v>299</v>
      </c>
      <c r="J251" s="36"/>
      <c r="K251" s="35" t="s">
        <v>388</v>
      </c>
      <c r="L251" s="35" t="s">
        <v>276</v>
      </c>
      <c r="M251" s="35" t="s">
        <v>277</v>
      </c>
      <c r="N251" s="37" t="s">
        <v>388</v>
      </c>
      <c r="P251" s="35" t="s">
        <v>279</v>
      </c>
      <c r="Q251" s="35" t="s">
        <v>286</v>
      </c>
      <c r="R251" s="35" t="s">
        <v>280</v>
      </c>
      <c r="S251" s="35">
        <v>1</v>
      </c>
      <c r="T251" s="38"/>
      <c r="V251" s="39"/>
      <c r="X251" s="39" t="s">
        <v>281</v>
      </c>
      <c r="Y251" s="39">
        <v>27.8</v>
      </c>
      <c r="AB251" s="53">
        <v>27.8</v>
      </c>
      <c r="AC251" s="35" t="s">
        <v>277</v>
      </c>
    </row>
    <row r="252" spans="1:29" x14ac:dyDescent="0.2">
      <c r="A252" s="48">
        <f t="shared" si="6"/>
        <v>2025</v>
      </c>
      <c r="B252" s="49" t="str">
        <f t="shared" si="7"/>
        <v>OUTUBRO</v>
      </c>
      <c r="C252" s="35">
        <v>72082551</v>
      </c>
      <c r="D252" s="35">
        <v>8981940</v>
      </c>
      <c r="E252" s="35" t="s">
        <v>410</v>
      </c>
      <c r="F252" s="36">
        <v>45952</v>
      </c>
      <c r="G252" s="35" t="s">
        <v>13</v>
      </c>
      <c r="H252" s="35">
        <v>35575473880</v>
      </c>
      <c r="I252" s="35" t="s">
        <v>299</v>
      </c>
      <c r="J252" s="36"/>
      <c r="K252" s="35" t="s">
        <v>380</v>
      </c>
      <c r="L252" s="35" t="s">
        <v>276</v>
      </c>
      <c r="M252" s="35" t="s">
        <v>277</v>
      </c>
      <c r="N252" s="37" t="s">
        <v>380</v>
      </c>
      <c r="P252" s="35" t="s">
        <v>279</v>
      </c>
      <c r="Q252" s="35" t="s">
        <v>286</v>
      </c>
      <c r="R252" s="35" t="s">
        <v>280</v>
      </c>
      <c r="S252" s="35">
        <v>1</v>
      </c>
      <c r="T252" s="38"/>
      <c r="V252" s="39"/>
      <c r="X252" s="39" t="s">
        <v>281</v>
      </c>
      <c r="Y252" s="39">
        <v>21.7</v>
      </c>
      <c r="AB252" s="53">
        <v>21.7</v>
      </c>
      <c r="AC252" s="35" t="s">
        <v>277</v>
      </c>
    </row>
    <row r="253" spans="1:29" x14ac:dyDescent="0.2">
      <c r="A253" s="48">
        <f t="shared" si="6"/>
        <v>2025</v>
      </c>
      <c r="B253" s="49" t="str">
        <f t="shared" si="7"/>
        <v>OUTUBRO</v>
      </c>
      <c r="C253" s="35">
        <v>72082369</v>
      </c>
      <c r="D253" s="35">
        <v>8981940</v>
      </c>
      <c r="E253" s="35" t="s">
        <v>410</v>
      </c>
      <c r="F253" s="36">
        <v>45952</v>
      </c>
      <c r="G253" s="35" t="s">
        <v>13</v>
      </c>
      <c r="H253" s="35">
        <v>35575473880</v>
      </c>
      <c r="I253" s="35" t="s">
        <v>299</v>
      </c>
      <c r="J253" s="36"/>
      <c r="K253" s="35" t="s">
        <v>382</v>
      </c>
      <c r="L253" s="35" t="s">
        <v>276</v>
      </c>
      <c r="M253" s="35" t="s">
        <v>277</v>
      </c>
      <c r="N253" s="37" t="s">
        <v>382</v>
      </c>
      <c r="P253" s="35" t="s">
        <v>279</v>
      </c>
      <c r="Q253" s="35" t="s">
        <v>286</v>
      </c>
      <c r="R253" s="35" t="s">
        <v>280</v>
      </c>
      <c r="S253" s="35">
        <v>1</v>
      </c>
      <c r="T253" s="38"/>
      <c r="V253" s="39"/>
      <c r="X253" s="39" t="s">
        <v>281</v>
      </c>
      <c r="Y253" s="39">
        <v>78.010000000000005</v>
      </c>
      <c r="AB253" s="53">
        <v>78.010000000000005</v>
      </c>
      <c r="AC253" s="35" t="s">
        <v>277</v>
      </c>
    </row>
    <row r="254" spans="1:29" x14ac:dyDescent="0.2">
      <c r="A254" s="48">
        <f t="shared" si="6"/>
        <v>2025</v>
      </c>
      <c r="B254" s="49" t="str">
        <f t="shared" si="7"/>
        <v>OUTUBRO</v>
      </c>
      <c r="C254" s="35">
        <v>72081164</v>
      </c>
      <c r="D254" s="35">
        <v>8981940</v>
      </c>
      <c r="E254" s="35" t="s">
        <v>410</v>
      </c>
      <c r="F254" s="36">
        <v>45951</v>
      </c>
      <c r="G254" s="35" t="s">
        <v>13</v>
      </c>
      <c r="H254" s="35">
        <v>35575473880</v>
      </c>
      <c r="I254" s="35" t="s">
        <v>299</v>
      </c>
      <c r="J254" s="36"/>
      <c r="K254" s="35" t="s">
        <v>407</v>
      </c>
      <c r="L254" s="35" t="s">
        <v>276</v>
      </c>
      <c r="M254" s="35" t="s">
        <v>277</v>
      </c>
      <c r="N254" s="37" t="s">
        <v>407</v>
      </c>
      <c r="P254" s="35" t="s">
        <v>279</v>
      </c>
      <c r="Q254" s="35" t="s">
        <v>286</v>
      </c>
      <c r="R254" s="35" t="s">
        <v>280</v>
      </c>
      <c r="S254" s="35">
        <v>1</v>
      </c>
      <c r="T254" s="38"/>
      <c r="V254" s="39"/>
      <c r="W254" s="35">
        <v>0</v>
      </c>
      <c r="X254" s="39" t="s">
        <v>281</v>
      </c>
      <c r="Y254" s="39">
        <v>41.13</v>
      </c>
      <c r="AB254" s="53">
        <v>41.13</v>
      </c>
      <c r="AC254" s="35" t="s">
        <v>277</v>
      </c>
    </row>
    <row r="255" spans="1:29" x14ac:dyDescent="0.2">
      <c r="A255" s="48">
        <f t="shared" si="6"/>
        <v>2025</v>
      </c>
      <c r="B255" s="49" t="str">
        <f t="shared" si="7"/>
        <v>OUTUBRO</v>
      </c>
      <c r="C255" s="35">
        <v>72081921</v>
      </c>
      <c r="D255" s="35">
        <v>8981940</v>
      </c>
      <c r="E255" s="35" t="s">
        <v>410</v>
      </c>
      <c r="F255" s="36">
        <v>45950</v>
      </c>
      <c r="G255" s="35" t="s">
        <v>13</v>
      </c>
      <c r="H255" s="35">
        <v>35575473880</v>
      </c>
      <c r="I255" s="35" t="s">
        <v>299</v>
      </c>
      <c r="J255" s="36"/>
      <c r="K255" s="35" t="s">
        <v>403</v>
      </c>
      <c r="L255" s="35" t="s">
        <v>276</v>
      </c>
      <c r="M255" s="35" t="s">
        <v>277</v>
      </c>
      <c r="N255" s="37" t="s">
        <v>403</v>
      </c>
      <c r="P255" s="35" t="s">
        <v>279</v>
      </c>
      <c r="Q255" s="35" t="s">
        <v>286</v>
      </c>
      <c r="R255" s="35" t="s">
        <v>280</v>
      </c>
      <c r="S255" s="35">
        <v>1</v>
      </c>
      <c r="T255" s="38"/>
      <c r="V255" s="39"/>
      <c r="X255" s="39" t="s">
        <v>281</v>
      </c>
      <c r="Y255" s="39">
        <v>14.9</v>
      </c>
      <c r="AB255" s="53">
        <v>14.9</v>
      </c>
      <c r="AC255" s="35" t="s">
        <v>277</v>
      </c>
    </row>
    <row r="256" spans="1:29" x14ac:dyDescent="0.2">
      <c r="A256" s="48">
        <f t="shared" si="6"/>
        <v>2025</v>
      </c>
      <c r="B256" s="49" t="str">
        <f t="shared" si="7"/>
        <v>OUTUBRO</v>
      </c>
      <c r="C256" s="35">
        <v>72082199</v>
      </c>
      <c r="D256" s="35">
        <v>8981940</v>
      </c>
      <c r="E256" s="35" t="s">
        <v>410</v>
      </c>
      <c r="F256" s="36">
        <v>45946</v>
      </c>
      <c r="G256" s="35" t="s">
        <v>13</v>
      </c>
      <c r="H256" s="35">
        <v>35575473880</v>
      </c>
      <c r="I256" s="35" t="s">
        <v>299</v>
      </c>
      <c r="J256" s="36"/>
      <c r="K256" s="35" t="s">
        <v>371</v>
      </c>
      <c r="L256" s="35" t="s">
        <v>276</v>
      </c>
      <c r="M256" s="35" t="s">
        <v>277</v>
      </c>
      <c r="N256" s="37" t="s">
        <v>371</v>
      </c>
      <c r="P256" s="35" t="s">
        <v>279</v>
      </c>
      <c r="Q256" s="35" t="s">
        <v>286</v>
      </c>
      <c r="R256" s="35" t="s">
        <v>280</v>
      </c>
      <c r="S256" s="35">
        <v>1</v>
      </c>
      <c r="T256" s="38"/>
      <c r="V256" s="39"/>
      <c r="W256" s="35">
        <v>0</v>
      </c>
      <c r="X256" s="39" t="s">
        <v>281</v>
      </c>
      <c r="Y256" s="39">
        <v>28</v>
      </c>
      <c r="AB256" s="53">
        <v>28</v>
      </c>
      <c r="AC256" s="35" t="s">
        <v>277</v>
      </c>
    </row>
    <row r="257" spans="1:29" x14ac:dyDescent="0.2">
      <c r="A257" s="48">
        <f t="shared" si="6"/>
        <v>2025</v>
      </c>
      <c r="B257" s="49" t="str">
        <f t="shared" si="7"/>
        <v>OUTUBRO</v>
      </c>
      <c r="C257" s="35">
        <v>72082147</v>
      </c>
      <c r="D257" s="35">
        <v>8981940</v>
      </c>
      <c r="E257" s="35" t="s">
        <v>410</v>
      </c>
      <c r="F257" s="36">
        <v>45946</v>
      </c>
      <c r="G257" s="35" t="s">
        <v>13</v>
      </c>
      <c r="H257" s="35">
        <v>35575473880</v>
      </c>
      <c r="I257" s="35" t="s">
        <v>299</v>
      </c>
      <c r="J257" s="36"/>
      <c r="K257" s="35" t="s">
        <v>367</v>
      </c>
      <c r="L257" s="35" t="s">
        <v>276</v>
      </c>
      <c r="M257" s="35" t="s">
        <v>277</v>
      </c>
      <c r="N257" s="37" t="s">
        <v>367</v>
      </c>
      <c r="P257" s="35" t="s">
        <v>279</v>
      </c>
      <c r="Q257" s="35" t="s">
        <v>286</v>
      </c>
      <c r="R257" s="35" t="s">
        <v>280</v>
      </c>
      <c r="S257" s="35">
        <v>1</v>
      </c>
      <c r="T257" s="38"/>
      <c r="V257" s="39"/>
      <c r="X257" s="39" t="s">
        <v>281</v>
      </c>
      <c r="Y257" s="39">
        <v>29.21</v>
      </c>
      <c r="AB257" s="53">
        <v>29.21</v>
      </c>
      <c r="AC257" s="35" t="s">
        <v>277</v>
      </c>
    </row>
    <row r="258" spans="1:29" x14ac:dyDescent="0.2">
      <c r="A258" s="48">
        <f t="shared" si="6"/>
        <v>2025</v>
      </c>
      <c r="B258" s="49" t="str">
        <f t="shared" si="7"/>
        <v>OUTUBRO</v>
      </c>
      <c r="C258" s="35">
        <v>72082003</v>
      </c>
      <c r="D258" s="35">
        <v>8981940</v>
      </c>
      <c r="E258" s="35" t="s">
        <v>410</v>
      </c>
      <c r="F258" s="36">
        <v>45945</v>
      </c>
      <c r="G258" s="35" t="s">
        <v>13</v>
      </c>
      <c r="H258" s="35">
        <v>35575473880</v>
      </c>
      <c r="I258" s="35" t="s">
        <v>299</v>
      </c>
      <c r="J258" s="36"/>
      <c r="K258" s="35" t="s">
        <v>365</v>
      </c>
      <c r="L258" s="35" t="s">
        <v>276</v>
      </c>
      <c r="M258" s="35" t="s">
        <v>277</v>
      </c>
      <c r="N258" s="37" t="s">
        <v>365</v>
      </c>
      <c r="P258" s="35" t="s">
        <v>279</v>
      </c>
      <c r="Q258" s="35" t="s">
        <v>286</v>
      </c>
      <c r="R258" s="35" t="s">
        <v>280</v>
      </c>
      <c r="S258" s="35">
        <v>1</v>
      </c>
      <c r="T258" s="38"/>
      <c r="V258" s="39"/>
      <c r="X258" s="39" t="s">
        <v>281</v>
      </c>
      <c r="Y258" s="39">
        <v>42</v>
      </c>
      <c r="AB258" s="53">
        <v>42</v>
      </c>
      <c r="AC258" s="35" t="s">
        <v>277</v>
      </c>
    </row>
    <row r="259" spans="1:29" x14ac:dyDescent="0.2">
      <c r="A259" s="48">
        <f t="shared" ref="A259:A322" si="8">YEAR(F259)</f>
        <v>2025</v>
      </c>
      <c r="B259" s="49" t="str">
        <f t="shared" ref="B259:B322" si="9">UPPER(TEXT(F259,"MMMM"))</f>
        <v>OUTUBRO</v>
      </c>
      <c r="C259" s="35">
        <v>72081073</v>
      </c>
      <c r="D259" s="35">
        <v>8981940</v>
      </c>
      <c r="E259" s="35" t="s">
        <v>410</v>
      </c>
      <c r="F259" s="36">
        <v>45943</v>
      </c>
      <c r="G259" s="35" t="s">
        <v>13</v>
      </c>
      <c r="H259" s="35">
        <v>35575473880</v>
      </c>
      <c r="I259" s="35" t="s">
        <v>299</v>
      </c>
      <c r="J259" s="36"/>
      <c r="K259" s="35" t="s">
        <v>402</v>
      </c>
      <c r="L259" s="35" t="s">
        <v>276</v>
      </c>
      <c r="M259" s="35" t="s">
        <v>277</v>
      </c>
      <c r="N259" s="37" t="s">
        <v>402</v>
      </c>
      <c r="P259" s="35" t="s">
        <v>279</v>
      </c>
      <c r="Q259" s="35" t="s">
        <v>286</v>
      </c>
      <c r="R259" s="35" t="s">
        <v>280</v>
      </c>
      <c r="S259" s="35">
        <v>1</v>
      </c>
      <c r="T259" s="38"/>
      <c r="V259" s="39"/>
      <c r="X259" s="39" t="s">
        <v>281</v>
      </c>
      <c r="Y259" s="39">
        <v>46.65</v>
      </c>
      <c r="AB259" s="53">
        <v>46.65</v>
      </c>
      <c r="AC259" s="35" t="s">
        <v>277</v>
      </c>
    </row>
    <row r="260" spans="1:29" x14ac:dyDescent="0.2">
      <c r="A260" s="48">
        <f t="shared" si="8"/>
        <v>2025</v>
      </c>
      <c r="B260" s="49" t="str">
        <f t="shared" si="9"/>
        <v>OUTUBRO</v>
      </c>
      <c r="C260" s="35">
        <v>72080975</v>
      </c>
      <c r="D260" s="35">
        <v>8981940</v>
      </c>
      <c r="E260" s="35" t="s">
        <v>410</v>
      </c>
      <c r="F260" s="36">
        <v>45943</v>
      </c>
      <c r="G260" s="35" t="s">
        <v>13</v>
      </c>
      <c r="H260" s="35">
        <v>35575473880</v>
      </c>
      <c r="I260" s="35" t="s">
        <v>299</v>
      </c>
      <c r="J260" s="36"/>
      <c r="K260" s="35" t="s">
        <v>401</v>
      </c>
      <c r="L260" s="35" t="s">
        <v>276</v>
      </c>
      <c r="M260" s="35" t="s">
        <v>277</v>
      </c>
      <c r="N260" s="37" t="s">
        <v>401</v>
      </c>
      <c r="P260" s="35" t="s">
        <v>279</v>
      </c>
      <c r="Q260" s="35" t="s">
        <v>286</v>
      </c>
      <c r="R260" s="35" t="s">
        <v>280</v>
      </c>
      <c r="S260" s="35">
        <v>1</v>
      </c>
      <c r="T260" s="38"/>
      <c r="V260" s="39"/>
      <c r="X260" s="39" t="s">
        <v>281</v>
      </c>
      <c r="Y260" s="39">
        <v>14.5</v>
      </c>
      <c r="AB260" s="53">
        <v>14.5</v>
      </c>
      <c r="AC260" s="35" t="s">
        <v>277</v>
      </c>
    </row>
    <row r="261" spans="1:29" x14ac:dyDescent="0.2">
      <c r="A261" s="48">
        <f t="shared" si="8"/>
        <v>2025</v>
      </c>
      <c r="B261" s="49" t="str">
        <f t="shared" si="9"/>
        <v>OUTUBRO</v>
      </c>
      <c r="C261" s="35">
        <v>72080668</v>
      </c>
      <c r="D261" s="35">
        <v>8981940</v>
      </c>
      <c r="E261" s="35" t="s">
        <v>410</v>
      </c>
      <c r="F261" s="36">
        <v>45943</v>
      </c>
      <c r="G261" s="35" t="s">
        <v>13</v>
      </c>
      <c r="H261" s="35">
        <v>35575473880</v>
      </c>
      <c r="I261" s="35" t="s">
        <v>299</v>
      </c>
      <c r="J261" s="36"/>
      <c r="K261" s="35" t="s">
        <v>406</v>
      </c>
      <c r="L261" s="35" t="s">
        <v>276</v>
      </c>
      <c r="M261" s="35" t="s">
        <v>277</v>
      </c>
      <c r="N261" s="37" t="s">
        <v>406</v>
      </c>
      <c r="P261" s="35" t="s">
        <v>279</v>
      </c>
      <c r="Q261" s="35" t="s">
        <v>286</v>
      </c>
      <c r="R261" s="35" t="s">
        <v>280</v>
      </c>
      <c r="S261" s="35">
        <v>1</v>
      </c>
      <c r="T261" s="38"/>
      <c r="V261" s="39"/>
      <c r="W261" s="35">
        <v>0</v>
      </c>
      <c r="X261" s="39" t="s">
        <v>281</v>
      </c>
      <c r="Y261" s="39">
        <v>13.9</v>
      </c>
      <c r="AB261" s="53">
        <v>13.9</v>
      </c>
      <c r="AC261" s="35" t="s">
        <v>277</v>
      </c>
    </row>
    <row r="262" spans="1:29" x14ac:dyDescent="0.2">
      <c r="A262" s="48">
        <f t="shared" si="8"/>
        <v>2025</v>
      </c>
      <c r="B262" s="49" t="str">
        <f t="shared" si="9"/>
        <v>OUTUBRO</v>
      </c>
      <c r="C262" s="35">
        <v>72080060</v>
      </c>
      <c r="D262" s="35">
        <v>8981940</v>
      </c>
      <c r="E262" s="35" t="s">
        <v>410</v>
      </c>
      <c r="F262" s="36">
        <v>45942</v>
      </c>
      <c r="G262" s="35" t="s">
        <v>13</v>
      </c>
      <c r="H262" s="35">
        <v>35575473880</v>
      </c>
      <c r="I262" s="35" t="s">
        <v>299</v>
      </c>
      <c r="J262" s="36"/>
      <c r="K262" s="35" t="s">
        <v>399</v>
      </c>
      <c r="L262" s="35" t="s">
        <v>276</v>
      </c>
      <c r="M262" s="35" t="s">
        <v>277</v>
      </c>
      <c r="N262" s="37" t="s">
        <v>399</v>
      </c>
      <c r="P262" s="35" t="s">
        <v>279</v>
      </c>
      <c r="Q262" s="35" t="s">
        <v>286</v>
      </c>
      <c r="R262" s="35" t="s">
        <v>280</v>
      </c>
      <c r="S262" s="35">
        <v>1</v>
      </c>
      <c r="T262" s="38"/>
      <c r="V262" s="39"/>
      <c r="X262" s="39" t="s">
        <v>281</v>
      </c>
      <c r="Y262" s="39">
        <v>65.25</v>
      </c>
      <c r="AB262" s="53">
        <v>65.25</v>
      </c>
      <c r="AC262" s="35" t="s">
        <v>277</v>
      </c>
    </row>
    <row r="263" spans="1:29" x14ac:dyDescent="0.2">
      <c r="A263" s="48">
        <f t="shared" si="8"/>
        <v>2025</v>
      </c>
      <c r="B263" s="49" t="str">
        <f t="shared" si="9"/>
        <v>OUTUBRO</v>
      </c>
      <c r="C263" s="35">
        <v>72090055</v>
      </c>
      <c r="D263" s="35">
        <v>8981940</v>
      </c>
      <c r="E263" s="35" t="s">
        <v>410</v>
      </c>
      <c r="F263" s="36">
        <v>45931</v>
      </c>
      <c r="G263" s="35" t="s">
        <v>13</v>
      </c>
      <c r="H263" s="35">
        <v>35575473880</v>
      </c>
      <c r="I263" s="35" t="s">
        <v>299</v>
      </c>
      <c r="J263" s="36"/>
      <c r="K263" s="35" t="s">
        <v>411</v>
      </c>
      <c r="L263" s="35" t="s">
        <v>282</v>
      </c>
      <c r="M263" s="35" t="s">
        <v>277</v>
      </c>
      <c r="N263" s="37" t="s">
        <v>411</v>
      </c>
      <c r="P263" s="35" t="s">
        <v>279</v>
      </c>
      <c r="Q263" s="35" t="s">
        <v>286</v>
      </c>
      <c r="R263" s="35" t="s">
        <v>280</v>
      </c>
      <c r="S263" s="35">
        <v>1</v>
      </c>
      <c r="T263" s="38"/>
      <c r="V263" s="39"/>
      <c r="X263" s="39" t="s">
        <v>281</v>
      </c>
      <c r="Y263" s="39">
        <v>21.6</v>
      </c>
      <c r="AB263" s="53">
        <v>21.6</v>
      </c>
      <c r="AC263" s="35" t="s">
        <v>277</v>
      </c>
    </row>
    <row r="264" spans="1:29" x14ac:dyDescent="0.2">
      <c r="A264" s="48">
        <f t="shared" si="8"/>
        <v>2025</v>
      </c>
      <c r="B264" s="49" t="str">
        <f t="shared" si="9"/>
        <v>OUTUBRO</v>
      </c>
      <c r="C264" s="35">
        <v>72089919</v>
      </c>
      <c r="D264" s="35">
        <v>8981940</v>
      </c>
      <c r="E264" s="35" t="s">
        <v>410</v>
      </c>
      <c r="F264" s="36">
        <v>45931</v>
      </c>
      <c r="G264" s="35" t="s">
        <v>13</v>
      </c>
      <c r="H264" s="35">
        <v>35575473880</v>
      </c>
      <c r="I264" s="35" t="s">
        <v>299</v>
      </c>
      <c r="J264" s="36"/>
      <c r="K264" s="35" t="s">
        <v>412</v>
      </c>
      <c r="L264" s="35" t="s">
        <v>282</v>
      </c>
      <c r="M264" s="35" t="s">
        <v>277</v>
      </c>
      <c r="N264" s="37" t="s">
        <v>412</v>
      </c>
      <c r="P264" s="35" t="s">
        <v>279</v>
      </c>
      <c r="Q264" s="35" t="s">
        <v>286</v>
      </c>
      <c r="R264" s="35" t="s">
        <v>280</v>
      </c>
      <c r="S264" s="35">
        <v>1</v>
      </c>
      <c r="T264" s="38"/>
      <c r="V264" s="39"/>
      <c r="X264" s="39" t="s">
        <v>281</v>
      </c>
      <c r="Y264" s="39">
        <v>80</v>
      </c>
      <c r="AB264" s="53">
        <v>80</v>
      </c>
      <c r="AC264" s="35" t="s">
        <v>277</v>
      </c>
    </row>
    <row r="265" spans="1:29" x14ac:dyDescent="0.2">
      <c r="A265" s="48">
        <f t="shared" si="8"/>
        <v>2025</v>
      </c>
      <c r="B265" s="49" t="str">
        <f t="shared" si="9"/>
        <v>OUTUBRO</v>
      </c>
      <c r="C265" s="35">
        <v>72089760</v>
      </c>
      <c r="D265" s="35">
        <v>8981940</v>
      </c>
      <c r="E265" s="35" t="s">
        <v>410</v>
      </c>
      <c r="F265" s="36">
        <v>45931</v>
      </c>
      <c r="G265" s="35" t="s">
        <v>13</v>
      </c>
      <c r="H265" s="35">
        <v>35575473880</v>
      </c>
      <c r="I265" s="35" t="s">
        <v>299</v>
      </c>
      <c r="J265" s="36"/>
      <c r="K265" s="35" t="s">
        <v>409</v>
      </c>
      <c r="L265" s="35" t="s">
        <v>282</v>
      </c>
      <c r="M265" s="35" t="s">
        <v>277</v>
      </c>
      <c r="N265" s="37" t="s">
        <v>409</v>
      </c>
      <c r="P265" s="35" t="s">
        <v>279</v>
      </c>
      <c r="Q265" s="35" t="s">
        <v>286</v>
      </c>
      <c r="R265" s="35" t="s">
        <v>280</v>
      </c>
      <c r="S265" s="35">
        <v>1</v>
      </c>
      <c r="T265" s="38"/>
      <c r="V265" s="39"/>
      <c r="X265" s="39" t="s">
        <v>281</v>
      </c>
      <c r="Y265" s="39">
        <v>21.6</v>
      </c>
      <c r="AB265" s="53">
        <v>21.6</v>
      </c>
      <c r="AC265" s="35" t="s">
        <v>277</v>
      </c>
    </row>
    <row r="266" spans="1:29" x14ac:dyDescent="0.2">
      <c r="A266" s="48">
        <f t="shared" si="8"/>
        <v>2025</v>
      </c>
      <c r="B266" s="49" t="str">
        <f t="shared" si="9"/>
        <v>OUTUBRO</v>
      </c>
      <c r="C266" s="35">
        <v>72089641</v>
      </c>
      <c r="D266" s="35">
        <v>8981940</v>
      </c>
      <c r="E266" s="35" t="s">
        <v>410</v>
      </c>
      <c r="F266" s="36">
        <v>45931</v>
      </c>
      <c r="G266" s="35" t="s">
        <v>13</v>
      </c>
      <c r="H266" s="35">
        <v>35575473880</v>
      </c>
      <c r="I266" s="35" t="s">
        <v>299</v>
      </c>
      <c r="J266" s="36"/>
      <c r="K266" s="35" t="s">
        <v>396</v>
      </c>
      <c r="L266" s="35" t="s">
        <v>282</v>
      </c>
      <c r="M266" s="35" t="s">
        <v>277</v>
      </c>
      <c r="N266" s="37" t="s">
        <v>396</v>
      </c>
      <c r="P266" s="35" t="s">
        <v>279</v>
      </c>
      <c r="Q266" s="35" t="s">
        <v>286</v>
      </c>
      <c r="R266" s="35" t="s">
        <v>280</v>
      </c>
      <c r="S266" s="35">
        <v>1</v>
      </c>
      <c r="T266" s="38"/>
      <c r="V266" s="39"/>
      <c r="X266" s="39" t="s">
        <v>281</v>
      </c>
      <c r="Y266" s="39">
        <v>62.4</v>
      </c>
      <c r="AB266" s="53">
        <v>62.4</v>
      </c>
      <c r="AC266" s="35" t="s">
        <v>277</v>
      </c>
    </row>
    <row r="267" spans="1:29" x14ac:dyDescent="0.2">
      <c r="A267" s="48">
        <f t="shared" si="8"/>
        <v>2025</v>
      </c>
      <c r="B267" s="49" t="str">
        <f t="shared" si="9"/>
        <v>OUTUBRO</v>
      </c>
      <c r="C267" s="35">
        <v>72089505</v>
      </c>
      <c r="D267" s="35">
        <v>8981940</v>
      </c>
      <c r="E267" s="35" t="s">
        <v>410</v>
      </c>
      <c r="F267" s="36">
        <v>45931</v>
      </c>
      <c r="G267" s="35" t="s">
        <v>13</v>
      </c>
      <c r="H267" s="35">
        <v>35575473880</v>
      </c>
      <c r="I267" s="35" t="s">
        <v>299</v>
      </c>
      <c r="J267" s="36"/>
      <c r="K267" s="35" t="s">
        <v>397</v>
      </c>
      <c r="L267" s="35" t="s">
        <v>282</v>
      </c>
      <c r="M267" s="35" t="s">
        <v>277</v>
      </c>
      <c r="N267" s="37" t="s">
        <v>397</v>
      </c>
      <c r="P267" s="35" t="s">
        <v>279</v>
      </c>
      <c r="Q267" s="35" t="s">
        <v>286</v>
      </c>
      <c r="R267" s="35" t="s">
        <v>280</v>
      </c>
      <c r="S267" s="35">
        <v>1</v>
      </c>
      <c r="T267" s="38"/>
      <c r="V267" s="39"/>
      <c r="X267" s="39" t="s">
        <v>281</v>
      </c>
      <c r="Y267" s="39">
        <v>91</v>
      </c>
      <c r="AB267" s="53">
        <v>91</v>
      </c>
      <c r="AC267" s="35" t="s">
        <v>277</v>
      </c>
    </row>
    <row r="268" spans="1:29" x14ac:dyDescent="0.2">
      <c r="A268" s="48">
        <f t="shared" si="8"/>
        <v>2025</v>
      </c>
      <c r="B268" s="49" t="str">
        <f t="shared" si="9"/>
        <v>OUTUBRO</v>
      </c>
      <c r="C268" s="35">
        <v>72087347</v>
      </c>
      <c r="D268" s="35">
        <v>8981940</v>
      </c>
      <c r="E268" s="35" t="s">
        <v>410</v>
      </c>
      <c r="F268" s="36">
        <v>45931</v>
      </c>
      <c r="G268" s="35" t="s">
        <v>13</v>
      </c>
      <c r="H268" s="35">
        <v>35575473880</v>
      </c>
      <c r="I268" s="35" t="s">
        <v>299</v>
      </c>
      <c r="J268" s="36"/>
      <c r="K268" s="35" t="s">
        <v>408</v>
      </c>
      <c r="L268" s="35" t="s">
        <v>282</v>
      </c>
      <c r="M268" s="35" t="s">
        <v>277</v>
      </c>
      <c r="N268" s="37" t="s">
        <v>408</v>
      </c>
      <c r="P268" s="35" t="s">
        <v>279</v>
      </c>
      <c r="Q268" s="35" t="s">
        <v>286</v>
      </c>
      <c r="R268" s="35" t="s">
        <v>280</v>
      </c>
      <c r="S268" s="35">
        <v>1</v>
      </c>
      <c r="T268" s="38"/>
      <c r="V268" s="39"/>
      <c r="X268" s="39" t="s">
        <v>281</v>
      </c>
      <c r="Y268" s="39">
        <v>51</v>
      </c>
      <c r="AB268" s="53">
        <v>51</v>
      </c>
      <c r="AC268" s="35" t="s">
        <v>277</v>
      </c>
    </row>
    <row r="269" spans="1:29" x14ac:dyDescent="0.2">
      <c r="A269" s="48">
        <f t="shared" si="8"/>
        <v>2025</v>
      </c>
      <c r="B269" s="49" t="str">
        <f t="shared" si="9"/>
        <v>OUTUBRO</v>
      </c>
      <c r="C269" s="35">
        <v>72087235</v>
      </c>
      <c r="D269" s="35">
        <v>8981940</v>
      </c>
      <c r="E269" s="35" t="s">
        <v>410</v>
      </c>
      <c r="F269" s="36">
        <v>45931</v>
      </c>
      <c r="G269" s="35" t="s">
        <v>13</v>
      </c>
      <c r="H269" s="35">
        <v>35575473880</v>
      </c>
      <c r="I269" s="35" t="s">
        <v>299</v>
      </c>
      <c r="J269" s="36"/>
      <c r="K269" s="35" t="s">
        <v>372</v>
      </c>
      <c r="L269" s="35" t="s">
        <v>282</v>
      </c>
      <c r="M269" s="35" t="s">
        <v>277</v>
      </c>
      <c r="N269" s="37" t="s">
        <v>372</v>
      </c>
      <c r="P269" s="35" t="s">
        <v>279</v>
      </c>
      <c r="Q269" s="35" t="s">
        <v>286</v>
      </c>
      <c r="R269" s="35" t="s">
        <v>280</v>
      </c>
      <c r="S269" s="35">
        <v>1</v>
      </c>
      <c r="T269" s="38"/>
      <c r="V269" s="39"/>
      <c r="X269" s="39" t="s">
        <v>281</v>
      </c>
      <c r="Y269" s="39">
        <v>58.5</v>
      </c>
      <c r="AB269" s="53">
        <v>58.5</v>
      </c>
      <c r="AC269" s="35" t="s">
        <v>277</v>
      </c>
    </row>
    <row r="270" spans="1:29" x14ac:dyDescent="0.2">
      <c r="A270" s="48">
        <f t="shared" si="8"/>
        <v>2025</v>
      </c>
      <c r="B270" s="49" t="str">
        <f t="shared" si="9"/>
        <v>OUTUBRO</v>
      </c>
      <c r="C270" s="35">
        <v>72087101</v>
      </c>
      <c r="D270" s="35">
        <v>8981940</v>
      </c>
      <c r="E270" s="35" t="s">
        <v>410</v>
      </c>
      <c r="F270" s="36">
        <v>45931</v>
      </c>
      <c r="G270" s="35" t="s">
        <v>13</v>
      </c>
      <c r="H270" s="35">
        <v>35575473880</v>
      </c>
      <c r="I270" s="35" t="s">
        <v>299</v>
      </c>
      <c r="J270" s="36"/>
      <c r="K270" s="35" t="s">
        <v>378</v>
      </c>
      <c r="L270" s="35" t="s">
        <v>282</v>
      </c>
      <c r="M270" s="35" t="s">
        <v>277</v>
      </c>
      <c r="N270" s="37" t="s">
        <v>378</v>
      </c>
      <c r="P270" s="35" t="s">
        <v>279</v>
      </c>
      <c r="Q270" s="35" t="s">
        <v>286</v>
      </c>
      <c r="R270" s="35" t="s">
        <v>280</v>
      </c>
      <c r="S270" s="35">
        <v>1</v>
      </c>
      <c r="T270" s="38"/>
      <c r="V270" s="39"/>
      <c r="X270" s="39" t="s">
        <v>281</v>
      </c>
      <c r="Y270" s="39">
        <v>16.8</v>
      </c>
      <c r="AB270" s="53">
        <v>16.8</v>
      </c>
      <c r="AC270" s="35" t="s">
        <v>277</v>
      </c>
    </row>
    <row r="271" spans="1:29" x14ac:dyDescent="0.2">
      <c r="A271" s="48">
        <f t="shared" si="8"/>
        <v>2025</v>
      </c>
      <c r="B271" s="49" t="str">
        <f t="shared" si="9"/>
        <v>OUTUBRO</v>
      </c>
      <c r="C271" s="35">
        <v>72086948</v>
      </c>
      <c r="D271" s="35">
        <v>8981940</v>
      </c>
      <c r="E271" s="35" t="s">
        <v>410</v>
      </c>
      <c r="F271" s="36">
        <v>45931</v>
      </c>
      <c r="G271" s="35" t="s">
        <v>13</v>
      </c>
      <c r="H271" s="35">
        <v>35575473880</v>
      </c>
      <c r="I271" s="35" t="s">
        <v>299</v>
      </c>
      <c r="J271" s="36"/>
      <c r="K271" s="35" t="s">
        <v>366</v>
      </c>
      <c r="L271" s="35" t="s">
        <v>282</v>
      </c>
      <c r="M271" s="35" t="s">
        <v>277</v>
      </c>
      <c r="N271" s="37" t="s">
        <v>366</v>
      </c>
      <c r="P271" s="35" t="s">
        <v>279</v>
      </c>
      <c r="Q271" s="35" t="s">
        <v>286</v>
      </c>
      <c r="R271" s="35" t="s">
        <v>280</v>
      </c>
      <c r="S271" s="35">
        <v>1</v>
      </c>
      <c r="T271" s="38"/>
      <c r="V271" s="39"/>
      <c r="X271" s="39" t="s">
        <v>281</v>
      </c>
      <c r="Y271" s="39">
        <v>85</v>
      </c>
      <c r="AB271" s="53">
        <v>85</v>
      </c>
      <c r="AC271" s="35" t="s">
        <v>277</v>
      </c>
    </row>
    <row r="272" spans="1:29" x14ac:dyDescent="0.2">
      <c r="A272" s="48">
        <f t="shared" si="8"/>
        <v>2025</v>
      </c>
      <c r="B272" s="49" t="str">
        <f t="shared" si="9"/>
        <v>OUTUBRO</v>
      </c>
      <c r="C272" s="35">
        <v>72086686</v>
      </c>
      <c r="D272" s="35">
        <v>8981940</v>
      </c>
      <c r="E272" s="35" t="s">
        <v>410</v>
      </c>
      <c r="F272" s="36">
        <v>45931</v>
      </c>
      <c r="G272" s="35" t="s">
        <v>13</v>
      </c>
      <c r="H272" s="35">
        <v>35575473880</v>
      </c>
      <c r="I272" s="35" t="s">
        <v>299</v>
      </c>
      <c r="J272" s="36"/>
      <c r="K272" s="35" t="s">
        <v>373</v>
      </c>
      <c r="L272" s="35" t="s">
        <v>282</v>
      </c>
      <c r="M272" s="35" t="s">
        <v>277</v>
      </c>
      <c r="N272" s="37" t="s">
        <v>373</v>
      </c>
      <c r="P272" s="35" t="s">
        <v>279</v>
      </c>
      <c r="Q272" s="35" t="s">
        <v>286</v>
      </c>
      <c r="R272" s="35" t="s">
        <v>280</v>
      </c>
      <c r="S272" s="35">
        <v>1</v>
      </c>
      <c r="T272" s="38"/>
      <c r="V272" s="39"/>
      <c r="X272" s="39" t="s">
        <v>281</v>
      </c>
      <c r="Y272" s="39">
        <v>10.8</v>
      </c>
      <c r="AB272" s="53">
        <v>10.8</v>
      </c>
      <c r="AC272" s="35" t="s">
        <v>277</v>
      </c>
    </row>
    <row r="273" spans="1:29" x14ac:dyDescent="0.2">
      <c r="A273" s="48">
        <f t="shared" si="8"/>
        <v>2025</v>
      </c>
      <c r="B273" s="49" t="str">
        <f t="shared" si="9"/>
        <v>OUTUBRO</v>
      </c>
      <c r="C273" s="35">
        <v>72086581</v>
      </c>
      <c r="D273" s="35">
        <v>8981940</v>
      </c>
      <c r="E273" s="35" t="s">
        <v>410</v>
      </c>
      <c r="F273" s="36">
        <v>45931</v>
      </c>
      <c r="G273" s="35" t="s">
        <v>13</v>
      </c>
      <c r="H273" s="35">
        <v>35575473880</v>
      </c>
      <c r="I273" s="35" t="s">
        <v>299</v>
      </c>
      <c r="J273" s="36"/>
      <c r="K273" s="35" t="s">
        <v>376</v>
      </c>
      <c r="L273" s="35" t="s">
        <v>282</v>
      </c>
      <c r="M273" s="35" t="s">
        <v>277</v>
      </c>
      <c r="N273" s="37" t="s">
        <v>376</v>
      </c>
      <c r="P273" s="35" t="s">
        <v>279</v>
      </c>
      <c r="Q273" s="35" t="s">
        <v>286</v>
      </c>
      <c r="R273" s="35" t="s">
        <v>280</v>
      </c>
      <c r="S273" s="35">
        <v>1</v>
      </c>
      <c r="T273" s="38"/>
      <c r="V273" s="39"/>
      <c r="X273" s="39" t="s">
        <v>281</v>
      </c>
      <c r="Y273" s="39">
        <v>86</v>
      </c>
      <c r="AB273" s="53">
        <v>86</v>
      </c>
      <c r="AC273" s="35" t="s">
        <v>277</v>
      </c>
    </row>
    <row r="274" spans="1:29" x14ac:dyDescent="0.2">
      <c r="A274" s="48">
        <f t="shared" si="8"/>
        <v>2025</v>
      </c>
      <c r="B274" s="49" t="str">
        <f t="shared" si="9"/>
        <v>SETEMBRO</v>
      </c>
      <c r="C274" s="35">
        <v>72080232</v>
      </c>
      <c r="D274" s="35">
        <v>8981940</v>
      </c>
      <c r="E274" s="35" t="s">
        <v>410</v>
      </c>
      <c r="F274" s="36">
        <v>45929</v>
      </c>
      <c r="G274" s="35" t="s">
        <v>13</v>
      </c>
      <c r="H274" s="35">
        <v>35575473880</v>
      </c>
      <c r="I274" s="35" t="s">
        <v>299</v>
      </c>
      <c r="J274" s="36"/>
      <c r="K274" s="35" t="s">
        <v>288</v>
      </c>
      <c r="L274" s="35" t="s">
        <v>276</v>
      </c>
      <c r="M274" s="35" t="s">
        <v>277</v>
      </c>
      <c r="N274" s="37" t="s">
        <v>288</v>
      </c>
      <c r="P274" s="35" t="s">
        <v>279</v>
      </c>
      <c r="Q274" s="35" t="s">
        <v>286</v>
      </c>
      <c r="R274" s="35" t="s">
        <v>280</v>
      </c>
      <c r="S274" s="35">
        <v>1</v>
      </c>
      <c r="T274" s="38"/>
      <c r="V274" s="39"/>
      <c r="X274" s="39" t="s">
        <v>281</v>
      </c>
      <c r="Y274" s="39">
        <v>46.8</v>
      </c>
      <c r="AB274" s="53">
        <v>46.8</v>
      </c>
      <c r="AC274" s="35" t="s">
        <v>277</v>
      </c>
    </row>
    <row r="275" spans="1:29" x14ac:dyDescent="0.2">
      <c r="A275" s="48">
        <f t="shared" si="8"/>
        <v>2025</v>
      </c>
      <c r="B275" s="49" t="str">
        <f t="shared" si="9"/>
        <v>SETEMBRO</v>
      </c>
      <c r="C275" s="35">
        <v>72080404</v>
      </c>
      <c r="D275" s="35">
        <v>8981940</v>
      </c>
      <c r="E275" s="35" t="s">
        <v>410</v>
      </c>
      <c r="F275" s="36">
        <v>45918</v>
      </c>
      <c r="G275" s="35" t="s">
        <v>13</v>
      </c>
      <c r="H275" s="35">
        <v>35575473880</v>
      </c>
      <c r="I275" s="35" t="s">
        <v>299</v>
      </c>
      <c r="J275" s="36"/>
      <c r="K275" s="35" t="s">
        <v>301</v>
      </c>
      <c r="L275" s="35" t="s">
        <v>276</v>
      </c>
      <c r="M275" s="35" t="s">
        <v>277</v>
      </c>
      <c r="N275" s="37" t="s">
        <v>301</v>
      </c>
      <c r="P275" s="35" t="s">
        <v>279</v>
      </c>
      <c r="Q275" s="35" t="s">
        <v>286</v>
      </c>
      <c r="R275" s="35" t="s">
        <v>280</v>
      </c>
      <c r="S275" s="35">
        <v>1</v>
      </c>
      <c r="T275" s="38"/>
      <c r="V275" s="39"/>
      <c r="X275" s="39" t="s">
        <v>281</v>
      </c>
      <c r="Y275" s="39">
        <v>27.7</v>
      </c>
      <c r="AB275" s="53">
        <v>27.7</v>
      </c>
      <c r="AC275" s="35" t="s">
        <v>277</v>
      </c>
    </row>
    <row r="276" spans="1:29" x14ac:dyDescent="0.2">
      <c r="A276" s="48">
        <f t="shared" si="8"/>
        <v>2025</v>
      </c>
      <c r="B276" s="49" t="str">
        <f t="shared" si="9"/>
        <v>OUTUBRO</v>
      </c>
      <c r="C276" s="35">
        <v>69193993</v>
      </c>
      <c r="D276" s="35">
        <v>8448233</v>
      </c>
      <c r="E276" s="35" t="s">
        <v>413</v>
      </c>
      <c r="F276" s="36">
        <v>45938</v>
      </c>
      <c r="G276" s="35" t="s">
        <v>13</v>
      </c>
      <c r="H276" s="35">
        <v>35575473880</v>
      </c>
      <c r="I276" s="35" t="s">
        <v>299</v>
      </c>
      <c r="J276" s="36"/>
      <c r="K276" s="35" t="s">
        <v>414</v>
      </c>
      <c r="L276" s="35" t="s">
        <v>276</v>
      </c>
      <c r="M276" s="35" t="s">
        <v>277</v>
      </c>
      <c r="N276" s="37" t="s">
        <v>414</v>
      </c>
      <c r="P276" s="35" t="s">
        <v>279</v>
      </c>
      <c r="Q276" s="35" t="s">
        <v>286</v>
      </c>
      <c r="R276" s="35" t="s">
        <v>280</v>
      </c>
      <c r="S276" s="35">
        <v>1</v>
      </c>
      <c r="T276" s="38"/>
      <c r="V276" s="39"/>
      <c r="X276" s="39" t="s">
        <v>281</v>
      </c>
      <c r="Y276" s="39">
        <v>10</v>
      </c>
      <c r="AB276" s="53">
        <v>10</v>
      </c>
      <c r="AC276" s="35" t="s">
        <v>277</v>
      </c>
    </row>
    <row r="277" spans="1:29" x14ac:dyDescent="0.2">
      <c r="A277" s="48">
        <f t="shared" si="8"/>
        <v>2025</v>
      </c>
      <c r="B277" s="49" t="str">
        <f t="shared" si="9"/>
        <v>OUTUBRO</v>
      </c>
      <c r="C277" s="35">
        <v>69193937</v>
      </c>
      <c r="D277" s="35">
        <v>8448233</v>
      </c>
      <c r="E277" s="35" t="s">
        <v>413</v>
      </c>
      <c r="F277" s="36">
        <v>45938</v>
      </c>
      <c r="G277" s="35" t="s">
        <v>13</v>
      </c>
      <c r="H277" s="35">
        <v>35575473880</v>
      </c>
      <c r="I277" s="35" t="s">
        <v>299</v>
      </c>
      <c r="J277" s="36"/>
      <c r="K277" s="35" t="s">
        <v>415</v>
      </c>
      <c r="L277" s="35" t="s">
        <v>276</v>
      </c>
      <c r="M277" s="35" t="s">
        <v>277</v>
      </c>
      <c r="N277" s="37" t="s">
        <v>415</v>
      </c>
      <c r="P277" s="35" t="s">
        <v>279</v>
      </c>
      <c r="Q277" s="35" t="s">
        <v>286</v>
      </c>
      <c r="R277" s="35" t="s">
        <v>280</v>
      </c>
      <c r="S277" s="35">
        <v>1</v>
      </c>
      <c r="T277" s="38"/>
      <c r="V277" s="39"/>
      <c r="W277" s="35">
        <v>0</v>
      </c>
      <c r="X277" s="39" t="s">
        <v>281</v>
      </c>
      <c r="Y277" s="39">
        <v>15</v>
      </c>
      <c r="AB277" s="53">
        <v>15</v>
      </c>
      <c r="AC277" s="35" t="s">
        <v>277</v>
      </c>
    </row>
    <row r="278" spans="1:29" x14ac:dyDescent="0.2">
      <c r="A278" s="48">
        <f t="shared" si="8"/>
        <v>2025</v>
      </c>
      <c r="B278" s="49" t="str">
        <f t="shared" si="9"/>
        <v>OUTUBRO</v>
      </c>
      <c r="C278" s="35">
        <v>69193562</v>
      </c>
      <c r="D278" s="35">
        <v>8448233</v>
      </c>
      <c r="E278" s="35" t="s">
        <v>413</v>
      </c>
      <c r="F278" s="36">
        <v>45938</v>
      </c>
      <c r="G278" s="35" t="s">
        <v>13</v>
      </c>
      <c r="H278" s="35">
        <v>35575473880</v>
      </c>
      <c r="I278" s="35" t="s">
        <v>299</v>
      </c>
      <c r="J278" s="36"/>
      <c r="K278" s="35" t="s">
        <v>416</v>
      </c>
      <c r="L278" s="35" t="s">
        <v>276</v>
      </c>
      <c r="M278" s="35" t="s">
        <v>277</v>
      </c>
      <c r="N278" s="37" t="s">
        <v>416</v>
      </c>
      <c r="P278" s="35" t="s">
        <v>279</v>
      </c>
      <c r="Q278" s="35" t="s">
        <v>286</v>
      </c>
      <c r="R278" s="35" t="s">
        <v>280</v>
      </c>
      <c r="S278" s="35">
        <v>1</v>
      </c>
      <c r="T278" s="38"/>
      <c r="V278" s="39"/>
      <c r="X278" s="39" t="s">
        <v>281</v>
      </c>
      <c r="Y278" s="39">
        <v>51.18</v>
      </c>
      <c r="AB278" s="53">
        <v>51.18</v>
      </c>
      <c r="AC278" s="35" t="s">
        <v>277</v>
      </c>
    </row>
    <row r="279" spans="1:29" x14ac:dyDescent="0.2">
      <c r="A279" s="48">
        <f t="shared" si="8"/>
        <v>2025</v>
      </c>
      <c r="B279" s="49" t="str">
        <f t="shared" si="9"/>
        <v>OUTUBRO</v>
      </c>
      <c r="C279" s="35">
        <v>69193347</v>
      </c>
      <c r="D279" s="35">
        <v>8448233</v>
      </c>
      <c r="E279" s="35" t="s">
        <v>413</v>
      </c>
      <c r="F279" s="36">
        <v>45937</v>
      </c>
      <c r="G279" s="35" t="s">
        <v>13</v>
      </c>
      <c r="H279" s="35">
        <v>35575473880</v>
      </c>
      <c r="I279" s="35" t="s">
        <v>299</v>
      </c>
      <c r="J279" s="36"/>
      <c r="K279" s="35" t="s">
        <v>417</v>
      </c>
      <c r="L279" s="35" t="s">
        <v>276</v>
      </c>
      <c r="M279" s="35" t="s">
        <v>277</v>
      </c>
      <c r="N279" s="37" t="s">
        <v>417</v>
      </c>
      <c r="P279" s="35" t="s">
        <v>279</v>
      </c>
      <c r="Q279" s="35" t="s">
        <v>286</v>
      </c>
      <c r="R279" s="35" t="s">
        <v>280</v>
      </c>
      <c r="S279" s="35">
        <v>1</v>
      </c>
      <c r="T279" s="38"/>
      <c r="V279" s="39"/>
      <c r="X279" s="39" t="s">
        <v>281</v>
      </c>
      <c r="Y279" s="39">
        <v>12.4</v>
      </c>
      <c r="AB279" s="53">
        <v>12.4</v>
      </c>
      <c r="AC279" s="35" t="s">
        <v>277</v>
      </c>
    </row>
    <row r="280" spans="1:29" x14ac:dyDescent="0.2">
      <c r="A280" s="48">
        <f t="shared" si="8"/>
        <v>2025</v>
      </c>
      <c r="B280" s="49" t="str">
        <f t="shared" si="9"/>
        <v>OUTUBRO</v>
      </c>
      <c r="C280" s="35">
        <v>69193038</v>
      </c>
      <c r="D280" s="35">
        <v>8448233</v>
      </c>
      <c r="E280" s="35" t="s">
        <v>413</v>
      </c>
      <c r="F280" s="36">
        <v>45937</v>
      </c>
      <c r="G280" s="35" t="s">
        <v>13</v>
      </c>
      <c r="H280" s="35">
        <v>35575473880</v>
      </c>
      <c r="I280" s="35" t="s">
        <v>299</v>
      </c>
      <c r="J280" s="36"/>
      <c r="K280" s="35" t="s">
        <v>418</v>
      </c>
      <c r="L280" s="35" t="s">
        <v>276</v>
      </c>
      <c r="M280" s="35" t="s">
        <v>277</v>
      </c>
      <c r="N280" s="37" t="s">
        <v>418</v>
      </c>
      <c r="P280" s="35" t="s">
        <v>279</v>
      </c>
      <c r="Q280" s="35" t="s">
        <v>286</v>
      </c>
      <c r="R280" s="35" t="s">
        <v>280</v>
      </c>
      <c r="S280" s="35">
        <v>1</v>
      </c>
      <c r="T280" s="38"/>
      <c r="V280" s="39"/>
      <c r="X280" s="39" t="s">
        <v>281</v>
      </c>
      <c r="Y280" s="39">
        <v>12</v>
      </c>
      <c r="AB280" s="53">
        <v>12</v>
      </c>
      <c r="AC280" s="35" t="s">
        <v>277</v>
      </c>
    </row>
    <row r="281" spans="1:29" x14ac:dyDescent="0.2">
      <c r="A281" s="48">
        <f t="shared" si="8"/>
        <v>2025</v>
      </c>
      <c r="B281" s="49" t="str">
        <f t="shared" si="9"/>
        <v>OUTUBRO</v>
      </c>
      <c r="C281" s="35">
        <v>69192938</v>
      </c>
      <c r="D281" s="35">
        <v>8448233</v>
      </c>
      <c r="E281" s="35" t="s">
        <v>413</v>
      </c>
      <c r="F281" s="36">
        <v>45937</v>
      </c>
      <c r="G281" s="35" t="s">
        <v>13</v>
      </c>
      <c r="H281" s="35">
        <v>35575473880</v>
      </c>
      <c r="I281" s="35" t="s">
        <v>299</v>
      </c>
      <c r="J281" s="36"/>
      <c r="K281" s="35" t="s">
        <v>419</v>
      </c>
      <c r="L281" s="35" t="s">
        <v>276</v>
      </c>
      <c r="M281" s="35" t="s">
        <v>277</v>
      </c>
      <c r="N281" s="37" t="s">
        <v>419</v>
      </c>
      <c r="P281" s="35" t="s">
        <v>279</v>
      </c>
      <c r="Q281" s="35" t="s">
        <v>286</v>
      </c>
      <c r="R281" s="35" t="s">
        <v>280</v>
      </c>
      <c r="S281" s="35">
        <v>1</v>
      </c>
      <c r="T281" s="38"/>
      <c r="V281" s="39"/>
      <c r="W281" s="35">
        <v>0</v>
      </c>
      <c r="X281" s="39" t="s">
        <v>281</v>
      </c>
      <c r="Y281" s="39">
        <v>19.8</v>
      </c>
      <c r="AB281" s="53">
        <v>19.8</v>
      </c>
      <c r="AC281" s="35" t="s">
        <v>277</v>
      </c>
    </row>
    <row r="282" spans="1:29" x14ac:dyDescent="0.2">
      <c r="A282" s="48">
        <f t="shared" si="8"/>
        <v>2025</v>
      </c>
      <c r="B282" s="49" t="str">
        <f t="shared" si="9"/>
        <v>OUTUBRO</v>
      </c>
      <c r="C282" s="35">
        <v>69192486</v>
      </c>
      <c r="D282" s="35">
        <v>8448233</v>
      </c>
      <c r="E282" s="35" t="s">
        <v>413</v>
      </c>
      <c r="F282" s="36">
        <v>45937</v>
      </c>
      <c r="G282" s="35" t="s">
        <v>13</v>
      </c>
      <c r="H282" s="35">
        <v>35575473880</v>
      </c>
      <c r="I282" s="35" t="s">
        <v>299</v>
      </c>
      <c r="J282" s="36"/>
      <c r="K282" s="35" t="s">
        <v>420</v>
      </c>
      <c r="L282" s="35" t="s">
        <v>276</v>
      </c>
      <c r="M282" s="35" t="s">
        <v>277</v>
      </c>
      <c r="N282" s="37" t="s">
        <v>420</v>
      </c>
      <c r="P282" s="35" t="s">
        <v>279</v>
      </c>
      <c r="Q282" s="35" t="s">
        <v>286</v>
      </c>
      <c r="R282" s="35" t="s">
        <v>280</v>
      </c>
      <c r="S282" s="35">
        <v>1</v>
      </c>
      <c r="T282" s="38"/>
      <c r="V282" s="39"/>
      <c r="X282" s="39" t="s">
        <v>281</v>
      </c>
      <c r="Y282" s="39">
        <v>23.9</v>
      </c>
      <c r="AB282" s="53">
        <v>23.9</v>
      </c>
      <c r="AC282" s="35" t="s">
        <v>277</v>
      </c>
    </row>
    <row r="283" spans="1:29" x14ac:dyDescent="0.2">
      <c r="A283" s="48">
        <f t="shared" si="8"/>
        <v>2025</v>
      </c>
      <c r="B283" s="49" t="str">
        <f t="shared" si="9"/>
        <v>OUTUBRO</v>
      </c>
      <c r="C283" s="35">
        <v>69185256</v>
      </c>
      <c r="D283" s="35">
        <v>8448233</v>
      </c>
      <c r="E283" s="35" t="s">
        <v>413</v>
      </c>
      <c r="F283" s="36">
        <v>45937</v>
      </c>
      <c r="G283" s="35" t="s">
        <v>13</v>
      </c>
      <c r="H283" s="35">
        <v>35575473880</v>
      </c>
      <c r="I283" s="35" t="s">
        <v>299</v>
      </c>
      <c r="J283" s="36"/>
      <c r="K283" s="35" t="s">
        <v>412</v>
      </c>
      <c r="L283" s="35" t="s">
        <v>276</v>
      </c>
      <c r="M283" s="35" t="s">
        <v>277</v>
      </c>
      <c r="N283" s="37" t="s">
        <v>412</v>
      </c>
      <c r="P283" s="35" t="s">
        <v>279</v>
      </c>
      <c r="Q283" s="35" t="s">
        <v>286</v>
      </c>
      <c r="R283" s="35" t="s">
        <v>280</v>
      </c>
      <c r="S283" s="35">
        <v>1</v>
      </c>
      <c r="T283" s="38"/>
      <c r="V283" s="39"/>
      <c r="X283" s="39" t="s">
        <v>281</v>
      </c>
      <c r="Y283" s="39">
        <v>22.33</v>
      </c>
      <c r="AB283" s="53">
        <v>22.33</v>
      </c>
      <c r="AC283" s="35" t="s">
        <v>277</v>
      </c>
    </row>
    <row r="284" spans="1:29" x14ac:dyDescent="0.2">
      <c r="A284" s="48">
        <f t="shared" si="8"/>
        <v>2025</v>
      </c>
      <c r="B284" s="49" t="str">
        <f t="shared" si="9"/>
        <v>OUTUBRO</v>
      </c>
      <c r="C284" s="35">
        <v>69192284</v>
      </c>
      <c r="D284" s="35">
        <v>8448233</v>
      </c>
      <c r="E284" s="35" t="s">
        <v>413</v>
      </c>
      <c r="F284" s="36">
        <v>45936</v>
      </c>
      <c r="G284" s="35" t="s">
        <v>13</v>
      </c>
      <c r="H284" s="35">
        <v>35575473880</v>
      </c>
      <c r="I284" s="35" t="s">
        <v>299</v>
      </c>
      <c r="J284" s="36"/>
      <c r="K284" s="35" t="s">
        <v>391</v>
      </c>
      <c r="L284" s="35" t="s">
        <v>276</v>
      </c>
      <c r="M284" s="35" t="s">
        <v>277</v>
      </c>
      <c r="N284" s="37" t="s">
        <v>391</v>
      </c>
      <c r="P284" s="35" t="s">
        <v>279</v>
      </c>
      <c r="Q284" s="35" t="s">
        <v>286</v>
      </c>
      <c r="R284" s="35" t="s">
        <v>280</v>
      </c>
      <c r="S284" s="35">
        <v>1</v>
      </c>
      <c r="T284" s="38"/>
      <c r="V284" s="39"/>
      <c r="X284" s="39" t="s">
        <v>281</v>
      </c>
      <c r="Y284" s="39">
        <v>139.99</v>
      </c>
      <c r="AB284" s="53">
        <v>139.99</v>
      </c>
      <c r="AC284" s="35" t="s">
        <v>277</v>
      </c>
    </row>
    <row r="285" spans="1:29" x14ac:dyDescent="0.2">
      <c r="A285" s="48">
        <f t="shared" si="8"/>
        <v>2025</v>
      </c>
      <c r="B285" s="49" t="str">
        <f t="shared" si="9"/>
        <v>OUTUBRO</v>
      </c>
      <c r="C285" s="35">
        <v>69193888</v>
      </c>
      <c r="D285" s="35">
        <v>8448233</v>
      </c>
      <c r="E285" s="35" t="s">
        <v>413</v>
      </c>
      <c r="F285" s="36">
        <v>45933</v>
      </c>
      <c r="G285" s="35" t="s">
        <v>13</v>
      </c>
      <c r="H285" s="35">
        <v>35575473880</v>
      </c>
      <c r="I285" s="35" t="s">
        <v>299</v>
      </c>
      <c r="J285" s="36"/>
      <c r="K285" s="35" t="s">
        <v>421</v>
      </c>
      <c r="L285" s="35" t="s">
        <v>276</v>
      </c>
      <c r="M285" s="35" t="s">
        <v>277</v>
      </c>
      <c r="N285" s="37" t="s">
        <v>421</v>
      </c>
      <c r="P285" s="35" t="s">
        <v>279</v>
      </c>
      <c r="Q285" s="35" t="s">
        <v>286</v>
      </c>
      <c r="R285" s="35" t="s">
        <v>280</v>
      </c>
      <c r="S285" s="35">
        <v>1</v>
      </c>
      <c r="T285" s="38"/>
      <c r="V285" s="39"/>
      <c r="X285" s="39" t="s">
        <v>281</v>
      </c>
      <c r="Y285" s="39">
        <v>111.93</v>
      </c>
      <c r="AB285" s="53">
        <v>111.93</v>
      </c>
      <c r="AC285" s="35" t="s">
        <v>277</v>
      </c>
    </row>
    <row r="286" spans="1:29" x14ac:dyDescent="0.2">
      <c r="A286" s="48">
        <f t="shared" si="8"/>
        <v>2025</v>
      </c>
      <c r="B286" s="49" t="str">
        <f t="shared" si="9"/>
        <v>OUTUBRO</v>
      </c>
      <c r="C286" s="35">
        <v>69191636</v>
      </c>
      <c r="D286" s="35">
        <v>8448233</v>
      </c>
      <c r="E286" s="35" t="s">
        <v>413</v>
      </c>
      <c r="F286" s="36">
        <v>45933</v>
      </c>
      <c r="G286" s="35" t="s">
        <v>13</v>
      </c>
      <c r="H286" s="35">
        <v>35575473880</v>
      </c>
      <c r="I286" s="35" t="s">
        <v>299</v>
      </c>
      <c r="J286" s="36"/>
      <c r="K286" s="35" t="s">
        <v>392</v>
      </c>
      <c r="L286" s="35" t="s">
        <v>276</v>
      </c>
      <c r="M286" s="35" t="s">
        <v>277</v>
      </c>
      <c r="N286" s="37" t="s">
        <v>392</v>
      </c>
      <c r="P286" s="35" t="s">
        <v>279</v>
      </c>
      <c r="Q286" s="35" t="s">
        <v>286</v>
      </c>
      <c r="R286" s="35" t="s">
        <v>280</v>
      </c>
      <c r="S286" s="35">
        <v>1</v>
      </c>
      <c r="T286" s="38"/>
      <c r="V286" s="39"/>
      <c r="W286" s="35">
        <v>0</v>
      </c>
      <c r="X286" s="39" t="s">
        <v>281</v>
      </c>
      <c r="Y286" s="39">
        <v>79.75</v>
      </c>
      <c r="AB286" s="53">
        <v>79.75</v>
      </c>
      <c r="AC286" s="35" t="s">
        <v>277</v>
      </c>
    </row>
    <row r="287" spans="1:29" x14ac:dyDescent="0.2">
      <c r="A287" s="48">
        <f t="shared" si="8"/>
        <v>2025</v>
      </c>
      <c r="B287" s="49" t="str">
        <f t="shared" si="9"/>
        <v>OUTUBRO</v>
      </c>
      <c r="C287" s="35">
        <v>69191526</v>
      </c>
      <c r="D287" s="35">
        <v>8448233</v>
      </c>
      <c r="E287" s="35" t="s">
        <v>413</v>
      </c>
      <c r="F287" s="36">
        <v>45933</v>
      </c>
      <c r="G287" s="35" t="s">
        <v>13</v>
      </c>
      <c r="H287" s="35">
        <v>35575473880</v>
      </c>
      <c r="I287" s="35" t="s">
        <v>299</v>
      </c>
      <c r="J287" s="36"/>
      <c r="K287" s="35" t="s">
        <v>393</v>
      </c>
      <c r="L287" s="35" t="s">
        <v>276</v>
      </c>
      <c r="M287" s="35" t="s">
        <v>277</v>
      </c>
      <c r="N287" s="37" t="s">
        <v>393</v>
      </c>
      <c r="P287" s="35" t="s">
        <v>279</v>
      </c>
      <c r="Q287" s="35" t="s">
        <v>286</v>
      </c>
      <c r="R287" s="35" t="s">
        <v>280</v>
      </c>
      <c r="S287" s="35">
        <v>1</v>
      </c>
      <c r="T287" s="38"/>
      <c r="V287" s="39"/>
      <c r="X287" s="39" t="s">
        <v>281</v>
      </c>
      <c r="Y287" s="39">
        <v>22</v>
      </c>
      <c r="AB287" s="53">
        <v>22</v>
      </c>
      <c r="AC287" s="35" t="s">
        <v>277</v>
      </c>
    </row>
    <row r="288" spans="1:29" x14ac:dyDescent="0.2">
      <c r="A288" s="48">
        <f t="shared" si="8"/>
        <v>2025</v>
      </c>
      <c r="B288" s="49" t="str">
        <f t="shared" si="9"/>
        <v>OUTUBRO</v>
      </c>
      <c r="C288" s="35">
        <v>69192761</v>
      </c>
      <c r="D288" s="35">
        <v>8448233</v>
      </c>
      <c r="E288" s="35" t="s">
        <v>413</v>
      </c>
      <c r="F288" s="36">
        <v>45932</v>
      </c>
      <c r="G288" s="35" t="s">
        <v>13</v>
      </c>
      <c r="H288" s="35">
        <v>35575473880</v>
      </c>
      <c r="I288" s="35" t="s">
        <v>299</v>
      </c>
      <c r="J288" s="36"/>
      <c r="K288" s="35" t="s">
        <v>422</v>
      </c>
      <c r="L288" s="35" t="s">
        <v>276</v>
      </c>
      <c r="M288" s="35" t="s">
        <v>277</v>
      </c>
      <c r="N288" s="37" t="s">
        <v>423</v>
      </c>
      <c r="P288" s="35" t="s">
        <v>279</v>
      </c>
      <c r="Q288" s="35" t="s">
        <v>286</v>
      </c>
      <c r="R288" s="35" t="s">
        <v>280</v>
      </c>
      <c r="S288" s="35">
        <v>1</v>
      </c>
      <c r="T288" s="38"/>
      <c r="V288" s="39"/>
      <c r="X288" s="39" t="s">
        <v>281</v>
      </c>
      <c r="Y288" s="39">
        <v>6.9</v>
      </c>
      <c r="AB288" s="53">
        <v>6.9</v>
      </c>
      <c r="AC288" s="35" t="s">
        <v>277</v>
      </c>
    </row>
    <row r="289" spans="1:29" x14ac:dyDescent="0.2">
      <c r="A289" s="48">
        <f t="shared" si="8"/>
        <v>2025</v>
      </c>
      <c r="B289" s="49" t="str">
        <f t="shared" si="9"/>
        <v>OUTUBRO</v>
      </c>
      <c r="C289" s="35">
        <v>69192692</v>
      </c>
      <c r="D289" s="35">
        <v>8448233</v>
      </c>
      <c r="E289" s="35" t="s">
        <v>413</v>
      </c>
      <c r="F289" s="36">
        <v>45932</v>
      </c>
      <c r="G289" s="35" t="s">
        <v>13</v>
      </c>
      <c r="H289" s="35">
        <v>35575473880</v>
      </c>
      <c r="I289" s="35" t="s">
        <v>299</v>
      </c>
      <c r="J289" s="36"/>
      <c r="K289" s="35" t="s">
        <v>423</v>
      </c>
      <c r="L289" s="35" t="s">
        <v>276</v>
      </c>
      <c r="M289" s="35" t="s">
        <v>277</v>
      </c>
      <c r="N289" s="37" t="s">
        <v>423</v>
      </c>
      <c r="P289" s="35" t="s">
        <v>279</v>
      </c>
      <c r="Q289" s="35" t="s">
        <v>286</v>
      </c>
      <c r="R289" s="35" t="s">
        <v>280</v>
      </c>
      <c r="S289" s="35">
        <v>1</v>
      </c>
      <c r="T289" s="38"/>
      <c r="V289" s="39"/>
      <c r="X289" s="39" t="s">
        <v>281</v>
      </c>
      <c r="Y289" s="39">
        <v>4.9000000000000004</v>
      </c>
      <c r="AB289" s="53">
        <v>4.9000000000000004</v>
      </c>
      <c r="AC289" s="35" t="s">
        <v>277</v>
      </c>
    </row>
    <row r="290" spans="1:29" x14ac:dyDescent="0.2">
      <c r="A290" s="48">
        <f t="shared" si="8"/>
        <v>2025</v>
      </c>
      <c r="B290" s="49" t="str">
        <f t="shared" si="9"/>
        <v>OUTUBRO</v>
      </c>
      <c r="C290" s="35">
        <v>69192585</v>
      </c>
      <c r="D290" s="35">
        <v>8448233</v>
      </c>
      <c r="E290" s="35" t="s">
        <v>413</v>
      </c>
      <c r="F290" s="36">
        <v>45932</v>
      </c>
      <c r="G290" s="35" t="s">
        <v>13</v>
      </c>
      <c r="H290" s="35">
        <v>35575473880</v>
      </c>
      <c r="I290" s="35" t="s">
        <v>299</v>
      </c>
      <c r="J290" s="36"/>
      <c r="K290" s="35" t="s">
        <v>423</v>
      </c>
      <c r="L290" s="35" t="s">
        <v>276</v>
      </c>
      <c r="M290" s="35" t="s">
        <v>277</v>
      </c>
      <c r="N290" s="37" t="s">
        <v>423</v>
      </c>
      <c r="P290" s="35" t="s">
        <v>279</v>
      </c>
      <c r="Q290" s="35" t="s">
        <v>286</v>
      </c>
      <c r="R290" s="35" t="s">
        <v>280</v>
      </c>
      <c r="S290" s="35">
        <v>1</v>
      </c>
      <c r="T290" s="38"/>
      <c r="V290" s="39"/>
      <c r="X290" s="39" t="s">
        <v>281</v>
      </c>
      <c r="Y290" s="39">
        <v>13.8</v>
      </c>
      <c r="AB290" s="53">
        <v>13.8</v>
      </c>
      <c r="AC290" s="35" t="s">
        <v>277</v>
      </c>
    </row>
    <row r="291" spans="1:29" x14ac:dyDescent="0.2">
      <c r="A291" s="48">
        <f t="shared" si="8"/>
        <v>2025</v>
      </c>
      <c r="B291" s="49" t="str">
        <f t="shared" si="9"/>
        <v>OUTUBRO</v>
      </c>
      <c r="C291" s="35">
        <v>69193504</v>
      </c>
      <c r="D291" s="35">
        <v>8448233</v>
      </c>
      <c r="E291" s="35" t="s">
        <v>413</v>
      </c>
      <c r="F291" s="36">
        <v>45931</v>
      </c>
      <c r="G291" s="35" t="s">
        <v>13</v>
      </c>
      <c r="H291" s="35">
        <v>35575473880</v>
      </c>
      <c r="I291" s="35" t="s">
        <v>299</v>
      </c>
      <c r="J291" s="36"/>
      <c r="K291" s="35" t="s">
        <v>424</v>
      </c>
      <c r="L291" s="35" t="s">
        <v>276</v>
      </c>
      <c r="M291" s="35" t="s">
        <v>277</v>
      </c>
      <c r="N291" s="37" t="s">
        <v>424</v>
      </c>
      <c r="P291" s="35" t="s">
        <v>279</v>
      </c>
      <c r="Q291" s="35" t="s">
        <v>286</v>
      </c>
      <c r="R291" s="35" t="s">
        <v>280</v>
      </c>
      <c r="S291" s="35">
        <v>1</v>
      </c>
      <c r="T291" s="38"/>
      <c r="V291" s="39"/>
      <c r="X291" s="39" t="s">
        <v>281</v>
      </c>
      <c r="Y291" s="39">
        <v>345.18</v>
      </c>
      <c r="AB291" s="53">
        <v>345.18</v>
      </c>
      <c r="AC291" s="35" t="s">
        <v>277</v>
      </c>
    </row>
    <row r="292" spans="1:29" x14ac:dyDescent="0.2">
      <c r="A292" s="48">
        <f t="shared" si="8"/>
        <v>2025</v>
      </c>
      <c r="B292" s="49" t="str">
        <f t="shared" si="9"/>
        <v>OUTUBRO</v>
      </c>
      <c r="C292" s="35">
        <v>69193426</v>
      </c>
      <c r="D292" s="35">
        <v>8448233</v>
      </c>
      <c r="E292" s="35" t="s">
        <v>413</v>
      </c>
      <c r="F292" s="36">
        <v>45931</v>
      </c>
      <c r="G292" s="35" t="s">
        <v>13</v>
      </c>
      <c r="H292" s="35">
        <v>35575473880</v>
      </c>
      <c r="I292" s="35" t="s">
        <v>299</v>
      </c>
      <c r="J292" s="36"/>
      <c r="K292" s="35" t="s">
        <v>425</v>
      </c>
      <c r="L292" s="35" t="s">
        <v>276</v>
      </c>
      <c r="M292" s="35" t="s">
        <v>277</v>
      </c>
      <c r="N292" s="37" t="s">
        <v>425</v>
      </c>
      <c r="P292" s="35" t="s">
        <v>279</v>
      </c>
      <c r="Q292" s="35" t="s">
        <v>286</v>
      </c>
      <c r="R292" s="35" t="s">
        <v>280</v>
      </c>
      <c r="S292" s="35">
        <v>1</v>
      </c>
      <c r="T292" s="38"/>
      <c r="V292" s="39"/>
      <c r="X292" s="39" t="s">
        <v>281</v>
      </c>
      <c r="Y292" s="39">
        <v>59.3</v>
      </c>
      <c r="AB292" s="53">
        <v>59.3</v>
      </c>
      <c r="AC292" s="35" t="s">
        <v>277</v>
      </c>
    </row>
    <row r="293" spans="1:29" x14ac:dyDescent="0.2">
      <c r="A293" s="48">
        <f t="shared" si="8"/>
        <v>2025</v>
      </c>
      <c r="B293" s="49" t="str">
        <f t="shared" si="9"/>
        <v>OUTUBRO</v>
      </c>
      <c r="C293" s="35">
        <v>69192898</v>
      </c>
      <c r="D293" s="35">
        <v>8448233</v>
      </c>
      <c r="E293" s="35" t="s">
        <v>413</v>
      </c>
      <c r="F293" s="36">
        <v>45931</v>
      </c>
      <c r="G293" s="35" t="s">
        <v>13</v>
      </c>
      <c r="H293" s="35">
        <v>35575473880</v>
      </c>
      <c r="I293" s="35" t="s">
        <v>299</v>
      </c>
      <c r="J293" s="36"/>
      <c r="K293" s="35" t="s">
        <v>426</v>
      </c>
      <c r="L293" s="35" t="s">
        <v>276</v>
      </c>
      <c r="M293" s="35" t="s">
        <v>277</v>
      </c>
      <c r="N293" s="37" t="s">
        <v>426</v>
      </c>
      <c r="P293" s="35" t="s">
        <v>279</v>
      </c>
      <c r="Q293" s="35" t="s">
        <v>286</v>
      </c>
      <c r="R293" s="35" t="s">
        <v>280</v>
      </c>
      <c r="S293" s="35">
        <v>1</v>
      </c>
      <c r="T293" s="38"/>
      <c r="V293" s="39"/>
      <c r="X293" s="39" t="s">
        <v>281</v>
      </c>
      <c r="Y293" s="39">
        <v>57.95</v>
      </c>
      <c r="AB293" s="53">
        <v>57.95</v>
      </c>
      <c r="AC293" s="35" t="s">
        <v>277</v>
      </c>
    </row>
    <row r="294" spans="1:29" x14ac:dyDescent="0.2">
      <c r="A294" s="48">
        <f t="shared" si="8"/>
        <v>2025</v>
      </c>
      <c r="B294" s="49" t="str">
        <f t="shared" si="9"/>
        <v>SETEMBRO</v>
      </c>
      <c r="C294" s="35">
        <v>69193822</v>
      </c>
      <c r="D294" s="35">
        <v>8448233</v>
      </c>
      <c r="E294" s="35" t="s">
        <v>413</v>
      </c>
      <c r="F294" s="36">
        <v>45930</v>
      </c>
      <c r="G294" s="35" t="s">
        <v>13</v>
      </c>
      <c r="H294" s="35">
        <v>35575473880</v>
      </c>
      <c r="I294" s="35" t="s">
        <v>299</v>
      </c>
      <c r="J294" s="36"/>
      <c r="K294" s="35" t="s">
        <v>427</v>
      </c>
      <c r="L294" s="35" t="s">
        <v>276</v>
      </c>
      <c r="M294" s="35" t="s">
        <v>277</v>
      </c>
      <c r="N294" s="37" t="s">
        <v>427</v>
      </c>
      <c r="P294" s="35" t="s">
        <v>279</v>
      </c>
      <c r="Q294" s="35" t="s">
        <v>286</v>
      </c>
      <c r="R294" s="35" t="s">
        <v>280</v>
      </c>
      <c r="S294" s="35">
        <v>1</v>
      </c>
      <c r="T294" s="38"/>
      <c r="V294" s="39"/>
      <c r="X294" s="39" t="s">
        <v>281</v>
      </c>
      <c r="Y294" s="39">
        <v>10</v>
      </c>
      <c r="AB294" s="53">
        <v>10</v>
      </c>
      <c r="AC294" s="35" t="s">
        <v>277</v>
      </c>
    </row>
    <row r="295" spans="1:29" x14ac:dyDescent="0.2">
      <c r="A295" s="48">
        <f t="shared" si="8"/>
        <v>2025</v>
      </c>
      <c r="B295" s="49" t="str">
        <f t="shared" si="9"/>
        <v>SETEMBRO</v>
      </c>
      <c r="C295" s="35">
        <v>69185028</v>
      </c>
      <c r="D295" s="35">
        <v>8448233</v>
      </c>
      <c r="E295" s="35" t="s">
        <v>413</v>
      </c>
      <c r="F295" s="36">
        <v>45930</v>
      </c>
      <c r="G295" s="35" t="s">
        <v>13</v>
      </c>
      <c r="H295" s="35">
        <v>35575473880</v>
      </c>
      <c r="I295" s="35" t="s">
        <v>299</v>
      </c>
      <c r="J295" s="36"/>
      <c r="K295" s="35" t="s">
        <v>412</v>
      </c>
      <c r="L295" s="35" t="s">
        <v>276</v>
      </c>
      <c r="M295" s="35" t="s">
        <v>277</v>
      </c>
      <c r="N295" s="37" t="s">
        <v>412</v>
      </c>
      <c r="P295" s="35" t="s">
        <v>279</v>
      </c>
      <c r="Q295" s="35" t="s">
        <v>286</v>
      </c>
      <c r="R295" s="35" t="s">
        <v>280</v>
      </c>
      <c r="S295" s="35">
        <v>1</v>
      </c>
      <c r="T295" s="38"/>
      <c r="V295" s="39"/>
      <c r="X295" s="39" t="s">
        <v>281</v>
      </c>
      <c r="Y295" s="39">
        <v>117.9</v>
      </c>
      <c r="AB295" s="53">
        <v>117.9</v>
      </c>
      <c r="AC295" s="35" t="s">
        <v>277</v>
      </c>
    </row>
    <row r="296" spans="1:29" x14ac:dyDescent="0.2">
      <c r="A296" s="48">
        <f t="shared" si="8"/>
        <v>2025</v>
      </c>
      <c r="B296" s="49" t="str">
        <f t="shared" si="9"/>
        <v>SETEMBRO</v>
      </c>
      <c r="C296" s="35">
        <v>69184257</v>
      </c>
      <c r="D296" s="35">
        <v>8448233</v>
      </c>
      <c r="E296" s="35" t="s">
        <v>413</v>
      </c>
      <c r="F296" s="36">
        <v>45930</v>
      </c>
      <c r="G296" s="35" t="s">
        <v>13</v>
      </c>
      <c r="H296" s="35">
        <v>35575473880</v>
      </c>
      <c r="I296" s="35" t="s">
        <v>299</v>
      </c>
      <c r="J296" s="36"/>
      <c r="K296" s="35" t="s">
        <v>397</v>
      </c>
      <c r="L296" s="35" t="s">
        <v>282</v>
      </c>
      <c r="M296" s="35" t="s">
        <v>277</v>
      </c>
      <c r="N296" s="37" t="s">
        <v>397</v>
      </c>
      <c r="P296" s="35" t="s">
        <v>279</v>
      </c>
      <c r="Q296" s="35" t="s">
        <v>286</v>
      </c>
      <c r="R296" s="35" t="s">
        <v>280</v>
      </c>
      <c r="S296" s="35">
        <v>1</v>
      </c>
      <c r="T296" s="38"/>
      <c r="V296" s="39"/>
      <c r="X296" s="39" t="s">
        <v>281</v>
      </c>
      <c r="Y296" s="39">
        <v>37.5</v>
      </c>
      <c r="AB296" s="53">
        <v>37.5</v>
      </c>
      <c r="AC296" s="35" t="s">
        <v>277</v>
      </c>
    </row>
    <row r="297" spans="1:29" x14ac:dyDescent="0.2">
      <c r="A297" s="48">
        <f t="shared" si="8"/>
        <v>2025</v>
      </c>
      <c r="B297" s="49" t="str">
        <f t="shared" si="9"/>
        <v>SETEMBRO</v>
      </c>
      <c r="C297" s="35">
        <v>69184133</v>
      </c>
      <c r="D297" s="35">
        <v>8448233</v>
      </c>
      <c r="E297" s="35" t="s">
        <v>413</v>
      </c>
      <c r="F297" s="36">
        <v>45930</v>
      </c>
      <c r="G297" s="35" t="s">
        <v>13</v>
      </c>
      <c r="H297" s="35">
        <v>35575473880</v>
      </c>
      <c r="I297" s="35" t="s">
        <v>299</v>
      </c>
      <c r="J297" s="36"/>
      <c r="K297" s="35" t="s">
        <v>408</v>
      </c>
      <c r="L297" s="35" t="s">
        <v>282</v>
      </c>
      <c r="M297" s="35" t="s">
        <v>277</v>
      </c>
      <c r="N297" s="37" t="s">
        <v>408</v>
      </c>
      <c r="P297" s="35" t="s">
        <v>279</v>
      </c>
      <c r="Q297" s="35" t="s">
        <v>286</v>
      </c>
      <c r="R297" s="35" t="s">
        <v>280</v>
      </c>
      <c r="S297" s="35">
        <v>1</v>
      </c>
      <c r="T297" s="38"/>
      <c r="V297" s="39"/>
      <c r="X297" s="39" t="s">
        <v>281</v>
      </c>
      <c r="Y297" s="39">
        <v>84</v>
      </c>
      <c r="AB297" s="53">
        <v>84</v>
      </c>
      <c r="AC297" s="35" t="s">
        <v>277</v>
      </c>
    </row>
    <row r="298" spans="1:29" x14ac:dyDescent="0.2">
      <c r="A298" s="48">
        <f t="shared" si="8"/>
        <v>2025</v>
      </c>
      <c r="B298" s="49" t="str">
        <f t="shared" si="9"/>
        <v>SETEMBRO</v>
      </c>
      <c r="C298" s="35">
        <v>69183978</v>
      </c>
      <c r="D298" s="35">
        <v>8448233</v>
      </c>
      <c r="E298" s="35" t="s">
        <v>413</v>
      </c>
      <c r="F298" s="36">
        <v>45930</v>
      </c>
      <c r="G298" s="35" t="s">
        <v>13</v>
      </c>
      <c r="H298" s="35">
        <v>35575473880</v>
      </c>
      <c r="I298" s="35" t="s">
        <v>299</v>
      </c>
      <c r="J298" s="36"/>
      <c r="K298" s="35" t="s">
        <v>372</v>
      </c>
      <c r="L298" s="35" t="s">
        <v>282</v>
      </c>
      <c r="M298" s="35" t="s">
        <v>277</v>
      </c>
      <c r="N298" s="37" t="s">
        <v>372</v>
      </c>
      <c r="P298" s="35" t="s">
        <v>279</v>
      </c>
      <c r="Q298" s="35" t="s">
        <v>286</v>
      </c>
      <c r="R298" s="35" t="s">
        <v>280</v>
      </c>
      <c r="S298" s="35">
        <v>1</v>
      </c>
      <c r="T298" s="38"/>
      <c r="V298" s="39"/>
      <c r="X298" s="39" t="s">
        <v>281</v>
      </c>
      <c r="Y298" s="39">
        <v>110.4</v>
      </c>
      <c r="AB298" s="53">
        <v>110.4</v>
      </c>
      <c r="AC298" s="35" t="s">
        <v>277</v>
      </c>
    </row>
    <row r="299" spans="1:29" x14ac:dyDescent="0.2">
      <c r="A299" s="48">
        <f t="shared" si="8"/>
        <v>2025</v>
      </c>
      <c r="B299" s="49" t="str">
        <f t="shared" si="9"/>
        <v>SETEMBRO</v>
      </c>
      <c r="C299" s="35">
        <v>69184526</v>
      </c>
      <c r="D299" s="35">
        <v>8448233</v>
      </c>
      <c r="E299" s="35" t="s">
        <v>413</v>
      </c>
      <c r="F299" s="36">
        <v>45929</v>
      </c>
      <c r="G299" s="35" t="s">
        <v>13</v>
      </c>
      <c r="H299" s="35">
        <v>35575473880</v>
      </c>
      <c r="I299" s="35" t="s">
        <v>299</v>
      </c>
      <c r="J299" s="36"/>
      <c r="K299" s="35" t="s">
        <v>409</v>
      </c>
      <c r="L299" s="35" t="s">
        <v>282</v>
      </c>
      <c r="M299" s="35" t="s">
        <v>277</v>
      </c>
      <c r="N299" s="37" t="s">
        <v>409</v>
      </c>
      <c r="P299" s="35" t="s">
        <v>279</v>
      </c>
      <c r="Q299" s="35" t="s">
        <v>286</v>
      </c>
      <c r="R299" s="35" t="s">
        <v>280</v>
      </c>
      <c r="S299" s="35">
        <v>1</v>
      </c>
      <c r="T299" s="38"/>
      <c r="V299" s="39"/>
      <c r="X299" s="39" t="s">
        <v>281</v>
      </c>
      <c r="Y299" s="39">
        <v>52</v>
      </c>
      <c r="AB299" s="53">
        <v>52</v>
      </c>
      <c r="AC299" s="35" t="s">
        <v>277</v>
      </c>
    </row>
    <row r="300" spans="1:29" x14ac:dyDescent="0.2">
      <c r="A300" s="48">
        <f t="shared" si="8"/>
        <v>2025</v>
      </c>
      <c r="B300" s="49" t="str">
        <f t="shared" si="9"/>
        <v>SETEMBRO</v>
      </c>
      <c r="C300" s="35">
        <v>69193758</v>
      </c>
      <c r="D300" s="35">
        <v>8448233</v>
      </c>
      <c r="E300" s="35" t="s">
        <v>413</v>
      </c>
      <c r="F300" s="36">
        <v>45926</v>
      </c>
      <c r="G300" s="35" t="s">
        <v>13</v>
      </c>
      <c r="H300" s="35">
        <v>35575473880</v>
      </c>
      <c r="I300" s="35" t="s">
        <v>299</v>
      </c>
      <c r="J300" s="36"/>
      <c r="K300" s="35" t="s">
        <v>428</v>
      </c>
      <c r="L300" s="35" t="s">
        <v>276</v>
      </c>
      <c r="M300" s="35" t="s">
        <v>277</v>
      </c>
      <c r="N300" s="37" t="s">
        <v>428</v>
      </c>
      <c r="P300" s="35" t="s">
        <v>279</v>
      </c>
      <c r="Q300" s="35" t="s">
        <v>286</v>
      </c>
      <c r="R300" s="35" t="s">
        <v>280</v>
      </c>
      <c r="S300" s="35">
        <v>1</v>
      </c>
      <c r="T300" s="38"/>
      <c r="V300" s="39"/>
      <c r="X300" s="39" t="s">
        <v>281</v>
      </c>
      <c r="Y300" s="39">
        <v>68.099999999999994</v>
      </c>
      <c r="AB300" s="53">
        <v>68.099999999999994</v>
      </c>
      <c r="AC300" s="35" t="s">
        <v>277</v>
      </c>
    </row>
    <row r="301" spans="1:29" x14ac:dyDescent="0.2">
      <c r="A301" s="48">
        <f t="shared" si="8"/>
        <v>2025</v>
      </c>
      <c r="B301" s="49" t="str">
        <f t="shared" si="9"/>
        <v>SETEMBRO</v>
      </c>
      <c r="C301" s="35">
        <v>69192858</v>
      </c>
      <c r="D301" s="35">
        <v>8448233</v>
      </c>
      <c r="E301" s="35" t="s">
        <v>413</v>
      </c>
      <c r="F301" s="36">
        <v>45925</v>
      </c>
      <c r="G301" s="35" t="s">
        <v>13</v>
      </c>
      <c r="H301" s="35">
        <v>35575473880</v>
      </c>
      <c r="I301" s="35" t="s">
        <v>299</v>
      </c>
      <c r="J301" s="36"/>
      <c r="K301" s="35" t="s">
        <v>422</v>
      </c>
      <c r="L301" s="35" t="s">
        <v>276</v>
      </c>
      <c r="M301" s="35" t="s">
        <v>277</v>
      </c>
      <c r="N301" s="37" t="s">
        <v>422</v>
      </c>
      <c r="P301" s="35" t="s">
        <v>279</v>
      </c>
      <c r="Q301" s="35" t="s">
        <v>286</v>
      </c>
      <c r="R301" s="35" t="s">
        <v>280</v>
      </c>
      <c r="S301" s="35">
        <v>1</v>
      </c>
      <c r="T301" s="38"/>
      <c r="V301" s="39"/>
      <c r="X301" s="39" t="s">
        <v>281</v>
      </c>
      <c r="Y301" s="39">
        <v>17.25</v>
      </c>
      <c r="AB301" s="53">
        <v>17.25</v>
      </c>
      <c r="AC301" s="35" t="s">
        <v>277</v>
      </c>
    </row>
    <row r="302" spans="1:29" x14ac:dyDescent="0.2">
      <c r="A302" s="48">
        <f t="shared" si="8"/>
        <v>2025</v>
      </c>
      <c r="B302" s="49" t="str">
        <f t="shared" si="9"/>
        <v>SETEMBRO</v>
      </c>
      <c r="C302" s="35">
        <v>69193719</v>
      </c>
      <c r="D302" s="35">
        <v>8448233</v>
      </c>
      <c r="E302" s="35" t="s">
        <v>413</v>
      </c>
      <c r="F302" s="36">
        <v>45924</v>
      </c>
      <c r="G302" s="35" t="s">
        <v>13</v>
      </c>
      <c r="H302" s="35">
        <v>35575473880</v>
      </c>
      <c r="I302" s="35" t="s">
        <v>299</v>
      </c>
      <c r="J302" s="36"/>
      <c r="K302" s="35" t="s">
        <v>429</v>
      </c>
      <c r="L302" s="35" t="s">
        <v>276</v>
      </c>
      <c r="M302" s="35" t="s">
        <v>277</v>
      </c>
      <c r="N302" s="37" t="s">
        <v>429</v>
      </c>
      <c r="P302" s="35" t="s">
        <v>279</v>
      </c>
      <c r="Q302" s="35" t="s">
        <v>286</v>
      </c>
      <c r="R302" s="35" t="s">
        <v>280</v>
      </c>
      <c r="S302" s="35">
        <v>1</v>
      </c>
      <c r="T302" s="38"/>
      <c r="V302" s="39"/>
      <c r="X302" s="39" t="s">
        <v>281</v>
      </c>
      <c r="Y302" s="39">
        <v>64</v>
      </c>
      <c r="AB302" s="53">
        <v>64</v>
      </c>
      <c r="AC302" s="35" t="s">
        <v>277</v>
      </c>
    </row>
    <row r="303" spans="1:29" x14ac:dyDescent="0.2">
      <c r="A303" s="48">
        <f t="shared" si="8"/>
        <v>2025</v>
      </c>
      <c r="B303" s="49" t="str">
        <f t="shared" si="9"/>
        <v>SETEMBRO</v>
      </c>
      <c r="C303" s="35">
        <v>69191314</v>
      </c>
      <c r="D303" s="35">
        <v>8448233</v>
      </c>
      <c r="E303" s="35" t="s">
        <v>413</v>
      </c>
      <c r="F303" s="36">
        <v>45924</v>
      </c>
      <c r="G303" s="35" t="s">
        <v>13</v>
      </c>
      <c r="H303" s="35">
        <v>35575473880</v>
      </c>
      <c r="I303" s="35" t="s">
        <v>299</v>
      </c>
      <c r="J303" s="36"/>
      <c r="K303" s="35" t="s">
        <v>395</v>
      </c>
      <c r="L303" s="35" t="s">
        <v>276</v>
      </c>
      <c r="M303" s="35" t="s">
        <v>277</v>
      </c>
      <c r="N303" s="37" t="s">
        <v>395</v>
      </c>
      <c r="P303" s="35" t="s">
        <v>279</v>
      </c>
      <c r="Q303" s="35" t="s">
        <v>286</v>
      </c>
      <c r="R303" s="35" t="s">
        <v>280</v>
      </c>
      <c r="S303" s="35">
        <v>1</v>
      </c>
      <c r="T303" s="38"/>
      <c r="V303" s="39"/>
      <c r="X303" s="39" t="s">
        <v>281</v>
      </c>
      <c r="Y303" s="39">
        <v>46.9</v>
      </c>
      <c r="AB303" s="53">
        <v>46.9</v>
      </c>
      <c r="AC303" s="35" t="s">
        <v>277</v>
      </c>
    </row>
    <row r="304" spans="1:29" x14ac:dyDescent="0.2">
      <c r="A304" s="48">
        <f t="shared" si="8"/>
        <v>2025</v>
      </c>
      <c r="B304" s="49" t="str">
        <f t="shared" si="9"/>
        <v>SETEMBRO</v>
      </c>
      <c r="C304" s="35">
        <v>68105629</v>
      </c>
      <c r="D304" s="35">
        <v>8448233</v>
      </c>
      <c r="E304" s="35" t="s">
        <v>413</v>
      </c>
      <c r="F304" s="36">
        <v>45923</v>
      </c>
      <c r="G304" s="35" t="s">
        <v>13</v>
      </c>
      <c r="H304" s="35">
        <v>35575473880</v>
      </c>
      <c r="I304" s="35" t="s">
        <v>299</v>
      </c>
      <c r="J304" s="36"/>
      <c r="K304" s="35" t="s">
        <v>388</v>
      </c>
      <c r="L304" s="35" t="s">
        <v>282</v>
      </c>
      <c r="M304" s="35" t="s">
        <v>277</v>
      </c>
      <c r="N304" s="37" t="s">
        <v>388</v>
      </c>
      <c r="P304" s="35" t="s">
        <v>279</v>
      </c>
      <c r="Q304" s="35" t="s">
        <v>286</v>
      </c>
      <c r="R304" s="35" t="s">
        <v>280</v>
      </c>
      <c r="S304" s="35">
        <v>1</v>
      </c>
      <c r="T304" s="38"/>
      <c r="V304" s="39"/>
      <c r="X304" s="39" t="s">
        <v>281</v>
      </c>
      <c r="Y304" s="39">
        <v>20.399999999999999</v>
      </c>
      <c r="AB304" s="53">
        <v>20.399999999999999</v>
      </c>
      <c r="AC304" s="35" t="s">
        <v>277</v>
      </c>
    </row>
    <row r="305" spans="1:29" x14ac:dyDescent="0.2">
      <c r="A305" s="48">
        <f t="shared" si="8"/>
        <v>2025</v>
      </c>
      <c r="B305" s="49" t="str">
        <f t="shared" si="9"/>
        <v>SETEMBRO</v>
      </c>
      <c r="C305" s="35">
        <v>68105539</v>
      </c>
      <c r="D305" s="35">
        <v>8448233</v>
      </c>
      <c r="E305" s="35" t="s">
        <v>413</v>
      </c>
      <c r="F305" s="36">
        <v>45923</v>
      </c>
      <c r="G305" s="35" t="s">
        <v>13</v>
      </c>
      <c r="H305" s="35">
        <v>35575473880</v>
      </c>
      <c r="I305" s="35" t="s">
        <v>299</v>
      </c>
      <c r="J305" s="36"/>
      <c r="K305" s="35" t="s">
        <v>389</v>
      </c>
      <c r="L305" s="35" t="s">
        <v>282</v>
      </c>
      <c r="M305" s="35" t="s">
        <v>277</v>
      </c>
      <c r="N305" s="37" t="s">
        <v>389</v>
      </c>
      <c r="P305" s="35" t="s">
        <v>279</v>
      </c>
      <c r="Q305" s="35" t="s">
        <v>286</v>
      </c>
      <c r="R305" s="35" t="s">
        <v>280</v>
      </c>
      <c r="S305" s="35">
        <v>1</v>
      </c>
      <c r="T305" s="38"/>
      <c r="V305" s="39"/>
      <c r="X305" s="39" t="s">
        <v>281</v>
      </c>
      <c r="Y305" s="39">
        <v>60</v>
      </c>
      <c r="AB305" s="53">
        <v>60</v>
      </c>
      <c r="AC305" s="35" t="s">
        <v>277</v>
      </c>
    </row>
    <row r="306" spans="1:29" x14ac:dyDescent="0.2">
      <c r="A306" s="48">
        <f t="shared" si="8"/>
        <v>2025</v>
      </c>
      <c r="B306" s="49" t="str">
        <f t="shared" si="9"/>
        <v>SETEMBRO</v>
      </c>
      <c r="C306" s="35">
        <v>68108640</v>
      </c>
      <c r="D306" s="35">
        <v>8448233</v>
      </c>
      <c r="E306" s="35" t="s">
        <v>413</v>
      </c>
      <c r="F306" s="36">
        <v>45919</v>
      </c>
      <c r="G306" s="35" t="s">
        <v>13</v>
      </c>
      <c r="H306" s="35">
        <v>35575473880</v>
      </c>
      <c r="I306" s="35" t="s">
        <v>299</v>
      </c>
      <c r="J306" s="36"/>
      <c r="K306" s="35" t="s">
        <v>377</v>
      </c>
      <c r="L306" s="35" t="s">
        <v>276</v>
      </c>
      <c r="M306" s="35" t="s">
        <v>277</v>
      </c>
      <c r="N306" s="37" t="s">
        <v>377</v>
      </c>
      <c r="P306" s="35" t="s">
        <v>279</v>
      </c>
      <c r="Q306" s="35" t="s">
        <v>286</v>
      </c>
      <c r="R306" s="35" t="s">
        <v>280</v>
      </c>
      <c r="S306" s="35">
        <v>1</v>
      </c>
      <c r="T306" s="38"/>
      <c r="V306" s="39"/>
      <c r="X306" s="39" t="s">
        <v>281</v>
      </c>
      <c r="Y306" s="39">
        <v>9.9</v>
      </c>
      <c r="AB306" s="53">
        <v>9.9</v>
      </c>
      <c r="AC306" s="35" t="s">
        <v>277</v>
      </c>
    </row>
    <row r="307" spans="1:29" x14ac:dyDescent="0.2">
      <c r="A307" s="48">
        <f t="shared" si="8"/>
        <v>2025</v>
      </c>
      <c r="B307" s="49" t="str">
        <f t="shared" si="9"/>
        <v>SETEMBRO</v>
      </c>
      <c r="C307" s="35">
        <v>69191419</v>
      </c>
      <c r="D307" s="35">
        <v>8448233</v>
      </c>
      <c r="E307" s="35" t="s">
        <v>413</v>
      </c>
      <c r="F307" s="36">
        <v>45918</v>
      </c>
      <c r="G307" s="35" t="s">
        <v>13</v>
      </c>
      <c r="H307" s="35">
        <v>35575473880</v>
      </c>
      <c r="I307" s="35" t="s">
        <v>299</v>
      </c>
      <c r="J307" s="36"/>
      <c r="K307" s="35" t="s">
        <v>394</v>
      </c>
      <c r="L307" s="35" t="s">
        <v>276</v>
      </c>
      <c r="M307" s="35" t="s">
        <v>277</v>
      </c>
      <c r="N307" s="37" t="s">
        <v>394</v>
      </c>
      <c r="P307" s="35" t="s">
        <v>279</v>
      </c>
      <c r="Q307" s="35" t="s">
        <v>286</v>
      </c>
      <c r="R307" s="35" t="s">
        <v>280</v>
      </c>
      <c r="S307" s="35">
        <v>1</v>
      </c>
      <c r="T307" s="38"/>
      <c r="V307" s="39"/>
      <c r="X307" s="39" t="s">
        <v>281</v>
      </c>
      <c r="Y307" s="39">
        <v>12.7</v>
      </c>
      <c r="AB307" s="53">
        <v>12.7</v>
      </c>
      <c r="AC307" s="35" t="s">
        <v>277</v>
      </c>
    </row>
    <row r="308" spans="1:29" x14ac:dyDescent="0.2">
      <c r="A308" s="48">
        <f t="shared" si="8"/>
        <v>2025</v>
      </c>
      <c r="B308" s="49" t="str">
        <f t="shared" si="9"/>
        <v>SETEMBRO</v>
      </c>
      <c r="C308" s="35">
        <v>68196197</v>
      </c>
      <c r="D308" s="35">
        <v>8448233</v>
      </c>
      <c r="E308" s="35" t="s">
        <v>413</v>
      </c>
      <c r="F308" s="36">
        <v>45918</v>
      </c>
      <c r="G308" s="35" t="s">
        <v>13</v>
      </c>
      <c r="H308" s="35">
        <v>35575473880</v>
      </c>
      <c r="I308" s="35" t="s">
        <v>299</v>
      </c>
      <c r="J308" s="36"/>
      <c r="K308" s="35" t="s">
        <v>376</v>
      </c>
      <c r="L308" s="35" t="s">
        <v>276</v>
      </c>
      <c r="M308" s="35" t="s">
        <v>277</v>
      </c>
      <c r="N308" s="37" t="s">
        <v>376</v>
      </c>
      <c r="P308" s="35" t="s">
        <v>279</v>
      </c>
      <c r="Q308" s="35" t="s">
        <v>286</v>
      </c>
      <c r="R308" s="35" t="s">
        <v>280</v>
      </c>
      <c r="S308" s="35">
        <v>1</v>
      </c>
      <c r="T308" s="38"/>
      <c r="V308" s="39"/>
      <c r="X308" s="39" t="s">
        <v>281</v>
      </c>
      <c r="Y308" s="39">
        <v>97</v>
      </c>
      <c r="AB308" s="53">
        <v>97</v>
      </c>
      <c r="AC308" s="35" t="s">
        <v>277</v>
      </c>
    </row>
    <row r="309" spans="1:29" x14ac:dyDescent="0.2">
      <c r="A309" s="48">
        <f t="shared" si="8"/>
        <v>2025</v>
      </c>
      <c r="B309" s="49" t="str">
        <f t="shared" si="9"/>
        <v>SETEMBRO</v>
      </c>
      <c r="C309" s="35">
        <v>68196135</v>
      </c>
      <c r="D309" s="35">
        <v>8448233</v>
      </c>
      <c r="E309" s="35" t="s">
        <v>413</v>
      </c>
      <c r="F309" s="36">
        <v>45918</v>
      </c>
      <c r="G309" s="35" t="s">
        <v>13</v>
      </c>
      <c r="H309" s="35">
        <v>35575473880</v>
      </c>
      <c r="I309" s="35" t="s">
        <v>299</v>
      </c>
      <c r="J309" s="36"/>
      <c r="K309" s="35" t="s">
        <v>404</v>
      </c>
      <c r="L309" s="35" t="s">
        <v>276</v>
      </c>
      <c r="M309" s="35" t="s">
        <v>277</v>
      </c>
      <c r="N309" s="37" t="s">
        <v>404</v>
      </c>
      <c r="P309" s="35" t="s">
        <v>279</v>
      </c>
      <c r="Q309" s="35" t="s">
        <v>286</v>
      </c>
      <c r="R309" s="35" t="s">
        <v>280</v>
      </c>
      <c r="S309" s="35">
        <v>1</v>
      </c>
      <c r="T309" s="38"/>
      <c r="V309" s="39"/>
      <c r="W309" s="35">
        <v>0</v>
      </c>
      <c r="X309" s="39" t="s">
        <v>281</v>
      </c>
      <c r="Y309" s="39">
        <v>25</v>
      </c>
      <c r="AB309" s="53">
        <v>25</v>
      </c>
      <c r="AC309" s="35" t="s">
        <v>277</v>
      </c>
    </row>
    <row r="310" spans="1:29" x14ac:dyDescent="0.2">
      <c r="A310" s="48">
        <f t="shared" si="8"/>
        <v>2025</v>
      </c>
      <c r="B310" s="49" t="str">
        <f t="shared" si="9"/>
        <v>SETEMBRO</v>
      </c>
      <c r="C310" s="35">
        <v>68196068</v>
      </c>
      <c r="D310" s="35">
        <v>8448233</v>
      </c>
      <c r="E310" s="35" t="s">
        <v>413</v>
      </c>
      <c r="F310" s="36">
        <v>45918</v>
      </c>
      <c r="G310" s="35" t="s">
        <v>13</v>
      </c>
      <c r="H310" s="35">
        <v>35575473880</v>
      </c>
      <c r="I310" s="35" t="s">
        <v>299</v>
      </c>
      <c r="J310" s="36"/>
      <c r="K310" s="35" t="s">
        <v>374</v>
      </c>
      <c r="L310" s="35" t="s">
        <v>276</v>
      </c>
      <c r="M310" s="35" t="s">
        <v>277</v>
      </c>
      <c r="N310" s="37" t="s">
        <v>374</v>
      </c>
      <c r="P310" s="35" t="s">
        <v>279</v>
      </c>
      <c r="Q310" s="35" t="s">
        <v>286</v>
      </c>
      <c r="R310" s="35" t="s">
        <v>280</v>
      </c>
      <c r="S310" s="35">
        <v>1</v>
      </c>
      <c r="T310" s="38"/>
      <c r="V310" s="39"/>
      <c r="X310" s="39" t="s">
        <v>281</v>
      </c>
      <c r="Y310" s="39">
        <v>17.600000000000001</v>
      </c>
      <c r="AB310" s="53">
        <v>17.600000000000001</v>
      </c>
      <c r="AC310" s="35" t="s">
        <v>277</v>
      </c>
    </row>
    <row r="311" spans="1:29" x14ac:dyDescent="0.2">
      <c r="A311" s="48">
        <f t="shared" si="8"/>
        <v>2025</v>
      </c>
      <c r="B311" s="49" t="str">
        <f t="shared" si="9"/>
        <v>SETEMBRO</v>
      </c>
      <c r="C311" s="35">
        <v>68106389</v>
      </c>
      <c r="D311" s="35">
        <v>8448233</v>
      </c>
      <c r="E311" s="35" t="s">
        <v>413</v>
      </c>
      <c r="F311" s="36">
        <v>45918</v>
      </c>
      <c r="G311" s="35" t="s">
        <v>13</v>
      </c>
      <c r="H311" s="35">
        <v>35575473880</v>
      </c>
      <c r="I311" s="35" t="s">
        <v>299</v>
      </c>
      <c r="J311" s="36"/>
      <c r="K311" s="35" t="s">
        <v>398</v>
      </c>
      <c r="L311" s="35" t="s">
        <v>276</v>
      </c>
      <c r="M311" s="35" t="s">
        <v>277</v>
      </c>
      <c r="N311" s="37" t="s">
        <v>398</v>
      </c>
      <c r="P311" s="35" t="s">
        <v>279</v>
      </c>
      <c r="Q311" s="35" t="s">
        <v>286</v>
      </c>
      <c r="R311" s="35" t="s">
        <v>280</v>
      </c>
      <c r="S311" s="35">
        <v>1</v>
      </c>
      <c r="T311" s="38"/>
      <c r="V311" s="39"/>
      <c r="X311" s="39" t="s">
        <v>281</v>
      </c>
      <c r="Y311" s="39">
        <v>45</v>
      </c>
      <c r="AB311" s="53">
        <v>45</v>
      </c>
      <c r="AC311" s="35" t="s">
        <v>277</v>
      </c>
    </row>
    <row r="312" spans="1:29" x14ac:dyDescent="0.2">
      <c r="A312" s="48">
        <f t="shared" si="8"/>
        <v>2025</v>
      </c>
      <c r="B312" s="49" t="str">
        <f t="shared" si="9"/>
        <v>SETEMBRO</v>
      </c>
      <c r="C312" s="35">
        <v>68105964</v>
      </c>
      <c r="D312" s="35">
        <v>8448233</v>
      </c>
      <c r="E312" s="35" t="s">
        <v>413</v>
      </c>
      <c r="F312" s="36">
        <v>45918</v>
      </c>
      <c r="G312" s="35" t="s">
        <v>13</v>
      </c>
      <c r="H312" s="35">
        <v>35575473880</v>
      </c>
      <c r="I312" s="35" t="s">
        <v>299</v>
      </c>
      <c r="J312" s="36"/>
      <c r="K312" s="35" t="s">
        <v>387</v>
      </c>
      <c r="L312" s="35" t="s">
        <v>276</v>
      </c>
      <c r="M312" s="35" t="s">
        <v>277</v>
      </c>
      <c r="N312" s="37" t="s">
        <v>387</v>
      </c>
      <c r="P312" s="35" t="s">
        <v>279</v>
      </c>
      <c r="Q312" s="35" t="s">
        <v>286</v>
      </c>
      <c r="R312" s="35" t="s">
        <v>280</v>
      </c>
      <c r="S312" s="35">
        <v>1</v>
      </c>
      <c r="T312" s="38"/>
      <c r="V312" s="39"/>
      <c r="X312" s="39" t="s">
        <v>281</v>
      </c>
      <c r="Y312" s="39">
        <v>65.5</v>
      </c>
      <c r="AB312" s="53">
        <v>65.5</v>
      </c>
      <c r="AC312" s="35" t="s">
        <v>277</v>
      </c>
    </row>
    <row r="313" spans="1:29" x14ac:dyDescent="0.2">
      <c r="A313" s="48">
        <f t="shared" si="8"/>
        <v>2025</v>
      </c>
      <c r="B313" s="49" t="str">
        <f t="shared" si="9"/>
        <v>SETEMBRO</v>
      </c>
      <c r="C313" s="35">
        <v>68105840</v>
      </c>
      <c r="D313" s="35">
        <v>8448233</v>
      </c>
      <c r="E313" s="35" t="s">
        <v>413</v>
      </c>
      <c r="F313" s="36">
        <v>45918</v>
      </c>
      <c r="G313" s="35" t="s">
        <v>13</v>
      </c>
      <c r="H313" s="35">
        <v>35575473880</v>
      </c>
      <c r="I313" s="35" t="s">
        <v>299</v>
      </c>
      <c r="J313" s="36"/>
      <c r="K313" s="35" t="s">
        <v>384</v>
      </c>
      <c r="L313" s="35" t="s">
        <v>276</v>
      </c>
      <c r="M313" s="35" t="s">
        <v>277</v>
      </c>
      <c r="N313" s="37" t="s">
        <v>384</v>
      </c>
      <c r="P313" s="35" t="s">
        <v>279</v>
      </c>
      <c r="Q313" s="35" t="s">
        <v>286</v>
      </c>
      <c r="R313" s="35" t="s">
        <v>280</v>
      </c>
      <c r="S313" s="35">
        <v>1</v>
      </c>
      <c r="T313" s="38"/>
      <c r="V313" s="39"/>
      <c r="X313" s="39" t="s">
        <v>281</v>
      </c>
      <c r="Y313" s="39">
        <v>24</v>
      </c>
      <c r="AB313" s="53">
        <v>24</v>
      </c>
      <c r="AC313" s="35" t="s">
        <v>277</v>
      </c>
    </row>
    <row r="314" spans="1:29" x14ac:dyDescent="0.2">
      <c r="A314" s="48">
        <f t="shared" si="8"/>
        <v>2025</v>
      </c>
      <c r="B314" s="49" t="str">
        <f t="shared" si="9"/>
        <v>SETEMBRO</v>
      </c>
      <c r="C314" s="35">
        <v>68106289</v>
      </c>
      <c r="D314" s="35">
        <v>8448233</v>
      </c>
      <c r="E314" s="35" t="s">
        <v>413</v>
      </c>
      <c r="F314" s="36">
        <v>45917</v>
      </c>
      <c r="G314" s="35" t="s">
        <v>13</v>
      </c>
      <c r="H314" s="35">
        <v>35575473880</v>
      </c>
      <c r="I314" s="35" t="s">
        <v>299</v>
      </c>
      <c r="J314" s="36"/>
      <c r="K314" s="35" t="s">
        <v>405</v>
      </c>
      <c r="L314" s="35" t="s">
        <v>276</v>
      </c>
      <c r="M314" s="35" t="s">
        <v>277</v>
      </c>
      <c r="N314" s="37" t="s">
        <v>405</v>
      </c>
      <c r="P314" s="35" t="s">
        <v>279</v>
      </c>
      <c r="Q314" s="35" t="s">
        <v>286</v>
      </c>
      <c r="R314" s="35" t="s">
        <v>280</v>
      </c>
      <c r="S314" s="35">
        <v>1</v>
      </c>
      <c r="T314" s="38"/>
      <c r="V314" s="39"/>
      <c r="X314" s="39" t="s">
        <v>281</v>
      </c>
      <c r="Y314" s="39">
        <v>54</v>
      </c>
      <c r="AB314" s="53">
        <v>54</v>
      </c>
      <c r="AC314" s="35" t="s">
        <v>277</v>
      </c>
    </row>
    <row r="315" spans="1:29" x14ac:dyDescent="0.2">
      <c r="A315" s="48">
        <f t="shared" si="8"/>
        <v>2025</v>
      </c>
      <c r="B315" s="49" t="str">
        <f t="shared" si="9"/>
        <v>SETEMBRO</v>
      </c>
      <c r="C315" s="35">
        <v>68105045</v>
      </c>
      <c r="D315" s="35">
        <v>8448233</v>
      </c>
      <c r="E315" s="35" t="s">
        <v>413</v>
      </c>
      <c r="F315" s="36">
        <v>45917</v>
      </c>
      <c r="G315" s="35" t="s">
        <v>13</v>
      </c>
      <c r="H315" s="35">
        <v>35575473880</v>
      </c>
      <c r="I315" s="35" t="s">
        <v>299</v>
      </c>
      <c r="J315" s="36"/>
      <c r="K315" s="35" t="s">
        <v>406</v>
      </c>
      <c r="L315" s="35" t="s">
        <v>282</v>
      </c>
      <c r="M315" s="35" t="s">
        <v>277</v>
      </c>
      <c r="N315" s="37" t="s">
        <v>406</v>
      </c>
      <c r="P315" s="35" t="s">
        <v>279</v>
      </c>
      <c r="Q315" s="35" t="s">
        <v>286</v>
      </c>
      <c r="R315" s="35" t="s">
        <v>280</v>
      </c>
      <c r="S315" s="35">
        <v>1</v>
      </c>
      <c r="T315" s="38"/>
      <c r="V315" s="39"/>
      <c r="X315" s="39" t="s">
        <v>281</v>
      </c>
      <c r="Y315" s="39">
        <v>62</v>
      </c>
      <c r="AB315" s="53">
        <v>62</v>
      </c>
      <c r="AC315" s="35" t="s">
        <v>277</v>
      </c>
    </row>
    <row r="316" spans="1:29" x14ac:dyDescent="0.2">
      <c r="A316" s="48">
        <f t="shared" si="8"/>
        <v>2025</v>
      </c>
      <c r="B316" s="49" t="str">
        <f t="shared" si="9"/>
        <v>SETEMBRO</v>
      </c>
      <c r="C316" s="35">
        <v>68106094</v>
      </c>
      <c r="D316" s="35">
        <v>8448233</v>
      </c>
      <c r="E316" s="35" t="s">
        <v>413</v>
      </c>
      <c r="F316" s="36">
        <v>45916</v>
      </c>
      <c r="G316" s="35" t="s">
        <v>13</v>
      </c>
      <c r="H316" s="35">
        <v>35575473880</v>
      </c>
      <c r="I316" s="35" t="s">
        <v>299</v>
      </c>
      <c r="J316" s="36"/>
      <c r="K316" s="35" t="s">
        <v>386</v>
      </c>
      <c r="L316" s="35" t="s">
        <v>276</v>
      </c>
      <c r="M316" s="35" t="s">
        <v>277</v>
      </c>
      <c r="N316" s="37" t="s">
        <v>386</v>
      </c>
      <c r="P316" s="35" t="s">
        <v>279</v>
      </c>
      <c r="Q316" s="35" t="s">
        <v>286</v>
      </c>
      <c r="R316" s="35" t="s">
        <v>280</v>
      </c>
      <c r="S316" s="35">
        <v>1</v>
      </c>
      <c r="T316" s="38"/>
      <c r="V316" s="39"/>
      <c r="X316" s="39" t="s">
        <v>281</v>
      </c>
      <c r="Y316" s="39">
        <v>34</v>
      </c>
      <c r="AB316" s="53">
        <v>34</v>
      </c>
      <c r="AC316" s="35" t="s">
        <v>277</v>
      </c>
    </row>
    <row r="317" spans="1:29" x14ac:dyDescent="0.2">
      <c r="A317" s="48">
        <f t="shared" si="8"/>
        <v>2025</v>
      </c>
      <c r="B317" s="49" t="str">
        <f t="shared" si="9"/>
        <v>SETEMBRO</v>
      </c>
      <c r="C317" s="35">
        <v>68106654</v>
      </c>
      <c r="D317" s="35">
        <v>8448233</v>
      </c>
      <c r="E317" s="35" t="s">
        <v>413</v>
      </c>
      <c r="F317" s="36">
        <v>45915</v>
      </c>
      <c r="G317" s="35" t="s">
        <v>13</v>
      </c>
      <c r="H317" s="35">
        <v>35575473880</v>
      </c>
      <c r="I317" s="35" t="s">
        <v>299</v>
      </c>
      <c r="J317" s="36"/>
      <c r="K317" s="35" t="s">
        <v>365</v>
      </c>
      <c r="L317" s="35" t="s">
        <v>276</v>
      </c>
      <c r="M317" s="35" t="s">
        <v>277</v>
      </c>
      <c r="N317" s="37" t="s">
        <v>365</v>
      </c>
      <c r="P317" s="35" t="s">
        <v>279</v>
      </c>
      <c r="Q317" s="35" t="s">
        <v>286</v>
      </c>
      <c r="R317" s="35" t="s">
        <v>280</v>
      </c>
      <c r="S317" s="35">
        <v>1</v>
      </c>
      <c r="T317" s="38"/>
      <c r="V317" s="39"/>
      <c r="X317" s="39" t="s">
        <v>281</v>
      </c>
      <c r="Y317" s="39">
        <v>39</v>
      </c>
      <c r="AB317" s="53">
        <v>39</v>
      </c>
      <c r="AC317" s="35" t="s">
        <v>277</v>
      </c>
    </row>
    <row r="318" spans="1:29" x14ac:dyDescent="0.2">
      <c r="A318" s="48">
        <f t="shared" si="8"/>
        <v>2025</v>
      </c>
      <c r="B318" s="49" t="str">
        <f t="shared" si="9"/>
        <v>SETEMBRO</v>
      </c>
      <c r="C318" s="35">
        <v>68105429</v>
      </c>
      <c r="D318" s="35">
        <v>8448233</v>
      </c>
      <c r="E318" s="35" t="s">
        <v>413</v>
      </c>
      <c r="F318" s="36">
        <v>45915</v>
      </c>
      <c r="G318" s="35" t="s">
        <v>13</v>
      </c>
      <c r="H318" s="35">
        <v>35575473880</v>
      </c>
      <c r="I318" s="35" t="s">
        <v>299</v>
      </c>
      <c r="J318" s="36"/>
      <c r="K318" s="35" t="s">
        <v>407</v>
      </c>
      <c r="L318" s="35" t="s">
        <v>282</v>
      </c>
      <c r="M318" s="35" t="s">
        <v>277</v>
      </c>
      <c r="N318" s="37" t="s">
        <v>407</v>
      </c>
      <c r="P318" s="35" t="s">
        <v>279</v>
      </c>
      <c r="Q318" s="35" t="s">
        <v>286</v>
      </c>
      <c r="R318" s="35" t="s">
        <v>280</v>
      </c>
      <c r="S318" s="35">
        <v>1</v>
      </c>
      <c r="T318" s="38"/>
      <c r="V318" s="39"/>
      <c r="X318" s="39" t="s">
        <v>281</v>
      </c>
      <c r="Y318" s="39">
        <v>107.8</v>
      </c>
      <c r="AB318" s="53">
        <v>107.8</v>
      </c>
      <c r="AC318" s="35" t="s">
        <v>277</v>
      </c>
    </row>
    <row r="319" spans="1:29" x14ac:dyDescent="0.2">
      <c r="A319" s="48">
        <f t="shared" si="8"/>
        <v>2025</v>
      </c>
      <c r="B319" s="49" t="str">
        <f t="shared" si="9"/>
        <v>SETEMBRO</v>
      </c>
      <c r="C319" s="35">
        <v>68106934</v>
      </c>
      <c r="D319" s="35">
        <v>8448233</v>
      </c>
      <c r="E319" s="35" t="s">
        <v>413</v>
      </c>
      <c r="F319" s="36">
        <v>45913</v>
      </c>
      <c r="G319" s="35" t="s">
        <v>13</v>
      </c>
      <c r="H319" s="35">
        <v>35575473880</v>
      </c>
      <c r="I319" s="35" t="s">
        <v>299</v>
      </c>
      <c r="J319" s="36"/>
      <c r="K319" s="35" t="s">
        <v>368</v>
      </c>
      <c r="L319" s="35" t="s">
        <v>276</v>
      </c>
      <c r="M319" s="35" t="s">
        <v>277</v>
      </c>
      <c r="N319" s="37" t="s">
        <v>368</v>
      </c>
      <c r="P319" s="35" t="s">
        <v>279</v>
      </c>
      <c r="Q319" s="35" t="s">
        <v>286</v>
      </c>
      <c r="R319" s="35" t="s">
        <v>280</v>
      </c>
      <c r="S319" s="35">
        <v>1</v>
      </c>
      <c r="T319" s="38"/>
      <c r="V319" s="39"/>
      <c r="X319" s="39" t="s">
        <v>281</v>
      </c>
      <c r="Y319" s="39">
        <v>73.94</v>
      </c>
      <c r="AB319" s="53">
        <v>73.94</v>
      </c>
      <c r="AC319" s="35" t="s">
        <v>277</v>
      </c>
    </row>
    <row r="320" spans="1:29" x14ac:dyDescent="0.2">
      <c r="A320" s="48">
        <f t="shared" si="8"/>
        <v>2025</v>
      </c>
      <c r="B320" s="49" t="str">
        <f t="shared" si="9"/>
        <v>SETEMBRO</v>
      </c>
      <c r="C320" s="35">
        <v>68106562</v>
      </c>
      <c r="D320" s="35">
        <v>8448233</v>
      </c>
      <c r="E320" s="35" t="s">
        <v>413</v>
      </c>
      <c r="F320" s="36">
        <v>45912</v>
      </c>
      <c r="G320" s="35" t="s">
        <v>13</v>
      </c>
      <c r="H320" s="35">
        <v>35575473880</v>
      </c>
      <c r="I320" s="35" t="s">
        <v>299</v>
      </c>
      <c r="J320" s="36"/>
      <c r="K320" s="35" t="s">
        <v>403</v>
      </c>
      <c r="L320" s="35" t="s">
        <v>276</v>
      </c>
      <c r="M320" s="35" t="s">
        <v>277</v>
      </c>
      <c r="N320" s="37" t="s">
        <v>403</v>
      </c>
      <c r="P320" s="35" t="s">
        <v>279</v>
      </c>
      <c r="Q320" s="35" t="s">
        <v>286</v>
      </c>
      <c r="R320" s="35" t="s">
        <v>280</v>
      </c>
      <c r="S320" s="35">
        <v>1</v>
      </c>
      <c r="T320" s="38"/>
      <c r="V320" s="39"/>
      <c r="X320" s="39" t="s">
        <v>281</v>
      </c>
      <c r="Y320" s="39">
        <v>69</v>
      </c>
      <c r="AB320" s="53">
        <v>69</v>
      </c>
      <c r="AC320" s="35" t="s">
        <v>277</v>
      </c>
    </row>
    <row r="321" spans="1:29" x14ac:dyDescent="0.2">
      <c r="A321" s="48">
        <f t="shared" si="8"/>
        <v>2025</v>
      </c>
      <c r="B321" s="49" t="str">
        <f t="shared" si="9"/>
        <v>SETEMBRO</v>
      </c>
      <c r="C321" s="35">
        <v>68108550</v>
      </c>
      <c r="D321" s="35">
        <v>8448233</v>
      </c>
      <c r="E321" s="35" t="s">
        <v>413</v>
      </c>
      <c r="F321" s="36">
        <v>45911</v>
      </c>
      <c r="G321" s="35" t="s">
        <v>13</v>
      </c>
      <c r="H321" s="35">
        <v>35575473880</v>
      </c>
      <c r="I321" s="35" t="s">
        <v>299</v>
      </c>
      <c r="J321" s="36"/>
      <c r="K321" s="35" t="s">
        <v>380</v>
      </c>
      <c r="L321" s="35" t="s">
        <v>276</v>
      </c>
      <c r="M321" s="35" t="s">
        <v>277</v>
      </c>
      <c r="N321" s="37" t="s">
        <v>380</v>
      </c>
      <c r="P321" s="35" t="s">
        <v>279</v>
      </c>
      <c r="Q321" s="35" t="s">
        <v>286</v>
      </c>
      <c r="R321" s="35" t="s">
        <v>280</v>
      </c>
      <c r="S321" s="35">
        <v>1</v>
      </c>
      <c r="T321" s="38"/>
      <c r="V321" s="39"/>
      <c r="X321" s="39" t="s">
        <v>281</v>
      </c>
      <c r="Y321" s="39">
        <v>46.9</v>
      </c>
      <c r="AB321" s="53">
        <v>46.9</v>
      </c>
      <c r="AC321" s="35" t="s">
        <v>277</v>
      </c>
    </row>
    <row r="322" spans="1:29" x14ac:dyDescent="0.2">
      <c r="A322" s="48">
        <f t="shared" si="8"/>
        <v>2025</v>
      </c>
      <c r="B322" s="49" t="str">
        <f t="shared" si="9"/>
        <v>SETEMBRO</v>
      </c>
      <c r="C322" s="35">
        <v>68107197</v>
      </c>
      <c r="D322" s="35">
        <v>8448233</v>
      </c>
      <c r="E322" s="35" t="s">
        <v>413</v>
      </c>
      <c r="F322" s="36">
        <v>45911</v>
      </c>
      <c r="G322" s="35" t="s">
        <v>13</v>
      </c>
      <c r="H322" s="35">
        <v>35575473880</v>
      </c>
      <c r="I322" s="35" t="s">
        <v>299</v>
      </c>
      <c r="J322" s="36"/>
      <c r="K322" s="35" t="s">
        <v>367</v>
      </c>
      <c r="L322" s="35" t="s">
        <v>276</v>
      </c>
      <c r="M322" s="35" t="s">
        <v>277</v>
      </c>
      <c r="N322" s="37" t="s">
        <v>367</v>
      </c>
      <c r="P322" s="35" t="s">
        <v>279</v>
      </c>
      <c r="Q322" s="35" t="s">
        <v>286</v>
      </c>
      <c r="R322" s="35" t="s">
        <v>280</v>
      </c>
      <c r="S322" s="35">
        <v>1</v>
      </c>
      <c r="T322" s="38"/>
      <c r="V322" s="39"/>
      <c r="X322" s="39" t="s">
        <v>281</v>
      </c>
      <c r="Y322" s="39">
        <v>10</v>
      </c>
      <c r="AB322" s="53">
        <v>10</v>
      </c>
      <c r="AC322" s="35" t="s">
        <v>277</v>
      </c>
    </row>
    <row r="323" spans="1:29" x14ac:dyDescent="0.2">
      <c r="A323" s="48">
        <f t="shared" ref="A323:A386" si="10">YEAR(F323)</f>
        <v>2025</v>
      </c>
      <c r="B323" s="49" t="str">
        <f t="shared" ref="B323:B386" si="11">UPPER(TEXT(F323,"MMMM"))</f>
        <v>SETEMBRO</v>
      </c>
      <c r="C323" s="35">
        <v>68107281</v>
      </c>
      <c r="D323" s="35">
        <v>8448233</v>
      </c>
      <c r="E323" s="35" t="s">
        <v>413</v>
      </c>
      <c r="F323" s="36">
        <v>45910</v>
      </c>
      <c r="G323" s="35" t="s">
        <v>13</v>
      </c>
      <c r="H323" s="35">
        <v>35575473880</v>
      </c>
      <c r="I323" s="35" t="s">
        <v>299</v>
      </c>
      <c r="J323" s="36"/>
      <c r="K323" s="35" t="s">
        <v>371</v>
      </c>
      <c r="L323" s="35" t="s">
        <v>276</v>
      </c>
      <c r="M323" s="35" t="s">
        <v>277</v>
      </c>
      <c r="N323" s="37" t="s">
        <v>371</v>
      </c>
      <c r="P323" s="35" t="s">
        <v>279</v>
      </c>
      <c r="Q323" s="35" t="s">
        <v>286</v>
      </c>
      <c r="R323" s="35" t="s">
        <v>280</v>
      </c>
      <c r="S323" s="35">
        <v>1</v>
      </c>
      <c r="T323" s="38"/>
      <c r="V323" s="39"/>
      <c r="X323" s="39" t="s">
        <v>281</v>
      </c>
      <c r="Y323" s="39">
        <v>49.7</v>
      </c>
      <c r="AB323" s="53">
        <v>49.7</v>
      </c>
      <c r="AC323" s="35" t="s">
        <v>277</v>
      </c>
    </row>
    <row r="324" spans="1:29" x14ac:dyDescent="0.2">
      <c r="A324" s="48">
        <f t="shared" si="10"/>
        <v>2025</v>
      </c>
      <c r="B324" s="49" t="str">
        <f t="shared" si="11"/>
        <v>SETEMBRO</v>
      </c>
      <c r="C324" s="35">
        <v>68104905</v>
      </c>
      <c r="D324" s="35">
        <v>8448233</v>
      </c>
      <c r="E324" s="35" t="s">
        <v>413</v>
      </c>
      <c r="F324" s="36">
        <v>45909</v>
      </c>
      <c r="G324" s="35" t="s">
        <v>13</v>
      </c>
      <c r="H324" s="35">
        <v>35575473880</v>
      </c>
      <c r="I324" s="35" t="s">
        <v>299</v>
      </c>
      <c r="J324" s="36"/>
      <c r="K324" s="35" t="s">
        <v>301</v>
      </c>
      <c r="L324" s="35" t="s">
        <v>282</v>
      </c>
      <c r="M324" s="35" t="s">
        <v>277</v>
      </c>
      <c r="N324" s="37" t="s">
        <v>430</v>
      </c>
      <c r="P324" s="35" t="s">
        <v>279</v>
      </c>
      <c r="Q324" s="35" t="s">
        <v>286</v>
      </c>
      <c r="R324" s="35" t="s">
        <v>280</v>
      </c>
      <c r="S324" s="35">
        <v>1</v>
      </c>
      <c r="T324" s="38"/>
      <c r="V324" s="39"/>
      <c r="X324" s="39" t="s">
        <v>281</v>
      </c>
      <c r="Y324" s="39">
        <v>31.1</v>
      </c>
      <c r="AB324" s="53">
        <v>31.1</v>
      </c>
      <c r="AC324" s="35" t="s">
        <v>277</v>
      </c>
    </row>
    <row r="325" spans="1:29" x14ac:dyDescent="0.2">
      <c r="A325" s="48">
        <f t="shared" si="10"/>
        <v>2025</v>
      </c>
      <c r="B325" s="49" t="str">
        <f t="shared" si="11"/>
        <v>SETEMBRO</v>
      </c>
      <c r="C325" s="35">
        <v>69184377</v>
      </c>
      <c r="D325" s="35">
        <v>8448233</v>
      </c>
      <c r="E325" s="35" t="s">
        <v>413</v>
      </c>
      <c r="F325" s="36">
        <v>45908</v>
      </c>
      <c r="G325" s="35" t="s">
        <v>13</v>
      </c>
      <c r="H325" s="35">
        <v>35575473880</v>
      </c>
      <c r="I325" s="35" t="s">
        <v>299</v>
      </c>
      <c r="J325" s="36"/>
      <c r="K325" s="35" t="s">
        <v>396</v>
      </c>
      <c r="L325" s="35" t="s">
        <v>282</v>
      </c>
      <c r="M325" s="35" t="s">
        <v>277</v>
      </c>
      <c r="N325" s="37" t="s">
        <v>431</v>
      </c>
      <c r="P325" s="35" t="s">
        <v>279</v>
      </c>
      <c r="Q325" s="35" t="s">
        <v>286</v>
      </c>
      <c r="R325" s="35" t="s">
        <v>280</v>
      </c>
      <c r="S325" s="35">
        <v>1</v>
      </c>
      <c r="T325" s="38"/>
      <c r="V325" s="39"/>
      <c r="X325" s="39" t="s">
        <v>281</v>
      </c>
      <c r="Y325" s="39">
        <v>41.1</v>
      </c>
      <c r="AB325" s="53">
        <v>41.1</v>
      </c>
      <c r="AC325" s="35" t="s">
        <v>277</v>
      </c>
    </row>
    <row r="326" spans="1:29" x14ac:dyDescent="0.2">
      <c r="A326" s="48">
        <f t="shared" si="10"/>
        <v>2025</v>
      </c>
      <c r="B326" s="49" t="str">
        <f t="shared" si="11"/>
        <v>SETEMBRO</v>
      </c>
      <c r="C326" s="35">
        <v>68107419</v>
      </c>
      <c r="D326" s="35">
        <v>8448233</v>
      </c>
      <c r="E326" s="35" t="s">
        <v>413</v>
      </c>
      <c r="F326" s="36">
        <v>45908</v>
      </c>
      <c r="G326" s="35" t="s">
        <v>13</v>
      </c>
      <c r="H326" s="35">
        <v>35575473880</v>
      </c>
      <c r="I326" s="35" t="s">
        <v>299</v>
      </c>
      <c r="J326" s="36"/>
      <c r="K326" s="35" t="s">
        <v>382</v>
      </c>
      <c r="L326" s="35" t="s">
        <v>276</v>
      </c>
      <c r="M326" s="35" t="s">
        <v>277</v>
      </c>
      <c r="N326" s="37" t="s">
        <v>382</v>
      </c>
      <c r="P326" s="35" t="s">
        <v>279</v>
      </c>
      <c r="Q326" s="35" t="s">
        <v>286</v>
      </c>
      <c r="R326" s="35" t="s">
        <v>280</v>
      </c>
      <c r="S326" s="35">
        <v>1</v>
      </c>
      <c r="T326" s="38"/>
      <c r="V326" s="39"/>
      <c r="X326" s="39" t="s">
        <v>281</v>
      </c>
      <c r="Y326" s="39">
        <v>132.9</v>
      </c>
      <c r="AB326" s="53">
        <v>132.9</v>
      </c>
      <c r="AC326" s="35" t="s">
        <v>277</v>
      </c>
    </row>
    <row r="327" spans="1:29" x14ac:dyDescent="0.2">
      <c r="A327" s="48">
        <f t="shared" si="10"/>
        <v>2025</v>
      </c>
      <c r="B327" s="49" t="str">
        <f t="shared" si="11"/>
        <v>SETEMBRO</v>
      </c>
      <c r="C327" s="35">
        <v>68108866</v>
      </c>
      <c r="D327" s="35">
        <v>8448233</v>
      </c>
      <c r="E327" s="35" t="s">
        <v>413</v>
      </c>
      <c r="F327" s="36">
        <v>45906</v>
      </c>
      <c r="G327" s="35" t="s">
        <v>13</v>
      </c>
      <c r="H327" s="35">
        <v>35575473880</v>
      </c>
      <c r="I327" s="35" t="s">
        <v>299</v>
      </c>
      <c r="J327" s="36"/>
      <c r="K327" s="35" t="s">
        <v>376</v>
      </c>
      <c r="L327" s="35" t="s">
        <v>276</v>
      </c>
      <c r="M327" s="35" t="s">
        <v>277</v>
      </c>
      <c r="N327" s="37" t="s">
        <v>376</v>
      </c>
      <c r="P327" s="35" t="s">
        <v>279</v>
      </c>
      <c r="Q327" s="35" t="s">
        <v>286</v>
      </c>
      <c r="R327" s="35" t="s">
        <v>280</v>
      </c>
      <c r="S327" s="35">
        <v>1</v>
      </c>
      <c r="T327" s="38"/>
      <c r="V327" s="39"/>
      <c r="X327" s="39" t="s">
        <v>281</v>
      </c>
      <c r="Y327" s="39">
        <v>246.96</v>
      </c>
      <c r="AB327" s="53">
        <v>246.96</v>
      </c>
      <c r="AC327" s="35" t="s">
        <v>277</v>
      </c>
    </row>
    <row r="328" spans="1:29" x14ac:dyDescent="0.2">
      <c r="A328" s="48">
        <f t="shared" si="10"/>
        <v>2025</v>
      </c>
      <c r="B328" s="49" t="str">
        <f t="shared" si="11"/>
        <v>SETEMBRO</v>
      </c>
      <c r="C328" s="35">
        <v>68108709</v>
      </c>
      <c r="D328" s="35">
        <v>8448233</v>
      </c>
      <c r="E328" s="35" t="s">
        <v>413</v>
      </c>
      <c r="F328" s="36">
        <v>45906</v>
      </c>
      <c r="G328" s="35" t="s">
        <v>13</v>
      </c>
      <c r="H328" s="35">
        <v>35575473880</v>
      </c>
      <c r="I328" s="35" t="s">
        <v>299</v>
      </c>
      <c r="J328" s="36"/>
      <c r="K328" s="35" t="s">
        <v>375</v>
      </c>
      <c r="L328" s="35" t="s">
        <v>276</v>
      </c>
      <c r="M328" s="35" t="s">
        <v>277</v>
      </c>
      <c r="N328" s="37" t="s">
        <v>375</v>
      </c>
      <c r="P328" s="35" t="s">
        <v>279</v>
      </c>
      <c r="Q328" s="35" t="s">
        <v>286</v>
      </c>
      <c r="R328" s="35" t="s">
        <v>280</v>
      </c>
      <c r="S328" s="35">
        <v>1</v>
      </c>
      <c r="T328" s="38"/>
      <c r="V328" s="39"/>
      <c r="X328" s="39" t="s">
        <v>281</v>
      </c>
      <c r="Y328" s="39">
        <v>20.2</v>
      </c>
      <c r="AB328" s="53">
        <v>20.2</v>
      </c>
      <c r="AC328" s="35" t="s">
        <v>277</v>
      </c>
    </row>
    <row r="329" spans="1:29" x14ac:dyDescent="0.2">
      <c r="A329" s="48">
        <f t="shared" si="10"/>
        <v>2025</v>
      </c>
      <c r="B329" s="49" t="str">
        <f t="shared" si="11"/>
        <v>SETEMBRO</v>
      </c>
      <c r="C329" s="35">
        <v>68108799</v>
      </c>
      <c r="D329" s="35">
        <v>8448233</v>
      </c>
      <c r="E329" s="35" t="s">
        <v>413</v>
      </c>
      <c r="F329" s="36">
        <v>45904</v>
      </c>
      <c r="G329" s="35" t="s">
        <v>13</v>
      </c>
      <c r="H329" s="35">
        <v>35575473880</v>
      </c>
      <c r="I329" s="35" t="s">
        <v>299</v>
      </c>
      <c r="J329" s="36"/>
      <c r="K329" s="35" t="s">
        <v>374</v>
      </c>
      <c r="L329" s="35" t="s">
        <v>276</v>
      </c>
      <c r="M329" s="35" t="s">
        <v>277</v>
      </c>
      <c r="N329" s="37" t="s">
        <v>374</v>
      </c>
      <c r="P329" s="35" t="s">
        <v>279</v>
      </c>
      <c r="Q329" s="35" t="s">
        <v>286</v>
      </c>
      <c r="R329" s="35" t="s">
        <v>280</v>
      </c>
      <c r="S329" s="35">
        <v>1</v>
      </c>
      <c r="T329" s="38"/>
      <c r="V329" s="39"/>
      <c r="X329" s="39" t="s">
        <v>281</v>
      </c>
      <c r="Y329" s="39">
        <v>29.97</v>
      </c>
      <c r="AB329" s="53">
        <v>29.97</v>
      </c>
      <c r="AC329" s="35" t="s">
        <v>277</v>
      </c>
    </row>
    <row r="330" spans="1:29" x14ac:dyDescent="0.2">
      <c r="A330" s="48">
        <f t="shared" si="10"/>
        <v>2025</v>
      </c>
      <c r="B330" s="49" t="str">
        <f t="shared" si="11"/>
        <v>SETEMBRO</v>
      </c>
      <c r="C330" s="35">
        <v>69192408</v>
      </c>
      <c r="D330" s="35">
        <v>8448233</v>
      </c>
      <c r="E330" s="35" t="s">
        <v>413</v>
      </c>
      <c r="F330" s="36">
        <v>45903</v>
      </c>
      <c r="G330" s="35" t="s">
        <v>13</v>
      </c>
      <c r="H330" s="35">
        <v>35575473880</v>
      </c>
      <c r="I330" s="35" t="s">
        <v>299</v>
      </c>
      <c r="J330" s="36"/>
      <c r="K330" s="35" t="s">
        <v>431</v>
      </c>
      <c r="L330" s="35" t="s">
        <v>276</v>
      </c>
      <c r="M330" s="35" t="s">
        <v>277</v>
      </c>
      <c r="N330" s="37" t="s">
        <v>431</v>
      </c>
      <c r="P330" s="35" t="s">
        <v>279</v>
      </c>
      <c r="Q330" s="35" t="s">
        <v>286</v>
      </c>
      <c r="R330" s="35" t="s">
        <v>280</v>
      </c>
      <c r="S330" s="35">
        <v>1</v>
      </c>
      <c r="T330" s="38"/>
      <c r="V330" s="39"/>
      <c r="X330" s="39" t="s">
        <v>281</v>
      </c>
      <c r="Y330" s="39">
        <v>5.5</v>
      </c>
      <c r="AB330" s="53">
        <v>5.5</v>
      </c>
      <c r="AC330" s="35" t="s">
        <v>277</v>
      </c>
    </row>
    <row r="331" spans="1:29" x14ac:dyDescent="0.2">
      <c r="A331" s="48">
        <f t="shared" si="10"/>
        <v>2025</v>
      </c>
      <c r="B331" s="49" t="str">
        <f t="shared" si="11"/>
        <v>SETEMBRO</v>
      </c>
      <c r="C331" s="35">
        <v>68104793</v>
      </c>
      <c r="D331" s="35">
        <v>8448233</v>
      </c>
      <c r="E331" s="35" t="s">
        <v>413</v>
      </c>
      <c r="F331" s="36">
        <v>45903</v>
      </c>
      <c r="G331" s="35" t="s">
        <v>13</v>
      </c>
      <c r="H331" s="35">
        <v>35575473880</v>
      </c>
      <c r="I331" s="35" t="s">
        <v>299</v>
      </c>
      <c r="J331" s="36"/>
      <c r="K331" s="35" t="s">
        <v>288</v>
      </c>
      <c r="L331" s="35" t="s">
        <v>282</v>
      </c>
      <c r="M331" s="35" t="s">
        <v>277</v>
      </c>
      <c r="N331" s="37" t="s">
        <v>288</v>
      </c>
      <c r="P331" s="35" t="s">
        <v>279</v>
      </c>
      <c r="Q331" s="35" t="s">
        <v>286</v>
      </c>
      <c r="R331" s="35" t="s">
        <v>280</v>
      </c>
      <c r="S331" s="35">
        <v>1</v>
      </c>
      <c r="T331" s="38"/>
      <c r="V331" s="39"/>
      <c r="X331" s="39" t="s">
        <v>281</v>
      </c>
      <c r="Y331" s="39">
        <v>26.21</v>
      </c>
      <c r="AB331" s="53">
        <v>26.21</v>
      </c>
      <c r="AC331" s="35" t="s">
        <v>277</v>
      </c>
    </row>
    <row r="332" spans="1:29" x14ac:dyDescent="0.2">
      <c r="A332" s="48">
        <f t="shared" si="10"/>
        <v>2025</v>
      </c>
      <c r="B332" s="49" t="str">
        <f t="shared" si="11"/>
        <v>SETEMBRO</v>
      </c>
      <c r="C332" s="35">
        <v>68106784</v>
      </c>
      <c r="D332" s="35">
        <v>8448233</v>
      </c>
      <c r="E332" s="35" t="s">
        <v>413</v>
      </c>
      <c r="F332" s="36">
        <v>45902</v>
      </c>
      <c r="G332" s="35" t="s">
        <v>13</v>
      </c>
      <c r="H332" s="35">
        <v>35575473880</v>
      </c>
      <c r="I332" s="35" t="s">
        <v>299</v>
      </c>
      <c r="J332" s="36"/>
      <c r="K332" s="35" t="s">
        <v>369</v>
      </c>
      <c r="L332" s="35" t="s">
        <v>276</v>
      </c>
      <c r="M332" s="35" t="s">
        <v>277</v>
      </c>
      <c r="N332" s="37" t="s">
        <v>369</v>
      </c>
      <c r="P332" s="35" t="s">
        <v>279</v>
      </c>
      <c r="Q332" s="35" t="s">
        <v>286</v>
      </c>
      <c r="R332" s="35" t="s">
        <v>280</v>
      </c>
      <c r="S332" s="35">
        <v>1</v>
      </c>
      <c r="T332" s="38"/>
      <c r="V332" s="39"/>
      <c r="X332" s="39" t="s">
        <v>281</v>
      </c>
      <c r="Y332" s="39">
        <v>134.22</v>
      </c>
      <c r="AB332" s="53">
        <v>134.22</v>
      </c>
      <c r="AC332" s="35" t="s">
        <v>277</v>
      </c>
    </row>
    <row r="333" spans="1:29" x14ac:dyDescent="0.2">
      <c r="A333" s="48">
        <f t="shared" si="10"/>
        <v>2025</v>
      </c>
      <c r="B333" s="49" t="str">
        <f t="shared" si="11"/>
        <v>SETEMBRO</v>
      </c>
      <c r="C333" s="35">
        <v>68105131</v>
      </c>
      <c r="D333" s="35">
        <v>8448233</v>
      </c>
      <c r="E333" s="35" t="s">
        <v>413</v>
      </c>
      <c r="F333" s="36">
        <v>45902</v>
      </c>
      <c r="G333" s="35" t="s">
        <v>13</v>
      </c>
      <c r="H333" s="35">
        <v>35575473880</v>
      </c>
      <c r="I333" s="35" t="s">
        <v>299</v>
      </c>
      <c r="J333" s="36"/>
      <c r="K333" s="35" t="s">
        <v>401</v>
      </c>
      <c r="L333" s="35" t="s">
        <v>282</v>
      </c>
      <c r="M333" s="35" t="s">
        <v>277</v>
      </c>
      <c r="N333" s="37" t="s">
        <v>401</v>
      </c>
      <c r="P333" s="35" t="s">
        <v>279</v>
      </c>
      <c r="Q333" s="35" t="s">
        <v>286</v>
      </c>
      <c r="R333" s="35" t="s">
        <v>280</v>
      </c>
      <c r="S333" s="35">
        <v>1</v>
      </c>
      <c r="T333" s="38"/>
      <c r="V333" s="39"/>
      <c r="X333" s="39" t="s">
        <v>281</v>
      </c>
      <c r="Y333" s="39">
        <v>31</v>
      </c>
      <c r="AB333" s="53">
        <v>31</v>
      </c>
      <c r="AC333" s="35" t="s">
        <v>277</v>
      </c>
    </row>
    <row r="334" spans="1:29" x14ac:dyDescent="0.2">
      <c r="A334" s="48">
        <f t="shared" si="10"/>
        <v>2025</v>
      </c>
      <c r="B334" s="49" t="str">
        <f t="shared" si="11"/>
        <v>SETEMBRO</v>
      </c>
      <c r="C334" s="35">
        <v>68105225</v>
      </c>
      <c r="D334" s="35">
        <v>8448233</v>
      </c>
      <c r="E334" s="35" t="s">
        <v>413</v>
      </c>
      <c r="F334" s="36">
        <v>45901</v>
      </c>
      <c r="G334" s="35" t="s">
        <v>13</v>
      </c>
      <c r="H334" s="35">
        <v>35575473880</v>
      </c>
      <c r="I334" s="35" t="s">
        <v>299</v>
      </c>
      <c r="J334" s="36"/>
      <c r="K334" s="35" t="s">
        <v>402</v>
      </c>
      <c r="L334" s="35" t="s">
        <v>282</v>
      </c>
      <c r="M334" s="35" t="s">
        <v>277</v>
      </c>
      <c r="N334" s="37" t="s">
        <v>402</v>
      </c>
      <c r="P334" s="35" t="s">
        <v>279</v>
      </c>
      <c r="Q334" s="35" t="s">
        <v>286</v>
      </c>
      <c r="R334" s="35" t="s">
        <v>280</v>
      </c>
      <c r="S334" s="35">
        <v>1</v>
      </c>
      <c r="T334" s="38"/>
      <c r="V334" s="39"/>
      <c r="X334" s="39" t="s">
        <v>281</v>
      </c>
      <c r="Y334" s="39">
        <v>50</v>
      </c>
      <c r="AB334" s="53">
        <v>50</v>
      </c>
      <c r="AC334" s="35" t="s">
        <v>277</v>
      </c>
    </row>
    <row r="335" spans="1:29" x14ac:dyDescent="0.2">
      <c r="A335" s="48">
        <f t="shared" si="10"/>
        <v>2025</v>
      </c>
      <c r="B335" s="49" t="str">
        <f t="shared" si="11"/>
        <v>SETEMBRO</v>
      </c>
      <c r="C335" s="35">
        <v>68104664</v>
      </c>
      <c r="D335" s="35">
        <v>8448233</v>
      </c>
      <c r="E335" s="35" t="s">
        <v>413</v>
      </c>
      <c r="F335" s="36">
        <v>45901</v>
      </c>
      <c r="G335" s="35" t="s">
        <v>13</v>
      </c>
      <c r="H335" s="35">
        <v>35575473880</v>
      </c>
      <c r="I335" s="35" t="s">
        <v>299</v>
      </c>
      <c r="J335" s="36"/>
      <c r="K335" s="35" t="s">
        <v>399</v>
      </c>
      <c r="L335" s="35" t="s">
        <v>282</v>
      </c>
      <c r="M335" s="35" t="s">
        <v>277</v>
      </c>
      <c r="N335" s="37" t="s">
        <v>399</v>
      </c>
      <c r="P335" s="35" t="s">
        <v>279</v>
      </c>
      <c r="Q335" s="35" t="s">
        <v>286</v>
      </c>
      <c r="R335" s="35" t="s">
        <v>280</v>
      </c>
      <c r="S335" s="35">
        <v>1</v>
      </c>
      <c r="T335" s="38"/>
      <c r="V335" s="39"/>
      <c r="X335" s="39" t="s">
        <v>281</v>
      </c>
      <c r="Y335" s="39">
        <v>83.8</v>
      </c>
      <c r="AB335" s="53">
        <v>83.8</v>
      </c>
      <c r="AC335" s="35" t="s">
        <v>277</v>
      </c>
    </row>
    <row r="336" spans="1:29" x14ac:dyDescent="0.2">
      <c r="A336" s="48">
        <f t="shared" si="10"/>
        <v>2025</v>
      </c>
      <c r="B336" s="49" t="str">
        <f t="shared" si="11"/>
        <v>AGOSTO</v>
      </c>
      <c r="C336" s="35">
        <v>68107055</v>
      </c>
      <c r="D336" s="35">
        <v>8448233</v>
      </c>
      <c r="E336" s="35" t="s">
        <v>413</v>
      </c>
      <c r="F336" s="36">
        <v>45896</v>
      </c>
      <c r="G336" s="35" t="s">
        <v>13</v>
      </c>
      <c r="H336" s="35">
        <v>35575473880</v>
      </c>
      <c r="I336" s="35" t="s">
        <v>299</v>
      </c>
      <c r="J336" s="36"/>
      <c r="K336" s="35" t="s">
        <v>367</v>
      </c>
      <c r="L336" s="35" t="s">
        <v>276</v>
      </c>
      <c r="M336" s="35" t="s">
        <v>277</v>
      </c>
      <c r="N336" s="37" t="s">
        <v>367</v>
      </c>
      <c r="P336" s="35" t="s">
        <v>279</v>
      </c>
      <c r="Q336" s="35" t="s">
        <v>286</v>
      </c>
      <c r="R336" s="35" t="s">
        <v>280</v>
      </c>
      <c r="S336" s="35">
        <v>1</v>
      </c>
      <c r="T336" s="38"/>
      <c r="V336" s="39"/>
      <c r="X336" s="39" t="s">
        <v>281</v>
      </c>
      <c r="Y336" s="39">
        <v>12.97</v>
      </c>
      <c r="AB336" s="53">
        <v>12.97</v>
      </c>
      <c r="AC336" s="35" t="s">
        <v>277</v>
      </c>
    </row>
    <row r="337" spans="1:29" x14ac:dyDescent="0.2">
      <c r="A337" s="48">
        <f t="shared" si="10"/>
        <v>2025</v>
      </c>
      <c r="B337" s="49" t="str">
        <f t="shared" si="11"/>
        <v>SETEMBRO</v>
      </c>
      <c r="C337" s="35">
        <v>67343855</v>
      </c>
      <c r="D337" s="35">
        <v>8293794</v>
      </c>
      <c r="E337" s="35" t="s">
        <v>432</v>
      </c>
      <c r="F337" s="36">
        <v>45905</v>
      </c>
      <c r="G337" s="35" t="s">
        <v>13</v>
      </c>
      <c r="H337" s="35">
        <v>35575473880</v>
      </c>
      <c r="I337" s="35" t="s">
        <v>299</v>
      </c>
      <c r="J337" s="36"/>
      <c r="K337" s="35" t="s">
        <v>404</v>
      </c>
      <c r="L337" s="35" t="s">
        <v>276</v>
      </c>
      <c r="M337" s="35" t="s">
        <v>277</v>
      </c>
      <c r="N337" s="37" t="s">
        <v>433</v>
      </c>
      <c r="P337" s="35" t="s">
        <v>279</v>
      </c>
      <c r="Q337" s="35" t="s">
        <v>286</v>
      </c>
      <c r="R337" s="35" t="s">
        <v>280</v>
      </c>
      <c r="S337" s="35">
        <v>1</v>
      </c>
      <c r="T337" s="38"/>
      <c r="V337" s="39"/>
      <c r="W337" s="35">
        <v>0</v>
      </c>
      <c r="X337" s="39" t="s">
        <v>281</v>
      </c>
      <c r="Y337" s="39">
        <v>45</v>
      </c>
      <c r="AB337" s="53">
        <v>45</v>
      </c>
      <c r="AC337" s="35" t="s">
        <v>277</v>
      </c>
    </row>
    <row r="338" spans="1:29" x14ac:dyDescent="0.2">
      <c r="A338" s="48">
        <f t="shared" si="10"/>
        <v>2025</v>
      </c>
      <c r="B338" s="49" t="str">
        <f t="shared" si="11"/>
        <v>SETEMBRO</v>
      </c>
      <c r="C338" s="35">
        <v>67343746</v>
      </c>
      <c r="D338" s="35">
        <v>8293794</v>
      </c>
      <c r="E338" s="35" t="s">
        <v>432</v>
      </c>
      <c r="F338" s="36">
        <v>45905</v>
      </c>
      <c r="G338" s="35" t="s">
        <v>13</v>
      </c>
      <c r="H338" s="35">
        <v>35575473880</v>
      </c>
      <c r="I338" s="35" t="s">
        <v>299</v>
      </c>
      <c r="J338" s="36"/>
      <c r="K338" s="35" t="s">
        <v>375</v>
      </c>
      <c r="L338" s="35" t="s">
        <v>276</v>
      </c>
      <c r="M338" s="35" t="s">
        <v>277</v>
      </c>
      <c r="N338" s="37" t="s">
        <v>434</v>
      </c>
      <c r="P338" s="35" t="s">
        <v>279</v>
      </c>
      <c r="Q338" s="35" t="s">
        <v>286</v>
      </c>
      <c r="R338" s="35" t="s">
        <v>280</v>
      </c>
      <c r="S338" s="35">
        <v>1</v>
      </c>
      <c r="T338" s="38"/>
      <c r="V338" s="39"/>
      <c r="W338" s="35">
        <v>0</v>
      </c>
      <c r="X338" s="39" t="s">
        <v>281</v>
      </c>
      <c r="Y338" s="39">
        <v>76</v>
      </c>
      <c r="AB338" s="53">
        <v>76</v>
      </c>
      <c r="AC338" s="35" t="s">
        <v>277</v>
      </c>
    </row>
    <row r="339" spans="1:29" x14ac:dyDescent="0.2">
      <c r="A339" s="48">
        <f t="shared" si="10"/>
        <v>2025</v>
      </c>
      <c r="B339" s="49" t="str">
        <f t="shared" si="11"/>
        <v>SETEMBRO</v>
      </c>
      <c r="C339" s="35">
        <v>67343706</v>
      </c>
      <c r="D339" s="35">
        <v>8293794</v>
      </c>
      <c r="E339" s="35" t="s">
        <v>432</v>
      </c>
      <c r="F339" s="36">
        <v>45905</v>
      </c>
      <c r="G339" s="35" t="s">
        <v>13</v>
      </c>
      <c r="H339" s="35">
        <v>35575473880</v>
      </c>
      <c r="I339" s="35" t="s">
        <v>299</v>
      </c>
      <c r="J339" s="36"/>
      <c r="K339" s="35" t="s">
        <v>377</v>
      </c>
      <c r="L339" s="35" t="s">
        <v>276</v>
      </c>
      <c r="M339" s="35" t="s">
        <v>277</v>
      </c>
      <c r="N339" s="37" t="s">
        <v>435</v>
      </c>
      <c r="P339" s="35" t="s">
        <v>279</v>
      </c>
      <c r="Q339" s="35" t="s">
        <v>286</v>
      </c>
      <c r="R339" s="35" t="s">
        <v>280</v>
      </c>
      <c r="S339" s="35">
        <v>1</v>
      </c>
      <c r="T339" s="38"/>
      <c r="V339" s="39"/>
      <c r="W339" s="35">
        <v>0</v>
      </c>
      <c r="X339" s="39" t="s">
        <v>281</v>
      </c>
      <c r="Y339" s="39">
        <v>60</v>
      </c>
      <c r="AB339" s="53">
        <v>60</v>
      </c>
      <c r="AC339" s="35" t="s">
        <v>277</v>
      </c>
    </row>
    <row r="340" spans="1:29" x14ac:dyDescent="0.2">
      <c r="A340" s="48">
        <f t="shared" si="10"/>
        <v>2025</v>
      </c>
      <c r="B340" s="49" t="str">
        <f t="shared" si="11"/>
        <v>SETEMBRO</v>
      </c>
      <c r="C340" s="35">
        <v>67343802</v>
      </c>
      <c r="D340" s="35">
        <v>8293794</v>
      </c>
      <c r="E340" s="35" t="s">
        <v>432</v>
      </c>
      <c r="F340" s="36">
        <v>45904</v>
      </c>
      <c r="G340" s="35" t="s">
        <v>13</v>
      </c>
      <c r="H340" s="35">
        <v>35575473880</v>
      </c>
      <c r="I340" s="35" t="s">
        <v>299</v>
      </c>
      <c r="J340" s="36"/>
      <c r="K340" s="35" t="s">
        <v>374</v>
      </c>
      <c r="L340" s="35" t="s">
        <v>276</v>
      </c>
      <c r="M340" s="35" t="s">
        <v>277</v>
      </c>
      <c r="N340" s="37" t="s">
        <v>433</v>
      </c>
      <c r="P340" s="35" t="s">
        <v>279</v>
      </c>
      <c r="Q340" s="35" t="s">
        <v>286</v>
      </c>
      <c r="R340" s="35" t="s">
        <v>280</v>
      </c>
      <c r="S340" s="35">
        <v>1</v>
      </c>
      <c r="T340" s="38"/>
      <c r="V340" s="39"/>
      <c r="W340" s="35">
        <v>0</v>
      </c>
      <c r="X340" s="39" t="s">
        <v>281</v>
      </c>
      <c r="Y340" s="39">
        <v>78.2</v>
      </c>
      <c r="AB340" s="53">
        <v>78.2</v>
      </c>
      <c r="AC340" s="35" t="s">
        <v>277</v>
      </c>
    </row>
    <row r="341" spans="1:29" x14ac:dyDescent="0.2">
      <c r="A341" s="48">
        <f t="shared" si="10"/>
        <v>2025</v>
      </c>
      <c r="B341" s="49" t="str">
        <f t="shared" si="11"/>
        <v>AGOSTO</v>
      </c>
      <c r="C341" s="35">
        <v>66916417</v>
      </c>
      <c r="D341" s="35">
        <v>8293794</v>
      </c>
      <c r="E341" s="35" t="s">
        <v>432</v>
      </c>
      <c r="F341" s="36">
        <v>45897</v>
      </c>
      <c r="G341" s="35" t="s">
        <v>13</v>
      </c>
      <c r="H341" s="35">
        <v>35575473880</v>
      </c>
      <c r="I341" s="35" t="s">
        <v>299</v>
      </c>
      <c r="J341" s="36"/>
      <c r="K341" s="35" t="s">
        <v>402</v>
      </c>
      <c r="L341" s="35" t="s">
        <v>276</v>
      </c>
      <c r="M341" s="35" t="s">
        <v>277</v>
      </c>
      <c r="N341" s="37" t="s">
        <v>402</v>
      </c>
      <c r="P341" s="35" t="s">
        <v>279</v>
      </c>
      <c r="Q341" s="35" t="s">
        <v>286</v>
      </c>
      <c r="R341" s="35" t="s">
        <v>280</v>
      </c>
      <c r="S341" s="35">
        <v>1</v>
      </c>
      <c r="T341" s="38"/>
      <c r="V341" s="39"/>
      <c r="W341" s="35">
        <v>0</v>
      </c>
      <c r="X341" s="39" t="s">
        <v>281</v>
      </c>
      <c r="Y341" s="39">
        <v>31</v>
      </c>
      <c r="AB341" s="53">
        <v>31</v>
      </c>
      <c r="AC341" s="35" t="s">
        <v>277</v>
      </c>
    </row>
    <row r="342" spans="1:29" x14ac:dyDescent="0.2">
      <c r="A342" s="48">
        <f t="shared" si="10"/>
        <v>2025</v>
      </c>
      <c r="B342" s="49" t="str">
        <f t="shared" si="11"/>
        <v>AGOSTO</v>
      </c>
      <c r="C342" s="35">
        <v>66925862</v>
      </c>
      <c r="D342" s="35">
        <v>8293794</v>
      </c>
      <c r="E342" s="35" t="s">
        <v>432</v>
      </c>
      <c r="F342" s="36">
        <v>45896</v>
      </c>
      <c r="G342" s="35" t="s">
        <v>13</v>
      </c>
      <c r="H342" s="35">
        <v>35575473880</v>
      </c>
      <c r="I342" s="35" t="s">
        <v>299</v>
      </c>
      <c r="J342" s="36"/>
      <c r="K342" s="35" t="s">
        <v>380</v>
      </c>
      <c r="L342" s="35" t="s">
        <v>282</v>
      </c>
      <c r="M342" s="35" t="s">
        <v>277</v>
      </c>
      <c r="N342" s="37" t="s">
        <v>380</v>
      </c>
      <c r="P342" s="35" t="s">
        <v>279</v>
      </c>
      <c r="Q342" s="35" t="s">
        <v>286</v>
      </c>
      <c r="R342" s="35" t="s">
        <v>280</v>
      </c>
      <c r="S342" s="35">
        <v>1</v>
      </c>
      <c r="T342" s="38"/>
      <c r="V342" s="39"/>
      <c r="W342" s="35">
        <v>0</v>
      </c>
      <c r="X342" s="39" t="s">
        <v>281</v>
      </c>
      <c r="Y342" s="39">
        <v>102</v>
      </c>
      <c r="AB342" s="53">
        <v>102</v>
      </c>
      <c r="AC342" s="35" t="s">
        <v>277</v>
      </c>
    </row>
    <row r="343" spans="1:29" x14ac:dyDescent="0.2">
      <c r="A343" s="48">
        <f t="shared" si="10"/>
        <v>2025</v>
      </c>
      <c r="B343" s="49" t="str">
        <f t="shared" si="11"/>
        <v>AGOSTO</v>
      </c>
      <c r="C343" s="35">
        <v>66917382</v>
      </c>
      <c r="D343" s="35">
        <v>8293794</v>
      </c>
      <c r="E343" s="35" t="s">
        <v>432</v>
      </c>
      <c r="F343" s="36">
        <v>45896</v>
      </c>
      <c r="G343" s="35" t="s">
        <v>13</v>
      </c>
      <c r="H343" s="35">
        <v>35575473880</v>
      </c>
      <c r="I343" s="35" t="s">
        <v>299</v>
      </c>
      <c r="J343" s="36"/>
      <c r="K343" s="35" t="s">
        <v>405</v>
      </c>
      <c r="L343" s="35" t="s">
        <v>276</v>
      </c>
      <c r="M343" s="35" t="s">
        <v>277</v>
      </c>
      <c r="N343" s="37" t="s">
        <v>405</v>
      </c>
      <c r="P343" s="35" t="s">
        <v>279</v>
      </c>
      <c r="Q343" s="35" t="s">
        <v>286</v>
      </c>
      <c r="R343" s="35" t="s">
        <v>280</v>
      </c>
      <c r="S343" s="35">
        <v>1</v>
      </c>
      <c r="T343" s="38"/>
      <c r="V343" s="39"/>
      <c r="X343" s="39" t="s">
        <v>281</v>
      </c>
      <c r="Y343" s="39">
        <v>151.74</v>
      </c>
      <c r="AB343" s="53">
        <v>151.74</v>
      </c>
      <c r="AC343" s="35" t="s">
        <v>277</v>
      </c>
    </row>
    <row r="344" spans="1:29" x14ac:dyDescent="0.2">
      <c r="A344" s="48">
        <f t="shared" si="10"/>
        <v>2025</v>
      </c>
      <c r="B344" s="49" t="str">
        <f t="shared" si="11"/>
        <v>AGOSTO</v>
      </c>
      <c r="C344" s="35">
        <v>66915880</v>
      </c>
      <c r="D344" s="35">
        <v>8293794</v>
      </c>
      <c r="E344" s="35" t="s">
        <v>432</v>
      </c>
      <c r="F344" s="36">
        <v>45896</v>
      </c>
      <c r="G344" s="35" t="s">
        <v>13</v>
      </c>
      <c r="H344" s="35">
        <v>35575473880</v>
      </c>
      <c r="I344" s="35" t="s">
        <v>299</v>
      </c>
      <c r="J344" s="36"/>
      <c r="K344" s="35" t="s">
        <v>399</v>
      </c>
      <c r="L344" s="35" t="s">
        <v>276</v>
      </c>
      <c r="M344" s="35" t="s">
        <v>277</v>
      </c>
      <c r="N344" s="37" t="s">
        <v>399</v>
      </c>
      <c r="P344" s="35" t="s">
        <v>279</v>
      </c>
      <c r="Q344" s="35" t="s">
        <v>286</v>
      </c>
      <c r="R344" s="35" t="s">
        <v>280</v>
      </c>
      <c r="S344" s="35">
        <v>1</v>
      </c>
      <c r="T344" s="38"/>
      <c r="V344" s="39"/>
      <c r="X344" s="39" t="s">
        <v>281</v>
      </c>
      <c r="Y344" s="39">
        <v>13</v>
      </c>
      <c r="AB344" s="53">
        <v>13</v>
      </c>
      <c r="AC344" s="35" t="s">
        <v>277</v>
      </c>
    </row>
    <row r="345" spans="1:29" x14ac:dyDescent="0.2">
      <c r="A345" s="48">
        <f t="shared" si="10"/>
        <v>2025</v>
      </c>
      <c r="B345" s="49" t="str">
        <f t="shared" si="11"/>
        <v>AGOSTO</v>
      </c>
      <c r="C345" s="35">
        <v>66916798</v>
      </c>
      <c r="D345" s="35">
        <v>8293794</v>
      </c>
      <c r="E345" s="35" t="s">
        <v>432</v>
      </c>
      <c r="F345" s="36">
        <v>45894</v>
      </c>
      <c r="G345" s="35" t="s">
        <v>13</v>
      </c>
      <c r="H345" s="35">
        <v>35575473880</v>
      </c>
      <c r="I345" s="35" t="s">
        <v>299</v>
      </c>
      <c r="J345" s="36"/>
      <c r="K345" s="35" t="s">
        <v>389</v>
      </c>
      <c r="L345" s="35" t="s">
        <v>276</v>
      </c>
      <c r="M345" s="35" t="s">
        <v>277</v>
      </c>
      <c r="N345" s="37" t="s">
        <v>389</v>
      </c>
      <c r="P345" s="35" t="s">
        <v>279</v>
      </c>
      <c r="Q345" s="35" t="s">
        <v>286</v>
      </c>
      <c r="R345" s="35" t="s">
        <v>280</v>
      </c>
      <c r="S345" s="35">
        <v>1</v>
      </c>
      <c r="T345" s="38"/>
      <c r="V345" s="39"/>
      <c r="X345" s="39" t="s">
        <v>281</v>
      </c>
      <c r="Y345" s="39">
        <v>23.3</v>
      </c>
      <c r="AB345" s="53">
        <v>23.3</v>
      </c>
      <c r="AC345" s="35" t="s">
        <v>277</v>
      </c>
    </row>
    <row r="346" spans="1:29" x14ac:dyDescent="0.2">
      <c r="A346" s="48">
        <f t="shared" si="10"/>
        <v>2025</v>
      </c>
      <c r="B346" s="49" t="str">
        <f t="shared" si="11"/>
        <v>AGOSTO</v>
      </c>
      <c r="C346" s="35">
        <v>66916262</v>
      </c>
      <c r="D346" s="35">
        <v>8293794</v>
      </c>
      <c r="E346" s="35" t="s">
        <v>432</v>
      </c>
      <c r="F346" s="36">
        <v>45894</v>
      </c>
      <c r="G346" s="35" t="s">
        <v>13</v>
      </c>
      <c r="H346" s="35">
        <v>35575473880</v>
      </c>
      <c r="I346" s="35" t="s">
        <v>299</v>
      </c>
      <c r="J346" s="36"/>
      <c r="K346" s="35" t="s">
        <v>406</v>
      </c>
      <c r="L346" s="35" t="s">
        <v>276</v>
      </c>
      <c r="M346" s="35" t="s">
        <v>277</v>
      </c>
      <c r="N346" s="37" t="s">
        <v>406</v>
      </c>
      <c r="P346" s="35" t="s">
        <v>279</v>
      </c>
      <c r="Q346" s="35" t="s">
        <v>286</v>
      </c>
      <c r="R346" s="35" t="s">
        <v>280</v>
      </c>
      <c r="S346" s="35">
        <v>1</v>
      </c>
      <c r="T346" s="38"/>
      <c r="V346" s="39"/>
      <c r="X346" s="39" t="s">
        <v>281</v>
      </c>
      <c r="Y346" s="39">
        <v>163.13999999999999</v>
      </c>
      <c r="AB346" s="53">
        <v>163.13999999999999</v>
      </c>
      <c r="AC346" s="35" t="s">
        <v>277</v>
      </c>
    </row>
    <row r="347" spans="1:29" x14ac:dyDescent="0.2">
      <c r="A347" s="48">
        <f t="shared" si="10"/>
        <v>2025</v>
      </c>
      <c r="B347" s="49" t="str">
        <f t="shared" si="11"/>
        <v>AGOSTO</v>
      </c>
      <c r="C347" s="35">
        <v>66916007</v>
      </c>
      <c r="D347" s="35">
        <v>8293794</v>
      </c>
      <c r="E347" s="35" t="s">
        <v>432</v>
      </c>
      <c r="F347" s="36">
        <v>45894</v>
      </c>
      <c r="G347" s="35" t="s">
        <v>13</v>
      </c>
      <c r="H347" s="35">
        <v>35575473880</v>
      </c>
      <c r="I347" s="35" t="s">
        <v>299</v>
      </c>
      <c r="J347" s="36"/>
      <c r="K347" s="35" t="s">
        <v>288</v>
      </c>
      <c r="L347" s="35" t="s">
        <v>276</v>
      </c>
      <c r="M347" s="35" t="s">
        <v>277</v>
      </c>
      <c r="N347" s="37" t="s">
        <v>288</v>
      </c>
      <c r="P347" s="35" t="s">
        <v>279</v>
      </c>
      <c r="Q347" s="35" t="s">
        <v>286</v>
      </c>
      <c r="R347" s="35" t="s">
        <v>280</v>
      </c>
      <c r="S347" s="35">
        <v>1</v>
      </c>
      <c r="T347" s="38"/>
      <c r="V347" s="39"/>
      <c r="X347" s="39" t="s">
        <v>281</v>
      </c>
      <c r="Y347" s="39">
        <v>11.97</v>
      </c>
      <c r="AB347" s="53">
        <v>11.97</v>
      </c>
      <c r="AC347" s="35" t="s">
        <v>277</v>
      </c>
    </row>
    <row r="348" spans="1:29" x14ac:dyDescent="0.2">
      <c r="A348" s="48">
        <f t="shared" si="10"/>
        <v>2025</v>
      </c>
      <c r="B348" s="49" t="str">
        <f t="shared" si="11"/>
        <v>AGOSTO</v>
      </c>
      <c r="C348" s="35">
        <v>66918296</v>
      </c>
      <c r="D348" s="35">
        <v>8293794</v>
      </c>
      <c r="E348" s="35" t="s">
        <v>432</v>
      </c>
      <c r="F348" s="36">
        <v>45893</v>
      </c>
      <c r="G348" s="35" t="s">
        <v>13</v>
      </c>
      <c r="H348" s="35">
        <v>35575473880</v>
      </c>
      <c r="I348" s="35" t="s">
        <v>299</v>
      </c>
      <c r="J348" s="36"/>
      <c r="K348" s="35" t="s">
        <v>365</v>
      </c>
      <c r="L348" s="35" t="s">
        <v>276</v>
      </c>
      <c r="M348" s="35" t="s">
        <v>277</v>
      </c>
      <c r="N348" s="37" t="s">
        <v>365</v>
      </c>
      <c r="P348" s="35" t="s">
        <v>279</v>
      </c>
      <c r="Q348" s="35" t="s">
        <v>286</v>
      </c>
      <c r="R348" s="35" t="s">
        <v>280</v>
      </c>
      <c r="S348" s="35">
        <v>1</v>
      </c>
      <c r="T348" s="38"/>
      <c r="V348" s="39"/>
      <c r="X348" s="39" t="s">
        <v>281</v>
      </c>
      <c r="Y348" s="39">
        <v>66.19</v>
      </c>
      <c r="AB348" s="53">
        <v>66.19</v>
      </c>
      <c r="AC348" s="35" t="s">
        <v>277</v>
      </c>
    </row>
    <row r="349" spans="1:29" x14ac:dyDescent="0.2">
      <c r="A349" s="48">
        <f t="shared" si="10"/>
        <v>2025</v>
      </c>
      <c r="B349" s="49" t="str">
        <f t="shared" si="11"/>
        <v>AGOSTO</v>
      </c>
      <c r="C349" s="35">
        <v>66926144</v>
      </c>
      <c r="D349" s="35">
        <v>8293794</v>
      </c>
      <c r="E349" s="35" t="s">
        <v>432</v>
      </c>
      <c r="F349" s="36">
        <v>45892</v>
      </c>
      <c r="G349" s="35" t="s">
        <v>13</v>
      </c>
      <c r="H349" s="35">
        <v>35575473880</v>
      </c>
      <c r="I349" s="35" t="s">
        <v>299</v>
      </c>
      <c r="J349" s="36"/>
      <c r="K349" s="35" t="s">
        <v>377</v>
      </c>
      <c r="L349" s="35" t="s">
        <v>282</v>
      </c>
      <c r="M349" s="35" t="s">
        <v>277</v>
      </c>
      <c r="N349" s="37" t="s">
        <v>377</v>
      </c>
      <c r="P349" s="35" t="s">
        <v>279</v>
      </c>
      <c r="Q349" s="35" t="s">
        <v>286</v>
      </c>
      <c r="R349" s="35" t="s">
        <v>280</v>
      </c>
      <c r="S349" s="35">
        <v>1</v>
      </c>
      <c r="T349" s="38"/>
      <c r="V349" s="39"/>
      <c r="X349" s="39" t="s">
        <v>281</v>
      </c>
      <c r="Y349" s="39">
        <v>123.9</v>
      </c>
      <c r="AB349" s="53">
        <v>123.9</v>
      </c>
      <c r="AC349" s="35" t="s">
        <v>277</v>
      </c>
    </row>
    <row r="350" spans="1:29" x14ac:dyDescent="0.2">
      <c r="A350" s="48">
        <f t="shared" si="10"/>
        <v>2025</v>
      </c>
      <c r="B350" s="49" t="str">
        <f t="shared" si="11"/>
        <v>AGOSTO</v>
      </c>
      <c r="C350" s="35">
        <v>66916358</v>
      </c>
      <c r="D350" s="35">
        <v>8293794</v>
      </c>
      <c r="E350" s="35" t="s">
        <v>432</v>
      </c>
      <c r="F350" s="36">
        <v>45892</v>
      </c>
      <c r="G350" s="35" t="s">
        <v>13</v>
      </c>
      <c r="H350" s="35">
        <v>35575473880</v>
      </c>
      <c r="I350" s="35" t="s">
        <v>299</v>
      </c>
      <c r="J350" s="36"/>
      <c r="K350" s="35" t="s">
        <v>401</v>
      </c>
      <c r="L350" s="35" t="s">
        <v>276</v>
      </c>
      <c r="M350" s="35" t="s">
        <v>277</v>
      </c>
      <c r="N350" s="37" t="s">
        <v>401</v>
      </c>
      <c r="P350" s="35" t="s">
        <v>279</v>
      </c>
      <c r="Q350" s="35" t="s">
        <v>286</v>
      </c>
      <c r="R350" s="35" t="s">
        <v>280</v>
      </c>
      <c r="S350" s="35">
        <v>1</v>
      </c>
      <c r="T350" s="38"/>
      <c r="V350" s="39"/>
      <c r="X350" s="39" t="s">
        <v>281</v>
      </c>
      <c r="Y350" s="39">
        <v>307.5</v>
      </c>
      <c r="AB350" s="53">
        <v>307.5</v>
      </c>
      <c r="AC350" s="35" t="s">
        <v>277</v>
      </c>
    </row>
    <row r="351" spans="1:29" x14ac:dyDescent="0.2">
      <c r="A351" s="48">
        <f t="shared" si="10"/>
        <v>2025</v>
      </c>
      <c r="B351" s="49" t="str">
        <f t="shared" si="11"/>
        <v>AGOSTO</v>
      </c>
      <c r="C351" s="35">
        <v>66916944</v>
      </c>
      <c r="D351" s="35">
        <v>8293794</v>
      </c>
      <c r="E351" s="35" t="s">
        <v>432</v>
      </c>
      <c r="F351" s="36">
        <v>45889</v>
      </c>
      <c r="G351" s="35" t="s">
        <v>13</v>
      </c>
      <c r="H351" s="35">
        <v>35575473880</v>
      </c>
      <c r="I351" s="35" t="s">
        <v>299</v>
      </c>
      <c r="J351" s="36"/>
      <c r="K351" s="35" t="s">
        <v>384</v>
      </c>
      <c r="L351" s="35" t="s">
        <v>276</v>
      </c>
      <c r="M351" s="35" t="s">
        <v>277</v>
      </c>
      <c r="N351" s="37" t="s">
        <v>384</v>
      </c>
      <c r="P351" s="35" t="s">
        <v>279</v>
      </c>
      <c r="Q351" s="35" t="s">
        <v>286</v>
      </c>
      <c r="R351" s="35" t="s">
        <v>280</v>
      </c>
      <c r="S351" s="35">
        <v>1</v>
      </c>
      <c r="T351" s="38"/>
      <c r="V351" s="39"/>
      <c r="X351" s="39" t="s">
        <v>281</v>
      </c>
      <c r="Y351" s="39">
        <v>68.599999999999994</v>
      </c>
      <c r="AB351" s="53">
        <v>68.599999999999994</v>
      </c>
      <c r="AC351" s="35" t="s">
        <v>277</v>
      </c>
    </row>
    <row r="352" spans="1:29" x14ac:dyDescent="0.2">
      <c r="A352" s="48">
        <f t="shared" si="10"/>
        <v>2025</v>
      </c>
      <c r="B352" s="49" t="str">
        <f t="shared" si="11"/>
        <v>AGOSTO</v>
      </c>
      <c r="C352" s="35">
        <v>66916102</v>
      </c>
      <c r="D352" s="35">
        <v>8293794</v>
      </c>
      <c r="E352" s="35" t="s">
        <v>432</v>
      </c>
      <c r="F352" s="36">
        <v>45889</v>
      </c>
      <c r="G352" s="35" t="s">
        <v>13</v>
      </c>
      <c r="H352" s="35">
        <v>35575473880</v>
      </c>
      <c r="I352" s="35" t="s">
        <v>299</v>
      </c>
      <c r="J352" s="36"/>
      <c r="K352" s="35" t="s">
        <v>301</v>
      </c>
      <c r="L352" s="35" t="s">
        <v>276</v>
      </c>
      <c r="M352" s="35" t="s">
        <v>277</v>
      </c>
      <c r="N352" s="37" t="s">
        <v>301</v>
      </c>
      <c r="P352" s="35" t="s">
        <v>279</v>
      </c>
      <c r="Q352" s="35" t="s">
        <v>286</v>
      </c>
      <c r="R352" s="35" t="s">
        <v>280</v>
      </c>
      <c r="S352" s="35">
        <v>1</v>
      </c>
      <c r="T352" s="38"/>
      <c r="V352" s="39"/>
      <c r="X352" s="39" t="s">
        <v>281</v>
      </c>
      <c r="Y352" s="39">
        <v>18.2</v>
      </c>
      <c r="AB352" s="53">
        <v>18.2</v>
      </c>
      <c r="AC352" s="35" t="s">
        <v>277</v>
      </c>
    </row>
    <row r="353" spans="1:29" x14ac:dyDescent="0.2">
      <c r="A353" s="48">
        <f t="shared" si="10"/>
        <v>2025</v>
      </c>
      <c r="B353" s="49" t="str">
        <f t="shared" si="11"/>
        <v>AGOSTO</v>
      </c>
      <c r="C353" s="35">
        <v>66917616</v>
      </c>
      <c r="D353" s="35">
        <v>8293794</v>
      </c>
      <c r="E353" s="35" t="s">
        <v>432</v>
      </c>
      <c r="F353" s="36">
        <v>45885</v>
      </c>
      <c r="G353" s="35" t="s">
        <v>13</v>
      </c>
      <c r="H353" s="35">
        <v>35575473880</v>
      </c>
      <c r="I353" s="35" t="s">
        <v>299</v>
      </c>
      <c r="J353" s="36"/>
      <c r="K353" s="35" t="s">
        <v>405</v>
      </c>
      <c r="L353" s="35" t="s">
        <v>276</v>
      </c>
      <c r="M353" s="35" t="s">
        <v>277</v>
      </c>
      <c r="N353" s="37" t="s">
        <v>405</v>
      </c>
      <c r="P353" s="35" t="s">
        <v>279</v>
      </c>
      <c r="Q353" s="35" t="s">
        <v>286</v>
      </c>
      <c r="R353" s="35" t="s">
        <v>280</v>
      </c>
      <c r="S353" s="35">
        <v>1</v>
      </c>
      <c r="T353" s="38"/>
      <c r="V353" s="39"/>
      <c r="X353" s="39" t="s">
        <v>281</v>
      </c>
      <c r="Y353" s="39">
        <v>41</v>
      </c>
      <c r="AB353" s="53">
        <v>41</v>
      </c>
      <c r="AC353" s="35" t="s">
        <v>277</v>
      </c>
    </row>
    <row r="354" spans="1:29" x14ac:dyDescent="0.2">
      <c r="A354" s="48">
        <f t="shared" si="10"/>
        <v>2025</v>
      </c>
      <c r="B354" s="49" t="str">
        <f t="shared" si="11"/>
        <v>AGOSTO</v>
      </c>
      <c r="C354" s="35">
        <v>66917139</v>
      </c>
      <c r="D354" s="35">
        <v>8293794</v>
      </c>
      <c r="E354" s="35" t="s">
        <v>432</v>
      </c>
      <c r="F354" s="36">
        <v>45885</v>
      </c>
      <c r="G354" s="35" t="s">
        <v>13</v>
      </c>
      <c r="H354" s="35">
        <v>35575473880</v>
      </c>
      <c r="I354" s="35" t="s">
        <v>299</v>
      </c>
      <c r="J354" s="36"/>
      <c r="K354" s="35" t="s">
        <v>386</v>
      </c>
      <c r="L354" s="35" t="s">
        <v>276</v>
      </c>
      <c r="M354" s="35" t="s">
        <v>277</v>
      </c>
      <c r="N354" s="37" t="s">
        <v>436</v>
      </c>
      <c r="P354" s="35" t="s">
        <v>279</v>
      </c>
      <c r="Q354" s="35" t="s">
        <v>286</v>
      </c>
      <c r="R354" s="35" t="s">
        <v>280</v>
      </c>
      <c r="S354" s="35">
        <v>1</v>
      </c>
      <c r="T354" s="38"/>
      <c r="V354" s="39"/>
      <c r="X354" s="39" t="s">
        <v>281</v>
      </c>
      <c r="Y354" s="39">
        <v>59</v>
      </c>
      <c r="AB354" s="53">
        <v>59</v>
      </c>
      <c r="AC354" s="35" t="s">
        <v>277</v>
      </c>
    </row>
    <row r="355" spans="1:29" x14ac:dyDescent="0.2">
      <c r="A355" s="48">
        <f t="shared" si="10"/>
        <v>2025</v>
      </c>
      <c r="B355" s="49" t="str">
        <f t="shared" si="11"/>
        <v>AGOSTO</v>
      </c>
      <c r="C355" s="35">
        <v>66925424</v>
      </c>
      <c r="D355" s="35">
        <v>8293794</v>
      </c>
      <c r="E355" s="35" t="s">
        <v>432</v>
      </c>
      <c r="F355" s="36">
        <v>45883</v>
      </c>
      <c r="G355" s="35" t="s">
        <v>13</v>
      </c>
      <c r="H355" s="35">
        <v>35575473880</v>
      </c>
      <c r="I355" s="35" t="s">
        <v>299</v>
      </c>
      <c r="J355" s="36"/>
      <c r="K355" s="35" t="s">
        <v>382</v>
      </c>
      <c r="L355" s="35" t="s">
        <v>282</v>
      </c>
      <c r="M355" s="35" t="s">
        <v>277</v>
      </c>
      <c r="N355" s="37" t="s">
        <v>382</v>
      </c>
      <c r="P355" s="35" t="s">
        <v>279</v>
      </c>
      <c r="Q355" s="35" t="s">
        <v>286</v>
      </c>
      <c r="R355" s="35" t="s">
        <v>280</v>
      </c>
      <c r="S355" s="35">
        <v>1</v>
      </c>
      <c r="T355" s="38"/>
      <c r="V355" s="39"/>
      <c r="W355" s="35">
        <v>0</v>
      </c>
      <c r="X355" s="39" t="s">
        <v>281</v>
      </c>
      <c r="Y355" s="39">
        <v>37</v>
      </c>
      <c r="AB355" s="53">
        <v>37</v>
      </c>
      <c r="AC355" s="35" t="s">
        <v>277</v>
      </c>
    </row>
    <row r="356" spans="1:29" x14ac:dyDescent="0.2">
      <c r="A356" s="48">
        <f t="shared" si="10"/>
        <v>2025</v>
      </c>
      <c r="B356" s="49" t="str">
        <f t="shared" si="11"/>
        <v>AGOSTO</v>
      </c>
      <c r="C356" s="35">
        <v>66925089</v>
      </c>
      <c r="D356" s="35">
        <v>8293794</v>
      </c>
      <c r="E356" s="35" t="s">
        <v>432</v>
      </c>
      <c r="F356" s="36">
        <v>45883</v>
      </c>
      <c r="G356" s="35" t="s">
        <v>13</v>
      </c>
      <c r="H356" s="35">
        <v>35575473880</v>
      </c>
      <c r="I356" s="35" t="s">
        <v>299</v>
      </c>
      <c r="J356" s="36"/>
      <c r="K356" s="35" t="s">
        <v>371</v>
      </c>
      <c r="L356" s="35" t="s">
        <v>282</v>
      </c>
      <c r="M356" s="35" t="s">
        <v>277</v>
      </c>
      <c r="N356" s="37" t="s">
        <v>371</v>
      </c>
      <c r="P356" s="35" t="s">
        <v>279</v>
      </c>
      <c r="Q356" s="35" t="s">
        <v>286</v>
      </c>
      <c r="R356" s="35" t="s">
        <v>280</v>
      </c>
      <c r="S356" s="35">
        <v>1</v>
      </c>
      <c r="T356" s="38"/>
      <c r="V356" s="39"/>
      <c r="W356" s="35">
        <v>0</v>
      </c>
      <c r="X356" s="39" t="s">
        <v>281</v>
      </c>
      <c r="Y356" s="39">
        <v>59.2</v>
      </c>
      <c r="AB356" s="53">
        <v>59.2</v>
      </c>
      <c r="AC356" s="35" t="s">
        <v>277</v>
      </c>
    </row>
    <row r="357" spans="1:29" x14ac:dyDescent="0.2">
      <c r="A357" s="48">
        <f t="shared" si="10"/>
        <v>2025</v>
      </c>
      <c r="B357" s="49" t="str">
        <f t="shared" si="11"/>
        <v>AGOSTO</v>
      </c>
      <c r="C357" s="35">
        <v>66918464</v>
      </c>
      <c r="D357" s="35">
        <v>8293794</v>
      </c>
      <c r="E357" s="35" t="s">
        <v>432</v>
      </c>
      <c r="F357" s="36">
        <v>45881</v>
      </c>
      <c r="G357" s="35" t="s">
        <v>13</v>
      </c>
      <c r="H357" s="35">
        <v>35575473880</v>
      </c>
      <c r="I357" s="35" t="s">
        <v>299</v>
      </c>
      <c r="J357" s="36"/>
      <c r="K357" s="35" t="s">
        <v>369</v>
      </c>
      <c r="L357" s="35" t="s">
        <v>276</v>
      </c>
      <c r="M357" s="35" t="s">
        <v>277</v>
      </c>
      <c r="N357" s="37" t="s">
        <v>369</v>
      </c>
      <c r="P357" s="35" t="s">
        <v>279</v>
      </c>
      <c r="Q357" s="35" t="s">
        <v>286</v>
      </c>
      <c r="R357" s="35" t="s">
        <v>280</v>
      </c>
      <c r="S357" s="35">
        <v>1</v>
      </c>
      <c r="T357" s="38"/>
      <c r="V357" s="39"/>
      <c r="W357" s="35">
        <v>0</v>
      </c>
      <c r="X357" s="39" t="s">
        <v>281</v>
      </c>
      <c r="Y357" s="39">
        <v>39.979999999999997</v>
      </c>
      <c r="AB357" s="53">
        <v>39.979999999999997</v>
      </c>
      <c r="AC357" s="35" t="s">
        <v>277</v>
      </c>
    </row>
    <row r="358" spans="1:29" x14ac:dyDescent="0.2">
      <c r="A358" s="48">
        <f t="shared" si="10"/>
        <v>2025</v>
      </c>
      <c r="B358" s="49" t="str">
        <f t="shared" si="11"/>
        <v>AGOSTO</v>
      </c>
      <c r="C358" s="35">
        <v>66917925</v>
      </c>
      <c r="D358" s="35">
        <v>8293794</v>
      </c>
      <c r="E358" s="35" t="s">
        <v>432</v>
      </c>
      <c r="F358" s="36">
        <v>45881</v>
      </c>
      <c r="G358" s="35" t="s">
        <v>13</v>
      </c>
      <c r="H358" s="35">
        <v>35575473880</v>
      </c>
      <c r="I358" s="35" t="s">
        <v>299</v>
      </c>
      <c r="J358" s="36"/>
      <c r="K358" s="35" t="s">
        <v>403</v>
      </c>
      <c r="L358" s="35" t="s">
        <v>276</v>
      </c>
      <c r="M358" s="35" t="s">
        <v>277</v>
      </c>
      <c r="N358" s="37" t="s">
        <v>403</v>
      </c>
      <c r="P358" s="35" t="s">
        <v>279</v>
      </c>
      <c r="Q358" s="35" t="s">
        <v>286</v>
      </c>
      <c r="R358" s="35" t="s">
        <v>280</v>
      </c>
      <c r="S358" s="35">
        <v>1</v>
      </c>
      <c r="T358" s="38"/>
      <c r="V358" s="39"/>
      <c r="X358" s="39" t="s">
        <v>281</v>
      </c>
      <c r="Y358" s="39">
        <v>61.89</v>
      </c>
      <c r="AB358" s="53">
        <v>61.89</v>
      </c>
      <c r="AC358" s="35" t="s">
        <v>277</v>
      </c>
    </row>
    <row r="359" spans="1:29" x14ac:dyDescent="0.2">
      <c r="A359" s="48">
        <f t="shared" si="10"/>
        <v>2025</v>
      </c>
      <c r="B359" s="49" t="str">
        <f t="shared" si="11"/>
        <v>AGOSTO</v>
      </c>
      <c r="C359" s="35">
        <v>66916880</v>
      </c>
      <c r="D359" s="35">
        <v>8293794</v>
      </c>
      <c r="E359" s="35" t="s">
        <v>432</v>
      </c>
      <c r="F359" s="36">
        <v>45881</v>
      </c>
      <c r="G359" s="35" t="s">
        <v>13</v>
      </c>
      <c r="H359" s="35">
        <v>35575473880</v>
      </c>
      <c r="I359" s="35" t="s">
        <v>299</v>
      </c>
      <c r="J359" s="36"/>
      <c r="K359" s="35" t="s">
        <v>388</v>
      </c>
      <c r="L359" s="35" t="s">
        <v>276</v>
      </c>
      <c r="M359" s="35" t="s">
        <v>277</v>
      </c>
      <c r="N359" s="37" t="s">
        <v>388</v>
      </c>
      <c r="P359" s="35" t="s">
        <v>279</v>
      </c>
      <c r="Q359" s="35" t="s">
        <v>286</v>
      </c>
      <c r="R359" s="35" t="s">
        <v>280</v>
      </c>
      <c r="S359" s="35">
        <v>1</v>
      </c>
      <c r="T359" s="38"/>
      <c r="V359" s="39"/>
      <c r="X359" s="39" t="s">
        <v>281</v>
      </c>
      <c r="Y359" s="39">
        <v>25.9</v>
      </c>
      <c r="AB359" s="53">
        <v>25.9</v>
      </c>
      <c r="AC359" s="35" t="s">
        <v>277</v>
      </c>
    </row>
    <row r="360" spans="1:29" x14ac:dyDescent="0.2">
      <c r="A360" s="48">
        <f t="shared" si="10"/>
        <v>2025</v>
      </c>
      <c r="B360" s="49" t="str">
        <f t="shared" si="11"/>
        <v>AGOSTO</v>
      </c>
      <c r="C360" s="35">
        <v>66918122</v>
      </c>
      <c r="D360" s="35">
        <v>8293794</v>
      </c>
      <c r="E360" s="35" t="s">
        <v>432</v>
      </c>
      <c r="F360" s="36">
        <v>45877</v>
      </c>
      <c r="G360" s="35" t="s">
        <v>13</v>
      </c>
      <c r="H360" s="35">
        <v>35575473880</v>
      </c>
      <c r="I360" s="35" t="s">
        <v>299</v>
      </c>
      <c r="J360" s="36"/>
      <c r="K360" s="35" t="s">
        <v>365</v>
      </c>
      <c r="L360" s="35" t="s">
        <v>276</v>
      </c>
      <c r="M360" s="35" t="s">
        <v>277</v>
      </c>
      <c r="N360" s="37" t="s">
        <v>365</v>
      </c>
      <c r="P360" s="35" t="s">
        <v>279</v>
      </c>
      <c r="Q360" s="35" t="s">
        <v>286</v>
      </c>
      <c r="R360" s="35" t="s">
        <v>280</v>
      </c>
      <c r="S360" s="35">
        <v>1</v>
      </c>
      <c r="T360" s="38"/>
      <c r="V360" s="39"/>
      <c r="X360" s="39" t="s">
        <v>281</v>
      </c>
      <c r="Y360" s="39">
        <v>78</v>
      </c>
      <c r="AB360" s="53">
        <v>78</v>
      </c>
      <c r="AC360" s="35" t="s">
        <v>277</v>
      </c>
    </row>
    <row r="361" spans="1:29" x14ac:dyDescent="0.2">
      <c r="A361" s="48">
        <f t="shared" si="10"/>
        <v>2025</v>
      </c>
      <c r="B361" s="49" t="str">
        <f t="shared" si="11"/>
        <v>AGOSTO</v>
      </c>
      <c r="C361" s="35">
        <v>66916518</v>
      </c>
      <c r="D361" s="35">
        <v>8293794</v>
      </c>
      <c r="E361" s="35" t="s">
        <v>432</v>
      </c>
      <c r="F361" s="36">
        <v>45877</v>
      </c>
      <c r="G361" s="35" t="s">
        <v>13</v>
      </c>
      <c r="H361" s="35">
        <v>35575473880</v>
      </c>
      <c r="I361" s="35" t="s">
        <v>299</v>
      </c>
      <c r="J361" s="36"/>
      <c r="K361" s="35" t="s">
        <v>407</v>
      </c>
      <c r="L361" s="35" t="s">
        <v>276</v>
      </c>
      <c r="M361" s="35" t="s">
        <v>277</v>
      </c>
      <c r="N361" s="37" t="s">
        <v>407</v>
      </c>
      <c r="P361" s="35" t="s">
        <v>279</v>
      </c>
      <c r="Q361" s="35" t="s">
        <v>286</v>
      </c>
      <c r="R361" s="35" t="s">
        <v>280</v>
      </c>
      <c r="S361" s="35">
        <v>1</v>
      </c>
      <c r="T361" s="38"/>
      <c r="V361" s="39"/>
      <c r="X361" s="39" t="s">
        <v>281</v>
      </c>
      <c r="Y361" s="39">
        <v>75.8</v>
      </c>
      <c r="AB361" s="53">
        <v>75.8</v>
      </c>
      <c r="AC361" s="35" t="s">
        <v>277</v>
      </c>
    </row>
    <row r="362" spans="1:29" x14ac:dyDescent="0.2">
      <c r="A362" s="48">
        <f t="shared" si="10"/>
        <v>2025</v>
      </c>
      <c r="B362" s="49" t="str">
        <f t="shared" si="11"/>
        <v>AGOSTO</v>
      </c>
      <c r="C362" s="35">
        <v>66924788</v>
      </c>
      <c r="D362" s="35">
        <v>8293794</v>
      </c>
      <c r="E362" s="35" t="s">
        <v>432</v>
      </c>
      <c r="F362" s="36">
        <v>45876</v>
      </c>
      <c r="G362" s="35" t="s">
        <v>13</v>
      </c>
      <c r="H362" s="35">
        <v>35575473880</v>
      </c>
      <c r="I362" s="35" t="s">
        <v>299</v>
      </c>
      <c r="J362" s="36"/>
      <c r="K362" s="35" t="s">
        <v>367</v>
      </c>
      <c r="L362" s="35" t="s">
        <v>282</v>
      </c>
      <c r="M362" s="35" t="s">
        <v>277</v>
      </c>
      <c r="N362" s="37" t="s">
        <v>367</v>
      </c>
      <c r="P362" s="35" t="s">
        <v>279</v>
      </c>
      <c r="Q362" s="35" t="s">
        <v>286</v>
      </c>
      <c r="R362" s="35" t="s">
        <v>280</v>
      </c>
      <c r="S362" s="35">
        <v>1</v>
      </c>
      <c r="T362" s="38"/>
      <c r="V362" s="39"/>
      <c r="W362" s="35">
        <v>0</v>
      </c>
      <c r="X362" s="39" t="s">
        <v>281</v>
      </c>
      <c r="Y362" s="39">
        <v>155.1</v>
      </c>
      <c r="AB362" s="53">
        <v>155.1</v>
      </c>
      <c r="AC362" s="35" t="s">
        <v>277</v>
      </c>
    </row>
    <row r="363" spans="1:29" x14ac:dyDescent="0.2">
      <c r="A363" s="48">
        <f t="shared" si="10"/>
        <v>2025</v>
      </c>
      <c r="B363" s="49" t="str">
        <f t="shared" si="11"/>
        <v>AGOSTO</v>
      </c>
      <c r="C363" s="35">
        <v>66916991</v>
      </c>
      <c r="D363" s="35">
        <v>8293794</v>
      </c>
      <c r="E363" s="35" t="s">
        <v>432</v>
      </c>
      <c r="F363" s="36">
        <v>45876</v>
      </c>
      <c r="G363" s="35" t="s">
        <v>13</v>
      </c>
      <c r="H363" s="35">
        <v>35575473880</v>
      </c>
      <c r="I363" s="35" t="s">
        <v>299</v>
      </c>
      <c r="J363" s="36"/>
      <c r="K363" s="35" t="s">
        <v>387</v>
      </c>
      <c r="L363" s="35" t="s">
        <v>276</v>
      </c>
      <c r="M363" s="35" t="s">
        <v>277</v>
      </c>
      <c r="N363" s="37" t="s">
        <v>387</v>
      </c>
      <c r="P363" s="35" t="s">
        <v>279</v>
      </c>
      <c r="Q363" s="35" t="s">
        <v>286</v>
      </c>
      <c r="R363" s="35" t="s">
        <v>280</v>
      </c>
      <c r="S363" s="35">
        <v>1</v>
      </c>
      <c r="T363" s="38"/>
      <c r="V363" s="39"/>
      <c r="X363" s="39" t="s">
        <v>281</v>
      </c>
      <c r="Y363" s="39">
        <v>170.05</v>
      </c>
      <c r="AB363" s="53">
        <v>170.05</v>
      </c>
      <c r="AC363" s="35" t="s">
        <v>277</v>
      </c>
    </row>
    <row r="364" spans="1:29" x14ac:dyDescent="0.2">
      <c r="A364" s="48">
        <f t="shared" si="10"/>
        <v>2025</v>
      </c>
      <c r="B364" s="49" t="str">
        <f t="shared" si="11"/>
        <v>AGOSTO</v>
      </c>
      <c r="C364" s="35">
        <v>66924609</v>
      </c>
      <c r="D364" s="35">
        <v>8293794</v>
      </c>
      <c r="E364" s="35" t="s">
        <v>432</v>
      </c>
      <c r="F364" s="36">
        <v>45875</v>
      </c>
      <c r="G364" s="35" t="s">
        <v>13</v>
      </c>
      <c r="H364" s="35">
        <v>35575473880</v>
      </c>
      <c r="I364" s="35" t="s">
        <v>299</v>
      </c>
      <c r="J364" s="36"/>
      <c r="K364" s="35" t="s">
        <v>368</v>
      </c>
      <c r="L364" s="35" t="s">
        <v>282</v>
      </c>
      <c r="M364" s="35" t="s">
        <v>277</v>
      </c>
      <c r="N364" s="37" t="s">
        <v>437</v>
      </c>
      <c r="P364" s="35" t="s">
        <v>279</v>
      </c>
      <c r="Q364" s="35" t="s">
        <v>286</v>
      </c>
      <c r="R364" s="35" t="s">
        <v>280</v>
      </c>
      <c r="S364" s="35">
        <v>1</v>
      </c>
      <c r="T364" s="38"/>
      <c r="V364" s="39"/>
      <c r="X364" s="39" t="s">
        <v>281</v>
      </c>
      <c r="Y364" s="39">
        <v>113.8</v>
      </c>
      <c r="AB364" s="53">
        <v>113.8</v>
      </c>
      <c r="AC364" s="35" t="s">
        <v>277</v>
      </c>
    </row>
    <row r="365" spans="1:29" x14ac:dyDescent="0.2">
      <c r="A365" s="48">
        <f t="shared" si="10"/>
        <v>2025</v>
      </c>
      <c r="B365" s="49" t="str">
        <f t="shared" si="11"/>
        <v>AGOSTO</v>
      </c>
      <c r="C365" s="35">
        <v>66917740</v>
      </c>
      <c r="D365" s="35">
        <v>8293794</v>
      </c>
      <c r="E365" s="35" t="s">
        <v>432</v>
      </c>
      <c r="F365" s="36">
        <v>45874</v>
      </c>
      <c r="G365" s="35" t="s">
        <v>13</v>
      </c>
      <c r="H365" s="35">
        <v>35575473880</v>
      </c>
      <c r="I365" s="35" t="s">
        <v>299</v>
      </c>
      <c r="J365" s="36"/>
      <c r="K365" s="35" t="s">
        <v>398</v>
      </c>
      <c r="L365" s="35" t="s">
        <v>276</v>
      </c>
      <c r="M365" s="35" t="s">
        <v>277</v>
      </c>
      <c r="N365" s="37" t="s">
        <v>398</v>
      </c>
      <c r="P365" s="35" t="s">
        <v>279</v>
      </c>
      <c r="Q365" s="35" t="s">
        <v>286</v>
      </c>
      <c r="R365" s="35" t="s">
        <v>280</v>
      </c>
      <c r="S365" s="35">
        <v>1</v>
      </c>
      <c r="T365" s="38"/>
      <c r="V365" s="39"/>
      <c r="X365" s="39" t="s">
        <v>281</v>
      </c>
      <c r="Y365" s="39">
        <v>30.73</v>
      </c>
      <c r="AB365" s="53">
        <v>30.73</v>
      </c>
      <c r="AC365" s="35" t="s">
        <v>277</v>
      </c>
    </row>
    <row r="366" spans="1:29" x14ac:dyDescent="0.2">
      <c r="A366" s="48">
        <f t="shared" si="10"/>
        <v>2025</v>
      </c>
      <c r="B366" s="49" t="str">
        <f t="shared" si="11"/>
        <v>AGOSTO</v>
      </c>
      <c r="C366" s="35">
        <v>66916638</v>
      </c>
      <c r="D366" s="35">
        <v>8293794</v>
      </c>
      <c r="E366" s="35" t="s">
        <v>432</v>
      </c>
      <c r="F366" s="36">
        <v>45870</v>
      </c>
      <c r="G366" s="35" t="s">
        <v>13</v>
      </c>
      <c r="H366" s="35">
        <v>35575473880</v>
      </c>
      <c r="I366" s="35" t="s">
        <v>299</v>
      </c>
      <c r="J366" s="36"/>
      <c r="K366" s="35" t="s">
        <v>389</v>
      </c>
      <c r="L366" s="35" t="s">
        <v>276</v>
      </c>
      <c r="M366" s="35" t="s">
        <v>277</v>
      </c>
      <c r="N366" s="37" t="s">
        <v>389</v>
      </c>
      <c r="P366" s="35" t="s">
        <v>279</v>
      </c>
      <c r="Q366" s="35" t="s">
        <v>286</v>
      </c>
      <c r="R366" s="35" t="s">
        <v>280</v>
      </c>
      <c r="S366" s="35">
        <v>1</v>
      </c>
      <c r="T366" s="38"/>
      <c r="V366" s="39"/>
      <c r="X366" s="39" t="s">
        <v>281</v>
      </c>
      <c r="Y366" s="39">
        <v>312</v>
      </c>
      <c r="AB366" s="53">
        <v>312</v>
      </c>
      <c r="AC366" s="35" t="s">
        <v>277</v>
      </c>
    </row>
    <row r="367" spans="1:29" x14ac:dyDescent="0.2">
      <c r="A367" s="48">
        <f t="shared" si="10"/>
        <v>2025</v>
      </c>
      <c r="B367" s="49" t="str">
        <f t="shared" si="11"/>
        <v>JULHO</v>
      </c>
      <c r="C367" s="35">
        <v>64894964</v>
      </c>
      <c r="D367" s="35">
        <v>7861855</v>
      </c>
      <c r="E367" s="35" t="s">
        <v>438</v>
      </c>
      <c r="F367" s="36">
        <v>45869</v>
      </c>
      <c r="G367" s="35" t="s">
        <v>13</v>
      </c>
      <c r="H367" s="35">
        <v>35575473880</v>
      </c>
      <c r="I367" s="35" t="s">
        <v>299</v>
      </c>
      <c r="J367" s="36"/>
      <c r="K367" s="35" t="s">
        <v>380</v>
      </c>
      <c r="L367" s="35" t="s">
        <v>282</v>
      </c>
      <c r="M367" s="35" t="s">
        <v>277</v>
      </c>
      <c r="N367" s="37" t="s">
        <v>380</v>
      </c>
      <c r="P367" s="35" t="s">
        <v>279</v>
      </c>
      <c r="Q367" s="35" t="s">
        <v>286</v>
      </c>
      <c r="R367" s="35" t="s">
        <v>280</v>
      </c>
      <c r="S367" s="35">
        <v>1</v>
      </c>
      <c r="T367" s="38"/>
      <c r="V367" s="39"/>
      <c r="W367" s="35">
        <v>0</v>
      </c>
      <c r="X367" s="39" t="s">
        <v>281</v>
      </c>
      <c r="Y367" s="39">
        <v>158.9</v>
      </c>
      <c r="AB367" s="53">
        <v>158.9</v>
      </c>
      <c r="AC367" s="35" t="s">
        <v>277</v>
      </c>
    </row>
    <row r="368" spans="1:29" x14ac:dyDescent="0.2">
      <c r="A368" s="48">
        <f t="shared" si="10"/>
        <v>2025</v>
      </c>
      <c r="B368" s="49" t="str">
        <f t="shared" si="11"/>
        <v>JULHO</v>
      </c>
      <c r="C368" s="35">
        <v>64897736</v>
      </c>
      <c r="D368" s="35">
        <v>7861855</v>
      </c>
      <c r="E368" s="35" t="s">
        <v>438</v>
      </c>
      <c r="F368" s="36">
        <v>45868</v>
      </c>
      <c r="G368" s="35" t="s">
        <v>13</v>
      </c>
      <c r="H368" s="35">
        <v>35575473880</v>
      </c>
      <c r="I368" s="35" t="s">
        <v>299</v>
      </c>
      <c r="J368" s="36"/>
      <c r="K368" s="35" t="s">
        <v>377</v>
      </c>
      <c r="L368" s="35" t="s">
        <v>282</v>
      </c>
      <c r="M368" s="35" t="s">
        <v>277</v>
      </c>
      <c r="N368" s="37" t="s">
        <v>439</v>
      </c>
      <c r="P368" s="35" t="s">
        <v>279</v>
      </c>
      <c r="Q368" s="35" t="s">
        <v>286</v>
      </c>
      <c r="R368" s="35" t="s">
        <v>280</v>
      </c>
      <c r="S368" s="35">
        <v>1</v>
      </c>
      <c r="T368" s="38"/>
      <c r="V368" s="39"/>
      <c r="W368" s="35">
        <v>0</v>
      </c>
      <c r="X368" s="39" t="s">
        <v>281</v>
      </c>
      <c r="Y368" s="39">
        <v>96.9</v>
      </c>
      <c r="AB368" s="53">
        <v>96.9</v>
      </c>
      <c r="AC368" s="35" t="s">
        <v>277</v>
      </c>
    </row>
    <row r="369" spans="1:29" x14ac:dyDescent="0.2">
      <c r="A369" s="48">
        <f t="shared" si="10"/>
        <v>2025</v>
      </c>
      <c r="B369" s="49" t="str">
        <f t="shared" si="11"/>
        <v>JULHO</v>
      </c>
      <c r="C369" s="35">
        <v>64891303</v>
      </c>
      <c r="D369" s="35">
        <v>7861855</v>
      </c>
      <c r="E369" s="35" t="s">
        <v>438</v>
      </c>
      <c r="F369" s="36">
        <v>45868</v>
      </c>
      <c r="G369" s="35" t="s">
        <v>13</v>
      </c>
      <c r="H369" s="35">
        <v>35575473880</v>
      </c>
      <c r="I369" s="35" t="s">
        <v>299</v>
      </c>
      <c r="J369" s="36"/>
      <c r="K369" s="35" t="s">
        <v>382</v>
      </c>
      <c r="L369" s="35" t="s">
        <v>276</v>
      </c>
      <c r="M369" s="35" t="s">
        <v>277</v>
      </c>
      <c r="N369" s="37" t="s">
        <v>382</v>
      </c>
      <c r="P369" s="35" t="s">
        <v>279</v>
      </c>
      <c r="Q369" s="35" t="s">
        <v>286</v>
      </c>
      <c r="R369" s="35" t="s">
        <v>280</v>
      </c>
      <c r="S369" s="35">
        <v>1</v>
      </c>
      <c r="T369" s="38"/>
      <c r="V369" s="39"/>
      <c r="X369" s="39" t="s">
        <v>281</v>
      </c>
      <c r="Y369" s="39">
        <v>6.9</v>
      </c>
      <c r="AB369" s="53">
        <v>6.9</v>
      </c>
      <c r="AC369" s="35" t="s">
        <v>277</v>
      </c>
    </row>
    <row r="370" spans="1:29" x14ac:dyDescent="0.2">
      <c r="A370" s="48">
        <f t="shared" si="10"/>
        <v>2025</v>
      </c>
      <c r="B370" s="49" t="str">
        <f t="shared" si="11"/>
        <v>JULHO</v>
      </c>
      <c r="C370" s="35">
        <v>64890423</v>
      </c>
      <c r="D370" s="35">
        <v>7861855</v>
      </c>
      <c r="E370" s="35" t="s">
        <v>438</v>
      </c>
      <c r="F370" s="36">
        <v>45868</v>
      </c>
      <c r="G370" s="35" t="s">
        <v>13</v>
      </c>
      <c r="H370" s="35">
        <v>35575473880</v>
      </c>
      <c r="I370" s="35" t="s">
        <v>299</v>
      </c>
      <c r="J370" s="36"/>
      <c r="K370" s="35" t="s">
        <v>368</v>
      </c>
      <c r="L370" s="35" t="s">
        <v>276</v>
      </c>
      <c r="M370" s="35" t="s">
        <v>277</v>
      </c>
      <c r="N370" s="37" t="s">
        <v>368</v>
      </c>
      <c r="P370" s="35" t="s">
        <v>279</v>
      </c>
      <c r="Q370" s="35" t="s">
        <v>286</v>
      </c>
      <c r="R370" s="35" t="s">
        <v>280</v>
      </c>
      <c r="S370" s="35">
        <v>1</v>
      </c>
      <c r="T370" s="38"/>
      <c r="V370" s="39"/>
      <c r="W370" s="35">
        <v>0</v>
      </c>
      <c r="X370" s="39" t="s">
        <v>281</v>
      </c>
      <c r="Y370" s="39">
        <v>6.5</v>
      </c>
      <c r="AB370" s="53">
        <v>6.5</v>
      </c>
      <c r="AC370" s="35" t="s">
        <v>277</v>
      </c>
    </row>
    <row r="371" spans="1:29" x14ac:dyDescent="0.2">
      <c r="A371" s="48">
        <f t="shared" si="10"/>
        <v>2025</v>
      </c>
      <c r="B371" s="49" t="str">
        <f t="shared" si="11"/>
        <v>JULHO</v>
      </c>
      <c r="C371" s="35">
        <v>64890283</v>
      </c>
      <c r="D371" s="35">
        <v>7861855</v>
      </c>
      <c r="E371" s="35" t="s">
        <v>438</v>
      </c>
      <c r="F371" s="36">
        <v>45868</v>
      </c>
      <c r="G371" s="35" t="s">
        <v>13</v>
      </c>
      <c r="H371" s="35">
        <v>35575473880</v>
      </c>
      <c r="I371" s="35" t="s">
        <v>299</v>
      </c>
      <c r="J371" s="36"/>
      <c r="K371" s="35" t="s">
        <v>369</v>
      </c>
      <c r="L371" s="35" t="s">
        <v>276</v>
      </c>
      <c r="M371" s="35" t="s">
        <v>277</v>
      </c>
      <c r="N371" s="37" t="s">
        <v>369</v>
      </c>
      <c r="P371" s="35" t="s">
        <v>279</v>
      </c>
      <c r="Q371" s="35" t="s">
        <v>286</v>
      </c>
      <c r="R371" s="35" t="s">
        <v>280</v>
      </c>
      <c r="S371" s="35">
        <v>1</v>
      </c>
      <c r="T371" s="38"/>
      <c r="V371" s="39"/>
      <c r="W371" s="35">
        <v>0</v>
      </c>
      <c r="X371" s="39" t="s">
        <v>281</v>
      </c>
      <c r="Y371" s="39">
        <v>90</v>
      </c>
      <c r="AB371" s="53">
        <v>90</v>
      </c>
      <c r="AC371" s="35" t="s">
        <v>277</v>
      </c>
    </row>
    <row r="372" spans="1:29" x14ac:dyDescent="0.2">
      <c r="A372" s="48">
        <f t="shared" si="10"/>
        <v>2025</v>
      </c>
      <c r="B372" s="49" t="str">
        <f t="shared" si="11"/>
        <v>JULHO</v>
      </c>
      <c r="C372" s="35">
        <v>64897898</v>
      </c>
      <c r="D372" s="35">
        <v>7861855</v>
      </c>
      <c r="E372" s="35" t="s">
        <v>438</v>
      </c>
      <c r="F372" s="36">
        <v>45867</v>
      </c>
      <c r="G372" s="35" t="s">
        <v>13</v>
      </c>
      <c r="H372" s="35">
        <v>35575473880</v>
      </c>
      <c r="I372" s="35" t="s">
        <v>299</v>
      </c>
      <c r="J372" s="36"/>
      <c r="K372" s="35" t="s">
        <v>375</v>
      </c>
      <c r="L372" s="35" t="s">
        <v>282</v>
      </c>
      <c r="M372" s="35" t="s">
        <v>277</v>
      </c>
      <c r="N372" s="37" t="s">
        <v>375</v>
      </c>
      <c r="P372" s="35" t="s">
        <v>279</v>
      </c>
      <c r="Q372" s="35" t="s">
        <v>286</v>
      </c>
      <c r="R372" s="35" t="s">
        <v>280</v>
      </c>
      <c r="S372" s="35">
        <v>1</v>
      </c>
      <c r="T372" s="38"/>
      <c r="V372" s="39"/>
      <c r="W372" s="35">
        <v>0</v>
      </c>
      <c r="X372" s="39" t="s">
        <v>281</v>
      </c>
      <c r="Y372" s="39">
        <v>18</v>
      </c>
      <c r="AB372" s="53">
        <v>18</v>
      </c>
      <c r="AC372" s="35" t="s">
        <v>277</v>
      </c>
    </row>
    <row r="373" spans="1:29" x14ac:dyDescent="0.2">
      <c r="A373" s="48">
        <f t="shared" si="10"/>
        <v>2025</v>
      </c>
      <c r="B373" s="49" t="str">
        <f t="shared" si="11"/>
        <v>JULHO</v>
      </c>
      <c r="C373" s="35">
        <v>64891002</v>
      </c>
      <c r="D373" s="35">
        <v>7861855</v>
      </c>
      <c r="E373" s="35" t="s">
        <v>438</v>
      </c>
      <c r="F373" s="36">
        <v>45867</v>
      </c>
      <c r="G373" s="35" t="s">
        <v>13</v>
      </c>
      <c r="H373" s="35">
        <v>35575473880</v>
      </c>
      <c r="I373" s="35" t="s">
        <v>299</v>
      </c>
      <c r="J373" s="36"/>
      <c r="K373" s="35" t="s">
        <v>371</v>
      </c>
      <c r="L373" s="35" t="s">
        <v>276</v>
      </c>
      <c r="M373" s="35" t="s">
        <v>277</v>
      </c>
      <c r="N373" s="37" t="s">
        <v>371</v>
      </c>
      <c r="P373" s="35" t="s">
        <v>279</v>
      </c>
      <c r="Q373" s="35" t="s">
        <v>286</v>
      </c>
      <c r="R373" s="35" t="s">
        <v>280</v>
      </c>
      <c r="S373" s="35">
        <v>1</v>
      </c>
      <c r="T373" s="38"/>
      <c r="V373" s="39"/>
      <c r="X373" s="39" t="s">
        <v>281</v>
      </c>
      <c r="Y373" s="39">
        <v>35</v>
      </c>
      <c r="AB373" s="53">
        <v>35</v>
      </c>
      <c r="AC373" s="35" t="s">
        <v>277</v>
      </c>
    </row>
    <row r="374" spans="1:29" x14ac:dyDescent="0.2">
      <c r="A374" s="48">
        <f t="shared" si="10"/>
        <v>2025</v>
      </c>
      <c r="B374" s="49" t="str">
        <f t="shared" si="11"/>
        <v>JULHO</v>
      </c>
      <c r="C374" s="35">
        <v>64615337</v>
      </c>
      <c r="D374" s="35">
        <v>7861855</v>
      </c>
      <c r="E374" s="35" t="s">
        <v>438</v>
      </c>
      <c r="F374" s="36">
        <v>45866</v>
      </c>
      <c r="G374" s="35" t="s">
        <v>13</v>
      </c>
      <c r="H374" s="35">
        <v>35575473880</v>
      </c>
      <c r="I374" s="35" t="s">
        <v>299</v>
      </c>
      <c r="J374" s="36"/>
      <c r="K374" s="35" t="s">
        <v>403</v>
      </c>
      <c r="L374" s="35" t="s">
        <v>282</v>
      </c>
      <c r="M374" s="35" t="s">
        <v>277</v>
      </c>
      <c r="N374" s="37" t="s">
        <v>403</v>
      </c>
      <c r="P374" s="35" t="s">
        <v>279</v>
      </c>
      <c r="Q374" s="35" t="s">
        <v>286</v>
      </c>
      <c r="R374" s="35" t="s">
        <v>280</v>
      </c>
      <c r="S374" s="35">
        <v>1</v>
      </c>
      <c r="T374" s="38"/>
      <c r="V374" s="39"/>
      <c r="W374" s="35">
        <v>0</v>
      </c>
      <c r="X374" s="39" t="s">
        <v>281</v>
      </c>
      <c r="Y374" s="39">
        <v>54.3</v>
      </c>
      <c r="AB374" s="53">
        <v>54.3</v>
      </c>
      <c r="AC374" s="35" t="s">
        <v>277</v>
      </c>
    </row>
    <row r="375" spans="1:29" x14ac:dyDescent="0.2">
      <c r="A375" s="48">
        <f t="shared" si="10"/>
        <v>2025</v>
      </c>
      <c r="B375" s="49" t="str">
        <f t="shared" si="11"/>
        <v>JULHO</v>
      </c>
      <c r="C375" s="35">
        <v>64890140</v>
      </c>
      <c r="D375" s="35">
        <v>7861855</v>
      </c>
      <c r="E375" s="35" t="s">
        <v>438</v>
      </c>
      <c r="F375" s="36">
        <v>45864</v>
      </c>
      <c r="G375" s="35" t="s">
        <v>13</v>
      </c>
      <c r="H375" s="35">
        <v>35575473880</v>
      </c>
      <c r="I375" s="35" t="s">
        <v>299</v>
      </c>
      <c r="J375" s="36"/>
      <c r="K375" s="35" t="s">
        <v>365</v>
      </c>
      <c r="L375" s="35" t="s">
        <v>276</v>
      </c>
      <c r="M375" s="35" t="s">
        <v>277</v>
      </c>
      <c r="N375" s="37" t="s">
        <v>365</v>
      </c>
      <c r="P375" s="35" t="s">
        <v>279</v>
      </c>
      <c r="Q375" s="35" t="s">
        <v>286</v>
      </c>
      <c r="R375" s="35" t="s">
        <v>280</v>
      </c>
      <c r="S375" s="35">
        <v>1</v>
      </c>
      <c r="T375" s="38"/>
      <c r="V375" s="39"/>
      <c r="W375" s="35">
        <v>0</v>
      </c>
      <c r="X375" s="39" t="s">
        <v>281</v>
      </c>
      <c r="Y375" s="39">
        <v>46.39</v>
      </c>
      <c r="AB375" s="53">
        <v>46.39</v>
      </c>
      <c r="AC375" s="35" t="s">
        <v>277</v>
      </c>
    </row>
    <row r="376" spans="1:29" x14ac:dyDescent="0.2">
      <c r="A376" s="48">
        <f t="shared" si="10"/>
        <v>2025</v>
      </c>
      <c r="B376" s="49" t="str">
        <f t="shared" si="11"/>
        <v>JULHO</v>
      </c>
      <c r="C376" s="35">
        <v>64477478</v>
      </c>
      <c r="D376" s="35">
        <v>7861855</v>
      </c>
      <c r="E376" s="35" t="s">
        <v>438</v>
      </c>
      <c r="F376" s="36">
        <v>45863</v>
      </c>
      <c r="G376" s="35" t="s">
        <v>13</v>
      </c>
      <c r="H376" s="35">
        <v>35575473880</v>
      </c>
      <c r="I376" s="35" t="s">
        <v>299</v>
      </c>
      <c r="J376" s="36"/>
      <c r="K376" s="35" t="s">
        <v>405</v>
      </c>
      <c r="L376" s="35" t="s">
        <v>282</v>
      </c>
      <c r="M376" s="35" t="s">
        <v>277</v>
      </c>
      <c r="N376" s="37" t="s">
        <v>405</v>
      </c>
      <c r="P376" s="35" t="s">
        <v>279</v>
      </c>
      <c r="Q376" s="35" t="s">
        <v>286</v>
      </c>
      <c r="R376" s="35" t="s">
        <v>280</v>
      </c>
      <c r="S376" s="35">
        <v>1</v>
      </c>
      <c r="T376" s="38"/>
      <c r="V376" s="39"/>
      <c r="W376" s="35">
        <v>0</v>
      </c>
      <c r="X376" s="39" t="s">
        <v>281</v>
      </c>
      <c r="Y376" s="39">
        <v>62.8</v>
      </c>
      <c r="AB376" s="53">
        <v>62.8</v>
      </c>
      <c r="AC376" s="35" t="s">
        <v>277</v>
      </c>
    </row>
    <row r="377" spans="1:29" x14ac:dyDescent="0.2">
      <c r="A377" s="48">
        <f t="shared" si="10"/>
        <v>2025</v>
      </c>
      <c r="B377" s="49" t="str">
        <f t="shared" si="11"/>
        <v>JULHO</v>
      </c>
      <c r="C377" s="35">
        <v>64614183</v>
      </c>
      <c r="D377" s="35">
        <v>7861855</v>
      </c>
      <c r="E377" s="35" t="s">
        <v>438</v>
      </c>
      <c r="F377" s="36">
        <v>45862</v>
      </c>
      <c r="G377" s="35" t="s">
        <v>13</v>
      </c>
      <c r="H377" s="35">
        <v>35575473880</v>
      </c>
      <c r="I377" s="35" t="s">
        <v>299</v>
      </c>
      <c r="J377" s="36"/>
      <c r="K377" s="35" t="s">
        <v>398</v>
      </c>
      <c r="L377" s="35" t="s">
        <v>276</v>
      </c>
      <c r="M377" s="35" t="s">
        <v>277</v>
      </c>
      <c r="N377" s="37" t="s">
        <v>398</v>
      </c>
      <c r="P377" s="35" t="s">
        <v>279</v>
      </c>
      <c r="Q377" s="35" t="s">
        <v>286</v>
      </c>
      <c r="R377" s="35" t="s">
        <v>280</v>
      </c>
      <c r="S377" s="35">
        <v>1</v>
      </c>
      <c r="T377" s="38"/>
      <c r="V377" s="39"/>
      <c r="X377" s="39" t="s">
        <v>281</v>
      </c>
      <c r="Y377" s="39">
        <v>7.9</v>
      </c>
      <c r="AB377" s="53">
        <v>7.9</v>
      </c>
      <c r="AC377" s="35" t="s">
        <v>277</v>
      </c>
    </row>
    <row r="378" spans="1:29" x14ac:dyDescent="0.2">
      <c r="A378" s="48">
        <f t="shared" si="10"/>
        <v>2025</v>
      </c>
      <c r="B378" s="49" t="str">
        <f t="shared" si="11"/>
        <v>JULHO</v>
      </c>
      <c r="C378" s="35">
        <v>64890687</v>
      </c>
      <c r="D378" s="35">
        <v>7861855</v>
      </c>
      <c r="E378" s="35" t="s">
        <v>438</v>
      </c>
      <c r="F378" s="36">
        <v>45861</v>
      </c>
      <c r="G378" s="35" t="s">
        <v>13</v>
      </c>
      <c r="H378" s="35">
        <v>35575473880</v>
      </c>
      <c r="I378" s="35" t="s">
        <v>299</v>
      </c>
      <c r="J378" s="36"/>
      <c r="K378" s="35" t="s">
        <v>367</v>
      </c>
      <c r="L378" s="35" t="s">
        <v>276</v>
      </c>
      <c r="M378" s="35" t="s">
        <v>277</v>
      </c>
      <c r="N378" s="37" t="s">
        <v>367</v>
      </c>
      <c r="P378" s="35" t="s">
        <v>279</v>
      </c>
      <c r="Q378" s="35" t="s">
        <v>286</v>
      </c>
      <c r="R378" s="35" t="s">
        <v>280</v>
      </c>
      <c r="S378" s="35">
        <v>1</v>
      </c>
      <c r="T378" s="38"/>
      <c r="V378" s="39"/>
      <c r="X378" s="39" t="s">
        <v>281</v>
      </c>
      <c r="Y378" s="39">
        <v>17.149999999999999</v>
      </c>
      <c r="AB378" s="53">
        <v>17.149999999999999</v>
      </c>
      <c r="AC378" s="35" t="s">
        <v>277</v>
      </c>
    </row>
    <row r="379" spans="1:29" x14ac:dyDescent="0.2">
      <c r="A379" s="48">
        <f t="shared" si="10"/>
        <v>2025</v>
      </c>
      <c r="B379" s="49" t="str">
        <f t="shared" si="11"/>
        <v>JULHO</v>
      </c>
      <c r="C379" s="35">
        <v>64260814</v>
      </c>
      <c r="D379" s="35">
        <v>7861855</v>
      </c>
      <c r="E379" s="35" t="s">
        <v>438</v>
      </c>
      <c r="F379" s="36">
        <v>45860</v>
      </c>
      <c r="G379" s="35" t="s">
        <v>13</v>
      </c>
      <c r="H379" s="35">
        <v>35575473880</v>
      </c>
      <c r="I379" s="35" t="s">
        <v>299</v>
      </c>
      <c r="J379" s="36"/>
      <c r="K379" s="35" t="s">
        <v>384</v>
      </c>
      <c r="L379" s="35" t="s">
        <v>282</v>
      </c>
      <c r="M379" s="35" t="s">
        <v>277</v>
      </c>
      <c r="N379" s="37" t="s">
        <v>384</v>
      </c>
      <c r="P379" s="35" t="s">
        <v>279</v>
      </c>
      <c r="Q379" s="35" t="s">
        <v>286</v>
      </c>
      <c r="R379" s="35" t="s">
        <v>280</v>
      </c>
      <c r="S379" s="35">
        <v>1</v>
      </c>
      <c r="T379" s="38"/>
      <c r="V379" s="39"/>
      <c r="W379" s="35">
        <v>0</v>
      </c>
      <c r="X379" s="39" t="s">
        <v>281</v>
      </c>
      <c r="Y379" s="39">
        <v>113.4</v>
      </c>
      <c r="AB379" s="53">
        <v>113.4</v>
      </c>
      <c r="AC379" s="35" t="s">
        <v>277</v>
      </c>
    </row>
    <row r="380" spans="1:29" x14ac:dyDescent="0.2">
      <c r="A380" s="48">
        <f t="shared" si="10"/>
        <v>2025</v>
      </c>
      <c r="B380" s="49" t="str">
        <f t="shared" si="11"/>
        <v>JULHO</v>
      </c>
      <c r="C380" s="35">
        <v>64890063</v>
      </c>
      <c r="D380" s="35">
        <v>7861855</v>
      </c>
      <c r="E380" s="35" t="s">
        <v>438</v>
      </c>
      <c r="F380" s="36">
        <v>45859</v>
      </c>
      <c r="G380" s="35" t="s">
        <v>13</v>
      </c>
      <c r="H380" s="35">
        <v>35575473880</v>
      </c>
      <c r="I380" s="35" t="s">
        <v>299</v>
      </c>
      <c r="J380" s="36"/>
      <c r="K380" s="35" t="s">
        <v>403</v>
      </c>
      <c r="L380" s="35" t="s">
        <v>276</v>
      </c>
      <c r="M380" s="35" t="s">
        <v>277</v>
      </c>
      <c r="N380" s="37" t="s">
        <v>403</v>
      </c>
      <c r="P380" s="35" t="s">
        <v>279</v>
      </c>
      <c r="Q380" s="35" t="s">
        <v>286</v>
      </c>
      <c r="R380" s="35" t="s">
        <v>280</v>
      </c>
      <c r="S380" s="35">
        <v>1</v>
      </c>
      <c r="T380" s="38"/>
      <c r="V380" s="39"/>
      <c r="X380" s="39" t="s">
        <v>281</v>
      </c>
      <c r="Y380" s="39">
        <v>35.799999999999997</v>
      </c>
      <c r="AB380" s="53">
        <v>35.799999999999997</v>
      </c>
      <c r="AC380" s="35" t="s">
        <v>277</v>
      </c>
    </row>
    <row r="381" spans="1:29" x14ac:dyDescent="0.2">
      <c r="A381" s="48">
        <f t="shared" si="10"/>
        <v>2025</v>
      </c>
      <c r="B381" s="49" t="str">
        <f t="shared" si="11"/>
        <v>JULHO</v>
      </c>
      <c r="C381" s="35">
        <v>64476050</v>
      </c>
      <c r="D381" s="35">
        <v>7861855</v>
      </c>
      <c r="E381" s="35" t="s">
        <v>438</v>
      </c>
      <c r="F381" s="36">
        <v>45855</v>
      </c>
      <c r="G381" s="35" t="s">
        <v>13</v>
      </c>
      <c r="H381" s="35">
        <v>35575473880</v>
      </c>
      <c r="I381" s="35" t="s">
        <v>299</v>
      </c>
      <c r="J381" s="36"/>
      <c r="K381" s="35" t="s">
        <v>387</v>
      </c>
      <c r="L381" s="35" t="s">
        <v>276</v>
      </c>
      <c r="M381" s="35" t="s">
        <v>277</v>
      </c>
      <c r="N381" s="37" t="s">
        <v>387</v>
      </c>
      <c r="P381" s="35" t="s">
        <v>279</v>
      </c>
      <c r="Q381" s="35" t="s">
        <v>286</v>
      </c>
      <c r="R381" s="35" t="s">
        <v>280</v>
      </c>
      <c r="S381" s="35">
        <v>1</v>
      </c>
      <c r="T381" s="38"/>
      <c r="V381" s="39"/>
      <c r="X381" s="39" t="s">
        <v>281</v>
      </c>
      <c r="Y381" s="39">
        <v>29.9</v>
      </c>
      <c r="AB381" s="53">
        <v>29.9</v>
      </c>
      <c r="AC381" s="35" t="s">
        <v>277</v>
      </c>
    </row>
    <row r="382" spans="1:29" x14ac:dyDescent="0.2">
      <c r="A382" s="48">
        <f t="shared" si="10"/>
        <v>2025</v>
      </c>
      <c r="B382" s="49" t="str">
        <f t="shared" si="11"/>
        <v>JULHO</v>
      </c>
      <c r="C382" s="35">
        <v>64258581</v>
      </c>
      <c r="D382" s="35">
        <v>7861855</v>
      </c>
      <c r="E382" s="35" t="s">
        <v>438</v>
      </c>
      <c r="F382" s="36">
        <v>45852</v>
      </c>
      <c r="G382" s="35" t="s">
        <v>13</v>
      </c>
      <c r="H382" s="35">
        <v>35575473880</v>
      </c>
      <c r="I382" s="35" t="s">
        <v>299</v>
      </c>
      <c r="J382" s="36"/>
      <c r="K382" s="35" t="s">
        <v>407</v>
      </c>
      <c r="L382" s="35" t="s">
        <v>276</v>
      </c>
      <c r="M382" s="35" t="s">
        <v>277</v>
      </c>
      <c r="N382" s="37" t="s">
        <v>407</v>
      </c>
      <c r="P382" s="35" t="s">
        <v>279</v>
      </c>
      <c r="Q382" s="35" t="s">
        <v>286</v>
      </c>
      <c r="R382" s="35" t="s">
        <v>280</v>
      </c>
      <c r="S382" s="35">
        <v>1</v>
      </c>
      <c r="T382" s="38"/>
      <c r="V382" s="39"/>
      <c r="X382" s="39" t="s">
        <v>281</v>
      </c>
      <c r="Y382" s="39">
        <v>38.200000000000003</v>
      </c>
      <c r="AB382" s="53">
        <v>38.200000000000003</v>
      </c>
      <c r="AC382" s="35" t="s">
        <v>277</v>
      </c>
    </row>
    <row r="383" spans="1:29" x14ac:dyDescent="0.2">
      <c r="A383" s="48">
        <f t="shared" si="10"/>
        <v>2025</v>
      </c>
      <c r="B383" s="49" t="str">
        <f t="shared" si="11"/>
        <v>JULHO</v>
      </c>
      <c r="C383" s="35">
        <v>64258503</v>
      </c>
      <c r="D383" s="35">
        <v>7861855</v>
      </c>
      <c r="E383" s="35" t="s">
        <v>438</v>
      </c>
      <c r="F383" s="36">
        <v>45848</v>
      </c>
      <c r="G383" s="35" t="s">
        <v>13</v>
      </c>
      <c r="H383" s="35">
        <v>35575473880</v>
      </c>
      <c r="I383" s="35" t="s">
        <v>299</v>
      </c>
      <c r="J383" s="36"/>
      <c r="K383" s="35" t="s">
        <v>402</v>
      </c>
      <c r="L383" s="35" t="s">
        <v>276</v>
      </c>
      <c r="M383" s="35" t="s">
        <v>277</v>
      </c>
      <c r="N383" s="37" t="s">
        <v>402</v>
      </c>
      <c r="P383" s="35" t="s">
        <v>279</v>
      </c>
      <c r="Q383" s="35" t="s">
        <v>286</v>
      </c>
      <c r="R383" s="35" t="s">
        <v>280</v>
      </c>
      <c r="S383" s="35">
        <v>1</v>
      </c>
      <c r="T383" s="38"/>
      <c r="V383" s="39"/>
      <c r="X383" s="39" t="s">
        <v>281</v>
      </c>
      <c r="Y383" s="39">
        <v>24.3</v>
      </c>
      <c r="AB383" s="53">
        <v>24.3</v>
      </c>
      <c r="AC383" s="35" t="s">
        <v>277</v>
      </c>
    </row>
    <row r="384" spans="1:29" x14ac:dyDescent="0.2">
      <c r="A384" s="48">
        <f t="shared" si="10"/>
        <v>2025</v>
      </c>
      <c r="B384" s="49" t="str">
        <f t="shared" si="11"/>
        <v>JULHO</v>
      </c>
      <c r="C384" s="35">
        <v>64258667</v>
      </c>
      <c r="D384" s="35">
        <v>7861855</v>
      </c>
      <c r="E384" s="35" t="s">
        <v>438</v>
      </c>
      <c r="F384" s="36">
        <v>45847</v>
      </c>
      <c r="G384" s="35" t="s">
        <v>13</v>
      </c>
      <c r="H384" s="35">
        <v>35575473880</v>
      </c>
      <c r="I384" s="35" t="s">
        <v>299</v>
      </c>
      <c r="J384" s="36"/>
      <c r="K384" s="35" t="s">
        <v>389</v>
      </c>
      <c r="L384" s="35" t="s">
        <v>276</v>
      </c>
      <c r="M384" s="35" t="s">
        <v>277</v>
      </c>
      <c r="N384" s="37" t="s">
        <v>389</v>
      </c>
      <c r="P384" s="35" t="s">
        <v>279</v>
      </c>
      <c r="Q384" s="35" t="s">
        <v>286</v>
      </c>
      <c r="R384" s="35" t="s">
        <v>280</v>
      </c>
      <c r="S384" s="35">
        <v>1</v>
      </c>
      <c r="T384" s="38"/>
      <c r="V384" s="39"/>
      <c r="X384" s="39" t="s">
        <v>281</v>
      </c>
      <c r="Y384" s="39">
        <v>222.1</v>
      </c>
      <c r="AB384" s="53">
        <v>222.1</v>
      </c>
      <c r="AC384" s="35" t="s">
        <v>277</v>
      </c>
    </row>
    <row r="385" spans="1:29" x14ac:dyDescent="0.2">
      <c r="A385" s="48">
        <f t="shared" si="10"/>
        <v>2025</v>
      </c>
      <c r="B385" s="49" t="str">
        <f t="shared" si="11"/>
        <v>JULHO</v>
      </c>
      <c r="C385" s="35">
        <v>63720154</v>
      </c>
      <c r="D385" s="35">
        <v>7861855</v>
      </c>
      <c r="E385" s="35" t="s">
        <v>438</v>
      </c>
      <c r="F385" s="36">
        <v>45846</v>
      </c>
      <c r="G385" s="35" t="s">
        <v>13</v>
      </c>
      <c r="H385" s="35">
        <v>35575473880</v>
      </c>
      <c r="I385" s="35" t="s">
        <v>299</v>
      </c>
      <c r="J385" s="36"/>
      <c r="K385" s="35" t="s">
        <v>301</v>
      </c>
      <c r="L385" s="35" t="s">
        <v>276</v>
      </c>
      <c r="M385" s="35" t="s">
        <v>277</v>
      </c>
      <c r="N385" s="37" t="s">
        <v>301</v>
      </c>
      <c r="P385" s="35" t="s">
        <v>279</v>
      </c>
      <c r="Q385" s="35" t="s">
        <v>286</v>
      </c>
      <c r="R385" s="35" t="s">
        <v>280</v>
      </c>
      <c r="S385" s="35">
        <v>1</v>
      </c>
      <c r="T385" s="38"/>
      <c r="V385" s="39"/>
      <c r="W385" s="35">
        <v>0</v>
      </c>
      <c r="X385" s="39" t="s">
        <v>281</v>
      </c>
      <c r="Y385" s="39">
        <v>85.44</v>
      </c>
      <c r="AB385" s="53">
        <v>85.44</v>
      </c>
      <c r="AC385" s="35" t="s">
        <v>277</v>
      </c>
    </row>
    <row r="386" spans="1:29" x14ac:dyDescent="0.2">
      <c r="A386" s="48">
        <f t="shared" si="10"/>
        <v>2025</v>
      </c>
      <c r="B386" s="49" t="str">
        <f t="shared" si="11"/>
        <v>JULHO</v>
      </c>
      <c r="C386" s="35">
        <v>64258336</v>
      </c>
      <c r="D386" s="35">
        <v>7861855</v>
      </c>
      <c r="E386" s="35" t="s">
        <v>438</v>
      </c>
      <c r="F386" s="36">
        <v>45842</v>
      </c>
      <c r="G386" s="35" t="s">
        <v>13</v>
      </c>
      <c r="H386" s="35">
        <v>35575473880</v>
      </c>
      <c r="I386" s="35" t="s">
        <v>299</v>
      </c>
      <c r="J386" s="36"/>
      <c r="K386" s="35" t="s">
        <v>401</v>
      </c>
      <c r="L386" s="35" t="s">
        <v>276</v>
      </c>
      <c r="M386" s="35" t="s">
        <v>277</v>
      </c>
      <c r="N386" s="37" t="s">
        <v>401</v>
      </c>
      <c r="P386" s="35" t="s">
        <v>279</v>
      </c>
      <c r="Q386" s="35" t="s">
        <v>286</v>
      </c>
      <c r="R386" s="35" t="s">
        <v>280</v>
      </c>
      <c r="S386" s="35">
        <v>1</v>
      </c>
      <c r="T386" s="38"/>
      <c r="V386" s="39"/>
      <c r="X386" s="39" t="s">
        <v>281</v>
      </c>
      <c r="Y386" s="39">
        <v>228</v>
      </c>
      <c r="AB386" s="53">
        <v>228</v>
      </c>
      <c r="AC386" s="35" t="s">
        <v>277</v>
      </c>
    </row>
    <row r="387" spans="1:29" x14ac:dyDescent="0.2">
      <c r="A387" s="48">
        <f t="shared" ref="A387:A402" si="12">YEAR(F387)</f>
        <v>2025</v>
      </c>
      <c r="B387" s="49" t="str">
        <f t="shared" ref="B387:B402" si="13">UPPER(TEXT(F387,"MMMM"))</f>
        <v>JULHO</v>
      </c>
      <c r="C387" s="35">
        <v>63689112</v>
      </c>
      <c r="D387" s="35">
        <v>7861855</v>
      </c>
      <c r="E387" s="35" t="s">
        <v>438</v>
      </c>
      <c r="F387" s="36">
        <v>45840</v>
      </c>
      <c r="G387" s="35" t="s">
        <v>13</v>
      </c>
      <c r="H387" s="35">
        <v>35575473880</v>
      </c>
      <c r="I387" s="35" t="s">
        <v>299</v>
      </c>
      <c r="J387" s="36"/>
      <c r="K387" s="35" t="s">
        <v>285</v>
      </c>
      <c r="L387" s="35" t="s">
        <v>276</v>
      </c>
      <c r="M387" s="35" t="s">
        <v>277</v>
      </c>
      <c r="N387" s="37" t="s">
        <v>309</v>
      </c>
      <c r="P387" s="35" t="s">
        <v>279</v>
      </c>
      <c r="Q387" s="35" t="s">
        <v>286</v>
      </c>
      <c r="R387" s="35" t="s">
        <v>280</v>
      </c>
      <c r="S387" s="35">
        <v>1</v>
      </c>
      <c r="T387" s="38"/>
      <c r="V387" s="39"/>
      <c r="X387" s="39" t="s">
        <v>281</v>
      </c>
      <c r="Y387" s="39">
        <v>149</v>
      </c>
      <c r="AB387" s="53">
        <v>149</v>
      </c>
      <c r="AC387" s="35" t="s">
        <v>277</v>
      </c>
    </row>
    <row r="388" spans="1:29" x14ac:dyDescent="0.2">
      <c r="A388" s="48">
        <f t="shared" si="12"/>
        <v>2025</v>
      </c>
      <c r="B388" s="49" t="str">
        <f t="shared" si="13"/>
        <v>JULHO</v>
      </c>
      <c r="C388" s="35">
        <v>63689007</v>
      </c>
      <c r="D388" s="35">
        <v>7861855</v>
      </c>
      <c r="E388" s="35" t="s">
        <v>438</v>
      </c>
      <c r="F388" s="36">
        <v>45840</v>
      </c>
      <c r="G388" s="35" t="s">
        <v>13</v>
      </c>
      <c r="H388" s="35">
        <v>35575473880</v>
      </c>
      <c r="I388" s="35" t="s">
        <v>299</v>
      </c>
      <c r="J388" s="36"/>
      <c r="K388" s="35" t="s">
        <v>285</v>
      </c>
      <c r="L388" s="35" t="s">
        <v>276</v>
      </c>
      <c r="M388" s="35" t="s">
        <v>277</v>
      </c>
      <c r="N388" s="37" t="s">
        <v>309</v>
      </c>
      <c r="P388" s="35" t="s">
        <v>279</v>
      </c>
      <c r="Q388" s="35" t="s">
        <v>286</v>
      </c>
      <c r="R388" s="35" t="s">
        <v>280</v>
      </c>
      <c r="S388" s="35">
        <v>1</v>
      </c>
      <c r="T388" s="38"/>
      <c r="V388" s="39"/>
      <c r="X388" s="39" t="s">
        <v>281</v>
      </c>
      <c r="Y388" s="39">
        <v>27</v>
      </c>
      <c r="AB388" s="53">
        <v>27</v>
      </c>
      <c r="AC388" s="35" t="s">
        <v>277</v>
      </c>
    </row>
    <row r="389" spans="1:29" x14ac:dyDescent="0.2">
      <c r="A389" s="48">
        <f t="shared" si="12"/>
        <v>2025</v>
      </c>
      <c r="B389" s="49" t="str">
        <f t="shared" si="13"/>
        <v>JUNHO</v>
      </c>
      <c r="C389" s="35">
        <v>63245804</v>
      </c>
      <c r="D389" s="35">
        <v>7769036</v>
      </c>
      <c r="E389" s="35" t="s">
        <v>440</v>
      </c>
      <c r="F389" s="36">
        <v>45838</v>
      </c>
      <c r="G389" s="35" t="s">
        <v>13</v>
      </c>
      <c r="H389" s="35">
        <v>35575473880</v>
      </c>
      <c r="I389" s="35" t="s">
        <v>299</v>
      </c>
      <c r="J389" s="36"/>
      <c r="K389" s="35" t="s">
        <v>304</v>
      </c>
      <c r="L389" s="35" t="s">
        <v>282</v>
      </c>
      <c r="M389" s="35" t="s">
        <v>277</v>
      </c>
      <c r="N389" s="37" t="s">
        <v>386</v>
      </c>
      <c r="P389" s="35" t="s">
        <v>279</v>
      </c>
      <c r="Q389" s="35" t="s">
        <v>286</v>
      </c>
      <c r="R389" s="35" t="s">
        <v>280</v>
      </c>
      <c r="S389" s="35">
        <v>1</v>
      </c>
      <c r="T389" s="38"/>
      <c r="V389" s="39"/>
      <c r="W389" s="35">
        <v>0</v>
      </c>
      <c r="X389" s="39" t="s">
        <v>281</v>
      </c>
      <c r="Y389" s="39">
        <v>45.4</v>
      </c>
      <c r="AB389" s="53">
        <v>45.4</v>
      </c>
      <c r="AC389" s="35" t="s">
        <v>277</v>
      </c>
    </row>
    <row r="390" spans="1:29" x14ac:dyDescent="0.2">
      <c r="A390" s="48">
        <f t="shared" si="12"/>
        <v>2025</v>
      </c>
      <c r="B390" s="49" t="str">
        <f t="shared" si="13"/>
        <v>JUNHO</v>
      </c>
      <c r="C390" s="35">
        <v>63101852</v>
      </c>
      <c r="D390" s="35">
        <v>7769036</v>
      </c>
      <c r="E390" s="35" t="s">
        <v>440</v>
      </c>
      <c r="F390" s="36">
        <v>45838</v>
      </c>
      <c r="G390" s="35" t="s">
        <v>13</v>
      </c>
      <c r="H390" s="35">
        <v>35575473880</v>
      </c>
      <c r="I390" s="35" t="s">
        <v>299</v>
      </c>
      <c r="J390" s="36"/>
      <c r="K390" s="35" t="s">
        <v>441</v>
      </c>
      <c r="L390" s="35" t="s">
        <v>282</v>
      </c>
      <c r="M390" s="35" t="s">
        <v>277</v>
      </c>
      <c r="N390" s="37" t="s">
        <v>442</v>
      </c>
      <c r="P390" s="35" t="s">
        <v>279</v>
      </c>
      <c r="Q390" s="35" t="s">
        <v>286</v>
      </c>
      <c r="R390" s="35" t="s">
        <v>280</v>
      </c>
      <c r="S390" s="35">
        <v>1</v>
      </c>
      <c r="T390" s="38"/>
      <c r="V390" s="39"/>
      <c r="W390" s="35">
        <v>0</v>
      </c>
      <c r="X390" s="39" t="s">
        <v>281</v>
      </c>
      <c r="Y390" s="39">
        <v>104.9</v>
      </c>
      <c r="AB390" s="53">
        <v>104.9</v>
      </c>
      <c r="AC390" s="35" t="s">
        <v>277</v>
      </c>
    </row>
    <row r="391" spans="1:29" x14ac:dyDescent="0.2">
      <c r="A391" s="48">
        <f t="shared" si="12"/>
        <v>2025</v>
      </c>
      <c r="B391" s="49" t="str">
        <f t="shared" si="13"/>
        <v>JUNHO</v>
      </c>
      <c r="C391" s="35">
        <v>63101737</v>
      </c>
      <c r="D391" s="35">
        <v>7769036</v>
      </c>
      <c r="E391" s="35" t="s">
        <v>440</v>
      </c>
      <c r="F391" s="36">
        <v>45838</v>
      </c>
      <c r="G391" s="35" t="s">
        <v>13</v>
      </c>
      <c r="H391" s="35">
        <v>35575473880</v>
      </c>
      <c r="I391" s="35" t="s">
        <v>299</v>
      </c>
      <c r="J391" s="36"/>
      <c r="K391" s="35" t="s">
        <v>443</v>
      </c>
      <c r="L391" s="35" t="s">
        <v>282</v>
      </c>
      <c r="M391" s="35" t="s">
        <v>277</v>
      </c>
      <c r="N391" s="37" t="s">
        <v>442</v>
      </c>
      <c r="P391" s="35" t="s">
        <v>279</v>
      </c>
      <c r="Q391" s="35" t="s">
        <v>286</v>
      </c>
      <c r="R391" s="35" t="s">
        <v>280</v>
      </c>
      <c r="S391" s="35">
        <v>1</v>
      </c>
      <c r="T391" s="38"/>
      <c r="V391" s="39"/>
      <c r="W391" s="35">
        <v>0</v>
      </c>
      <c r="X391" s="39" t="s">
        <v>281</v>
      </c>
      <c r="Y391" s="39">
        <v>177.8</v>
      </c>
      <c r="AB391" s="53">
        <v>177.8</v>
      </c>
      <c r="AC391" s="35" t="s">
        <v>277</v>
      </c>
    </row>
    <row r="392" spans="1:29" x14ac:dyDescent="0.2">
      <c r="A392" s="48">
        <f t="shared" si="12"/>
        <v>2025</v>
      </c>
      <c r="B392" s="49" t="str">
        <f t="shared" si="13"/>
        <v>JUNHO</v>
      </c>
      <c r="C392" s="35">
        <v>63042685</v>
      </c>
      <c r="D392" s="35">
        <v>7769036</v>
      </c>
      <c r="E392" s="35" t="s">
        <v>440</v>
      </c>
      <c r="F392" s="36">
        <v>45838</v>
      </c>
      <c r="G392" s="35" t="s">
        <v>13</v>
      </c>
      <c r="H392" s="35">
        <v>35575473880</v>
      </c>
      <c r="I392" s="35" t="s">
        <v>299</v>
      </c>
      <c r="J392" s="36"/>
      <c r="K392" s="35" t="s">
        <v>444</v>
      </c>
      <c r="L392" s="35" t="s">
        <v>282</v>
      </c>
      <c r="M392" s="35" t="s">
        <v>277</v>
      </c>
      <c r="N392" s="37" t="s">
        <v>442</v>
      </c>
      <c r="P392" s="35" t="s">
        <v>279</v>
      </c>
      <c r="Q392" s="35" t="s">
        <v>286</v>
      </c>
      <c r="R392" s="35" t="s">
        <v>280</v>
      </c>
      <c r="S392" s="35">
        <v>1</v>
      </c>
      <c r="T392" s="38"/>
      <c r="V392" s="39"/>
      <c r="W392" s="35">
        <v>0</v>
      </c>
      <c r="X392" s="39" t="s">
        <v>281</v>
      </c>
      <c r="Y392" s="39">
        <v>85.84</v>
      </c>
      <c r="AB392" s="53">
        <v>85.84</v>
      </c>
      <c r="AC392" s="35" t="s">
        <v>277</v>
      </c>
    </row>
    <row r="393" spans="1:29" x14ac:dyDescent="0.2">
      <c r="A393" s="48">
        <f t="shared" si="12"/>
        <v>2025</v>
      </c>
      <c r="B393" s="49" t="str">
        <f t="shared" si="13"/>
        <v>JUNHO</v>
      </c>
      <c r="C393" s="35">
        <v>63244747</v>
      </c>
      <c r="D393" s="35">
        <v>7769036</v>
      </c>
      <c r="E393" s="35" t="s">
        <v>440</v>
      </c>
      <c r="F393" s="36">
        <v>45834</v>
      </c>
      <c r="G393" s="35" t="s">
        <v>13</v>
      </c>
      <c r="H393" s="35">
        <v>35575473880</v>
      </c>
      <c r="I393" s="35" t="s">
        <v>299</v>
      </c>
      <c r="J393" s="36"/>
      <c r="K393" s="35" t="s">
        <v>304</v>
      </c>
      <c r="L393" s="35" t="s">
        <v>276</v>
      </c>
      <c r="M393" s="35" t="s">
        <v>277</v>
      </c>
      <c r="N393" s="37" t="s">
        <v>387</v>
      </c>
      <c r="P393" s="35" t="s">
        <v>279</v>
      </c>
      <c r="Q393" s="35" t="s">
        <v>286</v>
      </c>
      <c r="R393" s="35" t="s">
        <v>280</v>
      </c>
      <c r="S393" s="35">
        <v>1</v>
      </c>
      <c r="T393" s="38"/>
      <c r="V393" s="39"/>
      <c r="X393" s="39" t="s">
        <v>281</v>
      </c>
      <c r="Y393" s="39">
        <v>14.5</v>
      </c>
      <c r="AB393" s="53">
        <v>14.5</v>
      </c>
      <c r="AC393" s="35" t="s">
        <v>277</v>
      </c>
    </row>
    <row r="394" spans="1:29" x14ac:dyDescent="0.2">
      <c r="A394" s="48">
        <f t="shared" si="12"/>
        <v>2025</v>
      </c>
      <c r="B394" s="49" t="str">
        <f t="shared" si="13"/>
        <v>JUNHO</v>
      </c>
      <c r="C394" s="35">
        <v>63103128</v>
      </c>
      <c r="D394" s="35">
        <v>7769036</v>
      </c>
      <c r="E394" s="35" t="s">
        <v>440</v>
      </c>
      <c r="F394" s="36">
        <v>45831</v>
      </c>
      <c r="G394" s="35" t="s">
        <v>13</v>
      </c>
      <c r="H394" s="35">
        <v>35575473880</v>
      </c>
      <c r="I394" s="35" t="s">
        <v>299</v>
      </c>
      <c r="J394" s="36"/>
      <c r="K394" s="35" t="s">
        <v>304</v>
      </c>
      <c r="L394" s="35" t="s">
        <v>276</v>
      </c>
      <c r="M394" s="35" t="s">
        <v>277</v>
      </c>
      <c r="N394" s="37" t="s">
        <v>379</v>
      </c>
      <c r="P394" s="35" t="s">
        <v>279</v>
      </c>
      <c r="Q394" s="35" t="s">
        <v>286</v>
      </c>
      <c r="R394" s="35" t="s">
        <v>280</v>
      </c>
      <c r="S394" s="35">
        <v>1</v>
      </c>
      <c r="T394" s="38"/>
      <c r="V394" s="39"/>
      <c r="X394" s="39" t="s">
        <v>281</v>
      </c>
      <c r="Y394" s="39">
        <v>189</v>
      </c>
      <c r="AB394" s="53">
        <v>189</v>
      </c>
      <c r="AC394" s="35" t="s">
        <v>277</v>
      </c>
    </row>
    <row r="395" spans="1:29" x14ac:dyDescent="0.2">
      <c r="A395" s="48">
        <f t="shared" si="12"/>
        <v>2025</v>
      </c>
      <c r="B395" s="49" t="str">
        <f t="shared" si="13"/>
        <v>JUNHO</v>
      </c>
      <c r="C395" s="35">
        <v>63102732</v>
      </c>
      <c r="D395" s="35">
        <v>7769036</v>
      </c>
      <c r="E395" s="35" t="s">
        <v>440</v>
      </c>
      <c r="F395" s="36">
        <v>45821</v>
      </c>
      <c r="G395" s="35" t="s">
        <v>13</v>
      </c>
      <c r="H395" s="35">
        <v>35575473880</v>
      </c>
      <c r="I395" s="35" t="s">
        <v>299</v>
      </c>
      <c r="J395" s="36"/>
      <c r="K395" s="35" t="s">
        <v>304</v>
      </c>
      <c r="L395" s="35" t="s">
        <v>276</v>
      </c>
      <c r="M395" s="35" t="s">
        <v>277</v>
      </c>
      <c r="N395" s="37" t="s">
        <v>445</v>
      </c>
      <c r="P395" s="35" t="s">
        <v>279</v>
      </c>
      <c r="Q395" s="35" t="s">
        <v>286</v>
      </c>
      <c r="R395" s="35" t="s">
        <v>280</v>
      </c>
      <c r="S395" s="35">
        <v>1</v>
      </c>
      <c r="T395" s="38"/>
      <c r="V395" s="39"/>
      <c r="X395" s="39" t="s">
        <v>281</v>
      </c>
      <c r="Y395" s="39">
        <v>68</v>
      </c>
      <c r="AB395" s="53">
        <v>68</v>
      </c>
      <c r="AC395" s="35" t="s">
        <v>277</v>
      </c>
    </row>
    <row r="396" spans="1:29" x14ac:dyDescent="0.2">
      <c r="A396" s="48">
        <f t="shared" si="12"/>
        <v>2025</v>
      </c>
      <c r="B396" s="49" t="str">
        <f t="shared" si="13"/>
        <v>JUNHO</v>
      </c>
      <c r="C396" s="35">
        <v>63102320</v>
      </c>
      <c r="D396" s="35">
        <v>7769036</v>
      </c>
      <c r="E396" s="35" t="s">
        <v>440</v>
      </c>
      <c r="F396" s="36">
        <v>45820</v>
      </c>
      <c r="G396" s="35" t="s">
        <v>13</v>
      </c>
      <c r="H396" s="35">
        <v>35575473880</v>
      </c>
      <c r="I396" s="35" t="s">
        <v>299</v>
      </c>
      <c r="J396" s="36"/>
      <c r="K396" s="35" t="s">
        <v>304</v>
      </c>
      <c r="L396" s="35" t="s">
        <v>276</v>
      </c>
      <c r="M396" s="35" t="s">
        <v>277</v>
      </c>
      <c r="N396" s="37" t="s">
        <v>446</v>
      </c>
      <c r="P396" s="35" t="s">
        <v>279</v>
      </c>
      <c r="Q396" s="35" t="s">
        <v>286</v>
      </c>
      <c r="R396" s="35" t="s">
        <v>280</v>
      </c>
      <c r="S396" s="35">
        <v>1</v>
      </c>
      <c r="T396" s="38"/>
      <c r="V396" s="39"/>
      <c r="W396" s="35">
        <v>0</v>
      </c>
      <c r="X396" s="39" t="s">
        <v>281</v>
      </c>
      <c r="Y396" s="39">
        <v>199.9</v>
      </c>
      <c r="AB396" s="53">
        <v>199.9</v>
      </c>
      <c r="AC396" s="35" t="s">
        <v>277</v>
      </c>
    </row>
    <row r="397" spans="1:29" x14ac:dyDescent="0.2">
      <c r="A397" s="48">
        <f t="shared" si="12"/>
        <v>2025</v>
      </c>
      <c r="B397" s="49" t="str">
        <f t="shared" si="13"/>
        <v>JUNHO</v>
      </c>
      <c r="C397" s="35">
        <v>63102845</v>
      </c>
      <c r="D397" s="35">
        <v>7769036</v>
      </c>
      <c r="E397" s="35" t="s">
        <v>440</v>
      </c>
      <c r="F397" s="36">
        <v>45818</v>
      </c>
      <c r="G397" s="35" t="s">
        <v>13</v>
      </c>
      <c r="H397" s="35">
        <v>35575473880</v>
      </c>
      <c r="I397" s="35" t="s">
        <v>299</v>
      </c>
      <c r="J397" s="36"/>
      <c r="K397" s="35" t="s">
        <v>304</v>
      </c>
      <c r="L397" s="35" t="s">
        <v>276</v>
      </c>
      <c r="M397" s="35" t="s">
        <v>277</v>
      </c>
      <c r="N397" s="37" t="s">
        <v>447</v>
      </c>
      <c r="P397" s="35" t="s">
        <v>279</v>
      </c>
      <c r="Q397" s="35" t="s">
        <v>286</v>
      </c>
      <c r="R397" s="35" t="s">
        <v>280</v>
      </c>
      <c r="S397" s="35">
        <v>1</v>
      </c>
      <c r="T397" s="38"/>
      <c r="V397" s="39"/>
      <c r="W397" s="35">
        <v>0</v>
      </c>
      <c r="X397" s="39" t="s">
        <v>281</v>
      </c>
      <c r="Y397" s="39">
        <v>97.98</v>
      </c>
      <c r="AB397" s="53">
        <v>97.98</v>
      </c>
      <c r="AC397" s="35" t="s">
        <v>277</v>
      </c>
    </row>
    <row r="398" spans="1:29" x14ac:dyDescent="0.2">
      <c r="A398" s="48">
        <f t="shared" si="12"/>
        <v>2025</v>
      </c>
      <c r="B398" s="49" t="str">
        <f t="shared" si="13"/>
        <v>MAIO</v>
      </c>
      <c r="C398" s="35">
        <v>63102992</v>
      </c>
      <c r="D398" s="35">
        <v>7769036</v>
      </c>
      <c r="E398" s="35" t="s">
        <v>440</v>
      </c>
      <c r="F398" s="36">
        <v>45801</v>
      </c>
      <c r="G398" s="35" t="s">
        <v>13</v>
      </c>
      <c r="H398" s="35">
        <v>35575473880</v>
      </c>
      <c r="I398" s="35" t="s">
        <v>299</v>
      </c>
      <c r="J398" s="36"/>
      <c r="K398" s="35" t="s">
        <v>304</v>
      </c>
      <c r="L398" s="35" t="s">
        <v>276</v>
      </c>
      <c r="M398" s="35" t="s">
        <v>277</v>
      </c>
      <c r="N398" s="37" t="s">
        <v>448</v>
      </c>
      <c r="P398" s="35" t="s">
        <v>279</v>
      </c>
      <c r="Q398" s="35" t="s">
        <v>286</v>
      </c>
      <c r="R398" s="35" t="s">
        <v>280</v>
      </c>
      <c r="S398" s="35">
        <v>1</v>
      </c>
      <c r="T398" s="38"/>
      <c r="V398" s="39"/>
      <c r="X398" s="39" t="s">
        <v>281</v>
      </c>
      <c r="Y398" s="39">
        <v>175.29</v>
      </c>
      <c r="AB398" s="53">
        <v>175.29</v>
      </c>
      <c r="AC398" s="35" t="s">
        <v>277</v>
      </c>
    </row>
    <row r="399" spans="1:29" x14ac:dyDescent="0.2">
      <c r="A399" s="48">
        <f t="shared" si="12"/>
        <v>2025</v>
      </c>
      <c r="B399" s="49" t="str">
        <f t="shared" si="13"/>
        <v>MAIO</v>
      </c>
      <c r="C399" s="35">
        <v>63102164</v>
      </c>
      <c r="D399" s="35">
        <v>7769036</v>
      </c>
      <c r="E399" s="35" t="s">
        <v>440</v>
      </c>
      <c r="F399" s="36">
        <v>45800</v>
      </c>
      <c r="G399" s="35" t="s">
        <v>13</v>
      </c>
      <c r="H399" s="35">
        <v>35575473880</v>
      </c>
      <c r="I399" s="35" t="s">
        <v>299</v>
      </c>
      <c r="J399" s="36"/>
      <c r="K399" s="35" t="s">
        <v>304</v>
      </c>
      <c r="L399" s="35" t="s">
        <v>276</v>
      </c>
      <c r="M399" s="35" t="s">
        <v>277</v>
      </c>
      <c r="N399" s="37" t="s">
        <v>449</v>
      </c>
      <c r="P399" s="35" t="s">
        <v>279</v>
      </c>
      <c r="Q399" s="35" t="s">
        <v>286</v>
      </c>
      <c r="R399" s="35" t="s">
        <v>280</v>
      </c>
      <c r="S399" s="35">
        <v>1</v>
      </c>
      <c r="T399" s="38"/>
      <c r="V399" s="39"/>
      <c r="X399" s="39" t="s">
        <v>281</v>
      </c>
      <c r="Y399" s="39">
        <v>11</v>
      </c>
      <c r="AB399" s="53">
        <v>11</v>
      </c>
      <c r="AC399" s="35" t="s">
        <v>277</v>
      </c>
    </row>
    <row r="400" spans="1:29" x14ac:dyDescent="0.2">
      <c r="A400" s="48">
        <f t="shared" si="12"/>
        <v>2025</v>
      </c>
      <c r="B400" s="49" t="str">
        <f t="shared" si="13"/>
        <v>MAIO</v>
      </c>
      <c r="C400" s="35">
        <v>63102636</v>
      </c>
      <c r="D400" s="35">
        <v>7769036</v>
      </c>
      <c r="E400" s="35" t="s">
        <v>440</v>
      </c>
      <c r="F400" s="36">
        <v>45796</v>
      </c>
      <c r="G400" s="35" t="s">
        <v>13</v>
      </c>
      <c r="H400" s="35">
        <v>35575473880</v>
      </c>
      <c r="I400" s="35" t="s">
        <v>299</v>
      </c>
      <c r="J400" s="36"/>
      <c r="K400" s="35" t="s">
        <v>304</v>
      </c>
      <c r="L400" s="35" t="s">
        <v>276</v>
      </c>
      <c r="M400" s="35" t="s">
        <v>277</v>
      </c>
      <c r="N400" s="37" t="s">
        <v>290</v>
      </c>
      <c r="P400" s="35" t="s">
        <v>279</v>
      </c>
      <c r="Q400" s="35" t="s">
        <v>286</v>
      </c>
      <c r="R400" s="35" t="s">
        <v>280</v>
      </c>
      <c r="S400" s="35">
        <v>1</v>
      </c>
      <c r="T400" s="38"/>
      <c r="V400" s="39"/>
      <c r="X400" s="39" t="s">
        <v>281</v>
      </c>
      <c r="Y400" s="39">
        <v>10</v>
      </c>
      <c r="AB400" s="53">
        <v>10</v>
      </c>
      <c r="AC400" s="35" t="s">
        <v>277</v>
      </c>
    </row>
    <row r="401" spans="1:29" x14ac:dyDescent="0.2">
      <c r="A401" s="48">
        <f t="shared" si="12"/>
        <v>2025</v>
      </c>
      <c r="B401" s="49" t="str">
        <f t="shared" si="13"/>
        <v>MAIO</v>
      </c>
      <c r="C401" s="35">
        <v>63103561</v>
      </c>
      <c r="D401" s="35">
        <v>7769036</v>
      </c>
      <c r="E401" s="35" t="s">
        <v>440</v>
      </c>
      <c r="F401" s="36">
        <v>45791</v>
      </c>
      <c r="G401" s="35" t="s">
        <v>13</v>
      </c>
      <c r="H401" s="35">
        <v>35575473880</v>
      </c>
      <c r="I401" s="35" t="s">
        <v>299</v>
      </c>
      <c r="J401" s="36"/>
      <c r="K401" s="35" t="s">
        <v>304</v>
      </c>
      <c r="L401" s="35" t="s">
        <v>276</v>
      </c>
      <c r="M401" s="35" t="s">
        <v>277</v>
      </c>
      <c r="N401" s="37" t="s">
        <v>450</v>
      </c>
      <c r="P401" s="35" t="s">
        <v>279</v>
      </c>
      <c r="Q401" s="35" t="s">
        <v>286</v>
      </c>
      <c r="R401" s="35" t="s">
        <v>280</v>
      </c>
      <c r="S401" s="35">
        <v>1</v>
      </c>
      <c r="T401" s="38"/>
      <c r="V401" s="39"/>
      <c r="X401" s="39" t="s">
        <v>281</v>
      </c>
      <c r="Y401" s="39">
        <v>9.9</v>
      </c>
      <c r="AB401" s="53">
        <v>9.9</v>
      </c>
      <c r="AC401" s="35" t="s">
        <v>277</v>
      </c>
    </row>
    <row r="402" spans="1:29" x14ac:dyDescent="0.2">
      <c r="A402" s="48">
        <f t="shared" si="12"/>
        <v>2025</v>
      </c>
      <c r="B402" s="49" t="str">
        <f t="shared" si="13"/>
        <v>MAIO</v>
      </c>
      <c r="C402" s="35">
        <v>63102442</v>
      </c>
      <c r="D402" s="35">
        <v>7769036</v>
      </c>
      <c r="E402" s="35" t="s">
        <v>440</v>
      </c>
      <c r="F402" s="36">
        <v>45791</v>
      </c>
      <c r="G402" s="35" t="s">
        <v>13</v>
      </c>
      <c r="H402" s="35">
        <v>35575473880</v>
      </c>
      <c r="I402" s="35" t="s">
        <v>299</v>
      </c>
      <c r="J402" s="36"/>
      <c r="K402" s="35" t="s">
        <v>304</v>
      </c>
      <c r="L402" s="35" t="s">
        <v>276</v>
      </c>
      <c r="M402" s="35" t="s">
        <v>277</v>
      </c>
      <c r="N402" s="37" t="s">
        <v>302</v>
      </c>
      <c r="P402" s="35" t="s">
        <v>279</v>
      </c>
      <c r="Q402" s="35" t="s">
        <v>286</v>
      </c>
      <c r="R402" s="35" t="s">
        <v>280</v>
      </c>
      <c r="S402" s="35">
        <v>1</v>
      </c>
      <c r="T402" s="38"/>
      <c r="V402" s="39"/>
      <c r="X402" s="39" t="s">
        <v>281</v>
      </c>
      <c r="Y402" s="39">
        <v>9.5</v>
      </c>
      <c r="AB402" s="53">
        <v>9.5</v>
      </c>
      <c r="AC402" s="35" t="s">
        <v>277</v>
      </c>
    </row>
  </sheetData>
  <autoFilter ref="A1:AC402" xr:uid="{F83BE96F-6E9D-45E4-8C5F-C3F320D368A8}">
    <filterColumn colId="8">
      <filters>
        <filter val="Aprovad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F8DC-D9CD-4943-B8B1-3D99A77DEDCC}">
  <dimension ref="A1:P98"/>
  <sheetViews>
    <sheetView showGridLines="0" workbookViewId="0">
      <selection activeCell="C1" sqref="C1"/>
    </sheetView>
  </sheetViews>
  <sheetFormatPr defaultRowHeight="15" x14ac:dyDescent="0.25"/>
  <cols>
    <col min="1" max="3" width="10.7109375" bestFit="1" customWidth="1"/>
    <col min="4" max="4" width="8.140625" bestFit="1" customWidth="1"/>
    <col min="5" max="5" width="37.28515625" bestFit="1" customWidth="1"/>
    <col min="6" max="6" width="22.5703125" bestFit="1" customWidth="1"/>
    <col min="7" max="7" width="13.140625" bestFit="1" customWidth="1"/>
    <col min="8" max="8" width="55.5703125" bestFit="1" customWidth="1"/>
    <col min="9" max="9" width="12.140625" style="22" bestFit="1" customWidth="1"/>
    <col min="11" max="11" width="18" bestFit="1" customWidth="1"/>
    <col min="12" max="12" width="19.5703125" bestFit="1" customWidth="1"/>
    <col min="13" max="13" width="13.28515625" bestFit="1" customWidth="1"/>
    <col min="14" max="14" width="10.5703125" bestFit="1" customWidth="1"/>
    <col min="15" max="15" width="13.140625" bestFit="1" customWidth="1"/>
    <col min="16" max="16" width="12.140625" bestFit="1" customWidth="1"/>
  </cols>
  <sheetData>
    <row r="1" spans="1:16" ht="15.75" x14ac:dyDescent="0.25">
      <c r="A1" s="23" t="s">
        <v>452</v>
      </c>
      <c r="B1" s="23" t="s">
        <v>1</v>
      </c>
      <c r="C1" s="23" t="s">
        <v>14</v>
      </c>
      <c r="D1" s="24" t="s">
        <v>15</v>
      </c>
      <c r="E1" s="24" t="s">
        <v>16</v>
      </c>
      <c r="F1" s="24" t="s">
        <v>17</v>
      </c>
      <c r="G1" s="24" t="s">
        <v>18</v>
      </c>
      <c r="H1" s="25" t="s">
        <v>19</v>
      </c>
      <c r="I1" s="26" t="s">
        <v>20</v>
      </c>
      <c r="K1" s="27" t="s">
        <v>238</v>
      </c>
      <c r="L1" s="27" t="s">
        <v>237</v>
      </c>
    </row>
    <row r="2" spans="1:16" x14ac:dyDescent="0.25">
      <c r="A2" s="19">
        <f>YEAR(C2)</f>
        <v>2025</v>
      </c>
      <c r="B2" s="18" t="str">
        <f>UPPER(TEXT(C2,"MMMM"))</f>
        <v>MAIO</v>
      </c>
      <c r="C2" s="18">
        <v>45805.442974537</v>
      </c>
      <c r="D2" s="19" t="s">
        <v>22</v>
      </c>
      <c r="E2" s="19" t="s">
        <v>23</v>
      </c>
      <c r="F2" s="19" t="s">
        <v>21</v>
      </c>
      <c r="G2" s="19" t="s">
        <v>232</v>
      </c>
      <c r="H2" s="20" t="s">
        <v>25</v>
      </c>
      <c r="I2" s="21">
        <v>1183.02</v>
      </c>
      <c r="K2" s="27" t="s">
        <v>233</v>
      </c>
      <c r="L2" t="s">
        <v>232</v>
      </c>
      <c r="M2" t="s">
        <v>31</v>
      </c>
      <c r="N2" t="s">
        <v>37</v>
      </c>
      <c r="O2" t="s">
        <v>24</v>
      </c>
      <c r="P2" t="s">
        <v>234</v>
      </c>
    </row>
    <row r="3" spans="1:16" x14ac:dyDescent="0.25">
      <c r="A3" s="19">
        <f t="shared" ref="A3:A66" si="0">YEAR(C3)</f>
        <v>2025</v>
      </c>
      <c r="B3" s="18" t="str">
        <f t="shared" ref="B3:B66" si="1">UPPER(TEXT(C3,"MMMM"))</f>
        <v>JUNHO</v>
      </c>
      <c r="C3" s="18">
        <v>45819.748518519002</v>
      </c>
      <c r="D3" s="19" t="s">
        <v>26</v>
      </c>
      <c r="E3" s="19" t="s">
        <v>27</v>
      </c>
      <c r="F3" s="19" t="s">
        <v>21</v>
      </c>
      <c r="G3" s="19" t="s">
        <v>232</v>
      </c>
      <c r="H3" s="20" t="s">
        <v>28</v>
      </c>
      <c r="I3" s="21">
        <v>16.98</v>
      </c>
      <c r="K3" s="28" t="s">
        <v>235</v>
      </c>
      <c r="L3" s="22">
        <v>14777.429999999998</v>
      </c>
      <c r="M3" s="22">
        <v>-14640</v>
      </c>
      <c r="N3" s="22">
        <v>-126</v>
      </c>
      <c r="O3" s="22"/>
      <c r="P3" s="22">
        <v>11.42999999999995</v>
      </c>
    </row>
    <row r="4" spans="1:16" x14ac:dyDescent="0.25">
      <c r="A4" s="19">
        <f t="shared" si="0"/>
        <v>2025</v>
      </c>
      <c r="B4" s="18" t="str">
        <f t="shared" si="1"/>
        <v>JUNHO</v>
      </c>
      <c r="C4" s="18">
        <v>45824.754143519</v>
      </c>
      <c r="D4" s="19" t="s">
        <v>29</v>
      </c>
      <c r="E4" s="19" t="s">
        <v>30</v>
      </c>
      <c r="F4" s="19" t="s">
        <v>21</v>
      </c>
      <c r="G4" s="19" t="s">
        <v>31</v>
      </c>
      <c r="H4" s="20" t="s">
        <v>32</v>
      </c>
      <c r="I4" s="21">
        <v>-1000</v>
      </c>
      <c r="K4" s="29" t="s">
        <v>239</v>
      </c>
      <c r="L4" s="22">
        <v>1183.02</v>
      </c>
      <c r="M4" s="22"/>
      <c r="N4" s="22"/>
      <c r="O4" s="22"/>
      <c r="P4" s="22">
        <v>1183.02</v>
      </c>
    </row>
    <row r="5" spans="1:16" x14ac:dyDescent="0.25">
      <c r="A5" s="19">
        <f t="shared" si="0"/>
        <v>2025</v>
      </c>
      <c r="B5" s="18" t="str">
        <f t="shared" si="1"/>
        <v>JUNHO</v>
      </c>
      <c r="C5" s="18">
        <v>45824.754814815002</v>
      </c>
      <c r="D5" s="19" t="s">
        <v>33</v>
      </c>
      <c r="E5" s="19" t="s">
        <v>34</v>
      </c>
      <c r="F5" s="19" t="s">
        <v>21</v>
      </c>
      <c r="G5" s="19" t="s">
        <v>31</v>
      </c>
      <c r="H5" s="20" t="s">
        <v>32</v>
      </c>
      <c r="I5" s="21">
        <v>-180</v>
      </c>
      <c r="K5" s="29" t="s">
        <v>240</v>
      </c>
      <c r="L5" s="22">
        <v>1210.98</v>
      </c>
      <c r="M5" s="22">
        <v>-2180</v>
      </c>
      <c r="N5" s="22">
        <v>-21</v>
      </c>
      <c r="O5" s="22"/>
      <c r="P5" s="22">
        <v>-990.02</v>
      </c>
    </row>
    <row r="6" spans="1:16" x14ac:dyDescent="0.25">
      <c r="A6" s="19">
        <f t="shared" si="0"/>
        <v>2025</v>
      </c>
      <c r="B6" s="18" t="str">
        <f t="shared" si="1"/>
        <v>JUNHO</v>
      </c>
      <c r="C6" s="18">
        <v>45824.764178240999</v>
      </c>
      <c r="D6" s="19" t="s">
        <v>35</v>
      </c>
      <c r="E6" s="19" t="s">
        <v>36</v>
      </c>
      <c r="F6" s="19" t="s">
        <v>21</v>
      </c>
      <c r="G6" s="19" t="s">
        <v>37</v>
      </c>
      <c r="H6" s="20" t="s">
        <v>38</v>
      </c>
      <c r="I6" s="21">
        <v>-7</v>
      </c>
      <c r="K6" s="29" t="s">
        <v>241</v>
      </c>
      <c r="L6" s="22">
        <v>2953.46</v>
      </c>
      <c r="M6" s="22">
        <v>-3100</v>
      </c>
      <c r="N6" s="22">
        <v>-28</v>
      </c>
      <c r="O6" s="22"/>
      <c r="P6" s="22">
        <v>-174.53999999999996</v>
      </c>
    </row>
    <row r="7" spans="1:16" x14ac:dyDescent="0.25">
      <c r="A7" s="19">
        <f t="shared" si="0"/>
        <v>2025</v>
      </c>
      <c r="B7" s="18" t="str">
        <f t="shared" si="1"/>
        <v>JUNHO</v>
      </c>
      <c r="C7" s="18">
        <v>45824.764317130001</v>
      </c>
      <c r="D7" s="19" t="s">
        <v>39</v>
      </c>
      <c r="E7" s="19" t="s">
        <v>40</v>
      </c>
      <c r="F7" s="19" t="s">
        <v>21</v>
      </c>
      <c r="G7" s="19" t="s">
        <v>37</v>
      </c>
      <c r="H7" s="20" t="s">
        <v>38</v>
      </c>
      <c r="I7" s="21">
        <v>-7</v>
      </c>
      <c r="K7" s="29" t="s">
        <v>242</v>
      </c>
      <c r="L7" s="22">
        <v>4195.54</v>
      </c>
      <c r="M7" s="22">
        <v>-4000</v>
      </c>
      <c r="N7" s="22">
        <v>-28</v>
      </c>
      <c r="O7" s="22"/>
      <c r="P7" s="22">
        <v>167.53999999999996</v>
      </c>
    </row>
    <row r="8" spans="1:16" x14ac:dyDescent="0.25">
      <c r="A8" s="19">
        <f t="shared" si="0"/>
        <v>2025</v>
      </c>
      <c r="B8" s="18" t="str">
        <f t="shared" si="1"/>
        <v>JUNHO</v>
      </c>
      <c r="C8" s="18">
        <v>45833.706597222001</v>
      </c>
      <c r="D8" s="19" t="s">
        <v>41</v>
      </c>
      <c r="E8" s="19" t="s">
        <v>42</v>
      </c>
      <c r="F8" s="19" t="s">
        <v>21</v>
      </c>
      <c r="G8" s="19" t="s">
        <v>232</v>
      </c>
      <c r="H8" s="20" t="s">
        <v>28</v>
      </c>
      <c r="I8" s="21">
        <v>1194</v>
      </c>
      <c r="K8" s="29" t="s">
        <v>243</v>
      </c>
      <c r="L8" s="22">
        <v>2957.62</v>
      </c>
      <c r="M8" s="22">
        <v>-3110</v>
      </c>
      <c r="N8" s="22">
        <v>-28</v>
      </c>
      <c r="O8" s="22"/>
      <c r="P8" s="22">
        <v>-180.38000000000011</v>
      </c>
    </row>
    <row r="9" spans="1:16" x14ac:dyDescent="0.25">
      <c r="A9" s="19">
        <f t="shared" si="0"/>
        <v>2025</v>
      </c>
      <c r="B9" s="18" t="str">
        <f t="shared" si="1"/>
        <v>JUNHO</v>
      </c>
      <c r="C9" s="18">
        <v>45834.729560184998</v>
      </c>
      <c r="D9" s="19" t="s">
        <v>43</v>
      </c>
      <c r="E9" s="19" t="s">
        <v>44</v>
      </c>
      <c r="F9" s="19" t="s">
        <v>21</v>
      </c>
      <c r="G9" s="19" t="s">
        <v>31</v>
      </c>
      <c r="H9" s="20" t="s">
        <v>32</v>
      </c>
      <c r="I9" s="21">
        <v>-1000</v>
      </c>
      <c r="K9" s="29" t="s">
        <v>244</v>
      </c>
      <c r="L9" s="22">
        <v>688.07</v>
      </c>
      <c r="M9" s="22">
        <v>-680</v>
      </c>
      <c r="N9" s="22">
        <v>-7</v>
      </c>
      <c r="O9" s="22"/>
      <c r="P9" s="22">
        <v>1.07000000000005</v>
      </c>
    </row>
    <row r="10" spans="1:16" x14ac:dyDescent="0.25">
      <c r="A10" s="19">
        <f t="shared" si="0"/>
        <v>2025</v>
      </c>
      <c r="B10" s="18" t="str">
        <f t="shared" si="1"/>
        <v>JUNHO</v>
      </c>
      <c r="C10" s="18">
        <v>45834.757824073997</v>
      </c>
      <c r="D10" s="19" t="s">
        <v>45</v>
      </c>
      <c r="E10" s="19" t="s">
        <v>46</v>
      </c>
      <c r="F10" s="19" t="s">
        <v>21</v>
      </c>
      <c r="G10" s="19" t="s">
        <v>37</v>
      </c>
      <c r="H10" s="20" t="s">
        <v>38</v>
      </c>
      <c r="I10" s="21">
        <v>-7</v>
      </c>
      <c r="K10" s="29" t="s">
        <v>245</v>
      </c>
      <c r="L10" s="22">
        <v>1588.74</v>
      </c>
      <c r="M10" s="22">
        <v>-1570</v>
      </c>
      <c r="N10" s="22">
        <v>-14</v>
      </c>
      <c r="O10" s="22"/>
      <c r="P10" s="22">
        <v>4.7400000000000091</v>
      </c>
    </row>
    <row r="11" spans="1:16" x14ac:dyDescent="0.25">
      <c r="A11" s="19">
        <f t="shared" si="0"/>
        <v>2025</v>
      </c>
      <c r="B11" s="18" t="str">
        <f t="shared" si="1"/>
        <v>JULHO</v>
      </c>
      <c r="C11" s="18">
        <v>45849.659652777998</v>
      </c>
      <c r="D11" s="19" t="s">
        <v>47</v>
      </c>
      <c r="E11" s="19" t="s">
        <v>48</v>
      </c>
      <c r="F11" s="19" t="s">
        <v>21</v>
      </c>
      <c r="G11" s="19" t="s">
        <v>232</v>
      </c>
      <c r="H11" s="20" t="s">
        <v>28</v>
      </c>
      <c r="I11" s="21">
        <v>1026.01</v>
      </c>
      <c r="K11" s="28" t="s">
        <v>236</v>
      </c>
      <c r="L11" s="22">
        <v>12914</v>
      </c>
      <c r="M11" s="22">
        <v>-12790</v>
      </c>
      <c r="N11" s="22">
        <v>-126</v>
      </c>
      <c r="O11" s="22">
        <v>-6.43</v>
      </c>
      <c r="P11" s="22">
        <v>-8.4300000000000068</v>
      </c>
    </row>
    <row r="12" spans="1:16" x14ac:dyDescent="0.25">
      <c r="A12" s="19">
        <f t="shared" si="0"/>
        <v>2025</v>
      </c>
      <c r="B12" s="18" t="str">
        <f t="shared" si="1"/>
        <v>JULHO</v>
      </c>
      <c r="C12" s="18">
        <v>45849.705659722</v>
      </c>
      <c r="D12" s="19" t="s">
        <v>49</v>
      </c>
      <c r="E12" s="19" t="s">
        <v>50</v>
      </c>
      <c r="F12" s="19" t="s">
        <v>21</v>
      </c>
      <c r="G12" s="19" t="s">
        <v>31</v>
      </c>
      <c r="H12" s="20" t="s">
        <v>51</v>
      </c>
      <c r="I12" s="21">
        <v>-1000</v>
      </c>
      <c r="K12" s="29" t="s">
        <v>246</v>
      </c>
      <c r="L12" s="22">
        <v>4306</v>
      </c>
      <c r="M12" s="22">
        <v>-4090</v>
      </c>
      <c r="N12" s="22">
        <v>-35</v>
      </c>
      <c r="O12" s="22">
        <v>-6.43</v>
      </c>
      <c r="P12" s="22">
        <v>174.57</v>
      </c>
    </row>
    <row r="13" spans="1:16" x14ac:dyDescent="0.25">
      <c r="A13" s="19">
        <f t="shared" si="0"/>
        <v>2025</v>
      </c>
      <c r="B13" s="18" t="str">
        <f t="shared" si="1"/>
        <v>JULHO</v>
      </c>
      <c r="C13" s="18">
        <v>45849.706412036998</v>
      </c>
      <c r="D13" s="19" t="s">
        <v>52</v>
      </c>
      <c r="E13" s="19" t="s">
        <v>53</v>
      </c>
      <c r="F13" s="19" t="s">
        <v>21</v>
      </c>
      <c r="G13" s="19" t="s">
        <v>31</v>
      </c>
      <c r="H13" s="20" t="s">
        <v>51</v>
      </c>
      <c r="I13" s="21">
        <v>-200</v>
      </c>
      <c r="K13" s="29" t="s">
        <v>247</v>
      </c>
      <c r="L13" s="22">
        <v>2013.46</v>
      </c>
      <c r="M13" s="22">
        <v>-2170</v>
      </c>
      <c r="N13" s="22">
        <v>-21</v>
      </c>
      <c r="O13" s="22"/>
      <c r="P13" s="22">
        <v>-177.53999999999996</v>
      </c>
    </row>
    <row r="14" spans="1:16" x14ac:dyDescent="0.25">
      <c r="A14" s="19">
        <f t="shared" si="0"/>
        <v>2025</v>
      </c>
      <c r="B14" s="18" t="str">
        <f t="shared" si="1"/>
        <v>JULHO</v>
      </c>
      <c r="C14" s="18">
        <v>45849.715196759003</v>
      </c>
      <c r="D14" s="19" t="s">
        <v>54</v>
      </c>
      <c r="E14" s="19" t="s">
        <v>55</v>
      </c>
      <c r="F14" s="19" t="s">
        <v>21</v>
      </c>
      <c r="G14" s="19" t="s">
        <v>37</v>
      </c>
      <c r="H14" s="20" t="s">
        <v>38</v>
      </c>
      <c r="I14" s="21">
        <v>-7</v>
      </c>
      <c r="K14" s="29" t="s">
        <v>248</v>
      </c>
      <c r="L14" s="22">
        <v>1812.4399999999998</v>
      </c>
      <c r="M14" s="22">
        <v>-1800</v>
      </c>
      <c r="N14" s="22">
        <v>-14</v>
      </c>
      <c r="O14" s="22"/>
      <c r="P14" s="22">
        <v>-1.5600000000001728</v>
      </c>
    </row>
    <row r="15" spans="1:16" x14ac:dyDescent="0.25">
      <c r="A15" s="19">
        <f t="shared" si="0"/>
        <v>2025</v>
      </c>
      <c r="B15" s="18" t="str">
        <f t="shared" si="1"/>
        <v>JULHO</v>
      </c>
      <c r="C15" s="18">
        <v>45849.715509258996</v>
      </c>
      <c r="D15" s="19" t="s">
        <v>56</v>
      </c>
      <c r="E15" s="19" t="s">
        <v>57</v>
      </c>
      <c r="F15" s="19" t="s">
        <v>21</v>
      </c>
      <c r="G15" s="19" t="s">
        <v>37</v>
      </c>
      <c r="H15" s="20" t="s">
        <v>38</v>
      </c>
      <c r="I15" s="21">
        <v>-7</v>
      </c>
      <c r="K15" s="29" t="s">
        <v>249</v>
      </c>
      <c r="L15" s="22">
        <v>1810.16</v>
      </c>
      <c r="M15" s="22">
        <v>-1800</v>
      </c>
      <c r="N15" s="22">
        <v>-14</v>
      </c>
      <c r="O15" s="22"/>
      <c r="P15" s="22">
        <v>-3.8399999999999181</v>
      </c>
    </row>
    <row r="16" spans="1:16" x14ac:dyDescent="0.25">
      <c r="A16" s="19">
        <f t="shared" si="0"/>
        <v>2025</v>
      </c>
      <c r="B16" s="18" t="str">
        <f t="shared" si="1"/>
        <v>JULHO</v>
      </c>
      <c r="C16" s="18">
        <v>45863.666284722</v>
      </c>
      <c r="D16" s="19" t="s">
        <v>58</v>
      </c>
      <c r="E16" s="19" t="s">
        <v>59</v>
      </c>
      <c r="F16" s="19" t="s">
        <v>21</v>
      </c>
      <c r="G16" s="19" t="s">
        <v>232</v>
      </c>
      <c r="H16" s="20" t="s">
        <v>28</v>
      </c>
      <c r="I16" s="21">
        <v>1927.45</v>
      </c>
      <c r="K16" s="29" t="s">
        <v>239</v>
      </c>
      <c r="L16" s="22">
        <v>1594.15</v>
      </c>
      <c r="M16" s="22">
        <v>-1560</v>
      </c>
      <c r="N16" s="22">
        <v>-28</v>
      </c>
      <c r="O16" s="22"/>
      <c r="P16" s="22">
        <v>6.1500000000000909</v>
      </c>
    </row>
    <row r="17" spans="1:16" x14ac:dyDescent="0.25">
      <c r="A17" s="19">
        <f t="shared" si="0"/>
        <v>2025</v>
      </c>
      <c r="B17" s="18" t="str">
        <f t="shared" si="1"/>
        <v>JULHO</v>
      </c>
      <c r="C17" s="18">
        <v>45869.495590277998</v>
      </c>
      <c r="D17" s="19" t="s">
        <v>60</v>
      </c>
      <c r="E17" s="19" t="s">
        <v>61</v>
      </c>
      <c r="F17" s="19" t="s">
        <v>21</v>
      </c>
      <c r="G17" s="19" t="s">
        <v>31</v>
      </c>
      <c r="H17" s="20" t="s">
        <v>62</v>
      </c>
      <c r="I17" s="21">
        <v>-1000</v>
      </c>
      <c r="K17" s="29" t="s">
        <v>240</v>
      </c>
      <c r="L17" s="22">
        <v>391.86</v>
      </c>
      <c r="M17" s="22">
        <v>-380</v>
      </c>
      <c r="N17" s="22">
        <v>-7</v>
      </c>
      <c r="O17" s="22"/>
      <c r="P17" s="22">
        <v>4.8600000000000136</v>
      </c>
    </row>
    <row r="18" spans="1:16" x14ac:dyDescent="0.25">
      <c r="A18" s="19">
        <f t="shared" si="0"/>
        <v>2025</v>
      </c>
      <c r="B18" s="18" t="str">
        <f t="shared" si="1"/>
        <v>JULHO</v>
      </c>
      <c r="C18" s="18">
        <v>45869.496388888998</v>
      </c>
      <c r="D18" s="19" t="s">
        <v>63</v>
      </c>
      <c r="E18" s="19" t="s">
        <v>64</v>
      </c>
      <c r="F18" s="19" t="s">
        <v>21</v>
      </c>
      <c r="G18" s="19" t="s">
        <v>31</v>
      </c>
      <c r="H18" s="20" t="s">
        <v>62</v>
      </c>
      <c r="I18" s="21">
        <v>-900</v>
      </c>
      <c r="K18" s="29" t="s">
        <v>241</v>
      </c>
      <c r="L18" s="22">
        <v>985.93</v>
      </c>
      <c r="M18" s="22">
        <v>-990</v>
      </c>
      <c r="N18" s="22">
        <v>-7</v>
      </c>
      <c r="O18" s="22"/>
      <c r="P18" s="22">
        <v>-11.07000000000005</v>
      </c>
    </row>
    <row r="19" spans="1:16" x14ac:dyDescent="0.25">
      <c r="A19" s="19">
        <f t="shared" si="0"/>
        <v>2025</v>
      </c>
      <c r="B19" s="18" t="str">
        <f t="shared" si="1"/>
        <v>JULHO</v>
      </c>
      <c r="C19" s="18">
        <v>45869.501493055999</v>
      </c>
      <c r="D19" s="19" t="s">
        <v>65</v>
      </c>
      <c r="E19" s="19" t="s">
        <v>66</v>
      </c>
      <c r="F19" s="19" t="s">
        <v>21</v>
      </c>
      <c r="G19" s="19" t="s">
        <v>37</v>
      </c>
      <c r="H19" s="20" t="s">
        <v>38</v>
      </c>
      <c r="I19" s="21">
        <v>-7</v>
      </c>
      <c r="K19" s="28" t="s">
        <v>234</v>
      </c>
      <c r="L19" s="22">
        <v>27691.43</v>
      </c>
      <c r="M19" s="22">
        <v>-27430</v>
      </c>
      <c r="N19" s="22">
        <v>-252</v>
      </c>
      <c r="O19" s="22">
        <v>-6.43</v>
      </c>
      <c r="P19" s="22">
        <v>2.9999999999999432</v>
      </c>
    </row>
    <row r="20" spans="1:16" x14ac:dyDescent="0.25">
      <c r="A20" s="19">
        <f t="shared" si="0"/>
        <v>2025</v>
      </c>
      <c r="B20" s="18" t="str">
        <f t="shared" si="1"/>
        <v>JULHO</v>
      </c>
      <c r="C20" s="18">
        <v>45869.501805555999</v>
      </c>
      <c r="D20" s="19" t="s">
        <v>67</v>
      </c>
      <c r="E20" s="19" t="s">
        <v>68</v>
      </c>
      <c r="F20" s="19" t="s">
        <v>21</v>
      </c>
      <c r="G20" s="19" t="s">
        <v>37</v>
      </c>
      <c r="H20" s="20" t="s">
        <v>38</v>
      </c>
      <c r="I20" s="21">
        <v>-7</v>
      </c>
    </row>
    <row r="21" spans="1:16" x14ac:dyDescent="0.25">
      <c r="A21" s="19">
        <f t="shared" si="0"/>
        <v>2025</v>
      </c>
      <c r="B21" s="18" t="str">
        <f t="shared" si="1"/>
        <v>SETEMBRO</v>
      </c>
      <c r="C21" s="18">
        <v>45911.6878125</v>
      </c>
      <c r="D21" s="19" t="s">
        <v>69</v>
      </c>
      <c r="E21" s="19" t="s">
        <v>70</v>
      </c>
      <c r="F21" s="19" t="s">
        <v>21</v>
      </c>
      <c r="G21" s="19" t="s">
        <v>232</v>
      </c>
      <c r="H21" s="20" t="s">
        <v>28</v>
      </c>
      <c r="I21" s="21">
        <v>2181.54</v>
      </c>
    </row>
    <row r="22" spans="1:16" x14ac:dyDescent="0.25">
      <c r="A22" s="19">
        <f t="shared" si="0"/>
        <v>2025</v>
      </c>
      <c r="B22" s="18" t="str">
        <f t="shared" si="1"/>
        <v>SETEMBRO</v>
      </c>
      <c r="C22" s="18">
        <v>45913.681585648003</v>
      </c>
      <c r="D22" s="19" t="s">
        <v>71</v>
      </c>
      <c r="E22" s="19" t="s">
        <v>72</v>
      </c>
      <c r="F22" s="19" t="s">
        <v>21</v>
      </c>
      <c r="G22" s="19" t="s">
        <v>31</v>
      </c>
      <c r="H22" s="20" t="s">
        <v>73</v>
      </c>
      <c r="I22" s="21">
        <v>-1000</v>
      </c>
    </row>
    <row r="23" spans="1:16" x14ac:dyDescent="0.25">
      <c r="A23" s="19">
        <f t="shared" si="0"/>
        <v>2025</v>
      </c>
      <c r="B23" s="18" t="str">
        <f t="shared" si="1"/>
        <v>SETEMBRO</v>
      </c>
      <c r="C23" s="18">
        <v>45913.681909722</v>
      </c>
      <c r="D23" s="19" t="s">
        <v>74</v>
      </c>
      <c r="E23" s="19" t="s">
        <v>75</v>
      </c>
      <c r="F23" s="19" t="s">
        <v>21</v>
      </c>
      <c r="G23" s="19" t="s">
        <v>37</v>
      </c>
      <c r="H23" s="20" t="s">
        <v>38</v>
      </c>
      <c r="I23" s="21">
        <v>-7</v>
      </c>
    </row>
    <row r="24" spans="1:16" x14ac:dyDescent="0.25">
      <c r="A24" s="19">
        <f t="shared" si="0"/>
        <v>2025</v>
      </c>
      <c r="B24" s="18" t="str">
        <f t="shared" si="1"/>
        <v>SETEMBRO</v>
      </c>
      <c r="C24" s="18">
        <v>45913.682986111002</v>
      </c>
      <c r="D24" s="19" t="s">
        <v>76</v>
      </c>
      <c r="E24" s="19" t="s">
        <v>77</v>
      </c>
      <c r="F24" s="19" t="s">
        <v>21</v>
      </c>
      <c r="G24" s="19" t="s">
        <v>31</v>
      </c>
      <c r="H24" s="20" t="s">
        <v>73</v>
      </c>
      <c r="I24" s="21">
        <v>-1000</v>
      </c>
    </row>
    <row r="25" spans="1:16" x14ac:dyDescent="0.25">
      <c r="A25" s="19">
        <f t="shared" si="0"/>
        <v>2025</v>
      </c>
      <c r="B25" s="18" t="str">
        <f t="shared" si="1"/>
        <v>SETEMBRO</v>
      </c>
      <c r="C25" s="18">
        <v>45913.683298611002</v>
      </c>
      <c r="D25" s="19" t="s">
        <v>78</v>
      </c>
      <c r="E25" s="19" t="s">
        <v>79</v>
      </c>
      <c r="F25" s="19" t="s">
        <v>21</v>
      </c>
      <c r="G25" s="19" t="s">
        <v>37</v>
      </c>
      <c r="H25" s="20" t="s">
        <v>38</v>
      </c>
      <c r="I25" s="21">
        <v>-7</v>
      </c>
    </row>
    <row r="26" spans="1:16" x14ac:dyDescent="0.25">
      <c r="A26" s="19">
        <f t="shared" si="0"/>
        <v>2025</v>
      </c>
      <c r="B26" s="18" t="str">
        <f t="shared" si="1"/>
        <v>SETEMBRO</v>
      </c>
      <c r="C26" s="18">
        <v>45925.706493056001</v>
      </c>
      <c r="D26" s="19" t="s">
        <v>80</v>
      </c>
      <c r="E26" s="19" t="s">
        <v>81</v>
      </c>
      <c r="F26" s="19" t="s">
        <v>21</v>
      </c>
      <c r="G26" s="19" t="s">
        <v>232</v>
      </c>
      <c r="H26" s="20" t="s">
        <v>28</v>
      </c>
      <c r="I26" s="21">
        <v>2014</v>
      </c>
    </row>
    <row r="27" spans="1:16" x14ac:dyDescent="0.25">
      <c r="A27" s="19">
        <f t="shared" si="0"/>
        <v>2025</v>
      </c>
      <c r="B27" s="18" t="str">
        <f t="shared" si="1"/>
        <v>SETEMBRO</v>
      </c>
      <c r="C27" s="18">
        <v>45925.747916667002</v>
      </c>
      <c r="D27" s="19" t="s">
        <v>82</v>
      </c>
      <c r="E27" s="19" t="s">
        <v>83</v>
      </c>
      <c r="F27" s="19" t="s">
        <v>21</v>
      </c>
      <c r="G27" s="19" t="s">
        <v>31</v>
      </c>
      <c r="H27" s="20" t="s">
        <v>32</v>
      </c>
      <c r="I27" s="21">
        <v>-1000</v>
      </c>
    </row>
    <row r="28" spans="1:16" x14ac:dyDescent="0.25">
      <c r="A28" s="19">
        <f t="shared" si="0"/>
        <v>2025</v>
      </c>
      <c r="B28" s="18" t="str">
        <f t="shared" si="1"/>
        <v>SETEMBRO</v>
      </c>
      <c r="C28" s="18">
        <v>45925.748599537001</v>
      </c>
      <c r="D28" s="19" t="s">
        <v>84</v>
      </c>
      <c r="E28" s="19" t="s">
        <v>85</v>
      </c>
      <c r="F28" s="19" t="s">
        <v>21</v>
      </c>
      <c r="G28" s="19" t="s">
        <v>31</v>
      </c>
      <c r="H28" s="20" t="s">
        <v>32</v>
      </c>
      <c r="I28" s="21">
        <v>-1000</v>
      </c>
    </row>
    <row r="29" spans="1:16" x14ac:dyDescent="0.25">
      <c r="A29" s="19">
        <f t="shared" si="0"/>
        <v>2025</v>
      </c>
      <c r="B29" s="18" t="str">
        <f t="shared" si="1"/>
        <v>SETEMBRO</v>
      </c>
      <c r="C29" s="18">
        <v>45925.749988426003</v>
      </c>
      <c r="D29" s="19" t="s">
        <v>86</v>
      </c>
      <c r="E29" s="19" t="s">
        <v>87</v>
      </c>
      <c r="F29" s="19" t="s">
        <v>21</v>
      </c>
      <c r="G29" s="19" t="s">
        <v>37</v>
      </c>
      <c r="H29" s="20" t="s">
        <v>38</v>
      </c>
      <c r="I29" s="21">
        <v>-7</v>
      </c>
    </row>
    <row r="30" spans="1:16" x14ac:dyDescent="0.25">
      <c r="A30" s="19">
        <f t="shared" si="0"/>
        <v>2025</v>
      </c>
      <c r="B30" s="18" t="str">
        <f t="shared" si="1"/>
        <v>SETEMBRO</v>
      </c>
      <c r="C30" s="18">
        <v>45925.750555555998</v>
      </c>
      <c r="D30" s="19" t="s">
        <v>88</v>
      </c>
      <c r="E30" s="19" t="s">
        <v>89</v>
      </c>
      <c r="F30" s="19" t="s">
        <v>21</v>
      </c>
      <c r="G30" s="19" t="s">
        <v>37</v>
      </c>
      <c r="H30" s="20" t="s">
        <v>38</v>
      </c>
      <c r="I30" s="21">
        <v>-7</v>
      </c>
    </row>
    <row r="31" spans="1:16" x14ac:dyDescent="0.25">
      <c r="A31" s="19">
        <f t="shared" si="0"/>
        <v>2025</v>
      </c>
      <c r="B31" s="18" t="str">
        <f t="shared" si="1"/>
        <v>OUTUBRO</v>
      </c>
      <c r="C31" s="18">
        <v>45943.700486111004</v>
      </c>
      <c r="D31" s="19" t="s">
        <v>90</v>
      </c>
      <c r="E31" s="19" t="s">
        <v>91</v>
      </c>
      <c r="F31" s="19" t="s">
        <v>21</v>
      </c>
      <c r="G31" s="19" t="s">
        <v>232</v>
      </c>
      <c r="H31" s="20" t="s">
        <v>28</v>
      </c>
      <c r="I31" s="21">
        <v>1471.81</v>
      </c>
    </row>
    <row r="32" spans="1:16" x14ac:dyDescent="0.25">
      <c r="A32" s="19">
        <f t="shared" si="0"/>
        <v>2025</v>
      </c>
      <c r="B32" s="18" t="str">
        <f t="shared" si="1"/>
        <v>OUTUBRO</v>
      </c>
      <c r="C32" s="18">
        <v>45944.672326389002</v>
      </c>
      <c r="D32" s="19" t="s">
        <v>92</v>
      </c>
      <c r="E32" s="19" t="s">
        <v>93</v>
      </c>
      <c r="F32" s="19" t="s">
        <v>21</v>
      </c>
      <c r="G32" s="19" t="s">
        <v>31</v>
      </c>
      <c r="H32" s="20" t="s">
        <v>62</v>
      </c>
      <c r="I32" s="21">
        <v>-1000</v>
      </c>
    </row>
    <row r="33" spans="1:9" x14ac:dyDescent="0.25">
      <c r="A33" s="19">
        <f t="shared" si="0"/>
        <v>2025</v>
      </c>
      <c r="B33" s="18" t="str">
        <f t="shared" si="1"/>
        <v>OUTUBRO</v>
      </c>
      <c r="C33" s="18">
        <v>45944.672777778003</v>
      </c>
      <c r="D33" s="19" t="s">
        <v>94</v>
      </c>
      <c r="E33" s="19" t="s">
        <v>95</v>
      </c>
      <c r="F33" s="19" t="s">
        <v>21</v>
      </c>
      <c r="G33" s="19" t="s">
        <v>37</v>
      </c>
      <c r="H33" s="20" t="s">
        <v>38</v>
      </c>
      <c r="I33" s="21">
        <v>-7</v>
      </c>
    </row>
    <row r="34" spans="1:9" x14ac:dyDescent="0.25">
      <c r="A34" s="19">
        <f t="shared" si="0"/>
        <v>2025</v>
      </c>
      <c r="B34" s="18" t="str">
        <f t="shared" si="1"/>
        <v>OUTUBRO</v>
      </c>
      <c r="C34" s="18">
        <v>45944.673090277996</v>
      </c>
      <c r="D34" s="19" t="s">
        <v>96</v>
      </c>
      <c r="E34" s="19" t="s">
        <v>97</v>
      </c>
      <c r="F34" s="19" t="s">
        <v>21</v>
      </c>
      <c r="G34" s="19" t="s">
        <v>31</v>
      </c>
      <c r="H34" s="20" t="s">
        <v>62</v>
      </c>
      <c r="I34" s="21">
        <v>-640</v>
      </c>
    </row>
    <row r="35" spans="1:9" x14ac:dyDescent="0.25">
      <c r="A35" s="19">
        <f t="shared" si="0"/>
        <v>2025</v>
      </c>
      <c r="B35" s="18" t="str">
        <f t="shared" si="1"/>
        <v>OUTUBRO</v>
      </c>
      <c r="C35" s="18">
        <v>45944.673356480998</v>
      </c>
      <c r="D35" s="19" t="s">
        <v>98</v>
      </c>
      <c r="E35" s="19" t="s">
        <v>99</v>
      </c>
      <c r="F35" s="19" t="s">
        <v>21</v>
      </c>
      <c r="G35" s="19" t="s">
        <v>37</v>
      </c>
      <c r="H35" s="20" t="s">
        <v>38</v>
      </c>
      <c r="I35" s="21">
        <v>-7</v>
      </c>
    </row>
    <row r="36" spans="1:9" x14ac:dyDescent="0.25">
      <c r="A36" s="19">
        <f t="shared" si="0"/>
        <v>2025</v>
      </c>
      <c r="B36" s="18" t="str">
        <f t="shared" si="1"/>
        <v>OUTUBRO</v>
      </c>
      <c r="C36" s="18">
        <v>45957.679027778002</v>
      </c>
      <c r="D36" s="19" t="s">
        <v>100</v>
      </c>
      <c r="E36" s="19" t="s">
        <v>101</v>
      </c>
      <c r="F36" s="19" t="s">
        <v>21</v>
      </c>
      <c r="G36" s="19" t="s">
        <v>232</v>
      </c>
      <c r="H36" s="20" t="s">
        <v>28</v>
      </c>
      <c r="I36" s="21">
        <v>1485.81</v>
      </c>
    </row>
    <row r="37" spans="1:9" x14ac:dyDescent="0.25">
      <c r="A37" s="19">
        <f t="shared" si="0"/>
        <v>2025</v>
      </c>
      <c r="B37" s="18" t="str">
        <f t="shared" si="1"/>
        <v>OUTUBRO</v>
      </c>
      <c r="C37" s="18">
        <v>45959.433310184999</v>
      </c>
      <c r="D37" s="19" t="s">
        <v>102</v>
      </c>
      <c r="E37" s="19" t="s">
        <v>103</v>
      </c>
      <c r="F37" s="19" t="s">
        <v>21</v>
      </c>
      <c r="G37" s="19" t="s">
        <v>31</v>
      </c>
      <c r="H37" s="20" t="s">
        <v>62</v>
      </c>
      <c r="I37" s="21">
        <v>-1000</v>
      </c>
    </row>
    <row r="38" spans="1:9" x14ac:dyDescent="0.25">
      <c r="A38" s="19">
        <f t="shared" si="0"/>
        <v>2025</v>
      </c>
      <c r="B38" s="18" t="str">
        <f t="shared" si="1"/>
        <v>OUTUBRO</v>
      </c>
      <c r="C38" s="18">
        <v>45959.433495370002</v>
      </c>
      <c r="D38" s="19" t="s">
        <v>104</v>
      </c>
      <c r="E38" s="19" t="s">
        <v>105</v>
      </c>
      <c r="F38" s="19" t="s">
        <v>21</v>
      </c>
      <c r="G38" s="19" t="s">
        <v>37</v>
      </c>
      <c r="H38" s="20" t="s">
        <v>38</v>
      </c>
      <c r="I38" s="21">
        <v>-7</v>
      </c>
    </row>
    <row r="39" spans="1:9" x14ac:dyDescent="0.25">
      <c r="A39" s="19">
        <f t="shared" si="0"/>
        <v>2025</v>
      </c>
      <c r="B39" s="18" t="str">
        <f t="shared" si="1"/>
        <v>OUTUBRO</v>
      </c>
      <c r="C39" s="18">
        <v>45959.434027777999</v>
      </c>
      <c r="D39" s="19" t="s">
        <v>106</v>
      </c>
      <c r="E39" s="19" t="s">
        <v>107</v>
      </c>
      <c r="F39" s="19" t="s">
        <v>21</v>
      </c>
      <c r="G39" s="19" t="s">
        <v>31</v>
      </c>
      <c r="H39" s="20" t="s">
        <v>62</v>
      </c>
      <c r="I39" s="21">
        <v>-470</v>
      </c>
    </row>
    <row r="40" spans="1:9" x14ac:dyDescent="0.25">
      <c r="A40" s="19">
        <f t="shared" si="0"/>
        <v>2025</v>
      </c>
      <c r="B40" s="18" t="str">
        <f t="shared" si="1"/>
        <v>OUTUBRO</v>
      </c>
      <c r="C40" s="18">
        <v>45959.434259258996</v>
      </c>
      <c r="D40" s="19" t="s">
        <v>108</v>
      </c>
      <c r="E40" s="19" t="s">
        <v>109</v>
      </c>
      <c r="F40" s="19" t="s">
        <v>21</v>
      </c>
      <c r="G40" s="19" t="s">
        <v>37</v>
      </c>
      <c r="H40" s="20" t="s">
        <v>38</v>
      </c>
      <c r="I40" s="21">
        <v>-7</v>
      </c>
    </row>
    <row r="41" spans="1:9" x14ac:dyDescent="0.25">
      <c r="A41" s="19">
        <f t="shared" si="0"/>
        <v>2025</v>
      </c>
      <c r="B41" s="18" t="str">
        <f t="shared" si="1"/>
        <v>NOVEMBRO</v>
      </c>
      <c r="C41" s="18">
        <v>45986.695821759</v>
      </c>
      <c r="D41" s="19" t="s">
        <v>110</v>
      </c>
      <c r="E41" s="19" t="s">
        <v>111</v>
      </c>
      <c r="F41" s="19" t="s">
        <v>21</v>
      </c>
      <c r="G41" s="19" t="s">
        <v>232</v>
      </c>
      <c r="H41" s="20" t="s">
        <v>28</v>
      </c>
      <c r="I41" s="21">
        <v>688.07</v>
      </c>
    </row>
    <row r="42" spans="1:9" x14ac:dyDescent="0.25">
      <c r="A42" s="19">
        <f t="shared" si="0"/>
        <v>2025</v>
      </c>
      <c r="B42" s="18" t="str">
        <f t="shared" si="1"/>
        <v>NOVEMBRO</v>
      </c>
      <c r="C42" s="18">
        <v>45987.429756944002</v>
      </c>
      <c r="D42" s="19" t="s">
        <v>112</v>
      </c>
      <c r="E42" s="19" t="s">
        <v>113</v>
      </c>
      <c r="F42" s="19" t="s">
        <v>21</v>
      </c>
      <c r="G42" s="19" t="s">
        <v>31</v>
      </c>
      <c r="H42" s="20" t="s">
        <v>62</v>
      </c>
      <c r="I42" s="21">
        <v>-680</v>
      </c>
    </row>
    <row r="43" spans="1:9" x14ac:dyDescent="0.25">
      <c r="A43" s="19">
        <f t="shared" si="0"/>
        <v>2025</v>
      </c>
      <c r="B43" s="18" t="str">
        <f t="shared" si="1"/>
        <v>NOVEMBRO</v>
      </c>
      <c r="C43" s="18">
        <v>45987.430173610999</v>
      </c>
      <c r="D43" s="19" t="s">
        <v>114</v>
      </c>
      <c r="E43" s="19" t="s">
        <v>115</v>
      </c>
      <c r="F43" s="19" t="s">
        <v>21</v>
      </c>
      <c r="G43" s="19" t="s">
        <v>37</v>
      </c>
      <c r="H43" s="20" t="s">
        <v>38</v>
      </c>
      <c r="I43" s="21">
        <v>-7</v>
      </c>
    </row>
    <row r="44" spans="1:9" x14ac:dyDescent="0.25">
      <c r="A44" s="19">
        <f t="shared" si="0"/>
        <v>2025</v>
      </c>
      <c r="B44" s="18" t="str">
        <f t="shared" si="1"/>
        <v>DEZEMBRO</v>
      </c>
      <c r="C44" s="18">
        <v>46002.648668980997</v>
      </c>
      <c r="D44" s="19" t="s">
        <v>116</v>
      </c>
      <c r="E44" s="19" t="s">
        <v>117</v>
      </c>
      <c r="F44" s="19" t="s">
        <v>21</v>
      </c>
      <c r="G44" s="19" t="s">
        <v>232</v>
      </c>
      <c r="H44" s="20" t="s">
        <v>28</v>
      </c>
      <c r="I44" s="21">
        <v>1588.74</v>
      </c>
    </row>
    <row r="45" spans="1:9" x14ac:dyDescent="0.25">
      <c r="A45" s="19">
        <f t="shared" si="0"/>
        <v>2025</v>
      </c>
      <c r="B45" s="18" t="str">
        <f t="shared" si="1"/>
        <v>DEZEMBRO</v>
      </c>
      <c r="C45" s="18">
        <v>46003.524282407001</v>
      </c>
      <c r="D45" s="19" t="s">
        <v>118</v>
      </c>
      <c r="E45" s="19" t="s">
        <v>119</v>
      </c>
      <c r="F45" s="19" t="s">
        <v>21</v>
      </c>
      <c r="G45" s="19" t="s">
        <v>31</v>
      </c>
      <c r="H45" s="20" t="s">
        <v>62</v>
      </c>
      <c r="I45" s="21">
        <v>-1000</v>
      </c>
    </row>
    <row r="46" spans="1:9" x14ac:dyDescent="0.25">
      <c r="A46" s="19">
        <f t="shared" si="0"/>
        <v>2025</v>
      </c>
      <c r="B46" s="18" t="str">
        <f t="shared" si="1"/>
        <v>DEZEMBRO</v>
      </c>
      <c r="C46" s="18">
        <v>46003.524537037003</v>
      </c>
      <c r="D46" s="19" t="s">
        <v>120</v>
      </c>
      <c r="E46" s="19" t="s">
        <v>121</v>
      </c>
      <c r="F46" s="19" t="s">
        <v>21</v>
      </c>
      <c r="G46" s="19" t="s">
        <v>37</v>
      </c>
      <c r="H46" s="20" t="s">
        <v>38</v>
      </c>
      <c r="I46" s="21">
        <v>-7</v>
      </c>
    </row>
    <row r="47" spans="1:9" x14ac:dyDescent="0.25">
      <c r="A47" s="19">
        <f t="shared" si="0"/>
        <v>2025</v>
      </c>
      <c r="B47" s="18" t="str">
        <f t="shared" si="1"/>
        <v>DEZEMBRO</v>
      </c>
      <c r="C47" s="18">
        <v>46003.525092593001</v>
      </c>
      <c r="D47" s="19" t="s">
        <v>122</v>
      </c>
      <c r="E47" s="19" t="s">
        <v>123</v>
      </c>
      <c r="F47" s="19" t="s">
        <v>21</v>
      </c>
      <c r="G47" s="19" t="s">
        <v>31</v>
      </c>
      <c r="H47" s="20" t="s">
        <v>62</v>
      </c>
      <c r="I47" s="21">
        <v>-570</v>
      </c>
    </row>
    <row r="48" spans="1:9" x14ac:dyDescent="0.25">
      <c r="A48" s="19">
        <f t="shared" si="0"/>
        <v>2025</v>
      </c>
      <c r="B48" s="18" t="str">
        <f t="shared" si="1"/>
        <v>DEZEMBRO</v>
      </c>
      <c r="C48" s="18">
        <v>46003.525243055999</v>
      </c>
      <c r="D48" s="19" t="s">
        <v>124</v>
      </c>
      <c r="E48" s="19" t="s">
        <v>125</v>
      </c>
      <c r="F48" s="19" t="s">
        <v>21</v>
      </c>
      <c r="G48" s="19" t="s">
        <v>37</v>
      </c>
      <c r="H48" s="20" t="s">
        <v>38</v>
      </c>
      <c r="I48" s="21">
        <v>-7</v>
      </c>
    </row>
    <row r="49" spans="1:9" x14ac:dyDescent="0.25">
      <c r="A49" s="19">
        <f t="shared" si="0"/>
        <v>2026</v>
      </c>
      <c r="B49" s="18" t="str">
        <f t="shared" si="1"/>
        <v>JANEIRO</v>
      </c>
      <c r="C49" s="18">
        <v>46034.744189814999</v>
      </c>
      <c r="D49" s="19" t="s">
        <v>126</v>
      </c>
      <c r="E49" s="19" t="s">
        <v>127</v>
      </c>
      <c r="F49" s="19" t="s">
        <v>21</v>
      </c>
      <c r="G49" s="19" t="s">
        <v>232</v>
      </c>
      <c r="H49" s="20" t="s">
        <v>28</v>
      </c>
      <c r="I49" s="21">
        <v>2106</v>
      </c>
    </row>
    <row r="50" spans="1:9" x14ac:dyDescent="0.25">
      <c r="A50" s="19">
        <f t="shared" si="0"/>
        <v>2026</v>
      </c>
      <c r="B50" s="18" t="str">
        <f t="shared" si="1"/>
        <v>JANEIRO</v>
      </c>
      <c r="C50" s="18">
        <v>46034.802291667002</v>
      </c>
      <c r="D50" s="19" t="s">
        <v>128</v>
      </c>
      <c r="E50" s="19" t="s">
        <v>129</v>
      </c>
      <c r="F50" s="19" t="s">
        <v>21</v>
      </c>
      <c r="G50" s="19" t="s">
        <v>31</v>
      </c>
      <c r="H50" s="20" t="s">
        <v>32</v>
      </c>
      <c r="I50" s="21">
        <v>-1000</v>
      </c>
    </row>
    <row r="51" spans="1:9" x14ac:dyDescent="0.25">
      <c r="A51" s="19">
        <f t="shared" si="0"/>
        <v>2026</v>
      </c>
      <c r="B51" s="18" t="str">
        <f t="shared" si="1"/>
        <v>JANEIRO</v>
      </c>
      <c r="C51" s="18">
        <v>46034.802650463003</v>
      </c>
      <c r="D51" s="19" t="s">
        <v>130</v>
      </c>
      <c r="E51" s="19" t="s">
        <v>131</v>
      </c>
      <c r="F51" s="19" t="s">
        <v>21</v>
      </c>
      <c r="G51" s="19" t="s">
        <v>37</v>
      </c>
      <c r="H51" s="20" t="s">
        <v>38</v>
      </c>
      <c r="I51" s="21">
        <v>-7</v>
      </c>
    </row>
    <row r="52" spans="1:9" x14ac:dyDescent="0.25">
      <c r="A52" s="19">
        <f t="shared" si="0"/>
        <v>2026</v>
      </c>
      <c r="B52" s="18" t="str">
        <f t="shared" si="1"/>
        <v>JANEIRO</v>
      </c>
      <c r="C52" s="18">
        <v>46034.803055556004</v>
      </c>
      <c r="D52" s="19" t="s">
        <v>132</v>
      </c>
      <c r="E52" s="19" t="s">
        <v>133</v>
      </c>
      <c r="F52" s="19" t="s">
        <v>21</v>
      </c>
      <c r="G52" s="19" t="s">
        <v>31</v>
      </c>
      <c r="H52" s="20" t="s">
        <v>32</v>
      </c>
      <c r="I52" s="21">
        <v>-1000</v>
      </c>
    </row>
    <row r="53" spans="1:9" x14ac:dyDescent="0.25">
      <c r="A53" s="19">
        <f t="shared" si="0"/>
        <v>2026</v>
      </c>
      <c r="B53" s="18" t="str">
        <f t="shared" si="1"/>
        <v>JANEIRO</v>
      </c>
      <c r="C53" s="18">
        <v>46034.803229167002</v>
      </c>
      <c r="D53" s="19" t="s">
        <v>134</v>
      </c>
      <c r="E53" s="19" t="s">
        <v>135</v>
      </c>
      <c r="F53" s="19" t="s">
        <v>21</v>
      </c>
      <c r="G53" s="19" t="s">
        <v>37</v>
      </c>
      <c r="H53" s="20" t="s">
        <v>38</v>
      </c>
      <c r="I53" s="21">
        <v>-7</v>
      </c>
    </row>
    <row r="54" spans="1:9" x14ac:dyDescent="0.25">
      <c r="A54" s="19">
        <f t="shared" si="0"/>
        <v>2026</v>
      </c>
      <c r="B54" s="18" t="str">
        <f t="shared" si="1"/>
        <v>JANEIRO</v>
      </c>
      <c r="C54" s="18">
        <v>46036.375069444002</v>
      </c>
      <c r="D54" s="19" t="s">
        <v>136</v>
      </c>
      <c r="E54" s="19" t="s">
        <v>137</v>
      </c>
      <c r="F54" s="19" t="s">
        <v>21</v>
      </c>
      <c r="G54" s="19" t="s">
        <v>31</v>
      </c>
      <c r="H54" s="20" t="s">
        <v>138</v>
      </c>
      <c r="I54" s="21">
        <v>-90</v>
      </c>
    </row>
    <row r="55" spans="1:9" x14ac:dyDescent="0.25">
      <c r="A55" s="19">
        <f t="shared" si="0"/>
        <v>2026</v>
      </c>
      <c r="B55" s="18" t="str">
        <f t="shared" si="1"/>
        <v>JANEIRO</v>
      </c>
      <c r="C55" s="18">
        <v>46036.375358796002</v>
      </c>
      <c r="D55" s="19" t="s">
        <v>139</v>
      </c>
      <c r="E55" s="19" t="s">
        <v>140</v>
      </c>
      <c r="F55" s="19" t="s">
        <v>21</v>
      </c>
      <c r="G55" s="19" t="s">
        <v>37</v>
      </c>
      <c r="H55" s="20" t="s">
        <v>38</v>
      </c>
      <c r="I55" s="21">
        <v>-7</v>
      </c>
    </row>
    <row r="56" spans="1:9" x14ac:dyDescent="0.25">
      <c r="A56" s="19">
        <f t="shared" si="0"/>
        <v>2026</v>
      </c>
      <c r="B56" s="18" t="str">
        <f t="shared" si="1"/>
        <v>JANEIRO</v>
      </c>
      <c r="C56" s="18">
        <v>46036.693287037</v>
      </c>
      <c r="D56" s="19" t="s">
        <v>141</v>
      </c>
      <c r="E56" s="19" t="s">
        <v>142</v>
      </c>
      <c r="F56" s="19" t="s">
        <v>21</v>
      </c>
      <c r="G56" s="19" t="s">
        <v>24</v>
      </c>
      <c r="H56" s="20" t="s">
        <v>143</v>
      </c>
      <c r="I56" s="21">
        <v>-6.43</v>
      </c>
    </row>
    <row r="57" spans="1:9" x14ac:dyDescent="0.25">
      <c r="A57" s="19">
        <f t="shared" si="0"/>
        <v>2026</v>
      </c>
      <c r="B57" s="18" t="str">
        <f t="shared" si="1"/>
        <v>JANEIRO</v>
      </c>
      <c r="C57" s="18">
        <v>46036.706782407004</v>
      </c>
      <c r="D57" s="19" t="s">
        <v>144</v>
      </c>
      <c r="E57" s="19" t="s">
        <v>145</v>
      </c>
      <c r="F57" s="19" t="s">
        <v>21</v>
      </c>
      <c r="G57" s="19" t="s">
        <v>232</v>
      </c>
      <c r="H57" s="20" t="s">
        <v>146</v>
      </c>
      <c r="I57" s="21">
        <v>6.43</v>
      </c>
    </row>
    <row r="58" spans="1:9" x14ac:dyDescent="0.25">
      <c r="A58" s="19">
        <f t="shared" si="0"/>
        <v>2026</v>
      </c>
      <c r="B58" s="18" t="str">
        <f t="shared" si="1"/>
        <v>JANEIRO</v>
      </c>
      <c r="C58" s="18">
        <v>46048.630023147998</v>
      </c>
      <c r="D58" s="19" t="s">
        <v>147</v>
      </c>
      <c r="E58" s="19" t="s">
        <v>148</v>
      </c>
      <c r="F58" s="19" t="s">
        <v>21</v>
      </c>
      <c r="G58" s="19" t="s">
        <v>232</v>
      </c>
      <c r="H58" s="20" t="s">
        <v>146</v>
      </c>
      <c r="I58" s="21">
        <v>2193.5700000000002</v>
      </c>
    </row>
    <row r="59" spans="1:9" x14ac:dyDescent="0.25">
      <c r="A59" s="19">
        <f t="shared" si="0"/>
        <v>2026</v>
      </c>
      <c r="B59" s="18" t="str">
        <f t="shared" si="1"/>
        <v>JANEIRO</v>
      </c>
      <c r="C59" s="18">
        <v>46050.477465278003</v>
      </c>
      <c r="D59" s="19" t="s">
        <v>149</v>
      </c>
      <c r="E59" s="19" t="s">
        <v>150</v>
      </c>
      <c r="F59" s="19" t="s">
        <v>21</v>
      </c>
      <c r="G59" s="19" t="s">
        <v>31</v>
      </c>
      <c r="H59" s="20" t="s">
        <v>62</v>
      </c>
      <c r="I59" s="21">
        <v>-1000</v>
      </c>
    </row>
    <row r="60" spans="1:9" x14ac:dyDescent="0.25">
      <c r="A60" s="19">
        <f t="shared" si="0"/>
        <v>2026</v>
      </c>
      <c r="B60" s="18" t="str">
        <f t="shared" si="1"/>
        <v>JANEIRO</v>
      </c>
      <c r="C60" s="18">
        <v>46050.477673611</v>
      </c>
      <c r="D60" s="19" t="s">
        <v>151</v>
      </c>
      <c r="E60" s="19" t="s">
        <v>152</v>
      </c>
      <c r="F60" s="19" t="s">
        <v>21</v>
      </c>
      <c r="G60" s="19" t="s">
        <v>37</v>
      </c>
      <c r="H60" s="20" t="s">
        <v>38</v>
      </c>
      <c r="I60" s="21">
        <v>-7</v>
      </c>
    </row>
    <row r="61" spans="1:9" x14ac:dyDescent="0.25">
      <c r="A61" s="19">
        <f t="shared" si="0"/>
        <v>2026</v>
      </c>
      <c r="B61" s="18" t="str">
        <f t="shared" si="1"/>
        <v>JANEIRO</v>
      </c>
      <c r="C61" s="18">
        <v>46050.478206018997</v>
      </c>
      <c r="D61" s="19" t="s">
        <v>153</v>
      </c>
      <c r="E61" s="19" t="s">
        <v>154</v>
      </c>
      <c r="F61" s="19" t="s">
        <v>21</v>
      </c>
      <c r="G61" s="19" t="s">
        <v>31</v>
      </c>
      <c r="H61" s="20" t="s">
        <v>62</v>
      </c>
      <c r="I61" s="21">
        <v>-1000</v>
      </c>
    </row>
    <row r="62" spans="1:9" x14ac:dyDescent="0.25">
      <c r="A62" s="19">
        <f t="shared" si="0"/>
        <v>2026</v>
      </c>
      <c r="B62" s="18" t="str">
        <f t="shared" si="1"/>
        <v>JANEIRO</v>
      </c>
      <c r="C62" s="18">
        <v>46050.47849537</v>
      </c>
      <c r="D62" s="19" t="s">
        <v>155</v>
      </c>
      <c r="E62" s="19" t="s">
        <v>156</v>
      </c>
      <c r="F62" s="19" t="s">
        <v>21</v>
      </c>
      <c r="G62" s="19" t="s">
        <v>37</v>
      </c>
      <c r="H62" s="20" t="s">
        <v>38</v>
      </c>
      <c r="I62" s="21">
        <v>-7</v>
      </c>
    </row>
    <row r="63" spans="1:9" x14ac:dyDescent="0.25">
      <c r="A63" s="19">
        <f t="shared" si="0"/>
        <v>2026</v>
      </c>
      <c r="B63" s="18" t="str">
        <f t="shared" si="1"/>
        <v>FEVEREIRO</v>
      </c>
      <c r="C63" s="18">
        <v>46078.625590278003</v>
      </c>
      <c r="D63" s="19" t="s">
        <v>157</v>
      </c>
      <c r="E63" s="19" t="s">
        <v>158</v>
      </c>
      <c r="F63" s="19" t="s">
        <v>21</v>
      </c>
      <c r="G63" s="19" t="s">
        <v>232</v>
      </c>
      <c r="H63" s="20" t="s">
        <v>146</v>
      </c>
      <c r="I63" s="21">
        <v>2013.46</v>
      </c>
    </row>
    <row r="64" spans="1:9" x14ac:dyDescent="0.25">
      <c r="A64" s="19">
        <f t="shared" si="0"/>
        <v>2026</v>
      </c>
      <c r="B64" s="18" t="str">
        <f t="shared" si="1"/>
        <v>FEVEREIRO</v>
      </c>
      <c r="C64" s="18">
        <v>46079.577951389001</v>
      </c>
      <c r="D64" s="19" t="s">
        <v>159</v>
      </c>
      <c r="E64" s="19" t="s">
        <v>160</v>
      </c>
      <c r="F64" s="19" t="s">
        <v>21</v>
      </c>
      <c r="G64" s="19" t="s">
        <v>31</v>
      </c>
      <c r="H64" s="20" t="s">
        <v>32</v>
      </c>
      <c r="I64" s="21">
        <v>-1000</v>
      </c>
    </row>
    <row r="65" spans="1:9" x14ac:dyDescent="0.25">
      <c r="A65" s="19">
        <f t="shared" si="0"/>
        <v>2026</v>
      </c>
      <c r="B65" s="18" t="str">
        <f t="shared" si="1"/>
        <v>FEVEREIRO</v>
      </c>
      <c r="C65" s="18">
        <v>46079.578240741001</v>
      </c>
      <c r="D65" s="19" t="s">
        <v>161</v>
      </c>
      <c r="E65" s="19" t="s">
        <v>162</v>
      </c>
      <c r="F65" s="19" t="s">
        <v>21</v>
      </c>
      <c r="G65" s="19" t="s">
        <v>37</v>
      </c>
      <c r="H65" s="20" t="s">
        <v>38</v>
      </c>
      <c r="I65" s="21">
        <v>-7</v>
      </c>
    </row>
    <row r="66" spans="1:9" x14ac:dyDescent="0.25">
      <c r="A66" s="19">
        <f t="shared" si="0"/>
        <v>2026</v>
      </c>
      <c r="B66" s="18" t="str">
        <f t="shared" si="1"/>
        <v>FEVEREIRO</v>
      </c>
      <c r="C66" s="18">
        <v>46079.579525462999</v>
      </c>
      <c r="D66" s="19" t="s">
        <v>163</v>
      </c>
      <c r="E66" s="19" t="s">
        <v>164</v>
      </c>
      <c r="F66" s="19" t="s">
        <v>21</v>
      </c>
      <c r="G66" s="19" t="s">
        <v>31</v>
      </c>
      <c r="H66" s="20" t="s">
        <v>32</v>
      </c>
      <c r="I66" s="21">
        <v>-1000</v>
      </c>
    </row>
    <row r="67" spans="1:9" x14ac:dyDescent="0.25">
      <c r="A67" s="19">
        <f t="shared" ref="A67:A98" si="2">YEAR(C67)</f>
        <v>2026</v>
      </c>
      <c r="B67" s="18" t="str">
        <f t="shared" ref="B67:B98" si="3">UPPER(TEXT(C67,"MMMM"))</f>
        <v>FEVEREIRO</v>
      </c>
      <c r="C67" s="18">
        <v>46079.579687500001</v>
      </c>
      <c r="D67" s="19" t="s">
        <v>165</v>
      </c>
      <c r="E67" s="19" t="s">
        <v>166</v>
      </c>
      <c r="F67" s="19" t="s">
        <v>21</v>
      </c>
      <c r="G67" s="19" t="s">
        <v>37</v>
      </c>
      <c r="H67" s="20" t="s">
        <v>38</v>
      </c>
      <c r="I67" s="21">
        <v>-7</v>
      </c>
    </row>
    <row r="68" spans="1:9" x14ac:dyDescent="0.25">
      <c r="A68" s="19">
        <f t="shared" si="2"/>
        <v>2026</v>
      </c>
      <c r="B68" s="18" t="str">
        <f t="shared" si="3"/>
        <v>FEVEREIRO</v>
      </c>
      <c r="C68" s="18">
        <v>46079.890752314997</v>
      </c>
      <c r="D68" s="19" t="s">
        <v>167</v>
      </c>
      <c r="E68" s="19" t="s">
        <v>168</v>
      </c>
      <c r="F68" s="19" t="s">
        <v>21</v>
      </c>
      <c r="G68" s="19" t="s">
        <v>31</v>
      </c>
      <c r="H68" s="20" t="s">
        <v>169</v>
      </c>
      <c r="I68" s="21">
        <v>-170</v>
      </c>
    </row>
    <row r="69" spans="1:9" x14ac:dyDescent="0.25">
      <c r="A69" s="19">
        <f t="shared" si="2"/>
        <v>2026</v>
      </c>
      <c r="B69" s="18" t="str">
        <f t="shared" si="3"/>
        <v>FEVEREIRO</v>
      </c>
      <c r="C69" s="18">
        <v>46079.8909375</v>
      </c>
      <c r="D69" s="19" t="s">
        <v>170</v>
      </c>
      <c r="E69" s="19" t="s">
        <v>171</v>
      </c>
      <c r="F69" s="19" t="s">
        <v>21</v>
      </c>
      <c r="G69" s="19" t="s">
        <v>37</v>
      </c>
      <c r="H69" s="20" t="s">
        <v>38</v>
      </c>
      <c r="I69" s="21">
        <v>-7</v>
      </c>
    </row>
    <row r="70" spans="1:9" x14ac:dyDescent="0.25">
      <c r="A70" s="19">
        <f t="shared" si="2"/>
        <v>2026</v>
      </c>
      <c r="B70" s="18" t="str">
        <f t="shared" si="3"/>
        <v>MARÇO</v>
      </c>
      <c r="C70" s="18">
        <v>46092.734895832997</v>
      </c>
      <c r="D70" s="19" t="s">
        <v>172</v>
      </c>
      <c r="E70" s="19" t="s">
        <v>173</v>
      </c>
      <c r="F70" s="19" t="s">
        <v>21</v>
      </c>
      <c r="G70" s="19" t="s">
        <v>232</v>
      </c>
      <c r="H70" s="20" t="s">
        <v>146</v>
      </c>
      <c r="I70" s="21">
        <v>21</v>
      </c>
    </row>
    <row r="71" spans="1:9" x14ac:dyDescent="0.25">
      <c r="A71" s="19">
        <f t="shared" si="2"/>
        <v>2026</v>
      </c>
      <c r="B71" s="18" t="str">
        <f t="shared" si="3"/>
        <v>MARÇO</v>
      </c>
      <c r="C71" s="18">
        <v>46097.685092592998</v>
      </c>
      <c r="D71" s="19" t="s">
        <v>174</v>
      </c>
      <c r="E71" s="19" t="s">
        <v>175</v>
      </c>
      <c r="F71" s="19" t="s">
        <v>21</v>
      </c>
      <c r="G71" s="19" t="s">
        <v>232</v>
      </c>
      <c r="H71" s="20" t="s">
        <v>146</v>
      </c>
      <c r="I71" s="21">
        <v>1654.36</v>
      </c>
    </row>
    <row r="72" spans="1:9" x14ac:dyDescent="0.25">
      <c r="A72" s="19">
        <f t="shared" si="2"/>
        <v>2026</v>
      </c>
      <c r="B72" s="18" t="str">
        <f t="shared" si="3"/>
        <v>MARÇO</v>
      </c>
      <c r="C72" s="18">
        <v>46106.712395832998</v>
      </c>
      <c r="D72" s="19" t="s">
        <v>176</v>
      </c>
      <c r="E72" s="19" t="s">
        <v>177</v>
      </c>
      <c r="F72" s="19" t="s">
        <v>21</v>
      </c>
      <c r="G72" s="19" t="s">
        <v>232</v>
      </c>
      <c r="H72" s="20" t="s">
        <v>146</v>
      </c>
      <c r="I72" s="21">
        <v>137.08000000000001</v>
      </c>
    </row>
    <row r="73" spans="1:9" x14ac:dyDescent="0.25">
      <c r="A73" s="19">
        <f t="shared" si="2"/>
        <v>2026</v>
      </c>
      <c r="B73" s="18" t="str">
        <f t="shared" si="3"/>
        <v>MARÇO</v>
      </c>
      <c r="C73" s="18">
        <v>46108.492395832996</v>
      </c>
      <c r="D73" s="19" t="s">
        <v>178</v>
      </c>
      <c r="E73" s="19" t="s">
        <v>179</v>
      </c>
      <c r="F73" s="19" t="s">
        <v>21</v>
      </c>
      <c r="G73" s="19" t="s">
        <v>31</v>
      </c>
      <c r="H73" s="20" t="s">
        <v>62</v>
      </c>
      <c r="I73" s="21">
        <v>-1000</v>
      </c>
    </row>
    <row r="74" spans="1:9" x14ac:dyDescent="0.25">
      <c r="A74" s="19">
        <f t="shared" si="2"/>
        <v>2026</v>
      </c>
      <c r="B74" s="18" t="str">
        <f t="shared" si="3"/>
        <v>MARÇO</v>
      </c>
      <c r="C74" s="18">
        <v>46108.492696759</v>
      </c>
      <c r="D74" s="19" t="s">
        <v>180</v>
      </c>
      <c r="E74" s="19" t="s">
        <v>181</v>
      </c>
      <c r="F74" s="19" t="s">
        <v>21</v>
      </c>
      <c r="G74" s="19" t="s">
        <v>37</v>
      </c>
      <c r="H74" s="20" t="s">
        <v>38</v>
      </c>
      <c r="I74" s="21">
        <v>-7</v>
      </c>
    </row>
    <row r="75" spans="1:9" x14ac:dyDescent="0.25">
      <c r="A75" s="19">
        <f t="shared" si="2"/>
        <v>2026</v>
      </c>
      <c r="B75" s="18" t="str">
        <f t="shared" si="3"/>
        <v>MARÇO</v>
      </c>
      <c r="C75" s="18">
        <v>46108.493333332997</v>
      </c>
      <c r="D75" s="19" t="s">
        <v>182</v>
      </c>
      <c r="E75" s="19" t="s">
        <v>183</v>
      </c>
      <c r="F75" s="19" t="s">
        <v>21</v>
      </c>
      <c r="G75" s="19" t="s">
        <v>31</v>
      </c>
      <c r="H75" s="20" t="s">
        <v>62</v>
      </c>
      <c r="I75" s="21">
        <v>-800</v>
      </c>
    </row>
    <row r="76" spans="1:9" x14ac:dyDescent="0.25">
      <c r="A76" s="19">
        <f t="shared" si="2"/>
        <v>2026</v>
      </c>
      <c r="B76" s="18" t="str">
        <f t="shared" si="3"/>
        <v>MARÇO</v>
      </c>
      <c r="C76" s="18">
        <v>46108.493599537003</v>
      </c>
      <c r="D76" s="19" t="s">
        <v>184</v>
      </c>
      <c r="E76" s="19" t="s">
        <v>185</v>
      </c>
      <c r="F76" s="19" t="s">
        <v>21</v>
      </c>
      <c r="G76" s="19" t="s">
        <v>37</v>
      </c>
      <c r="H76" s="20" t="s">
        <v>38</v>
      </c>
      <c r="I76" s="21">
        <v>-7</v>
      </c>
    </row>
    <row r="77" spans="1:9" x14ac:dyDescent="0.25">
      <c r="A77" s="19">
        <f t="shared" si="2"/>
        <v>2026</v>
      </c>
      <c r="B77" s="18" t="str">
        <f t="shared" si="3"/>
        <v>ABRIL</v>
      </c>
      <c r="C77" s="18">
        <v>46125.743935184997</v>
      </c>
      <c r="D77" s="19" t="s">
        <v>186</v>
      </c>
      <c r="E77" s="19" t="s">
        <v>187</v>
      </c>
      <c r="F77" s="19" t="s">
        <v>21</v>
      </c>
      <c r="G77" s="19" t="s">
        <v>232</v>
      </c>
      <c r="H77" s="20" t="s">
        <v>146</v>
      </c>
      <c r="I77" s="21">
        <v>905.08</v>
      </c>
    </row>
    <row r="78" spans="1:9" x14ac:dyDescent="0.25">
      <c r="A78" s="19">
        <f t="shared" si="2"/>
        <v>2026</v>
      </c>
      <c r="B78" s="18" t="str">
        <f t="shared" si="3"/>
        <v>ABRIL</v>
      </c>
      <c r="C78" s="18">
        <v>46127.565983795997</v>
      </c>
      <c r="D78" s="19" t="s">
        <v>188</v>
      </c>
      <c r="E78" s="19" t="s">
        <v>189</v>
      </c>
      <c r="F78" s="19" t="s">
        <v>21</v>
      </c>
      <c r="G78" s="19" t="s">
        <v>31</v>
      </c>
      <c r="H78" s="20" t="s">
        <v>169</v>
      </c>
      <c r="I78" s="21">
        <v>-900</v>
      </c>
    </row>
    <row r="79" spans="1:9" x14ac:dyDescent="0.25">
      <c r="A79" s="19">
        <f t="shared" si="2"/>
        <v>2026</v>
      </c>
      <c r="B79" s="18" t="str">
        <f t="shared" si="3"/>
        <v>ABRIL</v>
      </c>
      <c r="C79" s="18">
        <v>46127.566400463002</v>
      </c>
      <c r="D79" s="19" t="s">
        <v>190</v>
      </c>
      <c r="E79" s="19" t="s">
        <v>191</v>
      </c>
      <c r="F79" s="19" t="s">
        <v>21</v>
      </c>
      <c r="G79" s="19" t="s">
        <v>37</v>
      </c>
      <c r="H79" s="20" t="s">
        <v>38</v>
      </c>
      <c r="I79" s="21">
        <v>-7</v>
      </c>
    </row>
    <row r="80" spans="1:9" x14ac:dyDescent="0.25">
      <c r="A80" s="19">
        <f t="shared" si="2"/>
        <v>2026</v>
      </c>
      <c r="B80" s="18" t="str">
        <f t="shared" si="3"/>
        <v>ABRIL</v>
      </c>
      <c r="C80" s="18">
        <v>46139.717141203997</v>
      </c>
      <c r="D80" s="19" t="s">
        <v>192</v>
      </c>
      <c r="E80" s="19" t="s">
        <v>193</v>
      </c>
      <c r="F80" s="19" t="s">
        <v>21</v>
      </c>
      <c r="G80" s="19" t="s">
        <v>232</v>
      </c>
      <c r="H80" s="20" t="s">
        <v>146</v>
      </c>
      <c r="I80" s="21">
        <v>905.08</v>
      </c>
    </row>
    <row r="81" spans="1:9" x14ac:dyDescent="0.25">
      <c r="A81" s="19">
        <f t="shared" si="2"/>
        <v>2026</v>
      </c>
      <c r="B81" s="18" t="str">
        <f t="shared" si="3"/>
        <v>ABRIL</v>
      </c>
      <c r="C81" s="18">
        <v>46140.711469907001</v>
      </c>
      <c r="D81" s="19" t="s">
        <v>194</v>
      </c>
      <c r="E81" s="19" t="s">
        <v>195</v>
      </c>
      <c r="F81" s="19" t="s">
        <v>21</v>
      </c>
      <c r="G81" s="19" t="s">
        <v>31</v>
      </c>
      <c r="H81" s="20" t="s">
        <v>196</v>
      </c>
      <c r="I81" s="21">
        <v>-900</v>
      </c>
    </row>
    <row r="82" spans="1:9" x14ac:dyDescent="0.25">
      <c r="A82" s="19">
        <f t="shared" si="2"/>
        <v>2026</v>
      </c>
      <c r="B82" s="18" t="str">
        <f t="shared" si="3"/>
        <v>ABRIL</v>
      </c>
      <c r="C82" s="18">
        <v>46140.711805555999</v>
      </c>
      <c r="D82" s="19" t="s">
        <v>197</v>
      </c>
      <c r="E82" s="19" t="s">
        <v>198</v>
      </c>
      <c r="F82" s="19" t="s">
        <v>21</v>
      </c>
      <c r="G82" s="19" t="s">
        <v>37</v>
      </c>
      <c r="H82" s="20" t="s">
        <v>38</v>
      </c>
      <c r="I82" s="21">
        <v>-7</v>
      </c>
    </row>
    <row r="83" spans="1:9" x14ac:dyDescent="0.25">
      <c r="A83" s="19">
        <f t="shared" si="2"/>
        <v>2026</v>
      </c>
      <c r="B83" s="18" t="str">
        <f t="shared" si="3"/>
        <v>MAIO</v>
      </c>
      <c r="C83" s="18">
        <v>46153.671840278002</v>
      </c>
      <c r="D83" s="19" t="s">
        <v>199</v>
      </c>
      <c r="E83" s="19" t="s">
        <v>200</v>
      </c>
      <c r="F83" s="19" t="s">
        <v>21</v>
      </c>
      <c r="G83" s="19" t="s">
        <v>232</v>
      </c>
      <c r="H83" s="20" t="s">
        <v>146</v>
      </c>
      <c r="I83" s="21">
        <v>527.66999999999996</v>
      </c>
    </row>
    <row r="84" spans="1:9" x14ac:dyDescent="0.25">
      <c r="A84" s="19">
        <f t="shared" si="2"/>
        <v>2026</v>
      </c>
      <c r="B84" s="18" t="str">
        <f t="shared" si="3"/>
        <v>MAIO</v>
      </c>
      <c r="C84" s="18">
        <v>46156.746284722001</v>
      </c>
      <c r="D84" s="19" t="s">
        <v>201</v>
      </c>
      <c r="E84" s="19" t="s">
        <v>202</v>
      </c>
      <c r="F84" s="19" t="s">
        <v>21</v>
      </c>
      <c r="G84" s="19" t="s">
        <v>31</v>
      </c>
      <c r="H84" s="20" t="s">
        <v>196</v>
      </c>
      <c r="I84" s="21">
        <v>-520</v>
      </c>
    </row>
    <row r="85" spans="1:9" x14ac:dyDescent="0.25">
      <c r="A85" s="19">
        <f t="shared" si="2"/>
        <v>2026</v>
      </c>
      <c r="B85" s="18" t="str">
        <f t="shared" si="3"/>
        <v>MAIO</v>
      </c>
      <c r="C85" s="18">
        <v>46156.746481481001</v>
      </c>
      <c r="D85" s="19" t="s">
        <v>203</v>
      </c>
      <c r="E85" s="19" t="s">
        <v>204</v>
      </c>
      <c r="F85" s="19" t="s">
        <v>21</v>
      </c>
      <c r="G85" s="19" t="s">
        <v>37</v>
      </c>
      <c r="H85" s="20" t="s">
        <v>38</v>
      </c>
      <c r="I85" s="21">
        <v>-7</v>
      </c>
    </row>
    <row r="86" spans="1:9" x14ac:dyDescent="0.25">
      <c r="A86" s="19">
        <f t="shared" si="2"/>
        <v>2026</v>
      </c>
      <c r="B86" s="18" t="str">
        <f t="shared" si="3"/>
        <v>MAIO</v>
      </c>
      <c r="C86" s="18">
        <v>46167.664756944003</v>
      </c>
      <c r="D86" s="19" t="s">
        <v>205</v>
      </c>
      <c r="E86" s="19" t="s">
        <v>206</v>
      </c>
      <c r="F86" s="19" t="s">
        <v>21</v>
      </c>
      <c r="G86" s="19" t="s">
        <v>232</v>
      </c>
      <c r="H86" s="20" t="s">
        <v>146</v>
      </c>
      <c r="I86" s="21">
        <v>1066.48</v>
      </c>
    </row>
    <row r="87" spans="1:9" x14ac:dyDescent="0.25">
      <c r="A87" s="19">
        <f t="shared" si="2"/>
        <v>2026</v>
      </c>
      <c r="B87" s="18" t="str">
        <f t="shared" si="3"/>
        <v>MAIO</v>
      </c>
      <c r="C87" s="18">
        <v>46169.758946759001</v>
      </c>
      <c r="D87" s="19" t="s">
        <v>207</v>
      </c>
      <c r="E87" s="19" t="s">
        <v>208</v>
      </c>
      <c r="F87" s="19" t="s">
        <v>21</v>
      </c>
      <c r="G87" s="19" t="s">
        <v>31</v>
      </c>
      <c r="H87" s="20" t="s">
        <v>209</v>
      </c>
      <c r="I87" s="21">
        <v>-50</v>
      </c>
    </row>
    <row r="88" spans="1:9" x14ac:dyDescent="0.25">
      <c r="A88" s="19">
        <f t="shared" si="2"/>
        <v>2026</v>
      </c>
      <c r="B88" s="18" t="str">
        <f t="shared" si="3"/>
        <v>MAIO</v>
      </c>
      <c r="C88" s="18">
        <v>46169.759259259001</v>
      </c>
      <c r="D88" s="19" t="s">
        <v>210</v>
      </c>
      <c r="E88" s="19" t="s">
        <v>211</v>
      </c>
      <c r="F88" s="19" t="s">
        <v>21</v>
      </c>
      <c r="G88" s="19" t="s">
        <v>37</v>
      </c>
      <c r="H88" s="20" t="s">
        <v>38</v>
      </c>
      <c r="I88" s="21">
        <v>-7</v>
      </c>
    </row>
    <row r="89" spans="1:9" x14ac:dyDescent="0.25">
      <c r="A89" s="19">
        <f t="shared" si="2"/>
        <v>2026</v>
      </c>
      <c r="B89" s="18" t="str">
        <f t="shared" si="3"/>
        <v>MAIO</v>
      </c>
      <c r="C89" s="18">
        <v>46169.761331018999</v>
      </c>
      <c r="D89" s="19" t="s">
        <v>212</v>
      </c>
      <c r="E89" s="19" t="s">
        <v>213</v>
      </c>
      <c r="F89" s="19" t="s">
        <v>21</v>
      </c>
      <c r="G89" s="19" t="s">
        <v>31</v>
      </c>
      <c r="H89" s="20" t="s">
        <v>209</v>
      </c>
      <c r="I89" s="21">
        <v>-900</v>
      </c>
    </row>
    <row r="90" spans="1:9" x14ac:dyDescent="0.25">
      <c r="A90" s="19">
        <f t="shared" si="2"/>
        <v>2026</v>
      </c>
      <c r="B90" s="18" t="str">
        <f t="shared" si="3"/>
        <v>MAIO</v>
      </c>
      <c r="C90" s="18">
        <v>46169.761666667</v>
      </c>
      <c r="D90" s="19" t="s">
        <v>214</v>
      </c>
      <c r="E90" s="19" t="s">
        <v>215</v>
      </c>
      <c r="F90" s="19" t="s">
        <v>21</v>
      </c>
      <c r="G90" s="19" t="s">
        <v>37</v>
      </c>
      <c r="H90" s="20" t="s">
        <v>38</v>
      </c>
      <c r="I90" s="21">
        <v>-7</v>
      </c>
    </row>
    <row r="91" spans="1:9" x14ac:dyDescent="0.25">
      <c r="A91" s="19">
        <f t="shared" si="2"/>
        <v>2026</v>
      </c>
      <c r="B91" s="18" t="str">
        <f t="shared" si="3"/>
        <v>MAIO</v>
      </c>
      <c r="C91" s="18">
        <v>46169.763923610997</v>
      </c>
      <c r="D91" s="19" t="s">
        <v>216</v>
      </c>
      <c r="E91" s="19" t="s">
        <v>217</v>
      </c>
      <c r="F91" s="19" t="s">
        <v>21</v>
      </c>
      <c r="G91" s="19" t="s">
        <v>31</v>
      </c>
      <c r="H91" s="20" t="s">
        <v>209</v>
      </c>
      <c r="I91" s="21">
        <v>-90</v>
      </c>
    </row>
    <row r="92" spans="1:9" x14ac:dyDescent="0.25">
      <c r="A92" s="19">
        <f t="shared" si="2"/>
        <v>2026</v>
      </c>
      <c r="B92" s="18" t="str">
        <f t="shared" si="3"/>
        <v>MAIO</v>
      </c>
      <c r="C92" s="18">
        <v>46169.764085647999</v>
      </c>
      <c r="D92" s="19" t="s">
        <v>218</v>
      </c>
      <c r="E92" s="19" t="s">
        <v>219</v>
      </c>
      <c r="F92" s="19" t="s">
        <v>21</v>
      </c>
      <c r="G92" s="19" t="s">
        <v>37</v>
      </c>
      <c r="H92" s="20" t="s">
        <v>38</v>
      </c>
      <c r="I92" s="21">
        <v>-7</v>
      </c>
    </row>
    <row r="93" spans="1:9" x14ac:dyDescent="0.25">
      <c r="A93" s="19">
        <f t="shared" si="2"/>
        <v>2026</v>
      </c>
      <c r="B93" s="18" t="str">
        <f t="shared" si="3"/>
        <v>JUNHO</v>
      </c>
      <c r="C93" s="18">
        <v>46184.602604166997</v>
      </c>
      <c r="D93" s="19" t="s">
        <v>220</v>
      </c>
      <c r="E93" s="19" t="s">
        <v>221</v>
      </c>
      <c r="F93" s="19" t="s">
        <v>21</v>
      </c>
      <c r="G93" s="19" t="s">
        <v>232</v>
      </c>
      <c r="H93" s="20" t="s">
        <v>146</v>
      </c>
      <c r="I93" s="21">
        <v>391.86</v>
      </c>
    </row>
    <row r="94" spans="1:9" x14ac:dyDescent="0.25">
      <c r="A94" s="19">
        <f t="shared" si="2"/>
        <v>2026</v>
      </c>
      <c r="B94" s="18" t="str">
        <f t="shared" si="3"/>
        <v>JUNHO</v>
      </c>
      <c r="C94" s="18">
        <v>46203.475879630001</v>
      </c>
      <c r="D94" s="19" t="s">
        <v>222</v>
      </c>
      <c r="E94" s="19" t="s">
        <v>223</v>
      </c>
      <c r="F94" s="19" t="s">
        <v>21</v>
      </c>
      <c r="G94" s="19" t="s">
        <v>31</v>
      </c>
      <c r="H94" s="20" t="s">
        <v>209</v>
      </c>
      <c r="I94" s="21">
        <v>-380</v>
      </c>
    </row>
    <row r="95" spans="1:9" x14ac:dyDescent="0.25">
      <c r="A95" s="19">
        <f t="shared" si="2"/>
        <v>2026</v>
      </c>
      <c r="B95" s="18" t="str">
        <f t="shared" si="3"/>
        <v>JUNHO</v>
      </c>
      <c r="C95" s="18">
        <v>46203.476342593</v>
      </c>
      <c r="D95" s="19" t="s">
        <v>224</v>
      </c>
      <c r="E95" s="19" t="s">
        <v>225</v>
      </c>
      <c r="F95" s="19" t="s">
        <v>21</v>
      </c>
      <c r="G95" s="19" t="s">
        <v>37</v>
      </c>
      <c r="H95" s="20" t="s">
        <v>38</v>
      </c>
      <c r="I95" s="21">
        <v>-7</v>
      </c>
    </row>
    <row r="96" spans="1:9" x14ac:dyDescent="0.25">
      <c r="A96" s="19">
        <f t="shared" si="2"/>
        <v>2026</v>
      </c>
      <c r="B96" s="18" t="str">
        <f t="shared" si="3"/>
        <v>JULHO</v>
      </c>
      <c r="C96" s="18">
        <v>46216.68130787</v>
      </c>
      <c r="D96" s="19" t="s">
        <v>226</v>
      </c>
      <c r="E96" s="19" t="s">
        <v>227</v>
      </c>
      <c r="F96" s="19" t="s">
        <v>21</v>
      </c>
      <c r="G96" s="19" t="s">
        <v>232</v>
      </c>
      <c r="H96" s="20" t="s">
        <v>146</v>
      </c>
      <c r="I96" s="21">
        <v>985.93</v>
      </c>
    </row>
    <row r="97" spans="1:9" x14ac:dyDescent="0.25">
      <c r="A97" s="19">
        <f t="shared" si="2"/>
        <v>2026</v>
      </c>
      <c r="B97" s="18" t="str">
        <f t="shared" si="3"/>
        <v>JULHO</v>
      </c>
      <c r="C97" s="18">
        <v>46218.633819444003</v>
      </c>
      <c r="D97" s="19" t="s">
        <v>228</v>
      </c>
      <c r="E97" s="19" t="s">
        <v>229</v>
      </c>
      <c r="F97" s="19" t="s">
        <v>21</v>
      </c>
      <c r="G97" s="19" t="s">
        <v>31</v>
      </c>
      <c r="H97" s="20" t="s">
        <v>169</v>
      </c>
      <c r="I97" s="21">
        <v>-990</v>
      </c>
    </row>
    <row r="98" spans="1:9" x14ac:dyDescent="0.25">
      <c r="A98" s="19">
        <f t="shared" si="2"/>
        <v>2026</v>
      </c>
      <c r="B98" s="18" t="str">
        <f t="shared" si="3"/>
        <v>JULHO</v>
      </c>
      <c r="C98" s="18">
        <v>46218.634004630003</v>
      </c>
      <c r="D98" s="19" t="s">
        <v>230</v>
      </c>
      <c r="E98" s="19" t="s">
        <v>231</v>
      </c>
      <c r="F98" s="19" t="s">
        <v>21</v>
      </c>
      <c r="G98" s="19" t="s">
        <v>37</v>
      </c>
      <c r="H98" s="20" t="s">
        <v>38</v>
      </c>
      <c r="I98" s="21">
        <v>-7</v>
      </c>
    </row>
  </sheetData>
  <autoFilter ref="A1:I98" xr:uid="{D2E9F8DC-D9CD-4943-B8B1-3D99A77DEDC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FECHAMENTO</vt:lpstr>
      <vt:lpstr>PREST. CONTAS</vt:lpstr>
      <vt:lpstr>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Dantas Miranda</dc:creator>
  <cp:lastModifiedBy>Leticia Angenita Scheimann Bauer</cp:lastModifiedBy>
  <dcterms:created xsi:type="dcterms:W3CDTF">2026-07-31T12:03:53Z</dcterms:created>
  <dcterms:modified xsi:type="dcterms:W3CDTF">2026-08-12T17:56:15Z</dcterms:modified>
</cp:coreProperties>
</file>