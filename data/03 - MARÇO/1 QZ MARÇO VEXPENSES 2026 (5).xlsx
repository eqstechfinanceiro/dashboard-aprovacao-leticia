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qsengenharia.sharepoint.com/Financeiro/Documentos Compartilhados/FECHAMENTO FINANCEIRO/GESTÃO DE CAIXA/1 - VEXPENSES/PROGRAMAÇÃO/2026/03 - MARÇO/"/>
    </mc:Choice>
  </mc:AlternateContent>
  <xr:revisionPtr revIDLastSave="0" documentId="13_ncr:1_{A97396A1-52E5-4B8A-890A-DB98A80B8070}" xr6:coauthVersionLast="47" xr6:coauthVersionMax="47" xr10:uidLastSave="{00000000-0000-0000-0000-000000000000}"/>
  <bookViews>
    <workbookView xWindow="-120" yWindow="-120" windowWidth="20730" windowHeight="11040" xr2:uid="{AD068FA2-0A26-48FD-B609-7845FB164A10}"/>
  </bookViews>
  <sheets>
    <sheet name="QUINZENA MARÇO" sheetId="1" r:id="rId1"/>
    <sheet name="Planilha1" sheetId="2" r:id="rId2"/>
  </sheets>
  <definedNames>
    <definedName name="_xlnm._FilterDatabase" localSheetId="1" hidden="1">Planilha1!$A$2:$F$163</definedName>
    <definedName name="SegmentaçãodeDados_GESTOR">#N/A</definedName>
  </definedNames>
  <calcPr calcId="191029"/>
  <pivotCaches>
    <pivotCache cacheId="2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2" l="1"/>
  <c r="P9" i="1"/>
  <c r="S9" i="1" s="1"/>
  <c r="P11" i="1"/>
  <c r="S11" i="1" s="1"/>
  <c r="P13" i="1"/>
  <c r="S13" i="1" s="1"/>
  <c r="P15" i="1"/>
  <c r="S15" i="1" s="1"/>
  <c r="P17" i="1"/>
  <c r="S17" i="1" s="1"/>
  <c r="P390" i="1"/>
  <c r="S390" i="1" s="1"/>
  <c r="P21" i="1"/>
  <c r="S21" i="1" s="1"/>
  <c r="P23" i="1"/>
  <c r="S23" i="1" s="1"/>
  <c r="P25" i="1"/>
  <c r="S25" i="1" s="1"/>
  <c r="P27" i="1"/>
  <c r="S27" i="1" s="1"/>
  <c r="P29" i="1"/>
  <c r="S29" i="1" s="1"/>
  <c r="P31" i="1"/>
  <c r="S31" i="1" s="1"/>
  <c r="P33" i="1"/>
  <c r="S33" i="1" s="1"/>
  <c r="P35" i="1"/>
  <c r="S35" i="1" s="1"/>
  <c r="P37" i="1"/>
  <c r="S37" i="1" s="1"/>
  <c r="P39" i="1"/>
  <c r="S39" i="1" s="1"/>
  <c r="P266" i="1"/>
  <c r="P43" i="1"/>
  <c r="S43" i="1" s="1"/>
  <c r="P47" i="1"/>
  <c r="S47" i="1" s="1"/>
  <c r="P49" i="1"/>
  <c r="S49" i="1" s="1"/>
  <c r="P51" i="1"/>
  <c r="S51" i="1" s="1"/>
  <c r="P55" i="1"/>
  <c r="S55" i="1" s="1"/>
  <c r="P57" i="1"/>
  <c r="S57" i="1" s="1"/>
  <c r="P449" i="1"/>
  <c r="S449" i="1" s="1"/>
  <c r="P63" i="1"/>
  <c r="S63" i="1" s="1"/>
  <c r="P65" i="1"/>
  <c r="S65" i="1" s="1"/>
  <c r="P67" i="1"/>
  <c r="S67" i="1" s="1"/>
  <c r="P71" i="1"/>
  <c r="S71" i="1" s="1"/>
  <c r="P73" i="1"/>
  <c r="S73" i="1" s="1"/>
  <c r="P75" i="1"/>
  <c r="S75" i="1" s="1"/>
  <c r="P42" i="1"/>
  <c r="S42" i="1" s="1"/>
  <c r="P81" i="1"/>
  <c r="S81" i="1" s="1"/>
  <c r="P83" i="1"/>
  <c r="S83" i="1" s="1"/>
  <c r="P79" i="1"/>
  <c r="S79" i="1" s="1"/>
  <c r="P289" i="1"/>
  <c r="S289" i="1" s="1"/>
  <c r="P91" i="1"/>
  <c r="S91" i="1" s="1"/>
  <c r="P95" i="1"/>
  <c r="S95" i="1" s="1"/>
  <c r="P97" i="1"/>
  <c r="S97" i="1" s="1"/>
  <c r="P99" i="1"/>
  <c r="S99" i="1" s="1"/>
  <c r="P103" i="1"/>
  <c r="S103" i="1" s="1"/>
  <c r="P105" i="1"/>
  <c r="S105" i="1" s="1"/>
  <c r="P107" i="1"/>
  <c r="S107" i="1" s="1"/>
  <c r="P111" i="1"/>
  <c r="S111" i="1" s="1"/>
  <c r="P113" i="1"/>
  <c r="S113" i="1" s="1"/>
  <c r="P115" i="1"/>
  <c r="S115" i="1" s="1"/>
  <c r="P117" i="1"/>
  <c r="S117" i="1" s="1"/>
  <c r="P119" i="1"/>
  <c r="S119" i="1" s="1"/>
  <c r="P121" i="1"/>
  <c r="S121" i="1" s="1"/>
  <c r="P123" i="1"/>
  <c r="S123" i="1" s="1"/>
  <c r="P127" i="1"/>
  <c r="S127" i="1" s="1"/>
  <c r="P129" i="1"/>
  <c r="S129" i="1" s="1"/>
  <c r="P131" i="1"/>
  <c r="S131" i="1" s="1"/>
  <c r="P135" i="1"/>
  <c r="S135" i="1" s="1"/>
  <c r="P137" i="1"/>
  <c r="S137" i="1" s="1"/>
  <c r="P139" i="1"/>
  <c r="S139" i="1" s="1"/>
  <c r="P143" i="1"/>
  <c r="S143" i="1" s="1"/>
  <c r="P145" i="1"/>
  <c r="S145" i="1" s="1"/>
  <c r="P353" i="1"/>
  <c r="S353" i="1" s="1"/>
  <c r="P151" i="1"/>
  <c r="S151" i="1" s="1"/>
  <c r="P153" i="1"/>
  <c r="S153" i="1" s="1"/>
  <c r="P155" i="1"/>
  <c r="S155" i="1" s="1"/>
  <c r="P159" i="1"/>
  <c r="S159" i="1" s="1"/>
  <c r="P161" i="1"/>
  <c r="S161" i="1" s="1"/>
  <c r="P163" i="1"/>
  <c r="S163" i="1" s="1"/>
  <c r="P167" i="1"/>
  <c r="S167" i="1" s="1"/>
  <c r="P169" i="1"/>
  <c r="S169" i="1" s="1"/>
  <c r="P171" i="1"/>
  <c r="S171" i="1" s="1"/>
  <c r="P175" i="1"/>
  <c r="S175" i="1" s="1"/>
  <c r="P177" i="1"/>
  <c r="S177" i="1" s="1"/>
  <c r="P179" i="1"/>
  <c r="S179" i="1" s="1"/>
  <c r="P183" i="1"/>
  <c r="S183" i="1" s="1"/>
  <c r="P185" i="1"/>
  <c r="S185" i="1" s="1"/>
  <c r="P187" i="1"/>
  <c r="S187" i="1" s="1"/>
  <c r="P191" i="1"/>
  <c r="S191" i="1" s="1"/>
  <c r="P193" i="1"/>
  <c r="S193" i="1" s="1"/>
  <c r="P195" i="1"/>
  <c r="S195" i="1" s="1"/>
  <c r="P199" i="1"/>
  <c r="S199" i="1" s="1"/>
  <c r="P365" i="1"/>
  <c r="S365" i="1" s="1"/>
  <c r="P203" i="1"/>
  <c r="S203" i="1" s="1"/>
  <c r="P207" i="1"/>
  <c r="S207" i="1" s="1"/>
  <c r="P209" i="1"/>
  <c r="S209" i="1" s="1"/>
  <c r="P211" i="1"/>
  <c r="S211" i="1" s="1"/>
  <c r="P215" i="1"/>
  <c r="S215" i="1" s="1"/>
  <c r="P217" i="1"/>
  <c r="S217" i="1" s="1"/>
  <c r="P219" i="1"/>
  <c r="S219" i="1" s="1"/>
  <c r="P223" i="1"/>
  <c r="S223" i="1" s="1"/>
  <c r="P225" i="1"/>
  <c r="S225" i="1" s="1"/>
  <c r="P227" i="1"/>
  <c r="S227" i="1" s="1"/>
  <c r="P231" i="1"/>
  <c r="S231" i="1" s="1"/>
  <c r="P233" i="1"/>
  <c r="S233" i="1" s="1"/>
  <c r="P235" i="1"/>
  <c r="S235" i="1" s="1"/>
  <c r="P239" i="1"/>
  <c r="S239" i="1" s="1"/>
  <c r="P241" i="1"/>
  <c r="S241" i="1" s="1"/>
  <c r="P243" i="1"/>
  <c r="S243" i="1" s="1"/>
  <c r="P247" i="1"/>
  <c r="S247" i="1" s="1"/>
  <c r="P249" i="1"/>
  <c r="S249" i="1" s="1"/>
  <c r="P251" i="1"/>
  <c r="S251" i="1" s="1"/>
  <c r="P255" i="1"/>
  <c r="S255" i="1" s="1"/>
  <c r="P319" i="1"/>
  <c r="S319" i="1" s="1"/>
  <c r="P259" i="1"/>
  <c r="S259" i="1" s="1"/>
  <c r="P263" i="1"/>
  <c r="S263" i="1" s="1"/>
  <c r="P265" i="1"/>
  <c r="S265" i="1" s="1"/>
  <c r="P267" i="1"/>
  <c r="S267" i="1" s="1"/>
  <c r="P271" i="1"/>
  <c r="S271" i="1" s="1"/>
  <c r="P273" i="1"/>
  <c r="S273" i="1" s="1"/>
  <c r="P275" i="1"/>
  <c r="S275" i="1" s="1"/>
  <c r="P279" i="1"/>
  <c r="S279" i="1" s="1"/>
  <c r="P281" i="1"/>
  <c r="S281" i="1" s="1"/>
  <c r="P283" i="1"/>
  <c r="S283" i="1" s="1"/>
  <c r="P287" i="1"/>
  <c r="S287" i="1" s="1"/>
  <c r="P364" i="1"/>
  <c r="S364" i="1" s="1"/>
  <c r="P291" i="1"/>
  <c r="S291" i="1" s="1"/>
  <c r="P295" i="1"/>
  <c r="S295" i="1" s="1"/>
  <c r="P297" i="1"/>
  <c r="S297" i="1" s="1"/>
  <c r="P299" i="1"/>
  <c r="S299" i="1" s="1"/>
  <c r="P303" i="1"/>
  <c r="S303" i="1" s="1"/>
  <c r="P229" i="1"/>
  <c r="S229" i="1" s="1"/>
  <c r="P307" i="1"/>
  <c r="S307" i="1" s="1"/>
  <c r="P311" i="1"/>
  <c r="S311" i="1" s="1"/>
  <c r="P313" i="1"/>
  <c r="S313" i="1" s="1"/>
  <c r="P147" i="1"/>
  <c r="S147" i="1" s="1"/>
  <c r="P415" i="1"/>
  <c r="S415" i="1" s="1"/>
  <c r="P321" i="1"/>
  <c r="S321" i="1" s="1"/>
  <c r="P323" i="1"/>
  <c r="S323" i="1" s="1"/>
  <c r="P327" i="1"/>
  <c r="S327" i="1" s="1"/>
  <c r="P329" i="1"/>
  <c r="S329" i="1" s="1"/>
  <c r="P10" i="1"/>
  <c r="S10" i="1" s="1"/>
  <c r="P335" i="1"/>
  <c r="S335" i="1" s="1"/>
  <c r="P337" i="1"/>
  <c r="S337" i="1" s="1"/>
  <c r="P339" i="1"/>
  <c r="S339" i="1" s="1"/>
  <c r="P343" i="1"/>
  <c r="S343" i="1" s="1"/>
  <c r="P345" i="1"/>
  <c r="S345" i="1" s="1"/>
  <c r="P347" i="1"/>
  <c r="S347" i="1" s="1"/>
  <c r="P371" i="1"/>
  <c r="S371" i="1" s="1"/>
  <c r="P8" i="1"/>
  <c r="S8" i="1" s="1"/>
  <c r="P104" i="1"/>
  <c r="S104" i="1" s="1"/>
  <c r="P12" i="1"/>
  <c r="S12" i="1" s="1"/>
  <c r="P14" i="1"/>
  <c r="S14" i="1" s="1"/>
  <c r="P16" i="1"/>
  <c r="S16" i="1" s="1"/>
  <c r="P18" i="1"/>
  <c r="S18" i="1" s="1"/>
  <c r="P20" i="1"/>
  <c r="S20" i="1" s="1"/>
  <c r="P22" i="1"/>
  <c r="S22" i="1" s="1"/>
  <c r="P61" i="1"/>
  <c r="S61" i="1" s="1"/>
  <c r="P26" i="1"/>
  <c r="S26" i="1" s="1"/>
  <c r="P28" i="1"/>
  <c r="S28" i="1" s="1"/>
  <c r="P30" i="1"/>
  <c r="S30" i="1" s="1"/>
  <c r="P32" i="1"/>
  <c r="S32" i="1" s="1"/>
  <c r="P34" i="1"/>
  <c r="S34" i="1" s="1"/>
  <c r="P36" i="1"/>
  <c r="S36" i="1" s="1"/>
  <c r="P38" i="1"/>
  <c r="S38" i="1" s="1"/>
  <c r="P40" i="1"/>
  <c r="S40" i="1" s="1"/>
  <c r="P176" i="1"/>
  <c r="P44" i="1"/>
  <c r="S44" i="1" s="1"/>
  <c r="P45" i="1"/>
  <c r="S45" i="1" s="1"/>
  <c r="P46" i="1"/>
  <c r="S46" i="1" s="1"/>
  <c r="P48" i="1"/>
  <c r="S48" i="1" s="1"/>
  <c r="P50" i="1"/>
  <c r="S50" i="1" s="1"/>
  <c r="P52" i="1"/>
  <c r="S52" i="1" s="1"/>
  <c r="P41" i="1"/>
  <c r="S41" i="1" s="1"/>
  <c r="P54" i="1"/>
  <c r="S54" i="1" s="1"/>
  <c r="P56" i="1"/>
  <c r="S56" i="1" s="1"/>
  <c r="P58" i="1"/>
  <c r="S58" i="1" s="1"/>
  <c r="P60" i="1"/>
  <c r="S60" i="1" s="1"/>
  <c r="P166" i="1"/>
  <c r="S166" i="1" s="1"/>
  <c r="P62" i="1"/>
  <c r="S62" i="1" s="1"/>
  <c r="P64" i="1"/>
  <c r="S64" i="1" s="1"/>
  <c r="P66" i="1"/>
  <c r="S66" i="1" s="1"/>
  <c r="P68" i="1"/>
  <c r="S68" i="1" s="1"/>
  <c r="P69" i="1"/>
  <c r="S69" i="1" s="1"/>
  <c r="P70" i="1"/>
  <c r="S70" i="1" s="1"/>
  <c r="P72" i="1"/>
  <c r="S72" i="1" s="1"/>
  <c r="P74" i="1"/>
  <c r="S74" i="1" s="1"/>
  <c r="P76" i="1"/>
  <c r="S76" i="1" s="1"/>
  <c r="P77" i="1"/>
  <c r="S77" i="1" s="1"/>
  <c r="P78" i="1"/>
  <c r="S78" i="1" s="1"/>
  <c r="P80" i="1"/>
  <c r="S80" i="1" s="1"/>
  <c r="P82" i="1"/>
  <c r="S82" i="1" s="1"/>
  <c r="P84" i="1"/>
  <c r="S84" i="1" s="1"/>
  <c r="P85" i="1"/>
  <c r="S85" i="1" s="1"/>
  <c r="P86" i="1"/>
  <c r="S86" i="1" s="1"/>
  <c r="P88" i="1"/>
  <c r="S88" i="1" s="1"/>
  <c r="P90" i="1"/>
  <c r="S90" i="1" s="1"/>
  <c r="P92" i="1"/>
  <c r="S92" i="1" s="1"/>
  <c r="P93" i="1"/>
  <c r="S93" i="1" s="1"/>
  <c r="P94" i="1"/>
  <c r="S94" i="1" s="1"/>
  <c r="P96" i="1"/>
  <c r="S96" i="1" s="1"/>
  <c r="P98" i="1"/>
  <c r="S98" i="1" s="1"/>
  <c r="P100" i="1"/>
  <c r="S100" i="1" s="1"/>
  <c r="P101" i="1"/>
  <c r="S101" i="1" s="1"/>
  <c r="P102" i="1"/>
  <c r="S102" i="1" s="1"/>
  <c r="P202" i="1"/>
  <c r="S202" i="1" s="1"/>
  <c r="P106" i="1"/>
  <c r="S106" i="1" s="1"/>
  <c r="P108" i="1"/>
  <c r="S108" i="1" s="1"/>
  <c r="P109" i="1"/>
  <c r="S109" i="1" s="1"/>
  <c r="P110" i="1"/>
  <c r="S110" i="1" s="1"/>
  <c r="P112" i="1"/>
  <c r="S112" i="1" s="1"/>
  <c r="P114" i="1"/>
  <c r="S114" i="1" s="1"/>
  <c r="P116" i="1"/>
  <c r="S116" i="1" s="1"/>
  <c r="P118" i="1"/>
  <c r="S118" i="1" s="1"/>
  <c r="P120" i="1"/>
  <c r="S120" i="1" s="1"/>
  <c r="P122" i="1"/>
  <c r="S122" i="1" s="1"/>
  <c r="P124" i="1"/>
  <c r="S124" i="1" s="1"/>
  <c r="P125" i="1"/>
  <c r="S125" i="1" s="1"/>
  <c r="P126" i="1"/>
  <c r="S126" i="1" s="1"/>
  <c r="P128" i="1"/>
  <c r="S128" i="1" s="1"/>
  <c r="P130" i="1"/>
  <c r="S130" i="1" s="1"/>
  <c r="P132" i="1"/>
  <c r="S132" i="1" s="1"/>
  <c r="P133" i="1"/>
  <c r="S133" i="1" s="1"/>
  <c r="P87" i="1"/>
  <c r="P136" i="1"/>
  <c r="S136" i="1" s="1"/>
  <c r="P138" i="1"/>
  <c r="S138" i="1" s="1"/>
  <c r="P140" i="1"/>
  <c r="S140" i="1" s="1"/>
  <c r="P141" i="1"/>
  <c r="S141" i="1" s="1"/>
  <c r="P142" i="1"/>
  <c r="S142" i="1" s="1"/>
  <c r="P144" i="1"/>
  <c r="S144" i="1" s="1"/>
  <c r="P146" i="1"/>
  <c r="S146" i="1" s="1"/>
  <c r="P148" i="1"/>
  <c r="S148" i="1" s="1"/>
  <c r="P149" i="1"/>
  <c r="S149" i="1" s="1"/>
  <c r="P150" i="1"/>
  <c r="S150" i="1" s="1"/>
  <c r="P152" i="1"/>
  <c r="S152" i="1" s="1"/>
  <c r="P154" i="1"/>
  <c r="S154" i="1" s="1"/>
  <c r="P156" i="1"/>
  <c r="S156" i="1" s="1"/>
  <c r="P157" i="1"/>
  <c r="S157" i="1" s="1"/>
  <c r="P158" i="1"/>
  <c r="S158" i="1" s="1"/>
  <c r="P160" i="1"/>
  <c r="S160" i="1" s="1"/>
  <c r="P162" i="1"/>
  <c r="S162" i="1" s="1"/>
  <c r="P164" i="1"/>
  <c r="S164" i="1" s="1"/>
  <c r="P165" i="1"/>
  <c r="S165" i="1" s="1"/>
  <c r="P435" i="1"/>
  <c r="S435" i="1" s="1"/>
  <c r="P168" i="1"/>
  <c r="S168" i="1" s="1"/>
  <c r="P170" i="1"/>
  <c r="S170" i="1" s="1"/>
  <c r="P172" i="1"/>
  <c r="S172" i="1" s="1"/>
  <c r="P173" i="1"/>
  <c r="S173" i="1" s="1"/>
  <c r="P174" i="1"/>
  <c r="S174" i="1" s="1"/>
  <c r="P324" i="1"/>
  <c r="S324" i="1" s="1"/>
  <c r="P178" i="1"/>
  <c r="S178" i="1" s="1"/>
  <c r="P180" i="1"/>
  <c r="S180" i="1" s="1"/>
  <c r="P181" i="1"/>
  <c r="S181" i="1" s="1"/>
  <c r="P182" i="1"/>
  <c r="S182" i="1" s="1"/>
  <c r="P184" i="1"/>
  <c r="S184" i="1" s="1"/>
  <c r="P186" i="1"/>
  <c r="S186" i="1" s="1"/>
  <c r="P188" i="1"/>
  <c r="S188" i="1" s="1"/>
  <c r="P89" i="1"/>
  <c r="P190" i="1"/>
  <c r="S190" i="1" s="1"/>
  <c r="P192" i="1"/>
  <c r="S192" i="1" s="1"/>
  <c r="P194" i="1"/>
  <c r="S194" i="1" s="1"/>
  <c r="P196" i="1"/>
  <c r="S196" i="1" s="1"/>
  <c r="P197" i="1"/>
  <c r="S197" i="1" s="1"/>
  <c r="P198" i="1"/>
  <c r="S198" i="1" s="1"/>
  <c r="P200" i="1"/>
  <c r="S200" i="1" s="1"/>
  <c r="P463" i="1"/>
  <c r="S463" i="1" s="1"/>
  <c r="P204" i="1"/>
  <c r="S204" i="1" s="1"/>
  <c r="P205" i="1"/>
  <c r="S205" i="1" s="1"/>
  <c r="P206" i="1"/>
  <c r="S206" i="1" s="1"/>
  <c r="P208" i="1"/>
  <c r="S208" i="1" s="1"/>
  <c r="P210" i="1"/>
  <c r="S210" i="1" s="1"/>
  <c r="P212" i="1"/>
  <c r="S212" i="1" s="1"/>
  <c r="P213" i="1"/>
  <c r="S213" i="1" s="1"/>
  <c r="P214" i="1"/>
  <c r="S214" i="1" s="1"/>
  <c r="P216" i="1"/>
  <c r="S216" i="1" s="1"/>
  <c r="P218" i="1"/>
  <c r="S218" i="1" s="1"/>
  <c r="P220" i="1"/>
  <c r="S220" i="1" s="1"/>
  <c r="P221" i="1"/>
  <c r="S221" i="1" s="1"/>
  <c r="P222" i="1"/>
  <c r="S222" i="1" s="1"/>
  <c r="P224" i="1"/>
  <c r="S224" i="1" s="1"/>
  <c r="P226" i="1"/>
  <c r="S226" i="1" s="1"/>
  <c r="P228" i="1"/>
  <c r="S228" i="1" s="1"/>
  <c r="P382" i="1"/>
  <c r="S382" i="1" s="1"/>
  <c r="P230" i="1"/>
  <c r="S230" i="1" s="1"/>
  <c r="P232" i="1"/>
  <c r="S232" i="1" s="1"/>
  <c r="P234" i="1"/>
  <c r="S234" i="1" s="1"/>
  <c r="P236" i="1"/>
  <c r="S236" i="1" s="1"/>
  <c r="P237" i="1"/>
  <c r="S237" i="1" s="1"/>
  <c r="P315" i="1"/>
  <c r="P240" i="1"/>
  <c r="S240" i="1" s="1"/>
  <c r="P242" i="1"/>
  <c r="S242" i="1" s="1"/>
  <c r="P244" i="1"/>
  <c r="S244" i="1" s="1"/>
  <c r="P245" i="1"/>
  <c r="S245" i="1" s="1"/>
  <c r="P246" i="1"/>
  <c r="S246" i="1" s="1"/>
  <c r="P248" i="1"/>
  <c r="S248" i="1" s="1"/>
  <c r="P250" i="1"/>
  <c r="S250" i="1" s="1"/>
  <c r="P252" i="1"/>
  <c r="S252" i="1" s="1"/>
  <c r="P253" i="1"/>
  <c r="S253" i="1" s="1"/>
  <c r="P254" i="1"/>
  <c r="S254" i="1" s="1"/>
  <c r="P419" i="1"/>
  <c r="S419" i="1" s="1"/>
  <c r="P258" i="1"/>
  <c r="S258" i="1" s="1"/>
  <c r="P260" i="1"/>
  <c r="S260" i="1" s="1"/>
  <c r="P261" i="1"/>
  <c r="S261" i="1" s="1"/>
  <c r="P262" i="1"/>
  <c r="S262" i="1" s="1"/>
  <c r="P264" i="1"/>
  <c r="S264" i="1" s="1"/>
  <c r="P286" i="1"/>
  <c r="P268" i="1"/>
  <c r="S268" i="1" s="1"/>
  <c r="P269" i="1"/>
  <c r="S269" i="1" s="1"/>
  <c r="P270" i="1"/>
  <c r="S270" i="1" s="1"/>
  <c r="P272" i="1"/>
  <c r="S272" i="1" s="1"/>
  <c r="P274" i="1"/>
  <c r="S274" i="1" s="1"/>
  <c r="P276" i="1"/>
  <c r="S276" i="1" s="1"/>
  <c r="P277" i="1"/>
  <c r="S277" i="1" s="1"/>
  <c r="P278" i="1"/>
  <c r="S278" i="1" s="1"/>
  <c r="P280" i="1"/>
  <c r="S280" i="1" s="1"/>
  <c r="P282" i="1"/>
  <c r="S282" i="1" s="1"/>
  <c r="P284" i="1"/>
  <c r="S284" i="1" s="1"/>
  <c r="P285" i="1"/>
  <c r="S285" i="1" s="1"/>
  <c r="P428" i="1"/>
  <c r="S428" i="1" s="1"/>
  <c r="P288" i="1"/>
  <c r="S288" i="1" s="1"/>
  <c r="P290" i="1"/>
  <c r="S290" i="1" s="1"/>
  <c r="P292" i="1"/>
  <c r="S292" i="1" s="1"/>
  <c r="P293" i="1"/>
  <c r="S293" i="1" s="1"/>
  <c r="P294" i="1"/>
  <c r="S294" i="1" s="1"/>
  <c r="P296" i="1"/>
  <c r="S296" i="1" s="1"/>
  <c r="P298" i="1"/>
  <c r="S298" i="1" s="1"/>
  <c r="P300" i="1"/>
  <c r="S300" i="1" s="1"/>
  <c r="P301" i="1"/>
  <c r="S301" i="1" s="1"/>
  <c r="P302" i="1"/>
  <c r="S302" i="1" s="1"/>
  <c r="P304" i="1"/>
  <c r="S304" i="1" s="1"/>
  <c r="P306" i="1"/>
  <c r="S306" i="1" s="1"/>
  <c r="P308" i="1"/>
  <c r="S308" i="1" s="1"/>
  <c r="P309" i="1"/>
  <c r="S309" i="1" s="1"/>
  <c r="P310" i="1"/>
  <c r="S310" i="1" s="1"/>
  <c r="P312" i="1"/>
  <c r="S312" i="1" s="1"/>
  <c r="P314" i="1"/>
  <c r="S314" i="1" s="1"/>
  <c r="P316" i="1"/>
  <c r="S316" i="1" s="1"/>
  <c r="P317" i="1"/>
  <c r="S317" i="1" s="1"/>
  <c r="P318" i="1"/>
  <c r="S318" i="1" s="1"/>
  <c r="P320" i="1"/>
  <c r="S320" i="1" s="1"/>
  <c r="P355" i="1"/>
  <c r="S355" i="1" s="1"/>
  <c r="P366" i="1"/>
  <c r="S366" i="1" s="1"/>
  <c r="P325" i="1"/>
  <c r="S325" i="1" s="1"/>
  <c r="P24" i="1"/>
  <c r="S24" i="1" s="1"/>
  <c r="P328" i="1"/>
  <c r="S328" i="1" s="1"/>
  <c r="P330" i="1"/>
  <c r="S330" i="1" s="1"/>
  <c r="P332" i="1"/>
  <c r="S332" i="1" s="1"/>
  <c r="P333" i="1"/>
  <c r="S333" i="1" s="1"/>
  <c r="P334" i="1"/>
  <c r="S334" i="1" s="1"/>
  <c r="P59" i="1"/>
  <c r="S59" i="1" s="1"/>
  <c r="P338" i="1"/>
  <c r="S338" i="1" s="1"/>
  <c r="P340" i="1"/>
  <c r="S340" i="1" s="1"/>
  <c r="P341" i="1"/>
  <c r="S341" i="1" s="1"/>
  <c r="P342" i="1"/>
  <c r="S342" i="1" s="1"/>
  <c r="P344" i="1"/>
  <c r="S344" i="1" s="1"/>
  <c r="P346" i="1"/>
  <c r="S346" i="1" s="1"/>
  <c r="P348" i="1"/>
  <c r="S348" i="1" s="1"/>
  <c r="P349" i="1"/>
  <c r="S349" i="1" s="1"/>
  <c r="P350" i="1"/>
  <c r="S350" i="1" s="1"/>
  <c r="P351" i="1"/>
  <c r="S351" i="1" s="1"/>
  <c r="P352" i="1"/>
  <c r="S352" i="1" s="1"/>
  <c r="P201" i="1"/>
  <c r="S201" i="1" s="1"/>
  <c r="P354" i="1"/>
  <c r="S354" i="1" s="1"/>
  <c r="P336" i="1"/>
  <c r="S336" i="1" s="1"/>
  <c r="P356" i="1"/>
  <c r="S356" i="1" s="1"/>
  <c r="P357" i="1"/>
  <c r="S357" i="1" s="1"/>
  <c r="P358" i="1"/>
  <c r="S358" i="1" s="1"/>
  <c r="P359" i="1"/>
  <c r="S359" i="1" s="1"/>
  <c r="P360" i="1"/>
  <c r="S360" i="1" s="1"/>
  <c r="P361" i="1"/>
  <c r="S361" i="1" s="1"/>
  <c r="P362" i="1"/>
  <c r="S362" i="1" s="1"/>
  <c r="P363" i="1"/>
  <c r="P257" i="1"/>
  <c r="P256" i="1"/>
  <c r="S256" i="1" s="1"/>
  <c r="P397" i="1"/>
  <c r="S397" i="1" s="1"/>
  <c r="P367" i="1"/>
  <c r="S367" i="1" s="1"/>
  <c r="P368" i="1"/>
  <c r="S368" i="1" s="1"/>
  <c r="P369" i="1"/>
  <c r="S369" i="1" s="1"/>
  <c r="P370" i="1"/>
  <c r="S370" i="1" s="1"/>
  <c r="P372" i="1"/>
  <c r="S372" i="1" s="1"/>
  <c r="P373" i="1"/>
  <c r="S373" i="1" s="1"/>
  <c r="P374" i="1"/>
  <c r="S374" i="1" s="1"/>
  <c r="P375" i="1"/>
  <c r="S375" i="1" s="1"/>
  <c r="P376" i="1"/>
  <c r="S376" i="1" s="1"/>
  <c r="P377" i="1"/>
  <c r="S377" i="1" s="1"/>
  <c r="P378" i="1"/>
  <c r="S378" i="1" s="1"/>
  <c r="P379" i="1"/>
  <c r="S379" i="1" s="1"/>
  <c r="P380" i="1"/>
  <c r="S380" i="1" s="1"/>
  <c r="P381" i="1"/>
  <c r="S381" i="1" s="1"/>
  <c r="P19" i="1"/>
  <c r="S19" i="1" s="1"/>
  <c r="P383" i="1"/>
  <c r="S383" i="1" s="1"/>
  <c r="P384" i="1"/>
  <c r="S384" i="1" s="1"/>
  <c r="P385" i="1"/>
  <c r="S385" i="1" s="1"/>
  <c r="P386" i="1"/>
  <c r="S386" i="1" s="1"/>
  <c r="P387" i="1"/>
  <c r="S387" i="1" s="1"/>
  <c r="P388" i="1"/>
  <c r="S388" i="1" s="1"/>
  <c r="P389" i="1"/>
  <c r="S389" i="1" s="1"/>
  <c r="P53" i="1"/>
  <c r="S53" i="1" s="1"/>
  <c r="P391" i="1"/>
  <c r="S391" i="1" s="1"/>
  <c r="P392" i="1"/>
  <c r="S392" i="1" s="1"/>
  <c r="P393" i="1"/>
  <c r="S393" i="1" s="1"/>
  <c r="P394" i="1"/>
  <c r="S394" i="1" s="1"/>
  <c r="P395" i="1"/>
  <c r="S395" i="1" s="1"/>
  <c r="P326" i="1"/>
  <c r="P238" i="1"/>
  <c r="S238" i="1" s="1"/>
  <c r="P398" i="1"/>
  <c r="S398" i="1" s="1"/>
  <c r="P399" i="1"/>
  <c r="S399" i="1" s="1"/>
  <c r="P400" i="1"/>
  <c r="S400" i="1" s="1"/>
  <c r="P401" i="1"/>
  <c r="S401" i="1" s="1"/>
  <c r="P402" i="1"/>
  <c r="S402" i="1" s="1"/>
  <c r="P189" i="1"/>
  <c r="P404" i="1"/>
  <c r="S404" i="1" s="1"/>
  <c r="P405" i="1"/>
  <c r="S405" i="1" s="1"/>
  <c r="P406" i="1"/>
  <c r="S406" i="1" s="1"/>
  <c r="P407" i="1"/>
  <c r="S407" i="1" s="1"/>
  <c r="P408" i="1"/>
  <c r="S408" i="1" s="1"/>
  <c r="P409" i="1"/>
  <c r="S409" i="1" s="1"/>
  <c r="P410" i="1"/>
  <c r="S410" i="1" s="1"/>
  <c r="P411" i="1"/>
  <c r="S411" i="1" s="1"/>
  <c r="P412" i="1"/>
  <c r="S412" i="1" s="1"/>
  <c r="P413" i="1"/>
  <c r="S413" i="1" s="1"/>
  <c r="P414" i="1"/>
  <c r="S414" i="1" s="1"/>
  <c r="P396" i="1"/>
  <c r="S396" i="1" s="1"/>
  <c r="P416" i="1"/>
  <c r="S416" i="1" s="1"/>
  <c r="P134" i="1"/>
  <c r="S134" i="1" s="1"/>
  <c r="P418" i="1"/>
  <c r="S418" i="1" s="1"/>
  <c r="P322" i="1"/>
  <c r="P420" i="1"/>
  <c r="S420" i="1" s="1"/>
  <c r="P421" i="1"/>
  <c r="S421" i="1" s="1"/>
  <c r="P422" i="1"/>
  <c r="S422" i="1" s="1"/>
  <c r="P423" i="1"/>
  <c r="S423" i="1" s="1"/>
  <c r="P424" i="1"/>
  <c r="S424" i="1" s="1"/>
  <c r="P425" i="1"/>
  <c r="S425" i="1" s="1"/>
  <c r="P426" i="1"/>
  <c r="S426" i="1" s="1"/>
  <c r="P427" i="1"/>
  <c r="S427" i="1" s="1"/>
  <c r="P417" i="1"/>
  <c r="S417" i="1" s="1"/>
  <c r="P429" i="1"/>
  <c r="S429" i="1" s="1"/>
  <c r="P430" i="1"/>
  <c r="S430" i="1" s="1"/>
  <c r="P431" i="1"/>
  <c r="S431" i="1" s="1"/>
  <c r="P432" i="1"/>
  <c r="S432" i="1" s="1"/>
  <c r="P433" i="1"/>
  <c r="S433" i="1" s="1"/>
  <c r="P434" i="1"/>
  <c r="S434" i="1" s="1"/>
  <c r="P403" i="1"/>
  <c r="S403" i="1" s="1"/>
  <c r="P436" i="1"/>
  <c r="S436" i="1" s="1"/>
  <c r="P437" i="1"/>
  <c r="S437" i="1" s="1"/>
  <c r="P438" i="1"/>
  <c r="S438" i="1" s="1"/>
  <c r="P439" i="1"/>
  <c r="S439" i="1" s="1"/>
  <c r="P440" i="1"/>
  <c r="S440" i="1" s="1"/>
  <c r="P441" i="1"/>
  <c r="S441" i="1" s="1"/>
  <c r="P442" i="1"/>
  <c r="S442" i="1" s="1"/>
  <c r="P443" i="1"/>
  <c r="S443" i="1" s="1"/>
  <c r="P444" i="1"/>
  <c r="S444" i="1" s="1"/>
  <c r="P445" i="1"/>
  <c r="S445" i="1" s="1"/>
  <c r="P446" i="1"/>
  <c r="S446" i="1" s="1"/>
  <c r="P447" i="1"/>
  <c r="S447" i="1" s="1"/>
  <c r="P448" i="1"/>
  <c r="S448" i="1" s="1"/>
  <c r="P331" i="1"/>
  <c r="P450" i="1"/>
  <c r="S450" i="1" s="1"/>
  <c r="P451" i="1"/>
  <c r="S451" i="1" s="1"/>
  <c r="P452" i="1"/>
  <c r="S452" i="1" s="1"/>
  <c r="P453" i="1"/>
  <c r="S453" i="1" s="1"/>
  <c r="P454" i="1"/>
  <c r="S454" i="1" s="1"/>
  <c r="P455" i="1"/>
  <c r="S455" i="1" s="1"/>
  <c r="P456" i="1"/>
  <c r="S456" i="1" s="1"/>
  <c r="P457" i="1"/>
  <c r="S457" i="1" s="1"/>
  <c r="P458" i="1"/>
  <c r="S458" i="1" s="1"/>
  <c r="P459" i="1"/>
  <c r="S459" i="1" s="1"/>
  <c r="P460" i="1"/>
  <c r="S460" i="1" s="1"/>
  <c r="P461" i="1"/>
  <c r="S461" i="1" s="1"/>
  <c r="P462" i="1"/>
  <c r="S462" i="1" s="1"/>
  <c r="P305" i="1"/>
  <c r="S305" i="1" s="1"/>
  <c r="P464" i="1"/>
  <c r="S464" i="1" s="1"/>
  <c r="P465" i="1"/>
  <c r="S465" i="1" s="1"/>
  <c r="P466" i="1"/>
  <c r="S466" i="1" s="1"/>
  <c r="P467" i="1"/>
  <c r="S467" i="1" s="1"/>
  <c r="P468" i="1"/>
  <c r="S468" i="1" s="1"/>
  <c r="P469" i="1"/>
  <c r="S469" i="1" s="1"/>
  <c r="P470" i="1"/>
  <c r="S470" i="1" s="1"/>
  <c r="P471" i="1"/>
  <c r="S471" i="1" s="1"/>
  <c r="P472" i="1"/>
  <c r="S472" i="1" s="1"/>
  <c r="P473" i="1"/>
  <c r="S473" i="1" s="1"/>
  <c r="P474" i="1"/>
  <c r="S474" i="1" s="1"/>
  <c r="P475" i="1"/>
  <c r="S475" i="1" s="1"/>
  <c r="P476" i="1"/>
  <c r="S476" i="1" s="1"/>
  <c r="P477" i="1"/>
  <c r="S477" i="1" s="1"/>
  <c r="P478" i="1"/>
  <c r="S478" i="1" s="1"/>
  <c r="P479" i="1"/>
  <c r="S479" i="1" s="1"/>
  <c r="P480" i="1"/>
  <c r="S480" i="1" s="1"/>
  <c r="P481" i="1"/>
  <c r="S481" i="1" s="1"/>
  <c r="Q8" i="1"/>
  <c r="T8" i="1" s="1"/>
  <c r="Q9" i="1"/>
  <c r="T9" i="1" s="1"/>
  <c r="Q104" i="1"/>
  <c r="Q11" i="1"/>
  <c r="Q12" i="1"/>
  <c r="Q13" i="1"/>
  <c r="Q14" i="1"/>
  <c r="T14" i="1" s="1"/>
  <c r="Q15" i="1"/>
  <c r="Q16" i="1"/>
  <c r="Q17" i="1"/>
  <c r="Q18" i="1"/>
  <c r="Q390" i="1"/>
  <c r="T390" i="1" s="1"/>
  <c r="Q20" i="1"/>
  <c r="T20" i="1" s="1"/>
  <c r="Q21" i="1"/>
  <c r="Q22" i="1"/>
  <c r="Q23" i="1"/>
  <c r="T23" i="1" s="1"/>
  <c r="Q61" i="1"/>
  <c r="Q25" i="1"/>
  <c r="Q26" i="1"/>
  <c r="T26" i="1" s="1"/>
  <c r="Q27" i="1"/>
  <c r="T27" i="1" s="1"/>
  <c r="Q28" i="1"/>
  <c r="Q29" i="1"/>
  <c r="T29" i="1" s="1"/>
  <c r="Q30" i="1"/>
  <c r="Q31" i="1"/>
  <c r="T31" i="1" s="1"/>
  <c r="Q32" i="1"/>
  <c r="T32" i="1" s="1"/>
  <c r="Q33" i="1"/>
  <c r="Q34" i="1"/>
  <c r="T34" i="1" s="1"/>
  <c r="Q35" i="1"/>
  <c r="Q36" i="1"/>
  <c r="Q37" i="1"/>
  <c r="T37" i="1" s="1"/>
  <c r="Q38" i="1"/>
  <c r="Q39" i="1"/>
  <c r="Q40" i="1"/>
  <c r="Q266" i="1"/>
  <c r="Q176" i="1"/>
  <c r="Q43" i="1"/>
  <c r="T43" i="1" s="1"/>
  <c r="Q44" i="1"/>
  <c r="Q45" i="1"/>
  <c r="Q46" i="1"/>
  <c r="Q47" i="1"/>
  <c r="Q48" i="1"/>
  <c r="Q49" i="1"/>
  <c r="T49" i="1" s="1"/>
  <c r="Q50" i="1"/>
  <c r="T50" i="1" s="1"/>
  <c r="Q51" i="1"/>
  <c r="Q52" i="1"/>
  <c r="T52" i="1" s="1"/>
  <c r="Q41" i="1"/>
  <c r="T41" i="1" s="1"/>
  <c r="Q54" i="1"/>
  <c r="T54" i="1" s="1"/>
  <c r="Q55" i="1"/>
  <c r="Q56" i="1"/>
  <c r="T56" i="1" s="1"/>
  <c r="Q57" i="1"/>
  <c r="Q58" i="1"/>
  <c r="T58" i="1" s="1"/>
  <c r="Q449" i="1"/>
  <c r="Q60" i="1"/>
  <c r="T60" i="1" s="1"/>
  <c r="Q166" i="1"/>
  <c r="Q62" i="1"/>
  <c r="T62" i="1" s="1"/>
  <c r="Q63" i="1"/>
  <c r="T63" i="1" s="1"/>
  <c r="Q64" i="1"/>
  <c r="Q65" i="1"/>
  <c r="Q66" i="1"/>
  <c r="T66" i="1" s="1"/>
  <c r="Q67" i="1"/>
  <c r="T67" i="1" s="1"/>
  <c r="Q68" i="1"/>
  <c r="Q69" i="1"/>
  <c r="Q70" i="1"/>
  <c r="T70" i="1" s="1"/>
  <c r="Q71" i="1"/>
  <c r="Q72" i="1"/>
  <c r="Q73" i="1"/>
  <c r="T73" i="1" s="1"/>
  <c r="Q74" i="1"/>
  <c r="Q75" i="1"/>
  <c r="T75" i="1" s="1"/>
  <c r="Q76" i="1"/>
  <c r="Q77" i="1"/>
  <c r="Q78" i="1"/>
  <c r="T78" i="1" s="1"/>
  <c r="Q42" i="1"/>
  <c r="T42" i="1" s="1"/>
  <c r="Q80" i="1"/>
  <c r="T80" i="1" s="1"/>
  <c r="Q81" i="1"/>
  <c r="Q82" i="1"/>
  <c r="Q83" i="1"/>
  <c r="T83" i="1" s="1"/>
  <c r="Q84" i="1"/>
  <c r="T84" i="1" s="1"/>
  <c r="Q85" i="1"/>
  <c r="Q86" i="1"/>
  <c r="Q79" i="1"/>
  <c r="T79" i="1" s="1"/>
  <c r="Q88" i="1"/>
  <c r="Q289" i="1"/>
  <c r="Q90" i="1"/>
  <c r="Q91" i="1"/>
  <c r="Q92" i="1"/>
  <c r="T92" i="1" s="1"/>
  <c r="Q93" i="1"/>
  <c r="Q94" i="1"/>
  <c r="Q95" i="1"/>
  <c r="Q96" i="1"/>
  <c r="Q97" i="1"/>
  <c r="T97" i="1" s="1"/>
  <c r="Q98" i="1"/>
  <c r="T98" i="1" s="1"/>
  <c r="Q99" i="1"/>
  <c r="T99" i="1" s="1"/>
  <c r="Q100" i="1"/>
  <c r="Q101" i="1"/>
  <c r="Q102" i="1"/>
  <c r="Q103" i="1"/>
  <c r="Q202" i="1"/>
  <c r="Q105" i="1"/>
  <c r="T105" i="1" s="1"/>
  <c r="Q106" i="1"/>
  <c r="Q107" i="1"/>
  <c r="T107" i="1" s="1"/>
  <c r="Q108" i="1"/>
  <c r="Q109" i="1"/>
  <c r="Q110" i="1"/>
  <c r="Q111" i="1"/>
  <c r="Q112" i="1"/>
  <c r="Q113" i="1"/>
  <c r="T113" i="1" s="1"/>
  <c r="Q114" i="1"/>
  <c r="T114" i="1" s="1"/>
  <c r="Q115" i="1"/>
  <c r="Q116" i="1"/>
  <c r="T116" i="1" s="1"/>
  <c r="Q117" i="1"/>
  <c r="T117" i="1" s="1"/>
  <c r="Q118" i="1"/>
  <c r="Q119" i="1"/>
  <c r="Q120" i="1"/>
  <c r="T120" i="1" s="1"/>
  <c r="Q121" i="1"/>
  <c r="Q122" i="1"/>
  <c r="T122" i="1" s="1"/>
  <c r="Q123" i="1"/>
  <c r="T123" i="1" s="1"/>
  <c r="Q124" i="1"/>
  <c r="T124" i="1" s="1"/>
  <c r="Q125" i="1"/>
  <c r="Q126" i="1"/>
  <c r="Q127" i="1"/>
  <c r="Q128" i="1"/>
  <c r="Q129" i="1"/>
  <c r="Q130" i="1"/>
  <c r="Q131" i="1"/>
  <c r="Q132" i="1"/>
  <c r="T132" i="1" s="1"/>
  <c r="Q133" i="1"/>
  <c r="T133" i="1" s="1"/>
  <c r="Q87" i="1"/>
  <c r="T87" i="1" s="1"/>
  <c r="Q135" i="1"/>
  <c r="Q136" i="1"/>
  <c r="T136" i="1" s="1"/>
  <c r="Q137" i="1"/>
  <c r="T137" i="1" s="1"/>
  <c r="Q138" i="1"/>
  <c r="T138" i="1" s="1"/>
  <c r="Q139" i="1"/>
  <c r="T139" i="1" s="1"/>
  <c r="Q140" i="1"/>
  <c r="T140" i="1" s="1"/>
  <c r="Q141" i="1"/>
  <c r="T141" i="1" s="1"/>
  <c r="Q142" i="1"/>
  <c r="Q143" i="1"/>
  <c r="T143" i="1" s="1"/>
  <c r="Q144" i="1"/>
  <c r="T144" i="1" s="1"/>
  <c r="Q145" i="1"/>
  <c r="T145" i="1" s="1"/>
  <c r="Q146" i="1"/>
  <c r="Q353" i="1"/>
  <c r="Q148" i="1"/>
  <c r="Q149" i="1"/>
  <c r="Q150" i="1"/>
  <c r="Q151" i="1"/>
  <c r="Q152" i="1"/>
  <c r="T152" i="1" s="1"/>
  <c r="Q153" i="1"/>
  <c r="Q154" i="1"/>
  <c r="T154" i="1" s="1"/>
  <c r="Q155" i="1"/>
  <c r="Q156" i="1"/>
  <c r="Q157" i="1"/>
  <c r="T157" i="1" s="1"/>
  <c r="Q158" i="1"/>
  <c r="T158" i="1" s="1"/>
  <c r="Q159" i="1"/>
  <c r="Q160" i="1"/>
  <c r="Q161" i="1"/>
  <c r="Q162" i="1"/>
  <c r="Q163" i="1"/>
  <c r="T163" i="1" s="1"/>
  <c r="Q164" i="1"/>
  <c r="Q165" i="1"/>
  <c r="Q435" i="1"/>
  <c r="Q167" i="1"/>
  <c r="Q168" i="1"/>
  <c r="T168" i="1" s="1"/>
  <c r="Q169" i="1"/>
  <c r="T169" i="1" s="1"/>
  <c r="Q170" i="1"/>
  <c r="Q171" i="1"/>
  <c r="Q172" i="1"/>
  <c r="Q173" i="1"/>
  <c r="T173" i="1" s="1"/>
  <c r="Q174" i="1"/>
  <c r="Q175" i="1"/>
  <c r="T175" i="1" s="1"/>
  <c r="Q324" i="1"/>
  <c r="Q177" i="1"/>
  <c r="T177" i="1" s="1"/>
  <c r="Q178" i="1"/>
  <c r="Q179" i="1"/>
  <c r="T179" i="1" s="1"/>
  <c r="Q180" i="1"/>
  <c r="Q181" i="1"/>
  <c r="Q182" i="1"/>
  <c r="Q183" i="1"/>
  <c r="Q184" i="1"/>
  <c r="Q185" i="1"/>
  <c r="T185" i="1" s="1"/>
  <c r="Q186" i="1"/>
  <c r="T186" i="1" s="1"/>
  <c r="Q187" i="1"/>
  <c r="T187" i="1" s="1"/>
  <c r="Q188" i="1"/>
  <c r="T188" i="1" s="1"/>
  <c r="Q89" i="1"/>
  <c r="T89" i="1" s="1"/>
  <c r="Q190" i="1"/>
  <c r="Q191" i="1"/>
  <c r="T191" i="1" s="1"/>
  <c r="Q192" i="1"/>
  <c r="Q193" i="1"/>
  <c r="T193" i="1" s="1"/>
  <c r="Q194" i="1"/>
  <c r="T194" i="1" s="1"/>
  <c r="Q195" i="1"/>
  <c r="T195" i="1" s="1"/>
  <c r="Q196" i="1"/>
  <c r="T196" i="1" s="1"/>
  <c r="Q197" i="1"/>
  <c r="T197" i="1" s="1"/>
  <c r="Q198" i="1"/>
  <c r="T198" i="1" s="1"/>
  <c r="Q199" i="1"/>
  <c r="T199" i="1" s="1"/>
  <c r="Q200" i="1"/>
  <c r="Q365" i="1"/>
  <c r="Q463" i="1"/>
  <c r="Q203" i="1"/>
  <c r="T203" i="1" s="1"/>
  <c r="Q204" i="1"/>
  <c r="Q205" i="1"/>
  <c r="Q206" i="1"/>
  <c r="T206" i="1" s="1"/>
  <c r="Q207" i="1"/>
  <c r="Q208" i="1"/>
  <c r="T208" i="1" s="1"/>
  <c r="Q209" i="1"/>
  <c r="T209" i="1" s="1"/>
  <c r="Q210" i="1"/>
  <c r="T210" i="1" s="1"/>
  <c r="Q211" i="1"/>
  <c r="Q212" i="1"/>
  <c r="T212" i="1" s="1"/>
  <c r="Q213" i="1"/>
  <c r="T213" i="1" s="1"/>
  <c r="Q214" i="1"/>
  <c r="Q215" i="1"/>
  <c r="Q216" i="1"/>
  <c r="Q217" i="1"/>
  <c r="Q218" i="1"/>
  <c r="T218" i="1" s="1"/>
  <c r="Q219" i="1"/>
  <c r="T219" i="1" s="1"/>
  <c r="Q220" i="1"/>
  <c r="T220" i="1" s="1"/>
  <c r="Q221" i="1"/>
  <c r="Q222" i="1"/>
  <c r="Q223" i="1"/>
  <c r="T223" i="1" s="1"/>
  <c r="Q224" i="1"/>
  <c r="Q225" i="1"/>
  <c r="T225" i="1" s="1"/>
  <c r="Q226" i="1"/>
  <c r="Q227" i="1"/>
  <c r="T227" i="1" s="1"/>
  <c r="Q228" i="1"/>
  <c r="T228" i="1" s="1"/>
  <c r="Q382" i="1"/>
  <c r="Q230" i="1"/>
  <c r="T230" i="1" s="1"/>
  <c r="Q231" i="1"/>
  <c r="Q232" i="1"/>
  <c r="Q233" i="1"/>
  <c r="T233" i="1" s="1"/>
  <c r="Q234" i="1"/>
  <c r="Q235" i="1"/>
  <c r="T235" i="1" s="1"/>
  <c r="Q236" i="1"/>
  <c r="T236" i="1" s="1"/>
  <c r="Q237" i="1"/>
  <c r="T237" i="1" s="1"/>
  <c r="Q315" i="1"/>
  <c r="Q239" i="1"/>
  <c r="Q240" i="1"/>
  <c r="T240" i="1" s="1"/>
  <c r="Q241" i="1"/>
  <c r="T241" i="1" s="1"/>
  <c r="Q242" i="1"/>
  <c r="Q243" i="1"/>
  <c r="T243" i="1" s="1"/>
  <c r="Q244" i="1"/>
  <c r="T244" i="1" s="1"/>
  <c r="Q245" i="1"/>
  <c r="Q246" i="1"/>
  <c r="Q247" i="1"/>
  <c r="Q248" i="1"/>
  <c r="Q249" i="1"/>
  <c r="T249" i="1" s="1"/>
  <c r="Q250" i="1"/>
  <c r="T250" i="1" s="1"/>
  <c r="Q251" i="1"/>
  <c r="T251" i="1" s="1"/>
  <c r="Q252" i="1"/>
  <c r="T252" i="1" s="1"/>
  <c r="Q253" i="1"/>
  <c r="T253" i="1" s="1"/>
  <c r="Q254" i="1"/>
  <c r="T254" i="1" s="1"/>
  <c r="Q255" i="1"/>
  <c r="Q419" i="1"/>
  <c r="Q319" i="1"/>
  <c r="T319" i="1" s="1"/>
  <c r="Q258" i="1"/>
  <c r="T258" i="1" s="1"/>
  <c r="Q259" i="1"/>
  <c r="Q260" i="1"/>
  <c r="Q261" i="1"/>
  <c r="T261" i="1" s="1"/>
  <c r="Q262" i="1"/>
  <c r="T262" i="1" s="1"/>
  <c r="Q263" i="1"/>
  <c r="Q264" i="1"/>
  <c r="Q265" i="1"/>
  <c r="Q286" i="1"/>
  <c r="T286" i="1" s="1"/>
  <c r="Q267" i="1"/>
  <c r="Q268" i="1"/>
  <c r="Q269" i="1"/>
  <c r="T269" i="1" s="1"/>
  <c r="Q270" i="1"/>
  <c r="T270" i="1" s="1"/>
  <c r="Q271" i="1"/>
  <c r="Q272" i="1"/>
  <c r="T272" i="1" s="1"/>
  <c r="Q273" i="1"/>
  <c r="Q274" i="1"/>
  <c r="Q275" i="1"/>
  <c r="T275" i="1" s="1"/>
  <c r="Q276" i="1"/>
  <c r="Q277" i="1"/>
  <c r="T277" i="1" s="1"/>
  <c r="Q278" i="1"/>
  <c r="T278" i="1" s="1"/>
  <c r="Q279" i="1"/>
  <c r="Q280" i="1"/>
  <c r="T280" i="1" s="1"/>
  <c r="Q281" i="1"/>
  <c r="T281" i="1" s="1"/>
  <c r="Q282" i="1"/>
  <c r="Q283" i="1"/>
  <c r="Q284" i="1"/>
  <c r="T284" i="1" s="1"/>
  <c r="Q285" i="1"/>
  <c r="Q428" i="1"/>
  <c r="Q287" i="1"/>
  <c r="Q288" i="1"/>
  <c r="Q364" i="1"/>
  <c r="T364" i="1" s="1"/>
  <c r="Q290" i="1"/>
  <c r="Q291" i="1"/>
  <c r="Q292" i="1"/>
  <c r="T292" i="1" s="1"/>
  <c r="Q293" i="1"/>
  <c r="T293" i="1" s="1"/>
  <c r="Q294" i="1"/>
  <c r="T294" i="1" s="1"/>
  <c r="Q295" i="1"/>
  <c r="T295" i="1" s="1"/>
  <c r="Q296" i="1"/>
  <c r="T296" i="1" s="1"/>
  <c r="Q297" i="1"/>
  <c r="T297" i="1" s="1"/>
  <c r="Q298" i="1"/>
  <c r="T298" i="1" s="1"/>
  <c r="Q299" i="1"/>
  <c r="Q300" i="1"/>
  <c r="T300" i="1" s="1"/>
  <c r="Q301" i="1"/>
  <c r="T301" i="1" s="1"/>
  <c r="Q302" i="1"/>
  <c r="Q303" i="1"/>
  <c r="Q304" i="1"/>
  <c r="Q229" i="1"/>
  <c r="Q306" i="1"/>
  <c r="Q307" i="1"/>
  <c r="T307" i="1" s="1"/>
  <c r="Q308" i="1"/>
  <c r="Q309" i="1"/>
  <c r="Q310" i="1"/>
  <c r="Q311" i="1"/>
  <c r="T311" i="1" s="1"/>
  <c r="Q312" i="1"/>
  <c r="T312" i="1" s="1"/>
  <c r="Q313" i="1"/>
  <c r="Q314" i="1"/>
  <c r="T314" i="1" s="1"/>
  <c r="Q147" i="1"/>
  <c r="Q316" i="1"/>
  <c r="Q317" i="1"/>
  <c r="T317" i="1" s="1"/>
  <c r="Q318" i="1"/>
  <c r="T318" i="1" s="1"/>
  <c r="Q415" i="1"/>
  <c r="Q320" i="1"/>
  <c r="Q321" i="1"/>
  <c r="Q355" i="1"/>
  <c r="T355" i="1" s="1"/>
  <c r="Q323" i="1"/>
  <c r="Q366" i="1"/>
  <c r="Q325" i="1"/>
  <c r="T325" i="1" s="1"/>
  <c r="Q24" i="1"/>
  <c r="T24" i="1" s="1"/>
  <c r="Q327" i="1"/>
  <c r="T327" i="1" s="1"/>
  <c r="Q328" i="1"/>
  <c r="T328" i="1" s="1"/>
  <c r="Q329" i="1"/>
  <c r="T329" i="1" s="1"/>
  <c r="Q330" i="1"/>
  <c r="T330" i="1" s="1"/>
  <c r="Q10" i="1"/>
  <c r="T10" i="1" s="1"/>
  <c r="Q332" i="1"/>
  <c r="Q333" i="1"/>
  <c r="Q334" i="1"/>
  <c r="T334" i="1" s="1"/>
  <c r="Q335" i="1"/>
  <c r="T335" i="1" s="1"/>
  <c r="Q59" i="1"/>
  <c r="Q337" i="1"/>
  <c r="T337" i="1" s="1"/>
  <c r="Q338" i="1"/>
  <c r="Q339" i="1"/>
  <c r="T339" i="1" s="1"/>
  <c r="Q340" i="1"/>
  <c r="Q341" i="1"/>
  <c r="T341" i="1" s="1"/>
  <c r="Q342" i="1"/>
  <c r="Q343" i="1"/>
  <c r="Q344" i="1"/>
  <c r="Q345" i="1"/>
  <c r="Q346" i="1"/>
  <c r="T346" i="1" s="1"/>
  <c r="Q347" i="1"/>
  <c r="T347" i="1" s="1"/>
  <c r="Q348" i="1"/>
  <c r="T348" i="1" s="1"/>
  <c r="Q349" i="1"/>
  <c r="Q350" i="1"/>
  <c r="Q351" i="1"/>
  <c r="T351" i="1" s="1"/>
  <c r="Q352" i="1"/>
  <c r="T352" i="1" s="1"/>
  <c r="Q201" i="1"/>
  <c r="Q354" i="1"/>
  <c r="T354" i="1" s="1"/>
  <c r="Q336" i="1"/>
  <c r="T336" i="1" s="1"/>
  <c r="Q356" i="1"/>
  <c r="Q357" i="1"/>
  <c r="Q358" i="1"/>
  <c r="T358" i="1" s="1"/>
  <c r="Q359" i="1"/>
  <c r="Q360" i="1"/>
  <c r="Q361" i="1"/>
  <c r="T361" i="1" s="1"/>
  <c r="Q362" i="1"/>
  <c r="T362" i="1" s="1"/>
  <c r="Q363" i="1"/>
  <c r="Q257" i="1"/>
  <c r="Q256" i="1"/>
  <c r="Q397" i="1"/>
  <c r="Q367" i="1"/>
  <c r="T367" i="1" s="1"/>
  <c r="Q368" i="1"/>
  <c r="T368" i="1" s="1"/>
  <c r="Q369" i="1"/>
  <c r="T369" i="1" s="1"/>
  <c r="Q370" i="1"/>
  <c r="Q371" i="1"/>
  <c r="Q372" i="1"/>
  <c r="T372" i="1" s="1"/>
  <c r="Q373" i="1"/>
  <c r="Q374" i="1"/>
  <c r="Q375" i="1"/>
  <c r="T375" i="1" s="1"/>
  <c r="Q376" i="1"/>
  <c r="Q377" i="1"/>
  <c r="T377" i="1" s="1"/>
  <c r="Q378" i="1"/>
  <c r="T378" i="1" s="1"/>
  <c r="Q379" i="1"/>
  <c r="T379" i="1" s="1"/>
  <c r="Q380" i="1"/>
  <c r="Q381" i="1"/>
  <c r="T381" i="1" s="1"/>
  <c r="Q19" i="1"/>
  <c r="Q383" i="1"/>
  <c r="Q384" i="1"/>
  <c r="Q385" i="1"/>
  <c r="Q386" i="1"/>
  <c r="Q387" i="1"/>
  <c r="Q388" i="1"/>
  <c r="Q389" i="1"/>
  <c r="T389" i="1" s="1"/>
  <c r="Q53" i="1"/>
  <c r="Q391" i="1"/>
  <c r="Q392" i="1"/>
  <c r="T392" i="1" s="1"/>
  <c r="Q393" i="1"/>
  <c r="T393" i="1" s="1"/>
  <c r="Q394" i="1"/>
  <c r="Q395" i="1"/>
  <c r="Q326" i="1"/>
  <c r="T326" i="1" s="1"/>
  <c r="Q238" i="1"/>
  <c r="Q398" i="1"/>
  <c r="T398" i="1" s="1"/>
  <c r="Q399" i="1"/>
  <c r="T399" i="1" s="1"/>
  <c r="Q400" i="1"/>
  <c r="T400" i="1" s="1"/>
  <c r="Q401" i="1"/>
  <c r="Q402" i="1"/>
  <c r="T402" i="1" s="1"/>
  <c r="Q189" i="1"/>
  <c r="Q404" i="1"/>
  <c r="T404" i="1" s="1"/>
  <c r="Q405" i="1"/>
  <c r="T405" i="1" s="1"/>
  <c r="Q406" i="1"/>
  <c r="Q407" i="1"/>
  <c r="Q408" i="1"/>
  <c r="Q409" i="1"/>
  <c r="T409" i="1" s="1"/>
  <c r="Q410" i="1"/>
  <c r="Q411" i="1"/>
  <c r="T411" i="1" s="1"/>
  <c r="Q412" i="1"/>
  <c r="Q413" i="1"/>
  <c r="Q414" i="1"/>
  <c r="Q396" i="1"/>
  <c r="Q416" i="1"/>
  <c r="Q134" i="1"/>
  <c r="T134" i="1" s="1"/>
  <c r="Q418" i="1"/>
  <c r="T418" i="1" s="1"/>
  <c r="Q322" i="1"/>
  <c r="Q420" i="1"/>
  <c r="Q421" i="1"/>
  <c r="Q422" i="1"/>
  <c r="Q423" i="1"/>
  <c r="Q424" i="1"/>
  <c r="T424" i="1" s="1"/>
  <c r="Q425" i="1"/>
  <c r="Q426" i="1"/>
  <c r="T426" i="1" s="1"/>
  <c r="Q427" i="1"/>
  <c r="Q417" i="1"/>
  <c r="Q429" i="1"/>
  <c r="Q430" i="1"/>
  <c r="Q431" i="1"/>
  <c r="T431" i="1" s="1"/>
  <c r="Q432" i="1"/>
  <c r="T432" i="1" s="1"/>
  <c r="Q433" i="1"/>
  <c r="Q434" i="1"/>
  <c r="Q403" i="1"/>
  <c r="T403" i="1" s="1"/>
  <c r="Q436" i="1"/>
  <c r="Q437" i="1"/>
  <c r="Q438" i="1"/>
  <c r="T438" i="1" s="1"/>
  <c r="Q439" i="1"/>
  <c r="Q440" i="1"/>
  <c r="T440" i="1" s="1"/>
  <c r="Q441" i="1"/>
  <c r="Q442" i="1"/>
  <c r="T442" i="1" s="1"/>
  <c r="Q443" i="1"/>
  <c r="T443" i="1" s="1"/>
  <c r="Q444" i="1"/>
  <c r="Q445" i="1"/>
  <c r="T445" i="1" s="1"/>
  <c r="Q446" i="1"/>
  <c r="Q447" i="1"/>
  <c r="Q448" i="1"/>
  <c r="Q331" i="1"/>
  <c r="Q450" i="1"/>
  <c r="Q451" i="1"/>
  <c r="Q452" i="1"/>
  <c r="T452" i="1" s="1"/>
  <c r="Q453" i="1"/>
  <c r="Q454" i="1"/>
  <c r="T454" i="1" s="1"/>
  <c r="Q455" i="1"/>
  <c r="Q456" i="1"/>
  <c r="Q457" i="1"/>
  <c r="Q458" i="1"/>
  <c r="Q459" i="1"/>
  <c r="Q460" i="1"/>
  <c r="Q461" i="1"/>
  <c r="Q462" i="1"/>
  <c r="T462" i="1" s="1"/>
  <c r="Q305" i="1"/>
  <c r="Q464" i="1"/>
  <c r="T464" i="1" s="1"/>
  <c r="Q465" i="1"/>
  <c r="Q466" i="1"/>
  <c r="Q467" i="1"/>
  <c r="T467" i="1" s="1"/>
  <c r="Q468" i="1"/>
  <c r="Q469" i="1"/>
  <c r="Q470" i="1"/>
  <c r="T470" i="1" s="1"/>
  <c r="Q471" i="1"/>
  <c r="T471" i="1" s="1"/>
  <c r="Q472" i="1"/>
  <c r="T472" i="1" s="1"/>
  <c r="Q473" i="1"/>
  <c r="T473" i="1" s="1"/>
  <c r="Q474" i="1"/>
  <c r="T474" i="1" s="1"/>
  <c r="Q475" i="1"/>
  <c r="Q476" i="1"/>
  <c r="T476" i="1" s="1"/>
  <c r="Q477" i="1"/>
  <c r="Q478" i="1"/>
  <c r="T478" i="1" s="1"/>
  <c r="Q479" i="1"/>
  <c r="T479" i="1" s="1"/>
  <c r="Q480" i="1"/>
  <c r="T480" i="1" s="1"/>
  <c r="Q481" i="1"/>
  <c r="Q7" i="1"/>
  <c r="S266" i="1" l="1"/>
  <c r="S315" i="1"/>
  <c r="S87" i="1"/>
  <c r="S322" i="1"/>
  <c r="S326" i="1"/>
  <c r="S176" i="1"/>
  <c r="S331" i="1"/>
  <c r="S286" i="1"/>
  <c r="S89" i="1"/>
  <c r="T189" i="1"/>
  <c r="S363" i="1"/>
  <c r="S257" i="1"/>
  <c r="T164" i="1"/>
  <c r="T156" i="1"/>
  <c r="T180" i="1"/>
  <c r="T148" i="1"/>
  <c r="T76" i="1"/>
  <c r="T44" i="1"/>
  <c r="T108" i="1"/>
  <c r="T68" i="1"/>
  <c r="T204" i="1"/>
  <c r="T172" i="1"/>
  <c r="T100" i="1"/>
  <c r="T216" i="1"/>
  <c r="T200" i="1"/>
  <c r="T192" i="1"/>
  <c r="T184" i="1"/>
  <c r="T324" i="1"/>
  <c r="T160" i="1"/>
  <c r="T128" i="1"/>
  <c r="T112" i="1"/>
  <c r="T202" i="1"/>
  <c r="T96" i="1"/>
  <c r="T88" i="1"/>
  <c r="T72" i="1"/>
  <c r="T64" i="1"/>
  <c r="T48" i="1"/>
  <c r="T40" i="1"/>
  <c r="T36" i="1"/>
  <c r="T28" i="1"/>
  <c r="T61" i="1"/>
  <c r="T16" i="1"/>
  <c r="T12" i="1"/>
  <c r="T475" i="1"/>
  <c r="T305" i="1"/>
  <c r="T459" i="1"/>
  <c r="T455" i="1"/>
  <c r="T451" i="1"/>
  <c r="T447" i="1"/>
  <c r="T439" i="1"/>
  <c r="T427" i="1"/>
  <c r="T423" i="1"/>
  <c r="T396" i="1"/>
  <c r="T407" i="1"/>
  <c r="T395" i="1"/>
  <c r="T391" i="1"/>
  <c r="T387" i="1"/>
  <c r="T383" i="1"/>
  <c r="T371" i="1"/>
  <c r="T359" i="1"/>
  <c r="T323" i="1"/>
  <c r="T415" i="1"/>
  <c r="T147" i="1"/>
  <c r="T303" i="1"/>
  <c r="T299" i="1"/>
  <c r="T291" i="1"/>
  <c r="T287" i="1"/>
  <c r="T283" i="1"/>
  <c r="T271" i="1"/>
  <c r="T267" i="1"/>
  <c r="T259" i="1"/>
  <c r="T255" i="1"/>
  <c r="T239" i="1"/>
  <c r="T211" i="1"/>
  <c r="T207" i="1"/>
  <c r="T171" i="1"/>
  <c r="T159" i="1"/>
  <c r="T155" i="1"/>
  <c r="T353" i="1"/>
  <c r="T131" i="1"/>
  <c r="T127" i="1"/>
  <c r="T115" i="1"/>
  <c r="T111" i="1"/>
  <c r="T95" i="1"/>
  <c r="T91" i="1"/>
  <c r="T449" i="1"/>
  <c r="T51" i="1"/>
  <c r="T47" i="1"/>
  <c r="T35" i="1"/>
  <c r="T15" i="1"/>
  <c r="T11" i="1"/>
  <c r="T466" i="1"/>
  <c r="T458" i="1"/>
  <c r="T450" i="1"/>
  <c r="T446" i="1"/>
  <c r="T434" i="1"/>
  <c r="T430" i="1"/>
  <c r="T422" i="1"/>
  <c r="T414" i="1"/>
  <c r="T410" i="1"/>
  <c r="T406" i="1"/>
  <c r="T394" i="1"/>
  <c r="T53" i="1"/>
  <c r="T386" i="1"/>
  <c r="T19" i="1"/>
  <c r="T374" i="1"/>
  <c r="T370" i="1"/>
  <c r="T397" i="1"/>
  <c r="T350" i="1"/>
  <c r="T342" i="1"/>
  <c r="T338" i="1"/>
  <c r="T310" i="1"/>
  <c r="T306" i="1"/>
  <c r="T302" i="1"/>
  <c r="T290" i="1"/>
  <c r="T428" i="1"/>
  <c r="T282" i="1"/>
  <c r="T274" i="1"/>
  <c r="T246" i="1"/>
  <c r="T242" i="1"/>
  <c r="T315" i="1"/>
  <c r="T234" i="1"/>
  <c r="T226" i="1"/>
  <c r="T222" i="1"/>
  <c r="T214" i="1"/>
  <c r="T463" i="1"/>
  <c r="T190" i="1"/>
  <c r="T182" i="1"/>
  <c r="T178" i="1"/>
  <c r="T174" i="1"/>
  <c r="T170" i="1"/>
  <c r="T435" i="1"/>
  <c r="T162" i="1"/>
  <c r="T150" i="1"/>
  <c r="T146" i="1"/>
  <c r="T142" i="1"/>
  <c r="T130" i="1"/>
  <c r="T126" i="1"/>
  <c r="T118" i="1"/>
  <c r="T110" i="1"/>
  <c r="T106" i="1"/>
  <c r="T102" i="1"/>
  <c r="T94" i="1"/>
  <c r="T90" i="1"/>
  <c r="T86" i="1"/>
  <c r="T82" i="1"/>
  <c r="T74" i="1"/>
  <c r="T46" i="1"/>
  <c r="T176" i="1"/>
  <c r="T38" i="1"/>
  <c r="T30" i="1"/>
  <c r="T22" i="1"/>
  <c r="T18" i="1"/>
  <c r="T104" i="1"/>
  <c r="T481" i="1"/>
  <c r="T477" i="1"/>
  <c r="T469" i="1"/>
  <c r="T465" i="1"/>
  <c r="T461" i="1"/>
  <c r="T457" i="1"/>
  <c r="T453" i="1"/>
  <c r="T331" i="1"/>
  <c r="T441" i="1"/>
  <c r="T437" i="1"/>
  <c r="T433" i="1"/>
  <c r="T429" i="1"/>
  <c r="T425" i="1"/>
  <c r="T421" i="1"/>
  <c r="T413" i="1"/>
  <c r="T401" i="1"/>
  <c r="T238" i="1"/>
  <c r="T385" i="1"/>
  <c r="T373" i="1"/>
  <c r="T256" i="1"/>
  <c r="T357" i="1"/>
  <c r="T201" i="1"/>
  <c r="T349" i="1"/>
  <c r="T345" i="1"/>
  <c r="T333" i="1"/>
  <c r="T321" i="1"/>
  <c r="T313" i="1"/>
  <c r="T309" i="1"/>
  <c r="T229" i="1"/>
  <c r="T285" i="1"/>
  <c r="T273" i="1"/>
  <c r="T265" i="1"/>
  <c r="T245" i="1"/>
  <c r="T382" i="1"/>
  <c r="T221" i="1"/>
  <c r="T217" i="1"/>
  <c r="T205" i="1"/>
  <c r="T365" i="1"/>
  <c r="T181" i="1"/>
  <c r="T165" i="1"/>
  <c r="T161" i="1"/>
  <c r="T153" i="1"/>
  <c r="T149" i="1"/>
  <c r="T129" i="1"/>
  <c r="T125" i="1"/>
  <c r="T121" i="1"/>
  <c r="T109" i="1"/>
  <c r="T101" i="1"/>
  <c r="T93" i="1"/>
  <c r="T289" i="1"/>
  <c r="T85" i="1"/>
  <c r="T81" i="1"/>
  <c r="T77" i="1"/>
  <c r="T69" i="1"/>
  <c r="T65" i="1"/>
  <c r="T166" i="1"/>
  <c r="T57" i="1"/>
  <c r="T45" i="1"/>
  <c r="T266" i="1"/>
  <c r="T33" i="1"/>
  <c r="T25" i="1"/>
  <c r="T21" i="1"/>
  <c r="T17" i="1"/>
  <c r="T13" i="1"/>
  <c r="T468" i="1"/>
  <c r="T460" i="1"/>
  <c r="T456" i="1"/>
  <c r="T448" i="1"/>
  <c r="T444" i="1"/>
  <c r="T436" i="1"/>
  <c r="T417" i="1"/>
  <c r="T420" i="1"/>
  <c r="T416" i="1"/>
  <c r="T412" i="1"/>
  <c r="T408" i="1"/>
  <c r="T388" i="1"/>
  <c r="T384" i="1"/>
  <c r="T380" i="1"/>
  <c r="T376" i="1"/>
  <c r="T257" i="1"/>
  <c r="T360" i="1"/>
  <c r="T356" i="1"/>
  <c r="T344" i="1"/>
  <c r="T340" i="1"/>
  <c r="T59" i="1"/>
  <c r="T332" i="1"/>
  <c r="T366" i="1"/>
  <c r="T320" i="1"/>
  <c r="T316" i="1"/>
  <c r="T308" i="1"/>
  <c r="T304" i="1"/>
  <c r="T288" i="1"/>
  <c r="T276" i="1"/>
  <c r="T268" i="1"/>
  <c r="T264" i="1"/>
  <c r="T260" i="1"/>
  <c r="T419" i="1"/>
  <c r="T248" i="1"/>
  <c r="T232" i="1"/>
  <c r="T224" i="1"/>
  <c r="T343" i="1"/>
  <c r="T279" i="1"/>
  <c r="T247" i="1"/>
  <c r="T215" i="1"/>
  <c r="T167" i="1"/>
  <c r="T151" i="1"/>
  <c r="T135" i="1"/>
  <c r="T119" i="1"/>
  <c r="T103" i="1"/>
  <c r="T55" i="1"/>
  <c r="T263" i="1"/>
  <c r="T231" i="1"/>
  <c r="T183" i="1"/>
  <c r="T39" i="1"/>
  <c r="T71" i="1"/>
  <c r="Q5" i="1"/>
  <c r="K5" i="1"/>
  <c r="I5" i="1"/>
  <c r="L5" i="1"/>
  <c r="T363" i="1" l="1"/>
  <c r="T322" i="1"/>
  <c r="S189" i="1"/>
  <c r="N5" i="1"/>
  <c r="J5" i="1"/>
  <c r="R5" i="1" l="1"/>
  <c r="O5" i="1"/>
  <c r="U4" i="1"/>
  <c r="P7" i="1" l="1"/>
  <c r="T7" i="1" s="1"/>
  <c r="M5" i="1"/>
  <c r="S7" i="1" l="1"/>
  <c r="S5" i="1" s="1"/>
  <c r="T5" i="1"/>
  <c r="P5" i="1"/>
</calcChain>
</file>

<file path=xl/sharedStrings.xml><?xml version="1.0" encoding="utf-8"?>
<sst xmlns="http://schemas.openxmlformats.org/spreadsheetml/2006/main" count="4004" uniqueCount="1170">
  <si>
    <t>VALOR NÃO FEITO</t>
  </si>
  <si>
    <t>TESOURARIA</t>
  </si>
  <si>
    <t xml:space="preserve">CARGA FINAL </t>
  </si>
  <si>
    <t>PORTADOR</t>
  </si>
  <si>
    <t>CPF</t>
  </si>
  <si>
    <t>STATUS COLAB</t>
  </si>
  <si>
    <t>CENTRO CUSTO</t>
  </si>
  <si>
    <t>COD CENTRO CUSTO</t>
  </si>
  <si>
    <t>GESTOR</t>
  </si>
  <si>
    <t>DIREÇÃO</t>
  </si>
  <si>
    <t>SALDO REEMBOLSAR</t>
  </si>
  <si>
    <t>SALDO CARTAO</t>
  </si>
  <si>
    <t>ADIANTAMENTO</t>
  </si>
  <si>
    <t>CARGA PARCIAL</t>
  </si>
  <si>
    <t>REEMBOLSO</t>
  </si>
  <si>
    <t>STATUS DO CARTAO</t>
  </si>
  <si>
    <t xml:space="preserve">OBS </t>
  </si>
  <si>
    <t>01677920599</t>
  </si>
  <si>
    <t>ATIVO</t>
  </si>
  <si>
    <t>CEF NORTE OESTE BA</t>
  </si>
  <si>
    <t>GERSON OLIVEIRA</t>
  </si>
  <si>
    <t>ROGERIO SCATAMBULO</t>
  </si>
  <si>
    <t>Cartão ativo</t>
  </si>
  <si>
    <t>02027745203</t>
  </si>
  <si>
    <t>CEF AM AC RR</t>
  </si>
  <si>
    <t>ANGELICA SOARES</t>
  </si>
  <si>
    <t>13126691790</t>
  </si>
  <si>
    <t>CEF INTERIOR RJ</t>
  </si>
  <si>
    <t>ALLAN JEFFERSON</t>
  </si>
  <si>
    <t>60023937220</t>
  </si>
  <si>
    <t>16306431730</t>
  </si>
  <si>
    <t>TELEFONICA RJ</t>
  </si>
  <si>
    <t>12547938790</t>
  </si>
  <si>
    <t>TELEFONICA ES</t>
  </si>
  <si>
    <t>VINICIUS LOCATELLY</t>
  </si>
  <si>
    <t>MARCOS CARIAS</t>
  </si>
  <si>
    <t>29758827855</t>
  </si>
  <si>
    <t>CEF PIRACICABA SP</t>
  </si>
  <si>
    <t>LEANDRO NUNES</t>
  </si>
  <si>
    <t>EVERSON GAIDSTIECHI</t>
  </si>
  <si>
    <t>06576198922</t>
  </si>
  <si>
    <t>CEF NORTE PR</t>
  </si>
  <si>
    <t>BRUNO LINHARES</t>
  </si>
  <si>
    <t>99114160030</t>
  </si>
  <si>
    <t>CLARO INFRA RS</t>
  </si>
  <si>
    <t>BRUNO EDUARDO</t>
  </si>
  <si>
    <t>07505987607</t>
  </si>
  <si>
    <t>CEF NORDESTE MG</t>
  </si>
  <si>
    <t>HUGO ALEXANDRE</t>
  </si>
  <si>
    <t>25075562850</t>
  </si>
  <si>
    <t>03032275326</t>
  </si>
  <si>
    <t>BB MARANHAO MA</t>
  </si>
  <si>
    <t>11897381638</t>
  </si>
  <si>
    <t>CEF SERRA GAUCHA RS</t>
  </si>
  <si>
    <t>ALEXANDRE GROSS</t>
  </si>
  <si>
    <t>91270529072</t>
  </si>
  <si>
    <t>NET APOIO RS</t>
  </si>
  <si>
    <t>10137575483</t>
  </si>
  <si>
    <t>09073743958</t>
  </si>
  <si>
    <t>PTB EDISE RJ</t>
  </si>
  <si>
    <t>Cartão não vinculado</t>
  </si>
  <si>
    <t>00539580040</t>
  </si>
  <si>
    <t>CEF QUERENCIA RS</t>
  </si>
  <si>
    <t>04817177900</t>
  </si>
  <si>
    <t>99532344004</t>
  </si>
  <si>
    <t>CEF NORTE GAUCHO RS</t>
  </si>
  <si>
    <t>27494577858</t>
  </si>
  <si>
    <t>CEF BAURU SP</t>
  </si>
  <si>
    <t>07643300712</t>
  </si>
  <si>
    <t>ADM FILIAL CO</t>
  </si>
  <si>
    <t>45159599053</t>
  </si>
  <si>
    <t>CEF EXTREMO SUL RS</t>
  </si>
  <si>
    <t>04769973993</t>
  </si>
  <si>
    <t>CEF NORTE SC</t>
  </si>
  <si>
    <t>01170402232</t>
  </si>
  <si>
    <t>CEF GOIANIA CO</t>
  </si>
  <si>
    <t>91688205004</t>
  </si>
  <si>
    <t>CEF VALE SINOS RS</t>
  </si>
  <si>
    <t>65973500225</t>
  </si>
  <si>
    <t>01696239478</t>
  </si>
  <si>
    <t>3R PETROLEUM NE</t>
  </si>
  <si>
    <t>01356318665</t>
  </si>
  <si>
    <t>TELEFONICA MG</t>
  </si>
  <si>
    <t>31040091806</t>
  </si>
  <si>
    <t>CEF SP SUL</t>
  </si>
  <si>
    <t>10363402950</t>
  </si>
  <si>
    <t>CEF SUL SC</t>
  </si>
  <si>
    <t>07053418952</t>
  </si>
  <si>
    <t>CLARO INFRA SC</t>
  </si>
  <si>
    <t>73574031491</t>
  </si>
  <si>
    <t>CLARO INFRA NORDESTE</t>
  </si>
  <si>
    <t>FELIPE JOSE</t>
  </si>
  <si>
    <t>95073272153</t>
  </si>
  <si>
    <t>CEF FACILITIES CAMPINAS SP</t>
  </si>
  <si>
    <t>01553544692</t>
  </si>
  <si>
    <t>CLARO INFRA MG</t>
  </si>
  <si>
    <t>83058133553</t>
  </si>
  <si>
    <t>TELEFONICA BA</t>
  </si>
  <si>
    <t>09867858816</t>
  </si>
  <si>
    <t>CLARO CO</t>
  </si>
  <si>
    <t>08326260401</t>
  </si>
  <si>
    <t>TELEFONICA NE</t>
  </si>
  <si>
    <t>05765681719</t>
  </si>
  <si>
    <t>03374811647</t>
  </si>
  <si>
    <t>CEF FACILITIES CE</t>
  </si>
  <si>
    <t>04352219657</t>
  </si>
  <si>
    <t>41997553813</t>
  </si>
  <si>
    <t>CEF RECIFE PE</t>
  </si>
  <si>
    <t>97592439549</t>
  </si>
  <si>
    <t>BANCO ITAU BA</t>
  </si>
  <si>
    <t>04434355708</t>
  </si>
  <si>
    <t>CEF CENTRO NORTE SUL RJ</t>
  </si>
  <si>
    <t>17996820724</t>
  </si>
  <si>
    <t>27668763830</t>
  </si>
  <si>
    <t>07690263623</t>
  </si>
  <si>
    <t>CEF SUDESTE MG</t>
  </si>
  <si>
    <t>05731312958</t>
  </si>
  <si>
    <t>BB SERET SC</t>
  </si>
  <si>
    <t>22730778829</t>
  </si>
  <si>
    <t>CEF LESTE SP</t>
  </si>
  <si>
    <t>09428255947</t>
  </si>
  <si>
    <t>GESTAO DE PESSOAS</t>
  </si>
  <si>
    <t>CAROLINE SILVA</t>
  </si>
  <si>
    <t>THIAGO NEVES</t>
  </si>
  <si>
    <t>44997574600</t>
  </si>
  <si>
    <t>PTB TIC NORDESTE</t>
  </si>
  <si>
    <t>94551804304</t>
  </si>
  <si>
    <t>00041171071</t>
  </si>
  <si>
    <t>CEF PORTO ALEGRE RS</t>
  </si>
  <si>
    <t>94288259053</t>
  </si>
  <si>
    <t>NET APOIO SC</t>
  </si>
  <si>
    <t>02587708052</t>
  </si>
  <si>
    <t>NET PORTO ALEGRE RS</t>
  </si>
  <si>
    <t>10433881844</t>
  </si>
  <si>
    <t>TRIBUNAL DE JUSTICA PR</t>
  </si>
  <si>
    <t>06456801923</t>
  </si>
  <si>
    <t>67752721387</t>
  </si>
  <si>
    <t>CEF CEARA</t>
  </si>
  <si>
    <t>44012861549</t>
  </si>
  <si>
    <t>PTB TRANSMISSAO BA</t>
  </si>
  <si>
    <t>05664820969</t>
  </si>
  <si>
    <t>BB GRANDE FLORIANOPOLIS SC</t>
  </si>
  <si>
    <t>84219122915</t>
  </si>
  <si>
    <t>CEF BELEM FACILITIES PA</t>
  </si>
  <si>
    <t>97135631900</t>
  </si>
  <si>
    <t>UFPR PR</t>
  </si>
  <si>
    <t>08030478437</t>
  </si>
  <si>
    <t>08103183776</t>
  </si>
  <si>
    <t>48089869904</t>
  </si>
  <si>
    <t>CELESC NORTE SC</t>
  </si>
  <si>
    <t>11178519740</t>
  </si>
  <si>
    <t>CEF ES</t>
  </si>
  <si>
    <t>69456313034</t>
  </si>
  <si>
    <t>07198282440</t>
  </si>
  <si>
    <t>02862032786</t>
  </si>
  <si>
    <t>37896893860</t>
  </si>
  <si>
    <t>TRIBUNAL DE JUSTICA SP</t>
  </si>
  <si>
    <t>05100355581</t>
  </si>
  <si>
    <t>ACELEN AR</t>
  </si>
  <si>
    <t>03898579980</t>
  </si>
  <si>
    <t>12609931670</t>
  </si>
  <si>
    <t>BB SUDESTE MG</t>
  </si>
  <si>
    <t>05456615959</t>
  </si>
  <si>
    <t>NET CTA PR</t>
  </si>
  <si>
    <t>10521167957</t>
  </si>
  <si>
    <t>BB LESTE PR</t>
  </si>
  <si>
    <t>49637513809</t>
  </si>
  <si>
    <t>BANCO ITAU SP</t>
  </si>
  <si>
    <t>03528389907</t>
  </si>
  <si>
    <t>06311884607</t>
  </si>
  <si>
    <t>NET METROPOLITANA MG</t>
  </si>
  <si>
    <t>10588522996</t>
  </si>
  <si>
    <t>CEF FACILITIES CURITIBA PR</t>
  </si>
  <si>
    <t>04083479965</t>
  </si>
  <si>
    <t>10206563957</t>
  </si>
  <si>
    <t>07972796955</t>
  </si>
  <si>
    <t>03710085900</t>
  </si>
  <si>
    <t>11422891844</t>
  </si>
  <si>
    <t>47331178253</t>
  </si>
  <si>
    <t>08781221924</t>
  </si>
  <si>
    <t>02705722955</t>
  </si>
  <si>
    <t>98603566020</t>
  </si>
  <si>
    <t>79794157953</t>
  </si>
  <si>
    <t>38548259515</t>
  </si>
  <si>
    <t>10491624719</t>
  </si>
  <si>
    <t>PTB REVAP REVITALIZACAO</t>
  </si>
  <si>
    <t>87813416015</t>
  </si>
  <si>
    <t>TELEFONICA RS</t>
  </si>
  <si>
    <t>03461295914</t>
  </si>
  <si>
    <t>TELEFONICA SC</t>
  </si>
  <si>
    <t>34168918807</t>
  </si>
  <si>
    <t>PTB INFRA SUDESTE</t>
  </si>
  <si>
    <t>09072032640</t>
  </si>
  <si>
    <t>97162485634</t>
  </si>
  <si>
    <t>02960685946</t>
  </si>
  <si>
    <t>CEF OESTE SC</t>
  </si>
  <si>
    <t>75609444004</t>
  </si>
  <si>
    <t>06223031980</t>
  </si>
  <si>
    <t>08935547905</t>
  </si>
  <si>
    <t>03067535960</t>
  </si>
  <si>
    <t>07060404902</t>
  </si>
  <si>
    <t>55889913115</t>
  </si>
  <si>
    <t>BB NORTE OESTE PR</t>
  </si>
  <si>
    <t>92931901091</t>
  </si>
  <si>
    <t>BB POA RS</t>
  </si>
  <si>
    <t>26953703857</t>
  </si>
  <si>
    <t>DETRONICS</t>
  </si>
  <si>
    <t>37425574837</t>
  </si>
  <si>
    <t>10652119964</t>
  </si>
  <si>
    <t>85225720030</t>
  </si>
  <si>
    <t>DRF NOVO HAMBURGO RS</t>
  </si>
  <si>
    <t>01063690080</t>
  </si>
  <si>
    <t>NET CENTRO RS</t>
  </si>
  <si>
    <t>02710155940</t>
  </si>
  <si>
    <t>00049250256</t>
  </si>
  <si>
    <t>09265596996</t>
  </si>
  <si>
    <t>08492402989</t>
  </si>
  <si>
    <t>67324398049</t>
  </si>
  <si>
    <t>BB SERET RS</t>
  </si>
  <si>
    <t>97607240063</t>
  </si>
  <si>
    <t>32060157900</t>
  </si>
  <si>
    <t>04836584990</t>
  </si>
  <si>
    <t>12237490619</t>
  </si>
  <si>
    <t>INSS SP</t>
  </si>
  <si>
    <t>17074849707</t>
  </si>
  <si>
    <t>ADM FILIAL RJ</t>
  </si>
  <si>
    <t>99335220000</t>
  </si>
  <si>
    <t>NET LITORAL RS</t>
  </si>
  <si>
    <t>14084321613</t>
  </si>
  <si>
    <t>ADM FILIAL MG</t>
  </si>
  <si>
    <t>00799913510</t>
  </si>
  <si>
    <t>ADM FILIAL NE</t>
  </si>
  <si>
    <t>07318362780</t>
  </si>
  <si>
    <t>VTAL CYBER RJ</t>
  </si>
  <si>
    <t>38880279858</t>
  </si>
  <si>
    <t>ADM FILIAL SP</t>
  </si>
  <si>
    <t>33162718805</t>
  </si>
  <si>
    <t>ADM FILIAL SC</t>
  </si>
  <si>
    <t>94512043004</t>
  </si>
  <si>
    <t>BB SHOPPING ESTACAO PR</t>
  </si>
  <si>
    <t>86415689053</t>
  </si>
  <si>
    <t>ADM FILIAL RS</t>
  </si>
  <si>
    <t>10977673618</t>
  </si>
  <si>
    <t>NET LESTE MG</t>
  </si>
  <si>
    <t>62063774072</t>
  </si>
  <si>
    <t>09871329970</t>
  </si>
  <si>
    <t>95417400068</t>
  </si>
  <si>
    <t>GHC ARCON RS</t>
  </si>
  <si>
    <t>05168980945</t>
  </si>
  <si>
    <t>09199781930</t>
  </si>
  <si>
    <t>11590627733</t>
  </si>
  <si>
    <t>04347084102</t>
  </si>
  <si>
    <t>INSS MT</t>
  </si>
  <si>
    <t>31668267349</t>
  </si>
  <si>
    <t>03059202940</t>
  </si>
  <si>
    <t>00849381533</t>
  </si>
  <si>
    <t>CARMO ENERGY</t>
  </si>
  <si>
    <t>00461757923</t>
  </si>
  <si>
    <t>00448960001</t>
  </si>
  <si>
    <t>06911519624</t>
  </si>
  <si>
    <t>58763376091</t>
  </si>
  <si>
    <t>09407167631</t>
  </si>
  <si>
    <t>CEF FACILITIES BH</t>
  </si>
  <si>
    <t>93457235953</t>
  </si>
  <si>
    <t>00526143959</t>
  </si>
  <si>
    <t>CEF CENTRO GAUCHO RS</t>
  </si>
  <si>
    <t>01730674500</t>
  </si>
  <si>
    <t>POLICIA FEDERAL BA</t>
  </si>
  <si>
    <t>03686605597</t>
  </si>
  <si>
    <t>TRANSPETRO BA</t>
  </si>
  <si>
    <t>05337927973</t>
  </si>
  <si>
    <t>71944885234</t>
  </si>
  <si>
    <t>PTB AREAS VERDES SC</t>
  </si>
  <si>
    <t>09675608960</t>
  </si>
  <si>
    <t>FROTA</t>
  </si>
  <si>
    <t>GUILHERME FORTKAMP</t>
  </si>
  <si>
    <t>07809466690</t>
  </si>
  <si>
    <t>13921847621</t>
  </si>
  <si>
    <t>03071605994</t>
  </si>
  <si>
    <t>03377983112</t>
  </si>
  <si>
    <t>10254434894</t>
  </si>
  <si>
    <t>BB CAMPINAS SP</t>
  </si>
  <si>
    <t>04614285988</t>
  </si>
  <si>
    <t>CLARO INFRA PR</t>
  </si>
  <si>
    <t>08247635992</t>
  </si>
  <si>
    <t>02553373961</t>
  </si>
  <si>
    <t>91443130982</t>
  </si>
  <si>
    <t>96212993068</t>
  </si>
  <si>
    <t>10054353670</t>
  </si>
  <si>
    <t>05375810654</t>
  </si>
  <si>
    <t>07747008406</t>
  </si>
  <si>
    <t>06439531670</t>
  </si>
  <si>
    <t>07722232469</t>
  </si>
  <si>
    <t>BB ALAGOAS</t>
  </si>
  <si>
    <t>04747951954</t>
  </si>
  <si>
    <t>00584427905</t>
  </si>
  <si>
    <t>29011288823</t>
  </si>
  <si>
    <t>05289382666</t>
  </si>
  <si>
    <t>12877857603</t>
  </si>
  <si>
    <t>01456786288</t>
  </si>
  <si>
    <t>12712136640</t>
  </si>
  <si>
    <t>12682517633</t>
  </si>
  <si>
    <t>13459423625</t>
  </si>
  <si>
    <t>ASSEMBLEIA LEGISLATIVA MG</t>
  </si>
  <si>
    <t>05892698440</t>
  </si>
  <si>
    <t>03348917956</t>
  </si>
  <si>
    <t>02845828918</t>
  </si>
  <si>
    <t>08418392983</t>
  </si>
  <si>
    <t>83978054515</t>
  </si>
  <si>
    <t>BB EDIFICIOS SP</t>
  </si>
  <si>
    <t>04859818903</t>
  </si>
  <si>
    <t>45120065830</t>
  </si>
  <si>
    <t>81480261068</t>
  </si>
  <si>
    <t>11634696611</t>
  </si>
  <si>
    <t>08204909977</t>
  </si>
  <si>
    <t>01932662537</t>
  </si>
  <si>
    <t>05864921947</t>
  </si>
  <si>
    <t>07634898910</t>
  </si>
  <si>
    <t>01767960107</t>
  </si>
  <si>
    <t>TELEFONICA CO</t>
  </si>
  <si>
    <t>02777503001</t>
  </si>
  <si>
    <t>NET VIDEIRA SC</t>
  </si>
  <si>
    <t>98717251087</t>
  </si>
  <si>
    <t>02524841936</t>
  </si>
  <si>
    <t>BB CENOP CURITIBA PR</t>
  </si>
  <si>
    <t>10354623621</t>
  </si>
  <si>
    <t>NET SUL MG</t>
  </si>
  <si>
    <t>06271222994</t>
  </si>
  <si>
    <t>06837861999</t>
  </si>
  <si>
    <t>07338782962</t>
  </si>
  <si>
    <t>69808112900</t>
  </si>
  <si>
    <t>03241621030</t>
  </si>
  <si>
    <t>06285125970</t>
  </si>
  <si>
    <t>45211709861</t>
  </si>
  <si>
    <t>47502843604</t>
  </si>
  <si>
    <t>08609699919</t>
  </si>
  <si>
    <t>79248160387</t>
  </si>
  <si>
    <t>02928835954</t>
  </si>
  <si>
    <t>91388686953</t>
  </si>
  <si>
    <t>91920795987</t>
  </si>
  <si>
    <t>02063139342</t>
  </si>
  <si>
    <t>29157549850</t>
  </si>
  <si>
    <t>CEF FACILITIES SP</t>
  </si>
  <si>
    <t>20005473896</t>
  </si>
  <si>
    <t>BB SP</t>
  </si>
  <si>
    <t>07105914971</t>
  </si>
  <si>
    <t>05597823906</t>
  </si>
  <si>
    <t>03363725906</t>
  </si>
  <si>
    <t>07822591975</t>
  </si>
  <si>
    <t>11489828923</t>
  </si>
  <si>
    <t>01565661338</t>
  </si>
  <si>
    <t>06478105490</t>
  </si>
  <si>
    <t>33927651800</t>
  </si>
  <si>
    <t>PROSEGUR SP</t>
  </si>
  <si>
    <t>02013700008</t>
  </si>
  <si>
    <t>08784554932</t>
  </si>
  <si>
    <t>09276240446</t>
  </si>
  <si>
    <t>69116709004</t>
  </si>
  <si>
    <t>61158852649</t>
  </si>
  <si>
    <t>05144026958</t>
  </si>
  <si>
    <t>BB APOIO PR</t>
  </si>
  <si>
    <t>07646535630</t>
  </si>
  <si>
    <t>96018682087</t>
  </si>
  <si>
    <t>08196835906</t>
  </si>
  <si>
    <t>82341478972</t>
  </si>
  <si>
    <t>02644012473</t>
  </si>
  <si>
    <t>06792773310</t>
  </si>
  <si>
    <t>92079008072</t>
  </si>
  <si>
    <t>05492458981</t>
  </si>
  <si>
    <t>87451433072</t>
  </si>
  <si>
    <t>NET NORTE SC</t>
  </si>
  <si>
    <t>11764705661</t>
  </si>
  <si>
    <t>25946255827</t>
  </si>
  <si>
    <t>COMERCIAL</t>
  </si>
  <si>
    <t>ELIO PEREIRA NETO</t>
  </si>
  <si>
    <t>FELIPE FONTAN</t>
  </si>
  <si>
    <t>80632955015</t>
  </si>
  <si>
    <t>00147552621</t>
  </si>
  <si>
    <t>03910036902</t>
  </si>
  <si>
    <t>QSMS OPERACAO</t>
  </si>
  <si>
    <t>RAFAEL MOURA</t>
  </si>
  <si>
    <t>00432546081</t>
  </si>
  <si>
    <t>69071934004</t>
  </si>
  <si>
    <t>05762523950</t>
  </si>
  <si>
    <t>FINANCEIRO</t>
  </si>
  <si>
    <t>RONALDO</t>
  </si>
  <si>
    <t>DANIEL DUARTE</t>
  </si>
  <si>
    <t>02062513941</t>
  </si>
  <si>
    <t>CORREIOS SAO JOSE SC</t>
  </si>
  <si>
    <t>01777100046</t>
  </si>
  <si>
    <t>12068745976</t>
  </si>
  <si>
    <t>PATRIMONIO</t>
  </si>
  <si>
    <t>06559830900</t>
  </si>
  <si>
    <t>TI</t>
  </si>
  <si>
    <t>60377348953</t>
  </si>
  <si>
    <t>34596010862</t>
  </si>
  <si>
    <t>11340265796</t>
  </si>
  <si>
    <t>96795115020</t>
  </si>
  <si>
    <t>97237400010</t>
  </si>
  <si>
    <t>11992259755</t>
  </si>
  <si>
    <t>PTB TIC INFRA</t>
  </si>
  <si>
    <t>26652452804</t>
  </si>
  <si>
    <t>00975748998</t>
  </si>
  <si>
    <t>05766838760</t>
  </si>
  <si>
    <t>TRIBUNAL DE JUSTICA RJ</t>
  </si>
  <si>
    <t>00965306186</t>
  </si>
  <si>
    <t>01310014264</t>
  </si>
  <si>
    <t>CEF MANAUS AM</t>
  </si>
  <si>
    <t>78021324953</t>
  </si>
  <si>
    <t>26513583802</t>
  </si>
  <si>
    <t>16996346886</t>
  </si>
  <si>
    <t>74548565949</t>
  </si>
  <si>
    <t>NET APOIO PR</t>
  </si>
  <si>
    <t>08924586904</t>
  </si>
  <si>
    <t>TJ APOIO PR</t>
  </si>
  <si>
    <t>09246793790</t>
  </si>
  <si>
    <t>02344139214</t>
  </si>
  <si>
    <t>04013986175</t>
  </si>
  <si>
    <t>90443306087</t>
  </si>
  <si>
    <t>CEF LESTE GAUCHO RS</t>
  </si>
  <si>
    <t>27335364191</t>
  </si>
  <si>
    <t>35575473880</t>
  </si>
  <si>
    <t>01755089090</t>
  </si>
  <si>
    <t>PTB REDUC RJ</t>
  </si>
  <si>
    <t>02679643909</t>
  </si>
  <si>
    <t>11498112692</t>
  </si>
  <si>
    <t>05504962706</t>
  </si>
  <si>
    <t>BANCO ITAU RJ</t>
  </si>
  <si>
    <t>03985382638</t>
  </si>
  <si>
    <t>31275798888</t>
  </si>
  <si>
    <t>PTB UTGCA SP</t>
  </si>
  <si>
    <t>06972029252</t>
  </si>
  <si>
    <t>11128978601</t>
  </si>
  <si>
    <t>02678045129</t>
  </si>
  <si>
    <t>03445951969</t>
  </si>
  <si>
    <t>PTB PREDIAL REPAR PR</t>
  </si>
  <si>
    <t>04179369907</t>
  </si>
  <si>
    <t>00827902212</t>
  </si>
  <si>
    <t>01595939644</t>
  </si>
  <si>
    <t>07021071400</t>
  </si>
  <si>
    <t>06323566346</t>
  </si>
  <si>
    <t>29856268893</t>
  </si>
  <si>
    <t>01304856674</t>
  </si>
  <si>
    <t>03031202902</t>
  </si>
  <si>
    <t>72756284220</t>
  </si>
  <si>
    <t>10531222926</t>
  </si>
  <si>
    <t>02265549967</t>
  </si>
  <si>
    <t>36020922839</t>
  </si>
  <si>
    <t>11914988671</t>
  </si>
  <si>
    <t>03288831902</t>
  </si>
  <si>
    <t>89591640030</t>
  </si>
  <si>
    <t>30941372880</t>
  </si>
  <si>
    <t>04661413199</t>
  </si>
  <si>
    <t>37695259810</t>
  </si>
  <si>
    <t>07024923610</t>
  </si>
  <si>
    <t>85087572634</t>
  </si>
  <si>
    <t>02474960902</t>
  </si>
  <si>
    <t>63194252020</t>
  </si>
  <si>
    <t>09688866717</t>
  </si>
  <si>
    <t>99062208649</t>
  </si>
  <si>
    <t>CCBB BH MINAS</t>
  </si>
  <si>
    <t>05769658550</t>
  </si>
  <si>
    <t>PTB MARAGOGIPE BA</t>
  </si>
  <si>
    <t>11454991631</t>
  </si>
  <si>
    <t>BB TAMOIOS MG</t>
  </si>
  <si>
    <t>05290622675</t>
  </si>
  <si>
    <t>BB RUA BAHIA MG</t>
  </si>
  <si>
    <t>15226997833</t>
  </si>
  <si>
    <t>33832720871</t>
  </si>
  <si>
    <t>BANCO CENTRAL PREDIAL SP</t>
  </si>
  <si>
    <t>05986947576</t>
  </si>
  <si>
    <t>IMPLANTACAO</t>
  </si>
  <si>
    <t>03393455354</t>
  </si>
  <si>
    <t>PTB LUBNOR CE</t>
  </si>
  <si>
    <t>08325368730</t>
  </si>
  <si>
    <t>02706762950</t>
  </si>
  <si>
    <t>BB TIRADENTES PR</t>
  </si>
  <si>
    <t>08813588607</t>
  </si>
  <si>
    <t>01969938900</t>
  </si>
  <si>
    <t>ENGIE FLORIANOPOLIS SC</t>
  </si>
  <si>
    <t>06637541435</t>
  </si>
  <si>
    <t>ORIGEM ENERGIA AL</t>
  </si>
  <si>
    <t>00312735057</t>
  </si>
  <si>
    <t>NET LITORAL PR</t>
  </si>
  <si>
    <t>26992280600</t>
  </si>
  <si>
    <t>VTAL CYBER MG</t>
  </si>
  <si>
    <t>09785002969</t>
  </si>
  <si>
    <t>ARTERIS LITORAL SUL SC</t>
  </si>
  <si>
    <t>01929647638</t>
  </si>
  <si>
    <t>00714806501</t>
  </si>
  <si>
    <t>BB ARACAJU SE</t>
  </si>
  <si>
    <t>00645883948</t>
  </si>
  <si>
    <t>82877904091</t>
  </si>
  <si>
    <t>00053957040</t>
  </si>
  <si>
    <t>85076538553</t>
  </si>
  <si>
    <t>BANCO CENTRAL SALVADOR BA</t>
  </si>
  <si>
    <t>01066881030</t>
  </si>
  <si>
    <t>98394282091</t>
  </si>
  <si>
    <t>01816236098</t>
  </si>
  <si>
    <t>00413687031</t>
  </si>
  <si>
    <t>28604876898</t>
  </si>
  <si>
    <t>00011945265</t>
  </si>
  <si>
    <t>04370282918</t>
  </si>
  <si>
    <t>12890409821</t>
  </si>
  <si>
    <t>CCBB SP</t>
  </si>
  <si>
    <t>82741980004</t>
  </si>
  <si>
    <t>00046347054</t>
  </si>
  <si>
    <t>00851999077</t>
  </si>
  <si>
    <t>82871396000</t>
  </si>
  <si>
    <t>09983432935</t>
  </si>
  <si>
    <t>04885659957</t>
  </si>
  <si>
    <t>09353381959</t>
  </si>
  <si>
    <t>05236669936</t>
  </si>
  <si>
    <t>03040370952</t>
  </si>
  <si>
    <t>03066906086</t>
  </si>
  <si>
    <t>88367550978</t>
  </si>
  <si>
    <t>69010544915</t>
  </si>
  <si>
    <t>78296277972</t>
  </si>
  <si>
    <t>10649064941</t>
  </si>
  <si>
    <t>02586212908</t>
  </si>
  <si>
    <t>90573625972</t>
  </si>
  <si>
    <t>10132301911</t>
  </si>
  <si>
    <t>55278612053</t>
  </si>
  <si>
    <t>03443300952</t>
  </si>
  <si>
    <t>04442316929</t>
  </si>
  <si>
    <t>DIRETORIA TECNICA</t>
  </si>
  <si>
    <t>DIRETORIA</t>
  </si>
  <si>
    <t>FERNANDA ARAGÃO</t>
  </si>
  <si>
    <t>02801403989</t>
  </si>
  <si>
    <t>65085825004</t>
  </si>
  <si>
    <t>06304071698</t>
  </si>
  <si>
    <t>02299450076</t>
  </si>
  <si>
    <t>DEFENSORIA PUBLICA RS</t>
  </si>
  <si>
    <t>00383390729</t>
  </si>
  <si>
    <t>80888984049</t>
  </si>
  <si>
    <t>49991787020</t>
  </si>
  <si>
    <t>06534220911</t>
  </si>
  <si>
    <t>02519880155</t>
  </si>
  <si>
    <t>01783593008</t>
  </si>
  <si>
    <t>NET SERRA RS</t>
  </si>
  <si>
    <t>06931043765</t>
  </si>
  <si>
    <t>02873491019</t>
  </si>
  <si>
    <t>ADMINISTRATIVO</t>
  </si>
  <si>
    <t>70457883200</t>
  </si>
  <si>
    <t>BB MANAUS FACILITIES AM</t>
  </si>
  <si>
    <t>30336341920</t>
  </si>
  <si>
    <t>68746458204</t>
  </si>
  <si>
    <t>CEF FAC RO</t>
  </si>
  <si>
    <t>02344854002</t>
  </si>
  <si>
    <t>63818302049</t>
  </si>
  <si>
    <t>02034144031</t>
  </si>
  <si>
    <t>08072851969</t>
  </si>
  <si>
    <t>92057900010</t>
  </si>
  <si>
    <t>NET CRICIUMA SC</t>
  </si>
  <si>
    <t>70741247453</t>
  </si>
  <si>
    <t>77522532000</t>
  </si>
  <si>
    <t>31118068807</t>
  </si>
  <si>
    <t>EDNEI SANTANA</t>
  </si>
  <si>
    <t>36656091865</t>
  </si>
  <si>
    <t>01773622781</t>
  </si>
  <si>
    <t>CEF CAMPOS RJ</t>
  </si>
  <si>
    <t>73661724215</t>
  </si>
  <si>
    <t>02817685954</t>
  </si>
  <si>
    <t>ADILSON RODRIGUES</t>
  </si>
  <si>
    <t>00295085096</t>
  </si>
  <si>
    <t>09410182700</t>
  </si>
  <si>
    <t>10664298710</t>
  </si>
  <si>
    <t>PTB CENPES RJ</t>
  </si>
  <si>
    <t>89395140259</t>
  </si>
  <si>
    <t>04163355359</t>
  </si>
  <si>
    <t>00058507035</t>
  </si>
  <si>
    <t>97290076087</t>
  </si>
  <si>
    <t>01222428903</t>
  </si>
  <si>
    <t>07961072977</t>
  </si>
  <si>
    <t>78003652553</t>
  </si>
  <si>
    <t>38950693291</t>
  </si>
  <si>
    <t>43089240068</t>
  </si>
  <si>
    <t>93227965968</t>
  </si>
  <si>
    <t>04879971901</t>
  </si>
  <si>
    <t>05113856096</t>
  </si>
  <si>
    <t>37562230862</t>
  </si>
  <si>
    <t>10420741607</t>
  </si>
  <si>
    <t>67192793353</t>
  </si>
  <si>
    <t>85389161068</t>
  </si>
  <si>
    <t>22136444972</t>
  </si>
  <si>
    <t>84002867072</t>
  </si>
  <si>
    <t>09176097609</t>
  </si>
  <si>
    <t>BB MONTES CLAROS MG</t>
  </si>
  <si>
    <t>09796227789</t>
  </si>
  <si>
    <t>84736305053</t>
  </si>
  <si>
    <t>03937438106</t>
  </si>
  <si>
    <t>05430536954</t>
  </si>
  <si>
    <t>02061809260</t>
  </si>
  <si>
    <t>92841147053</t>
  </si>
  <si>
    <t>28997488821</t>
  </si>
  <si>
    <t>99322765020</t>
  </si>
  <si>
    <t>10053877969</t>
  </si>
  <si>
    <t>71249702020</t>
  </si>
  <si>
    <t>07461612980</t>
  </si>
  <si>
    <t>27104988807</t>
  </si>
  <si>
    <t>68187483920</t>
  </si>
  <si>
    <t>00845117530</t>
  </si>
  <si>
    <t>02728013055</t>
  </si>
  <si>
    <t>34100118899</t>
  </si>
  <si>
    <t>NET MGA PR</t>
  </si>
  <si>
    <t>92160344320</t>
  </si>
  <si>
    <t>48577596087</t>
  </si>
  <si>
    <t>NET CAXIAS RS</t>
  </si>
  <si>
    <t>DEPARTAMENTO PESSOAL</t>
  </si>
  <si>
    <t>17427326822</t>
  </si>
  <si>
    <t>03021129013</t>
  </si>
  <si>
    <t>BB CONJUNTO ANCHIETA RS</t>
  </si>
  <si>
    <t>00103505199</t>
  </si>
  <si>
    <t>02079878077</t>
  </si>
  <si>
    <t>95053719004</t>
  </si>
  <si>
    <t>00819451088</t>
  </si>
  <si>
    <t>CEITEC RS</t>
  </si>
  <si>
    <t>02653570041</t>
  </si>
  <si>
    <t>02834447977</t>
  </si>
  <si>
    <t>63424770000</t>
  </si>
  <si>
    <t>72747072053</t>
  </si>
  <si>
    <t>85769185015</t>
  </si>
  <si>
    <t>61328323358</t>
  </si>
  <si>
    <t>35160538879</t>
  </si>
  <si>
    <t>06092178443</t>
  </si>
  <si>
    <t>77348443249</t>
  </si>
  <si>
    <t>36447007888</t>
  </si>
  <si>
    <t>51182084168</t>
  </si>
  <si>
    <t>99489520063</t>
  </si>
  <si>
    <t>02481128052</t>
  </si>
  <si>
    <t>03583938925</t>
  </si>
  <si>
    <t>04042182291</t>
  </si>
  <si>
    <t>02864195054</t>
  </si>
  <si>
    <t>00937761958</t>
  </si>
  <si>
    <t>01599752042</t>
  </si>
  <si>
    <t>00738724076</t>
  </si>
  <si>
    <t>03207571026</t>
  </si>
  <si>
    <t>01253419035</t>
  </si>
  <si>
    <t>04403012035</t>
  </si>
  <si>
    <t>02055553143</t>
  </si>
  <si>
    <t>05676820640</t>
  </si>
  <si>
    <t>09080606456</t>
  </si>
  <si>
    <t>06665220907</t>
  </si>
  <si>
    <t>TELEFONICA PR</t>
  </si>
  <si>
    <t>06274547983</t>
  </si>
  <si>
    <t>46736328187</t>
  </si>
  <si>
    <t>BB GOIANIA GO</t>
  </si>
  <si>
    <t>75728923020</t>
  </si>
  <si>
    <t>07136772605</t>
  </si>
  <si>
    <t>02535272016</t>
  </si>
  <si>
    <t>13927782980</t>
  </si>
  <si>
    <t>01302377604</t>
  </si>
  <si>
    <t>21641472863</t>
  </si>
  <si>
    <t>08921985670</t>
  </si>
  <si>
    <t>29722576852</t>
  </si>
  <si>
    <t>01962886069</t>
  </si>
  <si>
    <t>02083958063</t>
  </si>
  <si>
    <t>98635425049</t>
  </si>
  <si>
    <t>85798304000</t>
  </si>
  <si>
    <t>37634925004</t>
  </si>
  <si>
    <t>00546854001</t>
  </si>
  <si>
    <t>49825410000</t>
  </si>
  <si>
    <t>01573995088</t>
  </si>
  <si>
    <t>89247485215</t>
  </si>
  <si>
    <t>59772280906</t>
  </si>
  <si>
    <t>86880918034</t>
  </si>
  <si>
    <t>03139017081</t>
  </si>
  <si>
    <t>42694515215</t>
  </si>
  <si>
    <t>86733028034</t>
  </si>
  <si>
    <t>01949569039</t>
  </si>
  <si>
    <t>21262405840</t>
  </si>
  <si>
    <t>LICENÇA MATERNIDADE</t>
  </si>
  <si>
    <t>PERÍCIA</t>
  </si>
  <si>
    <t>CONSELHEIRO ESTRATEGICO</t>
  </si>
  <si>
    <t>KEY ACCOUNT TELEFONICA</t>
  </si>
  <si>
    <t>CEF FACILITIES PE</t>
  </si>
  <si>
    <t>CENSIPAM PA</t>
  </si>
  <si>
    <t>PROSEGUR MG</t>
  </si>
  <si>
    <t>1QZ DE MARÇO 26</t>
  </si>
  <si>
    <t>CONTRATO SUSPENSO</t>
  </si>
  <si>
    <t>ABNER ANDRADE CAVALCANTE</t>
  </si>
  <si>
    <t>ADAN LEONARDO SOUZA BATISTA</t>
  </si>
  <si>
    <t>ADAUTO JOSE PEREIRA</t>
  </si>
  <si>
    <t>ADEMARCIO DUARTE LOPES</t>
  </si>
  <si>
    <t>ADILSON MELLO DE CAMARGO</t>
  </si>
  <si>
    <t>ADIVAR ANTONIO DA SILVA JUNIOR</t>
  </si>
  <si>
    <t>ADMILSON DOS SANTOS GALAN</t>
  </si>
  <si>
    <t>ADRIANE CARON</t>
  </si>
  <si>
    <t>ADRIANO BORGES TEIXEIRA</t>
  </si>
  <si>
    <t>ADRIANO FRANCISCO DE PAULA</t>
  </si>
  <si>
    <t>ADSON ARAUJO DA SILVA</t>
  </si>
  <si>
    <t>ADSON SANTOS DA SILVA</t>
  </si>
  <si>
    <t>AGNO CHRISTIAN DE LIMA TELES</t>
  </si>
  <si>
    <t>AILTON MENDES AGUILAR</t>
  </si>
  <si>
    <t>ALAERTE JACINTO JUNIOR</t>
  </si>
  <si>
    <t>ALAN RODRIGO SILVA ANDRADE</t>
  </si>
  <si>
    <t>ALEKSANDER GONCALVES DE ALMEIDA</t>
  </si>
  <si>
    <t>ALESSANDRO DE OLIVEIRA AZEVEDO</t>
  </si>
  <si>
    <t>ALESSANDRO RODRIGO PASTRELLI</t>
  </si>
  <si>
    <t>ALEX CARVALHO DOS SANTOS</t>
  </si>
  <si>
    <t>ALEX DOS SANTOS</t>
  </si>
  <si>
    <t>ALEX SANDRO PEREIRA MARQUES</t>
  </si>
  <si>
    <t>ALEXANDRE DA SILVEIRA GROSS</t>
  </si>
  <si>
    <t>ALEXANDRE MACHADO DA CONCEICAO</t>
  </si>
  <si>
    <t>ALEXANDRE PIRES DE JESUS</t>
  </si>
  <si>
    <t>ALEXSANDRO SANTOS DA CONCEICAO</t>
  </si>
  <si>
    <t>ALIRIO THOMAZ VALENTIM</t>
  </si>
  <si>
    <t>ALISSON RODRIGO RAMBO</t>
  </si>
  <si>
    <t>ALLAN CRISTIAN DA CUNHA</t>
  </si>
  <si>
    <t>ALLAN JEFFERSON BRANCO RODRIGUES</t>
  </si>
  <si>
    <t>ALMIR DA SILVA SOARES</t>
  </si>
  <si>
    <t>ALTAIR BERTOL</t>
  </si>
  <si>
    <t>AMANDA CRISTINA DA SILVA</t>
  </si>
  <si>
    <t>ANA CRISTINA FREIRE HOLANDA</t>
  </si>
  <si>
    <t>ANDERSON BICA PEREZ</t>
  </si>
  <si>
    <t>ANDERSON FERNANDES DE ALMEIDA</t>
  </si>
  <si>
    <t>ANDERSON GOMES</t>
  </si>
  <si>
    <t>ANDERSON RICARDO VIEIRA</t>
  </si>
  <si>
    <t>ANDRE ARANHA MEISTER</t>
  </si>
  <si>
    <t>ANDRE DE MOURA ESCOBAR</t>
  </si>
  <si>
    <t>ANDRE LUIZ SANTANA</t>
  </si>
  <si>
    <t>ANDRE PINHEIRO BALOTIN</t>
  </si>
  <si>
    <t>ANDRE VALERIO DE PAIVA</t>
  </si>
  <si>
    <t>ANDREA ANTUNES GOMES</t>
  </si>
  <si>
    <t>ANDRESA INDIRA SANTANA AGGIO</t>
  </si>
  <si>
    <t>ANELISE MENDONCA DE AVILA</t>
  </si>
  <si>
    <t>ANGELICA SOARES AMARANTE SILVA</t>
  </si>
  <si>
    <t>ANTONIO DE PADUA LEITE</t>
  </si>
  <si>
    <t>ANTONIO FERREIRA DE MENDONCA NETO</t>
  </si>
  <si>
    <t>ANTONIO JOSE PEREIRA DA SILVA</t>
  </si>
  <si>
    <t>ANTONIO MARCOS CAMARGO</t>
  </si>
  <si>
    <t>ANTONIO MARCOS DE SOUZA</t>
  </si>
  <si>
    <t>ARLEY HENRIQUE DE SOUZA LUZ</t>
  </si>
  <si>
    <t>ARTHUR GOMES DE PAULO</t>
  </si>
  <si>
    <t>ARTHUR SANTOS DE OLIVEIRA</t>
  </si>
  <si>
    <t>ARTUR JACO PAGANI DE SOUZA</t>
  </si>
  <si>
    <t>AURO MOREIRA PEDROSO</t>
  </si>
  <si>
    <t>BEATRIZ SILVA DE SIQUEIRA</t>
  </si>
  <si>
    <t>BEN HUR MENDES OLIVEIRA</t>
  </si>
  <si>
    <t>BRUNA LAIS AZEVEDO CUNHA</t>
  </si>
  <si>
    <t>BRUNA LAIS DOS SANTOS PESSOA</t>
  </si>
  <si>
    <t>BRUNO EDUARDO DE SOUZA</t>
  </si>
  <si>
    <t>BRUNO FERREIRA DE SOUZA RODRIGUES</t>
  </si>
  <si>
    <t>BRUNO LOPES DE CAMARGO</t>
  </si>
  <si>
    <t>BRUNO OLIVEIRA DIAS</t>
  </si>
  <si>
    <t>CAIO FRANCESCONI RIBEIRO</t>
  </si>
  <si>
    <t>CAIOS VINICIUS NUNES BROERING</t>
  </si>
  <si>
    <t>CAMILA DE FRANCA FARIA</t>
  </si>
  <si>
    <t>CAMILA DE OLIVEIRA VELOSO</t>
  </si>
  <si>
    <t>CARLOS ALEXANDRE GIGI</t>
  </si>
  <si>
    <t>CARLOS EDUARDO SCATAMBULO</t>
  </si>
  <si>
    <t>CARLOS FRANCISCO GODOY</t>
  </si>
  <si>
    <t>CARLOS GONZAGA ARAGAO</t>
  </si>
  <si>
    <t>CARLOS HENRIQUE VARGAS DOS SANTOS</t>
  </si>
  <si>
    <t>CARLOS NASCIMENTO NONATO JUNIOR</t>
  </si>
  <si>
    <t>CARLOS RENATO PACHECO DA SILVA</t>
  </si>
  <si>
    <t>CARLOS ROBERTO DE CARVALHO PERES</t>
  </si>
  <si>
    <t>CELIO GONCALVES DE OLIVEIRA JUNIOR</t>
  </si>
  <si>
    <t>CELSO ROGERIO DE OLIVEIRA</t>
  </si>
  <si>
    <t>CHARLES NEVES MATTIUZZI</t>
  </si>
  <si>
    <t>CLAUDEMIR GREGOSKI RODRIGUES</t>
  </si>
  <si>
    <t>CLAUDEMIR MOREIRA</t>
  </si>
  <si>
    <t>CLAUDINEI AMARAL</t>
  </si>
  <si>
    <t>CLAUDINEI VICENTE DE LIMA</t>
  </si>
  <si>
    <t>CLAUDIO DONIZETE DA SILVA</t>
  </si>
  <si>
    <t>CLAUDIO RENALDI NUNES</t>
  </si>
  <si>
    <t>CLAYTON DE OLIVEIRA</t>
  </si>
  <si>
    <t>CLEBERSON APARECIDO BORGES DOS SANTOS</t>
  </si>
  <si>
    <t>CLEITON DA SILVA MONTALVAO</t>
  </si>
  <si>
    <t>CLERITON BACILA DOS SANTOS</t>
  </si>
  <si>
    <t>CLEVERSON PAULOUSKI</t>
  </si>
  <si>
    <t>CLOVIS RICARDO PALHARES E CORDEIRO</t>
  </si>
  <si>
    <t>CREOL APARECIDO DOS SANTOS</t>
  </si>
  <si>
    <t>CRISTIAN MARCELO DE OLIVEIRA DOS SANTOS</t>
  </si>
  <si>
    <t>CRISTIANO ANESIO GOMES DO NASCIMENTO</t>
  </si>
  <si>
    <t>CRISTIANO DA SILVA VALADARES</t>
  </si>
  <si>
    <t>DANIEL DA SILVA LOPES</t>
  </si>
  <si>
    <t>DANIEL SANTOS DE ASSUNCAO</t>
  </si>
  <si>
    <t>DANIELA CARVALHO STAHLER</t>
  </si>
  <si>
    <t>DANILO ZANATTA LUCIANO</t>
  </si>
  <si>
    <t>DAVID DA SILVA PEREIRA</t>
  </si>
  <si>
    <t>DAVID DE OLIVEIRA FRIGERIO</t>
  </si>
  <si>
    <t>DAVID VICHI DE BRITO</t>
  </si>
  <si>
    <t>DEBORA ARAUJO FIGUEIREDO</t>
  </si>
  <si>
    <t>DEISE SOARES DE CAMPOS</t>
  </si>
  <si>
    <t>DELVANO AILTON DA SILVA</t>
  </si>
  <si>
    <t>DEMETRIUS LOPES GIANGROSSI</t>
  </si>
  <si>
    <t>DENILSO DIDONE</t>
  </si>
  <si>
    <t>DENIS FERREIRA DA SILVA</t>
  </si>
  <si>
    <t>DENIVALDO GONCALVES MIRANDA</t>
  </si>
  <si>
    <t>DHIEGO RIBEIRO DINIZ</t>
  </si>
  <si>
    <t>DIEGO DE ALCANTARA MOTA MENDES</t>
  </si>
  <si>
    <t>DIEGO DOS SANTOS DE JESUS</t>
  </si>
  <si>
    <t>DIEGO GRIME DE MELO</t>
  </si>
  <si>
    <t>DIEGO JOSE DE PAULO</t>
  </si>
  <si>
    <t>DIONATAN PATRICK SOUZA DIAS</t>
  </si>
  <si>
    <t>DIVAN ALVES DE AMORIM</t>
  </si>
  <si>
    <t>DJONATAN JULIO GORGES VENTURI</t>
  </si>
  <si>
    <t>DMITRI MORAIS DA SILVA</t>
  </si>
  <si>
    <t>DOMINIQUE SILVA DE SOUZA</t>
  </si>
  <si>
    <t>DOUGLAS BRUCK MACHADO</t>
  </si>
  <si>
    <t>DOUGLAS TIAGO DE OLIVEIRA</t>
  </si>
  <si>
    <t>DOUGLAS VENTURA SILVEIRA</t>
  </si>
  <si>
    <t>DOUGLAS WESLEN CARDOSO DOS SANTOS</t>
  </si>
  <si>
    <t>EDER AUGUSTO DE ARAUJO CARVALHO</t>
  </si>
  <si>
    <t>EDER MEDICI</t>
  </si>
  <si>
    <t>EDERSON GUIZOLFI PEREIRA</t>
  </si>
  <si>
    <t>EDERSON LUIS BARROS DA ROSA</t>
  </si>
  <si>
    <t>EDERSON STRELOW</t>
  </si>
  <si>
    <t>EDEVALDO DUTRA GONCALVES</t>
  </si>
  <si>
    <t>EDIBERTO GEORGE RELIQUIAS</t>
  </si>
  <si>
    <t>EDILENE CRISTIANA DA SILVA ZIMMERMANN</t>
  </si>
  <si>
    <t>EDIPO SANTOS BARRETO</t>
  </si>
  <si>
    <t>EDISON FERREIRA GONCALVES</t>
  </si>
  <si>
    <t>EDJUNIO FERNANDES DE SANTANA</t>
  </si>
  <si>
    <t>EDMAR FERREIRA CARDOSO</t>
  </si>
  <si>
    <t>EDMAR RODRIGUES MOTA</t>
  </si>
  <si>
    <t>EDSON CALIXTO THOMAZ</t>
  </si>
  <si>
    <t>EDSON VEIGA SILVEIRA</t>
  </si>
  <si>
    <t>EDUARDO ANDREY VENSON SILVA</t>
  </si>
  <si>
    <t>EDUARDO SANTOS</t>
  </si>
  <si>
    <t>ELIANDRO BRUNING</t>
  </si>
  <si>
    <t>ELISA SILVA SCHNEIDER</t>
  </si>
  <si>
    <t>EMERSON CHOUBI PRADO</t>
  </si>
  <si>
    <t>EMERSON LEITE DE BARROS</t>
  </si>
  <si>
    <t>ENIOIR NOGUEIRA ANTUNES</t>
  </si>
  <si>
    <t>ENZIO CARVALHO DA MOTA</t>
  </si>
  <si>
    <t>ERASMO PEREIRA MONTEIRO</t>
  </si>
  <si>
    <t>ERICO BRUNO DA SILVA MATOS</t>
  </si>
  <si>
    <t>ERICSON PINHEIRO DOS SANTOS</t>
  </si>
  <si>
    <t>ERIVAN RODRIGUES GOMES</t>
  </si>
  <si>
    <t>EVERSON CESAR GAIDSTIECHI</t>
  </si>
  <si>
    <t>EVERSON ESTEVES DOS SANTOS</t>
  </si>
  <si>
    <t>EVERTON CAMARGO DE LOURETO</t>
  </si>
  <si>
    <t>EVERTON REIS DO NASCIMENTO</t>
  </si>
  <si>
    <t>FABIANA CAMILA BARBOSA DE MORAES LIMA</t>
  </si>
  <si>
    <t>FABIANO LITTER</t>
  </si>
  <si>
    <t>FABIO APARECIDO DE SOUSA PEREIRA</t>
  </si>
  <si>
    <t>FABIO DA CONCEICAO LIMA</t>
  </si>
  <si>
    <t>FABIO DIOGO BITTENCOURT</t>
  </si>
  <si>
    <t>FABIO MARTINS BORGES</t>
  </si>
  <si>
    <t>FABIO PROVESI</t>
  </si>
  <si>
    <t>FABRICIO SANTOS DA COSTA</t>
  </si>
  <si>
    <t>FELIPE JOSE DE ALBUQUERQUE OLIVEIRA</t>
  </si>
  <si>
    <t>FELIPE MORAES COSTA DE BRITTO</t>
  </si>
  <si>
    <t>FERNANDO RODRIGUES DUARTE</t>
  </si>
  <si>
    <t>FILIPE MENEZES KLING</t>
  </si>
  <si>
    <t>FLAVIO FERNANDES DOS REIS LIMA</t>
  </si>
  <si>
    <t>FLAVIO HENRIQUE ALVES ROMERO</t>
  </si>
  <si>
    <t>FRANCIELLY FELIX CAVALCANTE DE ANDRADE</t>
  </si>
  <si>
    <t>FRANCINILDO JACKSON DE ALMEIDA ARAUJO</t>
  </si>
  <si>
    <t>FRANCIONE DE SOUZA LUCENA</t>
  </si>
  <si>
    <t>FRANCISCA VALERIA LIMA PORTELA</t>
  </si>
  <si>
    <t>FRANCISCO RICARDO DOS SANTOS</t>
  </si>
  <si>
    <t>FRANCISCO VALDENIR DE SOUSA</t>
  </si>
  <si>
    <t>FREDERICO PEDROSO FERNANDES</t>
  </si>
  <si>
    <t>GABRIEL CABRAL DA SILVA</t>
  </si>
  <si>
    <t>GABRIEL EGGER</t>
  </si>
  <si>
    <t>GABRIEL HENRIQUE DALL AGNOL</t>
  </si>
  <si>
    <t>GABRIEL MONTANI FERREIRA</t>
  </si>
  <si>
    <t>GABRIELA DALLA VECHIA MONTEIRO</t>
  </si>
  <si>
    <t>GEFERSON FLORIANO PRICHULA</t>
  </si>
  <si>
    <t>GENISSON DE PAIVA FERREIRA</t>
  </si>
  <si>
    <t>GEORGE LUIS ROCHA FIGUEIREDO</t>
  </si>
  <si>
    <t>GERSON OLIVEIRA DE CARVALHO</t>
  </si>
  <si>
    <t>GERSON PEREIRA</t>
  </si>
  <si>
    <t>GILBERTO DE ALMEIDA</t>
  </si>
  <si>
    <t>GILMAR DUARTE LACERDA</t>
  </si>
  <si>
    <t>GILSON CRISTIANO FLORES BRUM</t>
  </si>
  <si>
    <t>GIOVANI DONNANTUONI</t>
  </si>
  <si>
    <t>GISELE CRISTINE DE SOUZA</t>
  </si>
  <si>
    <t>GLEIDE CONCEICAO NASCIMENTO ALVES</t>
  </si>
  <si>
    <t>GUILHERME DE MATTOS NASCIMENTO ROSA</t>
  </si>
  <si>
    <t>GUILHERME FELIPPE DE MEDEIROS</t>
  </si>
  <si>
    <t>GUILHERME FERREIRA DA SILVA</t>
  </si>
  <si>
    <t>GUILHERME MOTTA RIBEIRO SILVA</t>
  </si>
  <si>
    <t>GUSTAVO GONCALVES DA SILVA</t>
  </si>
  <si>
    <t>GUSTAVO RODRIGUES FARIA</t>
  </si>
  <si>
    <t>HEDER SILVA CAMPODONICO</t>
  </si>
  <si>
    <t>HEITOR MAURMANN LEITAO</t>
  </si>
  <si>
    <t>HELDER ARCHANJO FERREIRA</t>
  </si>
  <si>
    <t>HELDER USTULIN</t>
  </si>
  <si>
    <t>HENRIQUE ALMEIDA LAIGNIER</t>
  </si>
  <si>
    <t>HERLANDSON BRUNO CARNEIRO MATIAS</t>
  </si>
  <si>
    <t>HIGOR KELVYN SILVA AMORIM</t>
  </si>
  <si>
    <t>HIGOR LUIZ CERQUEIRA</t>
  </si>
  <si>
    <t>HUGO ALEXANDRE DE SOUSA</t>
  </si>
  <si>
    <t>HUGO DELLA JUSTINA</t>
  </si>
  <si>
    <t>HUGO NUNES DA SILVA</t>
  </si>
  <si>
    <t>ICARO MEDEIROS SILVA</t>
  </si>
  <si>
    <t>IGOR LOPES VARGAS</t>
  </si>
  <si>
    <t>ILMAR FONTES VIEIRA</t>
  </si>
  <si>
    <t>INEBAM RODRIGUES PORTO NETO</t>
  </si>
  <si>
    <t>ISABELE CRISTINE OLIVEIRA DA SILVA</t>
  </si>
  <si>
    <t>ISAIAS DA SILVA</t>
  </si>
  <si>
    <t>ISAQUE HENRIQUE BARPP TITONI</t>
  </si>
  <si>
    <t>ISMAEL WEBER</t>
  </si>
  <si>
    <t>IVO LUCIANO DA SILVA WAGNER JUNIOR</t>
  </si>
  <si>
    <t>IVON RAMOS MIRANDA</t>
  </si>
  <si>
    <t>JACKSON NATAN RODRIGUES DA SILVA</t>
  </si>
  <si>
    <t>JACSSON MAYLON CASTRO CORREA</t>
  </si>
  <si>
    <t>JADERSON ARAUJO FERREIRA</t>
  </si>
  <si>
    <t>JAEDER RODRIGUES JUNIOR</t>
  </si>
  <si>
    <t>JAFER DA FONTOURA AHMAD</t>
  </si>
  <si>
    <t>JAIME ALVES DE ABREU SILVA</t>
  </si>
  <si>
    <t>JAIR ASSIS DA SILVA</t>
  </si>
  <si>
    <t>JAQUELINE LEVATI PEREIRA</t>
  </si>
  <si>
    <t>JAZEMIR DE SANTANA MARQUES</t>
  </si>
  <si>
    <t>JEAN FABIO OLIVERIO</t>
  </si>
  <si>
    <t>JEFERSON ADRIANO WERNER</t>
  </si>
  <si>
    <t>JEFERSON ZAMPRONIO DA SILVA</t>
  </si>
  <si>
    <t>JEFFERSON NAZARENO SILVA FREITAS</t>
  </si>
  <si>
    <t>JESSICA DE MIRANDA MEDEIROS FELICIANO</t>
  </si>
  <si>
    <t>JHEFERSON DIASSIS</t>
  </si>
  <si>
    <t>JOAO AGOSTINHO DA COSTA REIS</t>
  </si>
  <si>
    <t>JOAO ALEXANDRE LIMA</t>
  </si>
  <si>
    <t>JOAO DA SILVA VIANA</t>
  </si>
  <si>
    <t>JOAO MARCELO MARTINS DA SILVA BARBOSA</t>
  </si>
  <si>
    <t>JOELSON FERREIRA DOS SANTOS</t>
  </si>
  <si>
    <t>JOELSON JUNIOR MARTINS DE GOES</t>
  </si>
  <si>
    <t>JONAS CAVALCANTI DE OLIVEIRA</t>
  </si>
  <si>
    <t>JONAS PAULO DE MATOS</t>
  </si>
  <si>
    <t>JONATA OLIVEIRA DA SILVA</t>
  </si>
  <si>
    <t>JONES ALEXANDRE DIAS CARVALHO</t>
  </si>
  <si>
    <t>JORDAN DA SILVA ROCHA VIDAL</t>
  </si>
  <si>
    <t>JORGE ANTONIO VARGAS DA SILVA</t>
  </si>
  <si>
    <t>JORGE AUGUSTO DA SILVA E SILVA</t>
  </si>
  <si>
    <t>JORGE LUIZ MOREIRA CARDOSO</t>
  </si>
  <si>
    <t>JORGE NEGRI NETO</t>
  </si>
  <si>
    <t>JOSE CARLOS BATISTA</t>
  </si>
  <si>
    <t>JOSE CLAUDIO RIBEIRO</t>
  </si>
  <si>
    <t>JOSE DO PRADO ROSA</t>
  </si>
  <si>
    <t>JOSE EUSTAQUIO DE SOUZA</t>
  </si>
  <si>
    <t>JOSE JONAS FURLANETTO</t>
  </si>
  <si>
    <t>JOSE MARCOS PEREIRA VAZ</t>
  </si>
  <si>
    <t>JOSE NEI DOS SANTOS DUTRA</t>
  </si>
  <si>
    <t>JOSE NILDA DA CUNHA</t>
  </si>
  <si>
    <t>JOSE VICTOR ARAUJO FELIX</t>
  </si>
  <si>
    <t>JOSE WILKESON OLIVEIRA SILVA</t>
  </si>
  <si>
    <t>JOSEANE DA SILVA SOUZA</t>
  </si>
  <si>
    <t>JULIA SCHURHAUS PERETTI</t>
  </si>
  <si>
    <t>JULIANA RIBEIRO RAMOS</t>
  </si>
  <si>
    <t>JULIANO MACHADO DE MIRANDA</t>
  </si>
  <si>
    <t>JULIANO MESSIAS MOREIRA DE LIMA</t>
  </si>
  <si>
    <t>JULIO CESAR ALVES DA ROCHA</t>
  </si>
  <si>
    <t>JULIO CESAR DE SOUZA</t>
  </si>
  <si>
    <t>JUNIO VICENTE BARBOSA</t>
  </si>
  <si>
    <t>JUSTINO NOGUEIRA PEIXOTO JUNIOR</t>
  </si>
  <si>
    <t>KEVIN WILLIAMS COUTINHO BEZERRA PENA</t>
  </si>
  <si>
    <t>LAERCIO SOARES CANABARRO</t>
  </si>
  <si>
    <t>LARISSA MOTA GAIA ALBUQUERQUE</t>
  </si>
  <si>
    <t>LARISSA SANTOS DA SILVA</t>
  </si>
  <si>
    <t>LEANDRO APARECIDO JAQUES</t>
  </si>
  <si>
    <t>LEANDRO APARECIDO PEREIRA DA SILVA STEFANINI</t>
  </si>
  <si>
    <t>LEANDRO AUGUSTO KOHL</t>
  </si>
  <si>
    <t>LEANDRO DE MENEZES ASSUNCAO</t>
  </si>
  <si>
    <t>LEANDRO DE QUADROS</t>
  </si>
  <si>
    <t>LEANDRO EGAS</t>
  </si>
  <si>
    <t>LEANDRO FIGUEREDO BELCHIOR</t>
  </si>
  <si>
    <t>LEANDRO GUSMAO MUNIZ</t>
  </si>
  <si>
    <t>LEANDRO PINTO NUNES</t>
  </si>
  <si>
    <t>LEANDRO SOUSA</t>
  </si>
  <si>
    <t>LEONARDO MURATORI ATHAYDE</t>
  </si>
  <si>
    <t>LEONARDO ORESTES SOARES</t>
  </si>
  <si>
    <t>LEONARDO SCHNEIDER AVILA</t>
  </si>
  <si>
    <t>LETICIA ANGENITA SCHEIMANN BAUER</t>
  </si>
  <si>
    <t>LILIAN SANTOS DA SILVA</t>
  </si>
  <si>
    <t>LOI BATISTA ANTUNES SARAIVA</t>
  </si>
  <si>
    <t>LUAN THIAGO DA SILVA</t>
  </si>
  <si>
    <t>LUCAS ALECSANDER RIBEIRO</t>
  </si>
  <si>
    <t>LUCAS CARVALHO DE SOUZA</t>
  </si>
  <si>
    <t>LUCAS DANIEL DE SOUSA ARAUJO</t>
  </si>
  <si>
    <t>LUCAS DE PAULA SILVA</t>
  </si>
  <si>
    <t>LUCAS HENRIQUE ALVES DE OLIVEIRA</t>
  </si>
  <si>
    <t>LUCAS HENRIQUE CORREA DOS SANTOS</t>
  </si>
  <si>
    <t>LUCAS HENRIQUE PINHO</t>
  </si>
  <si>
    <t>LUCAS MARTINS MACAN</t>
  </si>
  <si>
    <t>LUCAS PEREIRA GONCALVES</t>
  </si>
  <si>
    <t>LUCAS RODRIGUES DE MOURA GALVAO</t>
  </si>
  <si>
    <t>LUCIANO DA SILVA DE PAULA</t>
  </si>
  <si>
    <t>LUCIANO JOSE DA CUNHA</t>
  </si>
  <si>
    <t>LUCIANO JOSE DO AMARAL PEREIRA</t>
  </si>
  <si>
    <t>LUDGERO HORACIO DE OLIVEIRA</t>
  </si>
  <si>
    <t>LUIS CARLOS BROERING</t>
  </si>
  <si>
    <t>LUIS CARLOS GARCIA SANTOS</t>
  </si>
  <si>
    <t>LUIS FELIPE RAYMUNDO GARCIA</t>
  </si>
  <si>
    <t>LUIS HENRIQUE DA SILVA BUHL</t>
  </si>
  <si>
    <t>LUIZ CLAUDIO DOS SANTOS</t>
  </si>
  <si>
    <t>LUIZ FERNANDO CAVALHEIRO</t>
  </si>
  <si>
    <t>LUIZ GUSTAVO DI GIORGIO</t>
  </si>
  <si>
    <t>LUIZ PAULO SILVA SOUSA JUNIOR</t>
  </si>
  <si>
    <t>MANOEL QUIRINO NETO</t>
  </si>
  <si>
    <t>MARCEL DA HORA CARVALHO</t>
  </si>
  <si>
    <t>MARCEL GOMES DE OLIVEIRA</t>
  </si>
  <si>
    <t>MARCELA CARVALHO LEITAO</t>
  </si>
  <si>
    <t>MARCELO DE ANDRADE CALVETTI</t>
  </si>
  <si>
    <t>MARCELO DE SOUZA DALA VEDOVA</t>
  </si>
  <si>
    <t>MARCELO GIMENEZ ARGEMON</t>
  </si>
  <si>
    <t>MARCELO PEREIRA LIMA</t>
  </si>
  <si>
    <t>MARCELO WELTER</t>
  </si>
  <si>
    <t>MARCIO BOUZAS FERREIRA</t>
  </si>
  <si>
    <t>MARCIO CAMPOS RIBEIRO</t>
  </si>
  <si>
    <t>MARCIO CORREA DA SILVA</t>
  </si>
  <si>
    <t>MARCIO DA COSTA JOAO</t>
  </si>
  <si>
    <t>MARCIO ROBERTO DA SILVA</t>
  </si>
  <si>
    <t>MARCO AURELIO DE ANDRADE MORAES</t>
  </si>
  <si>
    <t>MARCO AURELIO DE LIMA</t>
  </si>
  <si>
    <t>MARCOS ALESSANDRO SILVA GOMES</t>
  </si>
  <si>
    <t>MARCOS LUIZ SCHULTZ</t>
  </si>
  <si>
    <t>MARCOS SEGER</t>
  </si>
  <si>
    <t>MARIA CRISTINA DE OLIVEIRA NEVES</t>
  </si>
  <si>
    <t>MARIA EDUARDA ARAGAO</t>
  </si>
  <si>
    <t>MARIO SERGIO DE MENEZES MARQUES BORGES</t>
  </si>
  <si>
    <t>MATEUS DE CARVALHO BERTOL</t>
  </si>
  <si>
    <t>MATEUS FLOR GUESSER</t>
  </si>
  <si>
    <t>MATHEUS FERNANDES GUIMARAES</t>
  </si>
  <si>
    <t>MAURICIO JOSE CARDOSO</t>
  </si>
  <si>
    <t>MAURICIO SIMOES FARIAS JUNIOR</t>
  </si>
  <si>
    <t>MAURICIO TRINDADE DE CAMARGO</t>
  </si>
  <si>
    <t>MAURO PEDRO SAUGO</t>
  </si>
  <si>
    <t>MAYKON JEAN RIBEIRO FERREIRA</t>
  </si>
  <si>
    <t>MELSO CEZAR DA SILVA NETO</t>
  </si>
  <si>
    <t>MICHAEL RODRIGUES SANTOS</t>
  </si>
  <si>
    <t>MICHEL DOS SANTOS VENANCIO</t>
  </si>
  <si>
    <t>MICHEL VINHORTE DE SOUZA</t>
  </si>
  <si>
    <t>MIGUEL JOAO DINIS MOTA</t>
  </si>
  <si>
    <t>MILTON FERREIRA DAS NEVES JUNIOR</t>
  </si>
  <si>
    <t>MILTON FLECK PITROWSKI</t>
  </si>
  <si>
    <t>MOISES DOS SANTOS CABRAL</t>
  </si>
  <si>
    <t>MURILO DE ALMEIDA</t>
  </si>
  <si>
    <t>NEDSON LUIZ DURAES VELOSO</t>
  </si>
  <si>
    <t>NELSON FILIPE MARTINS DA SILVA</t>
  </si>
  <si>
    <t>NERTAN DE CASTRO MAIA</t>
  </si>
  <si>
    <t>NEUDO SAMPIETRO</t>
  </si>
  <si>
    <t>NILTON FARIAS JUNIOR</t>
  </si>
  <si>
    <t>NILTON SANTOS DA SILVA</t>
  </si>
  <si>
    <t>NIVALDO THIAGO DA CRUZ SANTOS</t>
  </si>
  <si>
    <t>NORMAN CRANI PORTELLA</t>
  </si>
  <si>
    <t>ODAIR CIRCO SOARES</t>
  </si>
  <si>
    <t>ORESTE BARBOSA DA SILVA JUNIOR</t>
  </si>
  <si>
    <t>OSCAR DOMINGO PALARO</t>
  </si>
  <si>
    <t>PALOMA CARLOS SPINOLA</t>
  </si>
  <si>
    <t>PAOLA CAROLINI BARBOSA</t>
  </si>
  <si>
    <t>PATRICK ANTONIEVICZ ALVES</t>
  </si>
  <si>
    <t>PAULO ALEXANDRE DE AMORIM</t>
  </si>
  <si>
    <t>PAULO AUGUSTO OLIVEIRA LIMA</t>
  </si>
  <si>
    <t>PAULO DE FREITAS PEREIRA</t>
  </si>
  <si>
    <t>PAULO EDUARDO AUGUSTO DE BRITO</t>
  </si>
  <si>
    <t>PAULO MARQUES TAVARES</t>
  </si>
  <si>
    <t>PAULO NILTON COSTA MOREIRA</t>
  </si>
  <si>
    <t>PAULO OLDAIR CUNHA PINTO</t>
  </si>
  <si>
    <t>PAULO TIAGO SANTOS DA SILVA</t>
  </si>
  <si>
    <t>PEDRO ALBERTO AMBROSIO ROCHA</t>
  </si>
  <si>
    <t>PEDRO DO NASCIMENTO FARO</t>
  </si>
  <si>
    <t>PITER ROBSON DA SILVA</t>
  </si>
  <si>
    <t>PRISCILA GOTARDO PEREIRA</t>
  </si>
  <si>
    <t>RAFAEL AMORIM VELLO</t>
  </si>
  <si>
    <t>RAFAEL CARNIEL DA SILVA</t>
  </si>
  <si>
    <t>RAFAEL NATAL LACHI</t>
  </si>
  <si>
    <t>RAFAEL PORTO ALVES DA CRUZ</t>
  </si>
  <si>
    <t>RAFAEL ROCHA MOURA</t>
  </si>
  <si>
    <t>RAMON GOMES TEIXEIRA</t>
  </si>
  <si>
    <t>RAMONY AVYSSON GOMES DA SILVA</t>
  </si>
  <si>
    <t>RAQUEL PANTOJA SANTOS</t>
  </si>
  <si>
    <t>RAUL ADRIANO DOS SANTOS</t>
  </si>
  <si>
    <t>RAYMUNDO FABIO PINHEIRO DE SOUZA</t>
  </si>
  <si>
    <t>RENAN VICTORIO DE LIMA</t>
  </si>
  <si>
    <t>RENATO PARREIRAS</t>
  </si>
  <si>
    <t>RICARDO DORNELES NEITZKE</t>
  </si>
  <si>
    <t>RICARDO MURCIA GARCIA FILHO</t>
  </si>
  <si>
    <t>RICARDO ZORZETTO</t>
  </si>
  <si>
    <t>RIQUELME DE OLIVEIRA E SILVA</t>
  </si>
  <si>
    <t>ROBERT RUFINO DE SOUZA CAETANO</t>
  </si>
  <si>
    <t>ROBERTO ALIAGA</t>
  </si>
  <si>
    <t>ROBERTO DOMINGUES PEREIRA</t>
  </si>
  <si>
    <t>ROBSON DA LUZ DA SILVA</t>
  </si>
  <si>
    <t>ROBSON DOS SANTOS GUEDES</t>
  </si>
  <si>
    <t>ROBSON FURTADO</t>
  </si>
  <si>
    <t>RODRIGO ALFAMA FURTADO</t>
  </si>
  <si>
    <t>RODRIGO BALESTRIN</t>
  </si>
  <si>
    <t>RODRIGO BOLDO</t>
  </si>
  <si>
    <t>RODRIGO CESAR DOS SANTOS</t>
  </si>
  <si>
    <t>RODRIGO DE SOUZA ROSA</t>
  </si>
  <si>
    <t>RODRIGO FRANCISCO CORREA</t>
  </si>
  <si>
    <t>RODRIGO JOSE DE PAULA</t>
  </si>
  <si>
    <t>RODRIGO ROBERTO DE SOUZA</t>
  </si>
  <si>
    <t>RODRIGO ROQUE</t>
  </si>
  <si>
    <t>RODRIGO SANTOS DA SILVA</t>
  </si>
  <si>
    <t>RODRIGO VANZETTA</t>
  </si>
  <si>
    <t>ROGERIO COSTA PRADO</t>
  </si>
  <si>
    <t>ROGERIO GOMES DE OLIVEIRA</t>
  </si>
  <si>
    <t>RONALDO DE CARVALHO</t>
  </si>
  <si>
    <t>RONALDO DE MATOS LELIS</t>
  </si>
  <si>
    <t>RONALDO RUFINO SANTANA</t>
  </si>
  <si>
    <t>SANDRA CRISTINA ALVES MACHADO</t>
  </si>
  <si>
    <t>SANDRO BARRETO DE SOUZA</t>
  </si>
  <si>
    <t>SANDRO CAPISTRANO</t>
  </si>
  <si>
    <t>SARA ARAGAO DA SILVA BARBOSA</t>
  </si>
  <si>
    <t>SAULO ARAUJO DE PAULA</t>
  </si>
  <si>
    <t>SERGIO ESTEVAM DEBIAZI</t>
  </si>
  <si>
    <t>SIDNEI MACHADO</t>
  </si>
  <si>
    <t>SILMARA CHAVES</t>
  </si>
  <si>
    <t>SILVIO ODELI FILHO</t>
  </si>
  <si>
    <t>SILVIO VINICIUS PINHEIRO GOES</t>
  </si>
  <si>
    <t>STEPHANIE THAINARA DE OLIVEIRA ROCHA DA COSTA</t>
  </si>
  <si>
    <t>TANDARA MARIA DO VALES PEREIRA ALVES</t>
  </si>
  <si>
    <t>TERCILA DA SILVA LOPES</t>
  </si>
  <si>
    <t>THALITA MANCILIO DIAS GONDIM</t>
  </si>
  <si>
    <t>THIAGO DE MEDEIROS VANZELER</t>
  </si>
  <si>
    <t>THIAGO LEANDRO DOS SANTOS</t>
  </si>
  <si>
    <t>THIAGO PEREIRA DE LIMA</t>
  </si>
  <si>
    <t>THIEGO LEANDRO ALVES DE OLIVEIRA</t>
  </si>
  <si>
    <t>THUANE DE OLIVEIRA MILSONI</t>
  </si>
  <si>
    <t>TIAGO ALVES PINTO</t>
  </si>
  <si>
    <t>TIAGO BEZERRA CAMARGO</t>
  </si>
  <si>
    <t>TIAGO BRANCO DE BARROS</t>
  </si>
  <si>
    <t>TIAGO DE FREITAS KAISER</t>
  </si>
  <si>
    <t>TIAGO DE JESUS ARAUJO</t>
  </si>
  <si>
    <t>TIAGO DE OLIVEIRA PAIVA</t>
  </si>
  <si>
    <t>TIAGO FERNANDES SANTOS DE OLIVEIRA</t>
  </si>
  <si>
    <t>TIAGO LUIZ MARTINS</t>
  </si>
  <si>
    <t>TOBIAS DA CRUZ</t>
  </si>
  <si>
    <t>TULIO VELOSO HONORATO</t>
  </si>
  <si>
    <t>UBIRAJARA DE ARAUJO TEIXEIRA</t>
  </si>
  <si>
    <t>UELITON CANDIDO</t>
  </si>
  <si>
    <t>UELITON SANTANA SANTOS</t>
  </si>
  <si>
    <t>ULISSES FERREIRA DE OLIVEIRA</t>
  </si>
  <si>
    <t>VALDIR LEONARDO VOIGT</t>
  </si>
  <si>
    <t>VALDOIR NOGUEIRA ANTUNES</t>
  </si>
  <si>
    <t>VANDERLEI DE SOUZA NORONHA JUNIOR</t>
  </si>
  <si>
    <t>VANDERLEI DOS SANTOS</t>
  </si>
  <si>
    <t>VICTOR MIGUEL PALARO</t>
  </si>
  <si>
    <t>VICTOR SIGOLO PINHEIRO PIMENTA</t>
  </si>
  <si>
    <t>VINICIUS PEIXOTO BONETTI</t>
  </si>
  <si>
    <t>WAGNER DOS SANTOS PEREIRA</t>
  </si>
  <si>
    <t>WAGNER RAFAEL GERHARDT</t>
  </si>
  <si>
    <t>WALTER DE CAMPOS NUNES NETO</t>
  </si>
  <si>
    <t>WALTER LUIZ DE OLIVEIRA BRAGA</t>
  </si>
  <si>
    <t>WELERSON PUFF RODRIGUES</t>
  </si>
  <si>
    <t>WELLINGTON ARION TAVARES</t>
  </si>
  <si>
    <t>WELLINGTON SILVA DE AGUIAR</t>
  </si>
  <si>
    <t>WELTON GERALDO WROBLEWSKI</t>
  </si>
  <si>
    <t>WERYKSON ISRAEL DE BEM PIRES</t>
  </si>
  <si>
    <t>WESLEY CARLOS AUGUSTO</t>
  </si>
  <si>
    <t>WESLLEY GABRIEL DA SILVA CARDOSO</t>
  </si>
  <si>
    <t>WILKINSON KECIO SILVA BARBOSA</t>
  </si>
  <si>
    <t>WILLIAM ANTONIO MARTELET STEFANO</t>
  </si>
  <si>
    <t>WILLIAM NORONHA TEIXEIRA</t>
  </si>
  <si>
    <t>WILLIAM SANTANA NUNES</t>
  </si>
  <si>
    <t>WILLIAN CARLOS RODRIGUES VIEIRA</t>
  </si>
  <si>
    <t>WILSON JOAQUIM CAMPOS</t>
  </si>
  <si>
    <t>WILSON LUIZ CABRAL</t>
  </si>
  <si>
    <t>RUDINEI MACHADO RODRIGUES</t>
  </si>
  <si>
    <t>82753342091</t>
  </si>
  <si>
    <t>ARNALDO VARGAS NETO</t>
  </si>
  <si>
    <t>80873367049</t>
  </si>
  <si>
    <t>EDUARDA CONCEICAO DE ALMEIDA</t>
  </si>
  <si>
    <t>03398821235</t>
  </si>
  <si>
    <t>Cartão não habilitado</t>
  </si>
  <si>
    <t>CARGA FINAL COM CX REPROV</t>
  </si>
  <si>
    <t>CARGA FINAL SEM CX REPROV.</t>
  </si>
  <si>
    <t>SALDO PENDENTE COM CX REPR.</t>
  </si>
  <si>
    <t>SALDO PENDENTE SEM CX REPR.</t>
  </si>
  <si>
    <t>SALDO REEMBOLSAR SEM CX REPR.</t>
  </si>
  <si>
    <t>CARGA FINAL  SEM CX REPROVADO</t>
  </si>
  <si>
    <t>CARGA PARCIAL SEM CX REPROV.</t>
  </si>
  <si>
    <t>1591 CAIXAS REPROVADOS</t>
  </si>
  <si>
    <t>Rótulos de Linha</t>
  </si>
  <si>
    <t>Total Geral</t>
  </si>
  <si>
    <t>Soma de CARGA FINAL SEM CX REPROV.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</si>
</sst>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836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0" fontId="0" fillId="2" borderId="0" xfId="0" applyFill="1"/>
    <xf numFmtId="43" fontId="3" fillId="0" borderId="1" xfId="1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2" fontId="0" fillId="0" borderId="0" xfId="1" applyNumberFormat="1" applyFont="1"/>
    <xf numFmtId="43" fontId="3" fillId="0" borderId="3" xfId="1" applyFont="1" applyBorder="1" applyAlignment="1">
      <alignment horizontal="center" vertical="center"/>
    </xf>
    <xf numFmtId="43" fontId="3" fillId="0" borderId="4" xfId="1" applyFont="1" applyBorder="1" applyAlignment="1">
      <alignment horizontal="center" vertical="center"/>
    </xf>
    <xf numFmtId="44" fontId="3" fillId="3" borderId="0" xfId="1" applyNumberFormat="1" applyFont="1" applyFill="1" applyAlignment="1">
      <alignment horizont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5" fillId="6" borderId="8" xfId="0" applyFont="1" applyFill="1" applyBorder="1" applyAlignment="1">
      <alignment horizontal="center"/>
    </xf>
    <xf numFmtId="1" fontId="5" fillId="7" borderId="8" xfId="0" applyNumberFormat="1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44" fontId="7" fillId="0" borderId="8" xfId="1" applyNumberFormat="1" applyFont="1" applyFill="1" applyBorder="1" applyAlignment="1">
      <alignment horizontal="center"/>
    </xf>
    <xf numFmtId="43" fontId="7" fillId="0" borderId="8" xfId="1" applyFont="1" applyFill="1" applyBorder="1" applyAlignment="1">
      <alignment horizontal="center"/>
    </xf>
    <xf numFmtId="43" fontId="7" fillId="0" borderId="10" xfId="1" applyFont="1" applyFill="1" applyBorder="1" applyAlignment="1">
      <alignment horizontal="center"/>
    </xf>
    <xf numFmtId="43" fontId="7" fillId="0" borderId="9" xfId="1" applyFont="1" applyFill="1" applyBorder="1" applyAlignment="1">
      <alignment horizontal="center"/>
    </xf>
    <xf numFmtId="43" fontId="7" fillId="0" borderId="11" xfId="1" applyFont="1" applyFill="1" applyBorder="1" applyAlignment="1">
      <alignment horizontal="center"/>
    </xf>
    <xf numFmtId="0" fontId="8" fillId="0" borderId="0" xfId="0" applyFont="1"/>
    <xf numFmtId="0" fontId="8" fillId="2" borderId="0" xfId="0" applyFont="1" applyFill="1"/>
    <xf numFmtId="43" fontId="0" fillId="2" borderId="0" xfId="1" applyFont="1" applyFill="1"/>
    <xf numFmtId="1" fontId="7" fillId="0" borderId="8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44" fontId="7" fillId="0" borderId="8" xfId="2" applyFont="1" applyFill="1" applyBorder="1" applyAlignment="1">
      <alignment horizontal="center"/>
    </xf>
    <xf numFmtId="44" fontId="9" fillId="5" borderId="7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43" fontId="5" fillId="0" borderId="8" xfId="1" applyFont="1" applyFill="1" applyBorder="1" applyAlignment="1">
      <alignment horizontal="center"/>
    </xf>
    <xf numFmtId="44" fontId="6" fillId="0" borderId="8" xfId="1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44" fontId="0" fillId="0" borderId="0" xfId="0" applyNumberFormat="1" applyAlignment="1">
      <alignment horizontal="center"/>
    </xf>
    <xf numFmtId="44" fontId="5" fillId="0" borderId="8" xfId="1" applyNumberFormat="1" applyFont="1" applyFill="1" applyBorder="1" applyAlignment="1">
      <alignment horizontal="center"/>
    </xf>
    <xf numFmtId="44" fontId="5" fillId="8" borderId="8" xfId="0" applyNumberFormat="1" applyFont="1" applyFill="1" applyBorder="1" applyAlignment="1">
      <alignment horizontal="center"/>
    </xf>
    <xf numFmtId="44" fontId="6" fillId="8" borderId="8" xfId="1" applyNumberFormat="1" applyFont="1" applyFill="1" applyBorder="1" applyAlignment="1">
      <alignment horizontal="center"/>
    </xf>
    <xf numFmtId="44" fontId="5" fillId="8" borderId="8" xfId="1" applyNumberFormat="1" applyFont="1" applyFill="1" applyBorder="1" applyAlignment="1">
      <alignment horizontal="center"/>
    </xf>
    <xf numFmtId="43" fontId="11" fillId="0" borderId="0" xfId="1" applyFont="1" applyAlignment="1">
      <alignment horizontal="center"/>
    </xf>
    <xf numFmtId="44" fontId="5" fillId="9" borderId="8" xfId="1" applyNumberFormat="1" applyFont="1" applyFill="1" applyBorder="1" applyAlignment="1">
      <alignment horizontal="center"/>
    </xf>
    <xf numFmtId="44" fontId="5" fillId="9" borderId="8" xfId="0" applyNumberFormat="1" applyFont="1" applyFill="1" applyBorder="1" applyAlignment="1">
      <alignment horizontal="center"/>
    </xf>
    <xf numFmtId="0" fontId="12" fillId="10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44" fontId="12" fillId="10" borderId="8" xfId="0" applyNumberFormat="1" applyFont="1" applyFill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3" fillId="4" borderId="5" xfId="1" applyFont="1" applyFill="1" applyBorder="1" applyAlignment="1">
      <alignment vertical="center"/>
    </xf>
    <xf numFmtId="43" fontId="3" fillId="4" borderId="6" xfId="1" applyFont="1" applyFill="1" applyBorder="1" applyAlignment="1">
      <alignment vertical="center"/>
    </xf>
  </cellXfs>
  <cellStyles count="3">
    <cellStyle name="Moeda" xfId="2" builtinId="4"/>
    <cellStyle name="Normal" xfId="0" builtinId="0"/>
    <cellStyle name="Vírgula" xfId="1" builtinId="3"/>
  </cellStyles>
  <dxfs count="3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257172</xdr:colOff>
      <xdr:row>0</xdr:row>
      <xdr:rowOff>142876</xdr:rowOff>
    </xdr:from>
    <xdr:to>
      <xdr:col>2</xdr:col>
      <xdr:colOff>752474</xdr:colOff>
      <xdr:row>3</xdr:row>
      <xdr:rowOff>295275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GESTOR">
              <a:extLst>
                <a:ext uri="{FF2B5EF4-FFF2-40B4-BE49-F238E27FC236}">
                  <a16:creationId xmlns:a16="http://schemas.microsoft.com/office/drawing/2014/main" id="{F9DF7A7B-87B6-4FD9-B4D1-5044CDCAE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S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2" y="142876"/>
              <a:ext cx="3590927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5.710137615744" createdVersion="8" refreshedVersion="8" minRefreshableVersion="3" recordCount="161" xr:uid="{8F47C37D-3D52-4117-8EE6-71458C81CE8F}">
  <cacheSource type="worksheet">
    <worksheetSource ref="A2:F163" sheet="Planilha1"/>
  </cacheSource>
  <cacheFields count="6">
    <cacheField name="PORTADOR" numFmtId="0">
      <sharedItems/>
    </cacheField>
    <cacheField name="CPF" numFmtId="0">
      <sharedItems/>
    </cacheField>
    <cacheField name="CENTRO CUSTO" numFmtId="0">
      <sharedItems/>
    </cacheField>
    <cacheField name="COD CENTRO CUSTO" numFmtId="0">
      <sharedItems containsSemiMixedTypes="0" containsString="0" containsNumber="1" containsInteger="1" minValue="1201071" maxValue="12010590001" count="88">
        <n v="11030290001"/>
        <n v="11010140001"/>
        <n v="11030690001"/>
        <n v="11040170001"/>
        <n v="11061480001"/>
        <n v="1201071"/>
        <n v="11010060001"/>
        <n v="11061830001"/>
        <n v="11010370001"/>
        <n v="11010400001"/>
        <n v="11030610001"/>
        <n v="11030730001"/>
        <n v="11061690001"/>
        <n v="11061720001"/>
        <n v="11062630001"/>
        <n v="11030840001"/>
        <n v="11030750001"/>
        <n v="11061860001"/>
        <n v="11080220001"/>
        <n v="11061940001"/>
        <n v="11010090001"/>
        <n v="11030580001"/>
        <n v="11061870001"/>
        <n v="11062050001"/>
        <n v="11062020001"/>
        <n v="11010110001"/>
        <n v="11010280001"/>
        <n v="11061200001"/>
        <n v="11030860001"/>
        <n v="11040130001"/>
        <n v="11030790001"/>
        <n v="11030910001"/>
        <n v="11062660001"/>
        <n v="11062610001"/>
        <n v="11080460001"/>
        <n v="11061810001"/>
        <n v="11062670001"/>
        <n v="11080170001"/>
        <n v="11030760001"/>
        <n v="11030600001"/>
        <n v="11040160001"/>
        <n v="11062740001"/>
        <n v="11040040001"/>
        <n v="11040140001"/>
        <n v="11010420001"/>
        <n v="11062830001"/>
        <n v="11062270001"/>
        <n v="11061400001"/>
        <n v="12010590001"/>
        <n v="11030850001"/>
        <n v="11010180001"/>
        <n v="11030650001"/>
        <n v="11030830001"/>
        <n v="11060700001"/>
        <n v="11062350001"/>
        <n v="11080150001"/>
        <n v="11061820001"/>
        <n v="11030660001"/>
        <n v="11080370001"/>
        <n v="11080440001"/>
        <n v="11030890001"/>
        <n v="1104150001"/>
        <n v="11060710001"/>
        <n v="11030870001"/>
        <n v="11030640001"/>
        <n v="11010170001"/>
        <n v="11061880001"/>
        <n v="11030700001"/>
        <n v="11061980001"/>
        <n v="11061770001"/>
        <n v="11030770001"/>
        <n v="11030780001"/>
        <n v="11030590001"/>
        <n v="11063040001"/>
        <n v="11030260001"/>
        <n v="11030620001"/>
        <n v="11062290001"/>
        <n v="11062650001"/>
        <n v="11061950001"/>
        <n v="11030630001"/>
        <n v="11062160001"/>
        <n v="11062770001"/>
        <n v="11062640001"/>
        <n v="11010150001"/>
        <n v="11030820001"/>
        <n v="11062900001"/>
        <n v="11061890001"/>
        <n v="11061430001"/>
      </sharedItems>
    </cacheField>
    <cacheField name="GESTOR" numFmtId="0">
      <sharedItems/>
    </cacheField>
    <cacheField name="CARGA FINAL SEM CX REPROV." numFmtId="44">
      <sharedItems containsSemiMixedTypes="0" containsString="0" containsNumber="1" minValue="0.18999999999999773" maxValue="13331.6000000000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s v="ABNER ANDRADE CAVALCANTE"/>
    <s v="02027745203"/>
    <s v="CEF AM AC RR"/>
    <x v="0"/>
    <s v="ANGELICA SOARES"/>
    <n v="9834.2800000000279"/>
  </r>
  <r>
    <s v="ADILSON MELLO DE CAMARGO"/>
    <s v="67324398049"/>
    <s v="BB SERET RS"/>
    <x v="1"/>
    <s v="ALEXANDRE GROSS"/>
    <n v="800"/>
  </r>
  <r>
    <s v="ADMILSON DOS SANTOS GALAN"/>
    <s v="04769973993"/>
    <s v="CEF NORTE SC"/>
    <x v="2"/>
    <s v="BRUNO LINHARES"/>
    <n v="1643.56"/>
  </r>
  <r>
    <s v="ADSON ARAUJO DA SILVA"/>
    <s v="94551804304"/>
    <s v="CLARO INFRA NORDESTE"/>
    <x v="3"/>
    <s v="FELIPE JOSE"/>
    <n v="1600"/>
  </r>
  <r>
    <s v="ADSON SANTOS DA SILVA"/>
    <s v="83058133553"/>
    <s v="TELEFONICA BA"/>
    <x v="4"/>
    <s v="GERSON OLIVEIRA"/>
    <n v="857.66000000000008"/>
  </r>
  <r>
    <s v="PRISCILA GOTARDO PEREIRA"/>
    <s v="05168980945"/>
    <s v="ADM FILIAL SC"/>
    <x v="5"/>
    <s v="BRUNO LINHARES"/>
    <n v="679.68"/>
  </r>
  <r>
    <s v="ALAN RODRIGO SILVA ANDRADE"/>
    <s v="07722232469"/>
    <s v="BB ALAGOAS"/>
    <x v="6"/>
    <s v="GERSON OLIVEIRA"/>
    <n v="224.83000000000084"/>
  </r>
  <r>
    <s v="ALIRIO THOMAZ VALENTIM"/>
    <s v="99335220000"/>
    <s v="NET LITORAL RS"/>
    <x v="7"/>
    <s v="ALEXANDRE GROSS"/>
    <n v="500"/>
  </r>
  <r>
    <s v="ANA CRISTINA FREIRE HOLANDA"/>
    <s v="60023937220"/>
    <s v="CEF AM AC RR"/>
    <x v="0"/>
    <s v="ANGELICA SOARES"/>
    <n v="8786.5600000000268"/>
  </r>
  <r>
    <s v="ANDERSON RICARDO VIEIRA"/>
    <s v="07822591975"/>
    <s v="BB NORTE OESTE PR"/>
    <x v="8"/>
    <s v="BRUNO LINHARES"/>
    <n v="189.19999999999939"/>
  </r>
  <r>
    <s v="ANDRE ARANHA MEISTER"/>
    <s v="03032275326"/>
    <s v="BB MARANHAO MA"/>
    <x v="9"/>
    <s v="ANGELICA SOARES"/>
    <n v="4500"/>
  </r>
  <r>
    <s v="ANDRE LUIZ SANTANA"/>
    <s v="11897381638"/>
    <s v="CEF SERRA GAUCHA RS"/>
    <x v="10"/>
    <s v="ALEXANDRE GROSS"/>
    <n v="2041.4900000000198"/>
  </r>
  <r>
    <s v="RAQUEL PANTOJA SANTOS"/>
    <s v="89395140259"/>
    <s v="CEF BELEM FACILITIES PA"/>
    <x v="11"/>
    <s v="ANGELICA SOARES"/>
    <n v="640"/>
  </r>
  <r>
    <s v="ANTONIO FERREIRA DE MENDONCA NETO"/>
    <s v="05766838760"/>
    <s v="TRIBUNAL DE JUSTICA RJ"/>
    <x v="12"/>
    <s v="ALLAN JEFFERSON"/>
    <n v="2566.8800000000101"/>
  </r>
  <r>
    <s v="ANTONIO MARCOS CAMARGO"/>
    <s v="04836584990"/>
    <s v="TRIBUNAL DE JUSTICA PR"/>
    <x v="13"/>
    <s v="BRUNO LINHARES"/>
    <n v="800"/>
  </r>
  <r>
    <s v="MARCOS SEGER"/>
    <s v="97135631900"/>
    <s v="UFPR PR"/>
    <x v="14"/>
    <s v="BRUNO LINHARES"/>
    <n v="1000"/>
  </r>
  <r>
    <s v="ALESSANDRO DE OLIVEIRA AZEVEDO"/>
    <s v="27494577858"/>
    <s v="CEF BAURU SP"/>
    <x v="15"/>
    <s v="LEANDRO NUNES"/>
    <n v="2983.12"/>
  </r>
  <r>
    <s v="BEATRIZ SILVA DE SIQUEIRA"/>
    <s v="35575473880"/>
    <s v="CEF SP SUL"/>
    <x v="16"/>
    <s v="LEANDRO NUNES"/>
    <n v="20.999999999985448"/>
  </r>
  <r>
    <s v="BRUNO FERREIRA DE SOUZA RODRIGUES"/>
    <s v="16306431730"/>
    <s v="TELEFONICA RJ"/>
    <x v="17"/>
    <s v="ALLAN JEFFERSON"/>
    <n v="4573.6399999999849"/>
  </r>
  <r>
    <s v="BRUNO OLIVEIRA DIAS"/>
    <s v="11992259755"/>
    <s v="PTB TIC INFRA"/>
    <x v="18"/>
    <s v="VINICIUS LOCATELLY"/>
    <n v="4943.170000000011"/>
  </r>
  <r>
    <s v="CAIO FRANCESCONI RIBEIRO"/>
    <s v="08924586904"/>
    <s v="TJ APOIO PR"/>
    <x v="19"/>
    <s v="BRUNO LINHARES"/>
    <n v="149.65999999999622"/>
  </r>
  <r>
    <s v="CARLOS ALEXANDRE GIGI"/>
    <s v="20005473896"/>
    <s v="BB SP"/>
    <x v="20"/>
    <s v="LEANDRO NUNES"/>
    <n v="7.3399999999996908"/>
  </r>
  <r>
    <s v="CARLOS NASCIMENTO NONATO JUNIOR"/>
    <s v="65973500225"/>
    <s v="CEF AM AC RR"/>
    <x v="0"/>
    <s v="ANGELICA SOARES"/>
    <n v="2394.6399999999994"/>
  </r>
  <r>
    <s v="CARLOS RENATO PACHECO DA SILVA"/>
    <s v="90443306087"/>
    <s v="CEF LESTE GAUCHO RS"/>
    <x v="21"/>
    <s v="ALEXANDRE GROSS"/>
    <n v="421.15999999999985"/>
  </r>
  <r>
    <s v="CHARLES NEVES MATTIUZZI"/>
    <s v="12547938790"/>
    <s v="TELEFONICA ES"/>
    <x v="22"/>
    <s v="VINICIUS LOCATELLY"/>
    <n v="1216.7300000000105"/>
  </r>
  <r>
    <s v="CLAUDEMIR MOREIRA"/>
    <s v="75609444004"/>
    <s v="TRIBUNAL DE JUSTICA PR"/>
    <x v="13"/>
    <s v="BRUNO LINHARES"/>
    <n v="510.00000000000125"/>
  </r>
  <r>
    <s v="CLAUDINEI VICENTE DE LIMA"/>
    <s v="91920795987"/>
    <s v="CELESC NORTE SC"/>
    <x v="23"/>
    <s v="BRUNO EDUARDO"/>
    <n v="119.6"/>
  </r>
  <r>
    <s v="CLAUDIO DONIZETE DA SILVA"/>
    <s v="93457235953"/>
    <s v="TRIBUNAL DE JUSTICA PR"/>
    <x v="13"/>
    <s v="BRUNO LINHARES"/>
    <n v="68.259999999997433"/>
  </r>
  <r>
    <s v="CLEBERSON APARECIDO BORGES DOS SANTOS"/>
    <s v="05864921947"/>
    <s v="TRIBUNAL DE JUSTICA PR"/>
    <x v="13"/>
    <s v="BRUNO LINHARES"/>
    <n v="413.9899999999775"/>
  </r>
  <r>
    <s v="CLERITON BACILA DOS SANTOS"/>
    <s v="05456615959"/>
    <s v="NET CTA PR"/>
    <x v="24"/>
    <s v="BRUNO LINHARES"/>
    <n v="2686.7100000000073"/>
  </r>
  <r>
    <s v="CRISTIAN MARCELO DE OLIVEIRA DOS SANTOS"/>
    <s v="92931901091"/>
    <s v="BB POA RS"/>
    <x v="25"/>
    <s v="ALEXANDRE GROSS"/>
    <n v="1000"/>
  </r>
  <r>
    <s v="CRISTIANO DA SILVA VALADARES"/>
    <s v="99062208649"/>
    <s v="CCBB BH MINAS"/>
    <x v="26"/>
    <s v="HUGO ALEXANDRE"/>
    <n v="457.00000000000045"/>
  </r>
  <r>
    <s v="DANIEL DA SILVA LOPES"/>
    <s v="94288259053"/>
    <s v="NET APOIO SC"/>
    <x v="27"/>
    <s v="BRUNO LINHARES"/>
    <n v="2402.3299999999995"/>
  </r>
  <r>
    <s v="ADEMARCIO DUARTE LOPES"/>
    <s v="06223031980"/>
    <s v="CEF FACILITIES CURITIBA PR"/>
    <x v="28"/>
    <s v="BRUNO LINHARES"/>
    <n v="738.57"/>
  </r>
  <r>
    <s v="DANILO ZANATTA LUCIANO"/>
    <s v="06285125970"/>
    <s v="CLARO INFRA SC"/>
    <x v="29"/>
    <s v="BRUNO EDUARDO"/>
    <n v="23.000000000001393"/>
  </r>
  <r>
    <s v="DAVID DE OLIVEIRA FRIGERIO"/>
    <s v="04817177900"/>
    <s v="CEF NORTE PR"/>
    <x v="30"/>
    <s v="BRUNO LINHARES"/>
    <n v="1651.380000000001"/>
  </r>
  <r>
    <s v="DAVID VICHI DE BRITO"/>
    <s v="21641472863"/>
    <s v="CEF FACILITIES PE"/>
    <x v="31"/>
    <s v="GERSON OLIVEIRA"/>
    <n v="2000"/>
  </r>
  <r>
    <s v="DEBORA ARAUJO FIGUEIREDO"/>
    <s v="85225720030"/>
    <s v="DRF NOVO HAMBURGO RS"/>
    <x v="32"/>
    <s v="ALEXANDRE GROSS"/>
    <n v="381.04999999999927"/>
  </r>
  <r>
    <s v="DEISE SOARES DE CAMPOS"/>
    <s v="69116709004"/>
    <s v="CEF NORTE SC"/>
    <x v="2"/>
    <s v="BRUNO LINHARES"/>
    <n v="577.81999999999607"/>
  </r>
  <r>
    <s v="DENIS FERREIRA DA SILVA"/>
    <s v="06637541435"/>
    <s v="ORIGEM ENERGIA AL"/>
    <x v="33"/>
    <s v="GERSON OLIVEIRA"/>
    <n v="397.75"/>
  </r>
  <r>
    <s v="DIEGO DOS SANTOS DE JESUS"/>
    <s v="05769658550"/>
    <s v="PTB MARAGOGIPE BA"/>
    <x v="34"/>
    <s v="GERSON OLIVEIRA"/>
    <n v="0.18999999999999773"/>
  </r>
  <r>
    <s v="DOUGLAS BRUCK MACHADO"/>
    <s v="03241621030"/>
    <s v="NET CENTRO RS"/>
    <x v="35"/>
    <s v="ALEXANDRE GROSS"/>
    <n v="109"/>
  </r>
  <r>
    <s v="DOUGLAS TIAGO DE OLIVEIRA"/>
    <s v="08492402989"/>
    <s v="TRIBUNAL DE JUSTICA PR"/>
    <x v="13"/>
    <s v="BRUNO LINHARES"/>
    <n v="699.83999999999708"/>
  </r>
  <r>
    <s v="LUIZ FERNANDO CAVALHEIRO"/>
    <s v="03898579980"/>
    <s v="TRIBUNAL DE JUSTICA PR"/>
    <x v="13"/>
    <s v="BRUNO LINHARES"/>
    <n v="800"/>
  </r>
  <r>
    <s v="ELIANDRO BRUNING"/>
    <s v="00461757923"/>
    <s v="TRIBUNAL DE JUSTICA PR"/>
    <x v="13"/>
    <s v="BRUNO LINHARES"/>
    <n v="790.16000000000076"/>
  </r>
  <r>
    <s v="EMERSON CHOUBI PRADO"/>
    <s v="29722576852"/>
    <s v="TRIBUNAL DE JUSTICA SP"/>
    <x v="36"/>
    <s v="LEANDRO NUNES"/>
    <n v="800"/>
  </r>
  <r>
    <s v="EMERSON LEITE DE BARROS"/>
    <s v="34168918807"/>
    <s v="PTB INFRA SUDESTE"/>
    <x v="37"/>
    <s v="LEANDRO NUNES"/>
    <n v="3000"/>
  </r>
  <r>
    <s v="ENZIO CARVALHO DA MOTA"/>
    <s v="38548259515"/>
    <s v="TELEFONICA BA"/>
    <x v="4"/>
    <s v="GERSON OLIVEIRA"/>
    <n v="666.52000000002272"/>
  </r>
  <r>
    <s v="ERICSON PINHEIRO DOS SANTOS"/>
    <s v="29157549850"/>
    <s v="CEF FACILITIES SP"/>
    <x v="38"/>
    <s v="LEANDRO NUNES"/>
    <n v="708.68999999999915"/>
  </r>
  <r>
    <s v="EVERTON CAMARGO DE LOURETO"/>
    <s v="91688205004"/>
    <s v="CEF VALE SINOS RS"/>
    <x v="39"/>
    <s v="ALEXANDRE GROSS"/>
    <n v="1058.260000000075"/>
  </r>
  <r>
    <s v="ARTHUR SANTOS DE OLIVEIRA"/>
    <s v="13921847621"/>
    <s v="CLARO INFRA MG"/>
    <x v="40"/>
    <s v="HUGO ALEXANDRE"/>
    <n v="700"/>
  </r>
  <r>
    <s v="FABIO MARTINS BORGES"/>
    <s v="05492458981"/>
    <s v="NET CTA PR"/>
    <x v="24"/>
    <s v="BRUNO LINHARES"/>
    <n v="197.06000000000074"/>
  </r>
  <r>
    <s v="FELIPE JOSE DE ALBUQUERQUE OLIVEIRA"/>
    <s v="73574031491"/>
    <s v="CLARO INFRA NORDESTE"/>
    <x v="3"/>
    <s v="FELIPE JOSE"/>
    <n v="692.91000000001804"/>
  </r>
  <r>
    <s v="FELIPE MORAES COSTA DE BRITTO"/>
    <s v="04347084102"/>
    <s v="INSS MT"/>
    <x v="41"/>
    <s v="ANGELICA SOARES"/>
    <n v="2069.6099999999983"/>
  </r>
  <r>
    <s v="FERNANDO RODRIGUES DUARTE"/>
    <s v="03377983112"/>
    <s v="CLARO CO"/>
    <x v="42"/>
    <s v="ANGELICA SOARES"/>
    <n v="2430.3300000000163"/>
  </r>
  <r>
    <s v="ANDERSON FERNANDES DE ALMEIDA"/>
    <s v="02553373961"/>
    <s v="CLARO INFRA PR"/>
    <x v="43"/>
    <s v="BRUNO EDUARDO"/>
    <n v="353.6400000000001"/>
  </r>
  <r>
    <s v="FRANCIONE DE SOUZA LUCENA"/>
    <s v="47331178253"/>
    <s v="TRIBUNAL DE JUSTICA PR"/>
    <x v="13"/>
    <s v="BRUNO LINHARES"/>
    <n v="762.39999999999748"/>
  </r>
  <r>
    <s v="ROBSON DOS SANTOS GUEDES"/>
    <s v="08418392983"/>
    <s v="CLARO INFRA SC"/>
    <x v="29"/>
    <s v="BRUNO EDUARDO"/>
    <n v="435.6"/>
  </r>
  <r>
    <s v="GIOVANI DONNANTUONI"/>
    <s v="15226997833"/>
    <s v="BB EDIFICIOS SP"/>
    <x v="44"/>
    <s v="LEANDRO NUNES"/>
    <n v="410.22"/>
  </r>
  <r>
    <s v="MILTON FERREIRA DAS NEVES JUNIOR"/>
    <s v="05100355581"/>
    <s v="ACELEN AR"/>
    <x v="45"/>
    <s v="GERSON OLIVEIRA"/>
    <n v="1496.21"/>
  </r>
  <r>
    <s v="DANIEL SANTOS DE ASSUNCAO"/>
    <s v="97592439549"/>
    <s v="BANCO ITAU BA"/>
    <x v="46"/>
    <s v="GERSON OLIVEIRA"/>
    <n v="1500"/>
  </r>
  <r>
    <s v="HEDER SILVA CAMPODONICO"/>
    <s v="03066906086"/>
    <s v="NET CENTRO RS"/>
    <x v="35"/>
    <s v="ALEXANDRE GROSS"/>
    <n v="200"/>
  </r>
  <r>
    <s v="HIGOR KELVYN SILVA AMORIM"/>
    <s v="09199781930"/>
    <s v="TELEFONICA SC"/>
    <x v="47"/>
    <s v="BRUNO LINHARES"/>
    <n v="1200"/>
  </r>
  <r>
    <s v="ICARO MEDEIROS SILVA"/>
    <s v="01565661338"/>
    <s v="CLARO INFRA NORDESTE"/>
    <x v="3"/>
    <s v="FELIPE JOSE"/>
    <n v="486"/>
  </r>
  <r>
    <s v="ISAIAS DA SILVA"/>
    <s v="04083479965"/>
    <s v="TRIBUNAL DE JUSTICA PR"/>
    <x v="13"/>
    <s v="BRUNO LINHARES"/>
    <n v="736.97"/>
  </r>
  <r>
    <s v="IVO LUCIANO DA SILVA WAGNER JUNIOR"/>
    <s v="12068745976"/>
    <s v="PATRIMONIO"/>
    <x v="48"/>
    <s v="GUILHERME FORTKAMP"/>
    <n v="170.60000000000014"/>
  </r>
  <r>
    <s v="JACKSON NATAN RODRIGUES DA SILVA"/>
    <s v="01456786288"/>
    <s v="BB NORTE OESTE PR"/>
    <x v="8"/>
    <s v="BRUNO LINHARES"/>
    <n v="230"/>
  </r>
  <r>
    <s v="LUCAS RODRIGUES DE MOURA GALVAO"/>
    <s v="04013986175"/>
    <s v="CEF GOIANIA CO"/>
    <x v="49"/>
    <s v="ANGELICA SOARES"/>
    <n v="2999.97"/>
  </r>
  <r>
    <s v="JAIME ALVES DE ABREU SILVA"/>
    <s v="00965306186"/>
    <s v="CLARO CO"/>
    <x v="42"/>
    <s v="ANGELICA SOARES"/>
    <n v="1169.4599999999955"/>
  </r>
  <r>
    <s v="JAIR ASSIS DA SILVA"/>
    <s v="60377348953"/>
    <s v="BB SERET SC"/>
    <x v="50"/>
    <s v="BRUNO LINHARES"/>
    <n v="798"/>
  </r>
  <r>
    <s v="RICARDO ZORZETTO"/>
    <s v="00539580040"/>
    <s v="CEF QUERENCIA RS"/>
    <x v="51"/>
    <s v="ALEXANDRE GROSS"/>
    <n v="3000"/>
  </r>
  <r>
    <s v="JESSICA DE MIRANDA MEDEIROS FELICIANO"/>
    <s v="10137575483"/>
    <s v="CEF PIRACICABA SP"/>
    <x v="52"/>
    <s v="LEANDRO NUNES"/>
    <n v="2902.1099999999551"/>
  </r>
  <r>
    <s v="JOAO ALEXANDRE LIMA"/>
    <s v="10588522996"/>
    <s v="CEF FACILITIES CURITIBA PR"/>
    <x v="28"/>
    <s v="BRUNO LINHARES"/>
    <n v="998.24"/>
  </r>
  <r>
    <s v="JOELSON FERREIRA DOS SANTOS"/>
    <s v="07690263623"/>
    <s v="CEF SUDESTE MG"/>
    <x v="53"/>
    <s v="HUGO ALEXANDRE"/>
    <n v="404.24000000000524"/>
  </r>
  <r>
    <s v="JOELSON JUNIOR MARTINS DE GOES"/>
    <s v="03528389907"/>
    <s v="UFPR PR"/>
    <x v="14"/>
    <s v="BRUNO LINHARES"/>
    <n v="121.5600000000004"/>
  </r>
  <r>
    <s v="JONAS CAVALCANTI DE OLIVEIRA"/>
    <s v="01696239478"/>
    <s v="3R PETROLEUM NE"/>
    <x v="54"/>
    <s v="GERSON OLIVEIRA"/>
    <n v="1512.0900000000001"/>
  </r>
  <r>
    <s v="JORGE NEGRI NETO"/>
    <s v="44997574600"/>
    <s v="PTB TIC NORDESTE"/>
    <x v="55"/>
    <s v="GERSON OLIVEIRA"/>
    <n v="515.97000000000116"/>
  </r>
  <r>
    <s v="ODAIR CIRCO SOARES"/>
    <s v="84219122915"/>
    <s v="TRIBUNAL DE JUSTICA PR"/>
    <x v="13"/>
    <s v="BRUNO LINHARES"/>
    <n v="800"/>
  </r>
  <r>
    <s v="NORMAN CRANI PORTELLA"/>
    <s v="79794157953"/>
    <s v="TRIBUNAL DE JUSTICA PR"/>
    <x v="13"/>
    <s v="BRUNO LINHARES"/>
    <n v="941.149999999996"/>
  </r>
  <r>
    <s v="JOSE EUSTAQUIO DE SOUZA"/>
    <s v="27335364191"/>
    <s v="CLARO CO"/>
    <x v="42"/>
    <s v="ANGELICA SOARES"/>
    <n v="802.56000000000131"/>
  </r>
  <r>
    <s v="JOSE JONAS FURLANETTO"/>
    <s v="55889913115"/>
    <s v="BB NORTE OESTE PR"/>
    <x v="8"/>
    <s v="BRUNO LINHARES"/>
    <n v="999"/>
  </r>
  <r>
    <s v="ANDERSON BICA PEREZ"/>
    <s v="00053957040"/>
    <s v="NET PORTO ALEGRE RS"/>
    <x v="56"/>
    <s v="ALEXANDRE GROSS"/>
    <n v="859.97000000000025"/>
  </r>
  <r>
    <s v="JUNIO VICENTE BARBOSA"/>
    <s v="10054353670"/>
    <s v="CEF NORDESTE MG"/>
    <x v="57"/>
    <s v="HUGO ALEXANDRE"/>
    <n v="392.83999999999941"/>
  </r>
  <r>
    <s v="JUSTINO NOGUEIRA PEIXOTO JUNIOR"/>
    <s v="09246793790"/>
    <s v="PTB EDISE RJ"/>
    <x v="58"/>
    <s v="BRUNO LINHARES"/>
    <n v="626.71999999999935"/>
  </r>
  <r>
    <s v="LEANDRO APARECIDO JAQUES"/>
    <s v="02586212908"/>
    <s v="CLARO INFRA PR"/>
    <x v="43"/>
    <s v="BRUNO EDUARDO"/>
    <n v="100"/>
  </r>
  <r>
    <s v="LEANDRO DE MENEZES ASSUNCAO"/>
    <s v="09072032640"/>
    <s v="CLARO INFRA MG"/>
    <x v="40"/>
    <s v="HUGO ALEXANDRE"/>
    <n v="602.19999999999902"/>
  </r>
  <r>
    <s v="LEANDRO SOUSA"/>
    <s v="00584427905"/>
    <s v="PTB AREAS VERDES SC"/>
    <x v="59"/>
    <s v="BRUNO LINHARES"/>
    <n v="1581.5200000000004"/>
  </r>
  <r>
    <s v="CLAUDINEI AMARAL"/>
    <s v="10433881844"/>
    <s v="TRIBUNAL DE JUSTICA PR"/>
    <x v="13"/>
    <s v="BRUNO LINHARES"/>
    <n v="864"/>
  </r>
  <r>
    <s v="LEONARDO ORESTES SOARES"/>
    <s v="05892698440"/>
    <s v="CLARO INFRA NORDESTE"/>
    <x v="3"/>
    <s v="FELIPE JOSE"/>
    <n v="219.99999999999636"/>
  </r>
  <r>
    <s v="LUCAS DE PAULA SILVA"/>
    <s v="08204909977"/>
    <s v="TRIBUNAL DE JUSTICA PR"/>
    <x v="13"/>
    <s v="BRUNO LINHARES"/>
    <n v="741.70000000000027"/>
  </r>
  <r>
    <s v="LUCAS HENRIQUE PINHO"/>
    <s v="45211709861"/>
    <s v="CLARO INFRA PR"/>
    <x v="43"/>
    <s v="BRUNO EDUARDO"/>
    <n v="100"/>
  </r>
  <r>
    <s v="LUCAS MARTINS MACAN"/>
    <s v="00975748998"/>
    <s v="CEF CEARA"/>
    <x v="60"/>
    <s v="GERSON OLIVEIRA"/>
    <n v="3492.0400000000059"/>
  </r>
  <r>
    <s v="WALTER DE CAMPOS NUNES NETO"/>
    <s v="99114160030"/>
    <s v="CLARO INFRA RS"/>
    <x v="61"/>
    <s v="BRUNO EDUARDO"/>
    <n v="5600"/>
  </r>
  <r>
    <s v="LUCIANO JOSE DO AMARAL PEREIRA"/>
    <s v="04434355708"/>
    <s v="CEF CENTRO NORTE SUL RJ"/>
    <x v="62"/>
    <s v="ALLAN JEFFERSON"/>
    <n v="2860.2500000000437"/>
  </r>
  <r>
    <s v="LUDGERO HORACIO DE OLIVEIRA"/>
    <s v="06576198922"/>
    <s v="CEF NORTE PR"/>
    <x v="30"/>
    <s v="BRUNO LINHARES"/>
    <n v="3869.8400000000838"/>
  </r>
  <r>
    <s v="JEFFERSON NAZARENO SILVA FREITAS"/>
    <s v="08103183776"/>
    <s v="CEF INTERIOR RJ"/>
    <x v="63"/>
    <s v="ALLAN JEFFERSON"/>
    <n v="1036.3199999999997"/>
  </r>
  <r>
    <s v="MARCEL GOMES DE OLIVEIRA"/>
    <s v="29011288823"/>
    <s v="CEF LESTE SP"/>
    <x v="64"/>
    <s v="LEANDRO NUNES"/>
    <n v="680.71999999999571"/>
  </r>
  <r>
    <s v="RONALDO DE MATOS LELIS"/>
    <s v="47502843604"/>
    <s v="CLARO INFRA MG"/>
    <x v="40"/>
    <s v="HUGO ALEXANDRE"/>
    <n v="1181.0199999999998"/>
  </r>
  <r>
    <s v="FRANCIELLY FELIX CAVALCANTE DE ANDRADE"/>
    <s v="09276240446"/>
    <s v="CEF AM AC RR"/>
    <x v="0"/>
    <s v="ANGELICA SOARES"/>
    <n v="8000"/>
  </r>
  <r>
    <s v="TULIO VELOSO HONORATO"/>
    <s v="12609931670"/>
    <s v="BB SUDESTE MG"/>
    <x v="65"/>
    <s v="HUGO ALEXANDRE"/>
    <n v="1506.0599999999995"/>
  </r>
  <r>
    <s v="MARCO AURELIO DE ANDRADE MORAES"/>
    <s v="72756284220"/>
    <s v="CEF AM AC RR"/>
    <x v="0"/>
    <s v="ANGELICA SOARES"/>
    <n v="2081.4699999999975"/>
  </r>
  <r>
    <s v="MARCO AURELIO DE LIMA"/>
    <s v="01356318665"/>
    <s v="TELEFONICA MG"/>
    <x v="66"/>
    <s v="HUGO ALEXANDRE"/>
    <n v="1786.4399999999732"/>
  </r>
  <r>
    <s v="MARIA EDUARDA ARAGAO"/>
    <s v="10363402950"/>
    <s v="CEF SUL SC"/>
    <x v="67"/>
    <s v="BRUNO LINHARES"/>
    <n v="1611.88"/>
  </r>
  <r>
    <s v="MATEUS DE CARVALHO BERTOL"/>
    <s v="01304856674"/>
    <s v="CLARO INFRA MG"/>
    <x v="40"/>
    <s v="HUGO ALEXANDRE"/>
    <n v="238.67000000000007"/>
  </r>
  <r>
    <s v="MATHEUS FERNANDES GUIMARAES"/>
    <s v="17996820724"/>
    <s v="CEF NORTE PR"/>
    <x v="30"/>
    <s v="BRUNO LINHARES"/>
    <n v="1975.2500000000036"/>
  </r>
  <r>
    <s v="MAURICIO JOSE CARDOSO"/>
    <s v="98394282091"/>
    <s v="GHC ARCON RS"/>
    <x v="68"/>
    <s v="ALEXANDRE GROSS"/>
    <n v="131.34999999999977"/>
  </r>
  <r>
    <s v="MAURICIO TRINDADE DE CAMARGO"/>
    <s v="01816236098"/>
    <s v="NET CENTRO RS"/>
    <x v="35"/>
    <s v="ALEXANDRE GROSS"/>
    <n v="177.89999999999964"/>
  </r>
  <r>
    <s v="MICHAEL RODRIGUES SANTOS"/>
    <s v="37425574837"/>
    <s v="CEF SP SUL"/>
    <x v="16"/>
    <s v="LEANDRO NUNES"/>
    <n v="1740.1200000000608"/>
  </r>
  <r>
    <s v="EDUARDO SANTOS"/>
    <s v="91270529072"/>
    <s v="NET APOIO RS"/>
    <x v="69"/>
    <s v="ALEXANDRE GROSS"/>
    <n v="2455.89"/>
  </r>
  <r>
    <s v="NEDSON LUIZ DURAES VELOSO"/>
    <s v="11498112692"/>
    <s v="CEF NORDESTE MG"/>
    <x v="57"/>
    <s v="HUGO ALEXANDRE"/>
    <n v="29.239999999994325"/>
  </r>
  <r>
    <s v="NIVALDO THIAGO DA CRUZ SANTOS"/>
    <s v="04442316929"/>
    <s v="CLARO INFRA PR"/>
    <x v="43"/>
    <s v="BRUNO EDUARDO"/>
    <n v="76.700000000000159"/>
  </r>
  <r>
    <s v="GUILHERME FERREIRA DA SILVA"/>
    <s v="41997553813"/>
    <s v="CEF RECIFE PE"/>
    <x v="70"/>
    <s v="GERSON OLIVEIRA"/>
    <n v="1997.69"/>
  </r>
  <r>
    <s v="MARCELO GIMENEZ ARGEMON"/>
    <s v="95073272153"/>
    <s v="CEF FACILITIES CAMPINAS SP"/>
    <x v="71"/>
    <s v="LEANDRO NUNES"/>
    <n v="1987"/>
  </r>
  <r>
    <s v="PATRICK ANTONIEVICZ ALVES"/>
    <s v="06456801923"/>
    <s v="TRIBUNAL DE JUSTICA PR"/>
    <x v="13"/>
    <s v="BRUNO LINHARES"/>
    <n v="1400"/>
  </r>
  <r>
    <s v="PAULO ALEXANDRE DE AMORIM"/>
    <s v="04179369907"/>
    <s v="CEF SUL SC"/>
    <x v="67"/>
    <s v="BRUNO LINHARES"/>
    <n v="1197.1799999999985"/>
  </r>
  <r>
    <s v="PAULO DE FREITAS PEREIRA"/>
    <s v="11634696611"/>
    <s v="CLARO INFRA MG"/>
    <x v="40"/>
    <s v="HUGO ALEXANDRE"/>
    <n v="280.15000000000089"/>
  </r>
  <r>
    <s v="PAULO NILTON COSTA MOREIRA"/>
    <s v="45159599053"/>
    <s v="CEF EXTREMO SUL RS"/>
    <x v="72"/>
    <s v="ALEXANDRE GROSS"/>
    <n v="1699.5199999999834"/>
  </r>
  <r>
    <s v="PEDRO DO NASCIMENTO FARO"/>
    <s v="42694515215"/>
    <s v="CENSIPAM PA"/>
    <x v="73"/>
    <s v="ANGELICA SOARES"/>
    <n v="11.939999999999998"/>
  </r>
  <r>
    <s v="JAEDER RODRIGUES JUNIOR"/>
    <s v="07505987607"/>
    <s v="CEF NORDESTE MG"/>
    <x v="57"/>
    <s v="HUGO ALEXANDRE"/>
    <n v="6925.5"/>
  </r>
  <r>
    <s v="RAFAEL AMORIM VELLO"/>
    <s v="01677920599"/>
    <s v="CEF NORTE OESTE BA"/>
    <x v="74"/>
    <s v="GERSON OLIVEIRA"/>
    <n v="13331.600000000064"/>
  </r>
  <r>
    <s v="RAFAEL CARNIEL DA SILVA"/>
    <s v="05337927973"/>
    <s v="TRIBUNAL DE JUSTICA PR"/>
    <x v="13"/>
    <s v="BRUNO LINHARES"/>
    <n v="323.99999999999852"/>
  </r>
  <r>
    <s v="RAFAEL NATAL LACHI"/>
    <s v="03710085900"/>
    <s v="TRIBUNAL DE JUSTICA PR"/>
    <x v="13"/>
    <s v="BRUNO LINHARES"/>
    <n v="537.79999999999688"/>
  </r>
  <r>
    <s v="RAFAEL PORTO ALVES DA CRUZ"/>
    <s v="11914988671"/>
    <s v="CLARO INFRA MG"/>
    <x v="40"/>
    <s v="HUGO ALEXANDRE"/>
    <n v="709.17999999999756"/>
  </r>
  <r>
    <s v="RAMON GOMES TEIXEIRA"/>
    <s v="83978054515"/>
    <s v="BB EDIFICIOS SP"/>
    <x v="44"/>
    <s v="LEANDRO NUNES"/>
    <n v="1162.5000000000002"/>
  </r>
  <r>
    <s v="RAUL ADRIANO DOS SANTOS"/>
    <s v="03288831902"/>
    <s v="TRIBUNAL DE JUSTICA PR"/>
    <x v="13"/>
    <s v="BRUNO LINHARES"/>
    <n v="613.04999999999723"/>
  </r>
  <r>
    <s v="RENATO PARREIRAS"/>
    <s v="97162485634"/>
    <s v="CLARO INFRA MG"/>
    <x v="40"/>
    <s v="HUGO ALEXANDRE"/>
    <n v="362.74999999999932"/>
  </r>
  <r>
    <s v="RODRIGO VANZETTA"/>
    <s v="99532344004"/>
    <s v="CEF NORTE GAUCHO RS"/>
    <x v="75"/>
    <s v="ALEXANDRE GROSS"/>
    <n v="2430.88"/>
  </r>
  <r>
    <s v="ORESTE BARBOSA DA SILVA JUNIOR"/>
    <s v="25075562850"/>
    <s v="CEF PIRACICABA SP"/>
    <x v="52"/>
    <s v="LEANDRO NUNES"/>
    <n v="4000"/>
  </r>
  <r>
    <s v="ROBERTO DOMINGUES PEREIRA"/>
    <s v="81480261068"/>
    <s v="TELEFONICA SC"/>
    <x v="47"/>
    <s v="BRUNO LINHARES"/>
    <n v="209.780000000011"/>
  </r>
  <r>
    <s v="RODRIGO BALESTRIN"/>
    <s v="02845828918"/>
    <s v="CLARO INFRA SC"/>
    <x v="29"/>
    <s v="BRUNO EDUARDO"/>
    <n v="124.4"/>
  </r>
  <r>
    <s v="RODRIGO FRANCISCO CORREA"/>
    <s v="03059202940"/>
    <s v="TRIBUNAL DE JUSTICA PR"/>
    <x v="13"/>
    <s v="BRUNO LINHARES"/>
    <n v="456.45000000000272"/>
  </r>
  <r>
    <s v="RODRIGO SANTOS DA SILVA"/>
    <s v="05504962706"/>
    <s v="BANCO ITAU RJ"/>
    <x v="76"/>
    <s v="ALLAN JEFFERSON"/>
    <n v="432.05999999998858"/>
  </r>
  <r>
    <s v="MARCEL DA HORA CARVALHO"/>
    <s v="01730674500"/>
    <s v="POLICIA FEDERAL BA"/>
    <x v="77"/>
    <s v="GERSON OLIVEIRA"/>
    <n v="1500"/>
  </r>
  <r>
    <s v="SILMARA CHAVES"/>
    <s v="02706762950"/>
    <s v="BB TIRADENTES PR"/>
    <x v="78"/>
    <s v="BRUNO LINHARES"/>
    <n v="607"/>
  </r>
  <r>
    <s v="JOSE CARLOS BATISTA"/>
    <s v="26652452804"/>
    <s v="PTB INFRA SUDESTE"/>
    <x v="37"/>
    <s v="LEANDRO NUNES"/>
    <n v="6000"/>
  </r>
  <r>
    <s v="RONALDO RUFINO SANTANA"/>
    <s v="29758827855"/>
    <s v="CEF PIRACICABA SP"/>
    <x v="52"/>
    <s v="LEANDRO NUNES"/>
    <n v="3432.0500000000611"/>
  </r>
  <r>
    <s v="SANDRO BARRETO DE SOUZA"/>
    <s v="78021324953"/>
    <s v="CEF SUL SC"/>
    <x v="67"/>
    <s v="BRUNO LINHARES"/>
    <n v="3759.8500000000163"/>
  </r>
  <r>
    <s v="SANDRO CAPISTRANO"/>
    <s v="16996346886"/>
    <s v="CEF BAURU SP"/>
    <x v="15"/>
    <s v="LEANDRO NUNES"/>
    <n v="2178.7100000000037"/>
  </r>
  <r>
    <s v="SAULO ARAUJO DE PAULA"/>
    <s v="31040091806"/>
    <s v="CEF SP SUL"/>
    <x v="16"/>
    <s v="LEANDRO NUNES"/>
    <n v="3631.140000000004"/>
  </r>
  <r>
    <s v="SIDNEI MACHADO"/>
    <s v="02710155940"/>
    <s v="TRIBUNAL DE JUSTICA PR"/>
    <x v="13"/>
    <s v="BRUNO LINHARES"/>
    <n v="102.85000000000184"/>
  </r>
  <r>
    <s v="LEANDRO GUSMAO MUNIZ"/>
    <s v="13126691790"/>
    <s v="CEF INTERIOR RJ"/>
    <x v="63"/>
    <s v="ALLAN JEFFERSON"/>
    <n v="3113.4599999999928"/>
  </r>
  <r>
    <s v="SILVIO ODELI FILHO"/>
    <s v="07634898910"/>
    <s v="CLARO INFRA SC"/>
    <x v="29"/>
    <s v="BRUNO EDUARDO"/>
    <n v="16.900000000000006"/>
  </r>
  <r>
    <s v="SILVIO VINICIUS PINHEIRO GOES"/>
    <s v="51182084168"/>
    <s v="CLARO CO"/>
    <x v="42"/>
    <s v="ANGELICA SOARES"/>
    <n v="4711.3400000000083"/>
  </r>
  <r>
    <s v="TERCILA DA SILVA LOPES"/>
    <s v="67752721387"/>
    <s v="CEF CEARA"/>
    <x v="60"/>
    <s v="GERSON OLIVEIRA"/>
    <n v="1590.2600000000029"/>
  </r>
  <r>
    <s v="THALITA MANCILIO DIAS GONDIM"/>
    <s v="30941372880"/>
    <s v="TRIBUNAL DE JUSTICA SP"/>
    <x v="36"/>
    <s v="LEANDRO NUNES"/>
    <n v="556.54999999999961"/>
  </r>
  <r>
    <s v="FABIO DIOGO BITTENCOURT"/>
    <s v="00526143959"/>
    <s v="CEF CENTRO GAUCHO RS"/>
    <x v="79"/>
    <s v="ALEXANDRE GROSS"/>
    <n v="2800"/>
  </r>
  <r>
    <s v="THIAGO PEREIRA DE LIMA"/>
    <s v="06478105490"/>
    <s v="CLARO INFRA NORDESTE"/>
    <x v="3"/>
    <s v="FELIPE JOSE"/>
    <n v="459.24000000000035"/>
  </r>
  <r>
    <s v="TIAGO FERNANDES SANTOS DE OLIVEIRA"/>
    <s v="00849381533"/>
    <s v="CARMO ENERGY"/>
    <x v="80"/>
    <s v="GERSON OLIVEIRA"/>
    <n v="415.75999999999681"/>
  </r>
  <r>
    <s v="ARLEY HENRIQUE DE SOUZA LUZ"/>
    <s v="01170402232"/>
    <s v="CEF GOIANIA CO"/>
    <x v="49"/>
    <s v="ANGELICA SOARES"/>
    <n v="5611.24"/>
  </r>
  <r>
    <s v="UELITON CANDIDO"/>
    <s v="10354623621"/>
    <s v="NET SUL MG"/>
    <x v="81"/>
    <s v="HUGO ALEXANDRE"/>
    <n v="744.84999999999968"/>
  </r>
  <r>
    <s v="VANDERLEI DOS SANTOS"/>
    <s v="21262405840"/>
    <s v="TRIBUNAL DE JUSTICA SP"/>
    <x v="36"/>
    <s v="LEANDRO NUNES"/>
    <n v="800"/>
  </r>
  <r>
    <s v="VICTOR MIGUEL PALARO"/>
    <s v="09265596996"/>
    <s v="TRIBUNAL DE JUSTICA PR"/>
    <x v="13"/>
    <s v="BRUNO LINHARES"/>
    <n v="209.67999999999591"/>
  </r>
  <r>
    <s v="VICTOR SIGOLO PINHEIRO PIMENTA"/>
    <s v="12237490619"/>
    <s v="INSS SP"/>
    <x v="82"/>
    <s v="LEANDRO NUNES"/>
    <n v="1012.4100000000253"/>
  </r>
  <r>
    <s v="WAGNER DOS SANTOS PEREIRA"/>
    <s v="94512043004"/>
    <s v="BB SHOPPING ESTACAO PR"/>
    <x v="83"/>
    <s v="BRUNO LINHARES"/>
    <n v="500"/>
  </r>
  <r>
    <s v="GUILHERME MOTTA RIBEIRO SILVA"/>
    <s v="11178519740"/>
    <s v="CEF ES"/>
    <x v="84"/>
    <s v="VINICIUS LOCATELLY"/>
    <n v="6198.15"/>
  </r>
  <r>
    <s v="WELERSON PUFF RODRIGUES"/>
    <s v="04352219657"/>
    <s v="PROSEGUR MG"/>
    <x v="85"/>
    <s v="HUGO ALEXANDRE"/>
    <n v="971.66000000000713"/>
  </r>
  <r>
    <s v="WELLINGTON ARION TAVARES"/>
    <s v="04747951954"/>
    <s v="TRIBUNAL DE JUSTICA PR"/>
    <x v="13"/>
    <s v="BRUNO LINHARES"/>
    <n v="778.05000000000291"/>
  </r>
  <r>
    <s v="WELTON GERALDO WROBLEWSKI"/>
    <s v="91443130982"/>
    <s v="TRIBUNAL DE JUSTICA PR"/>
    <x v="13"/>
    <s v="BRUNO LINHARES"/>
    <n v="799.99999999999693"/>
  </r>
  <r>
    <s v="WERYKSON ISRAEL DE BEM PIRES"/>
    <s v="02055553143"/>
    <s v="NET APOIO PR"/>
    <x v="86"/>
    <s v="EVERSON GAIDSTIECHI"/>
    <n v="2494"/>
  </r>
  <r>
    <s v="WILLIAM SANTANA NUNES"/>
    <s v="95417400068"/>
    <s v="GHC ARCON RS"/>
    <x v="68"/>
    <s v="ALEXANDRE GROSS"/>
    <n v="111.90000000000009"/>
  </r>
  <r>
    <s v="EDUARDA CONCEICAO DE ALMEIDA"/>
    <s v="03398821235"/>
    <s v="TELEFONICA CO"/>
    <x v="87"/>
    <s v="ANGELICA SOARES"/>
    <n v="1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AC320-3E3F-4D0D-893D-B98491F04E19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I91" firstHeaderRow="1" firstDataRow="1" firstDataCol="1"/>
  <pivotFields count="6">
    <pivotField showAll="0"/>
    <pivotField showAll="0"/>
    <pivotField showAll="0"/>
    <pivotField axis="axisRow" showAll="0">
      <items count="89">
        <item x="5"/>
        <item x="61"/>
        <item x="6"/>
        <item x="20"/>
        <item x="25"/>
        <item x="1"/>
        <item x="83"/>
        <item x="65"/>
        <item x="50"/>
        <item x="26"/>
        <item x="8"/>
        <item x="9"/>
        <item x="44"/>
        <item x="74"/>
        <item x="0"/>
        <item x="21"/>
        <item x="72"/>
        <item x="39"/>
        <item x="10"/>
        <item x="75"/>
        <item x="79"/>
        <item x="64"/>
        <item x="51"/>
        <item x="57"/>
        <item x="2"/>
        <item x="67"/>
        <item x="11"/>
        <item x="16"/>
        <item x="38"/>
        <item x="70"/>
        <item x="71"/>
        <item x="30"/>
        <item x="84"/>
        <item x="52"/>
        <item x="15"/>
        <item x="49"/>
        <item x="28"/>
        <item x="63"/>
        <item x="60"/>
        <item x="31"/>
        <item x="42"/>
        <item x="29"/>
        <item x="43"/>
        <item x="40"/>
        <item x="3"/>
        <item x="53"/>
        <item x="62"/>
        <item x="27"/>
        <item x="47"/>
        <item x="87"/>
        <item x="4"/>
        <item x="12"/>
        <item x="13"/>
        <item x="69"/>
        <item x="35"/>
        <item x="56"/>
        <item x="7"/>
        <item x="17"/>
        <item x="22"/>
        <item x="66"/>
        <item x="86"/>
        <item x="19"/>
        <item x="78"/>
        <item x="68"/>
        <item x="24"/>
        <item x="23"/>
        <item x="80"/>
        <item x="46"/>
        <item x="76"/>
        <item x="54"/>
        <item x="33"/>
        <item x="14"/>
        <item x="82"/>
        <item x="77"/>
        <item x="32"/>
        <item x="36"/>
        <item x="41"/>
        <item x="81"/>
        <item x="45"/>
        <item x="85"/>
        <item x="73"/>
        <item x="55"/>
        <item x="37"/>
        <item x="18"/>
        <item x="58"/>
        <item x="59"/>
        <item x="34"/>
        <item x="48"/>
        <item t="default"/>
      </items>
    </pivotField>
    <pivotField showAll="0"/>
    <pivotField dataField="1" numFmtId="44" showAll="0"/>
  </pivotFields>
  <rowFields count="1">
    <field x="3"/>
  </rowFields>
  <rowItems count="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 t="grand">
      <x/>
    </i>
  </rowItems>
  <colItems count="1">
    <i/>
  </colItems>
  <dataFields count="1">
    <dataField name="Soma de CARGA FINAL SEM CX REPROV.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STOR" xr10:uid="{EC046117-9D13-4535-B959-78465844A8D4}" sourceName="DIREÇÃO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STOR" xr10:uid="{38B31B82-EA8E-4AEE-A0E4-0AE333B69CC1}" cache="SegmentaçãodeDados_GESTOR" caption="DIREÇÃO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A38F6-38AF-4978-B691-D789E77DBB1B}" name="Tabela1" displayName="Tabela1" ref="B6:V481" totalsRowShown="0" headerRowDxfId="30" dataDxfId="28" headerRowBorderDxfId="29" tableBorderDxfId="27" totalsRowBorderDxfId="26" dataCellStyle="Vírgula">
  <autoFilter ref="B6:V481" xr:uid="{3F1A38F6-38AF-4978-B691-D789E77DBB1B}">
    <filterColumn colId="18">
      <customFilters>
        <customFilter operator="greaterThan" val="0"/>
      </customFilters>
    </filterColumn>
  </autoFilter>
  <tableColumns count="21">
    <tableColumn id="1" xr3:uid="{214BE6B5-0FEB-4F55-98DF-70ABFEFE9ADD}" name="PORTADOR" dataDxfId="25"/>
    <tableColumn id="2" xr3:uid="{8637165F-4BC7-47D4-A02B-AF91B313F84F}" name="CPF" dataDxfId="24"/>
    <tableColumn id="4" xr3:uid="{D6316DBC-7A2F-444A-9414-E158EBEDC95A}" name="STATUS COLAB" dataDxfId="23"/>
    <tableColumn id="5" xr3:uid="{80AA36BF-1E3D-409D-A2F5-5D6F793B2CEB}" name="CENTRO CUSTO" dataDxfId="22"/>
    <tableColumn id="9" xr3:uid="{2508837B-A801-4C22-8D15-51B4563F398F}" name="COD CENTRO CUSTO" dataDxfId="21"/>
    <tableColumn id="8" xr3:uid="{7EC7BE37-D9E6-4009-8E92-82F1BCB9AE42}" name="GESTOR" dataDxfId="20"/>
    <tableColumn id="6" xr3:uid="{15EC2A6F-4293-4E6C-8370-2E8CA7FAEBEF}" name="DIREÇÃO" dataDxfId="19"/>
    <tableColumn id="7" xr3:uid="{454D0D14-3984-4CEA-9E00-FE263E42B441}" name="SALDO REEMBOLSAR" dataDxfId="18" dataCellStyle="Vírgula"/>
    <tableColumn id="17" xr3:uid="{3741A135-33DF-41F9-9F70-B82658429996}" name="SALDO PENDENTE COM CX REPR." dataDxfId="17" dataCellStyle="Vírgula"/>
    <tableColumn id="13" xr3:uid="{03F9C434-C149-4758-8B1F-52E108FD210C}" name="SALDO REEMBOLSAR SEM CX REPR." dataDxfId="16" dataCellStyle="Vírgula"/>
    <tableColumn id="12" xr3:uid="{43F48CBA-809B-4B98-8D68-DF4080E575F7}" name="SALDO PENDENTE SEM CX REPR." dataDxfId="15" dataCellStyle="Vírgula"/>
    <tableColumn id="19" xr3:uid="{2790DF06-23E7-4C86-AE56-DC61CB5C5DF2}" name="1QZ DE MARÇO 26" dataDxfId="14" dataCellStyle="Vírgula"/>
    <tableColumn id="10" xr3:uid="{82781717-3B5B-4DF6-A733-61529EE55E60}" name="SALDO CARTAO" dataDxfId="13" dataCellStyle="Vírgula"/>
    <tableColumn id="11" xr3:uid="{87E57C6A-1EA4-46E9-9A70-04D03A7DA951}" name="ADIANTAMENTO" dataDxfId="12" dataCellStyle="Vírgula"/>
    <tableColumn id="20" xr3:uid="{EC0C63EF-AA38-4158-B6FD-116DB80600D9}" name="CARGA PARCIAL" dataDxfId="11" dataCellStyle="Vírgula">
      <calculatedColumnFormula>Tabela1[[#This Row],[1QZ DE MARÇO 26]]-Tabela1[[#This Row],[SALDO PENDENTE COM CX REPR.]]-Tabela1[[#This Row],[SALDO CARTAO]]-Tabela1[[#This Row],[ADIANTAMENTO]]</calculatedColumnFormula>
    </tableColumn>
    <tableColumn id="18" xr3:uid="{AEF6B494-92EE-4F17-826D-00536CA90E7F}" name="CARGA PARCIAL SEM CX REPROV." dataDxfId="10" dataCellStyle="Vírgula">
      <calculatedColumnFormula>Tabela1[[#This Row],[1QZ DE MARÇO 26]]-Tabela1[[#This Row],[SALDO PENDENTE SEM CX REPR.]]-Tabela1[[#This Row],[SALDO CARTAO]]-Tabela1[[#This Row],[ADIANTAMENTO]]</calculatedColumnFormula>
    </tableColumn>
    <tableColumn id="16" xr3:uid="{AA5AF2BB-BAAD-40C7-9F85-008899B11444}" name="REEMBOLSO" dataDxfId="9" dataCellStyle="Vírgula"/>
    <tableColumn id="14" xr3:uid="{243C6D30-DF8E-43D7-8618-E299D7231C7A}" name="CARGA FINAL COM CX REPROV" dataDxfId="8" dataCellStyle="Moeda">
      <calculatedColumnFormula>IF(Tabela1[[#This Row],[CARGA PARCIAL]]&lt;0,0,Tabela1[[#This Row],[CARGA PARCIAL]]+Tabela1[[#This Row],[REEMBOLSO]])</calculatedColumnFormula>
    </tableColumn>
    <tableColumn id="3" xr3:uid="{8D374178-05CC-4682-949C-9862CB01C40A}" name="CARGA FINAL SEM CX REPROV." dataDxfId="7" dataCellStyle="Moeda">
      <calculatedColumnFormula>IF(Tabela1[[#This Row],[CARGA PARCIAL SEM CX REPROV.]]&lt;0,0,Tabela1[[#This Row],[CARGA PARCIAL]]+Tabela1[[#This Row],[REEMBOLSO]])</calculatedColumnFormula>
    </tableColumn>
    <tableColumn id="21" xr3:uid="{F7A4D679-03A6-4F24-B18C-93BF65D6B626}" name="STATUS DO CARTAO" dataDxfId="6" dataCellStyle="Vírgula"/>
    <tableColumn id="15" xr3:uid="{AC940E01-A51C-4BAE-B74C-E71E2C457B50}" name="OBS " dataDxfId="5" dataCellStyle="Vírgula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5666-905F-41AB-AC8D-9C7F30BDC52A}">
  <dimension ref="A1:BA481"/>
  <sheetViews>
    <sheetView showGridLines="0" tabSelected="1" workbookViewId="0">
      <selection activeCell="D17" sqref="D17"/>
    </sheetView>
  </sheetViews>
  <sheetFormatPr defaultColWidth="9.140625" defaultRowHeight="15.75" x14ac:dyDescent="0.25"/>
  <cols>
    <col min="1" max="1" width="4.140625" style="1" customWidth="1"/>
    <col min="2" max="2" width="42.28515625" style="2" bestFit="1" customWidth="1"/>
    <col min="3" max="3" width="12" style="2" bestFit="1" customWidth="1"/>
    <col min="4" max="4" width="19.140625" style="3" bestFit="1" customWidth="1"/>
    <col min="5" max="5" width="31" style="3" bestFit="1" customWidth="1"/>
    <col min="6" max="6" width="21.42578125" style="3" bestFit="1" customWidth="1"/>
    <col min="7" max="8" width="19.28515625" style="2" bestFit="1" customWidth="1"/>
    <col min="9" max="9" width="23.140625" style="46" bestFit="1" customWidth="1"/>
    <col min="10" max="10" width="32.5703125" style="46" bestFit="1" customWidth="1"/>
    <col min="11" max="11" width="32.5703125" style="46" customWidth="1"/>
    <col min="12" max="12" width="32" style="46" customWidth="1"/>
    <col min="13" max="13" width="21.28515625" style="46" bestFit="1" customWidth="1"/>
    <col min="14" max="14" width="19" style="46" bestFit="1" customWidth="1"/>
    <col min="15" max="15" width="19.85546875" style="46" bestFit="1" customWidth="1"/>
    <col min="16" max="16" width="19.28515625" style="46" bestFit="1" customWidth="1"/>
    <col min="17" max="17" width="33" style="46" bestFit="1" customWidth="1"/>
    <col min="18" max="18" width="16.28515625" style="4" bestFit="1" customWidth="1"/>
    <col min="19" max="19" width="32.5703125" style="5" bestFit="1" customWidth="1"/>
    <col min="20" max="20" width="32.5703125" style="5" customWidth="1"/>
    <col min="21" max="21" width="22.42578125" style="5" bestFit="1" customWidth="1"/>
    <col min="22" max="22" width="9.140625" style="5" bestFit="1" customWidth="1"/>
    <col min="23" max="23" width="19.7109375" style="6" customWidth="1"/>
    <col min="24" max="53" width="9.140625" style="7"/>
  </cols>
  <sheetData>
    <row r="1" spans="1:53" ht="16.5" thickBot="1" x14ac:dyDescent="0.3"/>
    <row r="2" spans="1:53" ht="31.5" customHeight="1" x14ac:dyDescent="0.25">
      <c r="U2" s="8" t="s">
        <v>0</v>
      </c>
      <c r="V2" s="9"/>
      <c r="W2" s="10">
        <v>186881.48</v>
      </c>
    </row>
    <row r="3" spans="1:53" ht="31.5" customHeight="1" x14ac:dyDescent="0.25">
      <c r="T3" s="51" t="s">
        <v>1166</v>
      </c>
      <c r="U3" s="11" t="s">
        <v>1</v>
      </c>
      <c r="V3" s="12"/>
      <c r="W3" s="6">
        <v>63609.73</v>
      </c>
    </row>
    <row r="4" spans="1:53" ht="31.5" customHeight="1" thickBot="1" x14ac:dyDescent="0.3">
      <c r="S4" s="13" t="s">
        <v>2</v>
      </c>
      <c r="T4" s="13" t="s">
        <v>1164</v>
      </c>
      <c r="U4" s="61">
        <f>V3-V2</f>
        <v>0</v>
      </c>
      <c r="V4" s="62"/>
    </row>
    <row r="5" spans="1:53" s="19" customFormat="1" ht="36" customHeight="1" x14ac:dyDescent="0.25">
      <c r="A5" s="14"/>
      <c r="B5" s="15"/>
      <c r="C5" s="15"/>
      <c r="D5" s="16"/>
      <c r="E5" s="16"/>
      <c r="F5" s="16"/>
      <c r="G5" s="15"/>
      <c r="H5" s="15"/>
      <c r="I5" s="17">
        <f t="shared" ref="I5:M5" si="0">SUBTOTAL(9,I7:I1048576)</f>
        <v>-41012.109999999753</v>
      </c>
      <c r="J5" s="17">
        <f t="shared" si="0"/>
        <v>89376.759999999573</v>
      </c>
      <c r="K5" s="17">
        <f t="shared" si="0"/>
        <v>-23548.699999999928</v>
      </c>
      <c r="L5" s="17">
        <f t="shared" si="0"/>
        <v>34335.199999999873</v>
      </c>
      <c r="M5" s="17">
        <f t="shared" si="0"/>
        <v>332900</v>
      </c>
      <c r="N5" s="17">
        <f>SUBTOTAL(9,N7:N1048576)</f>
        <v>6943.1600000000017</v>
      </c>
      <c r="O5" s="17">
        <f>SUBTOTAL(9,O7:O1048576)</f>
        <v>0</v>
      </c>
      <c r="P5" s="17">
        <f>SUBTOTAL(9,P7:P1048576)</f>
        <v>236580.08000000045</v>
      </c>
      <c r="Q5" s="17">
        <f>SUBTOTAL(9,Q7:Q1048576)</f>
        <v>291621.64000000013</v>
      </c>
      <c r="R5" s="17">
        <f>SUBTOTAL(9,R7:R1048576)</f>
        <v>13911.129999999988</v>
      </c>
      <c r="S5" s="41">
        <f>SUBTOTAL(9,S7:S481)</f>
        <v>250491.21000000046</v>
      </c>
      <c r="T5" s="41">
        <f>SUBTOTAL(9,T7:T481)</f>
        <v>250491.21000000046</v>
      </c>
      <c r="U5" s="17"/>
      <c r="V5" s="17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3" x14ac:dyDescent="0.25">
      <c r="B6" s="42" t="s">
        <v>3</v>
      </c>
      <c r="C6" s="20" t="s">
        <v>4</v>
      </c>
      <c r="D6" s="21" t="s">
        <v>5</v>
      </c>
      <c r="E6" s="42" t="s">
        <v>6</v>
      </c>
      <c r="F6" s="42" t="s">
        <v>7</v>
      </c>
      <c r="G6" s="42" t="s">
        <v>8</v>
      </c>
      <c r="H6" s="42" t="s">
        <v>9</v>
      </c>
      <c r="I6" s="53" t="s">
        <v>10</v>
      </c>
      <c r="J6" s="44" t="s">
        <v>1161</v>
      </c>
      <c r="K6" s="48" t="s">
        <v>1163</v>
      </c>
      <c r="L6" s="49" t="s">
        <v>1162</v>
      </c>
      <c r="M6" s="52" t="s">
        <v>678</v>
      </c>
      <c r="N6" s="44" t="s">
        <v>11</v>
      </c>
      <c r="O6" s="47" t="s">
        <v>12</v>
      </c>
      <c r="P6" s="47" t="s">
        <v>13</v>
      </c>
      <c r="Q6" s="50" t="s">
        <v>1165</v>
      </c>
      <c r="R6" s="44" t="s">
        <v>14</v>
      </c>
      <c r="S6" s="43" t="s">
        <v>1159</v>
      </c>
      <c r="T6" s="43" t="s">
        <v>1160</v>
      </c>
      <c r="U6" s="43" t="s">
        <v>15</v>
      </c>
      <c r="V6" s="45" t="s">
        <v>16</v>
      </c>
      <c r="W6" s="7"/>
      <c r="AY6"/>
      <c r="AZ6"/>
      <c r="BA6"/>
    </row>
    <row r="7" spans="1:53" x14ac:dyDescent="0.25">
      <c r="B7" s="31" t="s">
        <v>680</v>
      </c>
      <c r="C7" s="32" t="s">
        <v>23</v>
      </c>
      <c r="D7" s="33" t="s">
        <v>18</v>
      </c>
      <c r="E7" s="33" t="s">
        <v>24</v>
      </c>
      <c r="F7" s="33">
        <v>11030290001</v>
      </c>
      <c r="G7" s="33" t="s">
        <v>25</v>
      </c>
      <c r="H7" s="22" t="s">
        <v>21</v>
      </c>
      <c r="I7" s="23">
        <v>0</v>
      </c>
      <c r="J7" s="23">
        <v>0.71999999997206032</v>
      </c>
      <c r="K7" s="23">
        <v>0</v>
      </c>
      <c r="L7" s="23">
        <v>0.71999999994295649</v>
      </c>
      <c r="M7" s="23">
        <v>9840</v>
      </c>
      <c r="N7" s="23">
        <v>5</v>
      </c>
      <c r="O7" s="23">
        <v>0</v>
      </c>
      <c r="P7" s="23">
        <f>Tabela1[[#This Row],[1QZ DE MARÇO 26]]-Tabela1[[#This Row],[SALDO PENDENTE COM CX REPR.]]-Tabela1[[#This Row],[SALDO CARTAO]]-Tabela1[[#This Row],[ADIANTAMENTO]]</f>
        <v>9834.2800000000279</v>
      </c>
      <c r="Q7" s="23">
        <f>Tabela1[[#This Row],[1QZ DE MARÇO 26]]-Tabela1[[#This Row],[SALDO PENDENTE SEM CX REPR.]]-Tabela1[[#This Row],[SALDO CARTAO]]-Tabela1[[#This Row],[ADIANTAMENTO]]</f>
        <v>9834.280000000057</v>
      </c>
      <c r="R7" s="23">
        <v>0</v>
      </c>
      <c r="S7" s="40">
        <f>IF(Tabela1[[#This Row],[CARGA PARCIAL]]&lt;0,0,Tabela1[[#This Row],[CARGA PARCIAL]]+Tabela1[[#This Row],[REEMBOLSO]])</f>
        <v>9834.2800000000279</v>
      </c>
      <c r="T7" s="40">
        <f>IF(Tabela1[[#This Row],[CARGA PARCIAL SEM CX REPROV.]]&lt;0,0,Tabela1[[#This Row],[CARGA PARCIAL]]+Tabela1[[#This Row],[REEMBOLSO]])</f>
        <v>9834.2800000000279</v>
      </c>
      <c r="U7" s="24" t="s">
        <v>22</v>
      </c>
      <c r="V7" s="24"/>
      <c r="W7" s="7"/>
      <c r="AY7"/>
      <c r="AZ7"/>
      <c r="BA7"/>
    </row>
    <row r="8" spans="1:53" hidden="1" x14ac:dyDescent="0.25">
      <c r="B8" s="33" t="s">
        <v>681</v>
      </c>
      <c r="C8" s="33" t="s">
        <v>315</v>
      </c>
      <c r="D8" s="33" t="s">
        <v>18</v>
      </c>
      <c r="E8" s="33" t="s">
        <v>97</v>
      </c>
      <c r="F8" s="33">
        <v>11061480001</v>
      </c>
      <c r="G8" s="33" t="s">
        <v>20</v>
      </c>
      <c r="H8" s="22" t="s">
        <v>21</v>
      </c>
      <c r="I8" s="23">
        <v>0</v>
      </c>
      <c r="J8" s="23">
        <v>761.89999999999873</v>
      </c>
      <c r="K8" s="23">
        <v>0</v>
      </c>
      <c r="L8" s="23">
        <v>761.89999999999873</v>
      </c>
      <c r="M8" s="23">
        <v>700</v>
      </c>
      <c r="N8" s="23">
        <v>0</v>
      </c>
      <c r="O8" s="23">
        <v>0</v>
      </c>
      <c r="P8" s="23">
        <f>Tabela1[[#This Row],[1QZ DE MARÇO 26]]-Tabela1[[#This Row],[SALDO PENDENTE COM CX REPR.]]-Tabela1[[#This Row],[SALDO CARTAO]]-Tabela1[[#This Row],[ADIANTAMENTO]]</f>
        <v>-61.899999999998727</v>
      </c>
      <c r="Q8" s="23">
        <f>Tabela1[[#This Row],[1QZ DE MARÇO 26]]-Tabela1[[#This Row],[SALDO PENDENTE SEM CX REPR.]]-Tabela1[[#This Row],[SALDO CARTAO]]-Tabela1[[#This Row],[ADIANTAMENTO]]</f>
        <v>-61.899999999998727</v>
      </c>
      <c r="R8" s="23">
        <v>0</v>
      </c>
      <c r="S8" s="40">
        <f>IF(Tabela1[[#This Row],[CARGA PARCIAL]]&lt;0,0,Tabela1[[#This Row],[CARGA PARCIAL]]+Tabela1[[#This Row],[REEMBOLSO]])</f>
        <v>0</v>
      </c>
      <c r="T8" s="40">
        <f>IF(Tabela1[[#This Row],[CARGA PARCIAL SEM CX REPROV.]]&lt;0,0,Tabela1[[#This Row],[CARGA PARCIAL]]+Tabela1[[#This Row],[REEMBOLSO]])</f>
        <v>0</v>
      </c>
      <c r="U8" s="24" t="s">
        <v>22</v>
      </c>
      <c r="V8" s="24"/>
      <c r="W8" s="7"/>
      <c r="AY8"/>
      <c r="AZ8"/>
      <c r="BA8"/>
    </row>
    <row r="9" spans="1:53" hidden="1" x14ac:dyDescent="0.25">
      <c r="B9" s="33" t="s">
        <v>682</v>
      </c>
      <c r="C9" s="33" t="s">
        <v>455</v>
      </c>
      <c r="D9" s="33" t="s">
        <v>18</v>
      </c>
      <c r="E9" s="33" t="s">
        <v>262</v>
      </c>
      <c r="F9" s="33">
        <v>11030800001</v>
      </c>
      <c r="G9" s="33" t="s">
        <v>48</v>
      </c>
      <c r="H9" s="33" t="s">
        <v>35</v>
      </c>
      <c r="I9" s="23">
        <v>0</v>
      </c>
      <c r="J9" s="23">
        <v>500.00000000000045</v>
      </c>
      <c r="K9" s="23">
        <v>0</v>
      </c>
      <c r="L9" s="23">
        <v>500.00000000000034</v>
      </c>
      <c r="M9" s="23">
        <v>500</v>
      </c>
      <c r="N9" s="23">
        <v>0</v>
      </c>
      <c r="O9" s="23">
        <v>0</v>
      </c>
      <c r="P9" s="23">
        <f>Tabela1[[#This Row],[1QZ DE MARÇO 26]]-Tabela1[[#This Row],[SALDO PENDENTE COM CX REPR.]]-Tabela1[[#This Row],[SALDO CARTAO]]-Tabela1[[#This Row],[ADIANTAMENTO]]</f>
        <v>-4.5474735088646412E-13</v>
      </c>
      <c r="Q9" s="23">
        <f>Tabela1[[#This Row],[1QZ DE MARÇO 26]]-Tabela1[[#This Row],[SALDO PENDENTE SEM CX REPR.]]-Tabela1[[#This Row],[SALDO CARTAO]]-Tabela1[[#This Row],[ADIANTAMENTO]]</f>
        <v>-3.4106051316484809E-13</v>
      </c>
      <c r="R9" s="23">
        <v>0</v>
      </c>
      <c r="S9" s="40">
        <f>IF(Tabela1[[#This Row],[CARGA PARCIAL]]&lt;0,0,Tabela1[[#This Row],[CARGA PARCIAL]]+Tabela1[[#This Row],[REEMBOLSO]])</f>
        <v>0</v>
      </c>
      <c r="T9" s="40">
        <f>IF(Tabela1[[#This Row],[CARGA PARCIAL SEM CX REPROV.]]&lt;0,0,Tabela1[[#This Row],[CARGA PARCIAL]]+Tabela1[[#This Row],[REEMBOLSO]])</f>
        <v>0</v>
      </c>
      <c r="U9" s="24" t="s">
        <v>22</v>
      </c>
      <c r="V9" s="24"/>
      <c r="W9" s="7"/>
      <c r="AY9"/>
      <c r="AZ9"/>
      <c r="BA9"/>
    </row>
    <row r="10" spans="1:53" hidden="1" x14ac:dyDescent="0.25">
      <c r="B10" s="33" t="s">
        <v>1004</v>
      </c>
      <c r="C10" s="33" t="s">
        <v>287</v>
      </c>
      <c r="D10" s="33" t="s">
        <v>18</v>
      </c>
      <c r="E10" s="33" t="s">
        <v>44</v>
      </c>
      <c r="F10" s="33">
        <v>1104150001</v>
      </c>
      <c r="G10" s="33" t="s">
        <v>45</v>
      </c>
      <c r="H10" s="33" t="s">
        <v>39</v>
      </c>
      <c r="I10" s="23">
        <v>-107.7199999999998</v>
      </c>
      <c r="J10" s="23">
        <v>0</v>
      </c>
      <c r="K10" s="23">
        <v>0</v>
      </c>
      <c r="L10" s="23">
        <v>910.85999999999967</v>
      </c>
      <c r="M10" s="23">
        <v>0</v>
      </c>
      <c r="N10" s="23">
        <v>49.64</v>
      </c>
      <c r="O10" s="23">
        <v>0</v>
      </c>
      <c r="P10" s="23">
        <f>Tabela1[[#This Row],[1QZ DE MARÇO 26]]-Tabela1[[#This Row],[SALDO PENDENTE COM CX REPR.]]-Tabela1[[#This Row],[SALDO CARTAO]]-Tabela1[[#This Row],[ADIANTAMENTO]]</f>
        <v>-49.64</v>
      </c>
      <c r="Q10" s="23">
        <f>Tabela1[[#This Row],[1QZ DE MARÇO 26]]-Tabela1[[#This Row],[SALDO PENDENTE SEM CX REPR.]]-Tabela1[[#This Row],[SALDO CARTAO]]-Tabela1[[#This Row],[ADIANTAMENTO]]</f>
        <v>-960.49999999999966</v>
      </c>
      <c r="R10" s="23">
        <v>0</v>
      </c>
      <c r="S10" s="40">
        <f>IF(Tabela1[[#This Row],[CARGA PARCIAL]]&lt;0,0,Tabela1[[#This Row],[CARGA PARCIAL]]+Tabela1[[#This Row],[REEMBOLSO]])</f>
        <v>0</v>
      </c>
      <c r="T10" s="40">
        <f>IF(Tabela1[[#This Row],[CARGA PARCIAL SEM CX REPROV.]]&lt;0,0,Tabela1[[#This Row],[CARGA PARCIAL]]+Tabela1[[#This Row],[REEMBOLSO]])</f>
        <v>0</v>
      </c>
      <c r="U10" s="24" t="s">
        <v>22</v>
      </c>
      <c r="V10" s="24"/>
      <c r="W10" s="7"/>
      <c r="AY10"/>
      <c r="AZ10"/>
      <c r="BA10"/>
    </row>
    <row r="11" spans="1:53" x14ac:dyDescent="0.25">
      <c r="B11" s="39" t="s">
        <v>684</v>
      </c>
      <c r="C11" s="36" t="s">
        <v>217</v>
      </c>
      <c r="D11" s="34" t="s">
        <v>18</v>
      </c>
      <c r="E11" s="33" t="s">
        <v>218</v>
      </c>
      <c r="F11" s="33">
        <v>11010140001</v>
      </c>
      <c r="G11" s="33" t="s">
        <v>54</v>
      </c>
      <c r="H11" s="33" t="s">
        <v>39</v>
      </c>
      <c r="I11" s="23">
        <v>-65.330000000000837</v>
      </c>
      <c r="J11" s="23">
        <v>0</v>
      </c>
      <c r="K11" s="23">
        <v>0</v>
      </c>
      <c r="L11" s="23">
        <v>0</v>
      </c>
      <c r="M11" s="23">
        <v>800</v>
      </c>
      <c r="N11" s="23">
        <v>0</v>
      </c>
      <c r="O11" s="23">
        <v>0</v>
      </c>
      <c r="P11" s="23">
        <f>Tabela1[[#This Row],[1QZ DE MARÇO 26]]-Tabela1[[#This Row],[SALDO PENDENTE COM CX REPR.]]-Tabela1[[#This Row],[SALDO CARTAO]]-Tabela1[[#This Row],[ADIANTAMENTO]]</f>
        <v>800</v>
      </c>
      <c r="Q11" s="23">
        <f>Tabela1[[#This Row],[1QZ DE MARÇO 26]]-Tabela1[[#This Row],[SALDO PENDENTE SEM CX REPR.]]-Tabela1[[#This Row],[SALDO CARTAO]]-Tabela1[[#This Row],[ADIANTAMENTO]]</f>
        <v>800</v>
      </c>
      <c r="R11" s="23">
        <v>0</v>
      </c>
      <c r="S11" s="40">
        <f>IF(Tabela1[[#This Row],[CARGA PARCIAL]]&lt;0,0,Tabela1[[#This Row],[CARGA PARCIAL]]+Tabela1[[#This Row],[REEMBOLSO]])</f>
        <v>800</v>
      </c>
      <c r="T11" s="40">
        <f>IF(Tabela1[[#This Row],[CARGA PARCIAL SEM CX REPROV.]]&lt;0,0,Tabela1[[#This Row],[CARGA PARCIAL]]+Tabela1[[#This Row],[REEMBOLSO]])</f>
        <v>800</v>
      </c>
      <c r="U11" s="25" t="s">
        <v>22</v>
      </c>
      <c r="V11" s="26"/>
      <c r="W11" s="7"/>
      <c r="AY11"/>
      <c r="AZ11"/>
      <c r="BA11"/>
    </row>
    <row r="12" spans="1:53" hidden="1" x14ac:dyDescent="0.25">
      <c r="B12" s="33" t="s">
        <v>685</v>
      </c>
      <c r="C12" s="33" t="s">
        <v>500</v>
      </c>
      <c r="D12" s="33" t="s">
        <v>18</v>
      </c>
      <c r="E12" s="33" t="s">
        <v>88</v>
      </c>
      <c r="F12" s="33">
        <v>11040130001</v>
      </c>
      <c r="G12" s="33" t="s">
        <v>45</v>
      </c>
      <c r="H12" s="33" t="s">
        <v>39</v>
      </c>
      <c r="I12" s="23">
        <v>0</v>
      </c>
      <c r="J12" s="23">
        <v>207.32999999999993</v>
      </c>
      <c r="K12" s="23">
        <v>-65.330000000000837</v>
      </c>
      <c r="L12" s="23">
        <v>0</v>
      </c>
      <c r="M12" s="23">
        <v>160</v>
      </c>
      <c r="N12" s="23">
        <v>0</v>
      </c>
      <c r="O12" s="23">
        <v>0</v>
      </c>
      <c r="P12" s="23">
        <f>Tabela1[[#This Row],[1QZ DE MARÇO 26]]-Tabela1[[#This Row],[SALDO PENDENTE COM CX REPR.]]-Tabela1[[#This Row],[SALDO CARTAO]]-Tabela1[[#This Row],[ADIANTAMENTO]]</f>
        <v>-47.329999999999927</v>
      </c>
      <c r="Q12" s="23">
        <f>Tabela1[[#This Row],[1QZ DE MARÇO 26]]-Tabela1[[#This Row],[SALDO PENDENTE SEM CX REPR.]]-Tabela1[[#This Row],[SALDO CARTAO]]-Tabela1[[#This Row],[ADIANTAMENTO]]</f>
        <v>160</v>
      </c>
      <c r="R12" s="23">
        <v>0</v>
      </c>
      <c r="S12" s="40">
        <f>IF(Tabela1[[#This Row],[CARGA PARCIAL]]&lt;0,0,Tabela1[[#This Row],[CARGA PARCIAL]]+Tabela1[[#This Row],[REEMBOLSO]])</f>
        <v>0</v>
      </c>
      <c r="T12" s="40">
        <f>IF(Tabela1[[#This Row],[CARGA PARCIAL SEM CX REPROV.]]&lt;0,0,Tabela1[[#This Row],[CARGA PARCIAL]]+Tabela1[[#This Row],[REEMBOLSO]])</f>
        <v>-47.329999999999927</v>
      </c>
      <c r="U12" s="24" t="s">
        <v>22</v>
      </c>
      <c r="V12" s="24"/>
      <c r="W12" s="7"/>
      <c r="AY12"/>
      <c r="AZ12"/>
      <c r="BA12"/>
    </row>
    <row r="13" spans="1:53" x14ac:dyDescent="0.25">
      <c r="B13" s="31" t="s">
        <v>686</v>
      </c>
      <c r="C13" s="32" t="s">
        <v>72</v>
      </c>
      <c r="D13" s="33" t="s">
        <v>18</v>
      </c>
      <c r="E13" s="33" t="s">
        <v>73</v>
      </c>
      <c r="F13" s="33">
        <v>11030690001</v>
      </c>
      <c r="G13" s="33" t="s">
        <v>42</v>
      </c>
      <c r="H13" s="22" t="s">
        <v>39</v>
      </c>
      <c r="I13" s="23">
        <v>-36.44</v>
      </c>
      <c r="J13" s="23">
        <v>0</v>
      </c>
      <c r="K13" s="23">
        <v>0</v>
      </c>
      <c r="L13" s="23">
        <v>0</v>
      </c>
      <c r="M13" s="23">
        <v>1680</v>
      </c>
      <c r="N13" s="23">
        <v>36.44</v>
      </c>
      <c r="O13" s="23">
        <v>0</v>
      </c>
      <c r="P13" s="23">
        <f>Tabela1[[#This Row],[1QZ DE MARÇO 26]]-Tabela1[[#This Row],[SALDO PENDENTE COM CX REPR.]]-Tabela1[[#This Row],[SALDO CARTAO]]-Tabela1[[#This Row],[ADIANTAMENTO]]</f>
        <v>1643.56</v>
      </c>
      <c r="Q13" s="23">
        <f>Tabela1[[#This Row],[1QZ DE MARÇO 26]]-Tabela1[[#This Row],[SALDO PENDENTE SEM CX REPR.]]-Tabela1[[#This Row],[SALDO CARTAO]]-Tabela1[[#This Row],[ADIANTAMENTO]]</f>
        <v>1643.56</v>
      </c>
      <c r="R13" s="23">
        <v>0</v>
      </c>
      <c r="S13" s="40">
        <f>IF(Tabela1[[#This Row],[CARGA PARCIAL]]&lt;0,0,Tabela1[[#This Row],[CARGA PARCIAL]]+Tabela1[[#This Row],[REEMBOLSO]])</f>
        <v>1643.56</v>
      </c>
      <c r="T13" s="40">
        <f>IF(Tabela1[[#This Row],[CARGA PARCIAL SEM CX REPROV.]]&lt;0,0,Tabela1[[#This Row],[CARGA PARCIAL]]+Tabela1[[#This Row],[REEMBOLSO]])</f>
        <v>1643.56</v>
      </c>
      <c r="U13" s="24" t="s">
        <v>22</v>
      </c>
      <c r="V13" s="24"/>
      <c r="W13" s="7"/>
      <c r="AY13"/>
      <c r="AZ13"/>
      <c r="BA13"/>
    </row>
    <row r="14" spans="1:53" hidden="1" x14ac:dyDescent="0.25">
      <c r="B14" s="37" t="s">
        <v>687</v>
      </c>
      <c r="C14" s="32" t="s">
        <v>528</v>
      </c>
      <c r="D14" s="33" t="s">
        <v>18</v>
      </c>
      <c r="E14" s="33" t="s">
        <v>321</v>
      </c>
      <c r="F14" s="33">
        <v>11060800001</v>
      </c>
      <c r="G14" s="33" t="s">
        <v>42</v>
      </c>
      <c r="H14" s="22" t="s">
        <v>39</v>
      </c>
      <c r="I14" s="23">
        <v>0</v>
      </c>
      <c r="J14" s="23">
        <v>497</v>
      </c>
      <c r="K14" s="23">
        <v>0</v>
      </c>
      <c r="L14" s="23">
        <v>207.32999999999993</v>
      </c>
      <c r="M14" s="23">
        <v>0</v>
      </c>
      <c r="N14" s="23">
        <v>0</v>
      </c>
      <c r="O14" s="23">
        <v>0</v>
      </c>
      <c r="P14" s="23">
        <f>Tabela1[[#This Row],[1QZ DE MARÇO 26]]-Tabela1[[#This Row],[SALDO PENDENTE COM CX REPR.]]-Tabela1[[#This Row],[SALDO CARTAO]]-Tabela1[[#This Row],[ADIANTAMENTO]]</f>
        <v>-497</v>
      </c>
      <c r="Q14" s="23">
        <f>Tabela1[[#This Row],[1QZ DE MARÇO 26]]-Tabela1[[#This Row],[SALDO PENDENTE SEM CX REPR.]]-Tabela1[[#This Row],[SALDO CARTAO]]-Tabela1[[#This Row],[ADIANTAMENTO]]</f>
        <v>-207.32999999999993</v>
      </c>
      <c r="R14" s="23">
        <v>0</v>
      </c>
      <c r="S14" s="40">
        <f>IF(Tabela1[[#This Row],[CARGA PARCIAL]]&lt;0,0,Tabela1[[#This Row],[CARGA PARCIAL]]+Tabela1[[#This Row],[REEMBOLSO]])</f>
        <v>0</v>
      </c>
      <c r="T14" s="40">
        <f>IF(Tabela1[[#This Row],[CARGA PARCIAL SEM CX REPROV.]]&lt;0,0,Tabela1[[#This Row],[CARGA PARCIAL]]+Tabela1[[#This Row],[REEMBOLSO]])</f>
        <v>0</v>
      </c>
      <c r="U14" s="24" t="s">
        <v>22</v>
      </c>
      <c r="V14" s="24"/>
      <c r="W14" s="7"/>
      <c r="AY14"/>
      <c r="AZ14"/>
      <c r="BA14"/>
    </row>
    <row r="15" spans="1:53" hidden="1" x14ac:dyDescent="0.25">
      <c r="B15" s="33" t="s">
        <v>688</v>
      </c>
      <c r="C15" s="33" t="s">
        <v>529</v>
      </c>
      <c r="D15" s="33" t="s">
        <v>18</v>
      </c>
      <c r="E15" s="33" t="s">
        <v>44</v>
      </c>
      <c r="F15" s="33">
        <v>1104150001</v>
      </c>
      <c r="G15" s="33" t="s">
        <v>45</v>
      </c>
      <c r="H15" s="33" t="s">
        <v>39</v>
      </c>
      <c r="I15" s="23">
        <v>0</v>
      </c>
      <c r="J15" s="23">
        <v>68.11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f>Tabela1[[#This Row],[1QZ DE MARÇO 26]]-Tabela1[[#This Row],[SALDO PENDENTE COM CX REPR.]]-Tabela1[[#This Row],[SALDO CARTAO]]-Tabela1[[#This Row],[ADIANTAMENTO]]</f>
        <v>-68.11</v>
      </c>
      <c r="Q15" s="23">
        <f>Tabela1[[#This Row],[1QZ DE MARÇO 26]]-Tabela1[[#This Row],[SALDO PENDENTE SEM CX REPR.]]-Tabela1[[#This Row],[SALDO CARTAO]]-Tabela1[[#This Row],[ADIANTAMENTO]]</f>
        <v>0</v>
      </c>
      <c r="R15" s="23">
        <v>0</v>
      </c>
      <c r="S15" s="40">
        <f>IF(Tabela1[[#This Row],[CARGA PARCIAL]]&lt;0,0,Tabela1[[#This Row],[CARGA PARCIAL]]+Tabela1[[#This Row],[REEMBOLSO]])</f>
        <v>0</v>
      </c>
      <c r="T15" s="40">
        <f>IF(Tabela1[[#This Row],[CARGA PARCIAL SEM CX REPROV.]]&lt;0,0,Tabela1[[#This Row],[CARGA PARCIAL]]+Tabela1[[#This Row],[REEMBOLSO]])</f>
        <v>-68.11</v>
      </c>
      <c r="U15" s="24" t="s">
        <v>60</v>
      </c>
      <c r="V15" s="24"/>
      <c r="W15" s="7"/>
      <c r="AY15"/>
      <c r="AZ15"/>
      <c r="BA15"/>
    </row>
    <row r="16" spans="1:53" hidden="1" x14ac:dyDescent="0.25">
      <c r="B16" s="33" t="s">
        <v>689</v>
      </c>
      <c r="C16" s="33" t="s">
        <v>477</v>
      </c>
      <c r="D16" s="33" t="s">
        <v>18</v>
      </c>
      <c r="E16" s="33" t="s">
        <v>95</v>
      </c>
      <c r="F16" s="33">
        <v>11040160001</v>
      </c>
      <c r="G16" s="33" t="s">
        <v>48</v>
      </c>
      <c r="H16" s="22" t="s">
        <v>35</v>
      </c>
      <c r="I16" s="23">
        <v>0</v>
      </c>
      <c r="J16" s="23">
        <v>480.58</v>
      </c>
      <c r="K16" s="23">
        <v>-36.44</v>
      </c>
      <c r="L16" s="23">
        <v>0</v>
      </c>
      <c r="M16" s="23">
        <v>400</v>
      </c>
      <c r="N16" s="23">
        <v>0</v>
      </c>
      <c r="O16" s="23">
        <v>0</v>
      </c>
      <c r="P16" s="23">
        <f>Tabela1[[#This Row],[1QZ DE MARÇO 26]]-Tabela1[[#This Row],[SALDO PENDENTE COM CX REPR.]]-Tabela1[[#This Row],[SALDO CARTAO]]-Tabela1[[#This Row],[ADIANTAMENTO]]</f>
        <v>-80.579999999999984</v>
      </c>
      <c r="Q16" s="23">
        <f>Tabela1[[#This Row],[1QZ DE MARÇO 26]]-Tabela1[[#This Row],[SALDO PENDENTE SEM CX REPR.]]-Tabela1[[#This Row],[SALDO CARTAO]]-Tabela1[[#This Row],[ADIANTAMENTO]]</f>
        <v>400</v>
      </c>
      <c r="R16" s="23">
        <v>0</v>
      </c>
      <c r="S16" s="40">
        <f>IF(Tabela1[[#This Row],[CARGA PARCIAL]]&lt;0,0,Tabela1[[#This Row],[CARGA PARCIAL]]+Tabela1[[#This Row],[REEMBOLSO]])</f>
        <v>0</v>
      </c>
      <c r="T16" s="40">
        <f>IF(Tabela1[[#This Row],[CARGA PARCIAL SEM CX REPROV.]]&lt;0,0,Tabela1[[#This Row],[CARGA PARCIAL]]+Tabela1[[#This Row],[REEMBOLSO]])</f>
        <v>-80.579999999999984</v>
      </c>
      <c r="U16" s="24" t="s">
        <v>22</v>
      </c>
      <c r="V16" s="24"/>
      <c r="W16" s="7"/>
      <c r="AY16"/>
      <c r="AZ16"/>
      <c r="BA16"/>
    </row>
    <row r="17" spans="2:53" x14ac:dyDescent="0.25">
      <c r="B17" s="37" t="s">
        <v>690</v>
      </c>
      <c r="C17" s="32" t="s">
        <v>126</v>
      </c>
      <c r="D17" s="33" t="s">
        <v>18</v>
      </c>
      <c r="E17" s="33" t="s">
        <v>90</v>
      </c>
      <c r="F17" s="33">
        <v>11040170001</v>
      </c>
      <c r="G17" s="33" t="s">
        <v>91</v>
      </c>
      <c r="H17" s="22" t="s">
        <v>21</v>
      </c>
      <c r="I17" s="23">
        <v>-66.979999999999563</v>
      </c>
      <c r="J17" s="23">
        <v>0</v>
      </c>
      <c r="K17" s="23">
        <v>0</v>
      </c>
      <c r="L17" s="23">
        <v>0</v>
      </c>
      <c r="M17" s="23">
        <v>1600</v>
      </c>
      <c r="N17" s="23">
        <v>0</v>
      </c>
      <c r="O17" s="23">
        <v>0</v>
      </c>
      <c r="P17" s="23">
        <f>Tabela1[[#This Row],[1QZ DE MARÇO 26]]-Tabela1[[#This Row],[SALDO PENDENTE COM CX REPR.]]-Tabela1[[#This Row],[SALDO CARTAO]]-Tabela1[[#This Row],[ADIANTAMENTO]]</f>
        <v>1600</v>
      </c>
      <c r="Q17" s="23">
        <f>Tabela1[[#This Row],[1QZ DE MARÇO 26]]-Tabela1[[#This Row],[SALDO PENDENTE SEM CX REPR.]]-Tabela1[[#This Row],[SALDO CARTAO]]-Tabela1[[#This Row],[ADIANTAMENTO]]</f>
        <v>1600</v>
      </c>
      <c r="R17" s="23">
        <v>0</v>
      </c>
      <c r="S17" s="40">
        <f>IF(Tabela1[[#This Row],[CARGA PARCIAL]]&lt;0,0,Tabela1[[#This Row],[CARGA PARCIAL]]+Tabela1[[#This Row],[REEMBOLSO]])</f>
        <v>1600</v>
      </c>
      <c r="T17" s="40">
        <f>IF(Tabela1[[#This Row],[CARGA PARCIAL SEM CX REPROV.]]&lt;0,0,Tabela1[[#This Row],[CARGA PARCIAL]]+Tabela1[[#This Row],[REEMBOLSO]])</f>
        <v>1600</v>
      </c>
      <c r="U17" s="24" t="s">
        <v>22</v>
      </c>
      <c r="V17" s="24"/>
      <c r="W17" s="7"/>
      <c r="AY17"/>
      <c r="AZ17"/>
      <c r="BA17"/>
    </row>
    <row r="18" spans="2:53" x14ac:dyDescent="0.25">
      <c r="B18" s="34" t="s">
        <v>691</v>
      </c>
      <c r="C18" s="34" t="s">
        <v>96</v>
      </c>
      <c r="D18" s="34" t="s">
        <v>18</v>
      </c>
      <c r="E18" s="33" t="s">
        <v>97</v>
      </c>
      <c r="F18" s="33">
        <v>11061480001</v>
      </c>
      <c r="G18" s="33" t="s">
        <v>20</v>
      </c>
      <c r="H18" s="22" t="s">
        <v>21</v>
      </c>
      <c r="I18" s="23">
        <v>-3.5099999999999909</v>
      </c>
      <c r="J18" s="23">
        <v>0</v>
      </c>
      <c r="K18" s="23">
        <v>0</v>
      </c>
      <c r="L18" s="23">
        <v>497</v>
      </c>
      <c r="M18" s="23">
        <v>2000</v>
      </c>
      <c r="N18" s="23">
        <v>1142.3399999999999</v>
      </c>
      <c r="O18" s="23">
        <v>0</v>
      </c>
      <c r="P18" s="23">
        <f>Tabela1[[#This Row],[1QZ DE MARÇO 26]]-Tabela1[[#This Row],[SALDO PENDENTE COM CX REPR.]]-Tabela1[[#This Row],[SALDO CARTAO]]-Tabela1[[#This Row],[ADIANTAMENTO]]</f>
        <v>857.66000000000008</v>
      </c>
      <c r="Q18" s="23">
        <f>Tabela1[[#This Row],[1QZ DE MARÇO 26]]-Tabela1[[#This Row],[SALDO PENDENTE SEM CX REPR.]]-Tabela1[[#This Row],[SALDO CARTAO]]-Tabela1[[#This Row],[ADIANTAMENTO]]</f>
        <v>360.66000000000008</v>
      </c>
      <c r="R18" s="23">
        <v>0</v>
      </c>
      <c r="S18" s="40">
        <f>IF(Tabela1[[#This Row],[CARGA PARCIAL]]&lt;0,0,Tabela1[[#This Row],[CARGA PARCIAL]]+Tabela1[[#This Row],[REEMBOLSO]])</f>
        <v>857.66000000000008</v>
      </c>
      <c r="T18" s="40">
        <f>IF(Tabela1[[#This Row],[CARGA PARCIAL SEM CX REPROV.]]&lt;0,0,Tabela1[[#This Row],[CARGA PARCIAL]]+Tabela1[[#This Row],[REEMBOLSO]])</f>
        <v>857.66000000000008</v>
      </c>
      <c r="U18" s="25" t="s">
        <v>22</v>
      </c>
      <c r="V18" s="26"/>
      <c r="W18" s="7"/>
      <c r="AY18"/>
      <c r="AZ18"/>
      <c r="BA18"/>
    </row>
    <row r="19" spans="2:53" x14ac:dyDescent="0.25">
      <c r="B19" s="31" t="s">
        <v>1055</v>
      </c>
      <c r="C19" s="32" t="s">
        <v>248</v>
      </c>
      <c r="D19" s="33" t="s">
        <v>18</v>
      </c>
      <c r="E19" s="33" t="s">
        <v>237</v>
      </c>
      <c r="F19" s="33">
        <v>1201071</v>
      </c>
      <c r="G19" s="33" t="s">
        <v>42</v>
      </c>
      <c r="H19" s="22" t="s">
        <v>39</v>
      </c>
      <c r="I19" s="23">
        <v>-108.19999999999982</v>
      </c>
      <c r="J19" s="23">
        <v>0</v>
      </c>
      <c r="K19" s="23">
        <v>-1357.1500000000015</v>
      </c>
      <c r="L19" s="23">
        <v>0</v>
      </c>
      <c r="M19" s="23">
        <v>700</v>
      </c>
      <c r="N19" s="23">
        <v>20.32</v>
      </c>
      <c r="O19" s="23">
        <v>0</v>
      </c>
      <c r="P19" s="23">
        <f>Tabela1[[#This Row],[1QZ DE MARÇO 26]]-Tabela1[[#This Row],[SALDO PENDENTE COM CX REPR.]]-Tabela1[[#This Row],[SALDO CARTAO]]-Tabela1[[#This Row],[ADIANTAMENTO]]</f>
        <v>679.68</v>
      </c>
      <c r="Q19" s="23">
        <f>Tabela1[[#This Row],[1QZ DE MARÇO 26]]-Tabela1[[#This Row],[SALDO PENDENTE SEM CX REPR.]]-Tabela1[[#This Row],[SALDO CARTAO]]-Tabela1[[#This Row],[ADIANTAMENTO]]</f>
        <v>679.68</v>
      </c>
      <c r="R19" s="23">
        <v>0</v>
      </c>
      <c r="S19" s="40">
        <f>IF(Tabela1[[#This Row],[CARGA PARCIAL]]&lt;0,0,Tabela1[[#This Row],[CARGA PARCIAL]]+Tabela1[[#This Row],[REEMBOLSO]])</f>
        <v>679.68</v>
      </c>
      <c r="T19" s="40">
        <f>IF(Tabela1[[#This Row],[CARGA PARCIAL SEM CX REPROV.]]&lt;0,0,Tabela1[[#This Row],[CARGA PARCIAL]]+Tabela1[[#This Row],[REEMBOLSO]])</f>
        <v>679.68</v>
      </c>
      <c r="U19" s="24" t="s">
        <v>22</v>
      </c>
      <c r="V19" s="24"/>
      <c r="W19" s="7"/>
      <c r="AY19"/>
      <c r="AZ19"/>
      <c r="BA19"/>
    </row>
    <row r="20" spans="2:53" hidden="1" x14ac:dyDescent="0.25">
      <c r="B20" s="37" t="s">
        <v>693</v>
      </c>
      <c r="C20" s="32" t="s">
        <v>530</v>
      </c>
      <c r="D20" s="33" t="s">
        <v>18</v>
      </c>
      <c r="E20" s="33" t="s">
        <v>95</v>
      </c>
      <c r="F20" s="33">
        <v>11040160001</v>
      </c>
      <c r="G20" s="33" t="s">
        <v>48</v>
      </c>
      <c r="H20" s="22" t="s">
        <v>35</v>
      </c>
      <c r="I20" s="23">
        <v>0</v>
      </c>
      <c r="J20" s="23">
        <v>83.06</v>
      </c>
      <c r="K20" s="23">
        <v>0</v>
      </c>
      <c r="L20" s="23">
        <v>480.58</v>
      </c>
      <c r="M20" s="23">
        <v>0</v>
      </c>
      <c r="N20" s="23">
        <v>0</v>
      </c>
      <c r="O20" s="23">
        <v>0</v>
      </c>
      <c r="P20" s="23">
        <f>Tabela1[[#This Row],[1QZ DE MARÇO 26]]-Tabela1[[#This Row],[SALDO PENDENTE COM CX REPR.]]-Tabela1[[#This Row],[SALDO CARTAO]]-Tabela1[[#This Row],[ADIANTAMENTO]]</f>
        <v>-83.06</v>
      </c>
      <c r="Q20" s="23">
        <f>Tabela1[[#This Row],[1QZ DE MARÇO 26]]-Tabela1[[#This Row],[SALDO PENDENTE SEM CX REPR.]]-Tabela1[[#This Row],[SALDO CARTAO]]-Tabela1[[#This Row],[ADIANTAMENTO]]</f>
        <v>-480.58</v>
      </c>
      <c r="R20" s="23">
        <v>0</v>
      </c>
      <c r="S20" s="40">
        <f>IF(Tabela1[[#This Row],[CARGA PARCIAL]]&lt;0,0,Tabela1[[#This Row],[CARGA PARCIAL]]+Tabela1[[#This Row],[REEMBOLSO]])</f>
        <v>0</v>
      </c>
      <c r="T20" s="40">
        <f>IF(Tabela1[[#This Row],[CARGA PARCIAL SEM CX REPROV.]]&lt;0,0,Tabela1[[#This Row],[CARGA PARCIAL]]+Tabela1[[#This Row],[REEMBOLSO]])</f>
        <v>0</v>
      </c>
      <c r="U20" s="24" t="s">
        <v>60</v>
      </c>
      <c r="V20" s="24"/>
      <c r="W20" s="7"/>
      <c r="AY20"/>
      <c r="AZ20"/>
      <c r="BA20"/>
    </row>
    <row r="21" spans="2:53" hidden="1" x14ac:dyDescent="0.25">
      <c r="B21" s="31" t="s">
        <v>694</v>
      </c>
      <c r="C21" s="32" t="s">
        <v>278</v>
      </c>
      <c r="D21" s="33" t="s">
        <v>18</v>
      </c>
      <c r="E21" s="33" t="s">
        <v>272</v>
      </c>
      <c r="F21" s="33">
        <v>11080440001</v>
      </c>
      <c r="G21" s="33" t="s">
        <v>42</v>
      </c>
      <c r="H21" s="22" t="s">
        <v>39</v>
      </c>
      <c r="I21" s="23">
        <v>0</v>
      </c>
      <c r="J21" s="23">
        <v>320</v>
      </c>
      <c r="K21" s="23">
        <v>-66.980000000006839</v>
      </c>
      <c r="L21" s="23">
        <v>0</v>
      </c>
      <c r="M21" s="23">
        <v>350</v>
      </c>
      <c r="N21" s="23">
        <v>43</v>
      </c>
      <c r="O21" s="23">
        <v>0</v>
      </c>
      <c r="P21" s="23">
        <f>Tabela1[[#This Row],[1QZ DE MARÇO 26]]-Tabela1[[#This Row],[SALDO PENDENTE COM CX REPR.]]-Tabela1[[#This Row],[SALDO CARTAO]]-Tabela1[[#This Row],[ADIANTAMENTO]]</f>
        <v>-13</v>
      </c>
      <c r="Q21" s="23">
        <f>Tabela1[[#This Row],[1QZ DE MARÇO 26]]-Tabela1[[#This Row],[SALDO PENDENTE SEM CX REPR.]]-Tabela1[[#This Row],[SALDO CARTAO]]-Tabela1[[#This Row],[ADIANTAMENTO]]</f>
        <v>307</v>
      </c>
      <c r="R21" s="23">
        <v>0</v>
      </c>
      <c r="S21" s="40">
        <f>IF(Tabela1[[#This Row],[CARGA PARCIAL]]&lt;0,0,Tabela1[[#This Row],[CARGA PARCIAL]]+Tabela1[[#This Row],[REEMBOLSO]])</f>
        <v>0</v>
      </c>
      <c r="T21" s="40">
        <f>IF(Tabela1[[#This Row],[CARGA PARCIAL SEM CX REPROV.]]&lt;0,0,Tabela1[[#This Row],[CARGA PARCIAL]]+Tabela1[[#This Row],[REEMBOLSO]])</f>
        <v>-13</v>
      </c>
      <c r="U21" s="24" t="s">
        <v>22</v>
      </c>
      <c r="V21" s="24"/>
      <c r="W21" s="7"/>
      <c r="AY21"/>
      <c r="AZ21"/>
      <c r="BA21"/>
    </row>
    <row r="22" spans="2:53" x14ac:dyDescent="0.25">
      <c r="B22" s="33" t="s">
        <v>695</v>
      </c>
      <c r="C22" s="33" t="s">
        <v>292</v>
      </c>
      <c r="D22" s="33" t="s">
        <v>18</v>
      </c>
      <c r="E22" s="33" t="s">
        <v>293</v>
      </c>
      <c r="F22" s="33">
        <v>11010060001</v>
      </c>
      <c r="G22" s="33" t="s">
        <v>20</v>
      </c>
      <c r="H22" s="33" t="s">
        <v>21</v>
      </c>
      <c r="I22" s="23">
        <v>0</v>
      </c>
      <c r="J22" s="23">
        <v>558.52999999999918</v>
      </c>
      <c r="K22" s="23">
        <v>0</v>
      </c>
      <c r="L22" s="23">
        <v>88.979999999999791</v>
      </c>
      <c r="M22" s="23">
        <v>800</v>
      </c>
      <c r="N22" s="23">
        <v>16.64</v>
      </c>
      <c r="O22" s="23">
        <v>0</v>
      </c>
      <c r="P22" s="23">
        <f>Tabela1[[#This Row],[1QZ DE MARÇO 26]]-Tabela1[[#This Row],[SALDO PENDENTE COM CX REPR.]]-Tabela1[[#This Row],[SALDO CARTAO]]-Tabela1[[#This Row],[ADIANTAMENTO]]</f>
        <v>224.83000000000084</v>
      </c>
      <c r="Q22" s="23">
        <f>Tabela1[[#This Row],[1QZ DE MARÇO 26]]-Tabela1[[#This Row],[SALDO PENDENTE SEM CX REPR.]]-Tabela1[[#This Row],[SALDO CARTAO]]-Tabela1[[#This Row],[ADIANTAMENTO]]</f>
        <v>694.38000000000022</v>
      </c>
      <c r="R22" s="23">
        <v>0</v>
      </c>
      <c r="S22" s="40">
        <f>IF(Tabela1[[#This Row],[CARGA PARCIAL]]&lt;0,0,Tabela1[[#This Row],[CARGA PARCIAL]]+Tabela1[[#This Row],[REEMBOLSO]])</f>
        <v>224.83000000000084</v>
      </c>
      <c r="T22" s="40">
        <f>IF(Tabela1[[#This Row],[CARGA PARCIAL SEM CX REPROV.]]&lt;0,0,Tabela1[[#This Row],[CARGA PARCIAL]]+Tabela1[[#This Row],[REEMBOLSO]])</f>
        <v>224.83000000000084</v>
      </c>
      <c r="U22" s="24" t="s">
        <v>22</v>
      </c>
      <c r="V22" s="24"/>
      <c r="W22" s="7"/>
      <c r="AY22"/>
      <c r="AZ22"/>
      <c r="BA22"/>
    </row>
    <row r="23" spans="2:53" hidden="1" x14ac:dyDescent="0.25">
      <c r="B23" s="31" t="s">
        <v>696</v>
      </c>
      <c r="C23" s="32" t="s">
        <v>531</v>
      </c>
      <c r="D23" s="33" t="s">
        <v>18</v>
      </c>
      <c r="E23" s="33" t="s">
        <v>532</v>
      </c>
      <c r="F23" s="33">
        <v>11063050001</v>
      </c>
      <c r="G23" s="33" t="s">
        <v>54</v>
      </c>
      <c r="H23" s="22" t="s">
        <v>39</v>
      </c>
      <c r="I23" s="23">
        <v>0</v>
      </c>
      <c r="J23" s="23">
        <v>2652.5</v>
      </c>
      <c r="K23" s="23">
        <v>0</v>
      </c>
      <c r="L23" s="23">
        <v>0</v>
      </c>
      <c r="M23" s="23">
        <v>0</v>
      </c>
      <c r="N23" s="23">
        <v>0.5</v>
      </c>
      <c r="O23" s="23">
        <v>0</v>
      </c>
      <c r="P23" s="23">
        <f>Tabela1[[#This Row],[1QZ DE MARÇO 26]]-Tabela1[[#This Row],[SALDO PENDENTE COM CX REPR.]]-Tabela1[[#This Row],[SALDO CARTAO]]-Tabela1[[#This Row],[ADIANTAMENTO]]</f>
        <v>-2653</v>
      </c>
      <c r="Q23" s="23">
        <f>Tabela1[[#This Row],[1QZ DE MARÇO 26]]-Tabela1[[#This Row],[SALDO PENDENTE SEM CX REPR.]]-Tabela1[[#This Row],[SALDO CARTAO]]-Tabela1[[#This Row],[ADIANTAMENTO]]</f>
        <v>-0.5</v>
      </c>
      <c r="R23" s="23">
        <v>0</v>
      </c>
      <c r="S23" s="40">
        <f>IF(Tabela1[[#This Row],[CARGA PARCIAL]]&lt;0,0,Tabela1[[#This Row],[CARGA PARCIAL]]+Tabela1[[#This Row],[REEMBOLSO]])</f>
        <v>0</v>
      </c>
      <c r="T23" s="40">
        <f>IF(Tabela1[[#This Row],[CARGA PARCIAL SEM CX REPROV.]]&lt;0,0,Tabela1[[#This Row],[CARGA PARCIAL]]+Tabela1[[#This Row],[REEMBOLSO]])</f>
        <v>0</v>
      </c>
      <c r="U23" s="24" t="s">
        <v>22</v>
      </c>
      <c r="V23" s="24"/>
      <c r="W23" s="7"/>
      <c r="AY23"/>
      <c r="AZ23"/>
      <c r="BA23"/>
    </row>
    <row r="24" spans="2:53" hidden="1" x14ac:dyDescent="0.25">
      <c r="B24" s="33" t="s">
        <v>999</v>
      </c>
      <c r="C24" s="33" t="s">
        <v>606</v>
      </c>
      <c r="D24" s="33" t="s">
        <v>18</v>
      </c>
      <c r="E24" s="33" t="s">
        <v>607</v>
      </c>
      <c r="F24" s="33">
        <v>11061990001</v>
      </c>
      <c r="G24" s="33" t="s">
        <v>54</v>
      </c>
      <c r="H24" s="22" t="s">
        <v>39</v>
      </c>
      <c r="I24" s="23">
        <v>-108.46000000000004</v>
      </c>
      <c r="J24" s="23">
        <v>0</v>
      </c>
      <c r="K24" s="23">
        <v>0</v>
      </c>
      <c r="L24" s="23">
        <v>6373.2800000000007</v>
      </c>
      <c r="M24" s="23">
        <v>0</v>
      </c>
      <c r="N24" s="23">
        <v>0</v>
      </c>
      <c r="O24" s="23">
        <v>0</v>
      </c>
      <c r="P24" s="23">
        <f>Tabela1[[#This Row],[1QZ DE MARÇO 26]]-Tabela1[[#This Row],[SALDO PENDENTE COM CX REPR.]]-Tabela1[[#This Row],[SALDO CARTAO]]-Tabela1[[#This Row],[ADIANTAMENTO]]</f>
        <v>0</v>
      </c>
      <c r="Q24" s="23">
        <f>Tabela1[[#This Row],[1QZ DE MARÇO 26]]-Tabela1[[#This Row],[SALDO PENDENTE SEM CX REPR.]]-Tabela1[[#This Row],[SALDO CARTAO]]-Tabela1[[#This Row],[ADIANTAMENTO]]</f>
        <v>-6373.2800000000007</v>
      </c>
      <c r="R24" s="23">
        <v>0</v>
      </c>
      <c r="S24" s="40">
        <f>IF(Tabela1[[#This Row],[CARGA PARCIAL]]&lt;0,0,Tabela1[[#This Row],[CARGA PARCIAL]]+Tabela1[[#This Row],[REEMBOLSO]])</f>
        <v>0</v>
      </c>
      <c r="T24" s="40">
        <f>IF(Tabela1[[#This Row],[CARGA PARCIAL SEM CX REPROV.]]&lt;0,0,Tabela1[[#This Row],[CARGA PARCIAL]]+Tabela1[[#This Row],[REEMBOLSO]])</f>
        <v>0</v>
      </c>
      <c r="U24" s="24" t="s">
        <v>22</v>
      </c>
      <c r="V24" s="24"/>
      <c r="W24" s="7"/>
      <c r="AY24"/>
      <c r="AZ24"/>
      <c r="BA24"/>
    </row>
    <row r="25" spans="2:53" x14ac:dyDescent="0.25">
      <c r="B25" s="31" t="s">
        <v>698</v>
      </c>
      <c r="C25" s="32" t="s">
        <v>456</v>
      </c>
      <c r="D25" s="33" t="s">
        <v>18</v>
      </c>
      <c r="E25" s="33" t="s">
        <v>412</v>
      </c>
      <c r="F25" s="33">
        <v>11061890001</v>
      </c>
      <c r="G25" s="33" t="s">
        <v>42</v>
      </c>
      <c r="H25" s="22" t="s">
        <v>39</v>
      </c>
      <c r="I25" s="23">
        <v>0</v>
      </c>
      <c r="J25" s="23">
        <v>499.99999999999272</v>
      </c>
      <c r="K25" s="23">
        <v>0</v>
      </c>
      <c r="L25" s="23">
        <v>83.06</v>
      </c>
      <c r="M25" s="23">
        <v>500</v>
      </c>
      <c r="N25" s="23">
        <v>0</v>
      </c>
      <c r="O25" s="23">
        <v>0</v>
      </c>
      <c r="P25" s="23">
        <f>Tabela1[[#This Row],[1QZ DE MARÇO 26]]-Tabela1[[#This Row],[SALDO PENDENTE COM CX REPR.]]-Tabela1[[#This Row],[SALDO CARTAO]]-Tabela1[[#This Row],[ADIANTAMENTO]]</f>
        <v>7.2759576141834259E-12</v>
      </c>
      <c r="Q25" s="23">
        <f>Tabela1[[#This Row],[1QZ DE MARÇO 26]]-Tabela1[[#This Row],[SALDO PENDENTE SEM CX REPR.]]-Tabela1[[#This Row],[SALDO CARTAO]]-Tabela1[[#This Row],[ADIANTAMENTO]]</f>
        <v>416.94</v>
      </c>
      <c r="R25" s="23">
        <v>0</v>
      </c>
      <c r="S25" s="40">
        <f>IF(Tabela1[[#This Row],[CARGA PARCIAL]]&lt;0,0,Tabela1[[#This Row],[CARGA PARCIAL]]+Tabela1[[#This Row],[REEMBOLSO]])</f>
        <v>7.2759576141834259E-12</v>
      </c>
      <c r="T25" s="40">
        <f>IF(Tabela1[[#This Row],[CARGA PARCIAL SEM CX REPROV.]]&lt;0,0,Tabela1[[#This Row],[CARGA PARCIAL]]+Tabela1[[#This Row],[REEMBOLSO]])</f>
        <v>7.2759576141834259E-12</v>
      </c>
      <c r="U25" s="24" t="s">
        <v>22</v>
      </c>
      <c r="V25" s="24"/>
      <c r="W25" s="7"/>
      <c r="AY25"/>
      <c r="AZ25"/>
      <c r="BA25"/>
    </row>
    <row r="26" spans="2:53" hidden="1" x14ac:dyDescent="0.25">
      <c r="B26" s="31" t="s">
        <v>699</v>
      </c>
      <c r="C26" s="32" t="s">
        <v>647</v>
      </c>
      <c r="D26" s="33" t="s">
        <v>18</v>
      </c>
      <c r="E26" s="33" t="s">
        <v>532</v>
      </c>
      <c r="F26" s="33">
        <v>11063050001</v>
      </c>
      <c r="G26" s="33" t="s">
        <v>54</v>
      </c>
      <c r="H26" s="22" t="s">
        <v>39</v>
      </c>
      <c r="I26" s="23">
        <v>0</v>
      </c>
      <c r="J26" s="23">
        <v>1695.5</v>
      </c>
      <c r="K26" s="23">
        <v>0</v>
      </c>
      <c r="L26" s="23">
        <v>320</v>
      </c>
      <c r="M26" s="23">
        <v>0</v>
      </c>
      <c r="N26" s="23"/>
      <c r="O26" s="23">
        <v>0</v>
      </c>
      <c r="P26" s="23">
        <f>Tabela1[[#This Row],[1QZ DE MARÇO 26]]-Tabela1[[#This Row],[SALDO PENDENTE COM CX REPR.]]-Tabela1[[#This Row],[SALDO CARTAO]]-Tabela1[[#This Row],[ADIANTAMENTO]]</f>
        <v>-1695.5</v>
      </c>
      <c r="Q26" s="23">
        <f>Tabela1[[#This Row],[1QZ DE MARÇO 26]]-Tabela1[[#This Row],[SALDO PENDENTE SEM CX REPR.]]-Tabela1[[#This Row],[SALDO CARTAO]]-Tabela1[[#This Row],[ADIANTAMENTO]]</f>
        <v>-320</v>
      </c>
      <c r="R26" s="23">
        <v>0</v>
      </c>
      <c r="S26" s="40">
        <f>IF(Tabela1[[#This Row],[CARGA PARCIAL]]&lt;0,0,Tabela1[[#This Row],[CARGA PARCIAL]]+Tabela1[[#This Row],[REEMBOLSO]])</f>
        <v>0</v>
      </c>
      <c r="T26" s="40">
        <f>IF(Tabela1[[#This Row],[CARGA PARCIAL SEM CX REPROV.]]&lt;0,0,Tabela1[[#This Row],[CARGA PARCIAL]]+Tabela1[[#This Row],[REEMBOLSO]])</f>
        <v>0</v>
      </c>
      <c r="U26" s="24" t="s">
        <v>22</v>
      </c>
      <c r="V26" s="24"/>
      <c r="W26" s="7"/>
      <c r="AY26"/>
      <c r="AZ26"/>
      <c r="BA26"/>
    </row>
    <row r="27" spans="2:53" hidden="1" x14ac:dyDescent="0.25">
      <c r="B27" s="37" t="s">
        <v>700</v>
      </c>
      <c r="C27" s="32" t="s">
        <v>398</v>
      </c>
      <c r="D27" s="33" t="s">
        <v>18</v>
      </c>
      <c r="E27" s="33" t="s">
        <v>77</v>
      </c>
      <c r="F27" s="33">
        <v>11030600001</v>
      </c>
      <c r="G27" s="33" t="s">
        <v>54</v>
      </c>
      <c r="H27" s="22" t="s">
        <v>39</v>
      </c>
      <c r="I27" s="23">
        <v>0</v>
      </c>
      <c r="J27" s="23">
        <v>26.069999999999936</v>
      </c>
      <c r="K27" s="23">
        <v>0</v>
      </c>
      <c r="L27" s="23">
        <v>558.52999999999918</v>
      </c>
      <c r="M27" s="23">
        <v>0</v>
      </c>
      <c r="N27" s="23">
        <v>0</v>
      </c>
      <c r="O27" s="23">
        <v>0</v>
      </c>
      <c r="P27" s="23">
        <f>Tabela1[[#This Row],[1QZ DE MARÇO 26]]-Tabela1[[#This Row],[SALDO PENDENTE COM CX REPR.]]-Tabela1[[#This Row],[SALDO CARTAO]]-Tabela1[[#This Row],[ADIANTAMENTO]]</f>
        <v>-26.069999999999936</v>
      </c>
      <c r="Q27" s="23">
        <f>Tabela1[[#This Row],[1QZ DE MARÇO 26]]-Tabela1[[#This Row],[SALDO PENDENTE SEM CX REPR.]]-Tabela1[[#This Row],[SALDO CARTAO]]-Tabela1[[#This Row],[ADIANTAMENTO]]</f>
        <v>-558.52999999999918</v>
      </c>
      <c r="R27" s="23">
        <v>0</v>
      </c>
      <c r="S27" s="40">
        <f>IF(Tabela1[[#This Row],[CARGA PARCIAL]]&lt;0,0,Tabela1[[#This Row],[CARGA PARCIAL]]+Tabela1[[#This Row],[REEMBOLSO]])</f>
        <v>0</v>
      </c>
      <c r="T27" s="40">
        <f>IF(Tabela1[[#This Row],[CARGA PARCIAL SEM CX REPROV.]]&lt;0,0,Tabela1[[#This Row],[CARGA PARCIAL]]+Tabela1[[#This Row],[REEMBOLSO]])</f>
        <v>0</v>
      </c>
      <c r="U27" s="24" t="s">
        <v>22</v>
      </c>
      <c r="V27" s="24"/>
      <c r="W27" s="7"/>
      <c r="AY27"/>
      <c r="AZ27"/>
      <c r="BA27"/>
    </row>
    <row r="28" spans="2:53" hidden="1" x14ac:dyDescent="0.25">
      <c r="B28" s="31" t="s">
        <v>701</v>
      </c>
      <c r="C28" s="32" t="s">
        <v>492</v>
      </c>
      <c r="D28" s="33" t="s">
        <v>18</v>
      </c>
      <c r="E28" s="33" t="s">
        <v>212</v>
      </c>
      <c r="F28" s="33">
        <v>11061810001</v>
      </c>
      <c r="G28" s="33" t="s">
        <v>54</v>
      </c>
      <c r="H28" s="22" t="s">
        <v>39</v>
      </c>
      <c r="I28" s="23">
        <v>0</v>
      </c>
      <c r="J28" s="23">
        <v>625.200000000003</v>
      </c>
      <c r="K28" s="23">
        <v>0</v>
      </c>
      <c r="L28" s="23">
        <v>0</v>
      </c>
      <c r="M28" s="23">
        <v>200</v>
      </c>
      <c r="N28" s="23">
        <v>0</v>
      </c>
      <c r="O28" s="23">
        <v>0</v>
      </c>
      <c r="P28" s="23">
        <f>Tabela1[[#This Row],[1QZ DE MARÇO 26]]-Tabela1[[#This Row],[SALDO PENDENTE COM CX REPR.]]-Tabela1[[#This Row],[SALDO CARTAO]]-Tabela1[[#This Row],[ADIANTAMENTO]]</f>
        <v>-425.200000000003</v>
      </c>
      <c r="Q28" s="23">
        <f>Tabela1[[#This Row],[1QZ DE MARÇO 26]]-Tabela1[[#This Row],[SALDO PENDENTE SEM CX REPR.]]-Tabela1[[#This Row],[SALDO CARTAO]]-Tabela1[[#This Row],[ADIANTAMENTO]]</f>
        <v>200</v>
      </c>
      <c r="R28" s="23">
        <v>0</v>
      </c>
      <c r="S28" s="40">
        <f>IF(Tabela1[[#This Row],[CARGA PARCIAL]]&lt;0,0,Tabela1[[#This Row],[CARGA PARCIAL]]+Tabela1[[#This Row],[REEMBOLSO]])</f>
        <v>0</v>
      </c>
      <c r="T28" s="40">
        <f>IF(Tabela1[[#This Row],[CARGA PARCIAL SEM CX REPROV.]]&lt;0,0,Tabela1[[#This Row],[CARGA PARCIAL]]+Tabela1[[#This Row],[REEMBOLSO]])</f>
        <v>-425.200000000003</v>
      </c>
      <c r="U28" s="24" t="s">
        <v>22</v>
      </c>
      <c r="V28" s="24"/>
      <c r="W28" s="7"/>
      <c r="AY28"/>
      <c r="AZ28"/>
      <c r="BA28"/>
    </row>
    <row r="29" spans="2:53" hidden="1" x14ac:dyDescent="0.25">
      <c r="B29" s="37" t="s">
        <v>702</v>
      </c>
      <c r="C29" s="32" t="s">
        <v>457</v>
      </c>
      <c r="D29" s="33" t="s">
        <v>18</v>
      </c>
      <c r="E29" s="33" t="s">
        <v>241</v>
      </c>
      <c r="F29" s="33">
        <v>1201005</v>
      </c>
      <c r="G29" s="33" t="s">
        <v>54</v>
      </c>
      <c r="H29" s="22" t="s">
        <v>39</v>
      </c>
      <c r="I29" s="23">
        <v>0</v>
      </c>
      <c r="J29" s="23">
        <v>220.04000000000013</v>
      </c>
      <c r="K29" s="23">
        <v>0</v>
      </c>
      <c r="L29" s="23">
        <v>2652.5</v>
      </c>
      <c r="M29" s="23">
        <v>500</v>
      </c>
      <c r="N29" s="23">
        <v>19.07</v>
      </c>
      <c r="O29" s="23">
        <v>0</v>
      </c>
      <c r="P29" s="23">
        <f>Tabela1[[#This Row],[1QZ DE MARÇO 26]]-Tabela1[[#This Row],[SALDO PENDENTE COM CX REPR.]]-Tabela1[[#This Row],[SALDO CARTAO]]-Tabela1[[#This Row],[ADIANTAMENTO]]</f>
        <v>260.88999999999987</v>
      </c>
      <c r="Q29" s="23">
        <f>Tabela1[[#This Row],[1QZ DE MARÇO 26]]-Tabela1[[#This Row],[SALDO PENDENTE SEM CX REPR.]]-Tabela1[[#This Row],[SALDO CARTAO]]-Tabela1[[#This Row],[ADIANTAMENTO]]</f>
        <v>-2171.5700000000002</v>
      </c>
      <c r="R29" s="23">
        <v>0</v>
      </c>
      <c r="S29" s="40">
        <f>IF(Tabela1[[#This Row],[CARGA PARCIAL]]&lt;0,0,Tabela1[[#This Row],[CARGA PARCIAL]]+Tabela1[[#This Row],[REEMBOLSO]])</f>
        <v>260.88999999999987</v>
      </c>
      <c r="T29" s="40">
        <f>IF(Tabela1[[#This Row],[CARGA PARCIAL SEM CX REPROV.]]&lt;0,0,Tabela1[[#This Row],[CARGA PARCIAL]]+Tabela1[[#This Row],[REEMBOLSO]])</f>
        <v>0</v>
      </c>
      <c r="U29" s="24" t="s">
        <v>22</v>
      </c>
      <c r="V29" s="24"/>
      <c r="W29" s="7"/>
      <c r="AY29"/>
      <c r="AZ29"/>
      <c r="BA29"/>
    </row>
    <row r="30" spans="2:53" hidden="1" x14ac:dyDescent="0.25">
      <c r="B30" s="33" t="s">
        <v>703</v>
      </c>
      <c r="C30" s="33" t="s">
        <v>533</v>
      </c>
      <c r="D30" s="33" t="s">
        <v>18</v>
      </c>
      <c r="E30" s="33" t="s">
        <v>111</v>
      </c>
      <c r="F30" s="33">
        <v>11060710001</v>
      </c>
      <c r="G30" s="33" t="s">
        <v>28</v>
      </c>
      <c r="H30" s="33" t="s">
        <v>21</v>
      </c>
      <c r="I30" s="23">
        <v>0</v>
      </c>
      <c r="J30" s="23">
        <v>149</v>
      </c>
      <c r="K30" s="23">
        <v>-167.47999999999126</v>
      </c>
      <c r="L30" s="23">
        <v>0</v>
      </c>
      <c r="M30" s="23">
        <v>0</v>
      </c>
      <c r="N30" s="23">
        <v>0</v>
      </c>
      <c r="O30" s="23">
        <v>0</v>
      </c>
      <c r="P30" s="23">
        <f>Tabela1[[#This Row],[1QZ DE MARÇO 26]]-Tabela1[[#This Row],[SALDO PENDENTE COM CX REPR.]]-Tabela1[[#This Row],[SALDO CARTAO]]-Tabela1[[#This Row],[ADIANTAMENTO]]</f>
        <v>-149</v>
      </c>
      <c r="Q30" s="23">
        <f>Tabela1[[#This Row],[1QZ DE MARÇO 26]]-Tabela1[[#This Row],[SALDO PENDENTE SEM CX REPR.]]-Tabela1[[#This Row],[SALDO CARTAO]]-Tabela1[[#This Row],[ADIANTAMENTO]]</f>
        <v>0</v>
      </c>
      <c r="R30" s="23">
        <v>0</v>
      </c>
      <c r="S30" s="40">
        <f>IF(Tabela1[[#This Row],[CARGA PARCIAL]]&lt;0,0,Tabela1[[#This Row],[CARGA PARCIAL]]+Tabela1[[#This Row],[REEMBOLSO]])</f>
        <v>0</v>
      </c>
      <c r="T30" s="40">
        <f>IF(Tabela1[[#This Row],[CARGA PARCIAL SEM CX REPROV.]]&lt;0,0,Tabela1[[#This Row],[CARGA PARCIAL]]+Tabela1[[#This Row],[REEMBOLSO]])</f>
        <v>-149</v>
      </c>
      <c r="U30" s="24" t="s">
        <v>60</v>
      </c>
      <c r="V30" s="24"/>
      <c r="W30" s="7"/>
      <c r="AY30"/>
      <c r="AZ30"/>
      <c r="BA30"/>
    </row>
    <row r="31" spans="2:53" hidden="1" x14ac:dyDescent="0.25">
      <c r="B31" s="37" t="s">
        <v>704</v>
      </c>
      <c r="C31" s="32" t="s">
        <v>367</v>
      </c>
      <c r="D31" s="33" t="s">
        <v>18</v>
      </c>
      <c r="E31" s="33" t="s">
        <v>44</v>
      </c>
      <c r="F31" s="33">
        <v>1104150001</v>
      </c>
      <c r="G31" s="33" t="s">
        <v>45</v>
      </c>
      <c r="H31" s="22" t="s">
        <v>39</v>
      </c>
      <c r="I31" s="23">
        <v>0</v>
      </c>
      <c r="J31" s="23">
        <v>111.26000000000045</v>
      </c>
      <c r="K31" s="23">
        <v>0</v>
      </c>
      <c r="L31" s="23">
        <v>9727.39</v>
      </c>
      <c r="M31" s="23">
        <v>0</v>
      </c>
      <c r="N31" s="23">
        <v>954.26</v>
      </c>
      <c r="O31" s="23">
        <v>0</v>
      </c>
      <c r="P31" s="23">
        <f>Tabela1[[#This Row],[1QZ DE MARÇO 26]]-Tabela1[[#This Row],[SALDO PENDENTE COM CX REPR.]]-Tabela1[[#This Row],[SALDO CARTAO]]-Tabela1[[#This Row],[ADIANTAMENTO]]</f>
        <v>-1065.5200000000004</v>
      </c>
      <c r="Q31" s="23">
        <f>Tabela1[[#This Row],[1QZ DE MARÇO 26]]-Tabela1[[#This Row],[SALDO PENDENTE SEM CX REPR.]]-Tabela1[[#This Row],[SALDO CARTAO]]-Tabela1[[#This Row],[ADIANTAMENTO]]</f>
        <v>-10681.65</v>
      </c>
      <c r="R31" s="23">
        <v>0</v>
      </c>
      <c r="S31" s="40">
        <f>IF(Tabela1[[#This Row],[CARGA PARCIAL]]&lt;0,0,Tabela1[[#This Row],[CARGA PARCIAL]]+Tabela1[[#This Row],[REEMBOLSO]])</f>
        <v>0</v>
      </c>
      <c r="T31" s="40">
        <f>IF(Tabela1[[#This Row],[CARGA PARCIAL SEM CX REPROV.]]&lt;0,0,Tabela1[[#This Row],[CARGA PARCIAL]]+Tabela1[[#This Row],[REEMBOLSO]])</f>
        <v>0</v>
      </c>
      <c r="U31" s="24" t="s">
        <v>22</v>
      </c>
      <c r="V31" s="24"/>
      <c r="W31" s="7"/>
      <c r="AY31"/>
      <c r="AZ31"/>
      <c r="BA31"/>
    </row>
    <row r="32" spans="2:53" hidden="1" x14ac:dyDescent="0.25">
      <c r="B32" s="31" t="s">
        <v>705</v>
      </c>
      <c r="C32" s="32" t="s">
        <v>534</v>
      </c>
      <c r="D32" s="33" t="s">
        <v>18</v>
      </c>
      <c r="E32" s="33" t="s">
        <v>132</v>
      </c>
      <c r="F32" s="33">
        <v>11061820001</v>
      </c>
      <c r="G32" s="33" t="s">
        <v>54</v>
      </c>
      <c r="H32" s="22" t="s">
        <v>39</v>
      </c>
      <c r="I32" s="23">
        <v>0</v>
      </c>
      <c r="J32" s="23">
        <v>13</v>
      </c>
      <c r="K32" s="23">
        <v>0</v>
      </c>
      <c r="L32" s="23">
        <v>1695.5</v>
      </c>
      <c r="M32" s="23">
        <v>0</v>
      </c>
      <c r="N32" s="23">
        <v>0</v>
      </c>
      <c r="O32" s="23">
        <v>0</v>
      </c>
      <c r="P32" s="23">
        <f>Tabela1[[#This Row],[1QZ DE MARÇO 26]]-Tabela1[[#This Row],[SALDO PENDENTE COM CX REPR.]]-Tabela1[[#This Row],[SALDO CARTAO]]-Tabela1[[#This Row],[ADIANTAMENTO]]</f>
        <v>-13</v>
      </c>
      <c r="Q32" s="23">
        <f>Tabela1[[#This Row],[1QZ DE MARÇO 26]]-Tabela1[[#This Row],[SALDO PENDENTE SEM CX REPR.]]-Tabela1[[#This Row],[SALDO CARTAO]]-Tabela1[[#This Row],[ADIANTAMENTO]]</f>
        <v>-1695.5</v>
      </c>
      <c r="R32" s="23">
        <v>0</v>
      </c>
      <c r="S32" s="40">
        <f>IF(Tabela1[[#This Row],[CARGA PARCIAL]]&lt;0,0,Tabela1[[#This Row],[CARGA PARCIAL]]+Tabela1[[#This Row],[REEMBOLSO]])</f>
        <v>0</v>
      </c>
      <c r="T32" s="40">
        <f>IF(Tabela1[[#This Row],[CARGA PARCIAL SEM CX REPROV.]]&lt;0,0,Tabela1[[#This Row],[CARGA PARCIAL]]+Tabela1[[#This Row],[REEMBOLSO]])</f>
        <v>0</v>
      </c>
      <c r="U32" s="24" t="s">
        <v>22</v>
      </c>
      <c r="V32" s="24"/>
      <c r="W32" s="7"/>
      <c r="AY32"/>
      <c r="AZ32"/>
      <c r="BA32"/>
    </row>
    <row r="33" spans="2:53" x14ac:dyDescent="0.25">
      <c r="B33" s="33" t="s">
        <v>706</v>
      </c>
      <c r="C33" s="33" t="s">
        <v>226</v>
      </c>
      <c r="D33" s="33" t="s">
        <v>18</v>
      </c>
      <c r="E33" s="33" t="s">
        <v>227</v>
      </c>
      <c r="F33" s="33">
        <v>11061830001</v>
      </c>
      <c r="G33" s="33" t="s">
        <v>54</v>
      </c>
      <c r="H33" s="22" t="s">
        <v>39</v>
      </c>
      <c r="I33" s="23">
        <v>0</v>
      </c>
      <c r="J33" s="23">
        <v>0</v>
      </c>
      <c r="K33" s="23">
        <v>0</v>
      </c>
      <c r="L33" s="23">
        <v>26.069999999999936</v>
      </c>
      <c r="M33" s="23">
        <v>500</v>
      </c>
      <c r="N33" s="23">
        <v>0</v>
      </c>
      <c r="O33" s="23">
        <v>0</v>
      </c>
      <c r="P33" s="23">
        <f>Tabela1[[#This Row],[1QZ DE MARÇO 26]]-Tabela1[[#This Row],[SALDO PENDENTE COM CX REPR.]]-Tabela1[[#This Row],[SALDO CARTAO]]-Tabela1[[#This Row],[ADIANTAMENTO]]</f>
        <v>500</v>
      </c>
      <c r="Q33" s="23">
        <f>Tabela1[[#This Row],[1QZ DE MARÇO 26]]-Tabela1[[#This Row],[SALDO PENDENTE SEM CX REPR.]]-Tabela1[[#This Row],[SALDO CARTAO]]-Tabela1[[#This Row],[ADIANTAMENTO]]</f>
        <v>473.93000000000006</v>
      </c>
      <c r="R33" s="23">
        <v>0</v>
      </c>
      <c r="S33" s="40">
        <f>IF(Tabela1[[#This Row],[CARGA PARCIAL]]&lt;0,0,Tabela1[[#This Row],[CARGA PARCIAL]]+Tabela1[[#This Row],[REEMBOLSO]])</f>
        <v>500</v>
      </c>
      <c r="T33" s="40">
        <f>IF(Tabela1[[#This Row],[CARGA PARCIAL SEM CX REPROV.]]&lt;0,0,Tabela1[[#This Row],[CARGA PARCIAL]]+Tabela1[[#This Row],[REEMBOLSO]])</f>
        <v>500</v>
      </c>
      <c r="U33" s="24" t="s">
        <v>60</v>
      </c>
      <c r="V33" s="24"/>
      <c r="W33" s="7"/>
      <c r="AY33"/>
      <c r="AZ33"/>
      <c r="BA33"/>
    </row>
    <row r="34" spans="2:53" hidden="1" x14ac:dyDescent="0.25">
      <c r="B34" s="31" t="s">
        <v>707</v>
      </c>
      <c r="C34" s="32" t="s">
        <v>329</v>
      </c>
      <c r="D34" s="33" t="s">
        <v>18</v>
      </c>
      <c r="E34" s="33" t="s">
        <v>88</v>
      </c>
      <c r="F34" s="33">
        <v>11040130001</v>
      </c>
      <c r="G34" s="33" t="s">
        <v>45</v>
      </c>
      <c r="H34" s="22" t="s">
        <v>39</v>
      </c>
      <c r="I34" s="23">
        <v>0</v>
      </c>
      <c r="J34" s="23">
        <v>80</v>
      </c>
      <c r="K34" s="23">
        <v>0</v>
      </c>
      <c r="L34" s="23">
        <v>625.200000000003</v>
      </c>
      <c r="M34" s="23">
        <v>80</v>
      </c>
      <c r="N34" s="23">
        <v>0</v>
      </c>
      <c r="O34" s="23">
        <v>0</v>
      </c>
      <c r="P34" s="23">
        <f>Tabela1[[#This Row],[1QZ DE MARÇO 26]]-Tabela1[[#This Row],[SALDO PENDENTE COM CX REPR.]]-Tabela1[[#This Row],[SALDO CARTAO]]-Tabela1[[#This Row],[ADIANTAMENTO]]</f>
        <v>0</v>
      </c>
      <c r="Q34" s="23">
        <f>Tabela1[[#This Row],[1QZ DE MARÇO 26]]-Tabela1[[#This Row],[SALDO PENDENTE SEM CX REPR.]]-Tabela1[[#This Row],[SALDO CARTAO]]-Tabela1[[#This Row],[ADIANTAMENTO]]</f>
        <v>-545.200000000003</v>
      </c>
      <c r="R34" s="23">
        <v>0</v>
      </c>
      <c r="S34" s="40">
        <f>IF(Tabela1[[#This Row],[CARGA PARCIAL]]&lt;0,0,Tabela1[[#This Row],[CARGA PARCIAL]]+Tabela1[[#This Row],[REEMBOLSO]])</f>
        <v>0</v>
      </c>
      <c r="T34" s="40">
        <f>IF(Tabela1[[#This Row],[CARGA PARCIAL SEM CX REPROV.]]&lt;0,0,Tabela1[[#This Row],[CARGA PARCIAL]]+Tabela1[[#This Row],[REEMBOLSO]])</f>
        <v>0</v>
      </c>
      <c r="U34" s="24" t="s">
        <v>22</v>
      </c>
      <c r="V34" s="24"/>
      <c r="W34" s="7"/>
      <c r="AY34"/>
      <c r="AZ34"/>
      <c r="BA34"/>
    </row>
    <row r="35" spans="2:53" hidden="1" x14ac:dyDescent="0.25">
      <c r="B35" s="39" t="s">
        <v>708</v>
      </c>
      <c r="C35" s="36" t="s">
        <v>521</v>
      </c>
      <c r="D35" s="34" t="s">
        <v>18</v>
      </c>
      <c r="E35" s="33" t="s">
        <v>283</v>
      </c>
      <c r="F35" s="33">
        <v>11040140001</v>
      </c>
      <c r="G35" s="33" t="s">
        <v>45</v>
      </c>
      <c r="H35" s="22" t="s">
        <v>39</v>
      </c>
      <c r="I35" s="23">
        <v>0</v>
      </c>
      <c r="J35" s="23">
        <v>50</v>
      </c>
      <c r="K35" s="23">
        <v>0</v>
      </c>
      <c r="L35" s="23">
        <v>0</v>
      </c>
      <c r="M35" s="23">
        <v>50</v>
      </c>
      <c r="N35" s="23">
        <v>0</v>
      </c>
      <c r="O35" s="23">
        <v>0</v>
      </c>
      <c r="P35" s="23">
        <f>Tabela1[[#This Row],[1QZ DE MARÇO 26]]-Tabela1[[#This Row],[SALDO PENDENTE COM CX REPR.]]-Tabela1[[#This Row],[SALDO CARTAO]]-Tabela1[[#This Row],[ADIANTAMENTO]]</f>
        <v>0</v>
      </c>
      <c r="Q35" s="23">
        <f>Tabela1[[#This Row],[1QZ DE MARÇO 26]]-Tabela1[[#This Row],[SALDO PENDENTE SEM CX REPR.]]-Tabela1[[#This Row],[SALDO CARTAO]]-Tabela1[[#This Row],[ADIANTAMENTO]]</f>
        <v>50</v>
      </c>
      <c r="R35" s="23">
        <v>0</v>
      </c>
      <c r="S35" s="40">
        <f>IF(Tabela1[[#This Row],[CARGA PARCIAL]]&lt;0,0,Tabela1[[#This Row],[CARGA PARCIAL]]+Tabela1[[#This Row],[REEMBOLSO]])</f>
        <v>0</v>
      </c>
      <c r="T35" s="40">
        <f>IF(Tabela1[[#This Row],[CARGA PARCIAL SEM CX REPROV.]]&lt;0,0,Tabela1[[#This Row],[CARGA PARCIAL]]+Tabela1[[#This Row],[REEMBOLSO]])</f>
        <v>0</v>
      </c>
      <c r="U35" s="25" t="s">
        <v>22</v>
      </c>
      <c r="V35" s="26"/>
      <c r="W35" s="7"/>
      <c r="AY35"/>
      <c r="AZ35"/>
      <c r="BA35"/>
    </row>
    <row r="36" spans="2:53" hidden="1" x14ac:dyDescent="0.25">
      <c r="B36" s="31" t="s">
        <v>709</v>
      </c>
      <c r="C36" s="32" t="s">
        <v>458</v>
      </c>
      <c r="D36" s="33" t="s">
        <v>18</v>
      </c>
      <c r="E36" s="33" t="s">
        <v>225</v>
      </c>
      <c r="F36" s="33">
        <v>1201007</v>
      </c>
      <c r="G36" s="33" t="s">
        <v>28</v>
      </c>
      <c r="H36" s="22" t="s">
        <v>21</v>
      </c>
      <c r="I36" s="23">
        <v>0</v>
      </c>
      <c r="J36" s="23">
        <v>2930.1499999999996</v>
      </c>
      <c r="K36" s="23">
        <v>0</v>
      </c>
      <c r="L36" s="23">
        <v>220.04000000000013</v>
      </c>
      <c r="M36" s="23">
        <v>500</v>
      </c>
      <c r="N36" s="23">
        <v>0</v>
      </c>
      <c r="O36" s="23">
        <v>0</v>
      </c>
      <c r="P36" s="23">
        <f>Tabela1[[#This Row],[1QZ DE MARÇO 26]]-Tabela1[[#This Row],[SALDO PENDENTE COM CX REPR.]]-Tabela1[[#This Row],[SALDO CARTAO]]-Tabela1[[#This Row],[ADIANTAMENTO]]</f>
        <v>-2430.1499999999996</v>
      </c>
      <c r="Q36" s="23">
        <f>Tabela1[[#This Row],[1QZ DE MARÇO 26]]-Tabela1[[#This Row],[SALDO PENDENTE SEM CX REPR.]]-Tabela1[[#This Row],[SALDO CARTAO]]-Tabela1[[#This Row],[ADIANTAMENTO]]</f>
        <v>279.95999999999987</v>
      </c>
      <c r="R36" s="23">
        <v>0</v>
      </c>
      <c r="S36" s="40">
        <f>IF(Tabela1[[#This Row],[CARGA PARCIAL]]&lt;0,0,Tabela1[[#This Row],[CARGA PARCIAL]]+Tabela1[[#This Row],[REEMBOLSO]])</f>
        <v>0</v>
      </c>
      <c r="T36" s="40">
        <f>IF(Tabela1[[#This Row],[CARGA PARCIAL SEM CX REPROV.]]&lt;0,0,Tabela1[[#This Row],[CARGA PARCIAL]]+Tabela1[[#This Row],[REEMBOLSO]])</f>
        <v>-2430.1499999999996</v>
      </c>
      <c r="U36" s="24" t="s">
        <v>22</v>
      </c>
      <c r="V36" s="24"/>
      <c r="W36" s="7"/>
      <c r="AY36"/>
      <c r="AZ36"/>
      <c r="BA36"/>
    </row>
    <row r="37" spans="2:53" hidden="1" x14ac:dyDescent="0.25">
      <c r="B37" s="33" t="s">
        <v>710</v>
      </c>
      <c r="C37" s="33" t="s">
        <v>535</v>
      </c>
      <c r="D37" s="33" t="s">
        <v>18</v>
      </c>
      <c r="E37" s="33" t="s">
        <v>532</v>
      </c>
      <c r="F37" s="33">
        <v>11063050001</v>
      </c>
      <c r="G37" s="33" t="s">
        <v>54</v>
      </c>
      <c r="H37" s="22" t="s">
        <v>39</v>
      </c>
      <c r="I37" s="23">
        <v>0</v>
      </c>
      <c r="J37" s="23">
        <v>0</v>
      </c>
      <c r="K37" s="23">
        <v>0</v>
      </c>
      <c r="L37" s="23">
        <v>149</v>
      </c>
      <c r="M37" s="23">
        <v>0</v>
      </c>
      <c r="N37" s="23">
        <v>0</v>
      </c>
      <c r="O37" s="23">
        <v>0</v>
      </c>
      <c r="P37" s="23">
        <f>Tabela1[[#This Row],[1QZ DE MARÇO 26]]-Tabela1[[#This Row],[SALDO PENDENTE COM CX REPR.]]-Tabela1[[#This Row],[SALDO CARTAO]]-Tabela1[[#This Row],[ADIANTAMENTO]]</f>
        <v>0</v>
      </c>
      <c r="Q37" s="23">
        <f>Tabela1[[#This Row],[1QZ DE MARÇO 26]]-Tabela1[[#This Row],[SALDO PENDENTE SEM CX REPR.]]-Tabela1[[#This Row],[SALDO CARTAO]]-Tabela1[[#This Row],[ADIANTAMENTO]]</f>
        <v>-149</v>
      </c>
      <c r="R37" s="23">
        <v>0</v>
      </c>
      <c r="S37" s="40">
        <f>IF(Tabela1[[#This Row],[CARGA PARCIAL]]&lt;0,0,Tabela1[[#This Row],[CARGA PARCIAL]]+Tabela1[[#This Row],[REEMBOLSO]])</f>
        <v>0</v>
      </c>
      <c r="T37" s="40">
        <f>IF(Tabela1[[#This Row],[CARGA PARCIAL SEM CX REPROV.]]&lt;0,0,Tabela1[[#This Row],[CARGA PARCIAL]]+Tabela1[[#This Row],[REEMBOLSO]])</f>
        <v>0</v>
      </c>
      <c r="U37" s="24" t="s">
        <v>22</v>
      </c>
      <c r="V37" s="24"/>
      <c r="W37" s="7"/>
      <c r="AY37"/>
      <c r="AZ37"/>
      <c r="BA37"/>
    </row>
    <row r="38" spans="2:53" hidden="1" x14ac:dyDescent="0.25">
      <c r="B38" s="33" t="s">
        <v>711</v>
      </c>
      <c r="C38" s="33" t="s">
        <v>478</v>
      </c>
      <c r="D38" s="33" t="s">
        <v>18</v>
      </c>
      <c r="E38" s="33" t="s">
        <v>479</v>
      </c>
      <c r="F38" s="33">
        <v>11061850001</v>
      </c>
      <c r="G38" s="33" t="s">
        <v>42</v>
      </c>
      <c r="H38" s="33" t="s">
        <v>39</v>
      </c>
      <c r="I38" s="23">
        <v>0</v>
      </c>
      <c r="J38" s="23">
        <v>416.21000000000004</v>
      </c>
      <c r="K38" s="23">
        <v>0</v>
      </c>
      <c r="L38" s="23">
        <v>111.26000000000045</v>
      </c>
      <c r="M38" s="23">
        <v>400</v>
      </c>
      <c r="N38" s="23">
        <v>0</v>
      </c>
      <c r="O38" s="23">
        <v>0</v>
      </c>
      <c r="P38" s="23">
        <f>Tabela1[[#This Row],[1QZ DE MARÇO 26]]-Tabela1[[#This Row],[SALDO PENDENTE COM CX REPR.]]-Tabela1[[#This Row],[SALDO CARTAO]]-Tabela1[[#This Row],[ADIANTAMENTO]]</f>
        <v>-16.210000000000036</v>
      </c>
      <c r="Q38" s="23">
        <f>Tabela1[[#This Row],[1QZ DE MARÇO 26]]-Tabela1[[#This Row],[SALDO PENDENTE SEM CX REPR.]]-Tabela1[[#This Row],[SALDO CARTAO]]-Tabela1[[#This Row],[ADIANTAMENTO]]</f>
        <v>288.73999999999955</v>
      </c>
      <c r="R38" s="23">
        <v>0</v>
      </c>
      <c r="S38" s="40">
        <f>IF(Tabela1[[#This Row],[CARGA PARCIAL]]&lt;0,0,Tabela1[[#This Row],[CARGA PARCIAL]]+Tabela1[[#This Row],[REEMBOLSO]])</f>
        <v>0</v>
      </c>
      <c r="T38" s="40">
        <f>IF(Tabela1[[#This Row],[CARGA PARCIAL SEM CX REPROV.]]&lt;0,0,Tabela1[[#This Row],[CARGA PARCIAL]]+Tabela1[[#This Row],[REEMBOLSO]])</f>
        <v>-16.210000000000036</v>
      </c>
      <c r="U38" s="24" t="s">
        <v>22</v>
      </c>
      <c r="V38" s="24"/>
      <c r="W38" s="7"/>
      <c r="AY38"/>
      <c r="AZ38"/>
      <c r="BA38"/>
    </row>
    <row r="39" spans="2:53" hidden="1" x14ac:dyDescent="0.25">
      <c r="B39" s="33" t="s">
        <v>712</v>
      </c>
      <c r="C39" s="33" t="s">
        <v>276</v>
      </c>
      <c r="D39" s="33" t="s">
        <v>18</v>
      </c>
      <c r="E39" s="33" t="s">
        <v>262</v>
      </c>
      <c r="F39" s="33">
        <v>11030800001</v>
      </c>
      <c r="G39" s="33" t="s">
        <v>48</v>
      </c>
      <c r="H39" s="33" t="s">
        <v>35</v>
      </c>
      <c r="I39" s="23">
        <v>0</v>
      </c>
      <c r="J39" s="23">
        <v>767.75999999999931</v>
      </c>
      <c r="K39" s="23">
        <v>0</v>
      </c>
      <c r="L39" s="23">
        <v>13</v>
      </c>
      <c r="M39" s="23">
        <v>500</v>
      </c>
      <c r="N39" s="23">
        <v>0</v>
      </c>
      <c r="O39" s="23">
        <v>0</v>
      </c>
      <c r="P39" s="23">
        <f>Tabela1[[#This Row],[1QZ DE MARÇO 26]]-Tabela1[[#This Row],[SALDO PENDENTE COM CX REPR.]]-Tabela1[[#This Row],[SALDO CARTAO]]-Tabela1[[#This Row],[ADIANTAMENTO]]</f>
        <v>-267.75999999999931</v>
      </c>
      <c r="Q39" s="23">
        <f>Tabela1[[#This Row],[1QZ DE MARÇO 26]]-Tabela1[[#This Row],[SALDO PENDENTE SEM CX REPR.]]-Tabela1[[#This Row],[SALDO CARTAO]]-Tabela1[[#This Row],[ADIANTAMENTO]]</f>
        <v>487</v>
      </c>
      <c r="R39" s="23">
        <v>0</v>
      </c>
      <c r="S39" s="40">
        <f>IF(Tabela1[[#This Row],[CARGA PARCIAL]]&lt;0,0,Tabela1[[#This Row],[CARGA PARCIAL]]+Tabela1[[#This Row],[REEMBOLSO]])</f>
        <v>0</v>
      </c>
      <c r="T39" s="40">
        <f>IF(Tabela1[[#This Row],[CARGA PARCIAL SEM CX REPROV.]]&lt;0,0,Tabela1[[#This Row],[CARGA PARCIAL]]+Tabela1[[#This Row],[REEMBOLSO]])</f>
        <v>-267.75999999999931</v>
      </c>
      <c r="U39" s="24" t="s">
        <v>22</v>
      </c>
      <c r="V39" s="24"/>
      <c r="W39" s="7"/>
      <c r="AY39"/>
      <c r="AZ39"/>
      <c r="BA39"/>
    </row>
    <row r="40" spans="2:53" x14ac:dyDescent="0.25">
      <c r="B40" s="37" t="s">
        <v>713</v>
      </c>
      <c r="C40" s="32" t="s">
        <v>29</v>
      </c>
      <c r="D40" s="33" t="s">
        <v>18</v>
      </c>
      <c r="E40" s="33" t="s">
        <v>24</v>
      </c>
      <c r="F40" s="33">
        <v>11030290001</v>
      </c>
      <c r="G40" s="33" t="s">
        <v>25</v>
      </c>
      <c r="H40" s="22" t="s">
        <v>21</v>
      </c>
      <c r="I40" s="23">
        <v>0</v>
      </c>
      <c r="J40" s="23">
        <v>2313.4399999999732</v>
      </c>
      <c r="K40" s="23">
        <v>0</v>
      </c>
      <c r="L40" s="23">
        <v>0</v>
      </c>
      <c r="M40" s="23">
        <v>11100</v>
      </c>
      <c r="N40" s="23">
        <v>0</v>
      </c>
      <c r="O40" s="23">
        <v>0</v>
      </c>
      <c r="P40" s="23">
        <f>Tabela1[[#This Row],[1QZ DE MARÇO 26]]-Tabela1[[#This Row],[SALDO PENDENTE COM CX REPR.]]-Tabela1[[#This Row],[SALDO CARTAO]]-Tabela1[[#This Row],[ADIANTAMENTO]]</f>
        <v>8786.5600000000268</v>
      </c>
      <c r="Q40" s="23">
        <f>Tabela1[[#This Row],[1QZ DE MARÇO 26]]-Tabela1[[#This Row],[SALDO PENDENTE SEM CX REPR.]]-Tabela1[[#This Row],[SALDO CARTAO]]-Tabela1[[#This Row],[ADIANTAMENTO]]</f>
        <v>11100</v>
      </c>
      <c r="R40" s="23">
        <v>0</v>
      </c>
      <c r="S40" s="40">
        <f>IF(Tabela1[[#This Row],[CARGA PARCIAL]]&lt;0,0,Tabela1[[#This Row],[CARGA PARCIAL]]+Tabela1[[#This Row],[REEMBOLSO]])</f>
        <v>8786.5600000000268</v>
      </c>
      <c r="T40" s="40">
        <f>IF(Tabela1[[#This Row],[CARGA PARCIAL SEM CX REPROV.]]&lt;0,0,Tabela1[[#This Row],[CARGA PARCIAL]]+Tabela1[[#This Row],[REEMBOLSO]])</f>
        <v>8786.5600000000268</v>
      </c>
      <c r="U40" s="24" t="s">
        <v>22</v>
      </c>
      <c r="V40" s="24"/>
      <c r="W40" s="7"/>
      <c r="AY40"/>
      <c r="AZ40"/>
      <c r="BA40"/>
    </row>
    <row r="41" spans="2:53" hidden="1" x14ac:dyDescent="0.25">
      <c r="B41" s="37" t="s">
        <v>726</v>
      </c>
      <c r="C41" s="32" t="s">
        <v>68</v>
      </c>
      <c r="D41" s="33" t="s">
        <v>18</v>
      </c>
      <c r="E41" s="33" t="s">
        <v>69</v>
      </c>
      <c r="F41" s="33">
        <v>1201009</v>
      </c>
      <c r="G41" s="33" t="s">
        <v>25</v>
      </c>
      <c r="H41" s="22" t="s">
        <v>21</v>
      </c>
      <c r="I41" s="23">
        <v>-122.67999999999972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1000</v>
      </c>
      <c r="P41" s="23">
        <f>Tabela1[[#This Row],[1QZ DE MARÇO 26]]-Tabela1[[#This Row],[SALDO PENDENTE COM CX REPR.]]-Tabela1[[#This Row],[SALDO CARTAO]]-Tabela1[[#This Row],[ADIANTAMENTO]]</f>
        <v>-1000</v>
      </c>
      <c r="Q41" s="23">
        <f>Tabela1[[#This Row],[1QZ DE MARÇO 26]]-Tabela1[[#This Row],[SALDO PENDENTE SEM CX REPR.]]-Tabela1[[#This Row],[SALDO CARTAO]]-Tabela1[[#This Row],[ADIANTAMENTO]]</f>
        <v>-1000</v>
      </c>
      <c r="R41" s="23">
        <v>0</v>
      </c>
      <c r="S41" s="40">
        <f>IF(Tabela1[[#This Row],[CARGA PARCIAL]]&lt;0,0,Tabela1[[#This Row],[CARGA PARCIAL]]+Tabela1[[#This Row],[REEMBOLSO]])</f>
        <v>0</v>
      </c>
      <c r="T41" s="40">
        <f>IF(Tabela1[[#This Row],[CARGA PARCIAL SEM CX REPROV.]]&lt;0,0,Tabela1[[#This Row],[CARGA PARCIAL]]+Tabela1[[#This Row],[REEMBOLSO]])</f>
        <v>0</v>
      </c>
      <c r="U41" s="24" t="s">
        <v>22</v>
      </c>
      <c r="V41" s="24"/>
      <c r="W41" s="7"/>
      <c r="AY41"/>
      <c r="AZ41"/>
      <c r="BA41"/>
    </row>
    <row r="42" spans="2:53" hidden="1" x14ac:dyDescent="0.25">
      <c r="B42" s="31" t="s">
        <v>752</v>
      </c>
      <c r="C42" s="32" t="s">
        <v>545</v>
      </c>
      <c r="D42" s="33" t="s">
        <v>18</v>
      </c>
      <c r="E42" s="33" t="s">
        <v>673</v>
      </c>
      <c r="F42" s="33">
        <v>1001010</v>
      </c>
      <c r="G42" s="33" t="s">
        <v>526</v>
      </c>
      <c r="H42" s="22" t="s">
        <v>527</v>
      </c>
      <c r="I42" s="23">
        <v>-126.00000000000364</v>
      </c>
      <c r="J42" s="23">
        <v>0</v>
      </c>
      <c r="K42" s="23">
        <v>0</v>
      </c>
      <c r="L42" s="23">
        <v>662.74999999999989</v>
      </c>
      <c r="M42" s="23">
        <v>0</v>
      </c>
      <c r="N42" s="23">
        <v>0</v>
      </c>
      <c r="O42" s="23">
        <v>0</v>
      </c>
      <c r="P42" s="23">
        <f>Tabela1[[#This Row],[1QZ DE MARÇO 26]]-Tabela1[[#This Row],[SALDO PENDENTE COM CX REPR.]]-Tabela1[[#This Row],[SALDO CARTAO]]-Tabela1[[#This Row],[ADIANTAMENTO]]</f>
        <v>0</v>
      </c>
      <c r="Q42" s="23">
        <f>Tabela1[[#This Row],[1QZ DE MARÇO 26]]-Tabela1[[#This Row],[SALDO PENDENTE SEM CX REPR.]]-Tabela1[[#This Row],[SALDO CARTAO]]-Tabela1[[#This Row],[ADIANTAMENTO]]</f>
        <v>-662.74999999999989</v>
      </c>
      <c r="R42" s="23">
        <v>0</v>
      </c>
      <c r="S42" s="40">
        <f>IF(Tabela1[[#This Row],[CARGA PARCIAL]]&lt;0,0,Tabela1[[#This Row],[CARGA PARCIAL]]+Tabela1[[#This Row],[REEMBOLSO]])</f>
        <v>0</v>
      </c>
      <c r="T42" s="40">
        <f>IF(Tabela1[[#This Row],[CARGA PARCIAL SEM CX REPROV.]]&lt;0,0,Tabela1[[#This Row],[CARGA PARCIAL]]+Tabela1[[#This Row],[REEMBOLSO]])</f>
        <v>0</v>
      </c>
      <c r="U42" s="24" t="s">
        <v>22</v>
      </c>
      <c r="V42" s="24"/>
      <c r="W42" s="7"/>
      <c r="AY42"/>
      <c r="AZ42"/>
      <c r="BA42"/>
    </row>
    <row r="43" spans="2:53" hidden="1" x14ac:dyDescent="0.25">
      <c r="B43" s="35" t="s">
        <v>716</v>
      </c>
      <c r="C43" s="36" t="s">
        <v>536</v>
      </c>
      <c r="D43" s="34" t="s">
        <v>18</v>
      </c>
      <c r="E43" s="33" t="s">
        <v>88</v>
      </c>
      <c r="F43" s="33">
        <v>11040130001</v>
      </c>
      <c r="G43" s="33" t="s">
        <v>42</v>
      </c>
      <c r="H43" s="22" t="s">
        <v>39</v>
      </c>
      <c r="I43" s="23">
        <v>0</v>
      </c>
      <c r="J43" s="23">
        <v>0</v>
      </c>
      <c r="K43" s="23">
        <v>0</v>
      </c>
      <c r="L43" s="23">
        <v>2930.1499999999996</v>
      </c>
      <c r="M43" s="23">
        <v>0</v>
      </c>
      <c r="N43" s="23">
        <v>4</v>
      </c>
      <c r="O43" s="23">
        <v>0</v>
      </c>
      <c r="P43" s="23">
        <f>Tabela1[[#This Row],[1QZ DE MARÇO 26]]-Tabela1[[#This Row],[SALDO PENDENTE COM CX REPR.]]-Tabela1[[#This Row],[SALDO CARTAO]]-Tabela1[[#This Row],[ADIANTAMENTO]]</f>
        <v>-4</v>
      </c>
      <c r="Q43" s="23">
        <f>Tabela1[[#This Row],[1QZ DE MARÇO 26]]-Tabela1[[#This Row],[SALDO PENDENTE SEM CX REPR.]]-Tabela1[[#This Row],[SALDO CARTAO]]-Tabela1[[#This Row],[ADIANTAMENTO]]</f>
        <v>-2934.1499999999996</v>
      </c>
      <c r="R43" s="23">
        <v>0</v>
      </c>
      <c r="S43" s="40">
        <f>IF(Tabela1[[#This Row],[CARGA PARCIAL]]&lt;0,0,Tabela1[[#This Row],[CARGA PARCIAL]]+Tabela1[[#This Row],[REEMBOLSO]])</f>
        <v>0</v>
      </c>
      <c r="T43" s="40">
        <f>IF(Tabela1[[#This Row],[CARGA PARCIAL SEM CX REPROV.]]&lt;0,0,Tabela1[[#This Row],[CARGA PARCIAL]]+Tabela1[[#This Row],[REEMBOLSO]])</f>
        <v>0</v>
      </c>
      <c r="U43" s="25" t="s">
        <v>22</v>
      </c>
      <c r="V43" s="26"/>
      <c r="W43" s="7"/>
      <c r="AY43"/>
      <c r="AZ43"/>
      <c r="BA43"/>
    </row>
    <row r="44" spans="2:53" x14ac:dyDescent="0.25">
      <c r="B44" s="31" t="s">
        <v>717</v>
      </c>
      <c r="C44" s="32" t="s">
        <v>348</v>
      </c>
      <c r="D44" s="33" t="s">
        <v>18</v>
      </c>
      <c r="E44" s="33" t="s">
        <v>202</v>
      </c>
      <c r="F44" s="33">
        <v>11010370001</v>
      </c>
      <c r="G44" s="33" t="s">
        <v>42</v>
      </c>
      <c r="H44" s="22" t="s">
        <v>39</v>
      </c>
      <c r="I44" s="23">
        <v>0</v>
      </c>
      <c r="J44" s="23">
        <v>294.70000000000061</v>
      </c>
      <c r="K44" s="23">
        <v>0</v>
      </c>
      <c r="L44" s="23">
        <v>0</v>
      </c>
      <c r="M44" s="23">
        <v>500</v>
      </c>
      <c r="N44" s="23">
        <v>16.100000000000001</v>
      </c>
      <c r="O44" s="23">
        <v>0</v>
      </c>
      <c r="P44" s="23">
        <f>Tabela1[[#This Row],[1QZ DE MARÇO 26]]-Tabela1[[#This Row],[SALDO PENDENTE COM CX REPR.]]-Tabela1[[#This Row],[SALDO CARTAO]]-Tabela1[[#This Row],[ADIANTAMENTO]]</f>
        <v>189.19999999999939</v>
      </c>
      <c r="Q44" s="23">
        <f>Tabela1[[#This Row],[1QZ DE MARÇO 26]]-Tabela1[[#This Row],[SALDO PENDENTE SEM CX REPR.]]-Tabela1[[#This Row],[SALDO CARTAO]]-Tabela1[[#This Row],[ADIANTAMENTO]]</f>
        <v>483.9</v>
      </c>
      <c r="R44" s="23">
        <v>0</v>
      </c>
      <c r="S44" s="40">
        <f>IF(Tabela1[[#This Row],[CARGA PARCIAL]]&lt;0,0,Tabela1[[#This Row],[CARGA PARCIAL]]+Tabela1[[#This Row],[REEMBOLSO]])</f>
        <v>189.19999999999939</v>
      </c>
      <c r="T44" s="40">
        <f>IF(Tabela1[[#This Row],[CARGA PARCIAL SEM CX REPROV.]]&lt;0,0,Tabela1[[#This Row],[CARGA PARCIAL]]+Tabela1[[#This Row],[REEMBOLSO]])</f>
        <v>189.19999999999939</v>
      </c>
      <c r="U44" s="24" t="s">
        <v>22</v>
      </c>
      <c r="V44" s="24"/>
      <c r="W44" s="7"/>
      <c r="AY44"/>
      <c r="AZ44"/>
      <c r="BA44"/>
    </row>
    <row r="45" spans="2:53" x14ac:dyDescent="0.25">
      <c r="B45" s="33" t="s">
        <v>718</v>
      </c>
      <c r="C45" s="33" t="s">
        <v>50</v>
      </c>
      <c r="D45" s="33" t="s">
        <v>18</v>
      </c>
      <c r="E45" s="33" t="s">
        <v>51</v>
      </c>
      <c r="F45" s="33">
        <v>11010400001</v>
      </c>
      <c r="G45" s="33" t="s">
        <v>25</v>
      </c>
      <c r="H45" s="33" t="s">
        <v>21</v>
      </c>
      <c r="I45" s="23">
        <v>0</v>
      </c>
      <c r="J45" s="23">
        <v>0</v>
      </c>
      <c r="K45" s="23">
        <v>0</v>
      </c>
      <c r="L45" s="23">
        <v>641.20000000000005</v>
      </c>
      <c r="M45" s="23">
        <v>4500</v>
      </c>
      <c r="N45" s="23">
        <v>0</v>
      </c>
      <c r="O45" s="23">
        <v>0</v>
      </c>
      <c r="P45" s="23">
        <f>Tabela1[[#This Row],[1QZ DE MARÇO 26]]-Tabela1[[#This Row],[SALDO PENDENTE COM CX REPR.]]-Tabela1[[#This Row],[SALDO CARTAO]]-Tabela1[[#This Row],[ADIANTAMENTO]]</f>
        <v>4500</v>
      </c>
      <c r="Q45" s="23">
        <f>Tabela1[[#This Row],[1QZ DE MARÇO 26]]-Tabela1[[#This Row],[SALDO PENDENTE SEM CX REPR.]]-Tabela1[[#This Row],[SALDO CARTAO]]-Tabela1[[#This Row],[ADIANTAMENTO]]</f>
        <v>3858.8</v>
      </c>
      <c r="R45" s="23">
        <v>0</v>
      </c>
      <c r="S45" s="40">
        <f>IF(Tabela1[[#This Row],[CARGA PARCIAL]]&lt;0,0,Tabela1[[#This Row],[CARGA PARCIAL]]+Tabela1[[#This Row],[REEMBOLSO]])</f>
        <v>4500</v>
      </c>
      <c r="T45" s="40">
        <f>IF(Tabela1[[#This Row],[CARGA PARCIAL SEM CX REPROV.]]&lt;0,0,Tabela1[[#This Row],[CARGA PARCIAL]]+Tabela1[[#This Row],[REEMBOLSO]])</f>
        <v>4500</v>
      </c>
      <c r="U45" s="24" t="s">
        <v>22</v>
      </c>
      <c r="V45" s="24"/>
      <c r="W45" s="7"/>
      <c r="AY45"/>
      <c r="AZ45"/>
      <c r="BA45"/>
    </row>
    <row r="46" spans="2:53" hidden="1" x14ac:dyDescent="0.25">
      <c r="B46" s="31" t="s">
        <v>719</v>
      </c>
      <c r="C46" s="32" t="s">
        <v>538</v>
      </c>
      <c r="D46" s="33" t="s">
        <v>18</v>
      </c>
      <c r="E46" s="33" t="s">
        <v>539</v>
      </c>
      <c r="F46" s="33">
        <v>11061800001</v>
      </c>
      <c r="G46" s="33" t="s">
        <v>54</v>
      </c>
      <c r="H46" s="22" t="s">
        <v>39</v>
      </c>
      <c r="I46" s="23">
        <v>0</v>
      </c>
      <c r="J46" s="23">
        <v>28.33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f>Tabela1[[#This Row],[1QZ DE MARÇO 26]]-Tabela1[[#This Row],[SALDO PENDENTE COM CX REPR.]]-Tabela1[[#This Row],[SALDO CARTAO]]-Tabela1[[#This Row],[ADIANTAMENTO]]</f>
        <v>-28.33</v>
      </c>
      <c r="Q46" s="23">
        <f>Tabela1[[#This Row],[1QZ DE MARÇO 26]]-Tabela1[[#This Row],[SALDO PENDENTE SEM CX REPR.]]-Tabela1[[#This Row],[SALDO CARTAO]]-Tabela1[[#This Row],[ADIANTAMENTO]]</f>
        <v>0</v>
      </c>
      <c r="R46" s="23">
        <v>0</v>
      </c>
      <c r="S46" s="40">
        <f>IF(Tabela1[[#This Row],[CARGA PARCIAL]]&lt;0,0,Tabela1[[#This Row],[CARGA PARCIAL]]+Tabela1[[#This Row],[REEMBOLSO]])</f>
        <v>0</v>
      </c>
      <c r="T46" s="40">
        <f>IF(Tabela1[[#This Row],[CARGA PARCIAL SEM CX REPROV.]]&lt;0,0,Tabela1[[#This Row],[CARGA PARCIAL]]+Tabela1[[#This Row],[REEMBOLSO]])</f>
        <v>-28.33</v>
      </c>
      <c r="U46" s="24" t="s">
        <v>22</v>
      </c>
      <c r="V46" s="24"/>
      <c r="W46" s="7"/>
      <c r="AY46"/>
      <c r="AZ46"/>
      <c r="BA46"/>
    </row>
    <row r="47" spans="2:53" x14ac:dyDescent="0.25">
      <c r="B47" s="33" t="s">
        <v>720</v>
      </c>
      <c r="C47" s="33" t="s">
        <v>52</v>
      </c>
      <c r="D47" s="33" t="s">
        <v>18</v>
      </c>
      <c r="E47" s="33" t="s">
        <v>53</v>
      </c>
      <c r="F47" s="33">
        <v>11030610001</v>
      </c>
      <c r="G47" s="33" t="s">
        <v>54</v>
      </c>
      <c r="H47" s="22" t="s">
        <v>39</v>
      </c>
      <c r="I47" s="23">
        <v>0</v>
      </c>
      <c r="J47" s="23">
        <v>758.50999999998021</v>
      </c>
      <c r="K47" s="23">
        <v>0</v>
      </c>
      <c r="L47" s="23">
        <v>767.75999999999931</v>
      </c>
      <c r="M47" s="23">
        <v>2800</v>
      </c>
      <c r="N47" s="23">
        <v>0</v>
      </c>
      <c r="O47" s="23">
        <v>0</v>
      </c>
      <c r="P47" s="23">
        <f>Tabela1[[#This Row],[1QZ DE MARÇO 26]]-Tabela1[[#This Row],[SALDO PENDENTE COM CX REPR.]]-Tabela1[[#This Row],[SALDO CARTAO]]-Tabela1[[#This Row],[ADIANTAMENTO]]</f>
        <v>2041.4900000000198</v>
      </c>
      <c r="Q47" s="23">
        <f>Tabela1[[#This Row],[1QZ DE MARÇO 26]]-Tabela1[[#This Row],[SALDO PENDENTE SEM CX REPR.]]-Tabela1[[#This Row],[SALDO CARTAO]]-Tabela1[[#This Row],[ADIANTAMENTO]]</f>
        <v>2032.2400000000007</v>
      </c>
      <c r="R47" s="23">
        <v>0</v>
      </c>
      <c r="S47" s="40">
        <f>IF(Tabela1[[#This Row],[CARGA PARCIAL]]&lt;0,0,Tabela1[[#This Row],[CARGA PARCIAL]]+Tabela1[[#This Row],[REEMBOLSO]])</f>
        <v>2041.4900000000198</v>
      </c>
      <c r="T47" s="40">
        <f>IF(Tabela1[[#This Row],[CARGA PARCIAL SEM CX REPROV.]]&lt;0,0,Tabela1[[#This Row],[CARGA PARCIAL]]+Tabela1[[#This Row],[REEMBOLSO]])</f>
        <v>2041.4900000000198</v>
      </c>
      <c r="U47" s="24" t="s">
        <v>22</v>
      </c>
      <c r="V47" s="24"/>
      <c r="W47" s="7"/>
      <c r="AY47"/>
      <c r="AZ47"/>
      <c r="BA47"/>
    </row>
    <row r="48" spans="2:53" hidden="1" x14ac:dyDescent="0.25">
      <c r="B48" s="31" t="s">
        <v>721</v>
      </c>
      <c r="C48" s="32" t="s">
        <v>181</v>
      </c>
      <c r="D48" s="33" t="s">
        <v>18</v>
      </c>
      <c r="E48" s="33" t="s">
        <v>149</v>
      </c>
      <c r="F48" s="33">
        <v>11062050001</v>
      </c>
      <c r="G48" s="33" t="s">
        <v>45</v>
      </c>
      <c r="H48" s="22" t="s">
        <v>39</v>
      </c>
      <c r="I48" s="23">
        <v>0</v>
      </c>
      <c r="J48" s="23">
        <v>3973</v>
      </c>
      <c r="K48" s="23">
        <v>0</v>
      </c>
      <c r="L48" s="23">
        <v>0</v>
      </c>
      <c r="M48" s="23">
        <v>1200</v>
      </c>
      <c r="N48" s="23">
        <v>9</v>
      </c>
      <c r="O48" s="23">
        <v>0</v>
      </c>
      <c r="P48" s="23">
        <f>Tabela1[[#This Row],[1QZ DE MARÇO 26]]-Tabela1[[#This Row],[SALDO PENDENTE COM CX REPR.]]-Tabela1[[#This Row],[SALDO CARTAO]]-Tabela1[[#This Row],[ADIANTAMENTO]]</f>
        <v>-2782</v>
      </c>
      <c r="Q48" s="23">
        <f>Tabela1[[#This Row],[1QZ DE MARÇO 26]]-Tabela1[[#This Row],[SALDO PENDENTE SEM CX REPR.]]-Tabela1[[#This Row],[SALDO CARTAO]]-Tabela1[[#This Row],[ADIANTAMENTO]]</f>
        <v>1191</v>
      </c>
      <c r="R48" s="23">
        <v>0</v>
      </c>
      <c r="S48" s="40">
        <f>IF(Tabela1[[#This Row],[CARGA PARCIAL]]&lt;0,0,Tabela1[[#This Row],[CARGA PARCIAL]]+Tabela1[[#This Row],[REEMBOLSO]])</f>
        <v>0</v>
      </c>
      <c r="T48" s="40">
        <f>IF(Tabela1[[#This Row],[CARGA PARCIAL SEM CX REPROV.]]&lt;0,0,Tabela1[[#This Row],[CARGA PARCIAL]]+Tabela1[[#This Row],[REEMBOLSO]])</f>
        <v>-2782</v>
      </c>
      <c r="U48" s="27" t="s">
        <v>22</v>
      </c>
      <c r="V48" s="26"/>
      <c r="W48" s="7"/>
      <c r="AY48"/>
      <c r="AZ48"/>
      <c r="BA48"/>
    </row>
    <row r="49" spans="2:53" hidden="1" x14ac:dyDescent="0.25">
      <c r="B49" s="34" t="s">
        <v>722</v>
      </c>
      <c r="C49" s="34" t="s">
        <v>301</v>
      </c>
      <c r="D49" s="34" t="s">
        <v>18</v>
      </c>
      <c r="E49" s="33" t="s">
        <v>95</v>
      </c>
      <c r="F49" s="33">
        <v>11040160001</v>
      </c>
      <c r="G49" s="33" t="s">
        <v>48</v>
      </c>
      <c r="H49" s="33" t="s">
        <v>35</v>
      </c>
      <c r="I49" s="23">
        <v>0</v>
      </c>
      <c r="J49" s="23">
        <v>118.78999999999988</v>
      </c>
      <c r="K49" s="23">
        <v>0</v>
      </c>
      <c r="L49" s="23">
        <v>2313.4399999999732</v>
      </c>
      <c r="M49" s="23">
        <v>400</v>
      </c>
      <c r="N49" s="23">
        <v>0</v>
      </c>
      <c r="O49" s="23">
        <v>0</v>
      </c>
      <c r="P49" s="23">
        <f>Tabela1[[#This Row],[1QZ DE MARÇO 26]]-Tabela1[[#This Row],[SALDO PENDENTE COM CX REPR.]]-Tabela1[[#This Row],[SALDO CARTAO]]-Tabela1[[#This Row],[ADIANTAMENTO]]</f>
        <v>281.21000000000015</v>
      </c>
      <c r="Q49" s="23">
        <f>Tabela1[[#This Row],[1QZ DE MARÇO 26]]-Tabela1[[#This Row],[SALDO PENDENTE SEM CX REPR.]]-Tabela1[[#This Row],[SALDO CARTAO]]-Tabela1[[#This Row],[ADIANTAMENTO]]</f>
        <v>-1913.4399999999732</v>
      </c>
      <c r="R49" s="23">
        <v>0</v>
      </c>
      <c r="S49" s="40">
        <f>IF(Tabela1[[#This Row],[CARGA PARCIAL]]&lt;0,0,Tabela1[[#This Row],[CARGA PARCIAL]]+Tabela1[[#This Row],[REEMBOLSO]])</f>
        <v>281.21000000000015</v>
      </c>
      <c r="T49" s="40">
        <f>IF(Tabela1[[#This Row],[CARGA PARCIAL SEM CX REPROV.]]&lt;0,0,Tabela1[[#This Row],[CARGA PARCIAL]]+Tabela1[[#This Row],[REEMBOLSO]])</f>
        <v>0</v>
      </c>
      <c r="U49" s="25" t="s">
        <v>22</v>
      </c>
      <c r="V49" s="26"/>
      <c r="W49" s="7"/>
      <c r="AY49"/>
      <c r="AZ49"/>
      <c r="BA49"/>
    </row>
    <row r="50" spans="2:53" hidden="1" x14ac:dyDescent="0.25">
      <c r="B50" s="37" t="s">
        <v>723</v>
      </c>
      <c r="C50" s="32" t="s">
        <v>540</v>
      </c>
      <c r="D50" s="33" t="s">
        <v>18</v>
      </c>
      <c r="E50" s="33" t="s">
        <v>111</v>
      </c>
      <c r="F50" s="33">
        <v>11060710001</v>
      </c>
      <c r="G50" s="33" t="s">
        <v>28</v>
      </c>
      <c r="H50" s="22" t="s">
        <v>21</v>
      </c>
      <c r="I50" s="23">
        <v>0</v>
      </c>
      <c r="J50" s="23">
        <v>192.58</v>
      </c>
      <c r="K50" s="23">
        <v>-363.92000000000024</v>
      </c>
      <c r="L50" s="23">
        <v>0</v>
      </c>
      <c r="M50" s="23">
        <v>0</v>
      </c>
      <c r="N50" s="23">
        <v>3.1</v>
      </c>
      <c r="O50" s="23">
        <v>0</v>
      </c>
      <c r="P50" s="23">
        <f>Tabela1[[#This Row],[1QZ DE MARÇO 26]]-Tabela1[[#This Row],[SALDO PENDENTE COM CX REPR.]]-Tabela1[[#This Row],[SALDO CARTAO]]-Tabela1[[#This Row],[ADIANTAMENTO]]</f>
        <v>-195.68</v>
      </c>
      <c r="Q50" s="23">
        <f>Tabela1[[#This Row],[1QZ DE MARÇO 26]]-Tabela1[[#This Row],[SALDO PENDENTE SEM CX REPR.]]-Tabela1[[#This Row],[SALDO CARTAO]]-Tabela1[[#This Row],[ADIANTAMENTO]]</f>
        <v>-3.1</v>
      </c>
      <c r="R50" s="23">
        <v>0</v>
      </c>
      <c r="S50" s="40">
        <f>IF(Tabela1[[#This Row],[CARGA PARCIAL]]&lt;0,0,Tabela1[[#This Row],[CARGA PARCIAL]]+Tabela1[[#This Row],[REEMBOLSO]])</f>
        <v>0</v>
      </c>
      <c r="T50" s="40">
        <f>IF(Tabela1[[#This Row],[CARGA PARCIAL SEM CX REPROV.]]&lt;0,0,Tabela1[[#This Row],[CARGA PARCIAL]]+Tabela1[[#This Row],[REEMBOLSO]])</f>
        <v>0</v>
      </c>
      <c r="U50" s="24" t="s">
        <v>22</v>
      </c>
      <c r="V50" s="24"/>
      <c r="W50" s="7"/>
      <c r="AY50"/>
      <c r="AZ50"/>
      <c r="BA50"/>
    </row>
    <row r="51" spans="2:53" hidden="1" x14ac:dyDescent="0.25">
      <c r="B51" s="33" t="s">
        <v>724</v>
      </c>
      <c r="C51" s="33" t="s">
        <v>236</v>
      </c>
      <c r="D51" s="33" t="s">
        <v>18</v>
      </c>
      <c r="E51" s="33" t="s">
        <v>237</v>
      </c>
      <c r="F51" s="33">
        <v>1201071</v>
      </c>
      <c r="G51" s="33" t="s">
        <v>42</v>
      </c>
      <c r="H51" s="22" t="s">
        <v>39</v>
      </c>
      <c r="I51" s="23">
        <v>0</v>
      </c>
      <c r="J51" s="23">
        <v>523.75999999999544</v>
      </c>
      <c r="K51" s="23">
        <v>-71.070000000000448</v>
      </c>
      <c r="L51" s="23">
        <v>0</v>
      </c>
      <c r="M51" s="23">
        <v>1000</v>
      </c>
      <c r="N51" s="23">
        <v>0</v>
      </c>
      <c r="O51" s="23">
        <v>1000</v>
      </c>
      <c r="P51" s="23">
        <f>Tabela1[[#This Row],[1QZ DE MARÇO 26]]-Tabela1[[#This Row],[SALDO PENDENTE COM CX REPR.]]-Tabela1[[#This Row],[SALDO CARTAO]]-Tabela1[[#This Row],[ADIANTAMENTO]]</f>
        <v>-523.75999999999544</v>
      </c>
      <c r="Q51" s="23">
        <f>Tabela1[[#This Row],[1QZ DE MARÇO 26]]-Tabela1[[#This Row],[SALDO PENDENTE SEM CX REPR.]]-Tabela1[[#This Row],[SALDO CARTAO]]-Tabela1[[#This Row],[ADIANTAMENTO]]</f>
        <v>0</v>
      </c>
      <c r="R51" s="23">
        <v>0</v>
      </c>
      <c r="S51" s="40">
        <f>IF(Tabela1[[#This Row],[CARGA PARCIAL]]&lt;0,0,Tabela1[[#This Row],[CARGA PARCIAL]]+Tabela1[[#This Row],[REEMBOLSO]])</f>
        <v>0</v>
      </c>
      <c r="T51" s="40">
        <f>IF(Tabela1[[#This Row],[CARGA PARCIAL SEM CX REPROV.]]&lt;0,0,Tabela1[[#This Row],[CARGA PARCIAL]]+Tabela1[[#This Row],[REEMBOLSO]])</f>
        <v>-523.75999999999544</v>
      </c>
      <c r="U51" s="24" t="s">
        <v>22</v>
      </c>
      <c r="V51" s="24"/>
      <c r="W51" s="7"/>
      <c r="AY51"/>
      <c r="AZ51"/>
      <c r="BA51"/>
    </row>
    <row r="52" spans="2:53" hidden="1" x14ac:dyDescent="0.25">
      <c r="B52" s="33" t="s">
        <v>725</v>
      </c>
      <c r="C52" s="33" t="s">
        <v>541</v>
      </c>
      <c r="D52" s="33" t="s">
        <v>18</v>
      </c>
      <c r="E52" s="33" t="s">
        <v>542</v>
      </c>
      <c r="F52" s="33">
        <v>1201001</v>
      </c>
      <c r="G52" s="33" t="s">
        <v>275</v>
      </c>
      <c r="H52" s="33" t="s">
        <v>123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464.45</v>
      </c>
      <c r="O52" s="23">
        <v>0</v>
      </c>
      <c r="P52" s="23">
        <f>Tabela1[[#This Row],[1QZ DE MARÇO 26]]-Tabela1[[#This Row],[SALDO PENDENTE COM CX REPR.]]-Tabela1[[#This Row],[SALDO CARTAO]]-Tabela1[[#This Row],[ADIANTAMENTO]]</f>
        <v>-464.45</v>
      </c>
      <c r="Q52" s="23">
        <f>Tabela1[[#This Row],[1QZ DE MARÇO 26]]-Tabela1[[#This Row],[SALDO PENDENTE SEM CX REPR.]]-Tabela1[[#This Row],[SALDO CARTAO]]-Tabela1[[#This Row],[ADIANTAMENTO]]</f>
        <v>-464.45</v>
      </c>
      <c r="R52" s="23">
        <v>0</v>
      </c>
      <c r="S52" s="40">
        <f>IF(Tabela1[[#This Row],[CARGA PARCIAL]]&lt;0,0,Tabela1[[#This Row],[CARGA PARCIAL]]+Tabela1[[#This Row],[REEMBOLSO]])</f>
        <v>0</v>
      </c>
      <c r="T52" s="40">
        <f>IF(Tabela1[[#This Row],[CARGA PARCIAL SEM CX REPROV.]]&lt;0,0,Tabela1[[#This Row],[CARGA PARCIAL]]+Tabela1[[#This Row],[REEMBOLSO]])</f>
        <v>0</v>
      </c>
      <c r="U52" s="24" t="s">
        <v>60</v>
      </c>
      <c r="V52" s="24"/>
      <c r="W52" s="7"/>
      <c r="AY52"/>
      <c r="AZ52"/>
      <c r="BA52"/>
    </row>
    <row r="53" spans="2:53" x14ac:dyDescent="0.25">
      <c r="B53" s="31" t="s">
        <v>1063</v>
      </c>
      <c r="C53" s="32" t="s">
        <v>568</v>
      </c>
      <c r="D53" s="33" t="s">
        <v>18</v>
      </c>
      <c r="E53" s="33" t="s">
        <v>143</v>
      </c>
      <c r="F53" s="33">
        <v>11030730001</v>
      </c>
      <c r="G53" s="33" t="s">
        <v>25</v>
      </c>
      <c r="H53" s="22" t="s">
        <v>21</v>
      </c>
      <c r="I53" s="23">
        <v>-128.07999999999862</v>
      </c>
      <c r="J53" s="23">
        <v>0</v>
      </c>
      <c r="K53" s="23">
        <v>0</v>
      </c>
      <c r="L53" s="23">
        <v>622.14000000000033</v>
      </c>
      <c r="M53" s="23">
        <v>640</v>
      </c>
      <c r="N53" s="23">
        <v>0</v>
      </c>
      <c r="O53" s="23">
        <v>0</v>
      </c>
      <c r="P53" s="23">
        <f>Tabela1[[#This Row],[1QZ DE MARÇO 26]]-Tabela1[[#This Row],[SALDO PENDENTE COM CX REPR.]]-Tabela1[[#This Row],[SALDO CARTAO]]-Tabela1[[#This Row],[ADIANTAMENTO]]</f>
        <v>640</v>
      </c>
      <c r="Q53" s="23">
        <f>Tabela1[[#This Row],[1QZ DE MARÇO 26]]-Tabela1[[#This Row],[SALDO PENDENTE SEM CX REPR.]]-Tabela1[[#This Row],[SALDO CARTAO]]-Tabela1[[#This Row],[ADIANTAMENTO]]</f>
        <v>17.859999999999673</v>
      </c>
      <c r="R53" s="23">
        <v>0</v>
      </c>
      <c r="S53" s="40">
        <f>IF(Tabela1[[#This Row],[CARGA PARCIAL]]&lt;0,0,Tabela1[[#This Row],[CARGA PARCIAL]]+Tabela1[[#This Row],[REEMBOLSO]])</f>
        <v>640</v>
      </c>
      <c r="T53" s="40">
        <f>IF(Tabela1[[#This Row],[CARGA PARCIAL SEM CX REPROV.]]&lt;0,0,Tabela1[[#This Row],[CARGA PARCIAL]]+Tabela1[[#This Row],[REEMBOLSO]])</f>
        <v>640</v>
      </c>
      <c r="U53" s="24" t="s">
        <v>22</v>
      </c>
      <c r="V53" s="24"/>
      <c r="W53" s="7"/>
      <c r="AY53"/>
      <c r="AZ53"/>
      <c r="BA53"/>
    </row>
    <row r="54" spans="2:53" hidden="1" x14ac:dyDescent="0.25">
      <c r="B54" s="33" t="s">
        <v>727</v>
      </c>
      <c r="C54" s="33" t="s">
        <v>484</v>
      </c>
      <c r="D54" s="33" t="s">
        <v>18</v>
      </c>
      <c r="E54" s="33" t="s">
        <v>485</v>
      </c>
      <c r="F54" s="33">
        <v>11110330001</v>
      </c>
      <c r="G54" s="33" t="s">
        <v>48</v>
      </c>
      <c r="H54" s="33" t="s">
        <v>35</v>
      </c>
      <c r="I54" s="23">
        <v>0</v>
      </c>
      <c r="J54" s="23">
        <v>173</v>
      </c>
      <c r="K54" s="23">
        <v>0</v>
      </c>
      <c r="L54" s="23">
        <v>294.70000000000016</v>
      </c>
      <c r="M54" s="23">
        <v>300</v>
      </c>
      <c r="N54" s="23">
        <v>497.36</v>
      </c>
      <c r="O54" s="23">
        <v>0</v>
      </c>
      <c r="P54" s="23">
        <f>Tabela1[[#This Row],[1QZ DE MARÇO 26]]-Tabela1[[#This Row],[SALDO PENDENTE COM CX REPR.]]-Tabela1[[#This Row],[SALDO CARTAO]]-Tabela1[[#This Row],[ADIANTAMENTO]]</f>
        <v>-370.36</v>
      </c>
      <c r="Q54" s="23">
        <f>Tabela1[[#This Row],[1QZ DE MARÇO 26]]-Tabela1[[#This Row],[SALDO PENDENTE SEM CX REPR.]]-Tabela1[[#This Row],[SALDO CARTAO]]-Tabela1[[#This Row],[ADIANTAMENTO]]</f>
        <v>-492.06000000000017</v>
      </c>
      <c r="R54" s="23">
        <v>0</v>
      </c>
      <c r="S54" s="40">
        <f>IF(Tabela1[[#This Row],[CARGA PARCIAL]]&lt;0,0,Tabela1[[#This Row],[CARGA PARCIAL]]+Tabela1[[#This Row],[REEMBOLSO]])</f>
        <v>0</v>
      </c>
      <c r="T54" s="40">
        <f>IF(Tabela1[[#This Row],[CARGA PARCIAL SEM CX REPROV.]]&lt;0,0,Tabela1[[#This Row],[CARGA PARCIAL]]+Tabela1[[#This Row],[REEMBOLSO]])</f>
        <v>0</v>
      </c>
      <c r="U54" s="24" t="s">
        <v>22</v>
      </c>
      <c r="V54" s="24"/>
      <c r="W54" s="7"/>
      <c r="AY54"/>
      <c r="AZ54"/>
      <c r="BA54"/>
    </row>
    <row r="55" spans="2:53" x14ac:dyDescent="0.25">
      <c r="B55" s="31" t="s">
        <v>728</v>
      </c>
      <c r="C55" s="32" t="s">
        <v>403</v>
      </c>
      <c r="D55" s="33" t="s">
        <v>18</v>
      </c>
      <c r="E55" s="33" t="s">
        <v>404</v>
      </c>
      <c r="F55" s="33">
        <v>11061690001</v>
      </c>
      <c r="G55" s="33" t="s">
        <v>28</v>
      </c>
      <c r="H55" s="22" t="s">
        <v>21</v>
      </c>
      <c r="I55" s="23">
        <v>0</v>
      </c>
      <c r="J55" s="23">
        <v>2433.1199999999899</v>
      </c>
      <c r="K55" s="23">
        <v>0</v>
      </c>
      <c r="L55" s="23">
        <v>0</v>
      </c>
      <c r="M55" s="23">
        <v>5000</v>
      </c>
      <c r="N55" s="23">
        <v>0</v>
      </c>
      <c r="O55" s="23">
        <v>0</v>
      </c>
      <c r="P55" s="23">
        <f>Tabela1[[#This Row],[1QZ DE MARÇO 26]]-Tabela1[[#This Row],[SALDO PENDENTE COM CX REPR.]]-Tabela1[[#This Row],[SALDO CARTAO]]-Tabela1[[#This Row],[ADIANTAMENTO]]</f>
        <v>2566.8800000000101</v>
      </c>
      <c r="Q55" s="23">
        <f>Tabela1[[#This Row],[1QZ DE MARÇO 26]]-Tabela1[[#This Row],[SALDO PENDENTE SEM CX REPR.]]-Tabela1[[#This Row],[SALDO CARTAO]]-Tabela1[[#This Row],[ADIANTAMENTO]]</f>
        <v>5000</v>
      </c>
      <c r="R55" s="23">
        <v>0</v>
      </c>
      <c r="S55" s="40">
        <f>IF(Tabela1[[#This Row],[CARGA PARCIAL]]&lt;0,0,Tabela1[[#This Row],[CARGA PARCIAL]]+Tabela1[[#This Row],[REEMBOLSO]])</f>
        <v>2566.8800000000101</v>
      </c>
      <c r="T55" s="40">
        <f>IF(Tabela1[[#This Row],[CARGA PARCIAL SEM CX REPROV.]]&lt;0,0,Tabela1[[#This Row],[CARGA PARCIAL]]+Tabela1[[#This Row],[REEMBOLSO]])</f>
        <v>2566.8800000000101</v>
      </c>
      <c r="U55" s="24" t="s">
        <v>22</v>
      </c>
      <c r="V55" s="24"/>
      <c r="W55" s="7"/>
      <c r="AY55"/>
      <c r="AZ55"/>
      <c r="BA55"/>
    </row>
    <row r="56" spans="2:53" s="28" customFormat="1" hidden="1" x14ac:dyDescent="0.25">
      <c r="B56" s="31" t="s">
        <v>729</v>
      </c>
      <c r="C56" s="32" t="s">
        <v>100</v>
      </c>
      <c r="D56" s="33" t="s">
        <v>18</v>
      </c>
      <c r="E56" s="33" t="s">
        <v>101</v>
      </c>
      <c r="F56" s="33">
        <v>11061490001</v>
      </c>
      <c r="G56" s="33" t="s">
        <v>20</v>
      </c>
      <c r="H56" s="22" t="s">
        <v>21</v>
      </c>
      <c r="I56" s="23">
        <v>-73.180000000000291</v>
      </c>
      <c r="J56" s="23">
        <v>0</v>
      </c>
      <c r="K56" s="23">
        <v>0</v>
      </c>
      <c r="L56" s="23">
        <v>28.33</v>
      </c>
      <c r="M56" s="23">
        <v>1000</v>
      </c>
      <c r="N56" s="23">
        <v>1681.24</v>
      </c>
      <c r="O56" s="23">
        <v>0</v>
      </c>
      <c r="P56" s="23">
        <f>Tabela1[[#This Row],[1QZ DE MARÇO 26]]-Tabela1[[#This Row],[SALDO PENDENTE COM CX REPR.]]-Tabela1[[#This Row],[SALDO CARTAO]]-Tabela1[[#This Row],[ADIANTAMENTO]]</f>
        <v>-681.24</v>
      </c>
      <c r="Q56" s="23">
        <f>Tabela1[[#This Row],[1QZ DE MARÇO 26]]-Tabela1[[#This Row],[SALDO PENDENTE SEM CX REPR.]]-Tabela1[[#This Row],[SALDO CARTAO]]-Tabela1[[#This Row],[ADIANTAMENTO]]</f>
        <v>-709.57</v>
      </c>
      <c r="R56" s="23">
        <v>0</v>
      </c>
      <c r="S56" s="40">
        <f>IF(Tabela1[[#This Row],[CARGA PARCIAL]]&lt;0,0,Tabela1[[#This Row],[CARGA PARCIAL]]+Tabela1[[#This Row],[REEMBOLSO]])</f>
        <v>0</v>
      </c>
      <c r="T56" s="40">
        <f>IF(Tabela1[[#This Row],[CARGA PARCIAL SEM CX REPROV.]]&lt;0,0,Tabela1[[#This Row],[CARGA PARCIAL]]+Tabela1[[#This Row],[REEMBOLSO]])</f>
        <v>0</v>
      </c>
      <c r="U56" s="24" t="s">
        <v>22</v>
      </c>
      <c r="V56" s="24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</row>
    <row r="57" spans="2:53" s="28" customFormat="1" x14ac:dyDescent="0.25">
      <c r="B57" s="33" t="s">
        <v>730</v>
      </c>
      <c r="C57" s="33" t="s">
        <v>221</v>
      </c>
      <c r="D57" s="33" t="s">
        <v>18</v>
      </c>
      <c r="E57" s="33" t="s">
        <v>134</v>
      </c>
      <c r="F57" s="33">
        <v>11061720001</v>
      </c>
      <c r="G57" s="33" t="s">
        <v>42</v>
      </c>
      <c r="H57" s="22" t="s">
        <v>39</v>
      </c>
      <c r="I57" s="23">
        <v>-17.999999999993307</v>
      </c>
      <c r="J57" s="23">
        <v>0</v>
      </c>
      <c r="K57" s="23">
        <v>0</v>
      </c>
      <c r="L57" s="23">
        <v>0</v>
      </c>
      <c r="M57" s="23">
        <v>800</v>
      </c>
      <c r="N57" s="23">
        <v>0</v>
      </c>
      <c r="O57" s="23">
        <v>0</v>
      </c>
      <c r="P57" s="23">
        <f>Tabela1[[#This Row],[1QZ DE MARÇO 26]]-Tabela1[[#This Row],[SALDO PENDENTE COM CX REPR.]]-Tabela1[[#This Row],[SALDO CARTAO]]-Tabela1[[#This Row],[ADIANTAMENTO]]</f>
        <v>800</v>
      </c>
      <c r="Q57" s="23">
        <f>Tabela1[[#This Row],[1QZ DE MARÇO 26]]-Tabela1[[#This Row],[SALDO PENDENTE SEM CX REPR.]]-Tabela1[[#This Row],[SALDO CARTAO]]-Tabela1[[#This Row],[ADIANTAMENTO]]</f>
        <v>800</v>
      </c>
      <c r="R57" s="23">
        <v>0</v>
      </c>
      <c r="S57" s="40">
        <f>IF(Tabela1[[#This Row],[CARGA PARCIAL]]&lt;0,0,Tabela1[[#This Row],[CARGA PARCIAL]]+Tabela1[[#This Row],[REEMBOLSO]])</f>
        <v>800</v>
      </c>
      <c r="T57" s="40">
        <f>IF(Tabela1[[#This Row],[CARGA PARCIAL SEM CX REPROV.]]&lt;0,0,Tabela1[[#This Row],[CARGA PARCIAL]]+Tabela1[[#This Row],[REEMBOLSO]])</f>
        <v>800</v>
      </c>
      <c r="U57" s="24" t="s">
        <v>22</v>
      </c>
      <c r="V57" s="24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</row>
    <row r="58" spans="2:53" s="28" customFormat="1" hidden="1" x14ac:dyDescent="0.25">
      <c r="B58" s="31" t="s">
        <v>731</v>
      </c>
      <c r="C58" s="32" t="s">
        <v>648</v>
      </c>
      <c r="D58" s="33" t="s">
        <v>18</v>
      </c>
      <c r="E58" s="33" t="s">
        <v>115</v>
      </c>
      <c r="F58" s="33">
        <v>11060700001</v>
      </c>
      <c r="G58" s="33" t="s">
        <v>42</v>
      </c>
      <c r="H58" s="22" t="s">
        <v>39</v>
      </c>
      <c r="I58" s="23">
        <v>0</v>
      </c>
      <c r="J58" s="23">
        <v>100</v>
      </c>
      <c r="K58" s="23">
        <v>0</v>
      </c>
      <c r="L58" s="23">
        <v>0</v>
      </c>
      <c r="M58" s="23">
        <v>0</v>
      </c>
      <c r="N58" s="23">
        <v>81.64</v>
      </c>
      <c r="O58" s="23">
        <v>0</v>
      </c>
      <c r="P58" s="23">
        <f>Tabela1[[#This Row],[1QZ DE MARÇO 26]]-Tabela1[[#This Row],[SALDO PENDENTE COM CX REPR.]]-Tabela1[[#This Row],[SALDO CARTAO]]-Tabela1[[#This Row],[ADIANTAMENTO]]</f>
        <v>-181.64</v>
      </c>
      <c r="Q58" s="23">
        <f>Tabela1[[#This Row],[1QZ DE MARÇO 26]]-Tabela1[[#This Row],[SALDO PENDENTE SEM CX REPR.]]-Tabela1[[#This Row],[SALDO CARTAO]]-Tabela1[[#This Row],[ADIANTAMENTO]]</f>
        <v>-81.64</v>
      </c>
      <c r="R58" s="23">
        <v>0</v>
      </c>
      <c r="S58" s="40">
        <f>IF(Tabela1[[#This Row],[CARGA PARCIAL]]&lt;0,0,Tabela1[[#This Row],[CARGA PARCIAL]]+Tabela1[[#This Row],[REEMBOLSO]])</f>
        <v>0</v>
      </c>
      <c r="T58" s="40">
        <f>IF(Tabela1[[#This Row],[CARGA PARCIAL SEM CX REPROV.]]&lt;0,0,Tabela1[[#This Row],[CARGA PARCIAL]]+Tabela1[[#This Row],[REEMBOLSO]])</f>
        <v>0</v>
      </c>
      <c r="U58" s="24" t="s">
        <v>22</v>
      </c>
      <c r="V58" s="24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</row>
    <row r="59" spans="2:53" s="28" customFormat="1" x14ac:dyDescent="0.25">
      <c r="B59" s="33" t="s">
        <v>1009</v>
      </c>
      <c r="C59" s="33" t="s">
        <v>144</v>
      </c>
      <c r="D59" s="33" t="s">
        <v>18</v>
      </c>
      <c r="E59" s="33" t="s">
        <v>145</v>
      </c>
      <c r="F59" s="33">
        <v>11062630001</v>
      </c>
      <c r="G59" s="33" t="s">
        <v>42</v>
      </c>
      <c r="H59" s="33" t="s">
        <v>39</v>
      </c>
      <c r="I59" s="23">
        <v>-159.88000000000102</v>
      </c>
      <c r="J59" s="23">
        <v>0</v>
      </c>
      <c r="K59" s="23">
        <v>0</v>
      </c>
      <c r="L59" s="23">
        <v>16.880000000001928</v>
      </c>
      <c r="M59" s="23">
        <v>1000</v>
      </c>
      <c r="N59" s="23">
        <v>0</v>
      </c>
      <c r="O59" s="23">
        <v>0</v>
      </c>
      <c r="P59" s="23">
        <f>Tabela1[[#This Row],[1QZ DE MARÇO 26]]-Tabela1[[#This Row],[SALDO PENDENTE COM CX REPR.]]-Tabela1[[#This Row],[SALDO CARTAO]]-Tabela1[[#This Row],[ADIANTAMENTO]]</f>
        <v>1000</v>
      </c>
      <c r="Q59" s="23">
        <f>Tabela1[[#This Row],[1QZ DE MARÇO 26]]-Tabela1[[#This Row],[SALDO PENDENTE SEM CX REPR.]]-Tabela1[[#This Row],[SALDO CARTAO]]-Tabela1[[#This Row],[ADIANTAMENTO]]</f>
        <v>983.11999999999807</v>
      </c>
      <c r="R59" s="23">
        <v>0</v>
      </c>
      <c r="S59" s="40">
        <f>IF(Tabela1[[#This Row],[CARGA PARCIAL]]&lt;0,0,Tabela1[[#This Row],[CARGA PARCIAL]]+Tabela1[[#This Row],[REEMBOLSO]])</f>
        <v>1000</v>
      </c>
      <c r="T59" s="40">
        <f>IF(Tabela1[[#This Row],[CARGA PARCIAL SEM CX REPROV.]]&lt;0,0,Tabela1[[#This Row],[CARGA PARCIAL]]+Tabela1[[#This Row],[REEMBOLSO]])</f>
        <v>1000</v>
      </c>
      <c r="U59" s="24" t="s">
        <v>22</v>
      </c>
      <c r="V59" s="24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</row>
    <row r="60" spans="2:53" hidden="1" x14ac:dyDescent="0.25">
      <c r="B60" s="37" t="s">
        <v>733</v>
      </c>
      <c r="C60" s="32" t="s">
        <v>298</v>
      </c>
      <c r="D60" s="33" t="s">
        <v>18</v>
      </c>
      <c r="E60" s="33" t="s">
        <v>95</v>
      </c>
      <c r="F60" s="33">
        <v>11040160001</v>
      </c>
      <c r="G60" s="33" t="s">
        <v>48</v>
      </c>
      <c r="H60" s="22" t="s">
        <v>35</v>
      </c>
      <c r="I60" s="23">
        <v>0</v>
      </c>
      <c r="J60" s="23">
        <v>991.70000000000107</v>
      </c>
      <c r="K60" s="23">
        <v>0</v>
      </c>
      <c r="L60" s="23">
        <v>3973.0000000000009</v>
      </c>
      <c r="M60" s="23">
        <v>800</v>
      </c>
      <c r="N60" s="23">
        <v>0</v>
      </c>
      <c r="O60" s="23">
        <v>0</v>
      </c>
      <c r="P60" s="23">
        <f>Tabela1[[#This Row],[1QZ DE MARÇO 26]]-Tabela1[[#This Row],[SALDO PENDENTE COM CX REPR.]]-Tabela1[[#This Row],[SALDO CARTAO]]-Tabela1[[#This Row],[ADIANTAMENTO]]</f>
        <v>-191.70000000000107</v>
      </c>
      <c r="Q60" s="23">
        <f>Tabela1[[#This Row],[1QZ DE MARÇO 26]]-Tabela1[[#This Row],[SALDO PENDENTE SEM CX REPR.]]-Tabela1[[#This Row],[SALDO CARTAO]]-Tabela1[[#This Row],[ADIANTAMENTO]]</f>
        <v>-3173.0000000000009</v>
      </c>
      <c r="R60" s="23">
        <v>0</v>
      </c>
      <c r="S60" s="40">
        <f>IF(Tabela1[[#This Row],[CARGA PARCIAL]]&lt;0,0,Tabela1[[#This Row],[CARGA PARCIAL]]+Tabela1[[#This Row],[REEMBOLSO]])</f>
        <v>0</v>
      </c>
      <c r="T60" s="40">
        <f>IF(Tabela1[[#This Row],[CARGA PARCIAL SEM CX REPROV.]]&lt;0,0,Tabela1[[#This Row],[CARGA PARCIAL]]+Tabela1[[#This Row],[REEMBOLSO]])</f>
        <v>0</v>
      </c>
      <c r="U60" s="24" t="s">
        <v>22</v>
      </c>
      <c r="V60" s="24"/>
      <c r="W60" s="30"/>
      <c r="AY60"/>
      <c r="AZ60"/>
      <c r="BA60"/>
    </row>
    <row r="61" spans="2:53" x14ac:dyDescent="0.25">
      <c r="B61" s="37" t="s">
        <v>697</v>
      </c>
      <c r="C61" s="32" t="s">
        <v>66</v>
      </c>
      <c r="D61" s="33" t="s">
        <v>18</v>
      </c>
      <c r="E61" s="33" t="s">
        <v>67</v>
      </c>
      <c r="F61" s="33">
        <v>11030840001</v>
      </c>
      <c r="G61" s="33" t="s">
        <v>38</v>
      </c>
      <c r="H61" s="22" t="s">
        <v>39</v>
      </c>
      <c r="I61" s="23">
        <v>-167.47999999999854</v>
      </c>
      <c r="J61" s="23">
        <v>0</v>
      </c>
      <c r="K61" s="23">
        <v>-1706.2699999999982</v>
      </c>
      <c r="L61" s="23">
        <v>0</v>
      </c>
      <c r="M61" s="23">
        <v>3000</v>
      </c>
      <c r="N61" s="23">
        <v>16.88</v>
      </c>
      <c r="O61" s="23">
        <v>0</v>
      </c>
      <c r="P61" s="23">
        <f>Tabela1[[#This Row],[1QZ DE MARÇO 26]]-Tabela1[[#This Row],[SALDO PENDENTE COM CX REPR.]]-Tabela1[[#This Row],[SALDO CARTAO]]-Tabela1[[#This Row],[ADIANTAMENTO]]</f>
        <v>2983.12</v>
      </c>
      <c r="Q61" s="23">
        <f>Tabela1[[#This Row],[1QZ DE MARÇO 26]]-Tabela1[[#This Row],[SALDO PENDENTE SEM CX REPR.]]-Tabela1[[#This Row],[SALDO CARTAO]]-Tabela1[[#This Row],[ADIANTAMENTO]]</f>
        <v>2983.12</v>
      </c>
      <c r="R61" s="23">
        <v>0</v>
      </c>
      <c r="S61" s="40">
        <f>IF(Tabela1[[#This Row],[CARGA PARCIAL]]&lt;0,0,Tabela1[[#This Row],[CARGA PARCIAL]]+Tabela1[[#This Row],[REEMBOLSO]])</f>
        <v>2983.12</v>
      </c>
      <c r="T61" s="40">
        <f>IF(Tabela1[[#This Row],[CARGA PARCIAL SEM CX REPROV.]]&lt;0,0,Tabela1[[#This Row],[CARGA PARCIAL]]+Tabela1[[#This Row],[REEMBOLSO]])</f>
        <v>2983.12</v>
      </c>
      <c r="U61" s="24" t="s">
        <v>22</v>
      </c>
      <c r="V61" s="24"/>
      <c r="W61" s="30"/>
      <c r="AY61"/>
      <c r="AZ61"/>
      <c r="BA61"/>
    </row>
    <row r="62" spans="2:53" hidden="1" x14ac:dyDescent="0.25">
      <c r="B62" s="33" t="s">
        <v>735</v>
      </c>
      <c r="C62" s="33" t="s">
        <v>345</v>
      </c>
      <c r="D62" s="33" t="s">
        <v>18</v>
      </c>
      <c r="E62" s="33" t="s">
        <v>88</v>
      </c>
      <c r="F62" s="33">
        <v>11040130001</v>
      </c>
      <c r="G62" s="33" t="s">
        <v>45</v>
      </c>
      <c r="H62" s="33" t="s">
        <v>39</v>
      </c>
      <c r="I62" s="23">
        <v>0</v>
      </c>
      <c r="J62" s="23">
        <v>170.36999999999981</v>
      </c>
      <c r="K62" s="23">
        <v>0</v>
      </c>
      <c r="L62" s="23">
        <v>192.58</v>
      </c>
      <c r="M62" s="23">
        <v>80</v>
      </c>
      <c r="N62" s="23">
        <v>2.6</v>
      </c>
      <c r="O62" s="23">
        <v>0</v>
      </c>
      <c r="P62" s="23">
        <f>Tabela1[[#This Row],[1QZ DE MARÇO 26]]-Tabela1[[#This Row],[SALDO PENDENTE COM CX REPR.]]-Tabela1[[#This Row],[SALDO CARTAO]]-Tabela1[[#This Row],[ADIANTAMENTO]]</f>
        <v>-92.9699999999998</v>
      </c>
      <c r="Q62" s="23">
        <f>Tabela1[[#This Row],[1QZ DE MARÇO 26]]-Tabela1[[#This Row],[SALDO PENDENTE SEM CX REPR.]]-Tabela1[[#This Row],[SALDO CARTAO]]-Tabela1[[#This Row],[ADIANTAMENTO]]</f>
        <v>-115.18</v>
      </c>
      <c r="R62" s="23">
        <v>0</v>
      </c>
      <c r="S62" s="40">
        <f>IF(Tabela1[[#This Row],[CARGA PARCIAL]]&lt;0,0,Tabela1[[#This Row],[CARGA PARCIAL]]+Tabela1[[#This Row],[REEMBOLSO]])</f>
        <v>0</v>
      </c>
      <c r="T62" s="40">
        <f>IF(Tabela1[[#This Row],[CARGA PARCIAL SEM CX REPROV.]]&lt;0,0,Tabela1[[#This Row],[CARGA PARCIAL]]+Tabela1[[#This Row],[REEMBOLSO]])</f>
        <v>0</v>
      </c>
      <c r="U62" s="24" t="s">
        <v>22</v>
      </c>
      <c r="V62" s="24"/>
      <c r="W62" s="30"/>
      <c r="AY62"/>
      <c r="AZ62"/>
      <c r="BA62"/>
    </row>
    <row r="63" spans="2:53" hidden="1" x14ac:dyDescent="0.25">
      <c r="B63" s="33" t="s">
        <v>736</v>
      </c>
      <c r="C63" s="33" t="s">
        <v>220</v>
      </c>
      <c r="D63" s="33" t="s">
        <v>18</v>
      </c>
      <c r="E63" s="33" t="s">
        <v>202</v>
      </c>
      <c r="F63" s="33">
        <v>11010370001</v>
      </c>
      <c r="G63" s="33" t="s">
        <v>42</v>
      </c>
      <c r="H63" s="22" t="s">
        <v>39</v>
      </c>
      <c r="I63" s="23">
        <v>0</v>
      </c>
      <c r="J63" s="23">
        <v>918.53000000000043</v>
      </c>
      <c r="K63" s="23">
        <v>0</v>
      </c>
      <c r="L63" s="23">
        <v>6791.4299999999967</v>
      </c>
      <c r="M63" s="23">
        <v>700</v>
      </c>
      <c r="N63" s="23">
        <v>17.84</v>
      </c>
      <c r="O63" s="23">
        <v>0</v>
      </c>
      <c r="P63" s="23">
        <f>Tabela1[[#This Row],[1QZ DE MARÇO 26]]-Tabela1[[#This Row],[SALDO PENDENTE COM CX REPR.]]-Tabela1[[#This Row],[SALDO CARTAO]]-Tabela1[[#This Row],[ADIANTAMENTO]]</f>
        <v>-236.37000000000043</v>
      </c>
      <c r="Q63" s="23">
        <f>Tabela1[[#This Row],[1QZ DE MARÇO 26]]-Tabela1[[#This Row],[SALDO PENDENTE SEM CX REPR.]]-Tabela1[[#This Row],[SALDO CARTAO]]-Tabela1[[#This Row],[ADIANTAMENTO]]</f>
        <v>-6109.2699999999968</v>
      </c>
      <c r="R63" s="23">
        <v>0</v>
      </c>
      <c r="S63" s="40">
        <f>IF(Tabela1[[#This Row],[CARGA PARCIAL]]&lt;0,0,Tabela1[[#This Row],[CARGA PARCIAL]]+Tabela1[[#This Row],[REEMBOLSO]])</f>
        <v>0</v>
      </c>
      <c r="T63" s="40">
        <f>IF(Tabela1[[#This Row],[CARGA PARCIAL SEM CX REPROV.]]&lt;0,0,Tabela1[[#This Row],[CARGA PARCIAL]]+Tabela1[[#This Row],[REEMBOLSO]])</f>
        <v>0</v>
      </c>
      <c r="U63" s="24" t="s">
        <v>22</v>
      </c>
      <c r="V63" s="24"/>
      <c r="W63" s="30"/>
      <c r="AY63"/>
      <c r="AZ63"/>
      <c r="BA63"/>
    </row>
    <row r="64" spans="2:53" x14ac:dyDescent="0.25">
      <c r="B64" s="33" t="s">
        <v>737</v>
      </c>
      <c r="C64" s="33" t="s">
        <v>421</v>
      </c>
      <c r="D64" s="33" t="s">
        <v>18</v>
      </c>
      <c r="E64" s="33" t="s">
        <v>84</v>
      </c>
      <c r="F64" s="33">
        <v>11030750001</v>
      </c>
      <c r="G64" s="33" t="s">
        <v>38</v>
      </c>
      <c r="H64" s="22" t="s">
        <v>39</v>
      </c>
      <c r="I64" s="23">
        <v>0</v>
      </c>
      <c r="J64" s="23">
        <v>2179.0000000000146</v>
      </c>
      <c r="K64" s="23">
        <v>0</v>
      </c>
      <c r="L64" s="23">
        <v>0</v>
      </c>
      <c r="M64" s="23">
        <v>2200</v>
      </c>
      <c r="N64" s="23">
        <v>0</v>
      </c>
      <c r="O64" s="23">
        <v>0</v>
      </c>
      <c r="P64" s="23">
        <f>Tabela1[[#This Row],[1QZ DE MARÇO 26]]-Tabela1[[#This Row],[SALDO PENDENTE COM CX REPR.]]-Tabela1[[#This Row],[SALDO CARTAO]]-Tabela1[[#This Row],[ADIANTAMENTO]]</f>
        <v>20.999999999985448</v>
      </c>
      <c r="Q64" s="23">
        <f>Tabela1[[#This Row],[1QZ DE MARÇO 26]]-Tabela1[[#This Row],[SALDO PENDENTE SEM CX REPR.]]-Tabela1[[#This Row],[SALDO CARTAO]]-Tabela1[[#This Row],[ADIANTAMENTO]]</f>
        <v>2200</v>
      </c>
      <c r="R64" s="23">
        <v>0</v>
      </c>
      <c r="S64" s="40">
        <f>IF(Tabela1[[#This Row],[CARGA PARCIAL]]&lt;0,0,Tabela1[[#This Row],[CARGA PARCIAL]]+Tabela1[[#This Row],[REEMBOLSO]])</f>
        <v>20.999999999985448</v>
      </c>
      <c r="T64" s="40">
        <f>IF(Tabela1[[#This Row],[CARGA PARCIAL SEM CX REPROV.]]&lt;0,0,Tabela1[[#This Row],[CARGA PARCIAL]]+Tabela1[[#This Row],[REEMBOLSO]])</f>
        <v>20.999999999985448</v>
      </c>
      <c r="U64" s="24" t="s">
        <v>22</v>
      </c>
      <c r="V64" s="24"/>
      <c r="W64" s="30"/>
      <c r="AY64"/>
      <c r="AZ64"/>
      <c r="BA64"/>
    </row>
    <row r="65" spans="2:53" hidden="1" x14ac:dyDescent="0.25">
      <c r="B65" s="31" t="s">
        <v>738</v>
      </c>
      <c r="C65" s="32" t="s">
        <v>506</v>
      </c>
      <c r="D65" s="33" t="s">
        <v>18</v>
      </c>
      <c r="E65" s="33" t="s">
        <v>88</v>
      </c>
      <c r="F65" s="33">
        <v>11040130001</v>
      </c>
      <c r="G65" s="33" t="s">
        <v>45</v>
      </c>
      <c r="H65" s="22" t="s">
        <v>39</v>
      </c>
      <c r="I65" s="23">
        <v>0</v>
      </c>
      <c r="J65" s="23">
        <v>620.74999999999989</v>
      </c>
      <c r="K65" s="23">
        <v>-122.67999999999972</v>
      </c>
      <c r="L65" s="23">
        <v>0</v>
      </c>
      <c r="M65" s="23">
        <v>120</v>
      </c>
      <c r="N65" s="23">
        <v>0</v>
      </c>
      <c r="O65" s="23">
        <v>0</v>
      </c>
      <c r="P65" s="23">
        <f>Tabela1[[#This Row],[1QZ DE MARÇO 26]]-Tabela1[[#This Row],[SALDO PENDENTE COM CX REPR.]]-Tabela1[[#This Row],[SALDO CARTAO]]-Tabela1[[#This Row],[ADIANTAMENTO]]</f>
        <v>-500.74999999999989</v>
      </c>
      <c r="Q65" s="23">
        <f>Tabela1[[#This Row],[1QZ DE MARÇO 26]]-Tabela1[[#This Row],[SALDO PENDENTE SEM CX REPR.]]-Tabela1[[#This Row],[SALDO CARTAO]]-Tabela1[[#This Row],[ADIANTAMENTO]]</f>
        <v>120</v>
      </c>
      <c r="R65" s="23">
        <v>0</v>
      </c>
      <c r="S65" s="40">
        <f>IF(Tabela1[[#This Row],[CARGA PARCIAL]]&lt;0,0,Tabela1[[#This Row],[CARGA PARCIAL]]+Tabela1[[#This Row],[REEMBOLSO]])</f>
        <v>0</v>
      </c>
      <c r="T65" s="40">
        <f>IF(Tabela1[[#This Row],[CARGA PARCIAL SEM CX REPROV.]]&lt;0,0,Tabela1[[#This Row],[CARGA PARCIAL]]+Tabela1[[#This Row],[REEMBOLSO]])</f>
        <v>-500.74999999999989</v>
      </c>
      <c r="U65" s="24" t="s">
        <v>22</v>
      </c>
      <c r="V65" s="24"/>
      <c r="W65" s="30"/>
      <c r="AY65"/>
      <c r="AZ65"/>
      <c r="BA65"/>
    </row>
    <row r="66" spans="2:53" hidden="1" x14ac:dyDescent="0.25">
      <c r="B66" s="33" t="s">
        <v>739</v>
      </c>
      <c r="C66" s="33" t="s">
        <v>290</v>
      </c>
      <c r="D66" s="33" t="s">
        <v>671</v>
      </c>
      <c r="E66" s="33" t="s">
        <v>90</v>
      </c>
      <c r="F66" s="33">
        <v>11040170001</v>
      </c>
      <c r="G66" s="33" t="s">
        <v>91</v>
      </c>
      <c r="H66" s="33" t="s">
        <v>21</v>
      </c>
      <c r="I66" s="23">
        <v>0</v>
      </c>
      <c r="J66" s="23">
        <v>999.99999999999909</v>
      </c>
      <c r="K66" s="23">
        <v>0</v>
      </c>
      <c r="L66" s="23">
        <v>173</v>
      </c>
      <c r="M66" s="23">
        <v>0</v>
      </c>
      <c r="N66" s="23">
        <v>0</v>
      </c>
      <c r="O66" s="23">
        <v>0</v>
      </c>
      <c r="P66" s="23">
        <f>Tabela1[[#This Row],[1QZ DE MARÇO 26]]-Tabela1[[#This Row],[SALDO PENDENTE COM CX REPR.]]-Tabela1[[#This Row],[SALDO CARTAO]]-Tabela1[[#This Row],[ADIANTAMENTO]]</f>
        <v>-999.99999999999909</v>
      </c>
      <c r="Q66" s="23">
        <f>Tabela1[[#This Row],[1QZ DE MARÇO 26]]-Tabela1[[#This Row],[SALDO PENDENTE SEM CX REPR.]]-Tabela1[[#This Row],[SALDO CARTAO]]-Tabela1[[#This Row],[ADIANTAMENTO]]</f>
        <v>-173</v>
      </c>
      <c r="R66" s="23">
        <v>0</v>
      </c>
      <c r="S66" s="40">
        <f>IF(Tabela1[[#This Row],[CARGA PARCIAL]]&lt;0,0,Tabela1[[#This Row],[CARGA PARCIAL]]+Tabela1[[#This Row],[REEMBOLSO]])</f>
        <v>0</v>
      </c>
      <c r="T66" s="40">
        <f>IF(Tabela1[[#This Row],[CARGA PARCIAL SEM CX REPROV.]]&lt;0,0,Tabela1[[#This Row],[CARGA PARCIAL]]+Tabela1[[#This Row],[REEMBOLSO]])</f>
        <v>0</v>
      </c>
      <c r="U66" s="24" t="s">
        <v>22</v>
      </c>
      <c r="V66" s="24"/>
      <c r="W66" s="30"/>
      <c r="AY66"/>
      <c r="AZ66"/>
      <c r="BA66"/>
    </row>
    <row r="67" spans="2:53" hidden="1" x14ac:dyDescent="0.25">
      <c r="B67" s="37" t="s">
        <v>740</v>
      </c>
      <c r="C67" s="32" t="s">
        <v>302</v>
      </c>
      <c r="D67" s="33" t="s">
        <v>18</v>
      </c>
      <c r="E67" s="33" t="s">
        <v>303</v>
      </c>
      <c r="F67" s="33">
        <v>11062850001</v>
      </c>
      <c r="G67" s="33" t="s">
        <v>48</v>
      </c>
      <c r="H67" s="22" t="s">
        <v>35</v>
      </c>
      <c r="I67" s="23">
        <v>0</v>
      </c>
      <c r="J67" s="23">
        <v>5.4001247917767614E-13</v>
      </c>
      <c r="K67" s="23">
        <v>0</v>
      </c>
      <c r="L67" s="23">
        <v>2433.1199999999826</v>
      </c>
      <c r="M67" s="23">
        <v>800</v>
      </c>
      <c r="N67" s="23">
        <v>0</v>
      </c>
      <c r="O67" s="23">
        <v>0</v>
      </c>
      <c r="P67" s="23">
        <f>Tabela1[[#This Row],[1QZ DE MARÇO 26]]-Tabela1[[#This Row],[SALDO PENDENTE COM CX REPR.]]-Tabela1[[#This Row],[SALDO CARTAO]]-Tabela1[[#This Row],[ADIANTAMENTO]]</f>
        <v>799.99999999999943</v>
      </c>
      <c r="Q67" s="23">
        <f>Tabela1[[#This Row],[1QZ DE MARÇO 26]]-Tabela1[[#This Row],[SALDO PENDENTE SEM CX REPR.]]-Tabela1[[#This Row],[SALDO CARTAO]]-Tabela1[[#This Row],[ADIANTAMENTO]]</f>
        <v>-1633.1199999999826</v>
      </c>
      <c r="R67" s="23">
        <v>0</v>
      </c>
      <c r="S67" s="40">
        <f>IF(Tabela1[[#This Row],[CARGA PARCIAL]]&lt;0,0,Tabela1[[#This Row],[CARGA PARCIAL]]+Tabela1[[#This Row],[REEMBOLSO]])</f>
        <v>799.99999999999943</v>
      </c>
      <c r="T67" s="40">
        <f>IF(Tabela1[[#This Row],[CARGA PARCIAL SEM CX REPROV.]]&lt;0,0,Tabela1[[#This Row],[CARGA PARCIAL]]+Tabela1[[#This Row],[REEMBOLSO]])</f>
        <v>0</v>
      </c>
      <c r="U67" s="24" t="s">
        <v>22</v>
      </c>
      <c r="V67" s="24"/>
      <c r="W67" s="30"/>
      <c r="AY67"/>
      <c r="AZ67"/>
      <c r="BA67"/>
    </row>
    <row r="68" spans="2:53" hidden="1" x14ac:dyDescent="0.25">
      <c r="B68" s="31" t="s">
        <v>741</v>
      </c>
      <c r="C68" s="32" t="s">
        <v>364</v>
      </c>
      <c r="D68" s="33" t="s">
        <v>18</v>
      </c>
      <c r="E68" s="33" t="s">
        <v>237</v>
      </c>
      <c r="F68" s="33">
        <v>1201071</v>
      </c>
      <c r="G68" s="33" t="s">
        <v>42</v>
      </c>
      <c r="H68" s="22" t="s">
        <v>39</v>
      </c>
      <c r="I68" s="23">
        <v>0</v>
      </c>
      <c r="J68" s="23">
        <v>873.29999999999939</v>
      </c>
      <c r="K68" s="23">
        <v>-73.180000000003929</v>
      </c>
      <c r="L68" s="23">
        <v>0</v>
      </c>
      <c r="M68" s="23">
        <v>700</v>
      </c>
      <c r="N68" s="23">
        <v>182.17</v>
      </c>
      <c r="O68" s="23">
        <v>0</v>
      </c>
      <c r="P68" s="23">
        <f>Tabela1[[#This Row],[1QZ DE MARÇO 26]]-Tabela1[[#This Row],[SALDO PENDENTE COM CX REPR.]]-Tabela1[[#This Row],[SALDO CARTAO]]-Tabela1[[#This Row],[ADIANTAMENTO]]</f>
        <v>-355.46999999999935</v>
      </c>
      <c r="Q68" s="23">
        <f>Tabela1[[#This Row],[1QZ DE MARÇO 26]]-Tabela1[[#This Row],[SALDO PENDENTE SEM CX REPR.]]-Tabela1[[#This Row],[SALDO CARTAO]]-Tabela1[[#This Row],[ADIANTAMENTO]]</f>
        <v>517.83000000000004</v>
      </c>
      <c r="R68" s="23">
        <v>0</v>
      </c>
      <c r="S68" s="40">
        <f>IF(Tabela1[[#This Row],[CARGA PARCIAL]]&lt;0,0,Tabela1[[#This Row],[CARGA PARCIAL]]+Tabela1[[#This Row],[REEMBOLSO]])</f>
        <v>0</v>
      </c>
      <c r="T68" s="40">
        <f>IF(Tabela1[[#This Row],[CARGA PARCIAL SEM CX REPROV.]]&lt;0,0,Tabela1[[#This Row],[CARGA PARCIAL]]+Tabela1[[#This Row],[REEMBOLSO]])</f>
        <v>-355.46999999999935</v>
      </c>
      <c r="U68" s="24" t="s">
        <v>22</v>
      </c>
      <c r="V68" s="24"/>
      <c r="W68" s="30"/>
      <c r="AY68"/>
      <c r="AZ68"/>
      <c r="BA68"/>
    </row>
    <row r="69" spans="2:53" x14ac:dyDescent="0.25">
      <c r="B69" s="31" t="s">
        <v>742</v>
      </c>
      <c r="C69" s="32" t="s">
        <v>30</v>
      </c>
      <c r="D69" s="33" t="s">
        <v>18</v>
      </c>
      <c r="E69" s="33" t="s">
        <v>31</v>
      </c>
      <c r="F69" s="33">
        <v>11061860001</v>
      </c>
      <c r="G69" s="33" t="s">
        <v>28</v>
      </c>
      <c r="H69" s="22" t="s">
        <v>21</v>
      </c>
      <c r="I69" s="23">
        <v>0</v>
      </c>
      <c r="J69" s="23">
        <v>426.36000000001513</v>
      </c>
      <c r="K69" s="23">
        <v>-17.999999999996945</v>
      </c>
      <c r="L69" s="23">
        <v>0</v>
      </c>
      <c r="M69" s="23">
        <v>5000</v>
      </c>
      <c r="N69" s="23">
        <v>0</v>
      </c>
      <c r="O69" s="23">
        <v>0</v>
      </c>
      <c r="P69" s="23">
        <f>Tabela1[[#This Row],[1QZ DE MARÇO 26]]-Tabela1[[#This Row],[SALDO PENDENTE COM CX REPR.]]-Tabela1[[#This Row],[SALDO CARTAO]]-Tabela1[[#This Row],[ADIANTAMENTO]]</f>
        <v>4573.6399999999849</v>
      </c>
      <c r="Q69" s="23">
        <f>Tabela1[[#This Row],[1QZ DE MARÇO 26]]-Tabela1[[#This Row],[SALDO PENDENTE SEM CX REPR.]]-Tabela1[[#This Row],[SALDO CARTAO]]-Tabela1[[#This Row],[ADIANTAMENTO]]</f>
        <v>5000</v>
      </c>
      <c r="R69" s="23">
        <v>0</v>
      </c>
      <c r="S69" s="40">
        <f>IF(Tabela1[[#This Row],[CARGA PARCIAL]]&lt;0,0,Tabela1[[#This Row],[CARGA PARCIAL]]+Tabela1[[#This Row],[REEMBOLSO]])</f>
        <v>4573.6399999999849</v>
      </c>
      <c r="T69" s="40">
        <f>IF(Tabela1[[#This Row],[CARGA PARCIAL SEM CX REPROV.]]&lt;0,0,Tabela1[[#This Row],[CARGA PARCIAL]]+Tabela1[[#This Row],[REEMBOLSO]])</f>
        <v>4573.6399999999849</v>
      </c>
      <c r="U69" s="24" t="s">
        <v>22</v>
      </c>
      <c r="V69" s="24"/>
      <c r="W69" s="30"/>
      <c r="AY69"/>
      <c r="AZ69"/>
      <c r="BA69"/>
    </row>
    <row r="70" spans="2:53" hidden="1" x14ac:dyDescent="0.25">
      <c r="B70" s="39" t="s">
        <v>743</v>
      </c>
      <c r="C70" s="36" t="s">
        <v>649</v>
      </c>
      <c r="D70" s="34" t="s">
        <v>18</v>
      </c>
      <c r="E70" s="33" t="s">
        <v>532</v>
      </c>
      <c r="F70" s="33">
        <v>11063050001</v>
      </c>
      <c r="G70" s="33" t="s">
        <v>54</v>
      </c>
      <c r="H70" s="22" t="s">
        <v>39</v>
      </c>
      <c r="I70" s="23">
        <v>0</v>
      </c>
      <c r="J70" s="23">
        <v>0</v>
      </c>
      <c r="K70" s="23">
        <v>0</v>
      </c>
      <c r="L70" s="23">
        <v>100</v>
      </c>
      <c r="M70" s="23">
        <v>0</v>
      </c>
      <c r="N70" s="23">
        <v>0</v>
      </c>
      <c r="O70" s="23">
        <v>0</v>
      </c>
      <c r="P70" s="23">
        <f>Tabela1[[#This Row],[1QZ DE MARÇO 26]]-Tabela1[[#This Row],[SALDO PENDENTE COM CX REPR.]]-Tabela1[[#This Row],[SALDO CARTAO]]-Tabela1[[#This Row],[ADIANTAMENTO]]</f>
        <v>0</v>
      </c>
      <c r="Q70" s="23">
        <f>Tabela1[[#This Row],[1QZ DE MARÇO 26]]-Tabela1[[#This Row],[SALDO PENDENTE SEM CX REPR.]]-Tabela1[[#This Row],[SALDO CARTAO]]-Tabela1[[#This Row],[ADIANTAMENTO]]</f>
        <v>-100</v>
      </c>
      <c r="R70" s="23">
        <v>0</v>
      </c>
      <c r="S70" s="40">
        <f>IF(Tabela1[[#This Row],[CARGA PARCIAL]]&lt;0,0,Tabela1[[#This Row],[CARGA PARCIAL]]+Tabela1[[#This Row],[REEMBOLSO]])</f>
        <v>0</v>
      </c>
      <c r="T70" s="40">
        <f>IF(Tabela1[[#This Row],[CARGA PARCIAL SEM CX REPROV.]]&lt;0,0,Tabela1[[#This Row],[CARGA PARCIAL]]+Tabela1[[#This Row],[REEMBOLSO]])</f>
        <v>0</v>
      </c>
      <c r="U70" s="25" t="s">
        <v>22</v>
      </c>
      <c r="V70" s="26"/>
      <c r="W70" s="30"/>
      <c r="AY70"/>
      <c r="AZ70"/>
      <c r="BA70"/>
    </row>
    <row r="71" spans="2:53" x14ac:dyDescent="0.25">
      <c r="B71" s="31" t="s">
        <v>744</v>
      </c>
      <c r="C71" s="32" t="s">
        <v>399</v>
      </c>
      <c r="D71" s="33" t="s">
        <v>18</v>
      </c>
      <c r="E71" s="33" t="s">
        <v>400</v>
      </c>
      <c r="F71" s="33">
        <v>11080220001</v>
      </c>
      <c r="G71" s="33" t="s">
        <v>34</v>
      </c>
      <c r="H71" s="22" t="s">
        <v>35</v>
      </c>
      <c r="I71" s="23">
        <v>0</v>
      </c>
      <c r="J71" s="23">
        <v>1256.8299999999895</v>
      </c>
      <c r="K71" s="23">
        <v>-3710.2400000000125</v>
      </c>
      <c r="L71" s="23">
        <v>0</v>
      </c>
      <c r="M71" s="23">
        <v>6200</v>
      </c>
      <c r="N71" s="23">
        <v>0</v>
      </c>
      <c r="O71" s="23">
        <v>0</v>
      </c>
      <c r="P71" s="23">
        <f>Tabela1[[#This Row],[1QZ DE MARÇO 26]]-Tabela1[[#This Row],[SALDO PENDENTE COM CX REPR.]]-Tabela1[[#This Row],[SALDO CARTAO]]-Tabela1[[#This Row],[ADIANTAMENTO]]</f>
        <v>4943.170000000011</v>
      </c>
      <c r="Q71" s="23">
        <f>Tabela1[[#This Row],[1QZ DE MARÇO 26]]-Tabela1[[#This Row],[SALDO PENDENTE SEM CX REPR.]]-Tabela1[[#This Row],[SALDO CARTAO]]-Tabela1[[#This Row],[ADIANTAMENTO]]</f>
        <v>6200</v>
      </c>
      <c r="R71" s="23">
        <v>0</v>
      </c>
      <c r="S71" s="40">
        <f>IF(Tabela1[[#This Row],[CARGA PARCIAL]]&lt;0,0,Tabela1[[#This Row],[CARGA PARCIAL]]+Tabela1[[#This Row],[REEMBOLSO]])</f>
        <v>4943.170000000011</v>
      </c>
      <c r="T71" s="40">
        <f>IF(Tabela1[[#This Row],[CARGA PARCIAL SEM CX REPROV.]]&lt;0,0,Tabela1[[#This Row],[CARGA PARCIAL]]+Tabela1[[#This Row],[REEMBOLSO]])</f>
        <v>4943.170000000011</v>
      </c>
      <c r="U71" s="24" t="s">
        <v>22</v>
      </c>
      <c r="V71" s="24"/>
      <c r="W71" s="30"/>
      <c r="AY71"/>
      <c r="AZ71"/>
      <c r="BA71"/>
    </row>
    <row r="72" spans="2:53" x14ac:dyDescent="0.25">
      <c r="B72" s="31" t="s">
        <v>745</v>
      </c>
      <c r="C72" s="32" t="s">
        <v>413</v>
      </c>
      <c r="D72" s="33" t="s">
        <v>18</v>
      </c>
      <c r="E72" s="33" t="s">
        <v>414</v>
      </c>
      <c r="F72" s="33">
        <v>11061940001</v>
      </c>
      <c r="G72" s="33" t="s">
        <v>42</v>
      </c>
      <c r="H72" s="22" t="s">
        <v>39</v>
      </c>
      <c r="I72" s="23">
        <v>0</v>
      </c>
      <c r="J72" s="23">
        <v>3750.3400000000038</v>
      </c>
      <c r="K72" s="23">
        <v>0</v>
      </c>
      <c r="L72" s="23">
        <v>0</v>
      </c>
      <c r="M72" s="23">
        <v>3900</v>
      </c>
      <c r="N72" s="23"/>
      <c r="O72" s="23">
        <v>0</v>
      </c>
      <c r="P72" s="23">
        <f>Tabela1[[#This Row],[1QZ DE MARÇO 26]]-Tabela1[[#This Row],[SALDO PENDENTE COM CX REPR.]]-Tabela1[[#This Row],[SALDO CARTAO]]-Tabela1[[#This Row],[ADIANTAMENTO]]</f>
        <v>149.65999999999622</v>
      </c>
      <c r="Q72" s="23">
        <f>Tabela1[[#This Row],[1QZ DE MARÇO 26]]-Tabela1[[#This Row],[SALDO PENDENTE SEM CX REPR.]]-Tabela1[[#This Row],[SALDO CARTAO]]-Tabela1[[#This Row],[ADIANTAMENTO]]</f>
        <v>3900</v>
      </c>
      <c r="R72" s="23">
        <v>0</v>
      </c>
      <c r="S72" s="40">
        <f>IF(Tabela1[[#This Row],[CARGA PARCIAL]]&lt;0,0,Tabela1[[#This Row],[CARGA PARCIAL]]+Tabela1[[#This Row],[REEMBOLSO]])</f>
        <v>149.65999999999622</v>
      </c>
      <c r="T72" s="40">
        <f>IF(Tabela1[[#This Row],[CARGA PARCIAL SEM CX REPROV.]]&lt;0,0,Tabela1[[#This Row],[CARGA PARCIAL]]+Tabela1[[#This Row],[REEMBOLSO]])</f>
        <v>149.65999999999622</v>
      </c>
      <c r="U72" s="24" t="s">
        <v>22</v>
      </c>
      <c r="V72" s="24"/>
      <c r="W72" s="30"/>
      <c r="AY72"/>
      <c r="AZ72"/>
      <c r="BA72"/>
    </row>
    <row r="73" spans="2:53" hidden="1" x14ac:dyDescent="0.25">
      <c r="B73" s="34" t="s">
        <v>746</v>
      </c>
      <c r="C73" s="34" t="s">
        <v>87</v>
      </c>
      <c r="D73" s="34" t="s">
        <v>18</v>
      </c>
      <c r="E73" s="33" t="s">
        <v>88</v>
      </c>
      <c r="F73" s="33">
        <v>11040130001</v>
      </c>
      <c r="G73" s="33" t="s">
        <v>45</v>
      </c>
      <c r="H73" s="22" t="s">
        <v>39</v>
      </c>
      <c r="I73" s="23">
        <v>-25.299999999996999</v>
      </c>
      <c r="J73" s="23">
        <v>0</v>
      </c>
      <c r="K73" s="23">
        <v>0</v>
      </c>
      <c r="L73" s="23">
        <v>991.70000000000107</v>
      </c>
      <c r="M73" s="23">
        <v>2520</v>
      </c>
      <c r="N73" s="23">
        <v>2314.6</v>
      </c>
      <c r="O73" s="23">
        <v>0</v>
      </c>
      <c r="P73" s="23">
        <f>Tabela1[[#This Row],[1QZ DE MARÇO 26]]-Tabela1[[#This Row],[SALDO PENDENTE COM CX REPR.]]-Tabela1[[#This Row],[SALDO CARTAO]]-Tabela1[[#This Row],[ADIANTAMENTO]]</f>
        <v>205.40000000000009</v>
      </c>
      <c r="Q73" s="23">
        <f>Tabela1[[#This Row],[1QZ DE MARÇO 26]]-Tabela1[[#This Row],[SALDO PENDENTE SEM CX REPR.]]-Tabela1[[#This Row],[SALDO CARTAO]]-Tabela1[[#This Row],[ADIANTAMENTO]]</f>
        <v>-786.30000000000109</v>
      </c>
      <c r="R73" s="23">
        <v>0</v>
      </c>
      <c r="S73" s="40">
        <f>IF(Tabela1[[#This Row],[CARGA PARCIAL]]&lt;0,0,Tabela1[[#This Row],[CARGA PARCIAL]]+Tabela1[[#This Row],[REEMBOLSO]])</f>
        <v>205.40000000000009</v>
      </c>
      <c r="T73" s="40">
        <f>IF(Tabela1[[#This Row],[CARGA PARCIAL SEM CX REPROV.]]&lt;0,0,Tabela1[[#This Row],[CARGA PARCIAL]]+Tabela1[[#This Row],[REEMBOLSO]])</f>
        <v>0</v>
      </c>
      <c r="U73" s="25" t="s">
        <v>22</v>
      </c>
      <c r="V73" s="26"/>
      <c r="W73" s="30"/>
      <c r="AY73"/>
      <c r="AZ73"/>
      <c r="BA73"/>
    </row>
    <row r="74" spans="2:53" hidden="1" x14ac:dyDescent="0.25">
      <c r="B74" s="37" t="s">
        <v>747</v>
      </c>
      <c r="C74" s="32" t="s">
        <v>650</v>
      </c>
      <c r="D74" s="33" t="s">
        <v>18</v>
      </c>
      <c r="E74" s="33" t="s">
        <v>134</v>
      </c>
      <c r="F74" s="33">
        <v>11061720001</v>
      </c>
      <c r="G74" s="33" t="s">
        <v>42</v>
      </c>
      <c r="H74" s="22" t="s">
        <v>39</v>
      </c>
      <c r="I74" s="23">
        <v>0</v>
      </c>
      <c r="J74" s="23">
        <v>0</v>
      </c>
      <c r="K74" s="23">
        <v>-259.65999999999894</v>
      </c>
      <c r="L74" s="23">
        <v>0</v>
      </c>
      <c r="M74" s="23">
        <v>0</v>
      </c>
      <c r="N74" s="23">
        <v>0</v>
      </c>
      <c r="O74" s="23">
        <v>0</v>
      </c>
      <c r="P74" s="23">
        <f>Tabela1[[#This Row],[1QZ DE MARÇO 26]]-Tabela1[[#This Row],[SALDO PENDENTE COM CX REPR.]]-Tabela1[[#This Row],[SALDO CARTAO]]-Tabela1[[#This Row],[ADIANTAMENTO]]</f>
        <v>0</v>
      </c>
      <c r="Q74" s="23">
        <f>Tabela1[[#This Row],[1QZ DE MARÇO 26]]-Tabela1[[#This Row],[SALDO PENDENTE SEM CX REPR.]]-Tabela1[[#This Row],[SALDO CARTAO]]-Tabela1[[#This Row],[ADIANTAMENTO]]</f>
        <v>0</v>
      </c>
      <c r="R74" s="23">
        <v>0</v>
      </c>
      <c r="S74" s="40">
        <f>IF(Tabela1[[#This Row],[CARGA PARCIAL]]&lt;0,0,Tabela1[[#This Row],[CARGA PARCIAL]]+Tabela1[[#This Row],[REEMBOLSO]])</f>
        <v>0</v>
      </c>
      <c r="T74" s="40">
        <f>IF(Tabela1[[#This Row],[CARGA PARCIAL SEM CX REPROV.]]&lt;0,0,Tabela1[[#This Row],[CARGA PARCIAL]]+Tabela1[[#This Row],[REEMBOLSO]])</f>
        <v>0</v>
      </c>
      <c r="U74" s="24" t="s">
        <v>60</v>
      </c>
      <c r="V74" s="24"/>
      <c r="W74" s="30"/>
      <c r="AY74"/>
      <c r="AZ74"/>
      <c r="BA74"/>
    </row>
    <row r="75" spans="2:53" hidden="1" x14ac:dyDescent="0.25">
      <c r="B75" s="37" t="s">
        <v>748</v>
      </c>
      <c r="C75" s="32" t="s">
        <v>494</v>
      </c>
      <c r="D75" s="33" t="s">
        <v>18</v>
      </c>
      <c r="E75" s="33" t="s">
        <v>495</v>
      </c>
      <c r="F75" s="33">
        <v>11062560001</v>
      </c>
      <c r="G75" s="33" t="s">
        <v>20</v>
      </c>
      <c r="H75" s="22" t="s">
        <v>21</v>
      </c>
      <c r="I75" s="23">
        <v>0</v>
      </c>
      <c r="J75" s="23">
        <v>30.959999999999862</v>
      </c>
      <c r="K75" s="23">
        <v>0</v>
      </c>
      <c r="L75" s="23">
        <v>170.36999999999981</v>
      </c>
      <c r="M75" s="23">
        <v>200</v>
      </c>
      <c r="N75" s="23">
        <v>1074.3699999999999</v>
      </c>
      <c r="O75" s="23">
        <v>0</v>
      </c>
      <c r="P75" s="23">
        <f>Tabela1[[#This Row],[1QZ DE MARÇO 26]]-Tabela1[[#This Row],[SALDO PENDENTE COM CX REPR.]]-Tabela1[[#This Row],[SALDO CARTAO]]-Tabela1[[#This Row],[ADIANTAMENTO]]</f>
        <v>-905.3299999999997</v>
      </c>
      <c r="Q75" s="23">
        <f>Tabela1[[#This Row],[1QZ DE MARÇO 26]]-Tabela1[[#This Row],[SALDO PENDENTE SEM CX REPR.]]-Tabela1[[#This Row],[SALDO CARTAO]]-Tabela1[[#This Row],[ADIANTAMENTO]]</f>
        <v>-1044.7399999999998</v>
      </c>
      <c r="R75" s="23">
        <v>0</v>
      </c>
      <c r="S75" s="40">
        <f>IF(Tabela1[[#This Row],[CARGA PARCIAL]]&lt;0,0,Tabela1[[#This Row],[CARGA PARCIAL]]+Tabela1[[#This Row],[REEMBOLSO]])</f>
        <v>0</v>
      </c>
      <c r="T75" s="40">
        <f>IF(Tabela1[[#This Row],[CARGA PARCIAL SEM CX REPROV.]]&lt;0,0,Tabela1[[#This Row],[CARGA PARCIAL]]+Tabela1[[#This Row],[REEMBOLSO]])</f>
        <v>0</v>
      </c>
      <c r="U75" s="24" t="s">
        <v>22</v>
      </c>
      <c r="V75" s="24"/>
      <c r="W75" s="30"/>
      <c r="AY75"/>
      <c r="AZ75"/>
      <c r="BA75"/>
    </row>
    <row r="76" spans="2:53" x14ac:dyDescent="0.25">
      <c r="B76" s="31" t="s">
        <v>749</v>
      </c>
      <c r="C76" s="32" t="s">
        <v>343</v>
      </c>
      <c r="D76" s="33" t="s">
        <v>18</v>
      </c>
      <c r="E76" s="33" t="s">
        <v>344</v>
      </c>
      <c r="F76" s="33">
        <v>11010090001</v>
      </c>
      <c r="G76" s="33" t="s">
        <v>38</v>
      </c>
      <c r="H76" s="22" t="s">
        <v>39</v>
      </c>
      <c r="I76" s="23">
        <v>0</v>
      </c>
      <c r="J76" s="23">
        <v>392.66000000000031</v>
      </c>
      <c r="K76" s="23">
        <v>0</v>
      </c>
      <c r="L76" s="23">
        <v>0</v>
      </c>
      <c r="M76" s="23">
        <v>400</v>
      </c>
      <c r="N76" s="23"/>
      <c r="O76" s="23">
        <v>0</v>
      </c>
      <c r="P76" s="23">
        <f>Tabela1[[#This Row],[1QZ DE MARÇO 26]]-Tabela1[[#This Row],[SALDO PENDENTE COM CX REPR.]]-Tabela1[[#This Row],[SALDO CARTAO]]-Tabela1[[#This Row],[ADIANTAMENTO]]</f>
        <v>7.3399999999996908</v>
      </c>
      <c r="Q76" s="23">
        <f>Tabela1[[#This Row],[1QZ DE MARÇO 26]]-Tabela1[[#This Row],[SALDO PENDENTE SEM CX REPR.]]-Tabela1[[#This Row],[SALDO CARTAO]]-Tabela1[[#This Row],[ADIANTAMENTO]]</f>
        <v>400</v>
      </c>
      <c r="R76" s="23">
        <v>0</v>
      </c>
      <c r="S76" s="40">
        <f>IF(Tabela1[[#This Row],[CARGA PARCIAL]]&lt;0,0,Tabela1[[#This Row],[CARGA PARCIAL]]+Tabela1[[#This Row],[REEMBOLSO]])</f>
        <v>7.3399999999996908</v>
      </c>
      <c r="T76" s="40">
        <f>IF(Tabela1[[#This Row],[CARGA PARCIAL SEM CX REPROV.]]&lt;0,0,Tabela1[[#This Row],[CARGA PARCIAL]]+Tabela1[[#This Row],[REEMBOLSO]])</f>
        <v>7.3399999999996908</v>
      </c>
      <c r="U76" s="24" t="s">
        <v>22</v>
      </c>
      <c r="V76" s="24"/>
      <c r="W76" s="30"/>
      <c r="AY76"/>
      <c r="AZ76"/>
      <c r="BA76"/>
    </row>
    <row r="77" spans="2:53" hidden="1" x14ac:dyDescent="0.25">
      <c r="B77" s="31" t="s">
        <v>750</v>
      </c>
      <c r="C77" s="32" t="s">
        <v>118</v>
      </c>
      <c r="D77" s="33" t="s">
        <v>18</v>
      </c>
      <c r="E77" s="33" t="s">
        <v>119</v>
      </c>
      <c r="F77" s="33">
        <v>11030640001</v>
      </c>
      <c r="G77" s="33" t="s">
        <v>38</v>
      </c>
      <c r="H77" s="22" t="s">
        <v>39</v>
      </c>
      <c r="I77" s="23">
        <v>0</v>
      </c>
      <c r="J77" s="23">
        <v>4235.5899999999383</v>
      </c>
      <c r="K77" s="23">
        <v>0</v>
      </c>
      <c r="L77" s="23">
        <v>918.53000000000043</v>
      </c>
      <c r="M77" s="23">
        <v>2300</v>
      </c>
      <c r="N77" s="23">
        <v>26.44</v>
      </c>
      <c r="O77" s="23">
        <v>0</v>
      </c>
      <c r="P77" s="23">
        <f>Tabela1[[#This Row],[1QZ DE MARÇO 26]]-Tabela1[[#This Row],[SALDO PENDENTE COM CX REPR.]]-Tabela1[[#This Row],[SALDO CARTAO]]-Tabela1[[#This Row],[ADIANTAMENTO]]</f>
        <v>-1962.0299999999384</v>
      </c>
      <c r="Q77" s="23">
        <f>Tabela1[[#This Row],[1QZ DE MARÇO 26]]-Tabela1[[#This Row],[SALDO PENDENTE SEM CX REPR.]]-Tabela1[[#This Row],[SALDO CARTAO]]-Tabela1[[#This Row],[ADIANTAMENTO]]</f>
        <v>1355.0299999999995</v>
      </c>
      <c r="R77" s="23">
        <v>0</v>
      </c>
      <c r="S77" s="40">
        <f>IF(Tabela1[[#This Row],[CARGA PARCIAL]]&lt;0,0,Tabela1[[#This Row],[CARGA PARCIAL]]+Tabela1[[#This Row],[REEMBOLSO]])</f>
        <v>0</v>
      </c>
      <c r="T77" s="40">
        <f>IF(Tabela1[[#This Row],[CARGA PARCIAL SEM CX REPROV.]]&lt;0,0,Tabela1[[#This Row],[CARGA PARCIAL]]+Tabela1[[#This Row],[REEMBOLSO]])</f>
        <v>-1962.0299999999384</v>
      </c>
      <c r="U77" s="24" t="s">
        <v>22</v>
      </c>
      <c r="V77" s="24"/>
      <c r="W77" s="30"/>
      <c r="AY77"/>
      <c r="AZ77"/>
      <c r="BA77"/>
    </row>
    <row r="78" spans="2:53" hidden="1" x14ac:dyDescent="0.25">
      <c r="B78" s="39" t="s">
        <v>751</v>
      </c>
      <c r="C78" s="36" t="s">
        <v>505</v>
      </c>
      <c r="D78" s="34" t="s">
        <v>18</v>
      </c>
      <c r="E78" s="33" t="s">
        <v>419</v>
      </c>
      <c r="F78" s="33">
        <v>11030580001</v>
      </c>
      <c r="G78" s="33" t="s">
        <v>54</v>
      </c>
      <c r="H78" s="22" t="s">
        <v>39</v>
      </c>
      <c r="I78" s="23">
        <v>0</v>
      </c>
      <c r="J78" s="23">
        <v>70.659999999999968</v>
      </c>
      <c r="K78" s="23">
        <v>0</v>
      </c>
      <c r="L78" s="23">
        <v>2179</v>
      </c>
      <c r="M78" s="23">
        <v>125</v>
      </c>
      <c r="N78" s="23">
        <v>0</v>
      </c>
      <c r="O78" s="23">
        <v>0</v>
      </c>
      <c r="P78" s="23">
        <f>Tabela1[[#This Row],[1QZ DE MARÇO 26]]-Tabela1[[#This Row],[SALDO PENDENTE COM CX REPR.]]-Tabela1[[#This Row],[SALDO CARTAO]]-Tabela1[[#This Row],[ADIANTAMENTO]]</f>
        <v>54.340000000000032</v>
      </c>
      <c r="Q78" s="23">
        <f>Tabela1[[#This Row],[1QZ DE MARÇO 26]]-Tabela1[[#This Row],[SALDO PENDENTE SEM CX REPR.]]-Tabela1[[#This Row],[SALDO CARTAO]]-Tabela1[[#This Row],[ADIANTAMENTO]]</f>
        <v>-2054</v>
      </c>
      <c r="R78" s="23">
        <v>0</v>
      </c>
      <c r="S78" s="40">
        <f>IF(Tabela1[[#This Row],[CARGA PARCIAL]]&lt;0,0,Tabela1[[#This Row],[CARGA PARCIAL]]+Tabela1[[#This Row],[REEMBOLSO]])</f>
        <v>54.340000000000032</v>
      </c>
      <c r="T78" s="40">
        <f>IF(Tabela1[[#This Row],[CARGA PARCIAL SEM CX REPROV.]]&lt;0,0,Tabela1[[#This Row],[CARGA PARCIAL]]+Tabela1[[#This Row],[REEMBOLSO]])</f>
        <v>0</v>
      </c>
      <c r="U78" s="25" t="s">
        <v>22</v>
      </c>
      <c r="V78" s="26"/>
      <c r="W78" s="30"/>
      <c r="AY78"/>
      <c r="AZ78"/>
      <c r="BA78"/>
    </row>
    <row r="79" spans="2:53" hidden="1" x14ac:dyDescent="0.25">
      <c r="B79" s="33" t="s">
        <v>760</v>
      </c>
      <c r="C79" s="33" t="s">
        <v>359</v>
      </c>
      <c r="D79" s="33" t="s">
        <v>18</v>
      </c>
      <c r="E79" s="33" t="s">
        <v>172</v>
      </c>
      <c r="F79" s="33">
        <v>11030860001</v>
      </c>
      <c r="G79" s="33" t="s">
        <v>42</v>
      </c>
      <c r="H79" s="33" t="s">
        <v>39</v>
      </c>
      <c r="I79" s="23">
        <v>-169.32000000000062</v>
      </c>
      <c r="J79" s="23">
        <v>0</v>
      </c>
      <c r="K79" s="23">
        <v>0</v>
      </c>
      <c r="L79" s="23">
        <v>7140.9000000000024</v>
      </c>
      <c r="M79" s="23">
        <v>1000</v>
      </c>
      <c r="N79" s="23">
        <v>172</v>
      </c>
      <c r="O79" s="23">
        <v>0</v>
      </c>
      <c r="P79" s="23">
        <f>Tabela1[[#This Row],[1QZ DE MARÇO 26]]-Tabela1[[#This Row],[SALDO PENDENTE COM CX REPR.]]-Tabela1[[#This Row],[SALDO CARTAO]]-Tabela1[[#This Row],[ADIANTAMENTO]]</f>
        <v>828</v>
      </c>
      <c r="Q79" s="23">
        <f>Tabela1[[#This Row],[1QZ DE MARÇO 26]]-Tabela1[[#This Row],[SALDO PENDENTE SEM CX REPR.]]-Tabela1[[#This Row],[SALDO CARTAO]]-Tabela1[[#This Row],[ADIANTAMENTO]]</f>
        <v>-6312.9000000000024</v>
      </c>
      <c r="R79" s="23">
        <v>0</v>
      </c>
      <c r="S79" s="40">
        <f>IF(Tabela1[[#This Row],[CARGA PARCIAL]]&lt;0,0,Tabela1[[#This Row],[CARGA PARCIAL]]+Tabela1[[#This Row],[REEMBOLSO]])</f>
        <v>828</v>
      </c>
      <c r="T79" s="40">
        <f>IF(Tabela1[[#This Row],[CARGA PARCIAL SEM CX REPROV.]]&lt;0,0,Tabela1[[#This Row],[CARGA PARCIAL]]+Tabela1[[#This Row],[REEMBOLSO]])</f>
        <v>0</v>
      </c>
      <c r="U79" s="24" t="s">
        <v>22</v>
      </c>
      <c r="V79" s="24"/>
      <c r="W79" s="30"/>
      <c r="AY79"/>
      <c r="AZ79"/>
      <c r="BA79"/>
    </row>
    <row r="80" spans="2:53" hidden="1" x14ac:dyDescent="0.25">
      <c r="B80" s="31" t="s">
        <v>753</v>
      </c>
      <c r="C80" s="32" t="s">
        <v>362</v>
      </c>
      <c r="D80" s="33" t="s">
        <v>18</v>
      </c>
      <c r="E80" s="33" t="s">
        <v>44</v>
      </c>
      <c r="F80" s="33">
        <v>1104150001</v>
      </c>
      <c r="G80" s="33" t="s">
        <v>45</v>
      </c>
      <c r="H80" s="22" t="s">
        <v>39</v>
      </c>
      <c r="I80" s="23">
        <v>0</v>
      </c>
      <c r="J80" s="23">
        <v>102.30000000000001</v>
      </c>
      <c r="K80" s="23">
        <v>0</v>
      </c>
      <c r="L80" s="23">
        <v>1000.0000000000009</v>
      </c>
      <c r="M80" s="23">
        <v>0</v>
      </c>
      <c r="N80" s="23">
        <v>0</v>
      </c>
      <c r="O80" s="23">
        <v>0</v>
      </c>
      <c r="P80" s="23">
        <f>Tabela1[[#This Row],[1QZ DE MARÇO 26]]-Tabela1[[#This Row],[SALDO PENDENTE COM CX REPR.]]-Tabela1[[#This Row],[SALDO CARTAO]]-Tabela1[[#This Row],[ADIANTAMENTO]]</f>
        <v>-102.30000000000001</v>
      </c>
      <c r="Q80" s="23">
        <f>Tabela1[[#This Row],[1QZ DE MARÇO 26]]-Tabela1[[#This Row],[SALDO PENDENTE SEM CX REPR.]]-Tabela1[[#This Row],[SALDO CARTAO]]-Tabela1[[#This Row],[ADIANTAMENTO]]</f>
        <v>-1000.0000000000009</v>
      </c>
      <c r="R80" s="23">
        <v>0</v>
      </c>
      <c r="S80" s="40">
        <f>IF(Tabela1[[#This Row],[CARGA PARCIAL]]&lt;0,0,Tabela1[[#This Row],[CARGA PARCIAL]]+Tabela1[[#This Row],[REEMBOLSO]])</f>
        <v>0</v>
      </c>
      <c r="T80" s="40">
        <f>IF(Tabela1[[#This Row],[CARGA PARCIAL SEM CX REPROV.]]&lt;0,0,Tabela1[[#This Row],[CARGA PARCIAL]]+Tabela1[[#This Row],[REEMBOLSO]])</f>
        <v>0</v>
      </c>
      <c r="U80" s="24" t="s">
        <v>22</v>
      </c>
      <c r="V80" s="24"/>
      <c r="W80" s="30"/>
      <c r="AY80"/>
      <c r="AZ80"/>
      <c r="BA80"/>
    </row>
    <row r="81" spans="2:53" x14ac:dyDescent="0.25">
      <c r="B81" s="33" t="s">
        <v>754</v>
      </c>
      <c r="C81" s="33" t="s">
        <v>78</v>
      </c>
      <c r="D81" s="33" t="s">
        <v>18</v>
      </c>
      <c r="E81" s="33" t="s">
        <v>24</v>
      </c>
      <c r="F81" s="33">
        <v>11030290001</v>
      </c>
      <c r="G81" s="33" t="s">
        <v>25</v>
      </c>
      <c r="H81" s="33" t="s">
        <v>21</v>
      </c>
      <c r="I81" s="23">
        <v>0</v>
      </c>
      <c r="J81" s="23">
        <v>1605.3600000000006</v>
      </c>
      <c r="K81" s="23">
        <v>0</v>
      </c>
      <c r="L81" s="23">
        <v>0</v>
      </c>
      <c r="M81" s="23">
        <v>4000</v>
      </c>
      <c r="N81" s="23">
        <v>0</v>
      </c>
      <c r="O81" s="23">
        <v>0</v>
      </c>
      <c r="P81" s="23">
        <f>Tabela1[[#This Row],[1QZ DE MARÇO 26]]-Tabela1[[#This Row],[SALDO PENDENTE COM CX REPR.]]-Tabela1[[#This Row],[SALDO CARTAO]]-Tabela1[[#This Row],[ADIANTAMENTO]]</f>
        <v>2394.6399999999994</v>
      </c>
      <c r="Q81" s="23">
        <f>Tabela1[[#This Row],[1QZ DE MARÇO 26]]-Tabela1[[#This Row],[SALDO PENDENTE SEM CX REPR.]]-Tabela1[[#This Row],[SALDO CARTAO]]-Tabela1[[#This Row],[ADIANTAMENTO]]</f>
        <v>4000</v>
      </c>
      <c r="R81" s="23">
        <v>0</v>
      </c>
      <c r="S81" s="40">
        <f>IF(Tabela1[[#This Row],[CARGA PARCIAL]]&lt;0,0,Tabela1[[#This Row],[CARGA PARCIAL]]+Tabela1[[#This Row],[REEMBOLSO]])</f>
        <v>2394.6399999999994</v>
      </c>
      <c r="T81" s="40">
        <f>IF(Tabela1[[#This Row],[CARGA PARCIAL SEM CX REPROV.]]&lt;0,0,Tabela1[[#This Row],[CARGA PARCIAL]]+Tabela1[[#This Row],[REEMBOLSO]])</f>
        <v>2394.6399999999994</v>
      </c>
      <c r="U81" s="24" t="s">
        <v>22</v>
      </c>
      <c r="V81" s="24"/>
      <c r="W81" s="30"/>
      <c r="AY81"/>
      <c r="AZ81"/>
      <c r="BA81"/>
    </row>
    <row r="82" spans="2:53" x14ac:dyDescent="0.25">
      <c r="B82" s="31" t="s">
        <v>755</v>
      </c>
      <c r="C82" s="32" t="s">
        <v>418</v>
      </c>
      <c r="D82" s="33" t="s">
        <v>18</v>
      </c>
      <c r="E82" s="33" t="s">
        <v>419</v>
      </c>
      <c r="F82" s="33">
        <v>11030580001</v>
      </c>
      <c r="G82" s="33" t="s">
        <v>54</v>
      </c>
      <c r="H82" s="22" t="s">
        <v>39</v>
      </c>
      <c r="I82" s="23">
        <v>0</v>
      </c>
      <c r="J82" s="23">
        <v>2378.84</v>
      </c>
      <c r="K82" s="23">
        <v>0</v>
      </c>
      <c r="L82" s="23">
        <v>0</v>
      </c>
      <c r="M82" s="23">
        <v>2800</v>
      </c>
      <c r="N82" s="23">
        <v>0</v>
      </c>
      <c r="O82" s="23">
        <v>0</v>
      </c>
      <c r="P82" s="23">
        <f>Tabela1[[#This Row],[1QZ DE MARÇO 26]]-Tabela1[[#This Row],[SALDO PENDENTE COM CX REPR.]]-Tabela1[[#This Row],[SALDO CARTAO]]-Tabela1[[#This Row],[ADIANTAMENTO]]</f>
        <v>421.15999999999985</v>
      </c>
      <c r="Q82" s="23">
        <f>Tabela1[[#This Row],[1QZ DE MARÇO 26]]-Tabela1[[#This Row],[SALDO PENDENTE SEM CX REPR.]]-Tabela1[[#This Row],[SALDO CARTAO]]-Tabela1[[#This Row],[ADIANTAMENTO]]</f>
        <v>2800</v>
      </c>
      <c r="R82" s="23">
        <v>0</v>
      </c>
      <c r="S82" s="40">
        <f>IF(Tabela1[[#This Row],[CARGA PARCIAL]]&lt;0,0,Tabela1[[#This Row],[CARGA PARCIAL]]+Tabela1[[#This Row],[REEMBOLSO]])</f>
        <v>421.15999999999985</v>
      </c>
      <c r="T82" s="40">
        <f>IF(Tabela1[[#This Row],[CARGA PARCIAL SEM CX REPROV.]]&lt;0,0,Tabela1[[#This Row],[CARGA PARCIAL]]+Tabela1[[#This Row],[REEMBOLSO]])</f>
        <v>421.15999999999985</v>
      </c>
      <c r="U82" s="24" t="s">
        <v>22</v>
      </c>
      <c r="V82" s="24"/>
      <c r="W82" s="30"/>
      <c r="AY82"/>
      <c r="AZ82"/>
      <c r="BA82"/>
    </row>
    <row r="83" spans="2:53" hidden="1" x14ac:dyDescent="0.25">
      <c r="B83" s="37" t="s">
        <v>756</v>
      </c>
      <c r="C83" s="32" t="s">
        <v>98</v>
      </c>
      <c r="D83" s="33" t="s">
        <v>18</v>
      </c>
      <c r="E83" s="33" t="s">
        <v>99</v>
      </c>
      <c r="F83" s="33">
        <v>11040040001</v>
      </c>
      <c r="G83" s="33" t="s">
        <v>25</v>
      </c>
      <c r="H83" s="22" t="s">
        <v>21</v>
      </c>
      <c r="I83" s="23">
        <v>0</v>
      </c>
      <c r="J83" s="23">
        <v>687.63000000000056</v>
      </c>
      <c r="K83" s="23">
        <v>0</v>
      </c>
      <c r="L83" s="23">
        <v>873.29999999999939</v>
      </c>
      <c r="M83" s="23">
        <v>800</v>
      </c>
      <c r="N83" s="23">
        <v>767</v>
      </c>
      <c r="O83" s="23">
        <v>0</v>
      </c>
      <c r="P83" s="23">
        <f>Tabela1[[#This Row],[1QZ DE MARÇO 26]]-Tabela1[[#This Row],[SALDO PENDENTE COM CX REPR.]]-Tabela1[[#This Row],[SALDO CARTAO]]-Tabela1[[#This Row],[ADIANTAMENTO]]</f>
        <v>-654.63000000000056</v>
      </c>
      <c r="Q83" s="23">
        <f>Tabela1[[#This Row],[1QZ DE MARÇO 26]]-Tabela1[[#This Row],[SALDO PENDENTE SEM CX REPR.]]-Tabela1[[#This Row],[SALDO CARTAO]]-Tabela1[[#This Row],[ADIANTAMENTO]]</f>
        <v>-840.29999999999939</v>
      </c>
      <c r="R83" s="23">
        <v>0</v>
      </c>
      <c r="S83" s="40">
        <f>IF(Tabela1[[#This Row],[CARGA PARCIAL]]&lt;0,0,Tabela1[[#This Row],[CARGA PARCIAL]]+Tabela1[[#This Row],[REEMBOLSO]])</f>
        <v>0</v>
      </c>
      <c r="T83" s="40">
        <f>IF(Tabela1[[#This Row],[CARGA PARCIAL SEM CX REPROV.]]&lt;0,0,Tabela1[[#This Row],[CARGA PARCIAL]]+Tabela1[[#This Row],[REEMBOLSO]])</f>
        <v>0</v>
      </c>
      <c r="U83" s="24" t="s">
        <v>22</v>
      </c>
      <c r="V83" s="24"/>
      <c r="W83" s="30"/>
      <c r="AY83"/>
      <c r="AZ83"/>
      <c r="BA83"/>
    </row>
    <row r="84" spans="2:53" hidden="1" x14ac:dyDescent="0.25">
      <c r="B84" s="31" t="s">
        <v>757</v>
      </c>
      <c r="C84" s="32" t="s">
        <v>300</v>
      </c>
      <c r="D84" s="33" t="s">
        <v>18</v>
      </c>
      <c r="E84" s="33" t="s">
        <v>243</v>
      </c>
      <c r="F84" s="33">
        <v>11062450001</v>
      </c>
      <c r="G84" s="33" t="s">
        <v>48</v>
      </c>
      <c r="H84" s="22" t="s">
        <v>35</v>
      </c>
      <c r="I84" s="23">
        <v>-46.400000000000205</v>
      </c>
      <c r="J84" s="23">
        <v>0</v>
      </c>
      <c r="K84" s="23">
        <v>0</v>
      </c>
      <c r="L84" s="23">
        <v>426.36000000000058</v>
      </c>
      <c r="M84" s="23">
        <v>750</v>
      </c>
      <c r="N84" s="23">
        <v>1008.73</v>
      </c>
      <c r="O84" s="23">
        <v>0</v>
      </c>
      <c r="P84" s="23">
        <f>Tabela1[[#This Row],[1QZ DE MARÇO 26]]-Tabela1[[#This Row],[SALDO PENDENTE COM CX REPR.]]-Tabela1[[#This Row],[SALDO CARTAO]]-Tabela1[[#This Row],[ADIANTAMENTO]]</f>
        <v>-258.73</v>
      </c>
      <c r="Q84" s="23">
        <f>Tabela1[[#This Row],[1QZ DE MARÇO 26]]-Tabela1[[#This Row],[SALDO PENDENTE SEM CX REPR.]]-Tabela1[[#This Row],[SALDO CARTAO]]-Tabela1[[#This Row],[ADIANTAMENTO]]</f>
        <v>-685.0900000000006</v>
      </c>
      <c r="R84" s="23">
        <v>0</v>
      </c>
      <c r="S84" s="40">
        <f>IF(Tabela1[[#This Row],[CARGA PARCIAL]]&lt;0,0,Tabela1[[#This Row],[CARGA PARCIAL]]+Tabela1[[#This Row],[REEMBOLSO]])</f>
        <v>0</v>
      </c>
      <c r="T84" s="40">
        <f>IF(Tabela1[[#This Row],[CARGA PARCIAL SEM CX REPROV.]]&lt;0,0,Tabela1[[#This Row],[CARGA PARCIAL]]+Tabela1[[#This Row],[REEMBOLSO]])</f>
        <v>0</v>
      </c>
      <c r="U84" s="24" t="s">
        <v>22</v>
      </c>
      <c r="V84" s="24"/>
      <c r="W84" s="30"/>
      <c r="AY84"/>
      <c r="AZ84"/>
      <c r="BA84"/>
    </row>
    <row r="85" spans="2:53" hidden="1" x14ac:dyDescent="0.25">
      <c r="B85" s="37" t="s">
        <v>758</v>
      </c>
      <c r="C85" s="32" t="s">
        <v>372</v>
      </c>
      <c r="D85" s="33" t="s">
        <v>18</v>
      </c>
      <c r="E85" s="33" t="s">
        <v>373</v>
      </c>
      <c r="F85" s="33">
        <v>1201004</v>
      </c>
      <c r="G85" s="33" t="s">
        <v>374</v>
      </c>
      <c r="H85" s="22" t="s">
        <v>375</v>
      </c>
      <c r="I85" s="23">
        <v>-34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f>Tabela1[[#This Row],[1QZ DE MARÇO 26]]-Tabela1[[#This Row],[SALDO PENDENTE COM CX REPR.]]-Tabela1[[#This Row],[SALDO CARTAO]]-Tabela1[[#This Row],[ADIANTAMENTO]]</f>
        <v>0</v>
      </c>
      <c r="Q85" s="23">
        <f>Tabela1[[#This Row],[1QZ DE MARÇO 26]]-Tabela1[[#This Row],[SALDO PENDENTE SEM CX REPR.]]-Tabela1[[#This Row],[SALDO CARTAO]]-Tabela1[[#This Row],[ADIANTAMENTO]]</f>
        <v>0</v>
      </c>
      <c r="R85" s="23">
        <v>0</v>
      </c>
      <c r="S85" s="40">
        <f>IF(Tabela1[[#This Row],[CARGA PARCIAL]]&lt;0,0,Tabela1[[#This Row],[CARGA PARCIAL]]+Tabela1[[#This Row],[REEMBOLSO]])</f>
        <v>0</v>
      </c>
      <c r="T85" s="40">
        <f>IF(Tabela1[[#This Row],[CARGA PARCIAL SEM CX REPROV.]]&lt;0,0,Tabela1[[#This Row],[CARGA PARCIAL]]+Tabela1[[#This Row],[REEMBOLSO]])</f>
        <v>0</v>
      </c>
      <c r="U85" s="24" t="s">
        <v>60</v>
      </c>
      <c r="V85" s="24"/>
      <c r="W85" s="30"/>
      <c r="AY85"/>
      <c r="AZ85"/>
      <c r="BA85"/>
    </row>
    <row r="86" spans="2:53" x14ac:dyDescent="0.25">
      <c r="B86" s="31" t="s">
        <v>759</v>
      </c>
      <c r="C86" s="32" t="s">
        <v>32</v>
      </c>
      <c r="D86" s="33" t="s">
        <v>18</v>
      </c>
      <c r="E86" s="33" t="s">
        <v>33</v>
      </c>
      <c r="F86" s="33">
        <v>11061870001</v>
      </c>
      <c r="G86" s="33" t="s">
        <v>34</v>
      </c>
      <c r="H86" s="22" t="s">
        <v>35</v>
      </c>
      <c r="I86" s="23">
        <v>0</v>
      </c>
      <c r="J86" s="23">
        <v>2983.2699999999895</v>
      </c>
      <c r="K86" s="23">
        <v>0</v>
      </c>
      <c r="L86" s="23">
        <v>1256.8300000000077</v>
      </c>
      <c r="M86" s="23">
        <v>4200</v>
      </c>
      <c r="N86" s="23">
        <v>0</v>
      </c>
      <c r="O86" s="23">
        <v>0</v>
      </c>
      <c r="P86" s="23">
        <f>Tabela1[[#This Row],[1QZ DE MARÇO 26]]-Tabela1[[#This Row],[SALDO PENDENTE COM CX REPR.]]-Tabela1[[#This Row],[SALDO CARTAO]]-Tabela1[[#This Row],[ADIANTAMENTO]]</f>
        <v>1216.7300000000105</v>
      </c>
      <c r="Q86" s="23">
        <f>Tabela1[[#This Row],[1QZ DE MARÇO 26]]-Tabela1[[#This Row],[SALDO PENDENTE SEM CX REPR.]]-Tabela1[[#This Row],[SALDO CARTAO]]-Tabela1[[#This Row],[ADIANTAMENTO]]</f>
        <v>2943.1699999999923</v>
      </c>
      <c r="R86" s="23">
        <v>0</v>
      </c>
      <c r="S86" s="40">
        <f>IF(Tabela1[[#This Row],[CARGA PARCIAL]]&lt;0,0,Tabela1[[#This Row],[CARGA PARCIAL]]+Tabela1[[#This Row],[REEMBOLSO]])</f>
        <v>1216.7300000000105</v>
      </c>
      <c r="T86" s="40">
        <f>IF(Tabela1[[#This Row],[CARGA PARCIAL SEM CX REPROV.]]&lt;0,0,Tabela1[[#This Row],[CARGA PARCIAL]]+Tabela1[[#This Row],[REEMBOLSO]])</f>
        <v>1216.7300000000105</v>
      </c>
      <c r="U86" s="24" t="s">
        <v>22</v>
      </c>
      <c r="V86" s="24"/>
      <c r="W86" s="30"/>
      <c r="AY86"/>
      <c r="AZ86"/>
      <c r="BA86"/>
    </row>
    <row r="87" spans="2:53" hidden="1" x14ac:dyDescent="0.25">
      <c r="B87" s="37" t="s">
        <v>807</v>
      </c>
      <c r="C87" s="32" t="s">
        <v>282</v>
      </c>
      <c r="D87" s="33" t="s">
        <v>18</v>
      </c>
      <c r="E87" s="33" t="s">
        <v>283</v>
      </c>
      <c r="F87" s="33">
        <v>11040140001</v>
      </c>
      <c r="G87" s="33" t="s">
        <v>45</v>
      </c>
      <c r="H87" s="22" t="s">
        <v>39</v>
      </c>
      <c r="I87" s="23">
        <v>-184.300000000003</v>
      </c>
      <c r="J87" s="23">
        <v>0</v>
      </c>
      <c r="K87" s="23">
        <v>0</v>
      </c>
      <c r="L87" s="23">
        <v>968.61999999999171</v>
      </c>
      <c r="M87" s="23">
        <v>200</v>
      </c>
      <c r="N87" s="23">
        <v>10.26</v>
      </c>
      <c r="O87" s="23">
        <v>0</v>
      </c>
      <c r="P87" s="23">
        <f>Tabela1[[#This Row],[1QZ DE MARÇO 26]]-Tabela1[[#This Row],[SALDO PENDENTE COM CX REPR.]]-Tabela1[[#This Row],[SALDO CARTAO]]-Tabela1[[#This Row],[ADIANTAMENTO]]</f>
        <v>189.74</v>
      </c>
      <c r="Q87" s="23">
        <f>Tabela1[[#This Row],[1QZ DE MARÇO 26]]-Tabela1[[#This Row],[SALDO PENDENTE SEM CX REPR.]]-Tabela1[[#This Row],[SALDO CARTAO]]-Tabela1[[#This Row],[ADIANTAMENTO]]</f>
        <v>-778.8799999999917</v>
      </c>
      <c r="R87" s="23">
        <v>184.300000000003</v>
      </c>
      <c r="S87" s="40">
        <f>IF(Tabela1[[#This Row],[CARGA PARCIAL]]&lt;0,0,Tabela1[[#This Row],[CARGA PARCIAL]]+Tabela1[[#This Row],[REEMBOLSO]])</f>
        <v>374.04000000000303</v>
      </c>
      <c r="T87" s="40">
        <f>IF(Tabela1[[#This Row],[CARGA PARCIAL SEM CX REPROV.]]&lt;0,0,Tabela1[[#This Row],[CARGA PARCIAL]]+Tabela1[[#This Row],[REEMBOLSO]])</f>
        <v>0</v>
      </c>
      <c r="U87" s="24" t="s">
        <v>22</v>
      </c>
      <c r="V87" s="24"/>
      <c r="W87" s="30"/>
      <c r="AY87"/>
      <c r="AZ87"/>
      <c r="BA87"/>
    </row>
    <row r="88" spans="2:53" x14ac:dyDescent="0.25">
      <c r="B88" s="37" t="s">
        <v>761</v>
      </c>
      <c r="C88" s="32" t="s">
        <v>196</v>
      </c>
      <c r="D88" s="33" t="s">
        <v>18</v>
      </c>
      <c r="E88" s="33" t="s">
        <v>134</v>
      </c>
      <c r="F88" s="33">
        <v>11061720001</v>
      </c>
      <c r="G88" s="33" t="s">
        <v>42</v>
      </c>
      <c r="H88" s="22" t="s">
        <v>39</v>
      </c>
      <c r="I88" s="23">
        <v>0</v>
      </c>
      <c r="J88" s="23">
        <v>289.99999999999875</v>
      </c>
      <c r="K88" s="23">
        <v>-25.299999999997226</v>
      </c>
      <c r="L88" s="23">
        <v>0</v>
      </c>
      <c r="M88" s="23">
        <v>800</v>
      </c>
      <c r="N88" s="23"/>
      <c r="O88" s="23">
        <v>0</v>
      </c>
      <c r="P88" s="23">
        <f>Tabela1[[#This Row],[1QZ DE MARÇO 26]]-Tabela1[[#This Row],[SALDO PENDENTE COM CX REPR.]]-Tabela1[[#This Row],[SALDO CARTAO]]-Tabela1[[#This Row],[ADIANTAMENTO]]</f>
        <v>510.00000000000125</v>
      </c>
      <c r="Q88" s="23">
        <f>Tabela1[[#This Row],[1QZ DE MARÇO 26]]-Tabela1[[#This Row],[SALDO PENDENTE SEM CX REPR.]]-Tabela1[[#This Row],[SALDO CARTAO]]-Tabela1[[#This Row],[ADIANTAMENTO]]</f>
        <v>800</v>
      </c>
      <c r="R88" s="23">
        <v>0</v>
      </c>
      <c r="S88" s="40">
        <f>IF(Tabela1[[#This Row],[CARGA PARCIAL]]&lt;0,0,Tabela1[[#This Row],[CARGA PARCIAL]]+Tabela1[[#This Row],[REEMBOLSO]])</f>
        <v>510.00000000000125</v>
      </c>
      <c r="T88" s="40">
        <f>IF(Tabela1[[#This Row],[CARGA PARCIAL SEM CX REPROV.]]&lt;0,0,Tabela1[[#This Row],[CARGA PARCIAL]]+Tabela1[[#This Row],[REEMBOLSO]])</f>
        <v>510.00000000000125</v>
      </c>
      <c r="U88" s="24" t="s">
        <v>22</v>
      </c>
      <c r="V88" s="24"/>
      <c r="W88" s="30"/>
      <c r="AY88"/>
      <c r="AZ88"/>
      <c r="BA88"/>
    </row>
    <row r="89" spans="2:53" hidden="1" x14ac:dyDescent="0.25">
      <c r="B89" s="33" t="s">
        <v>862</v>
      </c>
      <c r="C89" s="33" t="s">
        <v>489</v>
      </c>
      <c r="D89" s="33" t="s">
        <v>18</v>
      </c>
      <c r="E89" s="33" t="s">
        <v>490</v>
      </c>
      <c r="F89" s="33">
        <v>11010360001</v>
      </c>
      <c r="G89" s="33" t="s">
        <v>20</v>
      </c>
      <c r="H89" s="22" t="s">
        <v>21</v>
      </c>
      <c r="I89" s="23">
        <v>-196.39999999999873</v>
      </c>
      <c r="J89" s="23">
        <v>0</v>
      </c>
      <c r="K89" s="23">
        <v>0</v>
      </c>
      <c r="L89" s="23">
        <v>979.09999999999991</v>
      </c>
      <c r="M89" s="23">
        <v>250</v>
      </c>
      <c r="N89" s="23">
        <v>72.099999999999994</v>
      </c>
      <c r="O89" s="23">
        <v>0</v>
      </c>
      <c r="P89" s="23">
        <f>Tabela1[[#This Row],[1QZ DE MARÇO 26]]-Tabela1[[#This Row],[SALDO PENDENTE COM CX REPR.]]-Tabela1[[#This Row],[SALDO CARTAO]]-Tabela1[[#This Row],[ADIANTAMENTO]]</f>
        <v>177.9</v>
      </c>
      <c r="Q89" s="23">
        <f>Tabela1[[#This Row],[1QZ DE MARÇO 26]]-Tabela1[[#This Row],[SALDO PENDENTE SEM CX REPR.]]-Tabela1[[#This Row],[SALDO CARTAO]]-Tabela1[[#This Row],[ADIANTAMENTO]]</f>
        <v>-801.19999999999993</v>
      </c>
      <c r="R89" s="23">
        <v>196.39999999999873</v>
      </c>
      <c r="S89" s="40">
        <f>IF(Tabela1[[#This Row],[CARGA PARCIAL]]&lt;0,0,Tabela1[[#This Row],[CARGA PARCIAL]]+Tabela1[[#This Row],[REEMBOLSO]])</f>
        <v>374.2999999999987</v>
      </c>
      <c r="T89" s="40">
        <f>IF(Tabela1[[#This Row],[CARGA PARCIAL SEM CX REPROV.]]&lt;0,0,Tabela1[[#This Row],[CARGA PARCIAL]]+Tabela1[[#This Row],[REEMBOLSO]])</f>
        <v>0</v>
      </c>
      <c r="U89" s="24" t="s">
        <v>22</v>
      </c>
      <c r="V89" s="24"/>
      <c r="W89" s="30"/>
      <c r="AY89"/>
      <c r="AZ89"/>
      <c r="BA89"/>
    </row>
    <row r="90" spans="2:53" x14ac:dyDescent="0.25">
      <c r="B90" s="31" t="s">
        <v>763</v>
      </c>
      <c r="C90" s="32" t="s">
        <v>339</v>
      </c>
      <c r="D90" s="33" t="s">
        <v>18</v>
      </c>
      <c r="E90" s="33" t="s">
        <v>149</v>
      </c>
      <c r="F90" s="33">
        <v>11062050001</v>
      </c>
      <c r="G90" s="33" t="s">
        <v>45</v>
      </c>
      <c r="H90" s="22" t="s">
        <v>39</v>
      </c>
      <c r="I90" s="23">
        <v>-8.399999999999018</v>
      </c>
      <c r="J90" s="23">
        <v>0</v>
      </c>
      <c r="K90" s="23">
        <v>0</v>
      </c>
      <c r="L90" s="23">
        <v>30.96000000000009</v>
      </c>
      <c r="M90" s="23">
        <v>240</v>
      </c>
      <c r="N90" s="23">
        <v>120.4</v>
      </c>
      <c r="O90" s="23">
        <v>0</v>
      </c>
      <c r="P90" s="23">
        <f>Tabela1[[#This Row],[1QZ DE MARÇO 26]]-Tabela1[[#This Row],[SALDO PENDENTE COM CX REPR.]]-Tabela1[[#This Row],[SALDO CARTAO]]-Tabela1[[#This Row],[ADIANTAMENTO]]</f>
        <v>119.6</v>
      </c>
      <c r="Q90" s="23">
        <f>Tabela1[[#This Row],[1QZ DE MARÇO 26]]-Tabela1[[#This Row],[SALDO PENDENTE SEM CX REPR.]]-Tabela1[[#This Row],[SALDO CARTAO]]-Tabela1[[#This Row],[ADIANTAMENTO]]</f>
        <v>88.639999999999901</v>
      </c>
      <c r="R90" s="23">
        <v>0</v>
      </c>
      <c r="S90" s="40">
        <f>IF(Tabela1[[#This Row],[CARGA PARCIAL]]&lt;0,0,Tabela1[[#This Row],[CARGA PARCIAL]]+Tabela1[[#This Row],[REEMBOLSO]])</f>
        <v>119.6</v>
      </c>
      <c r="T90" s="40">
        <f>IF(Tabela1[[#This Row],[CARGA PARCIAL SEM CX REPROV.]]&lt;0,0,Tabela1[[#This Row],[CARGA PARCIAL]]+Tabela1[[#This Row],[REEMBOLSO]])</f>
        <v>119.6</v>
      </c>
      <c r="U90" s="24" t="s">
        <v>22</v>
      </c>
      <c r="V90" s="24"/>
      <c r="W90" s="30"/>
      <c r="AY90"/>
      <c r="AZ90"/>
      <c r="BA90"/>
    </row>
    <row r="91" spans="2:53" x14ac:dyDescent="0.25">
      <c r="B91" s="37" t="s">
        <v>764</v>
      </c>
      <c r="C91" s="32" t="s">
        <v>263</v>
      </c>
      <c r="D91" s="33" t="s">
        <v>18</v>
      </c>
      <c r="E91" s="33" t="s">
        <v>134</v>
      </c>
      <c r="F91" s="33">
        <v>11061720001</v>
      </c>
      <c r="G91" s="33" t="s">
        <v>42</v>
      </c>
      <c r="H91" s="22" t="s">
        <v>39</v>
      </c>
      <c r="I91" s="23">
        <v>0</v>
      </c>
      <c r="J91" s="23">
        <v>504.74000000000257</v>
      </c>
      <c r="K91" s="23">
        <v>0</v>
      </c>
      <c r="L91" s="23">
        <v>392.66000000000031</v>
      </c>
      <c r="M91" s="23">
        <v>600</v>
      </c>
      <c r="N91" s="23">
        <v>27</v>
      </c>
      <c r="O91" s="23">
        <v>0</v>
      </c>
      <c r="P91" s="23">
        <f>Tabela1[[#This Row],[1QZ DE MARÇO 26]]-Tabela1[[#This Row],[SALDO PENDENTE COM CX REPR.]]-Tabela1[[#This Row],[SALDO CARTAO]]-Tabela1[[#This Row],[ADIANTAMENTO]]</f>
        <v>68.259999999997433</v>
      </c>
      <c r="Q91" s="23">
        <f>Tabela1[[#This Row],[1QZ DE MARÇO 26]]-Tabela1[[#This Row],[SALDO PENDENTE SEM CX REPR.]]-Tabela1[[#This Row],[SALDO CARTAO]]-Tabela1[[#This Row],[ADIANTAMENTO]]</f>
        <v>180.33999999999969</v>
      </c>
      <c r="R91" s="23">
        <v>0</v>
      </c>
      <c r="S91" s="40">
        <f>IF(Tabela1[[#This Row],[CARGA PARCIAL]]&lt;0,0,Tabela1[[#This Row],[CARGA PARCIAL]]+Tabela1[[#This Row],[REEMBOLSO]])</f>
        <v>68.259999999997433</v>
      </c>
      <c r="T91" s="40">
        <f>IF(Tabela1[[#This Row],[CARGA PARCIAL SEM CX REPROV.]]&lt;0,0,Tabela1[[#This Row],[CARGA PARCIAL]]+Tabela1[[#This Row],[REEMBOLSO]])</f>
        <v>68.259999999997433</v>
      </c>
      <c r="U91" s="24" t="s">
        <v>22</v>
      </c>
      <c r="V91" s="24"/>
      <c r="W91" s="30"/>
      <c r="AY91"/>
      <c r="AZ91"/>
      <c r="BA91"/>
    </row>
    <row r="92" spans="2:53" hidden="1" x14ac:dyDescent="0.25">
      <c r="B92" s="37" t="s">
        <v>765</v>
      </c>
      <c r="C92" s="32" t="s">
        <v>180</v>
      </c>
      <c r="D92" s="33" t="s">
        <v>18</v>
      </c>
      <c r="E92" s="33" t="s">
        <v>134</v>
      </c>
      <c r="F92" s="33">
        <v>11061720001</v>
      </c>
      <c r="G92" s="33" t="s">
        <v>42</v>
      </c>
      <c r="H92" s="22" t="s">
        <v>39</v>
      </c>
      <c r="I92" s="23">
        <v>0</v>
      </c>
      <c r="J92" s="23">
        <v>0</v>
      </c>
      <c r="K92" s="23">
        <v>0</v>
      </c>
      <c r="L92" s="23">
        <v>4235.5899999999092</v>
      </c>
      <c r="M92" s="23">
        <v>750</v>
      </c>
      <c r="N92" s="23">
        <v>13.32</v>
      </c>
      <c r="O92" s="23">
        <v>0</v>
      </c>
      <c r="P92" s="23">
        <f>Tabela1[[#This Row],[1QZ DE MARÇO 26]]-Tabela1[[#This Row],[SALDO PENDENTE COM CX REPR.]]-Tabela1[[#This Row],[SALDO CARTAO]]-Tabela1[[#This Row],[ADIANTAMENTO]]</f>
        <v>736.68</v>
      </c>
      <c r="Q92" s="23">
        <f>Tabela1[[#This Row],[1QZ DE MARÇO 26]]-Tabela1[[#This Row],[SALDO PENDENTE SEM CX REPR.]]-Tabela1[[#This Row],[SALDO CARTAO]]-Tabela1[[#This Row],[ADIANTAMENTO]]</f>
        <v>-3498.9099999999094</v>
      </c>
      <c r="R92" s="23">
        <v>0</v>
      </c>
      <c r="S92" s="40">
        <f>IF(Tabela1[[#This Row],[CARGA PARCIAL]]&lt;0,0,Tabela1[[#This Row],[CARGA PARCIAL]]+Tabela1[[#This Row],[REEMBOLSO]])</f>
        <v>736.68</v>
      </c>
      <c r="T92" s="40">
        <f>IF(Tabela1[[#This Row],[CARGA PARCIAL SEM CX REPROV.]]&lt;0,0,Tabela1[[#This Row],[CARGA PARCIAL]]+Tabela1[[#This Row],[REEMBOLSO]])</f>
        <v>0</v>
      </c>
      <c r="U92" s="24" t="s">
        <v>22</v>
      </c>
      <c r="V92" s="24"/>
      <c r="W92" s="30"/>
      <c r="AY92"/>
      <c r="AZ92"/>
      <c r="BA92"/>
    </row>
    <row r="93" spans="2:53" hidden="1" x14ac:dyDescent="0.25">
      <c r="B93" s="37" t="s">
        <v>766</v>
      </c>
      <c r="C93" s="32" t="s">
        <v>337</v>
      </c>
      <c r="D93" s="33" t="s">
        <v>18</v>
      </c>
      <c r="E93" s="33" t="s">
        <v>283</v>
      </c>
      <c r="F93" s="33">
        <v>11040140001</v>
      </c>
      <c r="G93" s="33" t="s">
        <v>45</v>
      </c>
      <c r="H93" s="22" t="s">
        <v>39</v>
      </c>
      <c r="I93" s="23">
        <v>0</v>
      </c>
      <c r="J93" s="23">
        <v>354.99999999999994</v>
      </c>
      <c r="K93" s="23">
        <v>0</v>
      </c>
      <c r="L93" s="23">
        <v>0.72000000000002728</v>
      </c>
      <c r="M93" s="23">
        <v>300</v>
      </c>
      <c r="N93" s="23">
        <v>63.67</v>
      </c>
      <c r="O93" s="23">
        <v>0</v>
      </c>
      <c r="P93" s="23">
        <f>Tabela1[[#This Row],[1QZ DE MARÇO 26]]-Tabela1[[#This Row],[SALDO PENDENTE COM CX REPR.]]-Tabela1[[#This Row],[SALDO CARTAO]]-Tabela1[[#This Row],[ADIANTAMENTO]]</f>
        <v>-118.66999999999994</v>
      </c>
      <c r="Q93" s="23">
        <f>Tabela1[[#This Row],[1QZ DE MARÇO 26]]-Tabela1[[#This Row],[SALDO PENDENTE SEM CX REPR.]]-Tabela1[[#This Row],[SALDO CARTAO]]-Tabela1[[#This Row],[ADIANTAMENTO]]</f>
        <v>235.60999999999996</v>
      </c>
      <c r="R93" s="23">
        <v>0</v>
      </c>
      <c r="S93" s="40">
        <f>IF(Tabela1[[#This Row],[CARGA PARCIAL]]&lt;0,0,Tabela1[[#This Row],[CARGA PARCIAL]]+Tabela1[[#This Row],[REEMBOLSO]])</f>
        <v>0</v>
      </c>
      <c r="T93" s="40">
        <f>IF(Tabela1[[#This Row],[CARGA PARCIAL SEM CX REPROV.]]&lt;0,0,Tabela1[[#This Row],[CARGA PARCIAL]]+Tabela1[[#This Row],[REEMBOLSO]])</f>
        <v>-118.66999999999994</v>
      </c>
      <c r="U93" s="24" t="s">
        <v>22</v>
      </c>
      <c r="V93" s="24"/>
      <c r="W93" s="30"/>
      <c r="AY93"/>
      <c r="AZ93"/>
      <c r="BA93"/>
    </row>
    <row r="94" spans="2:53" x14ac:dyDescent="0.25">
      <c r="B94" s="33" t="s">
        <v>767</v>
      </c>
      <c r="C94" s="33" t="s">
        <v>316</v>
      </c>
      <c r="D94" s="33" t="s">
        <v>18</v>
      </c>
      <c r="E94" s="33" t="s">
        <v>134</v>
      </c>
      <c r="F94" s="33">
        <v>11061720001</v>
      </c>
      <c r="G94" s="33" t="s">
        <v>42</v>
      </c>
      <c r="H94" s="22" t="s">
        <v>39</v>
      </c>
      <c r="I94" s="23">
        <v>0</v>
      </c>
      <c r="J94" s="23">
        <v>191.26000000002247</v>
      </c>
      <c r="K94" s="23">
        <v>0</v>
      </c>
      <c r="L94" s="23">
        <v>0</v>
      </c>
      <c r="M94" s="23">
        <v>800</v>
      </c>
      <c r="N94" s="23">
        <v>194.75</v>
      </c>
      <c r="O94" s="23">
        <v>0</v>
      </c>
      <c r="P94" s="23">
        <f>Tabela1[[#This Row],[1QZ DE MARÇO 26]]-Tabela1[[#This Row],[SALDO PENDENTE COM CX REPR.]]-Tabela1[[#This Row],[SALDO CARTAO]]-Tabela1[[#This Row],[ADIANTAMENTO]]</f>
        <v>413.9899999999775</v>
      </c>
      <c r="Q94" s="23">
        <f>Tabela1[[#This Row],[1QZ DE MARÇO 26]]-Tabela1[[#This Row],[SALDO PENDENTE SEM CX REPR.]]-Tabela1[[#This Row],[SALDO CARTAO]]-Tabela1[[#This Row],[ADIANTAMENTO]]</f>
        <v>605.25</v>
      </c>
      <c r="R94" s="23">
        <v>0</v>
      </c>
      <c r="S94" s="40">
        <f>IF(Tabela1[[#This Row],[CARGA PARCIAL]]&lt;0,0,Tabela1[[#This Row],[CARGA PARCIAL]]+Tabela1[[#This Row],[REEMBOLSO]])</f>
        <v>413.9899999999775</v>
      </c>
      <c r="T94" s="40">
        <f>IF(Tabela1[[#This Row],[CARGA PARCIAL SEM CX REPROV.]]&lt;0,0,Tabela1[[#This Row],[CARGA PARCIAL]]+Tabela1[[#This Row],[REEMBOLSO]])</f>
        <v>413.9899999999775</v>
      </c>
      <c r="U94" s="24" t="s">
        <v>22</v>
      </c>
      <c r="V94" s="24"/>
      <c r="W94" s="30"/>
      <c r="AY94"/>
      <c r="AZ94"/>
      <c r="BA94"/>
    </row>
    <row r="95" spans="2:53" hidden="1" x14ac:dyDescent="0.25">
      <c r="B95" s="31" t="s">
        <v>768</v>
      </c>
      <c r="C95" s="32" t="s">
        <v>488</v>
      </c>
      <c r="D95" s="33" t="s">
        <v>18</v>
      </c>
      <c r="E95" s="33" t="s">
        <v>95</v>
      </c>
      <c r="F95" s="33">
        <v>11040160001</v>
      </c>
      <c r="G95" s="33" t="s">
        <v>48</v>
      </c>
      <c r="H95" s="22" t="s">
        <v>35</v>
      </c>
      <c r="I95" s="23">
        <v>0</v>
      </c>
      <c r="J95" s="23">
        <v>290.05999999999995</v>
      </c>
      <c r="K95" s="23">
        <v>0</v>
      </c>
      <c r="L95" s="23">
        <v>70.659999999999854</v>
      </c>
      <c r="M95" s="23">
        <v>250</v>
      </c>
      <c r="N95" s="23">
        <v>0</v>
      </c>
      <c r="O95" s="23">
        <v>0</v>
      </c>
      <c r="P95" s="23">
        <f>Tabela1[[#This Row],[1QZ DE MARÇO 26]]-Tabela1[[#This Row],[SALDO PENDENTE COM CX REPR.]]-Tabela1[[#This Row],[SALDO CARTAO]]-Tabela1[[#This Row],[ADIANTAMENTO]]</f>
        <v>-40.059999999999945</v>
      </c>
      <c r="Q95" s="23">
        <f>Tabela1[[#This Row],[1QZ DE MARÇO 26]]-Tabela1[[#This Row],[SALDO PENDENTE SEM CX REPR.]]-Tabela1[[#This Row],[SALDO CARTAO]]-Tabela1[[#This Row],[ADIANTAMENTO]]</f>
        <v>179.34000000000015</v>
      </c>
      <c r="R95" s="23">
        <v>0</v>
      </c>
      <c r="S95" s="40">
        <f>IF(Tabela1[[#This Row],[CARGA PARCIAL]]&lt;0,0,Tabela1[[#This Row],[CARGA PARCIAL]]+Tabela1[[#This Row],[REEMBOLSO]])</f>
        <v>0</v>
      </c>
      <c r="T95" s="40">
        <f>IF(Tabela1[[#This Row],[CARGA PARCIAL SEM CX REPROV.]]&lt;0,0,Tabela1[[#This Row],[CARGA PARCIAL]]+Tabela1[[#This Row],[REEMBOLSO]])</f>
        <v>-40.059999999999945</v>
      </c>
      <c r="U95" s="24" t="s">
        <v>22</v>
      </c>
      <c r="V95" s="24"/>
      <c r="W95" s="30"/>
      <c r="AY95"/>
      <c r="AZ95"/>
      <c r="BA95"/>
    </row>
    <row r="96" spans="2:53" x14ac:dyDescent="0.25">
      <c r="B96" s="37" t="s">
        <v>769</v>
      </c>
      <c r="C96" s="32" t="s">
        <v>162</v>
      </c>
      <c r="D96" s="33" t="s">
        <v>18</v>
      </c>
      <c r="E96" s="33" t="s">
        <v>163</v>
      </c>
      <c r="F96" s="33">
        <v>11062020001</v>
      </c>
      <c r="G96" s="33" t="s">
        <v>42</v>
      </c>
      <c r="H96" s="22" t="s">
        <v>39</v>
      </c>
      <c r="I96" s="23">
        <v>0</v>
      </c>
      <c r="J96" s="23">
        <v>313.28999999999292</v>
      </c>
      <c r="K96" s="23">
        <v>-126.00000000000364</v>
      </c>
      <c r="L96" s="23">
        <v>0</v>
      </c>
      <c r="M96" s="23">
        <v>3000</v>
      </c>
      <c r="N96" s="23">
        <v>0</v>
      </c>
      <c r="O96" s="23">
        <v>0</v>
      </c>
      <c r="P96" s="23">
        <f>Tabela1[[#This Row],[1QZ DE MARÇO 26]]-Tabela1[[#This Row],[SALDO PENDENTE COM CX REPR.]]-Tabela1[[#This Row],[SALDO CARTAO]]-Tabela1[[#This Row],[ADIANTAMENTO]]</f>
        <v>2686.7100000000073</v>
      </c>
      <c r="Q96" s="23">
        <f>Tabela1[[#This Row],[1QZ DE MARÇO 26]]-Tabela1[[#This Row],[SALDO PENDENTE SEM CX REPR.]]-Tabela1[[#This Row],[SALDO CARTAO]]-Tabela1[[#This Row],[ADIANTAMENTO]]</f>
        <v>3000</v>
      </c>
      <c r="R96" s="23">
        <v>0</v>
      </c>
      <c r="S96" s="40">
        <f>IF(Tabela1[[#This Row],[CARGA PARCIAL]]&lt;0,0,Tabela1[[#This Row],[CARGA PARCIAL]]+Tabela1[[#This Row],[REEMBOLSO]])</f>
        <v>2686.7100000000073</v>
      </c>
      <c r="T96" s="40">
        <f>IF(Tabela1[[#This Row],[CARGA PARCIAL SEM CX REPROV.]]&lt;0,0,Tabela1[[#This Row],[CARGA PARCIAL]]+Tabela1[[#This Row],[REEMBOLSO]])</f>
        <v>2686.7100000000073</v>
      </c>
      <c r="U96" s="24" t="s">
        <v>22</v>
      </c>
      <c r="V96" s="24"/>
      <c r="W96" s="30"/>
      <c r="AY96"/>
      <c r="AZ96"/>
      <c r="BA96"/>
    </row>
    <row r="97" spans="2:53" hidden="1" x14ac:dyDescent="0.25">
      <c r="B97" s="31" t="s">
        <v>770</v>
      </c>
      <c r="C97" s="32" t="s">
        <v>335</v>
      </c>
      <c r="D97" s="33" t="s">
        <v>18</v>
      </c>
      <c r="E97" s="33" t="s">
        <v>283</v>
      </c>
      <c r="F97" s="33">
        <v>11040140001</v>
      </c>
      <c r="G97" s="33" t="s">
        <v>45</v>
      </c>
      <c r="H97" s="22" t="s">
        <v>39</v>
      </c>
      <c r="I97" s="23">
        <v>0</v>
      </c>
      <c r="J97" s="23">
        <v>65.380000000000052</v>
      </c>
      <c r="K97" s="23">
        <v>0</v>
      </c>
      <c r="L97" s="23">
        <v>102.30000000000001</v>
      </c>
      <c r="M97" s="23">
        <v>100</v>
      </c>
      <c r="N97" s="23">
        <v>0</v>
      </c>
      <c r="O97" s="23">
        <v>0</v>
      </c>
      <c r="P97" s="23">
        <f>Tabela1[[#This Row],[1QZ DE MARÇO 26]]-Tabela1[[#This Row],[SALDO PENDENTE COM CX REPR.]]-Tabela1[[#This Row],[SALDO CARTAO]]-Tabela1[[#This Row],[ADIANTAMENTO]]</f>
        <v>34.619999999999948</v>
      </c>
      <c r="Q97" s="23">
        <f>Tabela1[[#This Row],[1QZ DE MARÇO 26]]-Tabela1[[#This Row],[SALDO PENDENTE SEM CX REPR.]]-Tabela1[[#This Row],[SALDO CARTAO]]-Tabela1[[#This Row],[ADIANTAMENTO]]</f>
        <v>-2.3000000000000114</v>
      </c>
      <c r="R97" s="23">
        <v>0</v>
      </c>
      <c r="S97" s="40">
        <f>IF(Tabela1[[#This Row],[CARGA PARCIAL]]&lt;0,0,Tabela1[[#This Row],[CARGA PARCIAL]]+Tabela1[[#This Row],[REEMBOLSO]])</f>
        <v>34.619999999999948</v>
      </c>
      <c r="T97" s="40">
        <f>IF(Tabela1[[#This Row],[CARGA PARCIAL SEM CX REPROV.]]&lt;0,0,Tabela1[[#This Row],[CARGA PARCIAL]]+Tabela1[[#This Row],[REEMBOLSO]])</f>
        <v>0</v>
      </c>
      <c r="U97" s="24" t="s">
        <v>22</v>
      </c>
      <c r="V97" s="24"/>
      <c r="W97" s="30"/>
      <c r="AY97"/>
      <c r="AZ97"/>
      <c r="BA97"/>
    </row>
    <row r="98" spans="2:53" hidden="1" x14ac:dyDescent="0.25">
      <c r="B98" s="33" t="s">
        <v>771</v>
      </c>
      <c r="C98" s="33" t="s">
        <v>651</v>
      </c>
      <c r="D98" s="33" t="s">
        <v>18</v>
      </c>
      <c r="E98" s="33" t="s">
        <v>95</v>
      </c>
      <c r="F98" s="33">
        <v>11040160001</v>
      </c>
      <c r="G98" s="33" t="s">
        <v>48</v>
      </c>
      <c r="H98" s="22" t="s">
        <v>35</v>
      </c>
      <c r="I98" s="23">
        <v>0</v>
      </c>
      <c r="J98" s="23">
        <v>0</v>
      </c>
      <c r="K98" s="23">
        <v>0</v>
      </c>
      <c r="L98" s="23">
        <v>2415.3600000000006</v>
      </c>
      <c r="M98" s="23">
        <v>0</v>
      </c>
      <c r="N98" s="23">
        <v>1916.89</v>
      </c>
      <c r="O98" s="23">
        <v>0</v>
      </c>
      <c r="P98" s="23">
        <f>Tabela1[[#This Row],[1QZ DE MARÇO 26]]-Tabela1[[#This Row],[SALDO PENDENTE COM CX REPR.]]-Tabela1[[#This Row],[SALDO CARTAO]]-Tabela1[[#This Row],[ADIANTAMENTO]]</f>
        <v>-1916.89</v>
      </c>
      <c r="Q98" s="23">
        <f>Tabela1[[#This Row],[1QZ DE MARÇO 26]]-Tabela1[[#This Row],[SALDO PENDENTE SEM CX REPR.]]-Tabela1[[#This Row],[SALDO CARTAO]]-Tabela1[[#This Row],[ADIANTAMENTO]]</f>
        <v>-4332.2500000000009</v>
      </c>
      <c r="R98" s="23">
        <v>0</v>
      </c>
      <c r="S98" s="40">
        <f>IF(Tabela1[[#This Row],[CARGA PARCIAL]]&lt;0,0,Tabela1[[#This Row],[CARGA PARCIAL]]+Tabela1[[#This Row],[REEMBOLSO]])</f>
        <v>0</v>
      </c>
      <c r="T98" s="40">
        <f>IF(Tabela1[[#This Row],[CARGA PARCIAL SEM CX REPROV.]]&lt;0,0,Tabela1[[#This Row],[CARGA PARCIAL]]+Tabela1[[#This Row],[REEMBOLSO]])</f>
        <v>0</v>
      </c>
      <c r="U98" s="24" t="s">
        <v>60</v>
      </c>
      <c r="V98" s="24"/>
      <c r="W98" s="30"/>
      <c r="AY98"/>
      <c r="AZ98"/>
      <c r="BA98"/>
    </row>
    <row r="99" spans="2:53" hidden="1" x14ac:dyDescent="0.25">
      <c r="B99" s="33" t="s">
        <v>772</v>
      </c>
      <c r="C99" s="33" t="s">
        <v>347</v>
      </c>
      <c r="D99" s="33" t="s">
        <v>18</v>
      </c>
      <c r="E99" s="33" t="s">
        <v>283</v>
      </c>
      <c r="F99" s="33">
        <v>11040140001</v>
      </c>
      <c r="G99" s="33" t="s">
        <v>45</v>
      </c>
      <c r="H99" s="22" t="s">
        <v>39</v>
      </c>
      <c r="I99" s="23">
        <v>0</v>
      </c>
      <c r="J99" s="23">
        <v>102.90000000000009</v>
      </c>
      <c r="K99" s="23">
        <v>0</v>
      </c>
      <c r="L99" s="23">
        <v>2378.8399999999983</v>
      </c>
      <c r="M99" s="23">
        <v>100</v>
      </c>
      <c r="N99" s="23">
        <v>0</v>
      </c>
      <c r="O99" s="23">
        <v>0</v>
      </c>
      <c r="P99" s="23">
        <f>Tabela1[[#This Row],[1QZ DE MARÇO 26]]-Tabela1[[#This Row],[SALDO PENDENTE COM CX REPR.]]-Tabela1[[#This Row],[SALDO CARTAO]]-Tabela1[[#This Row],[ADIANTAMENTO]]</f>
        <v>-2.9000000000000909</v>
      </c>
      <c r="Q99" s="23">
        <f>Tabela1[[#This Row],[1QZ DE MARÇO 26]]-Tabela1[[#This Row],[SALDO PENDENTE SEM CX REPR.]]-Tabela1[[#This Row],[SALDO CARTAO]]-Tabela1[[#This Row],[ADIANTAMENTO]]</f>
        <v>-2278.8399999999983</v>
      </c>
      <c r="R99" s="23">
        <v>0</v>
      </c>
      <c r="S99" s="40">
        <f>IF(Tabela1[[#This Row],[CARGA PARCIAL]]&lt;0,0,Tabela1[[#This Row],[CARGA PARCIAL]]+Tabela1[[#This Row],[REEMBOLSO]])</f>
        <v>0</v>
      </c>
      <c r="T99" s="40">
        <f>IF(Tabela1[[#This Row],[CARGA PARCIAL SEM CX REPROV.]]&lt;0,0,Tabela1[[#This Row],[CARGA PARCIAL]]+Tabela1[[#This Row],[REEMBOLSO]])</f>
        <v>0</v>
      </c>
      <c r="U99" s="24" t="s">
        <v>22</v>
      </c>
      <c r="V99" s="24"/>
      <c r="W99" s="30"/>
      <c r="AY99"/>
      <c r="AZ99"/>
      <c r="BA99"/>
    </row>
    <row r="100" spans="2:53" x14ac:dyDescent="0.25">
      <c r="B100" s="31" t="s">
        <v>773</v>
      </c>
      <c r="C100" s="32" t="s">
        <v>203</v>
      </c>
      <c r="D100" s="33" t="s">
        <v>18</v>
      </c>
      <c r="E100" s="33" t="s">
        <v>204</v>
      </c>
      <c r="F100" s="33">
        <v>11010110001</v>
      </c>
      <c r="G100" s="33" t="s">
        <v>54</v>
      </c>
      <c r="H100" s="22" t="s">
        <v>39</v>
      </c>
      <c r="I100" s="23">
        <v>-34.979999999999421</v>
      </c>
      <c r="J100" s="23">
        <v>0</v>
      </c>
      <c r="K100" s="23">
        <v>0</v>
      </c>
      <c r="L100" s="23">
        <v>687.63000000000602</v>
      </c>
      <c r="M100" s="23">
        <v>1000</v>
      </c>
      <c r="N100" s="23"/>
      <c r="O100" s="23">
        <v>0</v>
      </c>
      <c r="P100" s="23">
        <f>Tabela1[[#This Row],[1QZ DE MARÇO 26]]-Tabela1[[#This Row],[SALDO PENDENTE COM CX REPR.]]-Tabela1[[#This Row],[SALDO CARTAO]]-Tabela1[[#This Row],[ADIANTAMENTO]]</f>
        <v>1000</v>
      </c>
      <c r="Q100" s="23">
        <f>Tabela1[[#This Row],[1QZ DE MARÇO 26]]-Tabela1[[#This Row],[SALDO PENDENTE SEM CX REPR.]]-Tabela1[[#This Row],[SALDO CARTAO]]-Tabela1[[#This Row],[ADIANTAMENTO]]</f>
        <v>312.36999999999398</v>
      </c>
      <c r="R100" s="23">
        <v>0</v>
      </c>
      <c r="S100" s="40">
        <f>IF(Tabela1[[#This Row],[CARGA PARCIAL]]&lt;0,0,Tabela1[[#This Row],[CARGA PARCIAL]]+Tabela1[[#This Row],[REEMBOLSO]])</f>
        <v>1000</v>
      </c>
      <c r="T100" s="40">
        <f>IF(Tabela1[[#This Row],[CARGA PARCIAL SEM CX REPROV.]]&lt;0,0,Tabela1[[#This Row],[CARGA PARCIAL]]+Tabela1[[#This Row],[REEMBOLSO]])</f>
        <v>1000</v>
      </c>
      <c r="U100" s="24" t="s">
        <v>22</v>
      </c>
      <c r="V100" s="24"/>
      <c r="BA100"/>
    </row>
    <row r="101" spans="2:53" hidden="1" x14ac:dyDescent="0.25">
      <c r="B101" s="33" t="s">
        <v>774</v>
      </c>
      <c r="C101" s="33" t="s">
        <v>154</v>
      </c>
      <c r="D101" s="33" t="s">
        <v>18</v>
      </c>
      <c r="E101" s="33" t="s">
        <v>27</v>
      </c>
      <c r="F101" s="33">
        <v>11030870001</v>
      </c>
      <c r="G101" s="33" t="s">
        <v>28</v>
      </c>
      <c r="H101" s="33" t="s">
        <v>21</v>
      </c>
      <c r="I101" s="23">
        <v>0</v>
      </c>
      <c r="J101" s="23">
        <v>3421.150000000001</v>
      </c>
      <c r="K101" s="23">
        <v>0</v>
      </c>
      <c r="L101" s="23">
        <v>0</v>
      </c>
      <c r="M101" s="23">
        <v>3250</v>
      </c>
      <c r="N101" s="23">
        <v>107.34</v>
      </c>
      <c r="O101" s="23">
        <v>0</v>
      </c>
      <c r="P101" s="23">
        <f>Tabela1[[#This Row],[1QZ DE MARÇO 26]]-Tabela1[[#This Row],[SALDO PENDENTE COM CX REPR.]]-Tabela1[[#This Row],[SALDO CARTAO]]-Tabela1[[#This Row],[ADIANTAMENTO]]</f>
        <v>-278.49000000000103</v>
      </c>
      <c r="Q101" s="23">
        <f>Tabela1[[#This Row],[1QZ DE MARÇO 26]]-Tabela1[[#This Row],[SALDO PENDENTE SEM CX REPR.]]-Tabela1[[#This Row],[SALDO CARTAO]]-Tabela1[[#This Row],[ADIANTAMENTO]]</f>
        <v>3142.66</v>
      </c>
      <c r="R101" s="23">
        <v>0</v>
      </c>
      <c r="S101" s="40">
        <f>IF(Tabela1[[#This Row],[CARGA PARCIAL]]&lt;0,0,Tabela1[[#This Row],[CARGA PARCIAL]]+Tabela1[[#This Row],[REEMBOLSO]])</f>
        <v>0</v>
      </c>
      <c r="T101" s="40">
        <f>IF(Tabela1[[#This Row],[CARGA PARCIAL SEM CX REPROV.]]&lt;0,0,Tabela1[[#This Row],[CARGA PARCIAL]]+Tabela1[[#This Row],[REEMBOLSO]])</f>
        <v>-278.49000000000103</v>
      </c>
      <c r="U101" s="24" t="s">
        <v>22</v>
      </c>
      <c r="V101" s="24"/>
      <c r="BA101"/>
    </row>
    <row r="102" spans="2:53" x14ac:dyDescent="0.25">
      <c r="B102" s="31" t="s">
        <v>775</v>
      </c>
      <c r="C102" s="32" t="s">
        <v>459</v>
      </c>
      <c r="D102" s="33" t="s">
        <v>18</v>
      </c>
      <c r="E102" s="33" t="s">
        <v>460</v>
      </c>
      <c r="F102" s="33">
        <v>11010280001</v>
      </c>
      <c r="G102" s="33" t="s">
        <v>48</v>
      </c>
      <c r="H102" s="22" t="s">
        <v>35</v>
      </c>
      <c r="I102" s="23">
        <v>0</v>
      </c>
      <c r="J102" s="23">
        <v>42.999999999999545</v>
      </c>
      <c r="K102" s="23">
        <v>0</v>
      </c>
      <c r="L102" s="23">
        <v>233.59999999999991</v>
      </c>
      <c r="M102" s="23">
        <v>500</v>
      </c>
      <c r="N102" s="23">
        <v>0</v>
      </c>
      <c r="O102" s="23">
        <v>0</v>
      </c>
      <c r="P102" s="23">
        <f>Tabela1[[#This Row],[1QZ DE MARÇO 26]]-Tabela1[[#This Row],[SALDO PENDENTE COM CX REPR.]]-Tabela1[[#This Row],[SALDO CARTAO]]-Tabela1[[#This Row],[ADIANTAMENTO]]</f>
        <v>457.00000000000045</v>
      </c>
      <c r="Q102" s="23">
        <f>Tabela1[[#This Row],[1QZ DE MARÇO 26]]-Tabela1[[#This Row],[SALDO PENDENTE SEM CX REPR.]]-Tabela1[[#This Row],[SALDO CARTAO]]-Tabela1[[#This Row],[ADIANTAMENTO]]</f>
        <v>266.40000000000009</v>
      </c>
      <c r="R102" s="23">
        <v>0</v>
      </c>
      <c r="S102" s="40">
        <f>IF(Tabela1[[#This Row],[CARGA PARCIAL]]&lt;0,0,Tabela1[[#This Row],[CARGA PARCIAL]]+Tabela1[[#This Row],[REEMBOLSO]])</f>
        <v>457.00000000000045</v>
      </c>
      <c r="T102" s="40">
        <f>IF(Tabela1[[#This Row],[CARGA PARCIAL SEM CX REPROV.]]&lt;0,0,Tabela1[[#This Row],[CARGA PARCIAL]]+Tabela1[[#This Row],[REEMBOLSO]])</f>
        <v>457.00000000000045</v>
      </c>
      <c r="U102" s="24" t="s">
        <v>22</v>
      </c>
      <c r="V102" s="24"/>
      <c r="BA102"/>
    </row>
    <row r="103" spans="2:53" x14ac:dyDescent="0.25">
      <c r="B103" s="33" t="s">
        <v>776</v>
      </c>
      <c r="C103" s="33" t="s">
        <v>129</v>
      </c>
      <c r="D103" s="33" t="s">
        <v>18</v>
      </c>
      <c r="E103" s="33" t="s">
        <v>130</v>
      </c>
      <c r="F103" s="33">
        <v>11061200001</v>
      </c>
      <c r="G103" s="33" t="s">
        <v>42</v>
      </c>
      <c r="H103" s="33" t="s">
        <v>39</v>
      </c>
      <c r="I103" s="23">
        <v>0</v>
      </c>
      <c r="J103" s="23">
        <v>305.45000000000084</v>
      </c>
      <c r="K103" s="23">
        <v>-34</v>
      </c>
      <c r="L103" s="23">
        <v>0</v>
      </c>
      <c r="M103" s="23">
        <v>2710</v>
      </c>
      <c r="N103" s="23">
        <v>2.2200000000000002</v>
      </c>
      <c r="O103" s="23">
        <v>0</v>
      </c>
      <c r="P103" s="23">
        <f>Tabela1[[#This Row],[1QZ DE MARÇO 26]]-Tabela1[[#This Row],[SALDO PENDENTE COM CX REPR.]]-Tabela1[[#This Row],[SALDO CARTAO]]-Tabela1[[#This Row],[ADIANTAMENTO]]</f>
        <v>2402.3299999999995</v>
      </c>
      <c r="Q103" s="23">
        <f>Tabela1[[#This Row],[1QZ DE MARÇO 26]]-Tabela1[[#This Row],[SALDO PENDENTE SEM CX REPR.]]-Tabela1[[#This Row],[SALDO CARTAO]]-Tabela1[[#This Row],[ADIANTAMENTO]]</f>
        <v>2707.78</v>
      </c>
      <c r="R103" s="23">
        <v>0</v>
      </c>
      <c r="S103" s="40">
        <f>IF(Tabela1[[#This Row],[CARGA PARCIAL]]&lt;0,0,Tabela1[[#This Row],[CARGA PARCIAL]]+Tabela1[[#This Row],[REEMBOLSO]])</f>
        <v>2402.3299999999995</v>
      </c>
      <c r="T103" s="40">
        <f>IF(Tabela1[[#This Row],[CARGA PARCIAL SEM CX REPROV.]]&lt;0,0,Tabela1[[#This Row],[CARGA PARCIAL]]+Tabela1[[#This Row],[REEMBOLSO]])</f>
        <v>2402.3299999999995</v>
      </c>
      <c r="U103" s="24" t="s">
        <v>22</v>
      </c>
      <c r="V103" s="24"/>
      <c r="BA103"/>
    </row>
    <row r="104" spans="2:53" x14ac:dyDescent="0.25">
      <c r="B104" s="31" t="s">
        <v>683</v>
      </c>
      <c r="C104" s="32" t="s">
        <v>197</v>
      </c>
      <c r="D104" s="33" t="s">
        <v>18</v>
      </c>
      <c r="E104" s="33" t="s">
        <v>172</v>
      </c>
      <c r="F104" s="33">
        <v>11030860001</v>
      </c>
      <c r="G104" s="33" t="s">
        <v>42</v>
      </c>
      <c r="H104" s="22" t="s">
        <v>39</v>
      </c>
      <c r="I104" s="23">
        <v>-219.06999999999579</v>
      </c>
      <c r="J104" s="23">
        <v>0</v>
      </c>
      <c r="K104" s="23">
        <v>-219.06999999999579</v>
      </c>
      <c r="L104" s="23">
        <v>0</v>
      </c>
      <c r="M104" s="23">
        <v>750</v>
      </c>
      <c r="N104" s="23">
        <v>11.43</v>
      </c>
      <c r="O104" s="23">
        <v>0</v>
      </c>
      <c r="P104" s="23">
        <f>Tabela1[[#This Row],[1QZ DE MARÇO 26]]-Tabela1[[#This Row],[SALDO PENDENTE COM CX REPR.]]-Tabela1[[#This Row],[SALDO CARTAO]]-Tabela1[[#This Row],[ADIANTAMENTO]]</f>
        <v>738.57</v>
      </c>
      <c r="Q104" s="23">
        <f>Tabela1[[#This Row],[1QZ DE MARÇO 26]]-Tabela1[[#This Row],[SALDO PENDENTE SEM CX REPR.]]-Tabela1[[#This Row],[SALDO CARTAO]]-Tabela1[[#This Row],[ADIANTAMENTO]]</f>
        <v>738.57</v>
      </c>
      <c r="R104" s="23">
        <v>0</v>
      </c>
      <c r="S104" s="40">
        <f>IF(Tabela1[[#This Row],[CARGA PARCIAL]]&lt;0,0,Tabela1[[#This Row],[CARGA PARCIAL]]+Tabela1[[#This Row],[REEMBOLSO]])</f>
        <v>738.57</v>
      </c>
      <c r="T104" s="40">
        <f>IF(Tabela1[[#This Row],[CARGA PARCIAL SEM CX REPROV.]]&lt;0,0,Tabela1[[#This Row],[CARGA PARCIAL]]+Tabela1[[#This Row],[REEMBOLSO]])</f>
        <v>738.57</v>
      </c>
      <c r="U104" s="24" t="s">
        <v>22</v>
      </c>
      <c r="V104" s="24"/>
      <c r="BA104"/>
    </row>
    <row r="105" spans="2:53" hidden="1" x14ac:dyDescent="0.25">
      <c r="B105" s="31" t="s">
        <v>778</v>
      </c>
      <c r="C105" s="32" t="s">
        <v>496</v>
      </c>
      <c r="D105" s="33" t="s">
        <v>18</v>
      </c>
      <c r="E105" s="33" t="s">
        <v>56</v>
      </c>
      <c r="F105" s="33">
        <v>11061770001</v>
      </c>
      <c r="G105" s="33" t="s">
        <v>54</v>
      </c>
      <c r="H105" s="22" t="s">
        <v>39</v>
      </c>
      <c r="I105" s="23">
        <v>-1.8474111129762605E-13</v>
      </c>
      <c r="J105" s="23">
        <v>0</v>
      </c>
      <c r="K105" s="23">
        <v>0</v>
      </c>
      <c r="L105" s="23">
        <v>2983.2699999999968</v>
      </c>
      <c r="M105" s="23">
        <v>200</v>
      </c>
      <c r="N105" s="23">
        <v>0</v>
      </c>
      <c r="O105" s="23">
        <v>0</v>
      </c>
      <c r="P105" s="23">
        <f>Tabela1[[#This Row],[1QZ DE MARÇO 26]]-Tabela1[[#This Row],[SALDO PENDENTE COM CX REPR.]]-Tabela1[[#This Row],[SALDO CARTAO]]-Tabela1[[#This Row],[ADIANTAMENTO]]</f>
        <v>200</v>
      </c>
      <c r="Q105" s="23">
        <f>Tabela1[[#This Row],[1QZ DE MARÇO 26]]-Tabela1[[#This Row],[SALDO PENDENTE SEM CX REPR.]]-Tabela1[[#This Row],[SALDO CARTAO]]-Tabela1[[#This Row],[ADIANTAMENTO]]</f>
        <v>-2783.2699999999968</v>
      </c>
      <c r="R105" s="23">
        <v>0</v>
      </c>
      <c r="S105" s="40">
        <f>IF(Tabela1[[#This Row],[CARGA PARCIAL]]&lt;0,0,Tabela1[[#This Row],[CARGA PARCIAL]]+Tabela1[[#This Row],[REEMBOLSO]])</f>
        <v>200</v>
      </c>
      <c r="T105" s="40">
        <f>IF(Tabela1[[#This Row],[CARGA PARCIAL SEM CX REPROV.]]&lt;0,0,Tabela1[[#This Row],[CARGA PARCIAL]]+Tabela1[[#This Row],[REEMBOLSO]])</f>
        <v>0</v>
      </c>
      <c r="U105" s="24" t="s">
        <v>22</v>
      </c>
      <c r="V105" s="24"/>
      <c r="BA105"/>
    </row>
    <row r="106" spans="2:53" x14ac:dyDescent="0.25">
      <c r="B106" s="33" t="s">
        <v>779</v>
      </c>
      <c r="C106" s="33" t="s">
        <v>332</v>
      </c>
      <c r="D106" s="33" t="s">
        <v>18</v>
      </c>
      <c r="E106" s="33" t="s">
        <v>88</v>
      </c>
      <c r="F106" s="33">
        <v>11040130001</v>
      </c>
      <c r="G106" s="33" t="s">
        <v>45</v>
      </c>
      <c r="H106" s="22" t="s">
        <v>39</v>
      </c>
      <c r="I106" s="23">
        <v>0</v>
      </c>
      <c r="J106" s="23">
        <v>96.999999999998607</v>
      </c>
      <c r="K106" s="23">
        <v>0</v>
      </c>
      <c r="L106" s="23">
        <v>0</v>
      </c>
      <c r="M106" s="23">
        <v>120</v>
      </c>
      <c r="N106" s="23">
        <v>0</v>
      </c>
      <c r="O106" s="23">
        <v>0</v>
      </c>
      <c r="P106" s="23">
        <f>Tabela1[[#This Row],[1QZ DE MARÇO 26]]-Tabela1[[#This Row],[SALDO PENDENTE COM CX REPR.]]-Tabela1[[#This Row],[SALDO CARTAO]]-Tabela1[[#This Row],[ADIANTAMENTO]]</f>
        <v>23.000000000001393</v>
      </c>
      <c r="Q106" s="23">
        <f>Tabela1[[#This Row],[1QZ DE MARÇO 26]]-Tabela1[[#This Row],[SALDO PENDENTE SEM CX REPR.]]-Tabela1[[#This Row],[SALDO CARTAO]]-Tabela1[[#This Row],[ADIANTAMENTO]]</f>
        <v>120</v>
      </c>
      <c r="R106" s="23">
        <v>0</v>
      </c>
      <c r="S106" s="40">
        <f>IF(Tabela1[[#This Row],[CARGA PARCIAL]]&lt;0,0,Tabela1[[#This Row],[CARGA PARCIAL]]+Tabela1[[#This Row],[REEMBOLSO]])</f>
        <v>23.000000000001393</v>
      </c>
      <c r="T106" s="40">
        <f>IF(Tabela1[[#This Row],[CARGA PARCIAL SEM CX REPROV.]]&lt;0,0,Tabela1[[#This Row],[CARGA PARCIAL]]+Tabela1[[#This Row],[REEMBOLSO]])</f>
        <v>23.000000000001393</v>
      </c>
      <c r="U106" s="24" t="s">
        <v>22</v>
      </c>
      <c r="V106" s="24"/>
      <c r="BA106"/>
    </row>
    <row r="107" spans="2:53" hidden="1" x14ac:dyDescent="0.25">
      <c r="B107" s="33" t="s">
        <v>780</v>
      </c>
      <c r="C107" s="33" t="s">
        <v>548</v>
      </c>
      <c r="D107" s="33" t="s">
        <v>18</v>
      </c>
      <c r="E107" s="33" t="s">
        <v>674</v>
      </c>
      <c r="F107" s="33">
        <v>13060010001</v>
      </c>
      <c r="G107" s="33" t="s">
        <v>54</v>
      </c>
      <c r="H107" s="22" t="s">
        <v>39</v>
      </c>
      <c r="I107" s="23">
        <v>0</v>
      </c>
      <c r="J107" s="23">
        <v>2282.3999999999996</v>
      </c>
      <c r="K107" s="23">
        <v>0</v>
      </c>
      <c r="L107" s="23">
        <v>4008.3</v>
      </c>
      <c r="M107" s="23">
        <v>0</v>
      </c>
      <c r="N107" s="23">
        <v>0</v>
      </c>
      <c r="O107" s="23">
        <v>0</v>
      </c>
      <c r="P107" s="23">
        <f>Tabela1[[#This Row],[1QZ DE MARÇO 26]]-Tabela1[[#This Row],[SALDO PENDENTE COM CX REPR.]]-Tabela1[[#This Row],[SALDO CARTAO]]-Tabela1[[#This Row],[ADIANTAMENTO]]</f>
        <v>-2282.3999999999996</v>
      </c>
      <c r="Q107" s="23">
        <f>Tabela1[[#This Row],[1QZ DE MARÇO 26]]-Tabela1[[#This Row],[SALDO PENDENTE SEM CX REPR.]]-Tabela1[[#This Row],[SALDO CARTAO]]-Tabela1[[#This Row],[ADIANTAMENTO]]</f>
        <v>-4008.3</v>
      </c>
      <c r="R107" s="23">
        <v>0</v>
      </c>
      <c r="S107" s="40">
        <f>IF(Tabela1[[#This Row],[CARGA PARCIAL]]&lt;0,0,Tabela1[[#This Row],[CARGA PARCIAL]]+Tabela1[[#This Row],[REEMBOLSO]])</f>
        <v>0</v>
      </c>
      <c r="T107" s="40">
        <f>IF(Tabela1[[#This Row],[CARGA PARCIAL SEM CX REPROV.]]&lt;0,0,Tabela1[[#This Row],[CARGA PARCIAL]]+Tabela1[[#This Row],[REEMBOLSO]])</f>
        <v>0</v>
      </c>
      <c r="U107" s="24" t="s">
        <v>22</v>
      </c>
      <c r="V107" s="24"/>
      <c r="BA107"/>
    </row>
    <row r="108" spans="2:53" x14ac:dyDescent="0.25">
      <c r="B108" s="33" t="s">
        <v>781</v>
      </c>
      <c r="C108" s="33" t="s">
        <v>63</v>
      </c>
      <c r="D108" s="33" t="s">
        <v>18</v>
      </c>
      <c r="E108" s="33" t="s">
        <v>41</v>
      </c>
      <c r="F108" s="33">
        <v>11030790001</v>
      </c>
      <c r="G108" s="33" t="s">
        <v>42</v>
      </c>
      <c r="H108" s="22" t="s">
        <v>39</v>
      </c>
      <c r="I108" s="23">
        <v>0</v>
      </c>
      <c r="J108" s="23">
        <v>848.61999999999898</v>
      </c>
      <c r="K108" s="23">
        <v>0</v>
      </c>
      <c r="L108" s="23">
        <v>499.99999999999875</v>
      </c>
      <c r="M108" s="23">
        <v>2500</v>
      </c>
      <c r="N108" s="23">
        <v>0</v>
      </c>
      <c r="O108" s="23">
        <v>0</v>
      </c>
      <c r="P108" s="23">
        <f>Tabela1[[#This Row],[1QZ DE MARÇO 26]]-Tabela1[[#This Row],[SALDO PENDENTE COM CX REPR.]]-Tabela1[[#This Row],[SALDO CARTAO]]-Tabela1[[#This Row],[ADIANTAMENTO]]</f>
        <v>1651.380000000001</v>
      </c>
      <c r="Q108" s="23">
        <f>Tabela1[[#This Row],[1QZ DE MARÇO 26]]-Tabela1[[#This Row],[SALDO PENDENTE SEM CX REPR.]]-Tabela1[[#This Row],[SALDO CARTAO]]-Tabela1[[#This Row],[ADIANTAMENTO]]</f>
        <v>2000.0000000000014</v>
      </c>
      <c r="R108" s="23">
        <v>0</v>
      </c>
      <c r="S108" s="40">
        <f>IF(Tabela1[[#This Row],[CARGA PARCIAL]]&lt;0,0,Tabela1[[#This Row],[CARGA PARCIAL]]+Tabela1[[#This Row],[REEMBOLSO]])</f>
        <v>1651.380000000001</v>
      </c>
      <c r="T108" s="40">
        <f>IF(Tabela1[[#This Row],[CARGA PARCIAL SEM CX REPROV.]]&lt;0,0,Tabela1[[#This Row],[CARGA PARCIAL]]+Tabela1[[#This Row],[REEMBOLSO]])</f>
        <v>1651.380000000001</v>
      </c>
      <c r="U108" s="24" t="s">
        <v>22</v>
      </c>
      <c r="V108" s="24"/>
      <c r="BA108"/>
    </row>
    <row r="109" spans="2:53" x14ac:dyDescent="0.25">
      <c r="B109" s="33" t="s">
        <v>782</v>
      </c>
      <c r="C109" s="33" t="s">
        <v>652</v>
      </c>
      <c r="D109" s="33" t="s">
        <v>18</v>
      </c>
      <c r="E109" s="33" t="s">
        <v>675</v>
      </c>
      <c r="F109" s="33">
        <v>11030910001</v>
      </c>
      <c r="G109" s="33" t="s">
        <v>20</v>
      </c>
      <c r="H109" s="22" t="s">
        <v>21</v>
      </c>
      <c r="I109" s="23">
        <v>0</v>
      </c>
      <c r="J109" s="23">
        <v>0</v>
      </c>
      <c r="K109" s="23">
        <v>-408.03000000000611</v>
      </c>
      <c r="L109" s="23">
        <v>0</v>
      </c>
      <c r="M109" s="23">
        <v>2000</v>
      </c>
      <c r="N109" s="23">
        <v>0</v>
      </c>
      <c r="O109" s="23">
        <v>0</v>
      </c>
      <c r="P109" s="23">
        <f>Tabela1[[#This Row],[1QZ DE MARÇO 26]]-Tabela1[[#This Row],[SALDO PENDENTE COM CX REPR.]]-Tabela1[[#This Row],[SALDO CARTAO]]-Tabela1[[#This Row],[ADIANTAMENTO]]</f>
        <v>2000</v>
      </c>
      <c r="Q109" s="23">
        <f>Tabela1[[#This Row],[1QZ DE MARÇO 26]]-Tabela1[[#This Row],[SALDO PENDENTE SEM CX REPR.]]-Tabela1[[#This Row],[SALDO CARTAO]]-Tabela1[[#This Row],[ADIANTAMENTO]]</f>
        <v>2000</v>
      </c>
      <c r="R109" s="23">
        <v>0</v>
      </c>
      <c r="S109" s="40">
        <f>IF(Tabela1[[#This Row],[CARGA PARCIAL]]&lt;0,0,Tabela1[[#This Row],[CARGA PARCIAL]]+Tabela1[[#This Row],[REEMBOLSO]])</f>
        <v>2000</v>
      </c>
      <c r="T109" s="40">
        <f>IF(Tabela1[[#This Row],[CARGA PARCIAL SEM CX REPROV.]]&lt;0,0,Tabela1[[#This Row],[CARGA PARCIAL]]+Tabela1[[#This Row],[REEMBOLSO]])</f>
        <v>2000</v>
      </c>
      <c r="U109" s="24" t="s">
        <v>22</v>
      </c>
      <c r="V109" s="24"/>
      <c r="BA109"/>
    </row>
    <row r="110" spans="2:53" x14ac:dyDescent="0.25">
      <c r="B110" s="33" t="s">
        <v>783</v>
      </c>
      <c r="C110" s="33" t="s">
        <v>209</v>
      </c>
      <c r="D110" s="33" t="s">
        <v>18</v>
      </c>
      <c r="E110" s="33" t="s">
        <v>210</v>
      </c>
      <c r="F110" s="33">
        <v>11062660001</v>
      </c>
      <c r="G110" s="33" t="s">
        <v>54</v>
      </c>
      <c r="H110" s="33" t="s">
        <v>39</v>
      </c>
      <c r="I110" s="23">
        <v>0</v>
      </c>
      <c r="J110" s="23">
        <v>368.95000000000073</v>
      </c>
      <c r="K110" s="23">
        <v>-8.3999999999994728</v>
      </c>
      <c r="L110" s="23">
        <v>0</v>
      </c>
      <c r="M110" s="23">
        <v>750</v>
      </c>
      <c r="N110" s="23">
        <v>0</v>
      </c>
      <c r="O110" s="23">
        <v>0</v>
      </c>
      <c r="P110" s="23">
        <f>Tabela1[[#This Row],[1QZ DE MARÇO 26]]-Tabela1[[#This Row],[SALDO PENDENTE COM CX REPR.]]-Tabela1[[#This Row],[SALDO CARTAO]]-Tabela1[[#This Row],[ADIANTAMENTO]]</f>
        <v>381.04999999999927</v>
      </c>
      <c r="Q110" s="23">
        <f>Tabela1[[#This Row],[1QZ DE MARÇO 26]]-Tabela1[[#This Row],[SALDO PENDENTE SEM CX REPR.]]-Tabela1[[#This Row],[SALDO CARTAO]]-Tabela1[[#This Row],[ADIANTAMENTO]]</f>
        <v>750</v>
      </c>
      <c r="R110" s="23">
        <v>0</v>
      </c>
      <c r="S110" s="40">
        <f>IF(Tabela1[[#This Row],[CARGA PARCIAL]]&lt;0,0,Tabela1[[#This Row],[CARGA PARCIAL]]+Tabela1[[#This Row],[REEMBOLSO]])</f>
        <v>381.04999999999927</v>
      </c>
      <c r="T110" s="40">
        <f>IF(Tabela1[[#This Row],[CARGA PARCIAL SEM CX REPROV.]]&lt;0,0,Tabela1[[#This Row],[CARGA PARCIAL]]+Tabela1[[#This Row],[REEMBOLSO]])</f>
        <v>381.04999999999927</v>
      </c>
      <c r="U110" s="24" t="s">
        <v>22</v>
      </c>
      <c r="V110" s="24"/>
      <c r="BA110"/>
    </row>
    <row r="111" spans="2:53" x14ac:dyDescent="0.25">
      <c r="B111" s="33" t="s">
        <v>784</v>
      </c>
      <c r="C111" s="33" t="s">
        <v>357</v>
      </c>
      <c r="D111" s="33" t="s">
        <v>18</v>
      </c>
      <c r="E111" s="33" t="s">
        <v>73</v>
      </c>
      <c r="F111" s="33">
        <v>11030690001</v>
      </c>
      <c r="G111" s="33" t="s">
        <v>42</v>
      </c>
      <c r="H111" s="22" t="s">
        <v>39</v>
      </c>
      <c r="I111" s="23">
        <v>0</v>
      </c>
      <c r="J111" s="23">
        <v>1022.1800000000039</v>
      </c>
      <c r="K111" s="23">
        <v>0</v>
      </c>
      <c r="L111" s="23">
        <v>504.74000000000257</v>
      </c>
      <c r="M111" s="23">
        <v>1600</v>
      </c>
      <c r="N111" s="23"/>
      <c r="O111" s="23">
        <v>0</v>
      </c>
      <c r="P111" s="23">
        <f>Tabela1[[#This Row],[1QZ DE MARÇO 26]]-Tabela1[[#This Row],[SALDO PENDENTE COM CX REPR.]]-Tabela1[[#This Row],[SALDO CARTAO]]-Tabela1[[#This Row],[ADIANTAMENTO]]</f>
        <v>577.81999999999607</v>
      </c>
      <c r="Q111" s="23">
        <f>Tabela1[[#This Row],[1QZ DE MARÇO 26]]-Tabela1[[#This Row],[SALDO PENDENTE SEM CX REPR.]]-Tabela1[[#This Row],[SALDO CARTAO]]-Tabela1[[#This Row],[ADIANTAMENTO]]</f>
        <v>1095.2599999999975</v>
      </c>
      <c r="R111" s="23">
        <v>0</v>
      </c>
      <c r="S111" s="40">
        <f>IF(Tabela1[[#This Row],[CARGA PARCIAL]]&lt;0,0,Tabela1[[#This Row],[CARGA PARCIAL]]+Tabela1[[#This Row],[REEMBOLSO]])</f>
        <v>577.81999999999607</v>
      </c>
      <c r="T111" s="40">
        <f>IF(Tabela1[[#This Row],[CARGA PARCIAL SEM CX REPROV.]]&lt;0,0,Tabela1[[#This Row],[CARGA PARCIAL]]+Tabela1[[#This Row],[REEMBOLSO]])</f>
        <v>577.81999999999607</v>
      </c>
      <c r="U111" s="24" t="s">
        <v>22</v>
      </c>
      <c r="V111" s="24"/>
      <c r="BA111"/>
    </row>
    <row r="112" spans="2:53" x14ac:dyDescent="0.25">
      <c r="B112" s="31" t="s">
        <v>785</v>
      </c>
      <c r="C112" s="32" t="s">
        <v>297</v>
      </c>
      <c r="D112" s="33" t="s">
        <v>18</v>
      </c>
      <c r="E112" s="33" t="s">
        <v>243</v>
      </c>
      <c r="F112" s="33">
        <v>11062450001</v>
      </c>
      <c r="G112" s="33" t="s">
        <v>48</v>
      </c>
      <c r="H112" s="22" t="s">
        <v>35</v>
      </c>
      <c r="I112" s="23">
        <v>0</v>
      </c>
      <c r="J112" s="23">
        <v>749.99999999999977</v>
      </c>
      <c r="K112" s="23">
        <v>0</v>
      </c>
      <c r="L112" s="23">
        <v>0</v>
      </c>
      <c r="M112" s="23">
        <v>750</v>
      </c>
      <c r="N112" s="23">
        <v>0</v>
      </c>
      <c r="O112" s="23">
        <v>0</v>
      </c>
      <c r="P112" s="23">
        <f>Tabela1[[#This Row],[1QZ DE MARÇO 26]]-Tabela1[[#This Row],[SALDO PENDENTE COM CX REPR.]]-Tabela1[[#This Row],[SALDO CARTAO]]-Tabela1[[#This Row],[ADIANTAMENTO]]</f>
        <v>2.2737367544323206E-13</v>
      </c>
      <c r="Q112" s="23">
        <f>Tabela1[[#This Row],[1QZ DE MARÇO 26]]-Tabela1[[#This Row],[SALDO PENDENTE SEM CX REPR.]]-Tabela1[[#This Row],[SALDO CARTAO]]-Tabela1[[#This Row],[ADIANTAMENTO]]</f>
        <v>750</v>
      </c>
      <c r="R112" s="23">
        <v>0</v>
      </c>
      <c r="S112" s="40">
        <f>IF(Tabela1[[#This Row],[CARGA PARCIAL]]&lt;0,0,Tabela1[[#This Row],[CARGA PARCIAL]]+Tabela1[[#This Row],[REEMBOLSO]])</f>
        <v>2.2737367544323206E-13</v>
      </c>
      <c r="T112" s="40">
        <f>IF(Tabela1[[#This Row],[CARGA PARCIAL SEM CX REPROV.]]&lt;0,0,Tabela1[[#This Row],[CARGA PARCIAL]]+Tabela1[[#This Row],[REEMBOLSO]])</f>
        <v>2.2737367544323206E-13</v>
      </c>
      <c r="U112" s="24" t="s">
        <v>22</v>
      </c>
      <c r="V112" s="24"/>
      <c r="BA112"/>
    </row>
    <row r="113" spans="2:53" hidden="1" x14ac:dyDescent="0.25">
      <c r="B113" s="37" t="s">
        <v>786</v>
      </c>
      <c r="C113" s="32" t="s">
        <v>549</v>
      </c>
      <c r="D113" s="33" t="s">
        <v>18</v>
      </c>
      <c r="E113" s="33" t="s">
        <v>44</v>
      </c>
      <c r="F113" s="33">
        <v>1104150001</v>
      </c>
      <c r="G113" s="33" t="s">
        <v>45</v>
      </c>
      <c r="H113" s="22" t="s">
        <v>39</v>
      </c>
      <c r="I113" s="23">
        <v>0</v>
      </c>
      <c r="J113" s="23">
        <v>1650.69</v>
      </c>
      <c r="K113" s="23">
        <v>0</v>
      </c>
      <c r="L113" s="23">
        <v>354.99999999999994</v>
      </c>
      <c r="M113" s="23">
        <v>0</v>
      </c>
      <c r="N113" s="23">
        <v>0</v>
      </c>
      <c r="O113" s="23">
        <v>0</v>
      </c>
      <c r="P113" s="23">
        <f>Tabela1[[#This Row],[1QZ DE MARÇO 26]]-Tabela1[[#This Row],[SALDO PENDENTE COM CX REPR.]]-Tabela1[[#This Row],[SALDO CARTAO]]-Tabela1[[#This Row],[ADIANTAMENTO]]</f>
        <v>-1650.69</v>
      </c>
      <c r="Q113" s="23">
        <f>Tabela1[[#This Row],[1QZ DE MARÇO 26]]-Tabela1[[#This Row],[SALDO PENDENTE SEM CX REPR.]]-Tabela1[[#This Row],[SALDO CARTAO]]-Tabela1[[#This Row],[ADIANTAMENTO]]</f>
        <v>-354.99999999999994</v>
      </c>
      <c r="R113" s="23">
        <v>0</v>
      </c>
      <c r="S113" s="40">
        <f>IF(Tabela1[[#This Row],[CARGA PARCIAL]]&lt;0,0,Tabela1[[#This Row],[CARGA PARCIAL]]+Tabela1[[#This Row],[REEMBOLSO]])</f>
        <v>0</v>
      </c>
      <c r="T113" s="40">
        <f>IF(Tabela1[[#This Row],[CARGA PARCIAL SEM CX REPROV.]]&lt;0,0,Tabela1[[#This Row],[CARGA PARCIAL]]+Tabela1[[#This Row],[REEMBOLSO]])</f>
        <v>0</v>
      </c>
      <c r="U113" s="24" t="s">
        <v>22</v>
      </c>
      <c r="V113" s="24"/>
      <c r="BA113"/>
    </row>
    <row r="114" spans="2:53" hidden="1" x14ac:dyDescent="0.25">
      <c r="B114" s="33" t="s">
        <v>787</v>
      </c>
      <c r="C114" s="33" t="s">
        <v>310</v>
      </c>
      <c r="D114" s="33" t="s">
        <v>18</v>
      </c>
      <c r="E114" s="33" t="s">
        <v>88</v>
      </c>
      <c r="F114" s="33">
        <v>11040130001</v>
      </c>
      <c r="G114" s="33" t="s">
        <v>45</v>
      </c>
      <c r="H114" s="22" t="s">
        <v>39</v>
      </c>
      <c r="I114" s="23">
        <v>0</v>
      </c>
      <c r="J114" s="23">
        <v>4.7999999999998542</v>
      </c>
      <c r="K114" s="23">
        <v>0</v>
      </c>
      <c r="L114" s="23">
        <v>195.36000000003193</v>
      </c>
      <c r="M114" s="23">
        <v>160</v>
      </c>
      <c r="N114" s="23">
        <v>0</v>
      </c>
      <c r="O114" s="23">
        <v>0</v>
      </c>
      <c r="P114" s="23">
        <f>Tabela1[[#This Row],[1QZ DE MARÇO 26]]-Tabela1[[#This Row],[SALDO PENDENTE COM CX REPR.]]-Tabela1[[#This Row],[SALDO CARTAO]]-Tabela1[[#This Row],[ADIANTAMENTO]]</f>
        <v>155.20000000000016</v>
      </c>
      <c r="Q114" s="23">
        <f>Tabela1[[#This Row],[1QZ DE MARÇO 26]]-Tabela1[[#This Row],[SALDO PENDENTE SEM CX REPR.]]-Tabela1[[#This Row],[SALDO CARTAO]]-Tabela1[[#This Row],[ADIANTAMENTO]]</f>
        <v>-35.360000000031931</v>
      </c>
      <c r="R114" s="23">
        <v>0</v>
      </c>
      <c r="S114" s="40">
        <f>IF(Tabela1[[#This Row],[CARGA PARCIAL]]&lt;0,0,Tabela1[[#This Row],[CARGA PARCIAL]]+Tabela1[[#This Row],[REEMBOLSO]])</f>
        <v>155.20000000000016</v>
      </c>
      <c r="T114" s="40">
        <f>IF(Tabela1[[#This Row],[CARGA PARCIAL SEM CX REPROV.]]&lt;0,0,Tabela1[[#This Row],[CARGA PARCIAL]]+Tabela1[[#This Row],[REEMBOLSO]])</f>
        <v>0</v>
      </c>
      <c r="U114" s="24" t="s">
        <v>22</v>
      </c>
      <c r="V114" s="24"/>
      <c r="BA114"/>
    </row>
    <row r="115" spans="2:53" x14ac:dyDescent="0.25">
      <c r="B115" s="31" t="s">
        <v>788</v>
      </c>
      <c r="C115" s="32" t="s">
        <v>480</v>
      </c>
      <c r="D115" s="33" t="s">
        <v>18</v>
      </c>
      <c r="E115" s="33" t="s">
        <v>481</v>
      </c>
      <c r="F115" s="33">
        <v>11062610001</v>
      </c>
      <c r="G115" s="33" t="s">
        <v>20</v>
      </c>
      <c r="H115" s="22" t="s">
        <v>21</v>
      </c>
      <c r="I115" s="23">
        <v>0</v>
      </c>
      <c r="J115" s="23">
        <v>2.25</v>
      </c>
      <c r="K115" s="23">
        <v>0</v>
      </c>
      <c r="L115" s="23">
        <v>290.05999999999995</v>
      </c>
      <c r="M115" s="23">
        <v>400</v>
      </c>
      <c r="N115" s="23">
        <v>0</v>
      </c>
      <c r="O115" s="23">
        <v>0</v>
      </c>
      <c r="P115" s="23">
        <f>Tabela1[[#This Row],[1QZ DE MARÇO 26]]-Tabela1[[#This Row],[SALDO PENDENTE COM CX REPR.]]-Tabela1[[#This Row],[SALDO CARTAO]]-Tabela1[[#This Row],[ADIANTAMENTO]]</f>
        <v>397.75</v>
      </c>
      <c r="Q115" s="23">
        <f>Tabela1[[#This Row],[1QZ DE MARÇO 26]]-Tabela1[[#This Row],[SALDO PENDENTE SEM CX REPR.]]-Tabela1[[#This Row],[SALDO CARTAO]]-Tabela1[[#This Row],[ADIANTAMENTO]]</f>
        <v>109.94000000000005</v>
      </c>
      <c r="R115" s="23">
        <v>0</v>
      </c>
      <c r="S115" s="40">
        <f>IF(Tabela1[[#This Row],[CARGA PARCIAL]]&lt;0,0,Tabela1[[#This Row],[CARGA PARCIAL]]+Tabela1[[#This Row],[REEMBOLSO]])</f>
        <v>397.75</v>
      </c>
      <c r="T115" s="40">
        <f>IF(Tabela1[[#This Row],[CARGA PARCIAL SEM CX REPROV.]]&lt;0,0,Tabela1[[#This Row],[CARGA PARCIAL]]+Tabela1[[#This Row],[REEMBOLSO]])</f>
        <v>397.75</v>
      </c>
      <c r="U115" s="24" t="s">
        <v>22</v>
      </c>
      <c r="V115" s="24"/>
      <c r="BA115"/>
    </row>
    <row r="116" spans="2:53" hidden="1" x14ac:dyDescent="0.25">
      <c r="B116" s="33" t="s">
        <v>789</v>
      </c>
      <c r="C116" s="33" t="s">
        <v>653</v>
      </c>
      <c r="D116" s="33" t="s">
        <v>18</v>
      </c>
      <c r="E116" s="33" t="s">
        <v>95</v>
      </c>
      <c r="F116" s="33">
        <v>11040160001</v>
      </c>
      <c r="G116" s="33" t="s">
        <v>48</v>
      </c>
      <c r="H116" s="33" t="s">
        <v>35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5.86</v>
      </c>
      <c r="O116" s="23">
        <v>0</v>
      </c>
      <c r="P116" s="23">
        <f>Tabela1[[#This Row],[1QZ DE MARÇO 26]]-Tabela1[[#This Row],[SALDO PENDENTE COM CX REPR.]]-Tabela1[[#This Row],[SALDO CARTAO]]-Tabela1[[#This Row],[ADIANTAMENTO]]</f>
        <v>-5.86</v>
      </c>
      <c r="Q116" s="23">
        <f>Tabela1[[#This Row],[1QZ DE MARÇO 26]]-Tabela1[[#This Row],[SALDO PENDENTE SEM CX REPR.]]-Tabela1[[#This Row],[SALDO CARTAO]]-Tabela1[[#This Row],[ADIANTAMENTO]]</f>
        <v>-5.86</v>
      </c>
      <c r="R116" s="23">
        <v>0</v>
      </c>
      <c r="S116" s="40">
        <f>IF(Tabela1[[#This Row],[CARGA PARCIAL]]&lt;0,0,Tabela1[[#This Row],[CARGA PARCIAL]]+Tabela1[[#This Row],[REEMBOLSO]])</f>
        <v>0</v>
      </c>
      <c r="T116" s="40">
        <f>IF(Tabela1[[#This Row],[CARGA PARCIAL SEM CX REPROV.]]&lt;0,0,Tabela1[[#This Row],[CARGA PARCIAL]]+Tabela1[[#This Row],[REEMBOLSO]])</f>
        <v>0</v>
      </c>
      <c r="U116" s="24" t="s">
        <v>1158</v>
      </c>
      <c r="V116" s="24"/>
      <c r="BA116"/>
    </row>
    <row r="117" spans="2:53" hidden="1" x14ac:dyDescent="0.25">
      <c r="B117" s="31" t="s">
        <v>790</v>
      </c>
      <c r="C117" s="32" t="s">
        <v>214</v>
      </c>
      <c r="D117" s="33" t="s">
        <v>18</v>
      </c>
      <c r="E117" s="33" t="s">
        <v>75</v>
      </c>
      <c r="F117" s="33">
        <v>11030850001</v>
      </c>
      <c r="G117" s="33" t="s">
        <v>25</v>
      </c>
      <c r="H117" s="22" t="s">
        <v>21</v>
      </c>
      <c r="I117" s="23">
        <v>0</v>
      </c>
      <c r="J117" s="23">
        <v>1255.8900000000067</v>
      </c>
      <c r="K117" s="23">
        <v>0</v>
      </c>
      <c r="L117" s="23">
        <v>4567.9299999999903</v>
      </c>
      <c r="M117" s="23">
        <v>2000</v>
      </c>
      <c r="N117" s="23">
        <v>0</v>
      </c>
      <c r="O117" s="23">
        <v>0</v>
      </c>
      <c r="P117" s="23">
        <f>Tabela1[[#This Row],[1QZ DE MARÇO 26]]-Tabela1[[#This Row],[SALDO PENDENTE COM CX REPR.]]-Tabela1[[#This Row],[SALDO CARTAO]]-Tabela1[[#This Row],[ADIANTAMENTO]]</f>
        <v>744.10999999999331</v>
      </c>
      <c r="Q117" s="23">
        <f>Tabela1[[#This Row],[1QZ DE MARÇO 26]]-Tabela1[[#This Row],[SALDO PENDENTE SEM CX REPR.]]-Tabela1[[#This Row],[SALDO CARTAO]]-Tabela1[[#This Row],[ADIANTAMENTO]]</f>
        <v>-2567.9299999999903</v>
      </c>
      <c r="R117" s="23">
        <v>0</v>
      </c>
      <c r="S117" s="40">
        <f>IF(Tabela1[[#This Row],[CARGA PARCIAL]]&lt;0,0,Tabela1[[#This Row],[CARGA PARCIAL]]+Tabela1[[#This Row],[REEMBOLSO]])</f>
        <v>744.10999999999331</v>
      </c>
      <c r="T117" s="40">
        <f>IF(Tabela1[[#This Row],[CARGA PARCIAL SEM CX REPROV.]]&lt;0,0,Tabela1[[#This Row],[CARGA PARCIAL]]+Tabela1[[#This Row],[REEMBOLSO]])</f>
        <v>0</v>
      </c>
      <c r="U117" s="24" t="s">
        <v>22</v>
      </c>
      <c r="V117" s="24"/>
      <c r="BA117"/>
    </row>
    <row r="118" spans="2:53" hidden="1" x14ac:dyDescent="0.25">
      <c r="B118" s="31" t="s">
        <v>791</v>
      </c>
      <c r="C118" s="32" t="s">
        <v>261</v>
      </c>
      <c r="D118" s="33" t="s">
        <v>18</v>
      </c>
      <c r="E118" s="33" t="s">
        <v>262</v>
      </c>
      <c r="F118" s="33">
        <v>11030800001</v>
      </c>
      <c r="G118" s="33" t="s">
        <v>48</v>
      </c>
      <c r="H118" s="22" t="s">
        <v>35</v>
      </c>
      <c r="I118" s="23">
        <v>0</v>
      </c>
      <c r="J118" s="23">
        <v>1075.8499999999995</v>
      </c>
      <c r="K118" s="23">
        <v>0</v>
      </c>
      <c r="L118" s="23">
        <v>163.38</v>
      </c>
      <c r="M118" s="23">
        <v>1000</v>
      </c>
      <c r="N118" s="23"/>
      <c r="O118" s="23">
        <v>0</v>
      </c>
      <c r="P118" s="23">
        <f>Tabela1[[#This Row],[1QZ DE MARÇO 26]]-Tabela1[[#This Row],[SALDO PENDENTE COM CX REPR.]]-Tabela1[[#This Row],[SALDO CARTAO]]-Tabela1[[#This Row],[ADIANTAMENTO]]</f>
        <v>-75.849999999999454</v>
      </c>
      <c r="Q118" s="23">
        <f>Tabela1[[#This Row],[1QZ DE MARÇO 26]]-Tabela1[[#This Row],[SALDO PENDENTE SEM CX REPR.]]-Tabela1[[#This Row],[SALDO CARTAO]]-Tabela1[[#This Row],[ADIANTAMENTO]]</f>
        <v>836.62</v>
      </c>
      <c r="R118" s="23">
        <v>0</v>
      </c>
      <c r="S118" s="40">
        <f>IF(Tabela1[[#This Row],[CARGA PARCIAL]]&lt;0,0,Tabela1[[#This Row],[CARGA PARCIAL]]+Tabela1[[#This Row],[REEMBOLSO]])</f>
        <v>0</v>
      </c>
      <c r="T118" s="40">
        <f>IF(Tabela1[[#This Row],[CARGA PARCIAL SEM CX REPROV.]]&lt;0,0,Tabela1[[#This Row],[CARGA PARCIAL]]+Tabela1[[#This Row],[REEMBOLSO]])</f>
        <v>-75.849999999999454</v>
      </c>
      <c r="U118" s="24" t="s">
        <v>22</v>
      </c>
      <c r="V118" s="24"/>
      <c r="BA118"/>
    </row>
    <row r="119" spans="2:53" x14ac:dyDescent="0.25">
      <c r="B119" s="37" t="s">
        <v>792</v>
      </c>
      <c r="C119" s="32" t="s">
        <v>461</v>
      </c>
      <c r="D119" s="33" t="s">
        <v>18</v>
      </c>
      <c r="E119" s="33" t="s">
        <v>462</v>
      </c>
      <c r="F119" s="33">
        <v>11080460001</v>
      </c>
      <c r="G119" s="33" t="s">
        <v>20</v>
      </c>
      <c r="H119" s="22" t="s">
        <v>21</v>
      </c>
      <c r="I119" s="23">
        <v>0</v>
      </c>
      <c r="J119" s="23">
        <v>499.81</v>
      </c>
      <c r="K119" s="23">
        <v>0</v>
      </c>
      <c r="L119" s="23">
        <v>0</v>
      </c>
      <c r="M119" s="23">
        <v>500</v>
      </c>
      <c r="N119" s="23">
        <v>0</v>
      </c>
      <c r="O119" s="23">
        <v>0</v>
      </c>
      <c r="P119" s="23">
        <f>Tabela1[[#This Row],[1QZ DE MARÇO 26]]-Tabela1[[#This Row],[SALDO PENDENTE COM CX REPR.]]-Tabela1[[#This Row],[SALDO CARTAO]]-Tabela1[[#This Row],[ADIANTAMENTO]]</f>
        <v>0.18999999999999773</v>
      </c>
      <c r="Q119" s="23">
        <f>Tabela1[[#This Row],[1QZ DE MARÇO 26]]-Tabela1[[#This Row],[SALDO PENDENTE SEM CX REPR.]]-Tabela1[[#This Row],[SALDO CARTAO]]-Tabela1[[#This Row],[ADIANTAMENTO]]</f>
        <v>500</v>
      </c>
      <c r="R119" s="23">
        <v>0</v>
      </c>
      <c r="S119" s="40">
        <f>IF(Tabela1[[#This Row],[CARGA PARCIAL]]&lt;0,0,Tabela1[[#This Row],[CARGA PARCIAL]]+Tabela1[[#This Row],[REEMBOLSO]])</f>
        <v>0.18999999999999773</v>
      </c>
      <c r="T119" s="40">
        <f>IF(Tabela1[[#This Row],[CARGA PARCIAL SEM CX REPROV.]]&lt;0,0,Tabela1[[#This Row],[CARGA PARCIAL]]+Tabela1[[#This Row],[REEMBOLSO]])</f>
        <v>0.18999999999999773</v>
      </c>
      <c r="U119" s="24" t="s">
        <v>22</v>
      </c>
      <c r="V119" s="24"/>
      <c r="BA119"/>
    </row>
    <row r="120" spans="2:53" hidden="1" x14ac:dyDescent="0.25">
      <c r="B120" s="31" t="s">
        <v>793</v>
      </c>
      <c r="C120" s="32" t="s">
        <v>346</v>
      </c>
      <c r="D120" s="33" t="s">
        <v>18</v>
      </c>
      <c r="E120" s="33" t="s">
        <v>283</v>
      </c>
      <c r="F120" s="33">
        <v>11040140001</v>
      </c>
      <c r="G120" s="33" t="s">
        <v>45</v>
      </c>
      <c r="H120" s="22" t="s">
        <v>39</v>
      </c>
      <c r="I120" s="23">
        <v>0</v>
      </c>
      <c r="J120" s="23">
        <v>96.130000000000123</v>
      </c>
      <c r="K120" s="23">
        <v>0</v>
      </c>
      <c r="L120" s="23">
        <v>102.90000000000009</v>
      </c>
      <c r="M120" s="23">
        <v>100</v>
      </c>
      <c r="N120" s="23">
        <v>0</v>
      </c>
      <c r="O120" s="23">
        <v>0</v>
      </c>
      <c r="P120" s="23">
        <f>Tabela1[[#This Row],[1QZ DE MARÇO 26]]-Tabela1[[#This Row],[SALDO PENDENTE COM CX REPR.]]-Tabela1[[#This Row],[SALDO CARTAO]]-Tabela1[[#This Row],[ADIANTAMENTO]]</f>
        <v>3.8699999999998766</v>
      </c>
      <c r="Q120" s="23">
        <f>Tabela1[[#This Row],[1QZ DE MARÇO 26]]-Tabela1[[#This Row],[SALDO PENDENTE SEM CX REPR.]]-Tabela1[[#This Row],[SALDO CARTAO]]-Tabela1[[#This Row],[ADIANTAMENTO]]</f>
        <v>-2.9000000000000909</v>
      </c>
      <c r="R120" s="23">
        <v>0</v>
      </c>
      <c r="S120" s="40">
        <f>IF(Tabela1[[#This Row],[CARGA PARCIAL]]&lt;0,0,Tabela1[[#This Row],[CARGA PARCIAL]]+Tabela1[[#This Row],[REEMBOLSO]])</f>
        <v>3.8699999999998766</v>
      </c>
      <c r="T120" s="40">
        <f>IF(Tabela1[[#This Row],[CARGA PARCIAL SEM CX REPROV.]]&lt;0,0,Tabela1[[#This Row],[CARGA PARCIAL]]+Tabela1[[#This Row],[REEMBOLSO]])</f>
        <v>0</v>
      </c>
      <c r="U120" s="24" t="s">
        <v>22</v>
      </c>
      <c r="V120" s="24"/>
      <c r="BA120"/>
    </row>
    <row r="121" spans="2:53" hidden="1" x14ac:dyDescent="0.25">
      <c r="B121" s="33" t="s">
        <v>794</v>
      </c>
      <c r="C121" s="33" t="s">
        <v>94</v>
      </c>
      <c r="D121" s="33" t="s">
        <v>18</v>
      </c>
      <c r="E121" s="33" t="s">
        <v>95</v>
      </c>
      <c r="F121" s="33">
        <v>11040160001</v>
      </c>
      <c r="G121" s="33" t="s">
        <v>48</v>
      </c>
      <c r="H121" s="22" t="s">
        <v>35</v>
      </c>
      <c r="I121" s="23">
        <v>0</v>
      </c>
      <c r="J121" s="23">
        <v>1437.92</v>
      </c>
      <c r="K121" s="23">
        <v>0</v>
      </c>
      <c r="L121" s="23">
        <v>64.000000000000142</v>
      </c>
      <c r="M121" s="23">
        <v>1400</v>
      </c>
      <c r="N121" s="23">
        <v>0.19</v>
      </c>
      <c r="O121" s="23">
        <v>0</v>
      </c>
      <c r="P121" s="23">
        <f>Tabela1[[#This Row],[1QZ DE MARÇO 26]]-Tabela1[[#This Row],[SALDO PENDENTE COM CX REPR.]]-Tabela1[[#This Row],[SALDO CARTAO]]-Tabela1[[#This Row],[ADIANTAMENTO]]</f>
        <v>-38.11000000000007</v>
      </c>
      <c r="Q121" s="23">
        <f>Tabela1[[#This Row],[1QZ DE MARÇO 26]]-Tabela1[[#This Row],[SALDO PENDENTE SEM CX REPR.]]-Tabela1[[#This Row],[SALDO CARTAO]]-Tabela1[[#This Row],[ADIANTAMENTO]]</f>
        <v>1335.8099999999997</v>
      </c>
      <c r="R121" s="23">
        <v>0</v>
      </c>
      <c r="S121" s="40">
        <f>IF(Tabela1[[#This Row],[CARGA PARCIAL]]&lt;0,0,Tabela1[[#This Row],[CARGA PARCIAL]]+Tabela1[[#This Row],[REEMBOLSO]])</f>
        <v>0</v>
      </c>
      <c r="T121" s="40">
        <f>IF(Tabela1[[#This Row],[CARGA PARCIAL SEM CX REPROV.]]&lt;0,0,Tabela1[[#This Row],[CARGA PARCIAL]]+Tabela1[[#This Row],[REEMBOLSO]])</f>
        <v>-38.11000000000007</v>
      </c>
      <c r="U121" s="24" t="s">
        <v>22</v>
      </c>
      <c r="V121" s="24"/>
      <c r="BA121"/>
    </row>
    <row r="122" spans="2:53" hidden="1" x14ac:dyDescent="0.25">
      <c r="B122" s="33" t="s">
        <v>795</v>
      </c>
      <c r="C122" s="33" t="s">
        <v>550</v>
      </c>
      <c r="D122" s="33" t="s">
        <v>18</v>
      </c>
      <c r="E122" s="33" t="s">
        <v>44</v>
      </c>
      <c r="F122" s="33">
        <v>1104150001</v>
      </c>
      <c r="G122" s="33" t="s">
        <v>45</v>
      </c>
      <c r="H122" s="22" t="s">
        <v>39</v>
      </c>
      <c r="I122" s="23">
        <v>0</v>
      </c>
      <c r="J122" s="23">
        <v>238</v>
      </c>
      <c r="K122" s="23">
        <v>-17.289999999998599</v>
      </c>
      <c r="L122" s="23">
        <v>0</v>
      </c>
      <c r="M122" s="23">
        <v>0</v>
      </c>
      <c r="N122" s="23">
        <v>26.99</v>
      </c>
      <c r="O122" s="23">
        <v>0</v>
      </c>
      <c r="P122" s="23">
        <f>Tabela1[[#This Row],[1QZ DE MARÇO 26]]-Tabela1[[#This Row],[SALDO PENDENTE COM CX REPR.]]-Tabela1[[#This Row],[SALDO CARTAO]]-Tabela1[[#This Row],[ADIANTAMENTO]]</f>
        <v>-264.99</v>
      </c>
      <c r="Q122" s="23">
        <f>Tabela1[[#This Row],[1QZ DE MARÇO 26]]-Tabela1[[#This Row],[SALDO PENDENTE SEM CX REPR.]]-Tabela1[[#This Row],[SALDO CARTAO]]-Tabela1[[#This Row],[ADIANTAMENTO]]</f>
        <v>-26.99</v>
      </c>
      <c r="R122" s="23">
        <v>0</v>
      </c>
      <c r="S122" s="40">
        <f>IF(Tabela1[[#This Row],[CARGA PARCIAL]]&lt;0,0,Tabela1[[#This Row],[CARGA PARCIAL]]+Tabela1[[#This Row],[REEMBOLSO]])</f>
        <v>0</v>
      </c>
      <c r="T122" s="40">
        <f>IF(Tabela1[[#This Row],[CARGA PARCIAL SEM CX REPROV.]]&lt;0,0,Tabela1[[#This Row],[CARGA PARCIAL]]+Tabela1[[#This Row],[REEMBOLSO]])</f>
        <v>0</v>
      </c>
      <c r="U122" s="24" t="s">
        <v>22</v>
      </c>
      <c r="V122" s="24"/>
    </row>
    <row r="123" spans="2:53" hidden="1" x14ac:dyDescent="0.25">
      <c r="B123" s="33" t="s">
        <v>796</v>
      </c>
      <c r="C123" s="33" t="s">
        <v>177</v>
      </c>
      <c r="D123" s="33" t="s">
        <v>18</v>
      </c>
      <c r="E123" s="33" t="s">
        <v>134</v>
      </c>
      <c r="F123" s="33">
        <v>11061720001</v>
      </c>
      <c r="G123" s="33" t="s">
        <v>42</v>
      </c>
      <c r="H123" s="22" t="s">
        <v>39</v>
      </c>
      <c r="I123" s="23">
        <v>-65.00000000000189</v>
      </c>
      <c r="J123" s="23">
        <v>0</v>
      </c>
      <c r="K123" s="23">
        <v>0</v>
      </c>
      <c r="L123" s="23">
        <v>3421.1500000000055</v>
      </c>
      <c r="M123" s="23">
        <v>800</v>
      </c>
      <c r="N123" s="23">
        <v>6</v>
      </c>
      <c r="O123" s="23">
        <v>0</v>
      </c>
      <c r="P123" s="23">
        <f>Tabela1[[#This Row],[1QZ DE MARÇO 26]]-Tabela1[[#This Row],[SALDO PENDENTE COM CX REPR.]]-Tabela1[[#This Row],[SALDO CARTAO]]-Tabela1[[#This Row],[ADIANTAMENTO]]</f>
        <v>794</v>
      </c>
      <c r="Q123" s="23">
        <f>Tabela1[[#This Row],[1QZ DE MARÇO 26]]-Tabela1[[#This Row],[SALDO PENDENTE SEM CX REPR.]]-Tabela1[[#This Row],[SALDO CARTAO]]-Tabela1[[#This Row],[ADIANTAMENTO]]</f>
        <v>-2627.1500000000055</v>
      </c>
      <c r="R123" s="23">
        <v>0</v>
      </c>
      <c r="S123" s="40">
        <f>IF(Tabela1[[#This Row],[CARGA PARCIAL]]&lt;0,0,Tabela1[[#This Row],[CARGA PARCIAL]]+Tabela1[[#This Row],[REEMBOLSO]])</f>
        <v>794</v>
      </c>
      <c r="T123" s="40">
        <f>IF(Tabela1[[#This Row],[CARGA PARCIAL SEM CX REPROV.]]&lt;0,0,Tabela1[[#This Row],[CARGA PARCIAL]]+Tabela1[[#This Row],[REEMBOLSO]])</f>
        <v>0</v>
      </c>
      <c r="U123" s="24" t="s">
        <v>22</v>
      </c>
      <c r="V123" s="24"/>
    </row>
    <row r="124" spans="2:53" hidden="1" x14ac:dyDescent="0.25">
      <c r="B124" s="31" t="s">
        <v>797</v>
      </c>
      <c r="C124" s="32" t="s">
        <v>363</v>
      </c>
      <c r="D124" s="33" t="s">
        <v>18</v>
      </c>
      <c r="E124" s="33" t="s">
        <v>189</v>
      </c>
      <c r="F124" s="33">
        <v>11061400001</v>
      </c>
      <c r="G124" s="33" t="s">
        <v>42</v>
      </c>
      <c r="H124" s="22" t="s">
        <v>39</v>
      </c>
      <c r="I124" s="23">
        <v>0</v>
      </c>
      <c r="J124" s="23">
        <v>13.529999999999745</v>
      </c>
      <c r="K124" s="23">
        <v>0</v>
      </c>
      <c r="L124" s="23">
        <v>42.999999999999091</v>
      </c>
      <c r="M124" s="23">
        <v>0</v>
      </c>
      <c r="N124" s="23">
        <v>65.58</v>
      </c>
      <c r="O124" s="23">
        <v>0</v>
      </c>
      <c r="P124" s="23">
        <f>Tabela1[[#This Row],[1QZ DE MARÇO 26]]-Tabela1[[#This Row],[SALDO PENDENTE COM CX REPR.]]-Tabela1[[#This Row],[SALDO CARTAO]]-Tabela1[[#This Row],[ADIANTAMENTO]]</f>
        <v>-79.109999999999744</v>
      </c>
      <c r="Q124" s="23">
        <f>Tabela1[[#This Row],[1QZ DE MARÇO 26]]-Tabela1[[#This Row],[SALDO PENDENTE SEM CX REPR.]]-Tabela1[[#This Row],[SALDO CARTAO]]-Tabela1[[#This Row],[ADIANTAMENTO]]</f>
        <v>-108.57999999999909</v>
      </c>
      <c r="R124" s="23">
        <v>0</v>
      </c>
      <c r="S124" s="40">
        <f>IF(Tabela1[[#This Row],[CARGA PARCIAL]]&lt;0,0,Tabela1[[#This Row],[CARGA PARCIAL]]+Tabela1[[#This Row],[REEMBOLSO]])</f>
        <v>0</v>
      </c>
      <c r="T124" s="40">
        <f>IF(Tabela1[[#This Row],[CARGA PARCIAL SEM CX REPROV.]]&lt;0,0,Tabela1[[#This Row],[CARGA PARCIAL]]+Tabela1[[#This Row],[REEMBOLSO]])</f>
        <v>0</v>
      </c>
      <c r="U124" s="24" t="s">
        <v>22</v>
      </c>
      <c r="V124" s="24"/>
    </row>
    <row r="125" spans="2:53" hidden="1" x14ac:dyDescent="0.25">
      <c r="B125" s="34" t="s">
        <v>798</v>
      </c>
      <c r="C125" s="34" t="s">
        <v>463</v>
      </c>
      <c r="D125" s="34" t="s">
        <v>18</v>
      </c>
      <c r="E125" s="33" t="s">
        <v>464</v>
      </c>
      <c r="F125" s="33">
        <v>11010290001</v>
      </c>
      <c r="G125" s="33" t="s">
        <v>48</v>
      </c>
      <c r="H125" s="22" t="s">
        <v>35</v>
      </c>
      <c r="I125" s="23">
        <v>0</v>
      </c>
      <c r="J125" s="23">
        <v>600.05999999999995</v>
      </c>
      <c r="K125" s="23">
        <v>0</v>
      </c>
      <c r="L125" s="23">
        <v>305.45000000000084</v>
      </c>
      <c r="M125" s="23">
        <v>500</v>
      </c>
      <c r="N125" s="23">
        <v>0</v>
      </c>
      <c r="O125" s="23">
        <v>0</v>
      </c>
      <c r="P125" s="23">
        <f>Tabela1[[#This Row],[1QZ DE MARÇO 26]]-Tabela1[[#This Row],[SALDO PENDENTE COM CX REPR.]]-Tabela1[[#This Row],[SALDO CARTAO]]-Tabela1[[#This Row],[ADIANTAMENTO]]</f>
        <v>-100.05999999999995</v>
      </c>
      <c r="Q125" s="23">
        <f>Tabela1[[#This Row],[1QZ DE MARÇO 26]]-Tabela1[[#This Row],[SALDO PENDENTE SEM CX REPR.]]-Tabela1[[#This Row],[SALDO CARTAO]]-Tabela1[[#This Row],[ADIANTAMENTO]]</f>
        <v>194.54999999999916</v>
      </c>
      <c r="R125" s="23">
        <v>0</v>
      </c>
      <c r="S125" s="40">
        <f>IF(Tabela1[[#This Row],[CARGA PARCIAL]]&lt;0,0,Tabela1[[#This Row],[CARGA PARCIAL]]+Tabela1[[#This Row],[REEMBOLSO]])</f>
        <v>0</v>
      </c>
      <c r="T125" s="40">
        <f>IF(Tabela1[[#This Row],[CARGA PARCIAL SEM CX REPROV.]]&lt;0,0,Tabela1[[#This Row],[CARGA PARCIAL]]+Tabela1[[#This Row],[REEMBOLSO]])</f>
        <v>-100.05999999999995</v>
      </c>
      <c r="U125" s="25" t="s">
        <v>22</v>
      </c>
      <c r="V125" s="26"/>
    </row>
    <row r="126" spans="2:53" hidden="1" x14ac:dyDescent="0.25">
      <c r="B126" s="33" t="s">
        <v>799</v>
      </c>
      <c r="C126" s="33" t="s">
        <v>507</v>
      </c>
      <c r="D126" s="33" t="s">
        <v>18</v>
      </c>
      <c r="E126" s="33" t="s">
        <v>88</v>
      </c>
      <c r="F126" s="33">
        <v>11040130001</v>
      </c>
      <c r="G126" s="33" t="s">
        <v>45</v>
      </c>
      <c r="H126" s="33" t="s">
        <v>39</v>
      </c>
      <c r="I126" s="23">
        <v>0</v>
      </c>
      <c r="J126" s="23">
        <v>310.00000000000011</v>
      </c>
      <c r="K126" s="23">
        <v>0</v>
      </c>
      <c r="L126" s="23">
        <v>0</v>
      </c>
      <c r="M126" s="23">
        <v>120</v>
      </c>
      <c r="N126" s="23">
        <v>0</v>
      </c>
      <c r="O126" s="23">
        <v>0</v>
      </c>
      <c r="P126" s="23">
        <f>Tabela1[[#This Row],[1QZ DE MARÇO 26]]-Tabela1[[#This Row],[SALDO PENDENTE COM CX REPR.]]-Tabela1[[#This Row],[SALDO CARTAO]]-Tabela1[[#This Row],[ADIANTAMENTO]]</f>
        <v>-190.00000000000011</v>
      </c>
      <c r="Q126" s="23">
        <f>Tabela1[[#This Row],[1QZ DE MARÇO 26]]-Tabela1[[#This Row],[SALDO PENDENTE SEM CX REPR.]]-Tabela1[[#This Row],[SALDO CARTAO]]-Tabela1[[#This Row],[ADIANTAMENTO]]</f>
        <v>120</v>
      </c>
      <c r="R126" s="23">
        <v>0</v>
      </c>
      <c r="S126" s="40">
        <f>IF(Tabela1[[#This Row],[CARGA PARCIAL]]&lt;0,0,Tabela1[[#This Row],[CARGA PARCIAL]]+Tabela1[[#This Row],[REEMBOLSO]])</f>
        <v>0</v>
      </c>
      <c r="T126" s="40">
        <f>IF(Tabela1[[#This Row],[CARGA PARCIAL SEM CX REPROV.]]&lt;0,0,Tabela1[[#This Row],[CARGA PARCIAL]]+Tabela1[[#This Row],[REEMBOLSO]])</f>
        <v>-190.00000000000011</v>
      </c>
      <c r="U126" s="24" t="s">
        <v>22</v>
      </c>
      <c r="V126" s="24"/>
    </row>
    <row r="127" spans="2:53" x14ac:dyDescent="0.25">
      <c r="B127" s="37" t="s">
        <v>800</v>
      </c>
      <c r="C127" s="32" t="s">
        <v>331</v>
      </c>
      <c r="D127" s="33" t="s">
        <v>18</v>
      </c>
      <c r="E127" s="33" t="s">
        <v>212</v>
      </c>
      <c r="F127" s="33">
        <v>11061810001</v>
      </c>
      <c r="G127" s="33" t="s">
        <v>54</v>
      </c>
      <c r="H127" s="22" t="s">
        <v>39</v>
      </c>
      <c r="I127" s="23">
        <v>0</v>
      </c>
      <c r="J127" s="23">
        <v>91</v>
      </c>
      <c r="K127" s="23">
        <v>0</v>
      </c>
      <c r="L127" s="23">
        <v>0</v>
      </c>
      <c r="M127" s="23">
        <v>200</v>
      </c>
      <c r="N127" s="23">
        <v>0</v>
      </c>
      <c r="O127" s="23">
        <v>0</v>
      </c>
      <c r="P127" s="23">
        <f>Tabela1[[#This Row],[1QZ DE MARÇO 26]]-Tabela1[[#This Row],[SALDO PENDENTE COM CX REPR.]]-Tabela1[[#This Row],[SALDO CARTAO]]-Tabela1[[#This Row],[ADIANTAMENTO]]</f>
        <v>109</v>
      </c>
      <c r="Q127" s="23">
        <f>Tabela1[[#This Row],[1QZ DE MARÇO 26]]-Tabela1[[#This Row],[SALDO PENDENTE SEM CX REPR.]]-Tabela1[[#This Row],[SALDO CARTAO]]-Tabela1[[#This Row],[ADIANTAMENTO]]</f>
        <v>200</v>
      </c>
      <c r="R127" s="23">
        <v>0</v>
      </c>
      <c r="S127" s="40">
        <f>IF(Tabela1[[#This Row],[CARGA PARCIAL]]&lt;0,0,Tabela1[[#This Row],[CARGA PARCIAL]]+Tabela1[[#This Row],[REEMBOLSO]])</f>
        <v>109</v>
      </c>
      <c r="T127" s="40">
        <f>IF(Tabela1[[#This Row],[CARGA PARCIAL SEM CX REPROV.]]&lt;0,0,Tabela1[[#This Row],[CARGA PARCIAL]]+Tabela1[[#This Row],[REEMBOLSO]])</f>
        <v>109</v>
      </c>
      <c r="U127" s="24" t="s">
        <v>22</v>
      </c>
      <c r="V127" s="24"/>
    </row>
    <row r="128" spans="2:53" x14ac:dyDescent="0.25">
      <c r="B128" s="39" t="s">
        <v>801</v>
      </c>
      <c r="C128" s="36" t="s">
        <v>216</v>
      </c>
      <c r="D128" s="34" t="s">
        <v>18</v>
      </c>
      <c r="E128" s="33" t="s">
        <v>134</v>
      </c>
      <c r="F128" s="33">
        <v>11061720001</v>
      </c>
      <c r="G128" s="33" t="s">
        <v>42</v>
      </c>
      <c r="H128" s="22" t="s">
        <v>39</v>
      </c>
      <c r="I128" s="23">
        <v>0</v>
      </c>
      <c r="J128" s="23">
        <v>2.9558577807620168E-12</v>
      </c>
      <c r="K128" s="23">
        <v>-286.81000000003041</v>
      </c>
      <c r="L128" s="23">
        <v>0</v>
      </c>
      <c r="M128" s="23">
        <v>800</v>
      </c>
      <c r="N128" s="23">
        <v>100.16</v>
      </c>
      <c r="O128" s="23">
        <v>0</v>
      </c>
      <c r="P128" s="23">
        <f>Tabela1[[#This Row],[1QZ DE MARÇO 26]]-Tabela1[[#This Row],[SALDO PENDENTE COM CX REPR.]]-Tabela1[[#This Row],[SALDO CARTAO]]-Tabela1[[#This Row],[ADIANTAMENTO]]</f>
        <v>699.83999999999708</v>
      </c>
      <c r="Q128" s="23">
        <f>Tabela1[[#This Row],[1QZ DE MARÇO 26]]-Tabela1[[#This Row],[SALDO PENDENTE SEM CX REPR.]]-Tabela1[[#This Row],[SALDO CARTAO]]-Tabela1[[#This Row],[ADIANTAMENTO]]</f>
        <v>699.84</v>
      </c>
      <c r="R128" s="23">
        <v>0</v>
      </c>
      <c r="S128" s="40">
        <f>IF(Tabela1[[#This Row],[CARGA PARCIAL]]&lt;0,0,Tabela1[[#This Row],[CARGA PARCIAL]]+Tabela1[[#This Row],[REEMBOLSO]])</f>
        <v>699.83999999999708</v>
      </c>
      <c r="T128" s="40">
        <f>IF(Tabela1[[#This Row],[CARGA PARCIAL SEM CX REPROV.]]&lt;0,0,Tabela1[[#This Row],[CARGA PARCIAL]]+Tabela1[[#This Row],[REEMBOLSO]])</f>
        <v>699.83999999999708</v>
      </c>
      <c r="U128" s="25" t="s">
        <v>22</v>
      </c>
      <c r="V128" s="26"/>
    </row>
    <row r="129" spans="2:22" hidden="1" x14ac:dyDescent="0.25">
      <c r="B129" s="33" t="s">
        <v>802</v>
      </c>
      <c r="C129" s="33" t="s">
        <v>551</v>
      </c>
      <c r="D129" s="33" t="s">
        <v>18</v>
      </c>
      <c r="E129" s="33" t="s">
        <v>321</v>
      </c>
      <c r="F129" s="33">
        <v>11060800001</v>
      </c>
      <c r="G129" s="33" t="s">
        <v>42</v>
      </c>
      <c r="H129" s="33" t="s">
        <v>39</v>
      </c>
      <c r="I129" s="23">
        <v>0</v>
      </c>
      <c r="J129" s="23">
        <v>196.78999999999951</v>
      </c>
      <c r="K129" s="23">
        <v>-1.8474111129762605E-13</v>
      </c>
      <c r="L129" s="23">
        <v>0</v>
      </c>
      <c r="M129" s="23">
        <v>0</v>
      </c>
      <c r="N129" s="23">
        <v>0</v>
      </c>
      <c r="O129" s="23">
        <v>0</v>
      </c>
      <c r="P129" s="23">
        <f>Tabela1[[#This Row],[1QZ DE MARÇO 26]]-Tabela1[[#This Row],[SALDO PENDENTE COM CX REPR.]]-Tabela1[[#This Row],[SALDO CARTAO]]-Tabela1[[#This Row],[ADIANTAMENTO]]</f>
        <v>-196.78999999999951</v>
      </c>
      <c r="Q129" s="23">
        <f>Tabela1[[#This Row],[1QZ DE MARÇO 26]]-Tabela1[[#This Row],[SALDO PENDENTE SEM CX REPR.]]-Tabela1[[#This Row],[SALDO CARTAO]]-Tabela1[[#This Row],[ADIANTAMENTO]]</f>
        <v>0</v>
      </c>
      <c r="R129" s="23">
        <v>0</v>
      </c>
      <c r="S129" s="40">
        <f>IF(Tabela1[[#This Row],[CARGA PARCIAL]]&lt;0,0,Tabela1[[#This Row],[CARGA PARCIAL]]+Tabela1[[#This Row],[REEMBOLSO]])</f>
        <v>0</v>
      </c>
      <c r="T129" s="40">
        <f>IF(Tabela1[[#This Row],[CARGA PARCIAL SEM CX REPROV.]]&lt;0,0,Tabela1[[#This Row],[CARGA PARCIAL]]+Tabela1[[#This Row],[REEMBOLSO]])</f>
        <v>-196.78999999999951</v>
      </c>
      <c r="U129" s="24" t="s">
        <v>22</v>
      </c>
      <c r="V129" s="24"/>
    </row>
    <row r="130" spans="2:22" hidden="1" x14ac:dyDescent="0.25">
      <c r="B130" s="35" t="s">
        <v>803</v>
      </c>
      <c r="C130" s="36" t="s">
        <v>355</v>
      </c>
      <c r="D130" s="34" t="s">
        <v>18</v>
      </c>
      <c r="E130" s="33" t="s">
        <v>134</v>
      </c>
      <c r="F130" s="33">
        <v>11061720001</v>
      </c>
      <c r="G130" s="33" t="s">
        <v>42</v>
      </c>
      <c r="H130" s="22" t="s">
        <v>39</v>
      </c>
      <c r="I130" s="23">
        <v>0</v>
      </c>
      <c r="J130" s="23">
        <v>799.99999999999977</v>
      </c>
      <c r="K130" s="23">
        <v>0</v>
      </c>
      <c r="L130" s="23">
        <v>96.999999999998607</v>
      </c>
      <c r="M130" s="23">
        <v>800</v>
      </c>
      <c r="N130" s="23">
        <v>622.97</v>
      </c>
      <c r="O130" s="23">
        <v>0</v>
      </c>
      <c r="P130" s="23">
        <f>Tabela1[[#This Row],[1QZ DE MARÇO 26]]-Tabela1[[#This Row],[SALDO PENDENTE COM CX REPR.]]-Tabela1[[#This Row],[SALDO CARTAO]]-Tabela1[[#This Row],[ADIANTAMENTO]]</f>
        <v>-622.9699999999998</v>
      </c>
      <c r="Q130" s="23">
        <f>Tabela1[[#This Row],[1QZ DE MARÇO 26]]-Tabela1[[#This Row],[SALDO PENDENTE SEM CX REPR.]]-Tabela1[[#This Row],[SALDO CARTAO]]-Tabela1[[#This Row],[ADIANTAMENTO]]</f>
        <v>80.030000000001337</v>
      </c>
      <c r="R130" s="23">
        <v>0</v>
      </c>
      <c r="S130" s="40">
        <f>IF(Tabela1[[#This Row],[CARGA PARCIAL]]&lt;0,0,Tabela1[[#This Row],[CARGA PARCIAL]]+Tabela1[[#This Row],[REEMBOLSO]])</f>
        <v>0</v>
      </c>
      <c r="T130" s="40">
        <f>IF(Tabela1[[#This Row],[CARGA PARCIAL SEM CX REPROV.]]&lt;0,0,Tabela1[[#This Row],[CARGA PARCIAL]]+Tabela1[[#This Row],[REEMBOLSO]])</f>
        <v>-622.9699999999998</v>
      </c>
      <c r="U130" s="25" t="s">
        <v>22</v>
      </c>
      <c r="V130" s="26"/>
    </row>
    <row r="131" spans="2:22" hidden="1" x14ac:dyDescent="0.25">
      <c r="B131" s="33" t="s">
        <v>804</v>
      </c>
      <c r="C131" s="33" t="s">
        <v>428</v>
      </c>
      <c r="D131" s="33" t="s">
        <v>18</v>
      </c>
      <c r="E131" s="33" t="s">
        <v>95</v>
      </c>
      <c r="F131" s="33">
        <v>11040160001</v>
      </c>
      <c r="G131" s="33" t="s">
        <v>48</v>
      </c>
      <c r="H131" s="33" t="s">
        <v>35</v>
      </c>
      <c r="I131" s="23">
        <v>0</v>
      </c>
      <c r="J131" s="23">
        <v>1791.0700000000008</v>
      </c>
      <c r="K131" s="23">
        <v>0</v>
      </c>
      <c r="L131" s="23">
        <v>0</v>
      </c>
      <c r="M131" s="23">
        <v>1500</v>
      </c>
      <c r="N131" s="23">
        <v>0</v>
      </c>
      <c r="O131" s="23">
        <v>0</v>
      </c>
      <c r="P131" s="23">
        <f>Tabela1[[#This Row],[1QZ DE MARÇO 26]]-Tabela1[[#This Row],[SALDO PENDENTE COM CX REPR.]]-Tabela1[[#This Row],[SALDO CARTAO]]-Tabela1[[#This Row],[ADIANTAMENTO]]</f>
        <v>-291.07000000000085</v>
      </c>
      <c r="Q131" s="23">
        <f>Tabela1[[#This Row],[1QZ DE MARÇO 26]]-Tabela1[[#This Row],[SALDO PENDENTE SEM CX REPR.]]-Tabela1[[#This Row],[SALDO CARTAO]]-Tabela1[[#This Row],[ADIANTAMENTO]]</f>
        <v>1500</v>
      </c>
      <c r="R131" s="23">
        <v>0</v>
      </c>
      <c r="S131" s="40">
        <f>IF(Tabela1[[#This Row],[CARGA PARCIAL]]&lt;0,0,Tabela1[[#This Row],[CARGA PARCIAL]]+Tabela1[[#This Row],[REEMBOLSO]])</f>
        <v>0</v>
      </c>
      <c r="T131" s="40">
        <f>IF(Tabela1[[#This Row],[CARGA PARCIAL SEM CX REPROV.]]&lt;0,0,Tabela1[[#This Row],[CARGA PARCIAL]]+Tabela1[[#This Row],[REEMBOLSO]])</f>
        <v>-291.07000000000085</v>
      </c>
      <c r="U131" s="24" t="s">
        <v>22</v>
      </c>
      <c r="V131" s="24"/>
    </row>
    <row r="132" spans="2:22" hidden="1" x14ac:dyDescent="0.25">
      <c r="B132" s="35" t="s">
        <v>805</v>
      </c>
      <c r="C132" s="36" t="s">
        <v>513</v>
      </c>
      <c r="D132" s="34" t="s">
        <v>18</v>
      </c>
      <c r="E132" s="33" t="s">
        <v>283</v>
      </c>
      <c r="F132" s="33">
        <v>11040140001</v>
      </c>
      <c r="G132" s="33" t="s">
        <v>45</v>
      </c>
      <c r="H132" s="22" t="s">
        <v>39</v>
      </c>
      <c r="I132" s="23">
        <v>0</v>
      </c>
      <c r="J132" s="23">
        <v>119.74</v>
      </c>
      <c r="K132" s="23">
        <v>0</v>
      </c>
      <c r="L132" s="23">
        <v>0</v>
      </c>
      <c r="M132" s="23">
        <v>100</v>
      </c>
      <c r="N132" s="23">
        <v>0</v>
      </c>
      <c r="O132" s="23">
        <v>0</v>
      </c>
      <c r="P132" s="23">
        <f>Tabela1[[#This Row],[1QZ DE MARÇO 26]]-Tabela1[[#This Row],[SALDO PENDENTE COM CX REPR.]]-Tabela1[[#This Row],[SALDO CARTAO]]-Tabela1[[#This Row],[ADIANTAMENTO]]</f>
        <v>-19.739999999999995</v>
      </c>
      <c r="Q132" s="23">
        <f>Tabela1[[#This Row],[1QZ DE MARÇO 26]]-Tabela1[[#This Row],[SALDO PENDENTE SEM CX REPR.]]-Tabela1[[#This Row],[SALDO CARTAO]]-Tabela1[[#This Row],[ADIANTAMENTO]]</f>
        <v>100</v>
      </c>
      <c r="R132" s="23">
        <v>0</v>
      </c>
      <c r="S132" s="40">
        <f>IF(Tabela1[[#This Row],[CARGA PARCIAL]]&lt;0,0,Tabela1[[#This Row],[CARGA PARCIAL]]+Tabela1[[#This Row],[REEMBOLSO]])</f>
        <v>0</v>
      </c>
      <c r="T132" s="40">
        <f>IF(Tabela1[[#This Row],[CARGA PARCIAL SEM CX REPROV.]]&lt;0,0,Tabela1[[#This Row],[CARGA PARCIAL]]+Tabela1[[#This Row],[REEMBOLSO]])</f>
        <v>-19.739999999999995</v>
      </c>
      <c r="U132" s="25" t="s">
        <v>22</v>
      </c>
      <c r="V132" s="26"/>
    </row>
    <row r="133" spans="2:22" hidden="1" x14ac:dyDescent="0.25">
      <c r="B133" s="37" t="s">
        <v>806</v>
      </c>
      <c r="C133" s="32" t="s">
        <v>552</v>
      </c>
      <c r="D133" s="33" t="s">
        <v>18</v>
      </c>
      <c r="E133" s="33" t="s">
        <v>553</v>
      </c>
      <c r="F133" s="33">
        <v>11061600001</v>
      </c>
      <c r="G133" s="33" t="s">
        <v>42</v>
      </c>
      <c r="H133" s="22" t="s">
        <v>39</v>
      </c>
      <c r="I133" s="23">
        <v>0</v>
      </c>
      <c r="J133" s="23">
        <v>2309.7399999999989</v>
      </c>
      <c r="K133" s="23">
        <v>0</v>
      </c>
      <c r="L133" s="23">
        <v>2321.9</v>
      </c>
      <c r="M133" s="23">
        <v>0</v>
      </c>
      <c r="N133" s="23">
        <v>26.39</v>
      </c>
      <c r="O133" s="23">
        <v>0</v>
      </c>
      <c r="P133" s="23">
        <f>Tabela1[[#This Row],[1QZ DE MARÇO 26]]-Tabela1[[#This Row],[SALDO PENDENTE COM CX REPR.]]-Tabela1[[#This Row],[SALDO CARTAO]]-Tabela1[[#This Row],[ADIANTAMENTO]]</f>
        <v>-2336.1299999999987</v>
      </c>
      <c r="Q133" s="23">
        <f>Tabela1[[#This Row],[1QZ DE MARÇO 26]]-Tabela1[[#This Row],[SALDO PENDENTE SEM CX REPR.]]-Tabela1[[#This Row],[SALDO CARTAO]]-Tabela1[[#This Row],[ADIANTAMENTO]]</f>
        <v>-2348.29</v>
      </c>
      <c r="R133" s="23">
        <v>0</v>
      </c>
      <c r="S133" s="40">
        <f>IF(Tabela1[[#This Row],[CARGA PARCIAL]]&lt;0,0,Tabela1[[#This Row],[CARGA PARCIAL]]+Tabela1[[#This Row],[REEMBOLSO]])</f>
        <v>0</v>
      </c>
      <c r="T133" s="40">
        <f>IF(Tabela1[[#This Row],[CARGA PARCIAL SEM CX REPROV.]]&lt;0,0,Tabela1[[#This Row],[CARGA PARCIAL]]+Tabela1[[#This Row],[REEMBOLSO]])</f>
        <v>0</v>
      </c>
      <c r="U133" s="24" t="s">
        <v>22</v>
      </c>
      <c r="V133" s="24"/>
    </row>
    <row r="134" spans="2:22" hidden="1" x14ac:dyDescent="0.25">
      <c r="B134" s="31" t="s">
        <v>1090</v>
      </c>
      <c r="C134" s="32" t="s">
        <v>450</v>
      </c>
      <c r="D134" s="33" t="s">
        <v>18</v>
      </c>
      <c r="E134" s="33" t="s">
        <v>65</v>
      </c>
      <c r="F134" s="33">
        <v>11030620001</v>
      </c>
      <c r="G134" s="33" t="s">
        <v>54</v>
      </c>
      <c r="H134" s="22" t="s">
        <v>39</v>
      </c>
      <c r="I134" s="23">
        <v>-235.78000000000065</v>
      </c>
      <c r="J134" s="23">
        <v>0</v>
      </c>
      <c r="K134" s="23">
        <v>0</v>
      </c>
      <c r="L134" s="23">
        <v>1850.6699999999998</v>
      </c>
      <c r="M134" s="23">
        <v>800</v>
      </c>
      <c r="N134" s="23">
        <v>0</v>
      </c>
      <c r="O134" s="23">
        <v>0</v>
      </c>
      <c r="P134" s="23">
        <f>Tabela1[[#This Row],[1QZ DE MARÇO 26]]-Tabela1[[#This Row],[SALDO PENDENTE COM CX REPR.]]-Tabela1[[#This Row],[SALDO CARTAO]]-Tabela1[[#This Row],[ADIANTAMENTO]]</f>
        <v>800</v>
      </c>
      <c r="Q134" s="23">
        <f>Tabela1[[#This Row],[1QZ DE MARÇO 26]]-Tabela1[[#This Row],[SALDO PENDENTE SEM CX REPR.]]-Tabela1[[#This Row],[SALDO CARTAO]]-Tabela1[[#This Row],[ADIANTAMENTO]]</f>
        <v>-1050.6699999999998</v>
      </c>
      <c r="R134" s="23">
        <v>0</v>
      </c>
      <c r="S134" s="40">
        <f>IF(Tabela1[[#This Row],[CARGA PARCIAL]]&lt;0,0,Tabela1[[#This Row],[CARGA PARCIAL]]+Tabela1[[#This Row],[REEMBOLSO]])</f>
        <v>800</v>
      </c>
      <c r="T134" s="40">
        <f>IF(Tabela1[[#This Row],[CARGA PARCIAL SEM CX REPROV.]]&lt;0,0,Tabela1[[#This Row],[CARGA PARCIAL]]+Tabela1[[#This Row],[REEMBOLSO]])</f>
        <v>0</v>
      </c>
      <c r="U134" s="24" t="s">
        <v>22</v>
      </c>
      <c r="V134" s="24"/>
    </row>
    <row r="135" spans="2:22" hidden="1" x14ac:dyDescent="0.25">
      <c r="B135" s="31" t="s">
        <v>808</v>
      </c>
      <c r="C135" s="32" t="s">
        <v>389</v>
      </c>
      <c r="D135" s="33" t="s">
        <v>18</v>
      </c>
      <c r="E135" s="33" t="s">
        <v>44</v>
      </c>
      <c r="F135" s="33">
        <v>1104150001</v>
      </c>
      <c r="G135" s="33" t="s">
        <v>45</v>
      </c>
      <c r="H135" s="22" t="s">
        <v>39</v>
      </c>
      <c r="I135" s="23">
        <v>-2.2999999999946397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f>Tabela1[[#This Row],[1QZ DE MARÇO 26]]-Tabela1[[#This Row],[SALDO PENDENTE COM CX REPR.]]-Tabela1[[#This Row],[SALDO CARTAO]]-Tabela1[[#This Row],[ADIANTAMENTO]]</f>
        <v>0</v>
      </c>
      <c r="Q135" s="23">
        <f>Tabela1[[#This Row],[1QZ DE MARÇO 26]]-Tabela1[[#This Row],[SALDO PENDENTE SEM CX REPR.]]-Tabela1[[#This Row],[SALDO CARTAO]]-Tabela1[[#This Row],[ADIANTAMENTO]]</f>
        <v>0</v>
      </c>
      <c r="R135" s="23">
        <v>0</v>
      </c>
      <c r="S135" s="40">
        <f>IF(Tabela1[[#This Row],[CARGA PARCIAL]]&lt;0,0,Tabela1[[#This Row],[CARGA PARCIAL]]+Tabela1[[#This Row],[REEMBOLSO]])</f>
        <v>0</v>
      </c>
      <c r="T135" s="40">
        <f>IF(Tabela1[[#This Row],[CARGA PARCIAL SEM CX REPROV.]]&lt;0,0,Tabela1[[#This Row],[CARGA PARCIAL]]+Tabela1[[#This Row],[REEMBOLSO]])</f>
        <v>0</v>
      </c>
      <c r="U135" s="24" t="s">
        <v>22</v>
      </c>
      <c r="V135" s="24"/>
    </row>
    <row r="136" spans="2:22" hidden="1" x14ac:dyDescent="0.25">
      <c r="B136" s="37" t="s">
        <v>809</v>
      </c>
      <c r="C136" s="32" t="s">
        <v>482</v>
      </c>
      <c r="D136" s="33" t="s">
        <v>18</v>
      </c>
      <c r="E136" s="33" t="s">
        <v>483</v>
      </c>
      <c r="F136" s="33">
        <v>11062120001</v>
      </c>
      <c r="G136" s="33" t="s">
        <v>42</v>
      </c>
      <c r="H136" s="22" t="s">
        <v>39</v>
      </c>
      <c r="I136" s="23">
        <v>0</v>
      </c>
      <c r="J136" s="23">
        <v>476.39999999999145</v>
      </c>
      <c r="K136" s="23">
        <v>0</v>
      </c>
      <c r="L136" s="23">
        <v>368.94999999999982</v>
      </c>
      <c r="M136" s="23">
        <v>400</v>
      </c>
      <c r="N136" s="23">
        <v>85.1</v>
      </c>
      <c r="O136" s="23">
        <v>0</v>
      </c>
      <c r="P136" s="23">
        <f>Tabela1[[#This Row],[1QZ DE MARÇO 26]]-Tabela1[[#This Row],[SALDO PENDENTE COM CX REPR.]]-Tabela1[[#This Row],[SALDO CARTAO]]-Tabela1[[#This Row],[ADIANTAMENTO]]</f>
        <v>-161.49999999999145</v>
      </c>
      <c r="Q136" s="23">
        <f>Tabela1[[#This Row],[1QZ DE MARÇO 26]]-Tabela1[[#This Row],[SALDO PENDENTE SEM CX REPR.]]-Tabela1[[#This Row],[SALDO CARTAO]]-Tabela1[[#This Row],[ADIANTAMENTO]]</f>
        <v>-54.049999999999812</v>
      </c>
      <c r="R136" s="23">
        <v>0</v>
      </c>
      <c r="S136" s="40">
        <f>IF(Tabela1[[#This Row],[CARGA PARCIAL]]&lt;0,0,Tabela1[[#This Row],[CARGA PARCIAL]]+Tabela1[[#This Row],[REEMBOLSO]])</f>
        <v>0</v>
      </c>
      <c r="T136" s="40">
        <f>IF(Tabela1[[#This Row],[CARGA PARCIAL SEM CX REPROV.]]&lt;0,0,Tabela1[[#This Row],[CARGA PARCIAL]]+Tabela1[[#This Row],[REEMBOLSO]])</f>
        <v>0</v>
      </c>
      <c r="U136" s="24" t="s">
        <v>22</v>
      </c>
      <c r="V136" s="24"/>
    </row>
    <row r="137" spans="2:22" hidden="1" x14ac:dyDescent="0.25">
      <c r="B137" s="31" t="s">
        <v>810</v>
      </c>
      <c r="C137" s="32" t="s">
        <v>395</v>
      </c>
      <c r="D137" s="33" t="s">
        <v>18</v>
      </c>
      <c r="E137" s="33" t="s">
        <v>342</v>
      </c>
      <c r="F137" s="33">
        <v>11030760001</v>
      </c>
      <c r="G137" s="33" t="s">
        <v>38</v>
      </c>
      <c r="H137" s="22" t="s">
        <v>39</v>
      </c>
      <c r="I137" s="23">
        <v>-0.65999999999974079</v>
      </c>
      <c r="J137" s="23">
        <v>0</v>
      </c>
      <c r="K137" s="23">
        <v>0</v>
      </c>
      <c r="L137" s="23">
        <v>1022.1800000000039</v>
      </c>
      <c r="M137" s="23">
        <v>675</v>
      </c>
      <c r="N137" s="23">
        <v>130.41999999999999</v>
      </c>
      <c r="O137" s="23">
        <v>0</v>
      </c>
      <c r="P137" s="23">
        <f>Tabela1[[#This Row],[1QZ DE MARÇO 26]]-Tabela1[[#This Row],[SALDO PENDENTE COM CX REPR.]]-Tabela1[[#This Row],[SALDO CARTAO]]-Tabela1[[#This Row],[ADIANTAMENTO]]</f>
        <v>544.58000000000004</v>
      </c>
      <c r="Q137" s="23">
        <f>Tabela1[[#This Row],[1QZ DE MARÇO 26]]-Tabela1[[#This Row],[SALDO PENDENTE SEM CX REPR.]]-Tabela1[[#This Row],[SALDO CARTAO]]-Tabela1[[#This Row],[ADIANTAMENTO]]</f>
        <v>-477.60000000000389</v>
      </c>
      <c r="R137" s="23">
        <v>0</v>
      </c>
      <c r="S137" s="40">
        <f>IF(Tabela1[[#This Row],[CARGA PARCIAL]]&lt;0,0,Tabela1[[#This Row],[CARGA PARCIAL]]+Tabela1[[#This Row],[REEMBOLSO]])</f>
        <v>544.58000000000004</v>
      </c>
      <c r="T137" s="40">
        <f>IF(Tabela1[[#This Row],[CARGA PARCIAL SEM CX REPROV.]]&lt;0,0,Tabela1[[#This Row],[CARGA PARCIAL]]+Tabela1[[#This Row],[REEMBOLSO]])</f>
        <v>0</v>
      </c>
      <c r="U137" s="24" t="s">
        <v>22</v>
      </c>
      <c r="V137" s="24"/>
    </row>
    <row r="138" spans="2:22" hidden="1" x14ac:dyDescent="0.25">
      <c r="B138" s="31" t="s">
        <v>811</v>
      </c>
      <c r="C138" s="32" t="s">
        <v>554</v>
      </c>
      <c r="D138" s="33" t="s">
        <v>18</v>
      </c>
      <c r="E138" s="33" t="s">
        <v>121</v>
      </c>
      <c r="F138" s="33">
        <v>1201020</v>
      </c>
      <c r="G138" s="33" t="s">
        <v>122</v>
      </c>
      <c r="H138" s="22" t="s">
        <v>123</v>
      </c>
      <c r="I138" s="23">
        <v>0</v>
      </c>
      <c r="J138" s="23">
        <v>278.97000000000014</v>
      </c>
      <c r="K138" s="23">
        <v>0</v>
      </c>
      <c r="L138" s="23">
        <v>749.99999999999977</v>
      </c>
      <c r="M138" s="23">
        <v>0</v>
      </c>
      <c r="N138" s="23">
        <v>0</v>
      </c>
      <c r="O138" s="23">
        <v>0</v>
      </c>
      <c r="P138" s="23">
        <f>Tabela1[[#This Row],[1QZ DE MARÇO 26]]-Tabela1[[#This Row],[SALDO PENDENTE COM CX REPR.]]-Tabela1[[#This Row],[SALDO CARTAO]]-Tabela1[[#This Row],[ADIANTAMENTO]]</f>
        <v>-278.97000000000014</v>
      </c>
      <c r="Q138" s="23">
        <f>Tabela1[[#This Row],[1QZ DE MARÇO 26]]-Tabela1[[#This Row],[SALDO PENDENTE SEM CX REPR.]]-Tabela1[[#This Row],[SALDO CARTAO]]-Tabela1[[#This Row],[ADIANTAMENTO]]</f>
        <v>-749.99999999999977</v>
      </c>
      <c r="R138" s="23">
        <v>0</v>
      </c>
      <c r="S138" s="40">
        <f>IF(Tabela1[[#This Row],[CARGA PARCIAL]]&lt;0,0,Tabela1[[#This Row],[CARGA PARCIAL]]+Tabela1[[#This Row],[REEMBOLSO]])</f>
        <v>0</v>
      </c>
      <c r="T138" s="40">
        <f>IF(Tabela1[[#This Row],[CARGA PARCIAL SEM CX REPROV.]]&lt;0,0,Tabela1[[#This Row],[CARGA PARCIAL]]+Tabela1[[#This Row],[REEMBOLSO]])</f>
        <v>0</v>
      </c>
      <c r="U138" s="24" t="s">
        <v>22</v>
      </c>
      <c r="V138" s="24"/>
    </row>
    <row r="139" spans="2:22" hidden="1" x14ac:dyDescent="0.25">
      <c r="B139" s="33" t="s">
        <v>812</v>
      </c>
      <c r="C139" s="33" t="s">
        <v>155</v>
      </c>
      <c r="D139" s="33" t="s">
        <v>18</v>
      </c>
      <c r="E139" s="33" t="s">
        <v>156</v>
      </c>
      <c r="F139" s="33">
        <v>11062670001</v>
      </c>
      <c r="G139" s="33" t="s">
        <v>38</v>
      </c>
      <c r="H139" s="33" t="s">
        <v>39</v>
      </c>
      <c r="I139" s="23">
        <v>0</v>
      </c>
      <c r="J139" s="23">
        <v>396.66000000000258</v>
      </c>
      <c r="K139" s="23">
        <v>0</v>
      </c>
      <c r="L139" s="23">
        <v>1650.69</v>
      </c>
      <c r="M139" s="23">
        <v>1600</v>
      </c>
      <c r="N139" s="23">
        <v>561.36</v>
      </c>
      <c r="O139" s="23">
        <v>0</v>
      </c>
      <c r="P139" s="23">
        <f>Tabela1[[#This Row],[1QZ DE MARÇO 26]]-Tabela1[[#This Row],[SALDO PENDENTE COM CX REPR.]]-Tabela1[[#This Row],[SALDO CARTAO]]-Tabela1[[#This Row],[ADIANTAMENTO]]</f>
        <v>641.9799999999974</v>
      </c>
      <c r="Q139" s="23">
        <f>Tabela1[[#This Row],[1QZ DE MARÇO 26]]-Tabela1[[#This Row],[SALDO PENDENTE SEM CX REPR.]]-Tabela1[[#This Row],[SALDO CARTAO]]-Tabela1[[#This Row],[ADIANTAMENTO]]</f>
        <v>-612.05000000000007</v>
      </c>
      <c r="R139" s="23">
        <v>0</v>
      </c>
      <c r="S139" s="40">
        <f>IF(Tabela1[[#This Row],[CARGA PARCIAL]]&lt;0,0,Tabela1[[#This Row],[CARGA PARCIAL]]+Tabela1[[#This Row],[REEMBOLSO]])</f>
        <v>641.9799999999974</v>
      </c>
      <c r="T139" s="40">
        <f>IF(Tabela1[[#This Row],[CARGA PARCIAL SEM CX REPROV.]]&lt;0,0,Tabela1[[#This Row],[CARGA PARCIAL]]+Tabela1[[#This Row],[REEMBOLSO]])</f>
        <v>0</v>
      </c>
      <c r="U139" s="24" t="s">
        <v>22</v>
      </c>
      <c r="V139" s="24"/>
    </row>
    <row r="140" spans="2:22" hidden="1" x14ac:dyDescent="0.25">
      <c r="B140" s="33" t="s">
        <v>813</v>
      </c>
      <c r="C140" s="33" t="s">
        <v>555</v>
      </c>
      <c r="D140" s="33" t="s">
        <v>18</v>
      </c>
      <c r="E140" s="33" t="s">
        <v>44</v>
      </c>
      <c r="F140" s="33">
        <v>1104150001</v>
      </c>
      <c r="G140" s="33" t="s">
        <v>45</v>
      </c>
      <c r="H140" s="22" t="s">
        <v>39</v>
      </c>
      <c r="I140" s="23">
        <v>0</v>
      </c>
      <c r="J140" s="23">
        <v>127.18000000000052</v>
      </c>
      <c r="K140" s="23">
        <v>0</v>
      </c>
      <c r="L140" s="23">
        <v>4.7999999999998542</v>
      </c>
      <c r="M140" s="23">
        <v>0</v>
      </c>
      <c r="N140" s="23">
        <v>0</v>
      </c>
      <c r="O140" s="23">
        <v>0</v>
      </c>
      <c r="P140" s="23">
        <f>Tabela1[[#This Row],[1QZ DE MARÇO 26]]-Tabela1[[#This Row],[SALDO PENDENTE COM CX REPR.]]-Tabela1[[#This Row],[SALDO CARTAO]]-Tabela1[[#This Row],[ADIANTAMENTO]]</f>
        <v>-127.18000000000052</v>
      </c>
      <c r="Q140" s="23">
        <f>Tabela1[[#This Row],[1QZ DE MARÇO 26]]-Tabela1[[#This Row],[SALDO PENDENTE SEM CX REPR.]]-Tabela1[[#This Row],[SALDO CARTAO]]-Tabela1[[#This Row],[ADIANTAMENTO]]</f>
        <v>-4.7999999999998542</v>
      </c>
      <c r="R140" s="23">
        <v>0</v>
      </c>
      <c r="S140" s="40">
        <f>IF(Tabela1[[#This Row],[CARGA PARCIAL]]&lt;0,0,Tabela1[[#This Row],[CARGA PARCIAL]]+Tabela1[[#This Row],[REEMBOLSO]])</f>
        <v>0</v>
      </c>
      <c r="T140" s="40">
        <f>IF(Tabela1[[#This Row],[CARGA PARCIAL SEM CX REPROV.]]&lt;0,0,Tabela1[[#This Row],[CARGA PARCIAL]]+Tabela1[[#This Row],[REEMBOLSO]])</f>
        <v>0</v>
      </c>
      <c r="U140" s="27" t="s">
        <v>22</v>
      </c>
      <c r="V140" s="24"/>
    </row>
    <row r="141" spans="2:22" hidden="1" x14ac:dyDescent="0.25">
      <c r="B141" s="33" t="s">
        <v>814</v>
      </c>
      <c r="C141" s="33" t="s">
        <v>556</v>
      </c>
      <c r="D141" s="33" t="s">
        <v>18</v>
      </c>
      <c r="E141" s="33" t="s">
        <v>532</v>
      </c>
      <c r="F141" s="33">
        <v>11063050001</v>
      </c>
      <c r="G141" s="33" t="s">
        <v>54</v>
      </c>
      <c r="H141" s="33" t="s">
        <v>39</v>
      </c>
      <c r="I141" s="23">
        <v>0</v>
      </c>
      <c r="J141" s="23">
        <v>2646.5</v>
      </c>
      <c r="K141" s="23">
        <v>0</v>
      </c>
      <c r="L141" s="23">
        <v>2.25</v>
      </c>
      <c r="M141" s="23">
        <v>0</v>
      </c>
      <c r="N141" s="23">
        <v>666.29</v>
      </c>
      <c r="O141" s="23">
        <v>0</v>
      </c>
      <c r="P141" s="23">
        <f>Tabela1[[#This Row],[1QZ DE MARÇO 26]]-Tabela1[[#This Row],[SALDO PENDENTE COM CX REPR.]]-Tabela1[[#This Row],[SALDO CARTAO]]-Tabela1[[#This Row],[ADIANTAMENTO]]</f>
        <v>-3312.79</v>
      </c>
      <c r="Q141" s="23">
        <f>Tabela1[[#This Row],[1QZ DE MARÇO 26]]-Tabela1[[#This Row],[SALDO PENDENTE SEM CX REPR.]]-Tabela1[[#This Row],[SALDO CARTAO]]-Tabela1[[#This Row],[ADIANTAMENTO]]</f>
        <v>-668.54</v>
      </c>
      <c r="R141" s="23">
        <v>0</v>
      </c>
      <c r="S141" s="40">
        <f>IF(Tabela1[[#This Row],[CARGA PARCIAL]]&lt;0,0,Tabela1[[#This Row],[CARGA PARCIAL]]+Tabela1[[#This Row],[REEMBOLSO]])</f>
        <v>0</v>
      </c>
      <c r="T141" s="40">
        <f>IF(Tabela1[[#This Row],[CARGA PARCIAL SEM CX REPROV.]]&lt;0,0,Tabela1[[#This Row],[CARGA PARCIAL]]+Tabela1[[#This Row],[REEMBOLSO]])</f>
        <v>0</v>
      </c>
      <c r="U141" s="27" t="s">
        <v>22</v>
      </c>
      <c r="V141" s="24"/>
    </row>
    <row r="142" spans="2:22" hidden="1" x14ac:dyDescent="0.25">
      <c r="B142" s="34" t="s">
        <v>815</v>
      </c>
      <c r="C142" s="34" t="s">
        <v>169</v>
      </c>
      <c r="D142" s="34" t="s">
        <v>18</v>
      </c>
      <c r="E142" s="33" t="s">
        <v>170</v>
      </c>
      <c r="F142" s="33">
        <v>11062760001</v>
      </c>
      <c r="G142" s="33" t="s">
        <v>48</v>
      </c>
      <c r="H142" s="33" t="s">
        <v>35</v>
      </c>
      <c r="I142" s="23">
        <v>0</v>
      </c>
      <c r="J142" s="23">
        <v>1477.3300000000017</v>
      </c>
      <c r="K142" s="23">
        <v>0</v>
      </c>
      <c r="L142" s="23">
        <v>0</v>
      </c>
      <c r="M142" s="23">
        <v>750</v>
      </c>
      <c r="N142" s="23">
        <v>734.8</v>
      </c>
      <c r="O142" s="23">
        <v>0</v>
      </c>
      <c r="P142" s="23">
        <f>Tabela1[[#This Row],[1QZ DE MARÇO 26]]-Tabela1[[#This Row],[SALDO PENDENTE COM CX REPR.]]-Tabela1[[#This Row],[SALDO CARTAO]]-Tabela1[[#This Row],[ADIANTAMENTO]]</f>
        <v>-1462.1300000000017</v>
      </c>
      <c r="Q142" s="23">
        <f>Tabela1[[#This Row],[1QZ DE MARÇO 26]]-Tabela1[[#This Row],[SALDO PENDENTE SEM CX REPR.]]-Tabela1[[#This Row],[SALDO CARTAO]]-Tabela1[[#This Row],[ADIANTAMENTO]]</f>
        <v>15.200000000000045</v>
      </c>
      <c r="R142" s="23">
        <v>0</v>
      </c>
      <c r="S142" s="40">
        <f>IF(Tabela1[[#This Row],[CARGA PARCIAL]]&lt;0,0,Tabela1[[#This Row],[CARGA PARCIAL]]+Tabela1[[#This Row],[REEMBOLSO]])</f>
        <v>0</v>
      </c>
      <c r="T142" s="40">
        <f>IF(Tabela1[[#This Row],[CARGA PARCIAL SEM CX REPROV.]]&lt;0,0,Tabela1[[#This Row],[CARGA PARCIAL]]+Tabela1[[#This Row],[REEMBOLSO]])</f>
        <v>-1462.1300000000017</v>
      </c>
      <c r="U142" s="25" t="s">
        <v>22</v>
      </c>
      <c r="V142" s="26"/>
    </row>
    <row r="143" spans="2:22" hidden="1" x14ac:dyDescent="0.25">
      <c r="B143" s="37" t="s">
        <v>816</v>
      </c>
      <c r="C143" s="32" t="s">
        <v>392</v>
      </c>
      <c r="D143" s="33" t="s">
        <v>18</v>
      </c>
      <c r="E143" s="33" t="s">
        <v>393</v>
      </c>
      <c r="F143" s="33">
        <v>12010540001</v>
      </c>
      <c r="G143" s="33" t="s">
        <v>123</v>
      </c>
      <c r="H143" s="22" t="s">
        <v>123</v>
      </c>
      <c r="I143" s="23">
        <v>0</v>
      </c>
      <c r="J143" s="23">
        <v>21.310000000000002</v>
      </c>
      <c r="K143" s="23">
        <v>0</v>
      </c>
      <c r="L143" s="23">
        <v>1255.8899999999921</v>
      </c>
      <c r="M143" s="23">
        <v>0</v>
      </c>
      <c r="N143" s="23">
        <v>0</v>
      </c>
      <c r="O143" s="23">
        <v>0</v>
      </c>
      <c r="P143" s="23">
        <f>Tabela1[[#This Row],[1QZ DE MARÇO 26]]-Tabela1[[#This Row],[SALDO PENDENTE COM CX REPR.]]-Tabela1[[#This Row],[SALDO CARTAO]]-Tabela1[[#This Row],[ADIANTAMENTO]]</f>
        <v>-21.310000000000002</v>
      </c>
      <c r="Q143" s="23">
        <f>Tabela1[[#This Row],[1QZ DE MARÇO 26]]-Tabela1[[#This Row],[SALDO PENDENTE SEM CX REPR.]]-Tabela1[[#This Row],[SALDO CARTAO]]-Tabela1[[#This Row],[ADIANTAMENTO]]</f>
        <v>-1255.8899999999921</v>
      </c>
      <c r="R143" s="23">
        <v>0</v>
      </c>
      <c r="S143" s="40">
        <f>IF(Tabela1[[#This Row],[CARGA PARCIAL]]&lt;0,0,Tabela1[[#This Row],[CARGA PARCIAL]]+Tabela1[[#This Row],[REEMBOLSO]])</f>
        <v>0</v>
      </c>
      <c r="T143" s="40">
        <f>IF(Tabela1[[#This Row],[CARGA PARCIAL SEM CX REPROV.]]&lt;0,0,Tabela1[[#This Row],[CARGA PARCIAL]]+Tabela1[[#This Row],[REEMBOLSO]])</f>
        <v>0</v>
      </c>
      <c r="U143" s="24" t="s">
        <v>22</v>
      </c>
      <c r="V143" s="24"/>
    </row>
    <row r="144" spans="2:22" hidden="1" x14ac:dyDescent="0.25">
      <c r="B144" s="31" t="s">
        <v>817</v>
      </c>
      <c r="C144" s="32" t="s">
        <v>102</v>
      </c>
      <c r="D144" s="33" t="s">
        <v>18</v>
      </c>
      <c r="E144" s="33" t="s">
        <v>27</v>
      </c>
      <c r="F144" s="33">
        <v>11030870001</v>
      </c>
      <c r="G144" s="33" t="s">
        <v>28</v>
      </c>
      <c r="H144" s="22" t="s">
        <v>21</v>
      </c>
      <c r="I144" s="23">
        <v>0</v>
      </c>
      <c r="J144" s="23">
        <v>567.81000000000495</v>
      </c>
      <c r="K144" s="23">
        <v>0</v>
      </c>
      <c r="L144" s="23">
        <v>1075.8499999999949</v>
      </c>
      <c r="M144" s="23">
        <v>1000</v>
      </c>
      <c r="N144" s="23">
        <v>0</v>
      </c>
      <c r="O144" s="23">
        <v>0</v>
      </c>
      <c r="P144" s="23">
        <f>Tabela1[[#This Row],[1QZ DE MARÇO 26]]-Tabela1[[#This Row],[SALDO PENDENTE COM CX REPR.]]-Tabela1[[#This Row],[SALDO CARTAO]]-Tabela1[[#This Row],[ADIANTAMENTO]]</f>
        <v>432.18999999999505</v>
      </c>
      <c r="Q144" s="23">
        <f>Tabela1[[#This Row],[1QZ DE MARÇO 26]]-Tabela1[[#This Row],[SALDO PENDENTE SEM CX REPR.]]-Tabela1[[#This Row],[SALDO CARTAO]]-Tabela1[[#This Row],[ADIANTAMENTO]]</f>
        <v>-75.849999999994907</v>
      </c>
      <c r="R144" s="23">
        <v>0</v>
      </c>
      <c r="S144" s="40">
        <f>IF(Tabela1[[#This Row],[CARGA PARCIAL]]&lt;0,0,Tabela1[[#This Row],[CARGA PARCIAL]]+Tabela1[[#This Row],[REEMBOLSO]])</f>
        <v>432.18999999999505</v>
      </c>
      <c r="T144" s="40">
        <f>IF(Tabela1[[#This Row],[CARGA PARCIAL SEM CX REPROV.]]&lt;0,0,Tabela1[[#This Row],[CARGA PARCIAL]]+Tabela1[[#This Row],[REEMBOLSO]])</f>
        <v>0</v>
      </c>
      <c r="U144" s="24" t="s">
        <v>22</v>
      </c>
      <c r="V144" s="24"/>
    </row>
    <row r="145" spans="2:22" hidden="1" x14ac:dyDescent="0.25">
      <c r="B145" s="31" t="s">
        <v>818</v>
      </c>
      <c r="C145" s="32" t="s">
        <v>244</v>
      </c>
      <c r="D145" s="33" t="s">
        <v>18</v>
      </c>
      <c r="E145" s="33" t="s">
        <v>99</v>
      </c>
      <c r="F145" s="33">
        <v>11040040001</v>
      </c>
      <c r="G145" s="33" t="s">
        <v>25</v>
      </c>
      <c r="H145" s="22" t="s">
        <v>21</v>
      </c>
      <c r="I145" s="23">
        <v>0</v>
      </c>
      <c r="J145" s="23">
        <v>480.45000000000312</v>
      </c>
      <c r="K145" s="23">
        <v>0</v>
      </c>
      <c r="L145" s="23">
        <v>499.81</v>
      </c>
      <c r="M145" s="23">
        <v>400</v>
      </c>
      <c r="N145" s="23">
        <v>0</v>
      </c>
      <c r="O145" s="23">
        <v>0</v>
      </c>
      <c r="P145" s="23">
        <f>Tabela1[[#This Row],[1QZ DE MARÇO 26]]-Tabela1[[#This Row],[SALDO PENDENTE COM CX REPR.]]-Tabela1[[#This Row],[SALDO CARTAO]]-Tabela1[[#This Row],[ADIANTAMENTO]]</f>
        <v>-80.450000000003115</v>
      </c>
      <c r="Q145" s="23">
        <f>Tabela1[[#This Row],[1QZ DE MARÇO 26]]-Tabela1[[#This Row],[SALDO PENDENTE SEM CX REPR.]]-Tabela1[[#This Row],[SALDO CARTAO]]-Tabela1[[#This Row],[ADIANTAMENTO]]</f>
        <v>-99.81</v>
      </c>
      <c r="R145" s="23">
        <v>0</v>
      </c>
      <c r="S145" s="40">
        <f>IF(Tabela1[[#This Row],[CARGA PARCIAL]]&lt;0,0,Tabela1[[#This Row],[CARGA PARCIAL]]+Tabela1[[#This Row],[REEMBOLSO]])</f>
        <v>0</v>
      </c>
      <c r="T145" s="40">
        <f>IF(Tabela1[[#This Row],[CARGA PARCIAL SEM CX REPROV.]]&lt;0,0,Tabela1[[#This Row],[CARGA PARCIAL]]+Tabela1[[#This Row],[REEMBOLSO]])</f>
        <v>0</v>
      </c>
      <c r="U145" s="24" t="s">
        <v>22</v>
      </c>
      <c r="V145" s="24"/>
    </row>
    <row r="146" spans="2:22" hidden="1" x14ac:dyDescent="0.25">
      <c r="B146" s="31" t="s">
        <v>819</v>
      </c>
      <c r="C146" s="32" t="s">
        <v>194</v>
      </c>
      <c r="D146" s="33" t="s">
        <v>18</v>
      </c>
      <c r="E146" s="33" t="s">
        <v>195</v>
      </c>
      <c r="F146" s="33">
        <v>11030710001</v>
      </c>
      <c r="G146" s="33" t="s">
        <v>42</v>
      </c>
      <c r="H146" s="22" t="s">
        <v>39</v>
      </c>
      <c r="I146" s="23">
        <v>0</v>
      </c>
      <c r="J146" s="23">
        <v>4272.6299999999719</v>
      </c>
      <c r="K146" s="23">
        <v>0</v>
      </c>
      <c r="L146" s="23">
        <v>96.13000000000001</v>
      </c>
      <c r="M146" s="23">
        <v>4000</v>
      </c>
      <c r="N146" s="23">
        <v>0</v>
      </c>
      <c r="O146" s="23">
        <v>0</v>
      </c>
      <c r="P146" s="23">
        <f>Tabela1[[#This Row],[1QZ DE MARÇO 26]]-Tabela1[[#This Row],[SALDO PENDENTE COM CX REPR.]]-Tabela1[[#This Row],[SALDO CARTAO]]-Tabela1[[#This Row],[ADIANTAMENTO]]</f>
        <v>-272.62999999997191</v>
      </c>
      <c r="Q146" s="23">
        <f>Tabela1[[#This Row],[1QZ DE MARÇO 26]]-Tabela1[[#This Row],[SALDO PENDENTE SEM CX REPR.]]-Tabela1[[#This Row],[SALDO CARTAO]]-Tabela1[[#This Row],[ADIANTAMENTO]]</f>
        <v>3903.87</v>
      </c>
      <c r="R146" s="23">
        <v>0</v>
      </c>
      <c r="S146" s="40">
        <f>IF(Tabela1[[#This Row],[CARGA PARCIAL]]&lt;0,0,Tabela1[[#This Row],[CARGA PARCIAL]]+Tabela1[[#This Row],[REEMBOLSO]])</f>
        <v>0</v>
      </c>
      <c r="T146" s="40">
        <f>IF(Tabela1[[#This Row],[CARGA PARCIAL SEM CX REPROV.]]&lt;0,0,Tabela1[[#This Row],[CARGA PARCIAL]]+Tabela1[[#This Row],[REEMBOLSO]])</f>
        <v>-272.62999999997191</v>
      </c>
      <c r="U146" s="24" t="s">
        <v>22</v>
      </c>
      <c r="V146" s="24"/>
    </row>
    <row r="147" spans="2:22" x14ac:dyDescent="0.25">
      <c r="B147" s="31" t="s">
        <v>988</v>
      </c>
      <c r="C147" s="32" t="s">
        <v>159</v>
      </c>
      <c r="D147" s="33" t="s">
        <v>18</v>
      </c>
      <c r="E147" s="33" t="s">
        <v>134</v>
      </c>
      <c r="F147" s="33">
        <v>11061720001</v>
      </c>
      <c r="G147" s="33" t="s">
        <v>42</v>
      </c>
      <c r="H147" s="22" t="s">
        <v>39</v>
      </c>
      <c r="I147" s="23">
        <v>-250.40000000000703</v>
      </c>
      <c r="J147" s="23">
        <v>0</v>
      </c>
      <c r="K147" s="23">
        <v>0</v>
      </c>
      <c r="L147" s="23">
        <v>724.77999999999975</v>
      </c>
      <c r="M147" s="23">
        <v>800</v>
      </c>
      <c r="N147" s="23">
        <v>0</v>
      </c>
      <c r="O147" s="23">
        <v>0</v>
      </c>
      <c r="P147" s="23">
        <f>Tabela1[[#This Row],[1QZ DE MARÇO 26]]-Tabela1[[#This Row],[SALDO PENDENTE COM CX REPR.]]-Tabela1[[#This Row],[SALDO CARTAO]]-Tabela1[[#This Row],[ADIANTAMENTO]]</f>
        <v>800</v>
      </c>
      <c r="Q147" s="23">
        <f>Tabela1[[#This Row],[1QZ DE MARÇO 26]]-Tabela1[[#This Row],[SALDO PENDENTE SEM CX REPR.]]-Tabela1[[#This Row],[SALDO CARTAO]]-Tabela1[[#This Row],[ADIANTAMENTO]]</f>
        <v>75.220000000000255</v>
      </c>
      <c r="R147" s="23">
        <v>0</v>
      </c>
      <c r="S147" s="40">
        <f>IF(Tabela1[[#This Row],[CARGA PARCIAL]]&lt;0,0,Tabela1[[#This Row],[CARGA PARCIAL]]+Tabela1[[#This Row],[REEMBOLSO]])</f>
        <v>800</v>
      </c>
      <c r="T147" s="40">
        <f>IF(Tabela1[[#This Row],[CARGA PARCIAL SEM CX REPROV.]]&lt;0,0,Tabela1[[#This Row],[CARGA PARCIAL]]+Tabela1[[#This Row],[REEMBOLSO]])</f>
        <v>800</v>
      </c>
      <c r="U147" s="24" t="s">
        <v>22</v>
      </c>
      <c r="V147" s="24"/>
    </row>
    <row r="148" spans="2:22" x14ac:dyDescent="0.25">
      <c r="B148" s="35" t="s">
        <v>821</v>
      </c>
      <c r="C148" s="36" t="s">
        <v>257</v>
      </c>
      <c r="D148" s="34" t="s">
        <v>18</v>
      </c>
      <c r="E148" s="33" t="s">
        <v>134</v>
      </c>
      <c r="F148" s="33">
        <v>11061720001</v>
      </c>
      <c r="G148" s="33" t="s">
        <v>42</v>
      </c>
      <c r="H148" s="22" t="s">
        <v>39</v>
      </c>
      <c r="I148" s="23">
        <v>0</v>
      </c>
      <c r="J148" s="23">
        <v>9.839999999999236</v>
      </c>
      <c r="K148" s="23">
        <v>0</v>
      </c>
      <c r="L148" s="23">
        <v>238</v>
      </c>
      <c r="M148" s="23">
        <v>800</v>
      </c>
      <c r="N148" s="23">
        <v>0</v>
      </c>
      <c r="O148" s="23">
        <v>0</v>
      </c>
      <c r="P148" s="23">
        <f>Tabela1[[#This Row],[1QZ DE MARÇO 26]]-Tabela1[[#This Row],[SALDO PENDENTE COM CX REPR.]]-Tabela1[[#This Row],[SALDO CARTAO]]-Tabela1[[#This Row],[ADIANTAMENTO]]</f>
        <v>790.16000000000076</v>
      </c>
      <c r="Q148" s="23">
        <f>Tabela1[[#This Row],[1QZ DE MARÇO 26]]-Tabela1[[#This Row],[SALDO PENDENTE SEM CX REPR.]]-Tabela1[[#This Row],[SALDO CARTAO]]-Tabela1[[#This Row],[ADIANTAMENTO]]</f>
        <v>562</v>
      </c>
      <c r="R148" s="23">
        <v>0</v>
      </c>
      <c r="S148" s="40">
        <f>IF(Tabela1[[#This Row],[CARGA PARCIAL]]&lt;0,0,Tabela1[[#This Row],[CARGA PARCIAL]]+Tabela1[[#This Row],[REEMBOLSO]])</f>
        <v>790.16000000000076</v>
      </c>
      <c r="T148" s="40">
        <f>IF(Tabela1[[#This Row],[CARGA PARCIAL SEM CX REPROV.]]&lt;0,0,Tabela1[[#This Row],[CARGA PARCIAL]]+Tabela1[[#This Row],[REEMBOLSO]])</f>
        <v>790.16000000000076</v>
      </c>
      <c r="U148" s="25" t="s">
        <v>22</v>
      </c>
      <c r="V148" s="26"/>
    </row>
    <row r="149" spans="2:22" hidden="1" x14ac:dyDescent="0.25">
      <c r="B149" s="33" t="s">
        <v>822</v>
      </c>
      <c r="C149" s="33" t="s">
        <v>558</v>
      </c>
      <c r="D149" s="33" t="s">
        <v>18</v>
      </c>
      <c r="E149" s="33" t="s">
        <v>471</v>
      </c>
      <c r="F149" s="33">
        <v>12010510001</v>
      </c>
      <c r="G149" s="33" t="s">
        <v>557</v>
      </c>
      <c r="H149" s="33" t="s">
        <v>123</v>
      </c>
      <c r="I149" s="23">
        <v>0</v>
      </c>
      <c r="J149" s="23">
        <v>0</v>
      </c>
      <c r="K149" s="23">
        <v>-65.00000000000189</v>
      </c>
      <c r="L149" s="23">
        <v>0</v>
      </c>
      <c r="M149" s="23">
        <v>0</v>
      </c>
      <c r="N149" s="23">
        <v>0</v>
      </c>
      <c r="O149" s="23">
        <v>0</v>
      </c>
      <c r="P149" s="23">
        <f>Tabela1[[#This Row],[1QZ DE MARÇO 26]]-Tabela1[[#This Row],[SALDO PENDENTE COM CX REPR.]]-Tabela1[[#This Row],[SALDO CARTAO]]-Tabela1[[#This Row],[ADIANTAMENTO]]</f>
        <v>0</v>
      </c>
      <c r="Q149" s="23">
        <f>Tabela1[[#This Row],[1QZ DE MARÇO 26]]-Tabela1[[#This Row],[SALDO PENDENTE SEM CX REPR.]]-Tabela1[[#This Row],[SALDO CARTAO]]-Tabela1[[#This Row],[ADIANTAMENTO]]</f>
        <v>0</v>
      </c>
      <c r="R149" s="23">
        <v>0</v>
      </c>
      <c r="S149" s="40">
        <f>IF(Tabela1[[#This Row],[CARGA PARCIAL]]&lt;0,0,Tabela1[[#This Row],[CARGA PARCIAL]]+Tabela1[[#This Row],[REEMBOLSO]])</f>
        <v>0</v>
      </c>
      <c r="T149" s="40">
        <f>IF(Tabela1[[#This Row],[CARGA PARCIAL SEM CX REPROV.]]&lt;0,0,Tabela1[[#This Row],[CARGA PARCIAL]]+Tabela1[[#This Row],[REEMBOLSO]])</f>
        <v>0</v>
      </c>
      <c r="U149" s="24" t="s">
        <v>60</v>
      </c>
      <c r="V149" s="24"/>
    </row>
    <row r="150" spans="2:22" x14ac:dyDescent="0.25">
      <c r="B150" s="31" t="s">
        <v>823</v>
      </c>
      <c r="C150" s="32" t="s">
        <v>654</v>
      </c>
      <c r="D150" s="33" t="s">
        <v>18</v>
      </c>
      <c r="E150" s="33" t="s">
        <v>156</v>
      </c>
      <c r="F150" s="33">
        <v>11062670001</v>
      </c>
      <c r="G150" s="33" t="s">
        <v>38</v>
      </c>
      <c r="H150" s="22" t="s">
        <v>39</v>
      </c>
      <c r="I150" s="23">
        <v>0</v>
      </c>
      <c r="J150" s="23">
        <v>0</v>
      </c>
      <c r="K150" s="23">
        <v>0</v>
      </c>
      <c r="L150" s="23">
        <v>0</v>
      </c>
      <c r="M150" s="23">
        <v>800</v>
      </c>
      <c r="N150" s="23">
        <v>0</v>
      </c>
      <c r="O150" s="23">
        <v>0</v>
      </c>
      <c r="P150" s="23">
        <f>Tabela1[[#This Row],[1QZ DE MARÇO 26]]-Tabela1[[#This Row],[SALDO PENDENTE COM CX REPR.]]-Tabela1[[#This Row],[SALDO CARTAO]]-Tabela1[[#This Row],[ADIANTAMENTO]]</f>
        <v>800</v>
      </c>
      <c r="Q150" s="23">
        <f>Tabela1[[#This Row],[1QZ DE MARÇO 26]]-Tabela1[[#This Row],[SALDO PENDENTE SEM CX REPR.]]-Tabela1[[#This Row],[SALDO CARTAO]]-Tabela1[[#This Row],[ADIANTAMENTO]]</f>
        <v>800</v>
      </c>
      <c r="R150" s="23">
        <v>0</v>
      </c>
      <c r="S150" s="40">
        <f>IF(Tabela1[[#This Row],[CARGA PARCIAL]]&lt;0,0,Tabela1[[#This Row],[CARGA PARCIAL]]+Tabela1[[#This Row],[REEMBOLSO]])</f>
        <v>800</v>
      </c>
      <c r="T150" s="40">
        <f>IF(Tabela1[[#This Row],[CARGA PARCIAL SEM CX REPROV.]]&lt;0,0,Tabela1[[#This Row],[CARGA PARCIAL]]+Tabela1[[#This Row],[REEMBOLSO]])</f>
        <v>800</v>
      </c>
      <c r="U150" s="24" t="s">
        <v>22</v>
      </c>
      <c r="V150" s="24"/>
    </row>
    <row r="151" spans="2:22" x14ac:dyDescent="0.25">
      <c r="B151" s="33" t="s">
        <v>824</v>
      </c>
      <c r="C151" s="33" t="s">
        <v>190</v>
      </c>
      <c r="D151" s="33" t="s">
        <v>18</v>
      </c>
      <c r="E151" s="33" t="s">
        <v>191</v>
      </c>
      <c r="F151" s="33">
        <v>11080170001</v>
      </c>
      <c r="G151" s="33" t="s">
        <v>38</v>
      </c>
      <c r="H151" s="33" t="s">
        <v>39</v>
      </c>
      <c r="I151" s="23">
        <v>-27.990000000012515</v>
      </c>
      <c r="J151" s="23">
        <v>0</v>
      </c>
      <c r="K151" s="23">
        <v>0</v>
      </c>
      <c r="L151" s="23">
        <v>13.530000000003383</v>
      </c>
      <c r="M151" s="23">
        <v>3000</v>
      </c>
      <c r="N151" s="23">
        <v>0</v>
      </c>
      <c r="O151" s="23">
        <v>0</v>
      </c>
      <c r="P151" s="23">
        <f>Tabela1[[#This Row],[1QZ DE MARÇO 26]]-Tabela1[[#This Row],[SALDO PENDENTE COM CX REPR.]]-Tabela1[[#This Row],[SALDO CARTAO]]-Tabela1[[#This Row],[ADIANTAMENTO]]</f>
        <v>3000</v>
      </c>
      <c r="Q151" s="23">
        <f>Tabela1[[#This Row],[1QZ DE MARÇO 26]]-Tabela1[[#This Row],[SALDO PENDENTE SEM CX REPR.]]-Tabela1[[#This Row],[SALDO CARTAO]]-Tabela1[[#This Row],[ADIANTAMENTO]]</f>
        <v>2986.4699999999966</v>
      </c>
      <c r="R151" s="23">
        <v>0</v>
      </c>
      <c r="S151" s="40">
        <f>IF(Tabela1[[#This Row],[CARGA PARCIAL]]&lt;0,0,Tabela1[[#This Row],[CARGA PARCIAL]]+Tabela1[[#This Row],[REEMBOLSO]])</f>
        <v>3000</v>
      </c>
      <c r="T151" s="40">
        <f>IF(Tabela1[[#This Row],[CARGA PARCIAL SEM CX REPROV.]]&lt;0,0,Tabela1[[#This Row],[CARGA PARCIAL]]+Tabela1[[#This Row],[REEMBOLSO]])</f>
        <v>3000</v>
      </c>
      <c r="U151" s="24" t="s">
        <v>22</v>
      </c>
      <c r="V151" s="24"/>
    </row>
    <row r="152" spans="2:22" hidden="1" x14ac:dyDescent="0.25">
      <c r="B152" s="37" t="s">
        <v>825</v>
      </c>
      <c r="C152" s="32" t="s">
        <v>655</v>
      </c>
      <c r="D152" s="33" t="s">
        <v>18</v>
      </c>
      <c r="E152" s="33" t="s">
        <v>532</v>
      </c>
      <c r="F152" s="33">
        <v>11063050001</v>
      </c>
      <c r="G152" s="33" t="s">
        <v>54</v>
      </c>
      <c r="H152" s="22" t="s">
        <v>39</v>
      </c>
      <c r="I152" s="23">
        <v>0</v>
      </c>
      <c r="J152" s="23">
        <v>2008.5</v>
      </c>
      <c r="K152" s="23">
        <v>0</v>
      </c>
      <c r="L152" s="23">
        <v>600.05999999999995</v>
      </c>
      <c r="M152" s="23">
        <v>0</v>
      </c>
      <c r="N152" s="23">
        <v>0</v>
      </c>
      <c r="O152" s="23">
        <v>0</v>
      </c>
      <c r="P152" s="23">
        <f>Tabela1[[#This Row],[1QZ DE MARÇO 26]]-Tabela1[[#This Row],[SALDO PENDENTE COM CX REPR.]]-Tabela1[[#This Row],[SALDO CARTAO]]-Tabela1[[#This Row],[ADIANTAMENTO]]</f>
        <v>-2008.5</v>
      </c>
      <c r="Q152" s="23">
        <f>Tabela1[[#This Row],[1QZ DE MARÇO 26]]-Tabela1[[#This Row],[SALDO PENDENTE SEM CX REPR.]]-Tabela1[[#This Row],[SALDO CARTAO]]-Tabela1[[#This Row],[ADIANTAMENTO]]</f>
        <v>-600.05999999999995</v>
      </c>
      <c r="R152" s="23">
        <v>0</v>
      </c>
      <c r="S152" s="40">
        <f>IF(Tabela1[[#This Row],[CARGA PARCIAL]]&lt;0,0,Tabela1[[#This Row],[CARGA PARCIAL]]+Tabela1[[#This Row],[REEMBOLSO]])</f>
        <v>0</v>
      </c>
      <c r="T152" s="40">
        <f>IF(Tabela1[[#This Row],[CARGA PARCIAL SEM CX REPROV.]]&lt;0,0,Tabela1[[#This Row],[CARGA PARCIAL]]+Tabela1[[#This Row],[REEMBOLSO]])</f>
        <v>0</v>
      </c>
      <c r="U152" s="24" t="s">
        <v>22</v>
      </c>
      <c r="V152" s="24"/>
    </row>
    <row r="153" spans="2:22" x14ac:dyDescent="0.25">
      <c r="B153" s="37" t="s">
        <v>826</v>
      </c>
      <c r="C153" s="32" t="s">
        <v>183</v>
      </c>
      <c r="D153" s="33" t="s">
        <v>18</v>
      </c>
      <c r="E153" s="33" t="s">
        <v>97</v>
      </c>
      <c r="F153" s="33">
        <v>11061480001</v>
      </c>
      <c r="G153" s="33" t="s">
        <v>20</v>
      </c>
      <c r="H153" s="22" t="s">
        <v>21</v>
      </c>
      <c r="I153" s="23">
        <v>0</v>
      </c>
      <c r="J153" s="23">
        <v>3333.4799999999773</v>
      </c>
      <c r="K153" s="23">
        <v>0</v>
      </c>
      <c r="L153" s="23">
        <v>460.43000000000006</v>
      </c>
      <c r="M153" s="23">
        <v>4000</v>
      </c>
      <c r="N153" s="23"/>
      <c r="O153" s="23">
        <v>0</v>
      </c>
      <c r="P153" s="23">
        <f>Tabela1[[#This Row],[1QZ DE MARÇO 26]]-Tabela1[[#This Row],[SALDO PENDENTE COM CX REPR.]]-Tabela1[[#This Row],[SALDO CARTAO]]-Tabela1[[#This Row],[ADIANTAMENTO]]</f>
        <v>666.52000000002272</v>
      </c>
      <c r="Q153" s="23">
        <f>Tabela1[[#This Row],[1QZ DE MARÇO 26]]-Tabela1[[#This Row],[SALDO PENDENTE SEM CX REPR.]]-Tabela1[[#This Row],[SALDO CARTAO]]-Tabela1[[#This Row],[ADIANTAMENTO]]</f>
        <v>3539.5699999999997</v>
      </c>
      <c r="R153" s="23">
        <v>0</v>
      </c>
      <c r="S153" s="40">
        <f>IF(Tabela1[[#This Row],[CARGA PARCIAL]]&lt;0,0,Tabela1[[#This Row],[CARGA PARCIAL]]+Tabela1[[#This Row],[REEMBOLSO]])</f>
        <v>666.52000000002272</v>
      </c>
      <c r="T153" s="40">
        <f>IF(Tabela1[[#This Row],[CARGA PARCIAL SEM CX REPROV.]]&lt;0,0,Tabela1[[#This Row],[CARGA PARCIAL]]+Tabela1[[#This Row],[REEMBOLSO]])</f>
        <v>666.52000000002272</v>
      </c>
      <c r="U153" s="24" t="s">
        <v>22</v>
      </c>
      <c r="V153" s="24"/>
    </row>
    <row r="154" spans="2:22" hidden="1" x14ac:dyDescent="0.25">
      <c r="B154" s="31" t="s">
        <v>827</v>
      </c>
      <c r="C154" s="32" t="s">
        <v>559</v>
      </c>
      <c r="D154" s="33" t="s">
        <v>18</v>
      </c>
      <c r="E154" s="33" t="s">
        <v>560</v>
      </c>
      <c r="F154" s="33">
        <v>11030670001</v>
      </c>
      <c r="G154" s="33" t="s">
        <v>28</v>
      </c>
      <c r="H154" s="22" t="s">
        <v>21</v>
      </c>
      <c r="I154" s="23">
        <v>0</v>
      </c>
      <c r="J154" s="23">
        <v>4.33</v>
      </c>
      <c r="K154" s="23">
        <v>0</v>
      </c>
      <c r="L154" s="23">
        <v>90.999999999999773</v>
      </c>
      <c r="M154" s="23">
        <v>0</v>
      </c>
      <c r="N154" s="23">
        <v>0</v>
      </c>
      <c r="O154" s="23">
        <v>0</v>
      </c>
      <c r="P154" s="23">
        <f>Tabela1[[#This Row],[1QZ DE MARÇO 26]]-Tabela1[[#This Row],[SALDO PENDENTE COM CX REPR.]]-Tabela1[[#This Row],[SALDO CARTAO]]-Tabela1[[#This Row],[ADIANTAMENTO]]</f>
        <v>-4.33</v>
      </c>
      <c r="Q154" s="23">
        <f>Tabela1[[#This Row],[1QZ DE MARÇO 26]]-Tabela1[[#This Row],[SALDO PENDENTE SEM CX REPR.]]-Tabela1[[#This Row],[SALDO CARTAO]]-Tabela1[[#This Row],[ADIANTAMENTO]]</f>
        <v>-90.999999999999773</v>
      </c>
      <c r="R154" s="23">
        <v>0</v>
      </c>
      <c r="S154" s="40">
        <f>IF(Tabela1[[#This Row],[CARGA PARCIAL]]&lt;0,0,Tabela1[[#This Row],[CARGA PARCIAL]]+Tabela1[[#This Row],[REEMBOLSO]])</f>
        <v>0</v>
      </c>
      <c r="T154" s="40">
        <f>IF(Tabela1[[#This Row],[CARGA PARCIAL SEM CX REPROV.]]&lt;0,0,Tabela1[[#This Row],[CARGA PARCIAL]]+Tabela1[[#This Row],[REEMBOLSO]])</f>
        <v>0</v>
      </c>
      <c r="U154" s="24" t="s">
        <v>60</v>
      </c>
      <c r="V154" s="24"/>
    </row>
    <row r="155" spans="2:22" hidden="1" x14ac:dyDescent="0.25">
      <c r="B155" s="39" t="s">
        <v>828</v>
      </c>
      <c r="C155" s="36" t="s">
        <v>501</v>
      </c>
      <c r="D155" s="34" t="s">
        <v>18</v>
      </c>
      <c r="E155" s="33" t="s">
        <v>88</v>
      </c>
      <c r="F155" s="33">
        <v>11040130001</v>
      </c>
      <c r="G155" s="33" t="s">
        <v>45</v>
      </c>
      <c r="H155" s="22" t="s">
        <v>39</v>
      </c>
      <c r="I155" s="23">
        <v>0</v>
      </c>
      <c r="J155" s="23">
        <v>325.39999999999986</v>
      </c>
      <c r="K155" s="23">
        <v>0</v>
      </c>
      <c r="L155" s="23">
        <v>0</v>
      </c>
      <c r="M155" s="23">
        <v>160</v>
      </c>
      <c r="N155" s="23"/>
      <c r="O155" s="23">
        <v>0</v>
      </c>
      <c r="P155" s="23">
        <f>Tabela1[[#This Row],[1QZ DE MARÇO 26]]-Tabela1[[#This Row],[SALDO PENDENTE COM CX REPR.]]-Tabela1[[#This Row],[SALDO CARTAO]]-Tabela1[[#This Row],[ADIANTAMENTO]]</f>
        <v>-165.39999999999986</v>
      </c>
      <c r="Q155" s="23">
        <f>Tabela1[[#This Row],[1QZ DE MARÇO 26]]-Tabela1[[#This Row],[SALDO PENDENTE SEM CX REPR.]]-Tabela1[[#This Row],[SALDO CARTAO]]-Tabela1[[#This Row],[ADIANTAMENTO]]</f>
        <v>160</v>
      </c>
      <c r="R155" s="23">
        <v>0</v>
      </c>
      <c r="S155" s="40">
        <f>IF(Tabela1[[#This Row],[CARGA PARCIAL]]&lt;0,0,Tabela1[[#This Row],[CARGA PARCIAL]]+Tabela1[[#This Row],[REEMBOLSO]])</f>
        <v>0</v>
      </c>
      <c r="T155" s="40">
        <f>IF(Tabela1[[#This Row],[CARGA PARCIAL SEM CX REPROV.]]&lt;0,0,Tabela1[[#This Row],[CARGA PARCIAL]]+Tabela1[[#This Row],[REEMBOLSO]])</f>
        <v>-165.39999999999986</v>
      </c>
      <c r="U155" s="25" t="s">
        <v>22</v>
      </c>
      <c r="V155" s="26"/>
    </row>
    <row r="156" spans="2:22" x14ac:dyDescent="0.25">
      <c r="B156" s="31" t="s">
        <v>829</v>
      </c>
      <c r="C156" s="32" t="s">
        <v>341</v>
      </c>
      <c r="D156" s="33" t="s">
        <v>18</v>
      </c>
      <c r="E156" s="33" t="s">
        <v>342</v>
      </c>
      <c r="F156" s="33">
        <v>11030760001</v>
      </c>
      <c r="G156" s="33" t="s">
        <v>38</v>
      </c>
      <c r="H156" s="22" t="s">
        <v>39</v>
      </c>
      <c r="I156" s="23">
        <v>0</v>
      </c>
      <c r="J156" s="23">
        <v>607.08000000000084</v>
      </c>
      <c r="K156" s="23">
        <v>0</v>
      </c>
      <c r="L156" s="23">
        <v>196.78999999999951</v>
      </c>
      <c r="M156" s="23">
        <v>1500</v>
      </c>
      <c r="N156" s="23">
        <v>184.23</v>
      </c>
      <c r="O156" s="23">
        <v>0</v>
      </c>
      <c r="P156" s="23">
        <f>Tabela1[[#This Row],[1QZ DE MARÇO 26]]-Tabela1[[#This Row],[SALDO PENDENTE COM CX REPR.]]-Tabela1[[#This Row],[SALDO CARTAO]]-Tabela1[[#This Row],[ADIANTAMENTO]]</f>
        <v>708.68999999999915</v>
      </c>
      <c r="Q156" s="23">
        <f>Tabela1[[#This Row],[1QZ DE MARÇO 26]]-Tabela1[[#This Row],[SALDO PENDENTE SEM CX REPR.]]-Tabela1[[#This Row],[SALDO CARTAO]]-Tabela1[[#This Row],[ADIANTAMENTO]]</f>
        <v>1118.9800000000005</v>
      </c>
      <c r="R156" s="23">
        <v>0</v>
      </c>
      <c r="S156" s="40">
        <f>IF(Tabela1[[#This Row],[CARGA PARCIAL]]&lt;0,0,Tabela1[[#This Row],[CARGA PARCIAL]]+Tabela1[[#This Row],[REEMBOLSO]])</f>
        <v>708.68999999999915</v>
      </c>
      <c r="T156" s="40">
        <f>IF(Tabela1[[#This Row],[CARGA PARCIAL SEM CX REPROV.]]&lt;0,0,Tabela1[[#This Row],[CARGA PARCIAL]]+Tabela1[[#This Row],[REEMBOLSO]])</f>
        <v>708.68999999999915</v>
      </c>
      <c r="U156" s="24" t="s">
        <v>22</v>
      </c>
      <c r="V156" s="24"/>
    </row>
    <row r="157" spans="2:22" hidden="1" x14ac:dyDescent="0.25">
      <c r="B157" s="33" t="s">
        <v>830</v>
      </c>
      <c r="C157" s="33" t="s">
        <v>561</v>
      </c>
      <c r="D157" s="33" t="s">
        <v>18</v>
      </c>
      <c r="E157" s="33" t="s">
        <v>88</v>
      </c>
      <c r="F157" s="33">
        <v>11040130001</v>
      </c>
      <c r="G157" s="33" t="s">
        <v>45</v>
      </c>
      <c r="H157" s="33" t="s">
        <v>39</v>
      </c>
      <c r="I157" s="23">
        <v>0</v>
      </c>
      <c r="J157" s="23">
        <v>26.670000000000023</v>
      </c>
      <c r="K157" s="23">
        <v>0</v>
      </c>
      <c r="L157" s="23">
        <v>800</v>
      </c>
      <c r="M157" s="23">
        <v>0</v>
      </c>
      <c r="N157" s="23">
        <v>0</v>
      </c>
      <c r="O157" s="23">
        <v>0</v>
      </c>
      <c r="P157" s="23">
        <f>Tabela1[[#This Row],[1QZ DE MARÇO 26]]-Tabela1[[#This Row],[SALDO PENDENTE COM CX REPR.]]-Tabela1[[#This Row],[SALDO CARTAO]]-Tabela1[[#This Row],[ADIANTAMENTO]]</f>
        <v>-26.670000000000023</v>
      </c>
      <c r="Q157" s="23">
        <f>Tabela1[[#This Row],[1QZ DE MARÇO 26]]-Tabela1[[#This Row],[SALDO PENDENTE SEM CX REPR.]]-Tabela1[[#This Row],[SALDO CARTAO]]-Tabela1[[#This Row],[ADIANTAMENTO]]</f>
        <v>-800</v>
      </c>
      <c r="R157" s="23">
        <v>0</v>
      </c>
      <c r="S157" s="40">
        <f>IF(Tabela1[[#This Row],[CARGA PARCIAL]]&lt;0,0,Tabela1[[#This Row],[CARGA PARCIAL]]+Tabela1[[#This Row],[REEMBOLSO]])</f>
        <v>0</v>
      </c>
      <c r="T157" s="40">
        <f>IF(Tabela1[[#This Row],[CARGA PARCIAL SEM CX REPROV.]]&lt;0,0,Tabela1[[#This Row],[CARGA PARCIAL]]+Tabela1[[#This Row],[REEMBOLSO]])</f>
        <v>0</v>
      </c>
      <c r="U157" s="24" t="s">
        <v>22</v>
      </c>
      <c r="V157" s="24"/>
    </row>
    <row r="158" spans="2:22" hidden="1" x14ac:dyDescent="0.25">
      <c r="B158" s="35" t="s">
        <v>831</v>
      </c>
      <c r="C158" s="36" t="s">
        <v>562</v>
      </c>
      <c r="D158" s="34" t="s">
        <v>18</v>
      </c>
      <c r="E158" s="33" t="s">
        <v>525</v>
      </c>
      <c r="F158" s="33">
        <v>1001003</v>
      </c>
      <c r="G158" s="33" t="s">
        <v>563</v>
      </c>
      <c r="H158" s="22" t="s">
        <v>527</v>
      </c>
      <c r="I158" s="23">
        <v>0</v>
      </c>
      <c r="J158" s="23">
        <v>0</v>
      </c>
      <c r="K158" s="23">
        <v>0</v>
      </c>
      <c r="L158" s="23">
        <v>1791.0700000000027</v>
      </c>
      <c r="M158" s="23">
        <v>0</v>
      </c>
      <c r="N158" s="23">
        <v>0</v>
      </c>
      <c r="O158" s="23">
        <v>0</v>
      </c>
      <c r="P158" s="23">
        <f>Tabela1[[#This Row],[1QZ DE MARÇO 26]]-Tabela1[[#This Row],[SALDO PENDENTE COM CX REPR.]]-Tabela1[[#This Row],[SALDO CARTAO]]-Tabela1[[#This Row],[ADIANTAMENTO]]</f>
        <v>0</v>
      </c>
      <c r="Q158" s="23">
        <f>Tabela1[[#This Row],[1QZ DE MARÇO 26]]-Tabela1[[#This Row],[SALDO PENDENTE SEM CX REPR.]]-Tabela1[[#This Row],[SALDO CARTAO]]-Tabela1[[#This Row],[ADIANTAMENTO]]</f>
        <v>-1791.0700000000027</v>
      </c>
      <c r="R158" s="23">
        <v>0</v>
      </c>
      <c r="S158" s="40">
        <f>IF(Tabela1[[#This Row],[CARGA PARCIAL]]&lt;0,0,Tabela1[[#This Row],[CARGA PARCIAL]]+Tabela1[[#This Row],[REEMBOLSO]])</f>
        <v>0</v>
      </c>
      <c r="T158" s="40">
        <f>IF(Tabela1[[#This Row],[CARGA PARCIAL SEM CX REPROV.]]&lt;0,0,Tabela1[[#This Row],[CARGA PARCIAL]]+Tabela1[[#This Row],[REEMBOLSO]])</f>
        <v>0</v>
      </c>
      <c r="U158" s="25" t="s">
        <v>60</v>
      </c>
      <c r="V158" s="26"/>
    </row>
    <row r="159" spans="2:22" hidden="1" x14ac:dyDescent="0.25">
      <c r="B159" s="33" t="s">
        <v>832</v>
      </c>
      <c r="C159" s="33" t="s">
        <v>422</v>
      </c>
      <c r="D159" s="33" t="s">
        <v>18</v>
      </c>
      <c r="E159" s="33" t="s">
        <v>423</v>
      </c>
      <c r="F159" s="33">
        <v>11050090001</v>
      </c>
      <c r="G159" s="33" t="s">
        <v>28</v>
      </c>
      <c r="H159" s="33" t="s">
        <v>21</v>
      </c>
      <c r="I159" s="23">
        <v>0</v>
      </c>
      <c r="J159" s="23">
        <v>4000</v>
      </c>
      <c r="K159" s="23">
        <v>0</v>
      </c>
      <c r="L159" s="23">
        <v>144.74</v>
      </c>
      <c r="M159" s="23">
        <v>2000</v>
      </c>
      <c r="N159" s="23">
        <v>0</v>
      </c>
      <c r="O159" s="23">
        <v>0</v>
      </c>
      <c r="P159" s="23">
        <f>Tabela1[[#This Row],[1QZ DE MARÇO 26]]-Tabela1[[#This Row],[SALDO PENDENTE COM CX REPR.]]-Tabela1[[#This Row],[SALDO CARTAO]]-Tabela1[[#This Row],[ADIANTAMENTO]]</f>
        <v>-2000</v>
      </c>
      <c r="Q159" s="23">
        <f>Tabela1[[#This Row],[1QZ DE MARÇO 26]]-Tabela1[[#This Row],[SALDO PENDENTE SEM CX REPR.]]-Tabela1[[#This Row],[SALDO CARTAO]]-Tabela1[[#This Row],[ADIANTAMENTO]]</f>
        <v>1855.26</v>
      </c>
      <c r="R159" s="23">
        <v>0</v>
      </c>
      <c r="S159" s="40">
        <f>IF(Tabela1[[#This Row],[CARGA PARCIAL]]&lt;0,0,Tabela1[[#This Row],[CARGA PARCIAL]]+Tabela1[[#This Row],[REEMBOLSO]])</f>
        <v>0</v>
      </c>
      <c r="T159" s="40">
        <f>IF(Tabela1[[#This Row],[CARGA PARCIAL SEM CX REPROV.]]&lt;0,0,Tabela1[[#This Row],[CARGA PARCIAL]]+Tabela1[[#This Row],[REEMBOLSO]])</f>
        <v>-2000</v>
      </c>
      <c r="U159" s="24" t="s">
        <v>22</v>
      </c>
      <c r="V159" s="24"/>
    </row>
    <row r="160" spans="2:22" x14ac:dyDescent="0.25">
      <c r="B160" s="33" t="s">
        <v>833</v>
      </c>
      <c r="C160" s="33" t="s">
        <v>76</v>
      </c>
      <c r="D160" s="33" t="s">
        <v>18</v>
      </c>
      <c r="E160" s="33" t="s">
        <v>77</v>
      </c>
      <c r="F160" s="33">
        <v>11030600001</v>
      </c>
      <c r="G160" s="33" t="s">
        <v>54</v>
      </c>
      <c r="H160" s="22" t="s">
        <v>39</v>
      </c>
      <c r="I160" s="23">
        <v>0</v>
      </c>
      <c r="J160" s="23">
        <v>1738.0599999999249</v>
      </c>
      <c r="K160" s="23">
        <v>0</v>
      </c>
      <c r="L160" s="23">
        <v>2309.7399999999998</v>
      </c>
      <c r="M160" s="23">
        <v>2800</v>
      </c>
      <c r="N160" s="23">
        <v>3.68</v>
      </c>
      <c r="O160" s="23">
        <v>0</v>
      </c>
      <c r="P160" s="23">
        <f>Tabela1[[#This Row],[1QZ DE MARÇO 26]]-Tabela1[[#This Row],[SALDO PENDENTE COM CX REPR.]]-Tabela1[[#This Row],[SALDO CARTAO]]-Tabela1[[#This Row],[ADIANTAMENTO]]</f>
        <v>1058.260000000075</v>
      </c>
      <c r="Q160" s="23">
        <f>Tabela1[[#This Row],[1QZ DE MARÇO 26]]-Tabela1[[#This Row],[SALDO PENDENTE SEM CX REPR.]]-Tabela1[[#This Row],[SALDO CARTAO]]-Tabela1[[#This Row],[ADIANTAMENTO]]</f>
        <v>486.58000000000021</v>
      </c>
      <c r="R160" s="23">
        <v>0</v>
      </c>
      <c r="S160" s="40">
        <f>IF(Tabela1[[#This Row],[CARGA PARCIAL]]&lt;0,0,Tabela1[[#This Row],[CARGA PARCIAL]]+Tabela1[[#This Row],[REEMBOLSO]])</f>
        <v>1058.260000000075</v>
      </c>
      <c r="T160" s="40">
        <f>IF(Tabela1[[#This Row],[CARGA PARCIAL SEM CX REPROV.]]&lt;0,0,Tabela1[[#This Row],[CARGA PARCIAL]]+Tabela1[[#This Row],[REEMBOLSO]])</f>
        <v>1058.260000000075</v>
      </c>
      <c r="U160" s="24" t="s">
        <v>22</v>
      </c>
      <c r="V160" s="24"/>
    </row>
    <row r="161" spans="2:22" hidden="1" x14ac:dyDescent="0.25">
      <c r="B161" s="31" t="s">
        <v>834</v>
      </c>
      <c r="C161" s="32" t="s">
        <v>656</v>
      </c>
      <c r="D161" s="33" t="s">
        <v>18</v>
      </c>
      <c r="E161" s="33" t="s">
        <v>532</v>
      </c>
      <c r="F161" s="33">
        <v>11063050001</v>
      </c>
      <c r="G161" s="33" t="s">
        <v>54</v>
      </c>
      <c r="H161" s="22" t="s">
        <v>39</v>
      </c>
      <c r="I161" s="23">
        <v>0</v>
      </c>
      <c r="J161" s="23">
        <v>1040</v>
      </c>
      <c r="K161" s="23">
        <v>-184.30000000000254</v>
      </c>
      <c r="L161" s="23">
        <v>0</v>
      </c>
      <c r="M161" s="23">
        <v>0</v>
      </c>
      <c r="N161" s="23">
        <v>0</v>
      </c>
      <c r="O161" s="23">
        <v>0</v>
      </c>
      <c r="P161" s="23">
        <f>Tabela1[[#This Row],[1QZ DE MARÇO 26]]-Tabela1[[#This Row],[SALDO PENDENTE COM CX REPR.]]-Tabela1[[#This Row],[SALDO CARTAO]]-Tabela1[[#This Row],[ADIANTAMENTO]]</f>
        <v>-1040</v>
      </c>
      <c r="Q161" s="23">
        <f>Tabela1[[#This Row],[1QZ DE MARÇO 26]]-Tabela1[[#This Row],[SALDO PENDENTE SEM CX REPR.]]-Tabela1[[#This Row],[SALDO CARTAO]]-Tabela1[[#This Row],[ADIANTAMENTO]]</f>
        <v>0</v>
      </c>
      <c r="R161" s="23">
        <v>0</v>
      </c>
      <c r="S161" s="40">
        <f>IF(Tabela1[[#This Row],[CARGA PARCIAL]]&lt;0,0,Tabela1[[#This Row],[CARGA PARCIAL]]+Tabela1[[#This Row],[REEMBOLSO]])</f>
        <v>0</v>
      </c>
      <c r="T161" s="40">
        <f>IF(Tabela1[[#This Row],[CARGA PARCIAL SEM CX REPROV.]]&lt;0,0,Tabela1[[#This Row],[CARGA PARCIAL]]+Tabela1[[#This Row],[REEMBOLSO]])</f>
        <v>-1040</v>
      </c>
      <c r="U161" s="24" t="s">
        <v>22</v>
      </c>
      <c r="V161" s="24"/>
    </row>
    <row r="162" spans="2:22" hidden="1" x14ac:dyDescent="0.25">
      <c r="B162" s="33" t="s">
        <v>835</v>
      </c>
      <c r="C162" s="33" t="s">
        <v>234</v>
      </c>
      <c r="D162" s="33" t="s">
        <v>18</v>
      </c>
      <c r="E162" s="33" t="s">
        <v>235</v>
      </c>
      <c r="F162" s="33">
        <v>1201008</v>
      </c>
      <c r="G162" s="33" t="s">
        <v>38</v>
      </c>
      <c r="H162" s="33" t="s">
        <v>39</v>
      </c>
      <c r="I162" s="23">
        <v>0</v>
      </c>
      <c r="J162" s="23">
        <v>150.42999999999884</v>
      </c>
      <c r="K162" s="23">
        <v>-2.2999999999928207</v>
      </c>
      <c r="L162" s="23">
        <v>0</v>
      </c>
      <c r="M162" s="23">
        <v>1000</v>
      </c>
      <c r="N162" s="23">
        <v>0</v>
      </c>
      <c r="O162" s="23">
        <v>1000</v>
      </c>
      <c r="P162" s="23">
        <f>Tabela1[[#This Row],[1QZ DE MARÇO 26]]-Tabela1[[#This Row],[SALDO PENDENTE COM CX REPR.]]-Tabela1[[#This Row],[SALDO CARTAO]]-Tabela1[[#This Row],[ADIANTAMENTO]]</f>
        <v>-150.42999999999881</v>
      </c>
      <c r="Q162" s="23">
        <f>Tabela1[[#This Row],[1QZ DE MARÇO 26]]-Tabela1[[#This Row],[SALDO PENDENTE SEM CX REPR.]]-Tabela1[[#This Row],[SALDO CARTAO]]-Tabela1[[#This Row],[ADIANTAMENTO]]</f>
        <v>0</v>
      </c>
      <c r="R162" s="23">
        <v>0</v>
      </c>
      <c r="S162" s="40">
        <f>IF(Tabela1[[#This Row],[CARGA PARCIAL]]&lt;0,0,Tabela1[[#This Row],[CARGA PARCIAL]]+Tabela1[[#This Row],[REEMBOLSO]])</f>
        <v>0</v>
      </c>
      <c r="T162" s="40">
        <f>IF(Tabela1[[#This Row],[CARGA PARCIAL SEM CX REPROV.]]&lt;0,0,Tabela1[[#This Row],[CARGA PARCIAL]]+Tabela1[[#This Row],[REEMBOLSO]])</f>
        <v>-150.42999999999881</v>
      </c>
      <c r="U162" s="24" t="s">
        <v>22</v>
      </c>
      <c r="V162" s="24"/>
    </row>
    <row r="163" spans="2:22" hidden="1" x14ac:dyDescent="0.25">
      <c r="B163" s="31" t="s">
        <v>836</v>
      </c>
      <c r="C163" s="32" t="s">
        <v>564</v>
      </c>
      <c r="D163" s="33" t="s">
        <v>18</v>
      </c>
      <c r="E163" s="33" t="s">
        <v>44</v>
      </c>
      <c r="F163" s="33">
        <v>1104150001</v>
      </c>
      <c r="G163" s="33" t="s">
        <v>45</v>
      </c>
      <c r="H163" s="22" t="s">
        <v>39</v>
      </c>
      <c r="I163" s="23">
        <v>0</v>
      </c>
      <c r="J163" s="23">
        <v>21.99</v>
      </c>
      <c r="K163" s="23">
        <v>0</v>
      </c>
      <c r="L163" s="23">
        <v>476.399999999991</v>
      </c>
      <c r="M163" s="23">
        <v>0</v>
      </c>
      <c r="N163" s="23">
        <v>0</v>
      </c>
      <c r="O163" s="23">
        <v>0</v>
      </c>
      <c r="P163" s="23">
        <f>Tabela1[[#This Row],[1QZ DE MARÇO 26]]-Tabela1[[#This Row],[SALDO PENDENTE COM CX REPR.]]-Tabela1[[#This Row],[SALDO CARTAO]]-Tabela1[[#This Row],[ADIANTAMENTO]]</f>
        <v>-21.99</v>
      </c>
      <c r="Q163" s="23">
        <f>Tabela1[[#This Row],[1QZ DE MARÇO 26]]-Tabela1[[#This Row],[SALDO PENDENTE SEM CX REPR.]]-Tabela1[[#This Row],[SALDO CARTAO]]-Tabela1[[#This Row],[ADIANTAMENTO]]</f>
        <v>-476.399999999991</v>
      </c>
      <c r="R163" s="23">
        <v>0</v>
      </c>
      <c r="S163" s="40">
        <f>IF(Tabela1[[#This Row],[CARGA PARCIAL]]&lt;0,0,Tabela1[[#This Row],[CARGA PARCIAL]]+Tabela1[[#This Row],[REEMBOLSO]])</f>
        <v>0</v>
      </c>
      <c r="T163" s="40">
        <f>IF(Tabela1[[#This Row],[CARGA PARCIAL SEM CX REPROV.]]&lt;0,0,Tabela1[[#This Row],[CARGA PARCIAL]]+Tabela1[[#This Row],[REEMBOLSO]])</f>
        <v>0</v>
      </c>
      <c r="U163" s="24" t="s">
        <v>60</v>
      </c>
      <c r="V163" s="24"/>
    </row>
    <row r="164" spans="2:22" hidden="1" x14ac:dyDescent="0.25">
      <c r="B164" s="37" t="s">
        <v>837</v>
      </c>
      <c r="C164" s="32" t="s">
        <v>424</v>
      </c>
      <c r="D164" s="33" t="s">
        <v>18</v>
      </c>
      <c r="E164" s="33" t="s">
        <v>412</v>
      </c>
      <c r="F164" s="33">
        <v>11061890001</v>
      </c>
      <c r="G164" s="33" t="s">
        <v>42</v>
      </c>
      <c r="H164" s="22" t="s">
        <v>39</v>
      </c>
      <c r="I164" s="23">
        <v>0</v>
      </c>
      <c r="J164" s="23">
        <v>2045.8999999999999</v>
      </c>
      <c r="K164" s="23">
        <v>-0.65999999999974079</v>
      </c>
      <c r="L164" s="23">
        <v>0</v>
      </c>
      <c r="M164" s="23">
        <v>2000</v>
      </c>
      <c r="N164" s="23"/>
      <c r="O164" s="23">
        <v>0</v>
      </c>
      <c r="P164" s="23">
        <f>Tabela1[[#This Row],[1QZ DE MARÇO 26]]-Tabela1[[#This Row],[SALDO PENDENTE COM CX REPR.]]-Tabela1[[#This Row],[SALDO CARTAO]]-Tabela1[[#This Row],[ADIANTAMENTO]]</f>
        <v>-45.899999999999864</v>
      </c>
      <c r="Q164" s="23">
        <f>Tabela1[[#This Row],[1QZ DE MARÇO 26]]-Tabela1[[#This Row],[SALDO PENDENTE SEM CX REPR.]]-Tabela1[[#This Row],[SALDO CARTAO]]-Tabela1[[#This Row],[ADIANTAMENTO]]</f>
        <v>2000</v>
      </c>
      <c r="R164" s="23">
        <v>0</v>
      </c>
      <c r="S164" s="40">
        <f>IF(Tabela1[[#This Row],[CARGA PARCIAL]]&lt;0,0,Tabela1[[#This Row],[CARGA PARCIAL]]+Tabela1[[#This Row],[REEMBOLSO]])</f>
        <v>0</v>
      </c>
      <c r="T164" s="40">
        <f>IF(Tabela1[[#This Row],[CARGA PARCIAL SEM CX REPROV.]]&lt;0,0,Tabela1[[#This Row],[CARGA PARCIAL]]+Tabela1[[#This Row],[REEMBOLSO]])</f>
        <v>-45.899999999999864</v>
      </c>
      <c r="U164" s="24" t="s">
        <v>22</v>
      </c>
      <c r="V164" s="24"/>
    </row>
    <row r="165" spans="2:22" hidden="1" x14ac:dyDescent="0.25">
      <c r="B165" s="31" t="s">
        <v>838</v>
      </c>
      <c r="C165" s="32" t="s">
        <v>429</v>
      </c>
      <c r="D165" s="33" t="s">
        <v>18</v>
      </c>
      <c r="E165" s="33" t="s">
        <v>430</v>
      </c>
      <c r="F165" s="33">
        <v>11080490001</v>
      </c>
      <c r="G165" s="33" t="s">
        <v>38</v>
      </c>
      <c r="H165" s="22" t="s">
        <v>39</v>
      </c>
      <c r="I165" s="23">
        <v>0</v>
      </c>
      <c r="J165" s="23">
        <v>1462.3300000000002</v>
      </c>
      <c r="K165" s="23">
        <v>0</v>
      </c>
      <c r="L165" s="23">
        <v>278.97000000000014</v>
      </c>
      <c r="M165" s="23">
        <v>1500</v>
      </c>
      <c r="N165" s="23">
        <v>91.35</v>
      </c>
      <c r="O165" s="23">
        <v>0</v>
      </c>
      <c r="P165" s="23">
        <f>Tabela1[[#This Row],[1QZ DE MARÇO 26]]-Tabela1[[#This Row],[SALDO PENDENTE COM CX REPR.]]-Tabela1[[#This Row],[SALDO CARTAO]]-Tabela1[[#This Row],[ADIANTAMENTO]]</f>
        <v>-53.680000000000149</v>
      </c>
      <c r="Q165" s="23">
        <f>Tabela1[[#This Row],[1QZ DE MARÇO 26]]-Tabela1[[#This Row],[SALDO PENDENTE SEM CX REPR.]]-Tabela1[[#This Row],[SALDO CARTAO]]-Tabela1[[#This Row],[ADIANTAMENTO]]</f>
        <v>1129.6799999999998</v>
      </c>
      <c r="R165" s="23">
        <v>0</v>
      </c>
      <c r="S165" s="40">
        <f>IF(Tabela1[[#This Row],[CARGA PARCIAL]]&lt;0,0,Tabela1[[#This Row],[CARGA PARCIAL]]+Tabela1[[#This Row],[REEMBOLSO]])</f>
        <v>0</v>
      </c>
      <c r="T165" s="40">
        <f>IF(Tabela1[[#This Row],[CARGA PARCIAL SEM CX REPROV.]]&lt;0,0,Tabela1[[#This Row],[CARGA PARCIAL]]+Tabela1[[#This Row],[REEMBOLSO]])</f>
        <v>-53.680000000000149</v>
      </c>
      <c r="U165" s="24" t="s">
        <v>22</v>
      </c>
      <c r="V165" s="24"/>
    </row>
    <row r="166" spans="2:22" x14ac:dyDescent="0.25">
      <c r="B166" s="31" t="s">
        <v>734</v>
      </c>
      <c r="C166" s="32" t="s">
        <v>277</v>
      </c>
      <c r="D166" s="33" t="s">
        <v>18</v>
      </c>
      <c r="E166" s="33" t="s">
        <v>95</v>
      </c>
      <c r="F166" s="33">
        <v>11040160001</v>
      </c>
      <c r="G166" s="33" t="s">
        <v>48</v>
      </c>
      <c r="H166" s="22" t="s">
        <v>35</v>
      </c>
      <c r="I166" s="23">
        <v>-259.65999999999985</v>
      </c>
      <c r="J166" s="23">
        <v>0</v>
      </c>
      <c r="K166" s="23">
        <v>0</v>
      </c>
      <c r="L166" s="23">
        <v>118.78999999999988</v>
      </c>
      <c r="M166" s="23">
        <v>700</v>
      </c>
      <c r="N166" s="23">
        <v>0</v>
      </c>
      <c r="O166" s="23">
        <v>0</v>
      </c>
      <c r="P166" s="23">
        <f>Tabela1[[#This Row],[1QZ DE MARÇO 26]]-Tabela1[[#This Row],[SALDO PENDENTE COM CX REPR.]]-Tabela1[[#This Row],[SALDO CARTAO]]-Tabela1[[#This Row],[ADIANTAMENTO]]</f>
        <v>700</v>
      </c>
      <c r="Q166" s="23">
        <f>Tabela1[[#This Row],[1QZ DE MARÇO 26]]-Tabela1[[#This Row],[SALDO PENDENTE SEM CX REPR.]]-Tabela1[[#This Row],[SALDO CARTAO]]-Tabela1[[#This Row],[ADIANTAMENTO]]</f>
        <v>581.21000000000015</v>
      </c>
      <c r="R166" s="23">
        <v>0</v>
      </c>
      <c r="S166" s="40">
        <f>IF(Tabela1[[#This Row],[CARGA PARCIAL]]&lt;0,0,Tabela1[[#This Row],[CARGA PARCIAL]]+Tabela1[[#This Row],[REEMBOLSO]])</f>
        <v>700</v>
      </c>
      <c r="T166" s="40">
        <f>IF(Tabela1[[#This Row],[CARGA PARCIAL SEM CX REPROV.]]&lt;0,0,Tabela1[[#This Row],[CARGA PARCIAL]]+Tabela1[[#This Row],[REEMBOLSO]])</f>
        <v>700</v>
      </c>
      <c r="U166" s="24" t="s">
        <v>22</v>
      </c>
      <c r="V166" s="24"/>
    </row>
    <row r="167" spans="2:22" x14ac:dyDescent="0.25">
      <c r="B167" s="33" t="s">
        <v>840</v>
      </c>
      <c r="C167" s="33" t="s">
        <v>368</v>
      </c>
      <c r="D167" s="33" t="s">
        <v>18</v>
      </c>
      <c r="E167" s="33" t="s">
        <v>163</v>
      </c>
      <c r="F167" s="33">
        <v>11062020001</v>
      </c>
      <c r="G167" s="33" t="s">
        <v>42</v>
      </c>
      <c r="H167" s="22" t="s">
        <v>39</v>
      </c>
      <c r="I167" s="23">
        <v>0</v>
      </c>
      <c r="J167" s="23">
        <v>44.969999999999253</v>
      </c>
      <c r="K167" s="23">
        <v>0</v>
      </c>
      <c r="L167" s="23">
        <v>127.1799999999987</v>
      </c>
      <c r="M167" s="23">
        <v>250</v>
      </c>
      <c r="N167" s="23">
        <v>7.97</v>
      </c>
      <c r="O167" s="23">
        <v>0</v>
      </c>
      <c r="P167" s="23">
        <f>Tabela1[[#This Row],[1QZ DE MARÇO 26]]-Tabela1[[#This Row],[SALDO PENDENTE COM CX REPR.]]-Tabela1[[#This Row],[SALDO CARTAO]]-Tabela1[[#This Row],[ADIANTAMENTO]]</f>
        <v>197.06000000000074</v>
      </c>
      <c r="Q167" s="23">
        <f>Tabela1[[#This Row],[1QZ DE MARÇO 26]]-Tabela1[[#This Row],[SALDO PENDENTE SEM CX REPR.]]-Tabela1[[#This Row],[SALDO CARTAO]]-Tabela1[[#This Row],[ADIANTAMENTO]]</f>
        <v>114.8500000000013</v>
      </c>
      <c r="R167" s="23">
        <v>0</v>
      </c>
      <c r="S167" s="40">
        <f>IF(Tabela1[[#This Row],[CARGA PARCIAL]]&lt;0,0,Tabela1[[#This Row],[CARGA PARCIAL]]+Tabela1[[#This Row],[REEMBOLSO]])</f>
        <v>197.06000000000074</v>
      </c>
      <c r="T167" s="40">
        <f>IF(Tabela1[[#This Row],[CARGA PARCIAL SEM CX REPROV.]]&lt;0,0,Tabela1[[#This Row],[CARGA PARCIAL]]+Tabela1[[#This Row],[REEMBOLSO]])</f>
        <v>197.06000000000074</v>
      </c>
      <c r="U167" s="24" t="s">
        <v>22</v>
      </c>
      <c r="V167" s="24"/>
    </row>
    <row r="168" spans="2:22" hidden="1" x14ac:dyDescent="0.25">
      <c r="B168" s="37" t="s">
        <v>841</v>
      </c>
      <c r="C168" s="32" t="s">
        <v>116</v>
      </c>
      <c r="D168" s="33" t="s">
        <v>18</v>
      </c>
      <c r="E168" s="33" t="s">
        <v>117</v>
      </c>
      <c r="F168" s="33">
        <v>11010180001</v>
      </c>
      <c r="G168" s="33" t="s">
        <v>42</v>
      </c>
      <c r="H168" s="22" t="s">
        <v>39</v>
      </c>
      <c r="I168" s="23">
        <v>0</v>
      </c>
      <c r="J168" s="23">
        <v>1360.8900000000103</v>
      </c>
      <c r="K168" s="23">
        <v>0</v>
      </c>
      <c r="L168" s="23">
        <v>2646.5</v>
      </c>
      <c r="M168" s="23">
        <v>1500</v>
      </c>
      <c r="N168" s="23">
        <v>29</v>
      </c>
      <c r="O168" s="23">
        <v>0</v>
      </c>
      <c r="P168" s="23">
        <f>Tabela1[[#This Row],[1QZ DE MARÇO 26]]-Tabela1[[#This Row],[SALDO PENDENTE COM CX REPR.]]-Tabela1[[#This Row],[SALDO CARTAO]]-Tabela1[[#This Row],[ADIANTAMENTO]]</f>
        <v>110.10999999998967</v>
      </c>
      <c r="Q168" s="23">
        <f>Tabela1[[#This Row],[1QZ DE MARÇO 26]]-Tabela1[[#This Row],[SALDO PENDENTE SEM CX REPR.]]-Tabela1[[#This Row],[SALDO CARTAO]]-Tabela1[[#This Row],[ADIANTAMENTO]]</f>
        <v>-1175.5</v>
      </c>
      <c r="R168" s="23">
        <v>0</v>
      </c>
      <c r="S168" s="40">
        <f>IF(Tabela1[[#This Row],[CARGA PARCIAL]]&lt;0,0,Tabela1[[#This Row],[CARGA PARCIAL]]+Tabela1[[#This Row],[REEMBOLSO]])</f>
        <v>110.10999999998967</v>
      </c>
      <c r="T168" s="40">
        <f>IF(Tabela1[[#This Row],[CARGA PARCIAL SEM CX REPROV.]]&lt;0,0,Tabela1[[#This Row],[CARGA PARCIAL]]+Tabela1[[#This Row],[REEMBOLSO]])</f>
        <v>0</v>
      </c>
      <c r="U168" s="24" t="s">
        <v>22</v>
      </c>
      <c r="V168" s="24"/>
    </row>
    <row r="169" spans="2:22" hidden="1" x14ac:dyDescent="0.25">
      <c r="B169" s="33" t="s">
        <v>842</v>
      </c>
      <c r="C169" s="33" t="s">
        <v>565</v>
      </c>
      <c r="D169" s="33" t="s">
        <v>18</v>
      </c>
      <c r="E169" s="33" t="s">
        <v>423</v>
      </c>
      <c r="F169" s="33">
        <v>11050090001</v>
      </c>
      <c r="G169" s="33" t="s">
        <v>28</v>
      </c>
      <c r="H169" s="22" t="s">
        <v>21</v>
      </c>
      <c r="I169" s="23">
        <v>0</v>
      </c>
      <c r="J169" s="23">
        <v>153</v>
      </c>
      <c r="K169" s="23">
        <v>0</v>
      </c>
      <c r="L169" s="23">
        <v>1477.3300000000015</v>
      </c>
      <c r="M169" s="23">
        <v>0</v>
      </c>
      <c r="N169" s="23">
        <v>1.35</v>
      </c>
      <c r="O169" s="23">
        <v>0</v>
      </c>
      <c r="P169" s="23">
        <f>Tabela1[[#This Row],[1QZ DE MARÇO 26]]-Tabela1[[#This Row],[SALDO PENDENTE COM CX REPR.]]-Tabela1[[#This Row],[SALDO CARTAO]]-Tabela1[[#This Row],[ADIANTAMENTO]]</f>
        <v>-154.35</v>
      </c>
      <c r="Q169" s="23">
        <f>Tabela1[[#This Row],[1QZ DE MARÇO 26]]-Tabela1[[#This Row],[SALDO PENDENTE SEM CX REPR.]]-Tabela1[[#This Row],[SALDO CARTAO]]-Tabela1[[#This Row],[ADIANTAMENTO]]</f>
        <v>-1478.6800000000014</v>
      </c>
      <c r="R169" s="23">
        <v>0</v>
      </c>
      <c r="S169" s="40">
        <f>IF(Tabela1[[#This Row],[CARGA PARCIAL]]&lt;0,0,Tabela1[[#This Row],[CARGA PARCIAL]]+Tabela1[[#This Row],[REEMBOLSO]])</f>
        <v>0</v>
      </c>
      <c r="T169" s="40">
        <f>IF(Tabela1[[#This Row],[CARGA PARCIAL SEM CX REPROV.]]&lt;0,0,Tabela1[[#This Row],[CARGA PARCIAL]]+Tabela1[[#This Row],[REEMBOLSO]])</f>
        <v>0</v>
      </c>
      <c r="U169" s="24" t="s">
        <v>60</v>
      </c>
      <c r="V169" s="24"/>
    </row>
    <row r="170" spans="2:22" x14ac:dyDescent="0.25">
      <c r="B170" s="31" t="s">
        <v>843</v>
      </c>
      <c r="C170" s="32" t="s">
        <v>89</v>
      </c>
      <c r="D170" s="33" t="s">
        <v>18</v>
      </c>
      <c r="E170" s="33" t="s">
        <v>90</v>
      </c>
      <c r="F170" s="33">
        <v>11040170001</v>
      </c>
      <c r="G170" s="33" t="s">
        <v>91</v>
      </c>
      <c r="H170" s="22" t="s">
        <v>21</v>
      </c>
      <c r="I170" s="23">
        <v>0</v>
      </c>
      <c r="J170" s="23">
        <v>1307.089999999982</v>
      </c>
      <c r="K170" s="23">
        <v>0</v>
      </c>
      <c r="L170" s="23">
        <v>492.35</v>
      </c>
      <c r="M170" s="23">
        <v>2000</v>
      </c>
      <c r="N170" s="23">
        <v>0</v>
      </c>
      <c r="O170" s="23">
        <v>0</v>
      </c>
      <c r="P170" s="23">
        <f>Tabela1[[#This Row],[1QZ DE MARÇO 26]]-Tabela1[[#This Row],[SALDO PENDENTE COM CX REPR.]]-Tabela1[[#This Row],[SALDO CARTAO]]-Tabela1[[#This Row],[ADIANTAMENTO]]</f>
        <v>692.91000000001804</v>
      </c>
      <c r="Q170" s="23">
        <f>Tabela1[[#This Row],[1QZ DE MARÇO 26]]-Tabela1[[#This Row],[SALDO PENDENTE SEM CX REPR.]]-Tabela1[[#This Row],[SALDO CARTAO]]-Tabela1[[#This Row],[ADIANTAMENTO]]</f>
        <v>1507.65</v>
      </c>
      <c r="R170" s="23">
        <v>0</v>
      </c>
      <c r="S170" s="40">
        <f>IF(Tabela1[[#This Row],[CARGA PARCIAL]]&lt;0,0,Tabela1[[#This Row],[CARGA PARCIAL]]+Tabela1[[#This Row],[REEMBOLSO]])</f>
        <v>692.91000000001804</v>
      </c>
      <c r="T170" s="40">
        <f>IF(Tabela1[[#This Row],[CARGA PARCIAL SEM CX REPROV.]]&lt;0,0,Tabela1[[#This Row],[CARGA PARCIAL]]+Tabela1[[#This Row],[REEMBOLSO]])</f>
        <v>692.91000000001804</v>
      </c>
      <c r="U170" s="24" t="s">
        <v>22</v>
      </c>
      <c r="V170" s="24"/>
    </row>
    <row r="171" spans="2:22" x14ac:dyDescent="0.25">
      <c r="B171" s="31" t="s">
        <v>844</v>
      </c>
      <c r="C171" s="32" t="s">
        <v>251</v>
      </c>
      <c r="D171" s="33" t="s">
        <v>18</v>
      </c>
      <c r="E171" s="33" t="s">
        <v>252</v>
      </c>
      <c r="F171" s="33">
        <v>11062740001</v>
      </c>
      <c r="G171" s="33" t="s">
        <v>25</v>
      </c>
      <c r="H171" s="22" t="s">
        <v>21</v>
      </c>
      <c r="I171" s="23">
        <v>0</v>
      </c>
      <c r="J171" s="23">
        <v>430.39000000000169</v>
      </c>
      <c r="K171" s="23">
        <v>0</v>
      </c>
      <c r="L171" s="23">
        <v>0</v>
      </c>
      <c r="M171" s="23">
        <v>2500</v>
      </c>
      <c r="N171" s="23">
        <v>0</v>
      </c>
      <c r="O171" s="23">
        <v>0</v>
      </c>
      <c r="P171" s="23">
        <f>Tabela1[[#This Row],[1QZ DE MARÇO 26]]-Tabela1[[#This Row],[SALDO PENDENTE COM CX REPR.]]-Tabela1[[#This Row],[SALDO CARTAO]]-Tabela1[[#This Row],[ADIANTAMENTO]]</f>
        <v>2069.6099999999983</v>
      </c>
      <c r="Q171" s="23">
        <f>Tabela1[[#This Row],[1QZ DE MARÇO 26]]-Tabela1[[#This Row],[SALDO PENDENTE SEM CX REPR.]]-Tabela1[[#This Row],[SALDO CARTAO]]-Tabela1[[#This Row],[ADIANTAMENTO]]</f>
        <v>2500</v>
      </c>
      <c r="R171" s="23">
        <v>0</v>
      </c>
      <c r="S171" s="40">
        <f>IF(Tabela1[[#This Row],[CARGA PARCIAL]]&lt;0,0,Tabela1[[#This Row],[CARGA PARCIAL]]+Tabela1[[#This Row],[REEMBOLSO]])</f>
        <v>2069.6099999999983</v>
      </c>
      <c r="T171" s="40">
        <f>IF(Tabela1[[#This Row],[CARGA PARCIAL SEM CX REPROV.]]&lt;0,0,Tabela1[[#This Row],[CARGA PARCIAL]]+Tabela1[[#This Row],[REEMBOLSO]])</f>
        <v>2069.6099999999983</v>
      </c>
      <c r="U171" s="24" t="s">
        <v>22</v>
      </c>
      <c r="V171" s="24"/>
    </row>
    <row r="172" spans="2:22" x14ac:dyDescent="0.25">
      <c r="B172" s="37" t="s">
        <v>845</v>
      </c>
      <c r="C172" s="32" t="s">
        <v>279</v>
      </c>
      <c r="D172" s="33" t="s">
        <v>18</v>
      </c>
      <c r="E172" s="33" t="s">
        <v>99</v>
      </c>
      <c r="F172" s="33">
        <v>11040040001</v>
      </c>
      <c r="G172" s="33" t="s">
        <v>25</v>
      </c>
      <c r="H172" s="22" t="s">
        <v>21</v>
      </c>
      <c r="I172" s="23">
        <v>0</v>
      </c>
      <c r="J172" s="23">
        <v>769.6699999999837</v>
      </c>
      <c r="K172" s="23">
        <v>0</v>
      </c>
      <c r="L172" s="23">
        <v>0</v>
      </c>
      <c r="M172" s="23">
        <v>3200</v>
      </c>
      <c r="N172" s="23">
        <v>0</v>
      </c>
      <c r="O172" s="23">
        <v>0</v>
      </c>
      <c r="P172" s="23">
        <f>Tabela1[[#This Row],[1QZ DE MARÇO 26]]-Tabela1[[#This Row],[SALDO PENDENTE COM CX REPR.]]-Tabela1[[#This Row],[SALDO CARTAO]]-Tabela1[[#This Row],[ADIANTAMENTO]]</f>
        <v>2430.3300000000163</v>
      </c>
      <c r="Q172" s="23">
        <f>Tabela1[[#This Row],[1QZ DE MARÇO 26]]-Tabela1[[#This Row],[SALDO PENDENTE SEM CX REPR.]]-Tabela1[[#This Row],[SALDO CARTAO]]-Tabela1[[#This Row],[ADIANTAMENTO]]</f>
        <v>3200</v>
      </c>
      <c r="R172" s="23">
        <v>0</v>
      </c>
      <c r="S172" s="40">
        <f>IF(Tabela1[[#This Row],[CARGA PARCIAL]]&lt;0,0,Tabela1[[#This Row],[CARGA PARCIAL]]+Tabela1[[#This Row],[REEMBOLSO]])</f>
        <v>2430.3300000000163</v>
      </c>
      <c r="T172" s="40">
        <f>IF(Tabela1[[#This Row],[CARGA PARCIAL SEM CX REPROV.]]&lt;0,0,Tabela1[[#This Row],[CARGA PARCIAL]]+Tabela1[[#This Row],[REEMBOLSO]])</f>
        <v>2430.3300000000163</v>
      </c>
      <c r="U172" s="24" t="s">
        <v>22</v>
      </c>
      <c r="V172" s="24"/>
    </row>
    <row r="173" spans="2:22" hidden="1" x14ac:dyDescent="0.25">
      <c r="B173" s="37" t="s">
        <v>846</v>
      </c>
      <c r="C173" s="32" t="s">
        <v>566</v>
      </c>
      <c r="D173" s="33" t="s">
        <v>18</v>
      </c>
      <c r="E173" s="33" t="s">
        <v>567</v>
      </c>
      <c r="F173" s="33">
        <v>11080180001</v>
      </c>
      <c r="G173" s="33" t="s">
        <v>28</v>
      </c>
      <c r="H173" s="22" t="s">
        <v>21</v>
      </c>
      <c r="I173" s="23">
        <v>0</v>
      </c>
      <c r="J173" s="23">
        <v>0</v>
      </c>
      <c r="K173" s="23">
        <v>0</v>
      </c>
      <c r="L173" s="23">
        <v>567.80999999999949</v>
      </c>
      <c r="M173" s="23">
        <v>0</v>
      </c>
      <c r="N173" s="23">
        <v>1953.6</v>
      </c>
      <c r="O173" s="23">
        <v>0</v>
      </c>
      <c r="P173" s="23">
        <f>Tabela1[[#This Row],[1QZ DE MARÇO 26]]-Tabela1[[#This Row],[SALDO PENDENTE COM CX REPR.]]-Tabela1[[#This Row],[SALDO CARTAO]]-Tabela1[[#This Row],[ADIANTAMENTO]]</f>
        <v>-1953.6</v>
      </c>
      <c r="Q173" s="23">
        <f>Tabela1[[#This Row],[1QZ DE MARÇO 26]]-Tabela1[[#This Row],[SALDO PENDENTE SEM CX REPR.]]-Tabela1[[#This Row],[SALDO CARTAO]]-Tabela1[[#This Row],[ADIANTAMENTO]]</f>
        <v>-2521.4099999999994</v>
      </c>
      <c r="R173" s="23">
        <v>0</v>
      </c>
      <c r="S173" s="40">
        <f>IF(Tabela1[[#This Row],[CARGA PARCIAL]]&lt;0,0,Tabela1[[#This Row],[CARGA PARCIAL]]+Tabela1[[#This Row],[REEMBOLSO]])</f>
        <v>0</v>
      </c>
      <c r="T173" s="40">
        <f>IF(Tabela1[[#This Row],[CARGA PARCIAL SEM CX REPROV.]]&lt;0,0,Tabela1[[#This Row],[CARGA PARCIAL]]+Tabela1[[#This Row],[REEMBOLSO]])</f>
        <v>0</v>
      </c>
      <c r="U173" s="24" t="s">
        <v>22</v>
      </c>
      <c r="V173" s="24"/>
    </row>
    <row r="174" spans="2:22" hidden="1" x14ac:dyDescent="0.25">
      <c r="B174" s="33" t="s">
        <v>847</v>
      </c>
      <c r="C174" s="33" t="s">
        <v>318</v>
      </c>
      <c r="D174" s="33" t="s">
        <v>18</v>
      </c>
      <c r="E174" s="33" t="s">
        <v>319</v>
      </c>
      <c r="F174" s="33">
        <v>11061430001</v>
      </c>
      <c r="G174" s="33" t="s">
        <v>25</v>
      </c>
      <c r="H174" s="22" t="s">
        <v>21</v>
      </c>
      <c r="I174" s="23">
        <v>0</v>
      </c>
      <c r="J174" s="23">
        <v>5722.3599999999806</v>
      </c>
      <c r="K174" s="23">
        <v>0</v>
      </c>
      <c r="L174" s="23">
        <v>0</v>
      </c>
      <c r="M174" s="23">
        <v>5700</v>
      </c>
      <c r="N174" s="23">
        <v>0</v>
      </c>
      <c r="O174" s="23">
        <v>0</v>
      </c>
      <c r="P174" s="23">
        <f>Tabela1[[#This Row],[1QZ DE MARÇO 26]]-Tabela1[[#This Row],[SALDO PENDENTE COM CX REPR.]]-Tabela1[[#This Row],[SALDO CARTAO]]-Tabela1[[#This Row],[ADIANTAMENTO]]</f>
        <v>-22.359999999980573</v>
      </c>
      <c r="Q174" s="23">
        <f>Tabela1[[#This Row],[1QZ DE MARÇO 26]]-Tabela1[[#This Row],[SALDO PENDENTE SEM CX REPR.]]-Tabela1[[#This Row],[SALDO CARTAO]]-Tabela1[[#This Row],[ADIANTAMENTO]]</f>
        <v>5700</v>
      </c>
      <c r="R174" s="23">
        <v>0</v>
      </c>
      <c r="S174" s="40">
        <f>IF(Tabela1[[#This Row],[CARGA PARCIAL]]&lt;0,0,Tabela1[[#This Row],[CARGA PARCIAL]]+Tabela1[[#This Row],[REEMBOLSO]])</f>
        <v>0</v>
      </c>
      <c r="T174" s="40">
        <f>IF(Tabela1[[#This Row],[CARGA PARCIAL SEM CX REPROV.]]&lt;0,0,Tabela1[[#This Row],[CARGA PARCIAL]]+Tabela1[[#This Row],[REEMBOLSO]])</f>
        <v>-22.359999999980573</v>
      </c>
      <c r="U174" s="24" t="s">
        <v>22</v>
      </c>
      <c r="V174" s="24"/>
    </row>
    <row r="175" spans="2:22" hidden="1" x14ac:dyDescent="0.25">
      <c r="B175" s="37" t="s">
        <v>848</v>
      </c>
      <c r="C175" s="32" t="s">
        <v>508</v>
      </c>
      <c r="D175" s="33" t="s">
        <v>18</v>
      </c>
      <c r="E175" s="33" t="s">
        <v>212</v>
      </c>
      <c r="F175" s="33">
        <v>11061810001</v>
      </c>
      <c r="G175" s="33" t="s">
        <v>54</v>
      </c>
      <c r="H175" s="22" t="s">
        <v>39</v>
      </c>
      <c r="I175" s="23">
        <v>0</v>
      </c>
      <c r="J175" s="23">
        <v>906</v>
      </c>
      <c r="K175" s="23">
        <v>0</v>
      </c>
      <c r="L175" s="23">
        <v>480.45000000000675</v>
      </c>
      <c r="M175" s="23">
        <v>200</v>
      </c>
      <c r="N175" s="23">
        <v>205</v>
      </c>
      <c r="O175" s="23">
        <v>0</v>
      </c>
      <c r="P175" s="23">
        <f>Tabela1[[#This Row],[1QZ DE MARÇO 26]]-Tabela1[[#This Row],[SALDO PENDENTE COM CX REPR.]]-Tabela1[[#This Row],[SALDO CARTAO]]-Tabela1[[#This Row],[ADIANTAMENTO]]</f>
        <v>-911</v>
      </c>
      <c r="Q175" s="23">
        <f>Tabela1[[#This Row],[1QZ DE MARÇO 26]]-Tabela1[[#This Row],[SALDO PENDENTE SEM CX REPR.]]-Tabela1[[#This Row],[SALDO CARTAO]]-Tabela1[[#This Row],[ADIANTAMENTO]]</f>
        <v>-485.45000000000675</v>
      </c>
      <c r="R175" s="23">
        <v>0</v>
      </c>
      <c r="S175" s="40">
        <f>IF(Tabela1[[#This Row],[CARGA PARCIAL]]&lt;0,0,Tabela1[[#This Row],[CARGA PARCIAL]]+Tabela1[[#This Row],[REEMBOLSO]])</f>
        <v>0</v>
      </c>
      <c r="T175" s="40">
        <f>IF(Tabela1[[#This Row],[CARGA PARCIAL SEM CX REPROV.]]&lt;0,0,Tabela1[[#This Row],[CARGA PARCIAL]]+Tabela1[[#This Row],[REEMBOLSO]])</f>
        <v>0</v>
      </c>
      <c r="U175" s="24" t="s">
        <v>22</v>
      </c>
      <c r="V175" s="24"/>
    </row>
    <row r="176" spans="2:22" x14ac:dyDescent="0.25">
      <c r="B176" s="35" t="s">
        <v>715</v>
      </c>
      <c r="C176" s="36" t="s">
        <v>285</v>
      </c>
      <c r="D176" s="34" t="s">
        <v>18</v>
      </c>
      <c r="E176" s="33" t="s">
        <v>283</v>
      </c>
      <c r="F176" s="33">
        <v>11040140001</v>
      </c>
      <c r="G176" s="33" t="s">
        <v>45</v>
      </c>
      <c r="H176" s="22" t="s">
        <v>39</v>
      </c>
      <c r="I176" s="23">
        <v>-268.21000000000009</v>
      </c>
      <c r="J176" s="23">
        <v>0</v>
      </c>
      <c r="K176" s="23">
        <v>0</v>
      </c>
      <c r="L176" s="23">
        <v>50.000000000000028</v>
      </c>
      <c r="M176" s="23">
        <v>100</v>
      </c>
      <c r="N176" s="23">
        <v>14.57</v>
      </c>
      <c r="O176" s="23">
        <v>0</v>
      </c>
      <c r="P176" s="23">
        <f>Tabela1[[#This Row],[1QZ DE MARÇO 26]]-Tabela1[[#This Row],[SALDO PENDENTE COM CX REPR.]]-Tabela1[[#This Row],[SALDO CARTAO]]-Tabela1[[#This Row],[ADIANTAMENTO]]</f>
        <v>85.43</v>
      </c>
      <c r="Q176" s="23">
        <f>Tabela1[[#This Row],[1QZ DE MARÇO 26]]-Tabela1[[#This Row],[SALDO PENDENTE SEM CX REPR.]]-Tabela1[[#This Row],[SALDO CARTAO]]-Tabela1[[#This Row],[ADIANTAMENTO]]</f>
        <v>35.429999999999971</v>
      </c>
      <c r="R176" s="23">
        <v>268.21000000000009</v>
      </c>
      <c r="S176" s="40">
        <f>IF(Tabela1[[#This Row],[CARGA PARCIAL]]&lt;0,0,Tabela1[[#This Row],[CARGA PARCIAL]]+Tabela1[[#This Row],[REEMBOLSO]])</f>
        <v>353.6400000000001</v>
      </c>
      <c r="T176" s="40">
        <f>IF(Tabela1[[#This Row],[CARGA PARCIAL SEM CX REPROV.]]&lt;0,0,Tabela1[[#This Row],[CARGA PARCIAL]]+Tabela1[[#This Row],[REEMBOLSO]])</f>
        <v>353.6400000000001</v>
      </c>
      <c r="U176" s="25" t="s">
        <v>22</v>
      </c>
      <c r="V176" s="26"/>
    </row>
    <row r="177" spans="2:22" hidden="1" x14ac:dyDescent="0.25">
      <c r="B177" s="31" t="s">
        <v>850</v>
      </c>
      <c r="C177" s="32" t="s">
        <v>439</v>
      </c>
      <c r="D177" s="33" t="s">
        <v>18</v>
      </c>
      <c r="E177" s="33" t="s">
        <v>90</v>
      </c>
      <c r="F177" s="33">
        <v>11040170001</v>
      </c>
      <c r="G177" s="33" t="s">
        <v>91</v>
      </c>
      <c r="H177" s="22" t="s">
        <v>21</v>
      </c>
      <c r="I177" s="23">
        <v>0</v>
      </c>
      <c r="J177" s="23">
        <v>553.24999999999636</v>
      </c>
      <c r="K177" s="23">
        <v>0</v>
      </c>
      <c r="L177" s="23">
        <v>4272.6299999999792</v>
      </c>
      <c r="M177" s="23">
        <v>1000</v>
      </c>
      <c r="N177" s="23">
        <v>0</v>
      </c>
      <c r="O177" s="23">
        <v>0</v>
      </c>
      <c r="P177" s="23">
        <f>Tabela1[[#This Row],[1QZ DE MARÇO 26]]-Tabela1[[#This Row],[SALDO PENDENTE COM CX REPR.]]-Tabela1[[#This Row],[SALDO CARTAO]]-Tabela1[[#This Row],[ADIANTAMENTO]]</f>
        <v>446.75000000000364</v>
      </c>
      <c r="Q177" s="23">
        <f>Tabela1[[#This Row],[1QZ DE MARÇO 26]]-Tabela1[[#This Row],[SALDO PENDENTE SEM CX REPR.]]-Tabela1[[#This Row],[SALDO CARTAO]]-Tabela1[[#This Row],[ADIANTAMENTO]]</f>
        <v>-3272.6299999999792</v>
      </c>
      <c r="R177" s="23">
        <v>0</v>
      </c>
      <c r="S177" s="40">
        <f>IF(Tabela1[[#This Row],[CARGA PARCIAL]]&lt;0,0,Tabela1[[#This Row],[CARGA PARCIAL]]+Tabela1[[#This Row],[REEMBOLSO]])</f>
        <v>446.75000000000364</v>
      </c>
      <c r="T177" s="40">
        <f>IF(Tabela1[[#This Row],[CARGA PARCIAL SEM CX REPROV.]]&lt;0,0,Tabela1[[#This Row],[CARGA PARCIAL]]+Tabela1[[#This Row],[REEMBOLSO]])</f>
        <v>0</v>
      </c>
      <c r="U177" s="24" t="s">
        <v>22</v>
      </c>
      <c r="V177" s="24"/>
    </row>
    <row r="178" spans="2:22" x14ac:dyDescent="0.25">
      <c r="B178" s="39" t="s">
        <v>851</v>
      </c>
      <c r="C178" s="36" t="s">
        <v>178</v>
      </c>
      <c r="D178" s="34" t="s">
        <v>18</v>
      </c>
      <c r="E178" s="33" t="s">
        <v>134</v>
      </c>
      <c r="F178" s="33">
        <v>11061720001</v>
      </c>
      <c r="G178" s="33" t="s">
        <v>42</v>
      </c>
      <c r="H178" s="22" t="s">
        <v>39</v>
      </c>
      <c r="I178" s="23">
        <v>0</v>
      </c>
      <c r="J178" s="23">
        <v>35.600000000002552</v>
      </c>
      <c r="K178" s="23">
        <v>-1238.3499999999981</v>
      </c>
      <c r="L178" s="23">
        <v>0</v>
      </c>
      <c r="M178" s="23">
        <v>800</v>
      </c>
      <c r="N178" s="23">
        <v>2</v>
      </c>
      <c r="O178" s="23">
        <v>0</v>
      </c>
      <c r="P178" s="23">
        <f>Tabela1[[#This Row],[1QZ DE MARÇO 26]]-Tabela1[[#This Row],[SALDO PENDENTE COM CX REPR.]]-Tabela1[[#This Row],[SALDO CARTAO]]-Tabela1[[#This Row],[ADIANTAMENTO]]</f>
        <v>762.39999999999748</v>
      </c>
      <c r="Q178" s="23">
        <f>Tabela1[[#This Row],[1QZ DE MARÇO 26]]-Tabela1[[#This Row],[SALDO PENDENTE SEM CX REPR.]]-Tabela1[[#This Row],[SALDO CARTAO]]-Tabela1[[#This Row],[ADIANTAMENTO]]</f>
        <v>798</v>
      </c>
      <c r="R178" s="23">
        <v>0</v>
      </c>
      <c r="S178" s="40">
        <f>IF(Tabela1[[#This Row],[CARGA PARCIAL]]&lt;0,0,Tabela1[[#This Row],[CARGA PARCIAL]]+Tabela1[[#This Row],[REEMBOLSO]])</f>
        <v>762.39999999999748</v>
      </c>
      <c r="T178" s="40">
        <f>IF(Tabela1[[#This Row],[CARGA PARCIAL SEM CX REPROV.]]&lt;0,0,Tabela1[[#This Row],[CARGA PARCIAL]]+Tabela1[[#This Row],[REEMBOLSO]])</f>
        <v>762.39999999999748</v>
      </c>
      <c r="U178" s="25" t="s">
        <v>22</v>
      </c>
      <c r="V178" s="26"/>
    </row>
    <row r="179" spans="2:22" hidden="1" x14ac:dyDescent="0.25">
      <c r="B179" s="33" t="s">
        <v>852</v>
      </c>
      <c r="C179" s="33" t="s">
        <v>569</v>
      </c>
      <c r="D179" s="33" t="s">
        <v>18</v>
      </c>
      <c r="E179" s="33" t="s">
        <v>473</v>
      </c>
      <c r="F179" s="33">
        <v>11080200001</v>
      </c>
      <c r="G179" s="33" t="s">
        <v>20</v>
      </c>
      <c r="H179" s="33" t="s">
        <v>21</v>
      </c>
      <c r="I179" s="23">
        <v>0</v>
      </c>
      <c r="J179" s="23">
        <v>58.94</v>
      </c>
      <c r="K179" s="23">
        <v>0</v>
      </c>
      <c r="L179" s="23">
        <v>9.839999999999236</v>
      </c>
      <c r="M179" s="23">
        <v>0</v>
      </c>
      <c r="N179" s="23">
        <v>0</v>
      </c>
      <c r="O179" s="23">
        <v>0</v>
      </c>
      <c r="P179" s="23">
        <f>Tabela1[[#This Row],[1QZ DE MARÇO 26]]-Tabela1[[#This Row],[SALDO PENDENTE COM CX REPR.]]-Tabela1[[#This Row],[SALDO CARTAO]]-Tabela1[[#This Row],[ADIANTAMENTO]]</f>
        <v>-58.94</v>
      </c>
      <c r="Q179" s="23">
        <f>Tabela1[[#This Row],[1QZ DE MARÇO 26]]-Tabela1[[#This Row],[SALDO PENDENTE SEM CX REPR.]]-Tabela1[[#This Row],[SALDO CARTAO]]-Tabela1[[#This Row],[ADIANTAMENTO]]</f>
        <v>-9.839999999999236</v>
      </c>
      <c r="R179" s="23">
        <v>0</v>
      </c>
      <c r="S179" s="40">
        <f>IF(Tabela1[[#This Row],[CARGA PARCIAL]]&lt;0,0,Tabela1[[#This Row],[CARGA PARCIAL]]+Tabela1[[#This Row],[REEMBOLSO]])</f>
        <v>0</v>
      </c>
      <c r="T179" s="40">
        <f>IF(Tabela1[[#This Row],[CARGA PARCIAL SEM CX REPROV.]]&lt;0,0,Tabela1[[#This Row],[CARGA PARCIAL]]+Tabela1[[#This Row],[REEMBOLSO]])</f>
        <v>0</v>
      </c>
      <c r="U179" s="24" t="s">
        <v>22</v>
      </c>
      <c r="V179" s="24"/>
    </row>
    <row r="180" spans="2:22" hidden="1" x14ac:dyDescent="0.25">
      <c r="B180" s="31" t="s">
        <v>853</v>
      </c>
      <c r="C180" s="32" t="s">
        <v>570</v>
      </c>
      <c r="D180" s="33" t="s">
        <v>18</v>
      </c>
      <c r="E180" s="33" t="s">
        <v>128</v>
      </c>
      <c r="F180" s="33">
        <v>11030570001</v>
      </c>
      <c r="G180" s="33" t="s">
        <v>54</v>
      </c>
      <c r="H180" s="22" t="s">
        <v>39</v>
      </c>
      <c r="I180" s="23">
        <v>0</v>
      </c>
      <c r="J180" s="23">
        <v>8.9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f>Tabela1[[#This Row],[1QZ DE MARÇO 26]]-Tabela1[[#This Row],[SALDO PENDENTE COM CX REPR.]]-Tabela1[[#This Row],[SALDO CARTAO]]-Tabela1[[#This Row],[ADIANTAMENTO]]</f>
        <v>-8.9</v>
      </c>
      <c r="Q180" s="23">
        <f>Tabela1[[#This Row],[1QZ DE MARÇO 26]]-Tabela1[[#This Row],[SALDO PENDENTE SEM CX REPR.]]-Tabela1[[#This Row],[SALDO CARTAO]]-Tabela1[[#This Row],[ADIANTAMENTO]]</f>
        <v>0</v>
      </c>
      <c r="R180" s="23">
        <v>0</v>
      </c>
      <c r="S180" s="40">
        <f>IF(Tabela1[[#This Row],[CARGA PARCIAL]]&lt;0,0,Tabela1[[#This Row],[CARGA PARCIAL]]+Tabela1[[#This Row],[REEMBOLSO]])</f>
        <v>0</v>
      </c>
      <c r="T180" s="40">
        <f>IF(Tabela1[[#This Row],[CARGA PARCIAL SEM CX REPROV.]]&lt;0,0,Tabela1[[#This Row],[CARGA PARCIAL]]+Tabela1[[#This Row],[REEMBOLSO]])</f>
        <v>-8.9</v>
      </c>
      <c r="U180" s="24" t="s">
        <v>22</v>
      </c>
      <c r="V180" s="24"/>
    </row>
    <row r="181" spans="2:22" hidden="1" x14ac:dyDescent="0.25">
      <c r="B181" s="39" t="s">
        <v>854</v>
      </c>
      <c r="C181" s="36" t="s">
        <v>336</v>
      </c>
      <c r="D181" s="34" t="s">
        <v>18</v>
      </c>
      <c r="E181" s="33" t="s">
        <v>283</v>
      </c>
      <c r="F181" s="33">
        <v>11040140001</v>
      </c>
      <c r="G181" s="33" t="s">
        <v>45</v>
      </c>
      <c r="H181" s="22" t="s">
        <v>39</v>
      </c>
      <c r="I181" s="23">
        <v>0</v>
      </c>
      <c r="J181" s="23">
        <v>120</v>
      </c>
      <c r="K181" s="23">
        <v>0</v>
      </c>
      <c r="L181" s="23">
        <v>0</v>
      </c>
      <c r="M181" s="23">
        <v>100</v>
      </c>
      <c r="N181" s="23">
        <v>0</v>
      </c>
      <c r="O181" s="23">
        <v>0</v>
      </c>
      <c r="P181" s="23">
        <f>Tabela1[[#This Row],[1QZ DE MARÇO 26]]-Tabela1[[#This Row],[SALDO PENDENTE COM CX REPR.]]-Tabela1[[#This Row],[SALDO CARTAO]]-Tabela1[[#This Row],[ADIANTAMENTO]]</f>
        <v>-20</v>
      </c>
      <c r="Q181" s="23">
        <f>Tabela1[[#This Row],[1QZ DE MARÇO 26]]-Tabela1[[#This Row],[SALDO PENDENTE SEM CX REPR.]]-Tabela1[[#This Row],[SALDO CARTAO]]-Tabela1[[#This Row],[ADIANTAMENTO]]</f>
        <v>100</v>
      </c>
      <c r="R181" s="23">
        <v>0</v>
      </c>
      <c r="S181" s="40">
        <f>IF(Tabela1[[#This Row],[CARGA PARCIAL]]&lt;0,0,Tabela1[[#This Row],[CARGA PARCIAL]]+Tabela1[[#This Row],[REEMBOLSO]])</f>
        <v>0</v>
      </c>
      <c r="T181" s="40">
        <f>IF(Tabela1[[#This Row],[CARGA PARCIAL SEM CX REPROV.]]&lt;0,0,Tabela1[[#This Row],[CARGA PARCIAL]]+Tabela1[[#This Row],[REEMBOLSO]])</f>
        <v>-20</v>
      </c>
      <c r="U181" s="25" t="s">
        <v>22</v>
      </c>
      <c r="V181" s="26"/>
    </row>
    <row r="182" spans="2:22" hidden="1" x14ac:dyDescent="0.25">
      <c r="B182" s="37" t="s">
        <v>855</v>
      </c>
      <c r="C182" s="32" t="s">
        <v>571</v>
      </c>
      <c r="D182" s="33" t="s">
        <v>18</v>
      </c>
      <c r="E182" s="33" t="s">
        <v>241</v>
      </c>
      <c r="F182" s="33">
        <v>1201005</v>
      </c>
      <c r="G182" s="33" t="s">
        <v>54</v>
      </c>
      <c r="H182" s="22" t="s">
        <v>39</v>
      </c>
      <c r="I182" s="23">
        <v>0</v>
      </c>
      <c r="J182" s="23">
        <v>56.0600000000004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f>Tabela1[[#This Row],[1QZ DE MARÇO 26]]-Tabela1[[#This Row],[SALDO PENDENTE COM CX REPR.]]-Tabela1[[#This Row],[SALDO CARTAO]]-Tabela1[[#This Row],[ADIANTAMENTO]]</f>
        <v>-56.0600000000004</v>
      </c>
      <c r="Q182" s="23">
        <f>Tabela1[[#This Row],[1QZ DE MARÇO 26]]-Tabela1[[#This Row],[SALDO PENDENTE SEM CX REPR.]]-Tabela1[[#This Row],[SALDO CARTAO]]-Tabela1[[#This Row],[ADIANTAMENTO]]</f>
        <v>0</v>
      </c>
      <c r="R182" s="23">
        <v>0</v>
      </c>
      <c r="S182" s="40">
        <f>IF(Tabela1[[#This Row],[CARGA PARCIAL]]&lt;0,0,Tabela1[[#This Row],[CARGA PARCIAL]]+Tabela1[[#This Row],[REEMBOLSO]])</f>
        <v>0</v>
      </c>
      <c r="T182" s="40">
        <f>IF(Tabela1[[#This Row],[CARGA PARCIAL SEM CX REPROV.]]&lt;0,0,Tabela1[[#This Row],[CARGA PARCIAL]]+Tabela1[[#This Row],[REEMBOLSO]])</f>
        <v>-56.0600000000004</v>
      </c>
      <c r="U182" s="24" t="s">
        <v>22</v>
      </c>
      <c r="V182" s="24"/>
    </row>
    <row r="183" spans="2:22" hidden="1" x14ac:dyDescent="0.25">
      <c r="B183" s="37" t="s">
        <v>856</v>
      </c>
      <c r="C183" s="32" t="s">
        <v>572</v>
      </c>
      <c r="D183" s="33" t="s">
        <v>18</v>
      </c>
      <c r="E183" s="33" t="s">
        <v>88</v>
      </c>
      <c r="F183" s="33">
        <v>11040130001</v>
      </c>
      <c r="G183" s="33" t="s">
        <v>45</v>
      </c>
      <c r="H183" s="22" t="s">
        <v>39</v>
      </c>
      <c r="I183" s="23">
        <v>0</v>
      </c>
      <c r="J183" s="23">
        <v>152</v>
      </c>
      <c r="K183" s="23">
        <v>0</v>
      </c>
      <c r="L183" s="23">
        <v>0</v>
      </c>
      <c r="M183" s="23">
        <v>0</v>
      </c>
      <c r="N183" s="23">
        <v>0</v>
      </c>
      <c r="O183" s="23">
        <v>0</v>
      </c>
      <c r="P183" s="23">
        <f>Tabela1[[#This Row],[1QZ DE MARÇO 26]]-Tabela1[[#This Row],[SALDO PENDENTE COM CX REPR.]]-Tabela1[[#This Row],[SALDO CARTAO]]-Tabela1[[#This Row],[ADIANTAMENTO]]</f>
        <v>-152</v>
      </c>
      <c r="Q183" s="23">
        <f>Tabela1[[#This Row],[1QZ DE MARÇO 26]]-Tabela1[[#This Row],[SALDO PENDENTE SEM CX REPR.]]-Tabela1[[#This Row],[SALDO CARTAO]]-Tabela1[[#This Row],[ADIANTAMENTO]]</f>
        <v>0</v>
      </c>
      <c r="R183" s="23">
        <v>0</v>
      </c>
      <c r="S183" s="40">
        <f>IF(Tabela1[[#This Row],[CARGA PARCIAL]]&lt;0,0,Tabela1[[#This Row],[CARGA PARCIAL]]+Tabela1[[#This Row],[REEMBOLSO]])</f>
        <v>0</v>
      </c>
      <c r="T183" s="40">
        <f>IF(Tabela1[[#This Row],[CARGA PARCIAL SEM CX REPROV.]]&lt;0,0,Tabela1[[#This Row],[CARGA PARCIAL]]+Tabela1[[#This Row],[REEMBOLSO]])</f>
        <v>-152</v>
      </c>
      <c r="U183" s="24" t="s">
        <v>22</v>
      </c>
      <c r="V183" s="24"/>
    </row>
    <row r="184" spans="2:22" hidden="1" x14ac:dyDescent="0.25">
      <c r="B184" s="31" t="s">
        <v>857</v>
      </c>
      <c r="C184" s="32" t="s">
        <v>573</v>
      </c>
      <c r="D184" s="33" t="s">
        <v>18</v>
      </c>
      <c r="E184" s="33" t="s">
        <v>195</v>
      </c>
      <c r="F184" s="33">
        <v>11030710001</v>
      </c>
      <c r="G184" s="33" t="s">
        <v>42</v>
      </c>
      <c r="H184" s="22" t="s">
        <v>39</v>
      </c>
      <c r="I184" s="23">
        <v>0</v>
      </c>
      <c r="J184" s="23">
        <v>380.17000000000007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f>Tabela1[[#This Row],[1QZ DE MARÇO 26]]-Tabela1[[#This Row],[SALDO PENDENTE COM CX REPR.]]-Tabela1[[#This Row],[SALDO CARTAO]]-Tabela1[[#This Row],[ADIANTAMENTO]]</f>
        <v>-380.17000000000007</v>
      </c>
      <c r="Q184" s="23">
        <f>Tabela1[[#This Row],[1QZ DE MARÇO 26]]-Tabela1[[#This Row],[SALDO PENDENTE SEM CX REPR.]]-Tabela1[[#This Row],[SALDO CARTAO]]-Tabela1[[#This Row],[ADIANTAMENTO]]</f>
        <v>0</v>
      </c>
      <c r="R184" s="23">
        <v>0</v>
      </c>
      <c r="S184" s="40">
        <f>IF(Tabela1[[#This Row],[CARGA PARCIAL]]&lt;0,0,Tabela1[[#This Row],[CARGA PARCIAL]]+Tabela1[[#This Row],[REEMBOLSO]])</f>
        <v>0</v>
      </c>
      <c r="T184" s="40">
        <f>IF(Tabela1[[#This Row],[CARGA PARCIAL SEM CX REPROV.]]&lt;0,0,Tabela1[[#This Row],[CARGA PARCIAL]]+Tabela1[[#This Row],[REEMBOLSO]])</f>
        <v>-380.17000000000007</v>
      </c>
      <c r="U184" s="24" t="s">
        <v>22</v>
      </c>
      <c r="V184" s="24"/>
    </row>
    <row r="185" spans="2:22" hidden="1" x14ac:dyDescent="0.25">
      <c r="B185" s="37" t="s">
        <v>858</v>
      </c>
      <c r="C185" s="32" t="s">
        <v>509</v>
      </c>
      <c r="D185" s="33" t="s">
        <v>18</v>
      </c>
      <c r="E185" s="33" t="s">
        <v>88</v>
      </c>
      <c r="F185" s="33">
        <v>11040130001</v>
      </c>
      <c r="G185" s="33" t="s">
        <v>45</v>
      </c>
      <c r="H185" s="22" t="s">
        <v>39</v>
      </c>
      <c r="I185" s="23">
        <v>0</v>
      </c>
      <c r="J185" s="23">
        <v>196</v>
      </c>
      <c r="K185" s="23">
        <v>0</v>
      </c>
      <c r="L185" s="23">
        <v>10800.190000000002</v>
      </c>
      <c r="M185" s="23">
        <v>120</v>
      </c>
      <c r="N185" s="23">
        <v>0</v>
      </c>
      <c r="O185" s="23">
        <v>0</v>
      </c>
      <c r="P185" s="23">
        <f>Tabela1[[#This Row],[1QZ DE MARÇO 26]]-Tabela1[[#This Row],[SALDO PENDENTE COM CX REPR.]]-Tabela1[[#This Row],[SALDO CARTAO]]-Tabela1[[#This Row],[ADIANTAMENTO]]</f>
        <v>-76</v>
      </c>
      <c r="Q185" s="23">
        <f>Tabela1[[#This Row],[1QZ DE MARÇO 26]]-Tabela1[[#This Row],[SALDO PENDENTE SEM CX REPR.]]-Tabela1[[#This Row],[SALDO CARTAO]]-Tabela1[[#This Row],[ADIANTAMENTO]]</f>
        <v>-10680.190000000002</v>
      </c>
      <c r="R185" s="23">
        <v>0</v>
      </c>
      <c r="S185" s="40">
        <f>IF(Tabela1[[#This Row],[CARGA PARCIAL]]&lt;0,0,Tabela1[[#This Row],[CARGA PARCIAL]]+Tabela1[[#This Row],[REEMBOLSO]])</f>
        <v>0</v>
      </c>
      <c r="T185" s="40">
        <f>IF(Tabela1[[#This Row],[CARGA PARCIAL SEM CX REPROV.]]&lt;0,0,Tabela1[[#This Row],[CARGA PARCIAL]]+Tabela1[[#This Row],[REEMBOLSO]])</f>
        <v>0</v>
      </c>
      <c r="U185" s="24" t="s">
        <v>22</v>
      </c>
      <c r="V185" s="24"/>
    </row>
    <row r="186" spans="2:22" hidden="1" x14ac:dyDescent="0.25">
      <c r="B186" s="33" t="s">
        <v>859</v>
      </c>
      <c r="C186" s="33" t="s">
        <v>245</v>
      </c>
      <c r="D186" s="33" t="s">
        <v>18</v>
      </c>
      <c r="E186" s="33" t="s">
        <v>134</v>
      </c>
      <c r="F186" s="33">
        <v>11061720001</v>
      </c>
      <c r="G186" s="33" t="s">
        <v>42</v>
      </c>
      <c r="H186" s="33" t="s">
        <v>39</v>
      </c>
      <c r="I186" s="23">
        <v>0</v>
      </c>
      <c r="J186" s="23">
        <v>1199.1800000000007</v>
      </c>
      <c r="K186" s="23">
        <v>0</v>
      </c>
      <c r="L186" s="23">
        <v>2008.5</v>
      </c>
      <c r="M186" s="23">
        <v>800</v>
      </c>
      <c r="N186" s="23">
        <v>48</v>
      </c>
      <c r="O186" s="23">
        <v>0</v>
      </c>
      <c r="P186" s="23">
        <f>Tabela1[[#This Row],[1QZ DE MARÇO 26]]-Tabela1[[#This Row],[SALDO PENDENTE COM CX REPR.]]-Tabela1[[#This Row],[SALDO CARTAO]]-Tabela1[[#This Row],[ADIANTAMENTO]]</f>
        <v>-447.18000000000075</v>
      </c>
      <c r="Q186" s="23">
        <f>Tabela1[[#This Row],[1QZ DE MARÇO 26]]-Tabela1[[#This Row],[SALDO PENDENTE SEM CX REPR.]]-Tabela1[[#This Row],[SALDO CARTAO]]-Tabela1[[#This Row],[ADIANTAMENTO]]</f>
        <v>-1256.5</v>
      </c>
      <c r="R186" s="23">
        <v>0</v>
      </c>
      <c r="S186" s="40">
        <f>IF(Tabela1[[#This Row],[CARGA PARCIAL]]&lt;0,0,Tabela1[[#This Row],[CARGA PARCIAL]]+Tabela1[[#This Row],[REEMBOLSO]])</f>
        <v>0</v>
      </c>
      <c r="T186" s="40">
        <f>IF(Tabela1[[#This Row],[CARGA PARCIAL SEM CX REPROV.]]&lt;0,0,Tabela1[[#This Row],[CARGA PARCIAL]]+Tabela1[[#This Row],[REEMBOLSO]])</f>
        <v>0</v>
      </c>
      <c r="U186" s="24" t="s">
        <v>22</v>
      </c>
      <c r="V186" s="24"/>
    </row>
    <row r="187" spans="2:22" hidden="1" x14ac:dyDescent="0.25">
      <c r="B187" s="31" t="s">
        <v>860</v>
      </c>
      <c r="C187" s="32" t="s">
        <v>58</v>
      </c>
      <c r="D187" s="33" t="s">
        <v>18</v>
      </c>
      <c r="E187" s="33" t="s">
        <v>283</v>
      </c>
      <c r="F187" s="33">
        <v>11040140001</v>
      </c>
      <c r="G187" s="33" t="s">
        <v>42</v>
      </c>
      <c r="H187" s="22" t="s">
        <v>39</v>
      </c>
      <c r="I187" s="23">
        <v>0</v>
      </c>
      <c r="J187" s="23">
        <v>3500</v>
      </c>
      <c r="K187" s="23">
        <v>0</v>
      </c>
      <c r="L187" s="23">
        <v>3868.8099999999718</v>
      </c>
      <c r="M187" s="23">
        <v>0</v>
      </c>
      <c r="N187" s="23">
        <v>0</v>
      </c>
      <c r="O187" s="23">
        <v>0</v>
      </c>
      <c r="P187" s="23">
        <f>Tabela1[[#This Row],[1QZ DE MARÇO 26]]-Tabela1[[#This Row],[SALDO PENDENTE COM CX REPR.]]-Tabela1[[#This Row],[SALDO CARTAO]]-Tabela1[[#This Row],[ADIANTAMENTO]]</f>
        <v>-3500</v>
      </c>
      <c r="Q187" s="23">
        <f>Tabela1[[#This Row],[1QZ DE MARÇO 26]]-Tabela1[[#This Row],[SALDO PENDENTE SEM CX REPR.]]-Tabela1[[#This Row],[SALDO CARTAO]]-Tabela1[[#This Row],[ADIANTAMENTO]]</f>
        <v>-3868.8099999999718</v>
      </c>
      <c r="R187" s="23">
        <v>0</v>
      </c>
      <c r="S187" s="40">
        <f>IF(Tabela1[[#This Row],[CARGA PARCIAL]]&lt;0,0,Tabela1[[#This Row],[CARGA PARCIAL]]+Tabela1[[#This Row],[REEMBOLSO]])</f>
        <v>0</v>
      </c>
      <c r="T187" s="40">
        <f>IF(Tabela1[[#This Row],[CARGA PARCIAL SEM CX REPROV.]]&lt;0,0,Tabela1[[#This Row],[CARGA PARCIAL]]+Tabela1[[#This Row],[REEMBOLSO]])</f>
        <v>0</v>
      </c>
      <c r="U187" s="24" t="s">
        <v>60</v>
      </c>
      <c r="V187" s="24"/>
    </row>
    <row r="188" spans="2:22" hidden="1" x14ac:dyDescent="0.25">
      <c r="B188" s="37" t="s">
        <v>861</v>
      </c>
      <c r="C188" s="32" t="s">
        <v>397</v>
      </c>
      <c r="D188" s="33" t="s">
        <v>18</v>
      </c>
      <c r="E188" s="33" t="s">
        <v>65</v>
      </c>
      <c r="F188" s="33">
        <v>11030620001</v>
      </c>
      <c r="G188" s="33" t="s">
        <v>54</v>
      </c>
      <c r="H188" s="22" t="s">
        <v>39</v>
      </c>
      <c r="I188" s="23">
        <v>0</v>
      </c>
      <c r="J188" s="23">
        <v>26.519999999999982</v>
      </c>
      <c r="K188" s="23">
        <v>0</v>
      </c>
      <c r="L188" s="23">
        <v>4.33</v>
      </c>
      <c r="M188" s="23">
        <v>0</v>
      </c>
      <c r="N188" s="23">
        <v>0</v>
      </c>
      <c r="O188" s="23">
        <v>0</v>
      </c>
      <c r="P188" s="23">
        <f>Tabela1[[#This Row],[1QZ DE MARÇO 26]]-Tabela1[[#This Row],[SALDO PENDENTE COM CX REPR.]]-Tabela1[[#This Row],[SALDO CARTAO]]-Tabela1[[#This Row],[ADIANTAMENTO]]</f>
        <v>-26.519999999999982</v>
      </c>
      <c r="Q188" s="23">
        <f>Tabela1[[#This Row],[1QZ DE MARÇO 26]]-Tabela1[[#This Row],[SALDO PENDENTE SEM CX REPR.]]-Tabela1[[#This Row],[SALDO CARTAO]]-Tabela1[[#This Row],[ADIANTAMENTO]]</f>
        <v>-4.33</v>
      </c>
      <c r="R188" s="23">
        <v>0</v>
      </c>
      <c r="S188" s="40">
        <f>IF(Tabela1[[#This Row],[CARGA PARCIAL]]&lt;0,0,Tabela1[[#This Row],[CARGA PARCIAL]]+Tabela1[[#This Row],[REEMBOLSO]])</f>
        <v>0</v>
      </c>
      <c r="T188" s="40">
        <f>IF(Tabela1[[#This Row],[CARGA PARCIAL SEM CX REPROV.]]&lt;0,0,Tabela1[[#This Row],[CARGA PARCIAL]]+Tabela1[[#This Row],[REEMBOLSO]])</f>
        <v>0</v>
      </c>
      <c r="U188" s="24" t="s">
        <v>22</v>
      </c>
      <c r="V188" s="24"/>
    </row>
    <row r="189" spans="2:22" x14ac:dyDescent="0.25">
      <c r="B189" s="35" t="s">
        <v>1076</v>
      </c>
      <c r="C189" s="36" t="s">
        <v>307</v>
      </c>
      <c r="D189" s="34" t="s">
        <v>18</v>
      </c>
      <c r="E189" s="33" t="s">
        <v>88</v>
      </c>
      <c r="F189" s="33">
        <v>11040130001</v>
      </c>
      <c r="G189" s="33" t="s">
        <v>45</v>
      </c>
      <c r="H189" s="22" t="s">
        <v>39</v>
      </c>
      <c r="I189" s="23">
        <v>-275.60000000000002</v>
      </c>
      <c r="J189" s="23">
        <v>0</v>
      </c>
      <c r="K189" s="23">
        <v>-98.590000000000146</v>
      </c>
      <c r="L189" s="23">
        <v>0</v>
      </c>
      <c r="M189" s="23">
        <v>160</v>
      </c>
      <c r="N189" s="23">
        <v>0</v>
      </c>
      <c r="O189" s="23">
        <v>0</v>
      </c>
      <c r="P189" s="23">
        <f>Tabela1[[#This Row],[1QZ DE MARÇO 26]]-Tabela1[[#This Row],[SALDO PENDENTE COM CX REPR.]]-Tabela1[[#This Row],[SALDO CARTAO]]-Tabela1[[#This Row],[ADIANTAMENTO]]</f>
        <v>160</v>
      </c>
      <c r="Q189" s="23">
        <f>Tabela1[[#This Row],[1QZ DE MARÇO 26]]-Tabela1[[#This Row],[SALDO PENDENTE SEM CX REPR.]]-Tabela1[[#This Row],[SALDO CARTAO]]-Tabela1[[#This Row],[ADIANTAMENTO]]</f>
        <v>160</v>
      </c>
      <c r="R189" s="23">
        <v>275.60000000000002</v>
      </c>
      <c r="S189" s="40">
        <f>IF(Tabela1[[#This Row],[CARGA PARCIAL]]&lt;0,0,Tabela1[[#This Row],[CARGA PARCIAL]]+Tabela1[[#This Row],[REEMBOLSO]])</f>
        <v>435.6</v>
      </c>
      <c r="T189" s="40">
        <f>IF(Tabela1[[#This Row],[CARGA PARCIAL SEM CX REPROV.]]&lt;0,0,Tabela1[[#This Row],[CARGA PARCIAL]]+Tabela1[[#This Row],[REEMBOLSO]])</f>
        <v>435.6</v>
      </c>
      <c r="U189" s="25" t="s">
        <v>22</v>
      </c>
      <c r="V189" s="26"/>
    </row>
    <row r="190" spans="2:22" hidden="1" x14ac:dyDescent="0.25">
      <c r="B190" s="37" t="s">
        <v>863</v>
      </c>
      <c r="C190" s="32" t="s">
        <v>366</v>
      </c>
      <c r="D190" s="33" t="s">
        <v>18</v>
      </c>
      <c r="E190" s="33" t="s">
        <v>51</v>
      </c>
      <c r="F190" s="33">
        <v>11010400001</v>
      </c>
      <c r="G190" s="33" t="s">
        <v>25</v>
      </c>
      <c r="H190" s="22" t="s">
        <v>21</v>
      </c>
      <c r="I190" s="23">
        <v>0</v>
      </c>
      <c r="J190" s="23">
        <v>16105.21</v>
      </c>
      <c r="K190" s="23">
        <v>0</v>
      </c>
      <c r="L190" s="23">
        <v>607.08000000000084</v>
      </c>
      <c r="M190" s="23">
        <v>4500</v>
      </c>
      <c r="N190" s="23">
        <v>0</v>
      </c>
      <c r="O190" s="23">
        <v>0</v>
      </c>
      <c r="P190" s="23">
        <f>Tabela1[[#This Row],[1QZ DE MARÇO 26]]-Tabela1[[#This Row],[SALDO PENDENTE COM CX REPR.]]-Tabela1[[#This Row],[SALDO CARTAO]]-Tabela1[[#This Row],[ADIANTAMENTO]]</f>
        <v>-11605.21</v>
      </c>
      <c r="Q190" s="23">
        <f>Tabela1[[#This Row],[1QZ DE MARÇO 26]]-Tabela1[[#This Row],[SALDO PENDENTE SEM CX REPR.]]-Tabela1[[#This Row],[SALDO CARTAO]]-Tabela1[[#This Row],[ADIANTAMENTO]]</f>
        <v>3892.9199999999992</v>
      </c>
      <c r="R190" s="23">
        <v>0</v>
      </c>
      <c r="S190" s="40">
        <f>IF(Tabela1[[#This Row],[CARGA PARCIAL]]&lt;0,0,Tabela1[[#This Row],[CARGA PARCIAL]]+Tabela1[[#This Row],[REEMBOLSO]])</f>
        <v>0</v>
      </c>
      <c r="T190" s="40">
        <f>IF(Tabela1[[#This Row],[CARGA PARCIAL SEM CX REPROV.]]&lt;0,0,Tabela1[[#This Row],[CARGA PARCIAL]]+Tabela1[[#This Row],[REEMBOLSO]])</f>
        <v>-11605.21</v>
      </c>
      <c r="U190" s="24" t="s">
        <v>22</v>
      </c>
      <c r="V190" s="24"/>
    </row>
    <row r="191" spans="2:22" hidden="1" x14ac:dyDescent="0.25">
      <c r="B191" s="31" t="s">
        <v>864</v>
      </c>
      <c r="C191" s="32" t="s">
        <v>574</v>
      </c>
      <c r="D191" s="33" t="s">
        <v>18</v>
      </c>
      <c r="E191" s="33" t="s">
        <v>231</v>
      </c>
      <c r="F191" s="33">
        <v>1201044</v>
      </c>
      <c r="G191" s="33" t="s">
        <v>20</v>
      </c>
      <c r="H191" s="22" t="s">
        <v>21</v>
      </c>
      <c r="I191" s="23">
        <v>0</v>
      </c>
      <c r="J191" s="23">
        <v>0</v>
      </c>
      <c r="K191" s="23">
        <v>0</v>
      </c>
      <c r="L191" s="23">
        <v>270.77000000000004</v>
      </c>
      <c r="M191" s="23">
        <v>0</v>
      </c>
      <c r="N191" s="23">
        <v>0</v>
      </c>
      <c r="O191" s="23">
        <v>0</v>
      </c>
      <c r="P191" s="23">
        <f>Tabela1[[#This Row],[1QZ DE MARÇO 26]]-Tabela1[[#This Row],[SALDO PENDENTE COM CX REPR.]]-Tabela1[[#This Row],[SALDO CARTAO]]-Tabela1[[#This Row],[ADIANTAMENTO]]</f>
        <v>0</v>
      </c>
      <c r="Q191" s="23">
        <f>Tabela1[[#This Row],[1QZ DE MARÇO 26]]-Tabela1[[#This Row],[SALDO PENDENTE SEM CX REPR.]]-Tabela1[[#This Row],[SALDO CARTAO]]-Tabela1[[#This Row],[ADIANTAMENTO]]</f>
        <v>-270.77000000000004</v>
      </c>
      <c r="R191" s="23">
        <v>0</v>
      </c>
      <c r="S191" s="40">
        <f>IF(Tabela1[[#This Row],[CARGA PARCIAL]]&lt;0,0,Tabela1[[#This Row],[CARGA PARCIAL]]+Tabela1[[#This Row],[REEMBOLSO]])</f>
        <v>0</v>
      </c>
      <c r="T191" s="40">
        <f>IF(Tabela1[[#This Row],[CARGA PARCIAL SEM CX REPROV.]]&lt;0,0,Tabela1[[#This Row],[CARGA PARCIAL]]+Tabela1[[#This Row],[REEMBOLSO]])</f>
        <v>0</v>
      </c>
      <c r="U191" s="24" t="s">
        <v>22</v>
      </c>
      <c r="V191" s="24"/>
    </row>
    <row r="192" spans="2:22" hidden="1" x14ac:dyDescent="0.25">
      <c r="B192" s="31" t="s">
        <v>865</v>
      </c>
      <c r="C192" s="32" t="s">
        <v>575</v>
      </c>
      <c r="D192" s="33" t="s">
        <v>18</v>
      </c>
      <c r="E192" s="33" t="s">
        <v>132</v>
      </c>
      <c r="F192" s="33">
        <v>11061820001</v>
      </c>
      <c r="G192" s="33" t="s">
        <v>54</v>
      </c>
      <c r="H192" s="22" t="s">
        <v>39</v>
      </c>
      <c r="I192" s="23">
        <v>0</v>
      </c>
      <c r="J192" s="23">
        <v>1317.3799999999999</v>
      </c>
      <c r="K192" s="23">
        <v>0</v>
      </c>
      <c r="L192" s="23">
        <v>0</v>
      </c>
      <c r="M192" s="23">
        <v>500</v>
      </c>
      <c r="N192" s="23">
        <v>0</v>
      </c>
      <c r="O192" s="23">
        <v>0</v>
      </c>
      <c r="P192" s="23">
        <f>Tabela1[[#This Row],[1QZ DE MARÇO 26]]-Tabela1[[#This Row],[SALDO PENDENTE COM CX REPR.]]-Tabela1[[#This Row],[SALDO CARTAO]]-Tabela1[[#This Row],[ADIANTAMENTO]]</f>
        <v>-817.37999999999988</v>
      </c>
      <c r="Q192" s="23">
        <f>Tabela1[[#This Row],[1QZ DE MARÇO 26]]-Tabela1[[#This Row],[SALDO PENDENTE SEM CX REPR.]]-Tabela1[[#This Row],[SALDO CARTAO]]-Tabela1[[#This Row],[ADIANTAMENTO]]</f>
        <v>500</v>
      </c>
      <c r="R192" s="23">
        <v>0</v>
      </c>
      <c r="S192" s="40">
        <f>IF(Tabela1[[#This Row],[CARGA PARCIAL]]&lt;0,0,Tabela1[[#This Row],[CARGA PARCIAL]]+Tabela1[[#This Row],[REEMBOLSO]])</f>
        <v>0</v>
      </c>
      <c r="T192" s="40">
        <f>IF(Tabela1[[#This Row],[CARGA PARCIAL SEM CX REPROV.]]&lt;0,0,Tabela1[[#This Row],[CARGA PARCIAL]]+Tabela1[[#This Row],[REEMBOLSO]])</f>
        <v>-817.37999999999988</v>
      </c>
      <c r="U192" s="24" t="s">
        <v>22</v>
      </c>
      <c r="V192" s="24"/>
    </row>
    <row r="193" spans="2:22" hidden="1" x14ac:dyDescent="0.25">
      <c r="B193" s="34" t="s">
        <v>866</v>
      </c>
      <c r="C193" s="38" t="s">
        <v>576</v>
      </c>
      <c r="D193" s="34" t="s">
        <v>18</v>
      </c>
      <c r="E193" s="33" t="s">
        <v>532</v>
      </c>
      <c r="F193" s="33">
        <v>11063050001</v>
      </c>
      <c r="G193" s="33" t="s">
        <v>54</v>
      </c>
      <c r="H193" s="33" t="s">
        <v>39</v>
      </c>
      <c r="I193" s="23">
        <v>0</v>
      </c>
      <c r="J193" s="23">
        <v>1223.22</v>
      </c>
      <c r="K193" s="23">
        <v>0</v>
      </c>
      <c r="L193" s="23">
        <v>4000</v>
      </c>
      <c r="M193" s="23">
        <v>0</v>
      </c>
      <c r="N193" s="23"/>
      <c r="O193" s="23">
        <v>0</v>
      </c>
      <c r="P193" s="23">
        <f>Tabela1[[#This Row],[1QZ DE MARÇO 26]]-Tabela1[[#This Row],[SALDO PENDENTE COM CX REPR.]]-Tabela1[[#This Row],[SALDO CARTAO]]-Tabela1[[#This Row],[ADIANTAMENTO]]</f>
        <v>-1223.22</v>
      </c>
      <c r="Q193" s="23">
        <f>Tabela1[[#This Row],[1QZ DE MARÇO 26]]-Tabela1[[#This Row],[SALDO PENDENTE SEM CX REPR.]]-Tabela1[[#This Row],[SALDO CARTAO]]-Tabela1[[#This Row],[ADIANTAMENTO]]</f>
        <v>-4000</v>
      </c>
      <c r="R193" s="23">
        <v>0</v>
      </c>
      <c r="S193" s="40">
        <f>IF(Tabela1[[#This Row],[CARGA PARCIAL]]&lt;0,0,Tabela1[[#This Row],[CARGA PARCIAL]]+Tabela1[[#This Row],[REEMBOLSO]])</f>
        <v>0</v>
      </c>
      <c r="T193" s="40">
        <f>IF(Tabela1[[#This Row],[CARGA PARCIAL SEM CX REPROV.]]&lt;0,0,Tabela1[[#This Row],[CARGA PARCIAL]]+Tabela1[[#This Row],[REEMBOLSO]])</f>
        <v>0</v>
      </c>
      <c r="U193" s="25" t="s">
        <v>22</v>
      </c>
      <c r="V193" s="26"/>
    </row>
    <row r="194" spans="2:22" hidden="1" x14ac:dyDescent="0.25">
      <c r="B194" s="31" t="s">
        <v>867</v>
      </c>
      <c r="C194" s="32" t="s">
        <v>465</v>
      </c>
      <c r="D194" s="33" t="s">
        <v>18</v>
      </c>
      <c r="E194" s="33" t="s">
        <v>466</v>
      </c>
      <c r="F194" s="33">
        <v>11010190001</v>
      </c>
      <c r="G194" s="33" t="s">
        <v>48</v>
      </c>
      <c r="H194" s="22" t="s">
        <v>35</v>
      </c>
      <c r="I194" s="23">
        <v>0</v>
      </c>
      <c r="J194" s="23">
        <v>500</v>
      </c>
      <c r="K194" s="23">
        <v>0</v>
      </c>
      <c r="L194" s="23">
        <v>1738.0599999999686</v>
      </c>
      <c r="M194" s="23">
        <v>500</v>
      </c>
      <c r="N194" s="23">
        <v>0</v>
      </c>
      <c r="O194" s="23">
        <v>0</v>
      </c>
      <c r="P194" s="23">
        <f>Tabela1[[#This Row],[1QZ DE MARÇO 26]]-Tabela1[[#This Row],[SALDO PENDENTE COM CX REPR.]]-Tabela1[[#This Row],[SALDO CARTAO]]-Tabela1[[#This Row],[ADIANTAMENTO]]</f>
        <v>0</v>
      </c>
      <c r="Q194" s="23">
        <f>Tabela1[[#This Row],[1QZ DE MARÇO 26]]-Tabela1[[#This Row],[SALDO PENDENTE SEM CX REPR.]]-Tabela1[[#This Row],[SALDO CARTAO]]-Tabela1[[#This Row],[ADIANTAMENTO]]</f>
        <v>-1238.0599999999686</v>
      </c>
      <c r="R194" s="23">
        <v>0</v>
      </c>
      <c r="S194" s="40">
        <f>IF(Tabela1[[#This Row],[CARGA PARCIAL]]&lt;0,0,Tabela1[[#This Row],[CARGA PARCIAL]]+Tabela1[[#This Row],[REEMBOLSO]])</f>
        <v>0</v>
      </c>
      <c r="T194" s="40">
        <f>IF(Tabela1[[#This Row],[CARGA PARCIAL SEM CX REPROV.]]&lt;0,0,Tabela1[[#This Row],[CARGA PARCIAL]]+Tabela1[[#This Row],[REEMBOLSO]])</f>
        <v>0</v>
      </c>
      <c r="U194" s="24" t="s">
        <v>22</v>
      </c>
      <c r="V194" s="24"/>
    </row>
    <row r="195" spans="2:22" hidden="1" x14ac:dyDescent="0.25">
      <c r="B195" s="37" t="s">
        <v>868</v>
      </c>
      <c r="C195" s="32" t="s">
        <v>657</v>
      </c>
      <c r="D195" s="33" t="s">
        <v>18</v>
      </c>
      <c r="E195" s="33" t="s">
        <v>44</v>
      </c>
      <c r="F195" s="33">
        <v>1104150001</v>
      </c>
      <c r="G195" s="33" t="s">
        <v>54</v>
      </c>
      <c r="H195" s="22" t="s">
        <v>39</v>
      </c>
      <c r="I195" s="23">
        <v>0</v>
      </c>
      <c r="J195" s="23">
        <v>0</v>
      </c>
      <c r="K195" s="23">
        <v>0</v>
      </c>
      <c r="L195" s="23">
        <v>1040</v>
      </c>
      <c r="M195" s="23">
        <v>0</v>
      </c>
      <c r="N195" s="23">
        <v>3.53</v>
      </c>
      <c r="O195" s="23">
        <v>0</v>
      </c>
      <c r="P195" s="23">
        <f>Tabela1[[#This Row],[1QZ DE MARÇO 26]]-Tabela1[[#This Row],[SALDO PENDENTE COM CX REPR.]]-Tabela1[[#This Row],[SALDO CARTAO]]-Tabela1[[#This Row],[ADIANTAMENTO]]</f>
        <v>-3.53</v>
      </c>
      <c r="Q195" s="23">
        <f>Tabela1[[#This Row],[1QZ DE MARÇO 26]]-Tabela1[[#This Row],[SALDO PENDENTE SEM CX REPR.]]-Tabela1[[#This Row],[SALDO CARTAO]]-Tabela1[[#This Row],[ADIANTAMENTO]]</f>
        <v>-1043.53</v>
      </c>
      <c r="R195" s="23">
        <v>0</v>
      </c>
      <c r="S195" s="40">
        <f>IF(Tabela1[[#This Row],[CARGA PARCIAL]]&lt;0,0,Tabela1[[#This Row],[CARGA PARCIAL]]+Tabela1[[#This Row],[REEMBOLSO]])</f>
        <v>0</v>
      </c>
      <c r="T195" s="40">
        <f>IF(Tabela1[[#This Row],[CARGA PARCIAL SEM CX REPROV.]]&lt;0,0,Tabela1[[#This Row],[CARGA PARCIAL]]+Tabela1[[#This Row],[REEMBOLSO]])</f>
        <v>0</v>
      </c>
      <c r="U195" s="24" t="s">
        <v>1158</v>
      </c>
      <c r="V195" s="24"/>
    </row>
    <row r="196" spans="2:22" x14ac:dyDescent="0.25">
      <c r="B196" s="31" t="s">
        <v>869</v>
      </c>
      <c r="C196" s="32" t="s">
        <v>467</v>
      </c>
      <c r="D196" s="33" t="s">
        <v>18</v>
      </c>
      <c r="E196" s="33" t="s">
        <v>309</v>
      </c>
      <c r="F196" s="33">
        <v>11010420001</v>
      </c>
      <c r="G196" s="33" t="s">
        <v>38</v>
      </c>
      <c r="H196" s="22" t="s">
        <v>39</v>
      </c>
      <c r="I196" s="23">
        <v>0</v>
      </c>
      <c r="J196" s="23">
        <v>81</v>
      </c>
      <c r="K196" s="23">
        <v>0</v>
      </c>
      <c r="L196" s="23">
        <v>150.42999999999884</v>
      </c>
      <c r="M196" s="23">
        <v>500</v>
      </c>
      <c r="N196" s="23">
        <v>8.7799999999999994</v>
      </c>
      <c r="O196" s="23">
        <v>0</v>
      </c>
      <c r="P196" s="23">
        <f>Tabela1[[#This Row],[1QZ DE MARÇO 26]]-Tabela1[[#This Row],[SALDO PENDENTE COM CX REPR.]]-Tabela1[[#This Row],[SALDO CARTAO]]-Tabela1[[#This Row],[ADIANTAMENTO]]</f>
        <v>410.22</v>
      </c>
      <c r="Q196" s="23">
        <f>Tabela1[[#This Row],[1QZ DE MARÇO 26]]-Tabela1[[#This Row],[SALDO PENDENTE SEM CX REPR.]]-Tabela1[[#This Row],[SALDO CARTAO]]-Tabela1[[#This Row],[ADIANTAMENTO]]</f>
        <v>340.79000000000121</v>
      </c>
      <c r="R196" s="23">
        <v>0</v>
      </c>
      <c r="S196" s="40">
        <f>IF(Tabela1[[#This Row],[CARGA PARCIAL]]&lt;0,0,Tabela1[[#This Row],[CARGA PARCIAL]]+Tabela1[[#This Row],[REEMBOLSO]])</f>
        <v>410.22</v>
      </c>
      <c r="T196" s="40">
        <f>IF(Tabela1[[#This Row],[CARGA PARCIAL SEM CX REPROV.]]&lt;0,0,Tabela1[[#This Row],[CARGA PARCIAL]]+Tabela1[[#This Row],[REEMBOLSO]])</f>
        <v>410.22</v>
      </c>
      <c r="U196" s="24" t="s">
        <v>22</v>
      </c>
      <c r="V196" s="24"/>
    </row>
    <row r="197" spans="2:22" hidden="1" x14ac:dyDescent="0.25">
      <c r="B197" s="34" t="s">
        <v>870</v>
      </c>
      <c r="C197" s="34" t="s">
        <v>577</v>
      </c>
      <c r="D197" s="34" t="s">
        <v>18</v>
      </c>
      <c r="E197" s="33" t="s">
        <v>379</v>
      </c>
      <c r="F197" s="33">
        <v>11062820001</v>
      </c>
      <c r="G197" s="33" t="s">
        <v>380</v>
      </c>
      <c r="H197" s="33" t="s">
        <v>123</v>
      </c>
      <c r="I197" s="23">
        <v>0</v>
      </c>
      <c r="J197" s="23">
        <v>278.61999999999989</v>
      </c>
      <c r="K197" s="23">
        <v>0</v>
      </c>
      <c r="L197" s="23">
        <v>21.99</v>
      </c>
      <c r="M197" s="23">
        <v>0</v>
      </c>
      <c r="N197" s="23">
        <v>0</v>
      </c>
      <c r="O197" s="23">
        <v>0</v>
      </c>
      <c r="P197" s="23">
        <f>Tabela1[[#This Row],[1QZ DE MARÇO 26]]-Tabela1[[#This Row],[SALDO PENDENTE COM CX REPR.]]-Tabela1[[#This Row],[SALDO CARTAO]]-Tabela1[[#This Row],[ADIANTAMENTO]]</f>
        <v>-278.61999999999989</v>
      </c>
      <c r="Q197" s="23">
        <f>Tabela1[[#This Row],[1QZ DE MARÇO 26]]-Tabela1[[#This Row],[SALDO PENDENTE SEM CX REPR.]]-Tabela1[[#This Row],[SALDO CARTAO]]-Tabela1[[#This Row],[ADIANTAMENTO]]</f>
        <v>-21.99</v>
      </c>
      <c r="R197" s="23">
        <v>0</v>
      </c>
      <c r="S197" s="40">
        <f>IF(Tabela1[[#This Row],[CARGA PARCIAL]]&lt;0,0,Tabela1[[#This Row],[CARGA PARCIAL]]+Tabela1[[#This Row],[REEMBOLSO]])</f>
        <v>0</v>
      </c>
      <c r="T197" s="40">
        <f>IF(Tabela1[[#This Row],[CARGA PARCIAL SEM CX REPROV.]]&lt;0,0,Tabela1[[#This Row],[CARGA PARCIAL]]+Tabela1[[#This Row],[REEMBOLSO]])</f>
        <v>0</v>
      </c>
      <c r="U197" s="25" t="s">
        <v>22</v>
      </c>
      <c r="V197" s="26"/>
    </row>
    <row r="198" spans="2:22" hidden="1" x14ac:dyDescent="0.25">
      <c r="B198" s="33" t="s">
        <v>871</v>
      </c>
      <c r="C198" s="33" t="s">
        <v>230</v>
      </c>
      <c r="D198" s="33" t="s">
        <v>18</v>
      </c>
      <c r="E198" s="33" t="s">
        <v>231</v>
      </c>
      <c r="F198" s="33">
        <v>1201044</v>
      </c>
      <c r="G198" s="33" t="s">
        <v>20</v>
      </c>
      <c r="H198" s="22" t="s">
        <v>21</v>
      </c>
      <c r="I198" s="23">
        <v>0</v>
      </c>
      <c r="J198" s="23">
        <v>1491.71</v>
      </c>
      <c r="K198" s="23">
        <v>0</v>
      </c>
      <c r="L198" s="23">
        <v>2045.8999999999992</v>
      </c>
      <c r="M198" s="23">
        <v>1000</v>
      </c>
      <c r="N198" s="23">
        <v>0</v>
      </c>
      <c r="O198" s="23">
        <v>1000</v>
      </c>
      <c r="P198" s="23">
        <f>Tabela1[[#This Row],[1QZ DE MARÇO 26]]-Tabela1[[#This Row],[SALDO PENDENTE COM CX REPR.]]-Tabela1[[#This Row],[SALDO CARTAO]]-Tabela1[[#This Row],[ADIANTAMENTO]]</f>
        <v>-1491.71</v>
      </c>
      <c r="Q198" s="23">
        <f>Tabela1[[#This Row],[1QZ DE MARÇO 26]]-Tabela1[[#This Row],[SALDO PENDENTE SEM CX REPR.]]-Tabela1[[#This Row],[SALDO CARTAO]]-Tabela1[[#This Row],[ADIANTAMENTO]]</f>
        <v>-2045.8999999999992</v>
      </c>
      <c r="R198" s="23">
        <v>0</v>
      </c>
      <c r="S198" s="40">
        <f>IF(Tabela1[[#This Row],[CARGA PARCIAL]]&lt;0,0,Tabela1[[#This Row],[CARGA PARCIAL]]+Tabela1[[#This Row],[REEMBOLSO]])</f>
        <v>0</v>
      </c>
      <c r="T198" s="40">
        <f>IF(Tabela1[[#This Row],[CARGA PARCIAL SEM CX REPROV.]]&lt;0,0,Tabela1[[#This Row],[CARGA PARCIAL]]+Tabela1[[#This Row],[REEMBOLSO]])</f>
        <v>0</v>
      </c>
      <c r="U198" s="24" t="s">
        <v>22</v>
      </c>
      <c r="V198" s="24"/>
    </row>
    <row r="199" spans="2:22" hidden="1" x14ac:dyDescent="0.25">
      <c r="B199" s="31" t="s">
        <v>872</v>
      </c>
      <c r="C199" s="32" t="s">
        <v>658</v>
      </c>
      <c r="D199" s="33" t="s">
        <v>18</v>
      </c>
      <c r="E199" s="33" t="s">
        <v>532</v>
      </c>
      <c r="F199" s="33">
        <v>11063050001</v>
      </c>
      <c r="G199" s="33" t="s">
        <v>54</v>
      </c>
      <c r="H199" s="22" t="s">
        <v>39</v>
      </c>
      <c r="I199" s="23">
        <v>0</v>
      </c>
      <c r="J199" s="23">
        <v>1918.5</v>
      </c>
      <c r="K199" s="23">
        <v>0</v>
      </c>
      <c r="L199" s="23">
        <v>5807.5999999999995</v>
      </c>
      <c r="M199" s="23">
        <v>0</v>
      </c>
      <c r="N199" s="23">
        <v>0</v>
      </c>
      <c r="O199" s="23">
        <v>0</v>
      </c>
      <c r="P199" s="23">
        <f>Tabela1[[#This Row],[1QZ DE MARÇO 26]]-Tabela1[[#This Row],[SALDO PENDENTE COM CX REPR.]]-Tabela1[[#This Row],[SALDO CARTAO]]-Tabela1[[#This Row],[ADIANTAMENTO]]</f>
        <v>-1918.5</v>
      </c>
      <c r="Q199" s="23">
        <f>Tabela1[[#This Row],[1QZ DE MARÇO 26]]-Tabela1[[#This Row],[SALDO PENDENTE SEM CX REPR.]]-Tabela1[[#This Row],[SALDO CARTAO]]-Tabela1[[#This Row],[ADIANTAMENTO]]</f>
        <v>-5807.5999999999995</v>
      </c>
      <c r="R199" s="23">
        <v>0</v>
      </c>
      <c r="S199" s="40">
        <f>IF(Tabela1[[#This Row],[CARGA PARCIAL]]&lt;0,0,Tabela1[[#This Row],[CARGA PARCIAL]]+Tabela1[[#This Row],[REEMBOLSO]])</f>
        <v>0</v>
      </c>
      <c r="T199" s="40">
        <f>IF(Tabela1[[#This Row],[CARGA PARCIAL SEM CX REPROV.]]&lt;0,0,Tabela1[[#This Row],[CARGA PARCIAL]]+Tabela1[[#This Row],[REEMBOLSO]])</f>
        <v>0</v>
      </c>
      <c r="U199" s="24" t="s">
        <v>22</v>
      </c>
      <c r="V199" s="24"/>
    </row>
    <row r="200" spans="2:22" hidden="1" x14ac:dyDescent="0.25">
      <c r="B200" s="37" t="s">
        <v>873</v>
      </c>
      <c r="C200" s="32" t="s">
        <v>578</v>
      </c>
      <c r="D200" s="33" t="s">
        <v>18</v>
      </c>
      <c r="E200" s="33" t="s">
        <v>373</v>
      </c>
      <c r="F200" s="33">
        <v>1201004</v>
      </c>
      <c r="G200" s="33" t="s">
        <v>374</v>
      </c>
      <c r="H200" s="22" t="s">
        <v>375</v>
      </c>
      <c r="I200" s="23">
        <v>0</v>
      </c>
      <c r="J200" s="23">
        <v>846.37000000000012</v>
      </c>
      <c r="K200" s="23">
        <v>-3662.2000000000626</v>
      </c>
      <c r="L200" s="23">
        <v>0</v>
      </c>
      <c r="M200" s="23">
        <v>0</v>
      </c>
      <c r="N200" s="23">
        <v>0</v>
      </c>
      <c r="O200" s="23">
        <v>0</v>
      </c>
      <c r="P200" s="23">
        <f>Tabela1[[#This Row],[1QZ DE MARÇO 26]]-Tabela1[[#This Row],[SALDO PENDENTE COM CX REPR.]]-Tabela1[[#This Row],[SALDO CARTAO]]-Tabela1[[#This Row],[ADIANTAMENTO]]</f>
        <v>-846.37000000000012</v>
      </c>
      <c r="Q200" s="23">
        <f>Tabela1[[#This Row],[1QZ DE MARÇO 26]]-Tabela1[[#This Row],[SALDO PENDENTE SEM CX REPR.]]-Tabela1[[#This Row],[SALDO CARTAO]]-Tabela1[[#This Row],[ADIANTAMENTO]]</f>
        <v>0</v>
      </c>
      <c r="R200" s="23">
        <v>0</v>
      </c>
      <c r="S200" s="40">
        <f>IF(Tabela1[[#This Row],[CARGA PARCIAL]]&lt;0,0,Tabela1[[#This Row],[CARGA PARCIAL]]+Tabela1[[#This Row],[REEMBOLSO]])</f>
        <v>0</v>
      </c>
      <c r="T200" s="40">
        <f>IF(Tabela1[[#This Row],[CARGA PARCIAL SEM CX REPROV.]]&lt;0,0,Tabela1[[#This Row],[CARGA PARCIAL]]+Tabela1[[#This Row],[REEMBOLSO]])</f>
        <v>-846.37000000000012</v>
      </c>
      <c r="U200" s="24" t="s">
        <v>22</v>
      </c>
      <c r="V200" s="24"/>
    </row>
    <row r="201" spans="2:22" x14ac:dyDescent="0.25">
      <c r="B201" s="31" t="s">
        <v>1026</v>
      </c>
      <c r="C201" s="32" t="s">
        <v>157</v>
      </c>
      <c r="D201" s="33" t="s">
        <v>18</v>
      </c>
      <c r="E201" s="33" t="s">
        <v>158</v>
      </c>
      <c r="F201" s="33">
        <v>11062830001</v>
      </c>
      <c r="G201" s="33" t="s">
        <v>20</v>
      </c>
      <c r="H201" s="22" t="s">
        <v>21</v>
      </c>
      <c r="I201" s="23">
        <v>-284.70999999999913</v>
      </c>
      <c r="J201" s="23">
        <v>0</v>
      </c>
      <c r="K201" s="23">
        <v>0</v>
      </c>
      <c r="L201" s="23">
        <v>0</v>
      </c>
      <c r="M201" s="23">
        <v>1500</v>
      </c>
      <c r="N201" s="23">
        <v>3.79</v>
      </c>
      <c r="O201" s="23">
        <v>0</v>
      </c>
      <c r="P201" s="23">
        <f>Tabela1[[#This Row],[1QZ DE MARÇO 26]]-Tabela1[[#This Row],[SALDO PENDENTE COM CX REPR.]]-Tabela1[[#This Row],[SALDO CARTAO]]-Tabela1[[#This Row],[ADIANTAMENTO]]</f>
        <v>1496.21</v>
      </c>
      <c r="Q201" s="23">
        <f>Tabela1[[#This Row],[1QZ DE MARÇO 26]]-Tabela1[[#This Row],[SALDO PENDENTE SEM CX REPR.]]-Tabela1[[#This Row],[SALDO CARTAO]]-Tabela1[[#This Row],[ADIANTAMENTO]]</f>
        <v>1496.21</v>
      </c>
      <c r="R201" s="23">
        <v>0</v>
      </c>
      <c r="S201" s="40">
        <f>IF(Tabela1[[#This Row],[CARGA PARCIAL]]&lt;0,0,Tabela1[[#This Row],[CARGA PARCIAL]]+Tabela1[[#This Row],[REEMBOLSO]])</f>
        <v>1496.21</v>
      </c>
      <c r="T201" s="40">
        <f>IF(Tabela1[[#This Row],[CARGA PARCIAL SEM CX REPROV.]]&lt;0,0,Tabela1[[#This Row],[CARGA PARCIAL]]+Tabela1[[#This Row],[REEMBOLSO]])</f>
        <v>1496.21</v>
      </c>
      <c r="U201" s="24" t="s">
        <v>22</v>
      </c>
      <c r="V201" s="24"/>
    </row>
    <row r="202" spans="2:22" x14ac:dyDescent="0.25">
      <c r="B202" s="34" t="s">
        <v>777</v>
      </c>
      <c r="C202" s="34" t="s">
        <v>108</v>
      </c>
      <c r="D202" s="34" t="s">
        <v>18</v>
      </c>
      <c r="E202" s="33" t="s">
        <v>109</v>
      </c>
      <c r="F202" s="33">
        <v>11062270001</v>
      </c>
      <c r="G202" s="33" t="s">
        <v>20</v>
      </c>
      <c r="H202" s="22" t="s">
        <v>21</v>
      </c>
      <c r="I202" s="23">
        <v>-286.81000000002678</v>
      </c>
      <c r="J202" s="23">
        <v>0</v>
      </c>
      <c r="K202" s="23">
        <v>0</v>
      </c>
      <c r="L202" s="23">
        <v>0</v>
      </c>
      <c r="M202" s="23">
        <v>1500</v>
      </c>
      <c r="N202" s="23">
        <v>0</v>
      </c>
      <c r="O202" s="23">
        <v>0</v>
      </c>
      <c r="P202" s="23">
        <f>Tabela1[[#This Row],[1QZ DE MARÇO 26]]-Tabela1[[#This Row],[SALDO PENDENTE COM CX REPR.]]-Tabela1[[#This Row],[SALDO CARTAO]]-Tabela1[[#This Row],[ADIANTAMENTO]]</f>
        <v>1500</v>
      </c>
      <c r="Q202" s="23">
        <f>Tabela1[[#This Row],[1QZ DE MARÇO 26]]-Tabela1[[#This Row],[SALDO PENDENTE SEM CX REPR.]]-Tabela1[[#This Row],[SALDO CARTAO]]-Tabela1[[#This Row],[ADIANTAMENTO]]</f>
        <v>1500</v>
      </c>
      <c r="R202" s="23">
        <v>0</v>
      </c>
      <c r="S202" s="40">
        <f>IF(Tabela1[[#This Row],[CARGA PARCIAL]]&lt;0,0,Tabela1[[#This Row],[CARGA PARCIAL]]+Tabela1[[#This Row],[REEMBOLSO]])</f>
        <v>1500</v>
      </c>
      <c r="T202" s="40">
        <f>IF(Tabela1[[#This Row],[CARGA PARCIAL SEM CX REPROV.]]&lt;0,0,Tabela1[[#This Row],[CARGA PARCIAL]]+Tabela1[[#This Row],[REEMBOLSO]])</f>
        <v>1500</v>
      </c>
      <c r="U202" s="25" t="s">
        <v>22</v>
      </c>
      <c r="V202" s="26"/>
    </row>
    <row r="203" spans="2:22" hidden="1" x14ac:dyDescent="0.25">
      <c r="B203" s="31" t="s">
        <v>876</v>
      </c>
      <c r="C203" s="32" t="s">
        <v>579</v>
      </c>
      <c r="D203" s="33" t="s">
        <v>18</v>
      </c>
      <c r="E203" s="33" t="s">
        <v>44</v>
      </c>
      <c r="F203" s="33">
        <v>1104150001</v>
      </c>
      <c r="G203" s="33" t="s">
        <v>45</v>
      </c>
      <c r="H203" s="22" t="s">
        <v>39</v>
      </c>
      <c r="I203" s="23">
        <v>0</v>
      </c>
      <c r="J203" s="23">
        <v>419.98000000000013</v>
      </c>
      <c r="K203" s="23">
        <v>0</v>
      </c>
      <c r="L203" s="23">
        <v>1360.8900000000067</v>
      </c>
      <c r="M203" s="23">
        <v>0</v>
      </c>
      <c r="N203" s="23">
        <v>0</v>
      </c>
      <c r="O203" s="23">
        <v>0</v>
      </c>
      <c r="P203" s="23">
        <f>Tabela1[[#This Row],[1QZ DE MARÇO 26]]-Tabela1[[#This Row],[SALDO PENDENTE COM CX REPR.]]-Tabela1[[#This Row],[SALDO CARTAO]]-Tabela1[[#This Row],[ADIANTAMENTO]]</f>
        <v>-419.98000000000013</v>
      </c>
      <c r="Q203" s="23">
        <f>Tabela1[[#This Row],[1QZ DE MARÇO 26]]-Tabela1[[#This Row],[SALDO PENDENTE SEM CX REPR.]]-Tabela1[[#This Row],[SALDO CARTAO]]-Tabela1[[#This Row],[ADIANTAMENTO]]</f>
        <v>-1360.8900000000067</v>
      </c>
      <c r="R203" s="23">
        <v>0</v>
      </c>
      <c r="S203" s="40">
        <f>IF(Tabela1[[#This Row],[CARGA PARCIAL]]&lt;0,0,Tabela1[[#This Row],[CARGA PARCIAL]]+Tabela1[[#This Row],[REEMBOLSO]])</f>
        <v>0</v>
      </c>
      <c r="T203" s="40">
        <f>IF(Tabela1[[#This Row],[CARGA PARCIAL SEM CX REPROV.]]&lt;0,0,Tabela1[[#This Row],[CARGA PARCIAL]]+Tabela1[[#This Row],[REEMBOLSO]])</f>
        <v>0</v>
      </c>
      <c r="U203" s="24" t="s">
        <v>22</v>
      </c>
      <c r="V203" s="24"/>
    </row>
    <row r="204" spans="2:22" hidden="1" x14ac:dyDescent="0.25">
      <c r="B204" s="33" t="s">
        <v>877</v>
      </c>
      <c r="C204" s="33" t="s">
        <v>445</v>
      </c>
      <c r="D204" s="33" t="s">
        <v>18</v>
      </c>
      <c r="E204" s="33" t="s">
        <v>134</v>
      </c>
      <c r="F204" s="33">
        <v>11061720001</v>
      </c>
      <c r="G204" s="33" t="s">
        <v>42</v>
      </c>
      <c r="H204" s="33" t="s">
        <v>39</v>
      </c>
      <c r="I204" s="23">
        <v>0</v>
      </c>
      <c r="J204" s="23">
        <v>1124.4499999999994</v>
      </c>
      <c r="K204" s="23">
        <v>0</v>
      </c>
      <c r="L204" s="23">
        <v>0</v>
      </c>
      <c r="M204" s="23">
        <v>800</v>
      </c>
      <c r="N204" s="23">
        <v>0</v>
      </c>
      <c r="O204" s="23">
        <v>0</v>
      </c>
      <c r="P204" s="23">
        <f>Tabela1[[#This Row],[1QZ DE MARÇO 26]]-Tabela1[[#This Row],[SALDO PENDENTE COM CX REPR.]]-Tabela1[[#This Row],[SALDO CARTAO]]-Tabela1[[#This Row],[ADIANTAMENTO]]</f>
        <v>-324.44999999999936</v>
      </c>
      <c r="Q204" s="23">
        <f>Tabela1[[#This Row],[1QZ DE MARÇO 26]]-Tabela1[[#This Row],[SALDO PENDENTE SEM CX REPR.]]-Tabela1[[#This Row],[SALDO CARTAO]]-Tabela1[[#This Row],[ADIANTAMENTO]]</f>
        <v>800</v>
      </c>
      <c r="R204" s="23">
        <v>0</v>
      </c>
      <c r="S204" s="40">
        <f>IF(Tabela1[[#This Row],[CARGA PARCIAL]]&lt;0,0,Tabela1[[#This Row],[CARGA PARCIAL]]+Tabela1[[#This Row],[REEMBOLSO]])</f>
        <v>0</v>
      </c>
      <c r="T204" s="40">
        <f>IF(Tabela1[[#This Row],[CARGA PARCIAL SEM CX REPROV.]]&lt;0,0,Tabela1[[#This Row],[CARGA PARCIAL]]+Tabela1[[#This Row],[REEMBOLSO]])</f>
        <v>-324.44999999999936</v>
      </c>
      <c r="U204" s="24" t="s">
        <v>22</v>
      </c>
      <c r="V204" s="24"/>
    </row>
    <row r="205" spans="2:22" x14ac:dyDescent="0.25">
      <c r="B205" s="31" t="s">
        <v>878</v>
      </c>
      <c r="C205" s="32" t="s">
        <v>514</v>
      </c>
      <c r="D205" s="33" t="s">
        <v>18</v>
      </c>
      <c r="E205" s="33" t="s">
        <v>212</v>
      </c>
      <c r="F205" s="33">
        <v>11061810001</v>
      </c>
      <c r="G205" s="33" t="s">
        <v>54</v>
      </c>
      <c r="H205" s="22" t="s">
        <v>39</v>
      </c>
      <c r="I205" s="23">
        <v>0</v>
      </c>
      <c r="J205" s="23">
        <v>100</v>
      </c>
      <c r="K205" s="23">
        <v>0</v>
      </c>
      <c r="L205" s="23">
        <v>153</v>
      </c>
      <c r="M205" s="23">
        <v>300</v>
      </c>
      <c r="N205" s="23">
        <v>0</v>
      </c>
      <c r="O205" s="23">
        <v>0</v>
      </c>
      <c r="P205" s="23">
        <f>Tabela1[[#This Row],[1QZ DE MARÇO 26]]-Tabela1[[#This Row],[SALDO PENDENTE COM CX REPR.]]-Tabela1[[#This Row],[SALDO CARTAO]]-Tabela1[[#This Row],[ADIANTAMENTO]]</f>
        <v>200</v>
      </c>
      <c r="Q205" s="23">
        <f>Tabela1[[#This Row],[1QZ DE MARÇO 26]]-Tabela1[[#This Row],[SALDO PENDENTE SEM CX REPR.]]-Tabela1[[#This Row],[SALDO CARTAO]]-Tabela1[[#This Row],[ADIANTAMENTO]]</f>
        <v>147</v>
      </c>
      <c r="R205" s="23">
        <v>0</v>
      </c>
      <c r="S205" s="40">
        <f>IF(Tabela1[[#This Row],[CARGA PARCIAL]]&lt;0,0,Tabela1[[#This Row],[CARGA PARCIAL]]+Tabela1[[#This Row],[REEMBOLSO]])</f>
        <v>200</v>
      </c>
      <c r="T205" s="40">
        <f>IF(Tabela1[[#This Row],[CARGA PARCIAL SEM CX REPROV.]]&lt;0,0,Tabela1[[#This Row],[CARGA PARCIAL]]+Tabela1[[#This Row],[REEMBOLSO]])</f>
        <v>200</v>
      </c>
      <c r="U205" s="24" t="s">
        <v>22</v>
      </c>
      <c r="V205" s="24"/>
    </row>
    <row r="206" spans="2:22" hidden="1" x14ac:dyDescent="0.25">
      <c r="B206" s="31" t="s">
        <v>879</v>
      </c>
      <c r="C206" s="32" t="s">
        <v>258</v>
      </c>
      <c r="D206" s="33" t="s">
        <v>18</v>
      </c>
      <c r="E206" s="33" t="s">
        <v>44</v>
      </c>
      <c r="F206" s="33">
        <v>1104150001</v>
      </c>
      <c r="G206" s="33" t="s">
        <v>45</v>
      </c>
      <c r="H206" s="22" t="s">
        <v>39</v>
      </c>
      <c r="I206" s="23">
        <v>0</v>
      </c>
      <c r="J206" s="23">
        <v>998.3499999999998</v>
      </c>
      <c r="K206" s="23">
        <v>0</v>
      </c>
      <c r="L206" s="23">
        <v>4680.0699999999924</v>
      </c>
      <c r="M206" s="23">
        <v>0</v>
      </c>
      <c r="N206" s="23">
        <v>1.83</v>
      </c>
      <c r="O206" s="23">
        <v>0</v>
      </c>
      <c r="P206" s="23">
        <f>Tabela1[[#This Row],[1QZ DE MARÇO 26]]-Tabela1[[#This Row],[SALDO PENDENTE COM CX REPR.]]-Tabela1[[#This Row],[SALDO CARTAO]]-Tabela1[[#This Row],[ADIANTAMENTO]]</f>
        <v>-1000.1799999999998</v>
      </c>
      <c r="Q206" s="23">
        <f>Tabela1[[#This Row],[1QZ DE MARÇO 26]]-Tabela1[[#This Row],[SALDO PENDENTE SEM CX REPR.]]-Tabela1[[#This Row],[SALDO CARTAO]]-Tabela1[[#This Row],[ADIANTAMENTO]]</f>
        <v>-4681.8999999999924</v>
      </c>
      <c r="R206" s="23">
        <v>0</v>
      </c>
      <c r="S206" s="40">
        <f>IF(Tabela1[[#This Row],[CARGA PARCIAL]]&lt;0,0,Tabela1[[#This Row],[CARGA PARCIAL]]+Tabela1[[#This Row],[REEMBOLSO]])</f>
        <v>0</v>
      </c>
      <c r="T206" s="40">
        <f>IF(Tabela1[[#This Row],[CARGA PARCIAL SEM CX REPROV.]]&lt;0,0,Tabela1[[#This Row],[CARGA PARCIAL]]+Tabela1[[#This Row],[REEMBOLSO]])</f>
        <v>0</v>
      </c>
      <c r="U206" s="24" t="s">
        <v>22</v>
      </c>
      <c r="V206" s="24"/>
    </row>
    <row r="207" spans="2:22" hidden="1" x14ac:dyDescent="0.25">
      <c r="B207" s="31" t="s">
        <v>880</v>
      </c>
      <c r="C207" s="32" t="s">
        <v>291</v>
      </c>
      <c r="D207" s="33" t="s">
        <v>18</v>
      </c>
      <c r="E207" s="33" t="s">
        <v>95</v>
      </c>
      <c r="F207" s="33">
        <v>11040160001</v>
      </c>
      <c r="G207" s="33" t="s">
        <v>48</v>
      </c>
      <c r="H207" s="22" t="s">
        <v>35</v>
      </c>
      <c r="I207" s="23">
        <v>0</v>
      </c>
      <c r="J207" s="23">
        <v>207.4099999999994</v>
      </c>
      <c r="K207" s="23">
        <v>0</v>
      </c>
      <c r="L207" s="23">
        <v>0</v>
      </c>
      <c r="M207" s="23">
        <v>500</v>
      </c>
      <c r="N207" s="23">
        <v>426.64</v>
      </c>
      <c r="O207" s="23">
        <v>0</v>
      </c>
      <c r="P207" s="23">
        <f>Tabela1[[#This Row],[1QZ DE MARÇO 26]]-Tabela1[[#This Row],[SALDO PENDENTE COM CX REPR.]]-Tabela1[[#This Row],[SALDO CARTAO]]-Tabela1[[#This Row],[ADIANTAMENTO]]</f>
        <v>-134.04999999999939</v>
      </c>
      <c r="Q207" s="23">
        <f>Tabela1[[#This Row],[1QZ DE MARÇO 26]]-Tabela1[[#This Row],[SALDO PENDENTE SEM CX REPR.]]-Tabela1[[#This Row],[SALDO CARTAO]]-Tabela1[[#This Row],[ADIANTAMENTO]]</f>
        <v>73.360000000000014</v>
      </c>
      <c r="R207" s="23">
        <v>0</v>
      </c>
      <c r="S207" s="40">
        <f>IF(Tabela1[[#This Row],[CARGA PARCIAL]]&lt;0,0,Tabela1[[#This Row],[CARGA PARCIAL]]+Tabela1[[#This Row],[REEMBOLSO]])</f>
        <v>0</v>
      </c>
      <c r="T207" s="40">
        <f>IF(Tabela1[[#This Row],[CARGA PARCIAL SEM CX REPROV.]]&lt;0,0,Tabela1[[#This Row],[CARGA PARCIAL]]+Tabela1[[#This Row],[REEMBOLSO]])</f>
        <v>-134.04999999999939</v>
      </c>
      <c r="U207" s="24" t="s">
        <v>22</v>
      </c>
      <c r="V207" s="24"/>
    </row>
    <row r="208" spans="2:22" hidden="1" x14ac:dyDescent="0.25">
      <c r="B208" s="31" t="s">
        <v>881</v>
      </c>
      <c r="C208" s="32" t="s">
        <v>580</v>
      </c>
      <c r="D208" s="33" t="s">
        <v>18</v>
      </c>
      <c r="E208" s="33" t="s">
        <v>156</v>
      </c>
      <c r="F208" s="33">
        <v>11062670001</v>
      </c>
      <c r="G208" s="33" t="s">
        <v>38</v>
      </c>
      <c r="H208" s="22" t="s">
        <v>39</v>
      </c>
      <c r="I208" s="23">
        <v>0</v>
      </c>
      <c r="J208" s="23">
        <v>2519.7799999999997</v>
      </c>
      <c r="K208" s="23">
        <v>0</v>
      </c>
      <c r="L208" s="23">
        <v>4157.2400000000034</v>
      </c>
      <c r="M208" s="23">
        <v>0</v>
      </c>
      <c r="N208" s="23">
        <v>0</v>
      </c>
      <c r="O208" s="23">
        <v>0</v>
      </c>
      <c r="P208" s="23">
        <f>Tabela1[[#This Row],[1QZ DE MARÇO 26]]-Tabela1[[#This Row],[SALDO PENDENTE COM CX REPR.]]-Tabela1[[#This Row],[SALDO CARTAO]]-Tabela1[[#This Row],[ADIANTAMENTO]]</f>
        <v>-2519.7799999999997</v>
      </c>
      <c r="Q208" s="23">
        <f>Tabela1[[#This Row],[1QZ DE MARÇO 26]]-Tabela1[[#This Row],[SALDO PENDENTE SEM CX REPR.]]-Tabela1[[#This Row],[SALDO CARTAO]]-Tabela1[[#This Row],[ADIANTAMENTO]]</f>
        <v>-4157.2400000000034</v>
      </c>
      <c r="R208" s="23">
        <v>0</v>
      </c>
      <c r="S208" s="40">
        <f>IF(Tabela1[[#This Row],[CARGA PARCIAL]]&lt;0,0,Tabela1[[#This Row],[CARGA PARCIAL]]+Tabela1[[#This Row],[REEMBOLSO]])</f>
        <v>0</v>
      </c>
      <c r="T208" s="40">
        <f>IF(Tabela1[[#This Row],[CARGA PARCIAL SEM CX REPROV.]]&lt;0,0,Tabela1[[#This Row],[CARGA PARCIAL]]+Tabela1[[#This Row],[REEMBOLSO]])</f>
        <v>0</v>
      </c>
      <c r="U208" s="24" t="s">
        <v>22</v>
      </c>
      <c r="V208" s="24"/>
    </row>
    <row r="209" spans="2:22" hidden="1" x14ac:dyDescent="0.25">
      <c r="B209" s="33" t="s">
        <v>882</v>
      </c>
      <c r="C209" s="33" t="s">
        <v>581</v>
      </c>
      <c r="D209" s="33" t="s">
        <v>18</v>
      </c>
      <c r="E209" s="33" t="s">
        <v>379</v>
      </c>
      <c r="F209" s="33">
        <v>11062820001</v>
      </c>
      <c r="G209" s="33" t="s">
        <v>380</v>
      </c>
      <c r="H209" s="22" t="s">
        <v>123</v>
      </c>
      <c r="I209" s="23">
        <v>0</v>
      </c>
      <c r="J209" s="23">
        <v>868.31999999999994</v>
      </c>
      <c r="K209" s="23">
        <v>0</v>
      </c>
      <c r="L209" s="23">
        <v>0</v>
      </c>
      <c r="M209" s="23">
        <v>0</v>
      </c>
      <c r="N209" s="23">
        <v>18.95</v>
      </c>
      <c r="O209" s="23">
        <v>0</v>
      </c>
      <c r="P209" s="23">
        <f>Tabela1[[#This Row],[1QZ DE MARÇO 26]]-Tabela1[[#This Row],[SALDO PENDENTE COM CX REPR.]]-Tabela1[[#This Row],[SALDO CARTAO]]-Tabela1[[#This Row],[ADIANTAMENTO]]</f>
        <v>-887.27</v>
      </c>
      <c r="Q209" s="23">
        <f>Tabela1[[#This Row],[1QZ DE MARÇO 26]]-Tabela1[[#This Row],[SALDO PENDENTE SEM CX REPR.]]-Tabela1[[#This Row],[SALDO CARTAO]]-Tabela1[[#This Row],[ADIANTAMENTO]]</f>
        <v>-18.95</v>
      </c>
      <c r="R209" s="23">
        <v>0</v>
      </c>
      <c r="S209" s="40">
        <f>IF(Tabela1[[#This Row],[CARGA PARCIAL]]&lt;0,0,Tabela1[[#This Row],[CARGA PARCIAL]]+Tabela1[[#This Row],[REEMBOLSO]])</f>
        <v>0</v>
      </c>
      <c r="T209" s="40">
        <f>IF(Tabela1[[#This Row],[CARGA PARCIAL SEM CX REPROV.]]&lt;0,0,Tabela1[[#This Row],[CARGA PARCIAL]]+Tabela1[[#This Row],[REEMBOLSO]])</f>
        <v>0</v>
      </c>
      <c r="U209" s="24" t="s">
        <v>22</v>
      </c>
      <c r="V209" s="24"/>
    </row>
    <row r="210" spans="2:22" hidden="1" x14ac:dyDescent="0.25">
      <c r="B210" s="37" t="s">
        <v>883</v>
      </c>
      <c r="C210" s="32" t="s">
        <v>582</v>
      </c>
      <c r="D210" s="33" t="s">
        <v>18</v>
      </c>
      <c r="E210" s="33" t="s">
        <v>473</v>
      </c>
      <c r="F210" s="33">
        <v>11080200001</v>
      </c>
      <c r="G210" s="33" t="s">
        <v>20</v>
      </c>
      <c r="H210" s="22" t="s">
        <v>21</v>
      </c>
      <c r="I210" s="23">
        <v>0</v>
      </c>
      <c r="J210" s="23">
        <v>95.440000000000055</v>
      </c>
      <c r="K210" s="23">
        <v>0</v>
      </c>
      <c r="L210" s="23">
        <v>769.66999999999098</v>
      </c>
      <c r="M210" s="23">
        <v>0</v>
      </c>
      <c r="N210" s="23">
        <v>0</v>
      </c>
      <c r="O210" s="23">
        <v>0</v>
      </c>
      <c r="P210" s="23">
        <f>Tabela1[[#This Row],[1QZ DE MARÇO 26]]-Tabela1[[#This Row],[SALDO PENDENTE COM CX REPR.]]-Tabela1[[#This Row],[SALDO CARTAO]]-Tabela1[[#This Row],[ADIANTAMENTO]]</f>
        <v>-95.440000000000055</v>
      </c>
      <c r="Q210" s="23">
        <f>Tabela1[[#This Row],[1QZ DE MARÇO 26]]-Tabela1[[#This Row],[SALDO PENDENTE SEM CX REPR.]]-Tabela1[[#This Row],[SALDO CARTAO]]-Tabela1[[#This Row],[ADIANTAMENTO]]</f>
        <v>-769.66999999999098</v>
      </c>
      <c r="R210" s="23">
        <v>0</v>
      </c>
      <c r="S210" s="40">
        <f>IF(Tabela1[[#This Row],[CARGA PARCIAL]]&lt;0,0,Tabela1[[#This Row],[CARGA PARCIAL]]+Tabela1[[#This Row],[REEMBOLSO]])</f>
        <v>0</v>
      </c>
      <c r="T210" s="40">
        <f>IF(Tabela1[[#This Row],[CARGA PARCIAL SEM CX REPROV.]]&lt;0,0,Tabela1[[#This Row],[CARGA PARCIAL]]+Tabela1[[#This Row],[REEMBOLSO]])</f>
        <v>0</v>
      </c>
      <c r="U210" s="24" t="s">
        <v>60</v>
      </c>
      <c r="V210" s="24"/>
    </row>
    <row r="211" spans="2:22" x14ac:dyDescent="0.25">
      <c r="B211" s="31" t="s">
        <v>884</v>
      </c>
      <c r="C211" s="32" t="s">
        <v>249</v>
      </c>
      <c r="D211" s="33" t="s">
        <v>18</v>
      </c>
      <c r="E211" s="33" t="s">
        <v>189</v>
      </c>
      <c r="F211" s="33">
        <v>11061400001</v>
      </c>
      <c r="G211" s="33" t="s">
        <v>42</v>
      </c>
      <c r="H211" s="22" t="s">
        <v>39</v>
      </c>
      <c r="I211" s="23">
        <v>-8.1999999999864031</v>
      </c>
      <c r="J211" s="23">
        <v>0</v>
      </c>
      <c r="K211" s="23">
        <v>0</v>
      </c>
      <c r="L211" s="23">
        <v>0</v>
      </c>
      <c r="M211" s="23">
        <v>1200</v>
      </c>
      <c r="N211" s="23">
        <v>0</v>
      </c>
      <c r="O211" s="23">
        <v>0</v>
      </c>
      <c r="P211" s="23">
        <f>Tabela1[[#This Row],[1QZ DE MARÇO 26]]-Tabela1[[#This Row],[SALDO PENDENTE COM CX REPR.]]-Tabela1[[#This Row],[SALDO CARTAO]]-Tabela1[[#This Row],[ADIANTAMENTO]]</f>
        <v>1200</v>
      </c>
      <c r="Q211" s="23">
        <f>Tabela1[[#This Row],[1QZ DE MARÇO 26]]-Tabela1[[#This Row],[SALDO PENDENTE SEM CX REPR.]]-Tabela1[[#This Row],[SALDO CARTAO]]-Tabela1[[#This Row],[ADIANTAMENTO]]</f>
        <v>1200</v>
      </c>
      <c r="R211" s="23">
        <v>0</v>
      </c>
      <c r="S211" s="40">
        <f>IF(Tabela1[[#This Row],[CARGA PARCIAL]]&lt;0,0,Tabela1[[#This Row],[CARGA PARCIAL]]+Tabela1[[#This Row],[REEMBOLSO]])</f>
        <v>1200</v>
      </c>
      <c r="T211" s="40">
        <f>IF(Tabela1[[#This Row],[CARGA PARCIAL SEM CX REPROV.]]&lt;0,0,Tabela1[[#This Row],[CARGA PARCIAL]]+Tabela1[[#This Row],[REEMBOLSO]])</f>
        <v>1200</v>
      </c>
      <c r="U211" s="24" t="s">
        <v>22</v>
      </c>
      <c r="V211" s="24"/>
    </row>
    <row r="212" spans="2:22" hidden="1" x14ac:dyDescent="0.25">
      <c r="B212" s="37" t="s">
        <v>885</v>
      </c>
      <c r="C212" s="32" t="s">
        <v>468</v>
      </c>
      <c r="D212" s="33" t="s">
        <v>18</v>
      </c>
      <c r="E212" s="33" t="s">
        <v>469</v>
      </c>
      <c r="F212" s="33">
        <v>11062360001</v>
      </c>
      <c r="G212" s="33" t="s">
        <v>38</v>
      </c>
      <c r="H212" s="22" t="s">
        <v>39</v>
      </c>
      <c r="I212" s="23">
        <v>0</v>
      </c>
      <c r="J212" s="23">
        <v>730</v>
      </c>
      <c r="K212" s="23">
        <v>0</v>
      </c>
      <c r="L212" s="23">
        <v>16064.019999999995</v>
      </c>
      <c r="M212" s="23">
        <v>500</v>
      </c>
      <c r="N212" s="23">
        <v>0</v>
      </c>
      <c r="O212" s="23">
        <v>0</v>
      </c>
      <c r="P212" s="23">
        <f>Tabela1[[#This Row],[1QZ DE MARÇO 26]]-Tabela1[[#This Row],[SALDO PENDENTE COM CX REPR.]]-Tabela1[[#This Row],[SALDO CARTAO]]-Tabela1[[#This Row],[ADIANTAMENTO]]</f>
        <v>-230</v>
      </c>
      <c r="Q212" s="23">
        <f>Tabela1[[#This Row],[1QZ DE MARÇO 26]]-Tabela1[[#This Row],[SALDO PENDENTE SEM CX REPR.]]-Tabela1[[#This Row],[SALDO CARTAO]]-Tabela1[[#This Row],[ADIANTAMENTO]]</f>
        <v>-15564.019999999995</v>
      </c>
      <c r="R212" s="23">
        <v>0</v>
      </c>
      <c r="S212" s="40">
        <f>IF(Tabela1[[#This Row],[CARGA PARCIAL]]&lt;0,0,Tabela1[[#This Row],[CARGA PARCIAL]]+Tabela1[[#This Row],[REEMBOLSO]])</f>
        <v>0</v>
      </c>
      <c r="T212" s="40">
        <f>IF(Tabela1[[#This Row],[CARGA PARCIAL SEM CX REPROV.]]&lt;0,0,Tabela1[[#This Row],[CARGA PARCIAL]]+Tabela1[[#This Row],[REEMBOLSO]])</f>
        <v>0</v>
      </c>
      <c r="U212" s="24" t="s">
        <v>22</v>
      </c>
      <c r="V212" s="24"/>
    </row>
    <row r="213" spans="2:22" hidden="1" x14ac:dyDescent="0.25">
      <c r="B213" s="31" t="s">
        <v>886</v>
      </c>
      <c r="C213" s="32" t="s">
        <v>361</v>
      </c>
      <c r="D213" s="33" t="s">
        <v>18</v>
      </c>
      <c r="E213" s="33" t="s">
        <v>229</v>
      </c>
      <c r="F213" s="33">
        <v>1201017</v>
      </c>
      <c r="G213" s="33" t="s">
        <v>48</v>
      </c>
      <c r="H213" s="22" t="s">
        <v>35</v>
      </c>
      <c r="I213" s="23">
        <v>0</v>
      </c>
      <c r="J213" s="23">
        <v>608.96999999999844</v>
      </c>
      <c r="K213" s="23">
        <v>0</v>
      </c>
      <c r="L213" s="23">
        <v>906</v>
      </c>
      <c r="M213" s="23">
        <v>500</v>
      </c>
      <c r="N213" s="23">
        <v>0</v>
      </c>
      <c r="O213" s="23">
        <v>0</v>
      </c>
      <c r="P213" s="23">
        <f>Tabela1[[#This Row],[1QZ DE MARÇO 26]]-Tabela1[[#This Row],[SALDO PENDENTE COM CX REPR.]]-Tabela1[[#This Row],[SALDO CARTAO]]-Tabela1[[#This Row],[ADIANTAMENTO]]</f>
        <v>-108.96999999999844</v>
      </c>
      <c r="Q213" s="23">
        <f>Tabela1[[#This Row],[1QZ DE MARÇO 26]]-Tabela1[[#This Row],[SALDO PENDENTE SEM CX REPR.]]-Tabela1[[#This Row],[SALDO CARTAO]]-Tabela1[[#This Row],[ADIANTAMENTO]]</f>
        <v>-406</v>
      </c>
      <c r="R213" s="23">
        <v>0</v>
      </c>
      <c r="S213" s="40">
        <f>IF(Tabela1[[#This Row],[CARGA PARCIAL]]&lt;0,0,Tabela1[[#This Row],[CARGA PARCIAL]]+Tabela1[[#This Row],[REEMBOLSO]])</f>
        <v>0</v>
      </c>
      <c r="T213" s="40">
        <f>IF(Tabela1[[#This Row],[CARGA PARCIAL SEM CX REPROV.]]&lt;0,0,Tabela1[[#This Row],[CARGA PARCIAL]]+Tabela1[[#This Row],[REEMBOLSO]])</f>
        <v>0</v>
      </c>
      <c r="U213" s="24" t="s">
        <v>22</v>
      </c>
      <c r="V213" s="24"/>
    </row>
    <row r="214" spans="2:22" hidden="1" x14ac:dyDescent="0.25">
      <c r="B214" s="33" t="s">
        <v>887</v>
      </c>
      <c r="C214" s="33" t="s">
        <v>443</v>
      </c>
      <c r="D214" s="33" t="s">
        <v>18</v>
      </c>
      <c r="E214" s="33" t="s">
        <v>274</v>
      </c>
      <c r="F214" s="33">
        <v>1201014</v>
      </c>
      <c r="G214" s="33" t="s">
        <v>275</v>
      </c>
      <c r="H214" s="22" t="s">
        <v>123</v>
      </c>
      <c r="I214" s="23">
        <v>0</v>
      </c>
      <c r="J214" s="23">
        <v>418.14000000000033</v>
      </c>
      <c r="K214" s="23">
        <v>0</v>
      </c>
      <c r="L214" s="23">
        <v>0</v>
      </c>
      <c r="M214" s="23">
        <v>900</v>
      </c>
      <c r="N214" s="23">
        <v>778.99</v>
      </c>
      <c r="O214" s="23">
        <v>0</v>
      </c>
      <c r="P214" s="23">
        <f>Tabela1[[#This Row],[1QZ DE MARÇO 26]]-Tabela1[[#This Row],[SALDO PENDENTE COM CX REPR.]]-Tabela1[[#This Row],[SALDO CARTAO]]-Tabela1[[#This Row],[ADIANTAMENTO]]</f>
        <v>-297.13000000000034</v>
      </c>
      <c r="Q214" s="23">
        <f>Tabela1[[#This Row],[1QZ DE MARÇO 26]]-Tabela1[[#This Row],[SALDO PENDENTE SEM CX REPR.]]-Tabela1[[#This Row],[SALDO CARTAO]]-Tabela1[[#This Row],[ADIANTAMENTO]]</f>
        <v>121.00999999999999</v>
      </c>
      <c r="R214" s="23">
        <v>0</v>
      </c>
      <c r="S214" s="40">
        <f>IF(Tabela1[[#This Row],[CARGA PARCIAL]]&lt;0,0,Tabela1[[#This Row],[CARGA PARCIAL]]+Tabela1[[#This Row],[REEMBOLSO]])</f>
        <v>0</v>
      </c>
      <c r="T214" s="40">
        <f>IF(Tabela1[[#This Row],[CARGA PARCIAL SEM CX REPROV.]]&lt;0,0,Tabela1[[#This Row],[CARGA PARCIAL]]+Tabela1[[#This Row],[REEMBOLSO]])</f>
        <v>-297.13000000000034</v>
      </c>
      <c r="U214" s="24" t="s">
        <v>22</v>
      </c>
      <c r="V214" s="24"/>
    </row>
    <row r="215" spans="2:22" hidden="1" x14ac:dyDescent="0.25">
      <c r="B215" s="33" t="s">
        <v>888</v>
      </c>
      <c r="C215" s="33" t="s">
        <v>502</v>
      </c>
      <c r="D215" s="33" t="s">
        <v>18</v>
      </c>
      <c r="E215" s="33" t="s">
        <v>283</v>
      </c>
      <c r="F215" s="33">
        <v>11040140001</v>
      </c>
      <c r="G215" s="33" t="s">
        <v>45</v>
      </c>
      <c r="H215" s="33" t="s">
        <v>39</v>
      </c>
      <c r="I215" s="23">
        <v>0</v>
      </c>
      <c r="J215" s="23">
        <v>157.88</v>
      </c>
      <c r="K215" s="23">
        <v>0</v>
      </c>
      <c r="L215" s="23">
        <v>0</v>
      </c>
      <c r="M215" s="23">
        <v>150</v>
      </c>
      <c r="N215" s="23">
        <v>0</v>
      </c>
      <c r="O215" s="23">
        <v>0</v>
      </c>
      <c r="P215" s="23">
        <f>Tabela1[[#This Row],[1QZ DE MARÇO 26]]-Tabela1[[#This Row],[SALDO PENDENTE COM CX REPR.]]-Tabela1[[#This Row],[SALDO CARTAO]]-Tabela1[[#This Row],[ADIANTAMENTO]]</f>
        <v>-7.8799999999999955</v>
      </c>
      <c r="Q215" s="23">
        <f>Tabela1[[#This Row],[1QZ DE MARÇO 26]]-Tabela1[[#This Row],[SALDO PENDENTE SEM CX REPR.]]-Tabela1[[#This Row],[SALDO CARTAO]]-Tabela1[[#This Row],[ADIANTAMENTO]]</f>
        <v>150</v>
      </c>
      <c r="R215" s="23">
        <v>0</v>
      </c>
      <c r="S215" s="40">
        <f>IF(Tabela1[[#This Row],[CARGA PARCIAL]]&lt;0,0,Tabela1[[#This Row],[CARGA PARCIAL]]+Tabela1[[#This Row],[REEMBOLSO]])</f>
        <v>0</v>
      </c>
      <c r="T215" s="40">
        <f>IF(Tabela1[[#This Row],[CARGA PARCIAL SEM CX REPROV.]]&lt;0,0,Tabela1[[#This Row],[CARGA PARCIAL]]+Tabela1[[#This Row],[REEMBOLSO]])</f>
        <v>-7.8799999999999955</v>
      </c>
      <c r="U215" s="24" t="s">
        <v>22</v>
      </c>
      <c r="V215" s="24"/>
    </row>
    <row r="216" spans="2:22" x14ac:dyDescent="0.25">
      <c r="B216" s="37" t="s">
        <v>889</v>
      </c>
      <c r="C216" s="32" t="s">
        <v>350</v>
      </c>
      <c r="D216" s="33" t="s">
        <v>18</v>
      </c>
      <c r="E216" s="33" t="s">
        <v>90</v>
      </c>
      <c r="F216" s="33">
        <v>11040170001</v>
      </c>
      <c r="G216" s="33" t="s">
        <v>91</v>
      </c>
      <c r="H216" s="22" t="s">
        <v>21</v>
      </c>
      <c r="I216" s="23">
        <v>0</v>
      </c>
      <c r="J216" s="23">
        <v>1014</v>
      </c>
      <c r="K216" s="23">
        <v>-396.84000000000378</v>
      </c>
      <c r="L216" s="23">
        <v>0</v>
      </c>
      <c r="M216" s="23">
        <v>1500</v>
      </c>
      <c r="N216" s="23">
        <v>0</v>
      </c>
      <c r="O216" s="23">
        <v>0</v>
      </c>
      <c r="P216" s="23">
        <f>Tabela1[[#This Row],[1QZ DE MARÇO 26]]-Tabela1[[#This Row],[SALDO PENDENTE COM CX REPR.]]-Tabela1[[#This Row],[SALDO CARTAO]]-Tabela1[[#This Row],[ADIANTAMENTO]]</f>
        <v>486</v>
      </c>
      <c r="Q216" s="23">
        <f>Tabela1[[#This Row],[1QZ DE MARÇO 26]]-Tabela1[[#This Row],[SALDO PENDENTE SEM CX REPR.]]-Tabela1[[#This Row],[SALDO CARTAO]]-Tabela1[[#This Row],[ADIANTAMENTO]]</f>
        <v>1500</v>
      </c>
      <c r="R216" s="23">
        <v>0</v>
      </c>
      <c r="S216" s="40">
        <f>IF(Tabela1[[#This Row],[CARGA PARCIAL]]&lt;0,0,Tabela1[[#This Row],[CARGA PARCIAL]]+Tabela1[[#This Row],[REEMBOLSO]])</f>
        <v>486</v>
      </c>
      <c r="T216" s="40">
        <f>IF(Tabela1[[#This Row],[CARGA PARCIAL SEM CX REPROV.]]&lt;0,0,Tabela1[[#This Row],[CARGA PARCIAL]]+Tabela1[[#This Row],[REEMBOLSO]])</f>
        <v>486</v>
      </c>
      <c r="U216" s="24" t="s">
        <v>22</v>
      </c>
      <c r="V216" s="24"/>
    </row>
    <row r="217" spans="2:22" hidden="1" x14ac:dyDescent="0.25">
      <c r="B217" s="31" t="s">
        <v>890</v>
      </c>
      <c r="C217" s="32" t="s">
        <v>583</v>
      </c>
      <c r="D217" s="33" t="s">
        <v>18</v>
      </c>
      <c r="E217" s="33" t="s">
        <v>44</v>
      </c>
      <c r="F217" s="33">
        <v>1104150001</v>
      </c>
      <c r="G217" s="33" t="s">
        <v>45</v>
      </c>
      <c r="H217" s="22" t="s">
        <v>39</v>
      </c>
      <c r="I217" s="23">
        <v>0</v>
      </c>
      <c r="J217" s="23">
        <v>45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f>Tabela1[[#This Row],[1QZ DE MARÇO 26]]-Tabela1[[#This Row],[SALDO PENDENTE COM CX REPR.]]-Tabela1[[#This Row],[SALDO CARTAO]]-Tabela1[[#This Row],[ADIANTAMENTO]]</f>
        <v>-45</v>
      </c>
      <c r="Q217" s="23">
        <f>Tabela1[[#This Row],[1QZ DE MARÇO 26]]-Tabela1[[#This Row],[SALDO PENDENTE SEM CX REPR.]]-Tabela1[[#This Row],[SALDO CARTAO]]-Tabela1[[#This Row],[ADIANTAMENTO]]</f>
        <v>0</v>
      </c>
      <c r="R217" s="23">
        <v>0</v>
      </c>
      <c r="S217" s="40">
        <f>IF(Tabela1[[#This Row],[CARGA PARCIAL]]&lt;0,0,Tabela1[[#This Row],[CARGA PARCIAL]]+Tabela1[[#This Row],[REEMBOLSO]])</f>
        <v>0</v>
      </c>
      <c r="T217" s="40">
        <f>IF(Tabela1[[#This Row],[CARGA PARCIAL SEM CX REPROV.]]&lt;0,0,Tabela1[[#This Row],[CARGA PARCIAL]]+Tabela1[[#This Row],[REEMBOLSO]])</f>
        <v>-45</v>
      </c>
      <c r="U217" s="24" t="s">
        <v>60</v>
      </c>
      <c r="V217" s="24"/>
    </row>
    <row r="218" spans="2:22" hidden="1" x14ac:dyDescent="0.25">
      <c r="B218" s="33" t="s">
        <v>891</v>
      </c>
      <c r="C218" s="33" t="s">
        <v>584</v>
      </c>
      <c r="D218" s="33" t="s">
        <v>18</v>
      </c>
      <c r="E218" s="33" t="s">
        <v>542</v>
      </c>
      <c r="F218" s="33">
        <v>1201001</v>
      </c>
      <c r="G218" s="33" t="s">
        <v>275</v>
      </c>
      <c r="H218" s="33" t="s">
        <v>123</v>
      </c>
      <c r="I218" s="23">
        <v>0</v>
      </c>
      <c r="J218" s="23">
        <v>199.04000000000019</v>
      </c>
      <c r="K218" s="23">
        <v>0</v>
      </c>
      <c r="L218" s="23">
        <v>553.24999999999818</v>
      </c>
      <c r="M218" s="23">
        <v>0</v>
      </c>
      <c r="N218" s="23">
        <v>0</v>
      </c>
      <c r="O218" s="23">
        <v>0</v>
      </c>
      <c r="P218" s="23">
        <f>Tabela1[[#This Row],[1QZ DE MARÇO 26]]-Tabela1[[#This Row],[SALDO PENDENTE COM CX REPR.]]-Tabela1[[#This Row],[SALDO CARTAO]]-Tabela1[[#This Row],[ADIANTAMENTO]]</f>
        <v>-199.04000000000019</v>
      </c>
      <c r="Q218" s="23">
        <f>Tabela1[[#This Row],[1QZ DE MARÇO 26]]-Tabela1[[#This Row],[SALDO PENDENTE SEM CX REPR.]]-Tabela1[[#This Row],[SALDO CARTAO]]-Tabela1[[#This Row],[ADIANTAMENTO]]</f>
        <v>-553.24999999999818</v>
      </c>
      <c r="R218" s="23">
        <v>0</v>
      </c>
      <c r="S218" s="40">
        <f>IF(Tabela1[[#This Row],[CARGA PARCIAL]]&lt;0,0,Tabela1[[#This Row],[CARGA PARCIAL]]+Tabela1[[#This Row],[REEMBOLSO]])</f>
        <v>0</v>
      </c>
      <c r="T218" s="40">
        <f>IF(Tabela1[[#This Row],[CARGA PARCIAL SEM CX REPROV.]]&lt;0,0,Tabela1[[#This Row],[CARGA PARCIAL]]+Tabela1[[#This Row],[REEMBOLSO]])</f>
        <v>0</v>
      </c>
      <c r="U218" s="24" t="s">
        <v>22</v>
      </c>
      <c r="V218" s="24"/>
    </row>
    <row r="219" spans="2:22" hidden="1" x14ac:dyDescent="0.25">
      <c r="B219" s="31" t="s">
        <v>892</v>
      </c>
      <c r="C219" s="32" t="s">
        <v>376</v>
      </c>
      <c r="D219" s="33" t="s">
        <v>18</v>
      </c>
      <c r="E219" s="33" t="s">
        <v>44</v>
      </c>
      <c r="F219" s="33">
        <v>1104150001</v>
      </c>
      <c r="G219" s="33" t="s">
        <v>45</v>
      </c>
      <c r="H219" s="22" t="s">
        <v>39</v>
      </c>
      <c r="I219" s="23">
        <v>0</v>
      </c>
      <c r="J219" s="23">
        <v>292.08000000000038</v>
      </c>
      <c r="K219" s="23">
        <v>0</v>
      </c>
      <c r="L219" s="23">
        <v>35.599999999997095</v>
      </c>
      <c r="M219" s="23">
        <v>0</v>
      </c>
      <c r="N219" s="23">
        <v>0</v>
      </c>
      <c r="O219" s="23">
        <v>0</v>
      </c>
      <c r="P219" s="23">
        <f>Tabela1[[#This Row],[1QZ DE MARÇO 26]]-Tabela1[[#This Row],[SALDO PENDENTE COM CX REPR.]]-Tabela1[[#This Row],[SALDO CARTAO]]-Tabela1[[#This Row],[ADIANTAMENTO]]</f>
        <v>-292.08000000000038</v>
      </c>
      <c r="Q219" s="23">
        <f>Tabela1[[#This Row],[1QZ DE MARÇO 26]]-Tabela1[[#This Row],[SALDO PENDENTE SEM CX REPR.]]-Tabela1[[#This Row],[SALDO CARTAO]]-Tabela1[[#This Row],[ADIANTAMENTO]]</f>
        <v>-35.599999999997095</v>
      </c>
      <c r="R219" s="23">
        <v>0</v>
      </c>
      <c r="S219" s="40">
        <f>IF(Tabela1[[#This Row],[CARGA PARCIAL]]&lt;0,0,Tabela1[[#This Row],[CARGA PARCIAL]]+Tabela1[[#This Row],[REEMBOLSO]])</f>
        <v>0</v>
      </c>
      <c r="T219" s="40">
        <f>IF(Tabela1[[#This Row],[CARGA PARCIAL SEM CX REPROV.]]&lt;0,0,Tabela1[[#This Row],[CARGA PARCIAL]]+Tabela1[[#This Row],[REEMBOLSO]])</f>
        <v>0</v>
      </c>
      <c r="U219" s="24" t="s">
        <v>22</v>
      </c>
      <c r="V219" s="24"/>
    </row>
    <row r="220" spans="2:22" hidden="1" x14ac:dyDescent="0.25">
      <c r="B220" s="31" t="s">
        <v>893</v>
      </c>
      <c r="C220" s="32" t="s">
        <v>470</v>
      </c>
      <c r="D220" s="33" t="s">
        <v>18</v>
      </c>
      <c r="E220" s="33" t="s">
        <v>608</v>
      </c>
      <c r="F220" s="33">
        <v>1201021</v>
      </c>
      <c r="G220" s="33" t="s">
        <v>20</v>
      </c>
      <c r="H220" s="22" t="s">
        <v>21</v>
      </c>
      <c r="I220" s="23">
        <v>0</v>
      </c>
      <c r="J220" s="23">
        <v>500.00000000000023</v>
      </c>
      <c r="K220" s="23">
        <v>0</v>
      </c>
      <c r="L220" s="23">
        <v>58.94</v>
      </c>
      <c r="M220" s="23">
        <v>0</v>
      </c>
      <c r="N220" s="23">
        <v>0</v>
      </c>
      <c r="O220" s="23">
        <v>0</v>
      </c>
      <c r="P220" s="23">
        <f>Tabela1[[#This Row],[1QZ DE MARÇO 26]]-Tabela1[[#This Row],[SALDO PENDENTE COM CX REPR.]]-Tabela1[[#This Row],[SALDO CARTAO]]-Tabela1[[#This Row],[ADIANTAMENTO]]</f>
        <v>-500.00000000000023</v>
      </c>
      <c r="Q220" s="23">
        <f>Tabela1[[#This Row],[1QZ DE MARÇO 26]]-Tabela1[[#This Row],[SALDO PENDENTE SEM CX REPR.]]-Tabela1[[#This Row],[SALDO CARTAO]]-Tabela1[[#This Row],[ADIANTAMENTO]]</f>
        <v>-58.94</v>
      </c>
      <c r="R220" s="23">
        <v>0</v>
      </c>
      <c r="S220" s="40">
        <f>IF(Tabela1[[#This Row],[CARGA PARCIAL]]&lt;0,0,Tabela1[[#This Row],[CARGA PARCIAL]]+Tabela1[[#This Row],[REEMBOLSO]])</f>
        <v>0</v>
      </c>
      <c r="T220" s="40">
        <f>IF(Tabela1[[#This Row],[CARGA PARCIAL SEM CX REPROV.]]&lt;0,0,Tabela1[[#This Row],[CARGA PARCIAL]]+Tabela1[[#This Row],[REEMBOLSO]])</f>
        <v>0</v>
      </c>
      <c r="U220" s="24" t="s">
        <v>22</v>
      </c>
      <c r="V220" s="24"/>
    </row>
    <row r="221" spans="2:22" x14ac:dyDescent="0.25">
      <c r="B221" s="37" t="s">
        <v>894</v>
      </c>
      <c r="C221" s="32" t="s">
        <v>173</v>
      </c>
      <c r="D221" s="33" t="s">
        <v>18</v>
      </c>
      <c r="E221" s="33" t="s">
        <v>134</v>
      </c>
      <c r="F221" s="33">
        <v>11061720001</v>
      </c>
      <c r="G221" s="33" t="s">
        <v>42</v>
      </c>
      <c r="H221" s="22" t="s">
        <v>39</v>
      </c>
      <c r="I221" s="23">
        <v>-0.40999999999920078</v>
      </c>
      <c r="J221" s="23">
        <v>0</v>
      </c>
      <c r="K221" s="23">
        <v>-120.6899999999996</v>
      </c>
      <c r="L221" s="23">
        <v>0</v>
      </c>
      <c r="M221" s="23">
        <v>800</v>
      </c>
      <c r="N221" s="23">
        <v>63.03</v>
      </c>
      <c r="O221" s="23">
        <v>0</v>
      </c>
      <c r="P221" s="23">
        <f>Tabela1[[#This Row],[1QZ DE MARÇO 26]]-Tabela1[[#This Row],[SALDO PENDENTE COM CX REPR.]]-Tabela1[[#This Row],[SALDO CARTAO]]-Tabela1[[#This Row],[ADIANTAMENTO]]</f>
        <v>736.97</v>
      </c>
      <c r="Q221" s="23">
        <f>Tabela1[[#This Row],[1QZ DE MARÇO 26]]-Tabela1[[#This Row],[SALDO PENDENTE SEM CX REPR.]]-Tabela1[[#This Row],[SALDO CARTAO]]-Tabela1[[#This Row],[ADIANTAMENTO]]</f>
        <v>736.97</v>
      </c>
      <c r="R221" s="23">
        <v>0</v>
      </c>
      <c r="S221" s="40">
        <f>IF(Tabela1[[#This Row],[CARGA PARCIAL]]&lt;0,0,Tabela1[[#This Row],[CARGA PARCIAL]]+Tabela1[[#This Row],[REEMBOLSO]])</f>
        <v>736.97</v>
      </c>
      <c r="T221" s="40">
        <f>IF(Tabela1[[#This Row],[CARGA PARCIAL SEM CX REPROV.]]&lt;0,0,Tabela1[[#This Row],[CARGA PARCIAL]]+Tabela1[[#This Row],[REEMBOLSO]])</f>
        <v>736.97</v>
      </c>
      <c r="U221" s="24" t="s">
        <v>22</v>
      </c>
      <c r="V221" s="24"/>
    </row>
    <row r="222" spans="2:22" hidden="1" x14ac:dyDescent="0.25">
      <c r="B222" s="31" t="s">
        <v>895</v>
      </c>
      <c r="C222" s="32" t="s">
        <v>381</v>
      </c>
      <c r="D222" s="33" t="s">
        <v>18</v>
      </c>
      <c r="E222" s="33" t="s">
        <v>44</v>
      </c>
      <c r="F222" s="33">
        <v>1104150001</v>
      </c>
      <c r="G222" s="33" t="s">
        <v>45</v>
      </c>
      <c r="H222" s="22" t="s">
        <v>39</v>
      </c>
      <c r="I222" s="23">
        <v>-15.799999999999955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f>Tabela1[[#This Row],[1QZ DE MARÇO 26]]-Tabela1[[#This Row],[SALDO PENDENTE COM CX REPR.]]-Tabela1[[#This Row],[SALDO CARTAO]]-Tabela1[[#This Row],[ADIANTAMENTO]]</f>
        <v>0</v>
      </c>
      <c r="Q222" s="23">
        <f>Tabela1[[#This Row],[1QZ DE MARÇO 26]]-Tabela1[[#This Row],[SALDO PENDENTE SEM CX REPR.]]-Tabela1[[#This Row],[SALDO CARTAO]]-Tabela1[[#This Row],[ADIANTAMENTO]]</f>
        <v>0</v>
      </c>
      <c r="R222" s="23">
        <v>0</v>
      </c>
      <c r="S222" s="40">
        <f>IF(Tabela1[[#This Row],[CARGA PARCIAL]]&lt;0,0,Tabela1[[#This Row],[CARGA PARCIAL]]+Tabela1[[#This Row],[REEMBOLSO]])</f>
        <v>0</v>
      </c>
      <c r="T222" s="40">
        <f>IF(Tabela1[[#This Row],[CARGA PARCIAL SEM CX REPROV.]]&lt;0,0,Tabela1[[#This Row],[CARGA PARCIAL]]+Tabela1[[#This Row],[REEMBOLSO]])</f>
        <v>0</v>
      </c>
      <c r="U222" s="24" t="s">
        <v>22</v>
      </c>
      <c r="V222" s="24"/>
    </row>
    <row r="223" spans="2:22" hidden="1" x14ac:dyDescent="0.25">
      <c r="B223" s="33" t="s">
        <v>896</v>
      </c>
      <c r="C223" s="33" t="s">
        <v>585</v>
      </c>
      <c r="D223" s="33" t="s">
        <v>18</v>
      </c>
      <c r="E223" s="33" t="s">
        <v>44</v>
      </c>
      <c r="F223" s="33">
        <v>1104150001</v>
      </c>
      <c r="G223" s="33" t="s">
        <v>45</v>
      </c>
      <c r="H223" s="33" t="s">
        <v>39</v>
      </c>
      <c r="I223" s="23">
        <v>0</v>
      </c>
      <c r="J223" s="23">
        <v>0</v>
      </c>
      <c r="K223" s="23">
        <v>0</v>
      </c>
      <c r="L223" s="23">
        <v>8.9</v>
      </c>
      <c r="M223" s="23">
        <v>0</v>
      </c>
      <c r="N223" s="23">
        <v>0</v>
      </c>
      <c r="O223" s="23">
        <v>0</v>
      </c>
      <c r="P223" s="23">
        <f>Tabela1[[#This Row],[1QZ DE MARÇO 26]]-Tabela1[[#This Row],[SALDO PENDENTE COM CX REPR.]]-Tabela1[[#This Row],[SALDO CARTAO]]-Tabela1[[#This Row],[ADIANTAMENTO]]</f>
        <v>0</v>
      </c>
      <c r="Q223" s="23">
        <f>Tabela1[[#This Row],[1QZ DE MARÇO 26]]-Tabela1[[#This Row],[SALDO PENDENTE SEM CX REPR.]]-Tabela1[[#This Row],[SALDO CARTAO]]-Tabela1[[#This Row],[ADIANTAMENTO]]</f>
        <v>-8.9</v>
      </c>
      <c r="R223" s="23">
        <v>0</v>
      </c>
      <c r="S223" s="40">
        <f>IF(Tabela1[[#This Row],[CARGA PARCIAL]]&lt;0,0,Tabela1[[#This Row],[CARGA PARCIAL]]+Tabela1[[#This Row],[REEMBOLSO]])</f>
        <v>0</v>
      </c>
      <c r="T223" s="40">
        <f>IF(Tabela1[[#This Row],[CARGA PARCIAL SEM CX REPROV.]]&lt;0,0,Tabela1[[#This Row],[CARGA PARCIAL]]+Tabela1[[#This Row],[REEMBOLSO]])</f>
        <v>0</v>
      </c>
      <c r="U223" s="24" t="s">
        <v>22</v>
      </c>
      <c r="V223" s="24"/>
    </row>
    <row r="224" spans="2:22" x14ac:dyDescent="0.25">
      <c r="B224" s="37" t="s">
        <v>897</v>
      </c>
      <c r="C224" s="32" t="s">
        <v>390</v>
      </c>
      <c r="D224" s="33" t="s">
        <v>18</v>
      </c>
      <c r="E224" s="33" t="s">
        <v>391</v>
      </c>
      <c r="F224" s="33">
        <v>12010590001</v>
      </c>
      <c r="G224" s="33" t="s">
        <v>275</v>
      </c>
      <c r="H224" s="22" t="s">
        <v>123</v>
      </c>
      <c r="I224" s="23">
        <v>0</v>
      </c>
      <c r="J224" s="23">
        <v>329.39999999999986</v>
      </c>
      <c r="K224" s="23">
        <v>0</v>
      </c>
      <c r="L224" s="23">
        <v>184.7</v>
      </c>
      <c r="M224" s="23">
        <v>500</v>
      </c>
      <c r="N224" s="23">
        <v>0</v>
      </c>
      <c r="O224" s="23">
        <v>0</v>
      </c>
      <c r="P224" s="23">
        <f>Tabela1[[#This Row],[1QZ DE MARÇO 26]]-Tabela1[[#This Row],[SALDO PENDENTE COM CX REPR.]]-Tabela1[[#This Row],[SALDO CARTAO]]-Tabela1[[#This Row],[ADIANTAMENTO]]</f>
        <v>170.60000000000014</v>
      </c>
      <c r="Q224" s="23">
        <f>Tabela1[[#This Row],[1QZ DE MARÇO 26]]-Tabela1[[#This Row],[SALDO PENDENTE SEM CX REPR.]]-Tabela1[[#This Row],[SALDO CARTAO]]-Tabela1[[#This Row],[ADIANTAMENTO]]</f>
        <v>315.3</v>
      </c>
      <c r="R224" s="23">
        <v>0</v>
      </c>
      <c r="S224" s="40">
        <f>IF(Tabela1[[#This Row],[CARGA PARCIAL]]&lt;0,0,Tabela1[[#This Row],[CARGA PARCIAL]]+Tabela1[[#This Row],[REEMBOLSO]])</f>
        <v>170.60000000000014</v>
      </c>
      <c r="T224" s="40">
        <f>IF(Tabela1[[#This Row],[CARGA PARCIAL SEM CX REPROV.]]&lt;0,0,Tabela1[[#This Row],[CARGA PARCIAL]]+Tabela1[[#This Row],[REEMBOLSO]])</f>
        <v>170.60000000000014</v>
      </c>
      <c r="U224" s="24" t="s">
        <v>22</v>
      </c>
      <c r="V224" s="24"/>
    </row>
    <row r="225" spans="2:22" hidden="1" x14ac:dyDescent="0.25">
      <c r="B225" s="31" t="s">
        <v>898</v>
      </c>
      <c r="C225" s="32" t="s">
        <v>659</v>
      </c>
      <c r="D225" s="33" t="s">
        <v>18</v>
      </c>
      <c r="E225" s="33" t="s">
        <v>532</v>
      </c>
      <c r="F225" s="33">
        <v>11063050001</v>
      </c>
      <c r="G225" s="33" t="s">
        <v>54</v>
      </c>
      <c r="H225" s="22" t="s">
        <v>39</v>
      </c>
      <c r="I225" s="23">
        <v>0</v>
      </c>
      <c r="J225" s="23">
        <v>1918.5</v>
      </c>
      <c r="K225" s="23">
        <v>0</v>
      </c>
      <c r="L225" s="23">
        <v>56.060000000000855</v>
      </c>
      <c r="M225" s="23">
        <v>0</v>
      </c>
      <c r="N225" s="23">
        <v>0</v>
      </c>
      <c r="O225" s="23">
        <v>0</v>
      </c>
      <c r="P225" s="23">
        <f>Tabela1[[#This Row],[1QZ DE MARÇO 26]]-Tabela1[[#This Row],[SALDO PENDENTE COM CX REPR.]]-Tabela1[[#This Row],[SALDO CARTAO]]-Tabela1[[#This Row],[ADIANTAMENTO]]</f>
        <v>-1918.5</v>
      </c>
      <c r="Q225" s="23">
        <f>Tabela1[[#This Row],[1QZ DE MARÇO 26]]-Tabela1[[#This Row],[SALDO PENDENTE SEM CX REPR.]]-Tabela1[[#This Row],[SALDO CARTAO]]-Tabela1[[#This Row],[ADIANTAMENTO]]</f>
        <v>-56.060000000000855</v>
      </c>
      <c r="R225" s="23">
        <v>0</v>
      </c>
      <c r="S225" s="40">
        <f>IF(Tabela1[[#This Row],[CARGA PARCIAL]]&lt;0,0,Tabela1[[#This Row],[CARGA PARCIAL]]+Tabela1[[#This Row],[REEMBOLSO]])</f>
        <v>0</v>
      </c>
      <c r="T225" s="40">
        <f>IF(Tabela1[[#This Row],[CARGA PARCIAL SEM CX REPROV.]]&lt;0,0,Tabela1[[#This Row],[CARGA PARCIAL]]+Tabela1[[#This Row],[REEMBOLSO]])</f>
        <v>0</v>
      </c>
      <c r="U225" s="24" t="s">
        <v>22</v>
      </c>
      <c r="V225" s="24"/>
    </row>
    <row r="226" spans="2:22" x14ac:dyDescent="0.25">
      <c r="B226" s="34" t="s">
        <v>899</v>
      </c>
      <c r="C226" s="34" t="s">
        <v>299</v>
      </c>
      <c r="D226" s="34" t="s">
        <v>18</v>
      </c>
      <c r="E226" s="33" t="s">
        <v>202</v>
      </c>
      <c r="F226" s="33">
        <v>11010370001</v>
      </c>
      <c r="G226" s="33" t="s">
        <v>42</v>
      </c>
      <c r="H226" s="33" t="s">
        <v>39</v>
      </c>
      <c r="I226" s="23">
        <v>0</v>
      </c>
      <c r="J226" s="23">
        <v>270</v>
      </c>
      <c r="K226" s="23">
        <v>0</v>
      </c>
      <c r="L226" s="23">
        <v>152</v>
      </c>
      <c r="M226" s="23">
        <v>500</v>
      </c>
      <c r="N226" s="23">
        <v>0</v>
      </c>
      <c r="O226" s="23">
        <v>0</v>
      </c>
      <c r="P226" s="23">
        <f>Tabela1[[#This Row],[1QZ DE MARÇO 26]]-Tabela1[[#This Row],[SALDO PENDENTE COM CX REPR.]]-Tabela1[[#This Row],[SALDO CARTAO]]-Tabela1[[#This Row],[ADIANTAMENTO]]</f>
        <v>230</v>
      </c>
      <c r="Q226" s="23">
        <f>Tabela1[[#This Row],[1QZ DE MARÇO 26]]-Tabela1[[#This Row],[SALDO PENDENTE SEM CX REPR.]]-Tabela1[[#This Row],[SALDO CARTAO]]-Tabela1[[#This Row],[ADIANTAMENTO]]</f>
        <v>348</v>
      </c>
      <c r="R226" s="23">
        <v>0</v>
      </c>
      <c r="S226" s="40">
        <f>IF(Tabela1[[#This Row],[CARGA PARCIAL]]&lt;0,0,Tabela1[[#This Row],[CARGA PARCIAL]]+Tabela1[[#This Row],[REEMBOLSO]])</f>
        <v>230</v>
      </c>
      <c r="T226" s="40">
        <f>IF(Tabela1[[#This Row],[CARGA PARCIAL SEM CX REPROV.]]&lt;0,0,Tabela1[[#This Row],[CARGA PARCIAL]]+Tabela1[[#This Row],[REEMBOLSO]])</f>
        <v>230</v>
      </c>
      <c r="U226" s="25" t="s">
        <v>22</v>
      </c>
      <c r="V226" s="26"/>
    </row>
    <row r="227" spans="2:22" hidden="1" x14ac:dyDescent="0.25">
      <c r="B227" s="31" t="s">
        <v>900</v>
      </c>
      <c r="C227" s="32" t="s">
        <v>174</v>
      </c>
      <c r="D227" s="33" t="s">
        <v>18</v>
      </c>
      <c r="E227" s="33" t="s">
        <v>134</v>
      </c>
      <c r="F227" s="33">
        <v>11061720001</v>
      </c>
      <c r="G227" s="33" t="s">
        <v>42</v>
      </c>
      <c r="H227" s="22" t="s">
        <v>39</v>
      </c>
      <c r="I227" s="23">
        <v>0</v>
      </c>
      <c r="J227" s="23">
        <v>1.2505552149377763E-12</v>
      </c>
      <c r="K227" s="23">
        <v>0</v>
      </c>
      <c r="L227" s="23">
        <v>970</v>
      </c>
      <c r="M227" s="23">
        <v>800</v>
      </c>
      <c r="N227" s="23">
        <v>1030.6099999999999</v>
      </c>
      <c r="O227" s="23">
        <v>0</v>
      </c>
      <c r="P227" s="23">
        <f>Tabela1[[#This Row],[1QZ DE MARÇO 26]]-Tabela1[[#This Row],[SALDO PENDENTE COM CX REPR.]]-Tabela1[[#This Row],[SALDO CARTAO]]-Tabela1[[#This Row],[ADIANTAMENTO]]</f>
        <v>-230.61000000000115</v>
      </c>
      <c r="Q227" s="23">
        <f>Tabela1[[#This Row],[1QZ DE MARÇO 26]]-Tabela1[[#This Row],[SALDO PENDENTE SEM CX REPR.]]-Tabela1[[#This Row],[SALDO CARTAO]]-Tabela1[[#This Row],[ADIANTAMENTO]]</f>
        <v>-1200.6099999999999</v>
      </c>
      <c r="R227" s="23">
        <v>0</v>
      </c>
      <c r="S227" s="40">
        <f>IF(Tabela1[[#This Row],[CARGA PARCIAL]]&lt;0,0,Tabela1[[#This Row],[CARGA PARCIAL]]+Tabela1[[#This Row],[REEMBOLSO]])</f>
        <v>0</v>
      </c>
      <c r="T227" s="40">
        <f>IF(Tabela1[[#This Row],[CARGA PARCIAL SEM CX REPROV.]]&lt;0,0,Tabela1[[#This Row],[CARGA PARCIAL]]+Tabela1[[#This Row],[REEMBOLSO]])</f>
        <v>0</v>
      </c>
      <c r="U227" s="24" t="s">
        <v>22</v>
      </c>
      <c r="V227" s="24"/>
    </row>
    <row r="228" spans="2:22" hidden="1" x14ac:dyDescent="0.25">
      <c r="B228" s="31" t="s">
        <v>901</v>
      </c>
      <c r="C228" s="32" t="s">
        <v>586</v>
      </c>
      <c r="D228" s="33" t="s">
        <v>18</v>
      </c>
      <c r="E228" s="33" t="s">
        <v>587</v>
      </c>
      <c r="F228" s="33">
        <v>11010340001</v>
      </c>
      <c r="G228" s="33" t="s">
        <v>48</v>
      </c>
      <c r="H228" s="22" t="s">
        <v>35</v>
      </c>
      <c r="I228" s="23">
        <v>0</v>
      </c>
      <c r="J228" s="23">
        <v>17.769999999999982</v>
      </c>
      <c r="K228" s="23">
        <v>0</v>
      </c>
      <c r="L228" s="23">
        <v>1004.1400000000003</v>
      </c>
      <c r="M228" s="23">
        <v>0</v>
      </c>
      <c r="N228" s="23"/>
      <c r="O228" s="23">
        <v>0</v>
      </c>
      <c r="P228" s="23">
        <f>Tabela1[[#This Row],[1QZ DE MARÇO 26]]-Tabela1[[#This Row],[SALDO PENDENTE COM CX REPR.]]-Tabela1[[#This Row],[SALDO CARTAO]]-Tabela1[[#This Row],[ADIANTAMENTO]]</f>
        <v>-17.769999999999982</v>
      </c>
      <c r="Q228" s="23">
        <f>Tabela1[[#This Row],[1QZ DE MARÇO 26]]-Tabela1[[#This Row],[SALDO PENDENTE SEM CX REPR.]]-Tabela1[[#This Row],[SALDO CARTAO]]-Tabela1[[#This Row],[ADIANTAMENTO]]</f>
        <v>-1004.1400000000003</v>
      </c>
      <c r="R228" s="23">
        <v>0</v>
      </c>
      <c r="S228" s="40">
        <f>IF(Tabela1[[#This Row],[CARGA PARCIAL]]&lt;0,0,Tabela1[[#This Row],[CARGA PARCIAL]]+Tabela1[[#This Row],[REEMBOLSO]])</f>
        <v>0</v>
      </c>
      <c r="T228" s="40">
        <f>IF(Tabela1[[#This Row],[CARGA PARCIAL SEM CX REPROV.]]&lt;0,0,Tabela1[[#This Row],[CARGA PARCIAL]]+Tabela1[[#This Row],[REEMBOLSO]])</f>
        <v>0</v>
      </c>
      <c r="U228" s="24" t="s">
        <v>22</v>
      </c>
      <c r="V228" s="24"/>
    </row>
    <row r="229" spans="2:22" x14ac:dyDescent="0.25">
      <c r="B229" s="33" t="s">
        <v>978</v>
      </c>
      <c r="C229" s="33" t="s">
        <v>417</v>
      </c>
      <c r="D229" s="33" t="s">
        <v>18</v>
      </c>
      <c r="E229" s="33" t="s">
        <v>75</v>
      </c>
      <c r="F229" s="33">
        <v>11030850001</v>
      </c>
      <c r="G229" s="33" t="s">
        <v>25</v>
      </c>
      <c r="H229" s="22" t="s">
        <v>21</v>
      </c>
      <c r="I229" s="23">
        <v>-288.63999999999214</v>
      </c>
      <c r="J229" s="23">
        <v>0</v>
      </c>
      <c r="K229" s="23">
        <v>-2408.4800000000323</v>
      </c>
      <c r="L229" s="23">
        <v>0</v>
      </c>
      <c r="M229" s="23">
        <v>3000</v>
      </c>
      <c r="N229" s="23">
        <v>0.03</v>
      </c>
      <c r="O229" s="23">
        <v>0</v>
      </c>
      <c r="P229" s="23">
        <f>Tabela1[[#This Row],[1QZ DE MARÇO 26]]-Tabela1[[#This Row],[SALDO PENDENTE COM CX REPR.]]-Tabela1[[#This Row],[SALDO CARTAO]]-Tabela1[[#This Row],[ADIANTAMENTO]]</f>
        <v>2999.97</v>
      </c>
      <c r="Q229" s="23">
        <f>Tabela1[[#This Row],[1QZ DE MARÇO 26]]-Tabela1[[#This Row],[SALDO PENDENTE SEM CX REPR.]]-Tabela1[[#This Row],[SALDO CARTAO]]-Tabela1[[#This Row],[ADIANTAMENTO]]</f>
        <v>2999.97</v>
      </c>
      <c r="R229" s="23">
        <v>0</v>
      </c>
      <c r="S229" s="40">
        <f>IF(Tabela1[[#This Row],[CARGA PARCIAL]]&lt;0,0,Tabela1[[#This Row],[CARGA PARCIAL]]+Tabela1[[#This Row],[REEMBOLSO]])</f>
        <v>2999.97</v>
      </c>
      <c r="T229" s="40">
        <f>IF(Tabela1[[#This Row],[CARGA PARCIAL SEM CX REPROV.]]&lt;0,0,Tabela1[[#This Row],[CARGA PARCIAL]]+Tabela1[[#This Row],[REEMBOLSO]])</f>
        <v>2999.97</v>
      </c>
      <c r="U229" s="24" t="s">
        <v>22</v>
      </c>
      <c r="V229" s="24"/>
    </row>
    <row r="230" spans="2:22" hidden="1" x14ac:dyDescent="0.25">
      <c r="B230" s="31" t="s">
        <v>903</v>
      </c>
      <c r="C230" s="32" t="s">
        <v>127</v>
      </c>
      <c r="D230" s="33" t="s">
        <v>18</v>
      </c>
      <c r="E230" s="33" t="s">
        <v>128</v>
      </c>
      <c r="F230" s="33">
        <v>11030570001</v>
      </c>
      <c r="G230" s="33" t="s">
        <v>54</v>
      </c>
      <c r="H230" s="22" t="s">
        <v>39</v>
      </c>
      <c r="I230" s="23">
        <v>0</v>
      </c>
      <c r="J230" s="23">
        <v>774.97999999997467</v>
      </c>
      <c r="K230" s="23">
        <v>0</v>
      </c>
      <c r="L230" s="23">
        <v>3500</v>
      </c>
      <c r="M230" s="23">
        <v>2800</v>
      </c>
      <c r="N230" s="23">
        <v>228.14</v>
      </c>
      <c r="O230" s="23">
        <v>0</v>
      </c>
      <c r="P230" s="23">
        <f>Tabela1[[#This Row],[1QZ DE MARÇO 26]]-Tabela1[[#This Row],[SALDO PENDENTE COM CX REPR.]]-Tabela1[[#This Row],[SALDO CARTAO]]-Tabela1[[#This Row],[ADIANTAMENTO]]</f>
        <v>1796.8800000000256</v>
      </c>
      <c r="Q230" s="23">
        <f>Tabela1[[#This Row],[1QZ DE MARÇO 26]]-Tabela1[[#This Row],[SALDO PENDENTE SEM CX REPR.]]-Tabela1[[#This Row],[SALDO CARTAO]]-Tabela1[[#This Row],[ADIANTAMENTO]]</f>
        <v>-928.14</v>
      </c>
      <c r="R230" s="23">
        <v>0</v>
      </c>
      <c r="S230" s="40">
        <f>IF(Tabela1[[#This Row],[CARGA PARCIAL]]&lt;0,0,Tabela1[[#This Row],[CARGA PARCIAL]]+Tabela1[[#This Row],[REEMBOLSO]])</f>
        <v>1796.8800000000256</v>
      </c>
      <c r="T230" s="40">
        <f>IF(Tabela1[[#This Row],[CARGA PARCIAL SEM CX REPROV.]]&lt;0,0,Tabela1[[#This Row],[CARGA PARCIAL]]+Tabela1[[#This Row],[REEMBOLSO]])</f>
        <v>0</v>
      </c>
      <c r="U230" s="24" t="s">
        <v>22</v>
      </c>
      <c r="V230" s="24"/>
    </row>
    <row r="231" spans="2:22" x14ac:dyDescent="0.25">
      <c r="B231" s="33" t="s">
        <v>904</v>
      </c>
      <c r="C231" s="33" t="s">
        <v>405</v>
      </c>
      <c r="D231" s="33" t="s">
        <v>18</v>
      </c>
      <c r="E231" s="33" t="s">
        <v>99</v>
      </c>
      <c r="F231" s="33">
        <v>11040040001</v>
      </c>
      <c r="G231" s="33" t="s">
        <v>25</v>
      </c>
      <c r="H231" s="33" t="s">
        <v>21</v>
      </c>
      <c r="I231" s="23">
        <v>0</v>
      </c>
      <c r="J231" s="23">
        <v>530.54000000000451</v>
      </c>
      <c r="K231" s="23">
        <v>0</v>
      </c>
      <c r="L231" s="23">
        <v>26.519999999999982</v>
      </c>
      <c r="M231" s="23">
        <v>1700</v>
      </c>
      <c r="N231" s="23">
        <v>0</v>
      </c>
      <c r="O231" s="23">
        <v>0</v>
      </c>
      <c r="P231" s="23">
        <f>Tabela1[[#This Row],[1QZ DE MARÇO 26]]-Tabela1[[#This Row],[SALDO PENDENTE COM CX REPR.]]-Tabela1[[#This Row],[SALDO CARTAO]]-Tabela1[[#This Row],[ADIANTAMENTO]]</f>
        <v>1169.4599999999955</v>
      </c>
      <c r="Q231" s="23">
        <f>Tabela1[[#This Row],[1QZ DE MARÇO 26]]-Tabela1[[#This Row],[SALDO PENDENTE SEM CX REPR.]]-Tabela1[[#This Row],[SALDO CARTAO]]-Tabela1[[#This Row],[ADIANTAMENTO]]</f>
        <v>1673.48</v>
      </c>
      <c r="R231" s="23">
        <v>0</v>
      </c>
      <c r="S231" s="40">
        <f>IF(Tabela1[[#This Row],[CARGA PARCIAL]]&lt;0,0,Tabela1[[#This Row],[CARGA PARCIAL]]+Tabela1[[#This Row],[REEMBOLSO]])</f>
        <v>1169.4599999999955</v>
      </c>
      <c r="T231" s="40">
        <f>IF(Tabela1[[#This Row],[CARGA PARCIAL SEM CX REPROV.]]&lt;0,0,Tabela1[[#This Row],[CARGA PARCIAL]]+Tabela1[[#This Row],[REEMBOLSO]])</f>
        <v>1169.4599999999955</v>
      </c>
      <c r="U231" s="24" t="s">
        <v>22</v>
      </c>
      <c r="V231" s="24"/>
    </row>
    <row r="232" spans="2:22" x14ac:dyDescent="0.25">
      <c r="B232" s="33" t="s">
        <v>905</v>
      </c>
      <c r="C232" s="33" t="s">
        <v>394</v>
      </c>
      <c r="D232" s="33" t="s">
        <v>18</v>
      </c>
      <c r="E232" s="33" t="s">
        <v>117</v>
      </c>
      <c r="F232" s="33">
        <v>11010180001</v>
      </c>
      <c r="G232" s="33" t="s">
        <v>42</v>
      </c>
      <c r="H232" s="33" t="s">
        <v>39</v>
      </c>
      <c r="I232" s="23">
        <v>-0.89999999999872671</v>
      </c>
      <c r="J232" s="23">
        <v>0</v>
      </c>
      <c r="K232" s="23">
        <v>-71.1899999999996</v>
      </c>
      <c r="L232" s="23">
        <v>0</v>
      </c>
      <c r="M232" s="23">
        <v>800</v>
      </c>
      <c r="N232" s="23">
        <v>2</v>
      </c>
      <c r="O232" s="23">
        <v>0</v>
      </c>
      <c r="P232" s="23">
        <f>Tabela1[[#This Row],[1QZ DE MARÇO 26]]-Tabela1[[#This Row],[SALDO PENDENTE COM CX REPR.]]-Tabela1[[#This Row],[SALDO CARTAO]]-Tabela1[[#This Row],[ADIANTAMENTO]]</f>
        <v>798</v>
      </c>
      <c r="Q232" s="23">
        <f>Tabela1[[#This Row],[1QZ DE MARÇO 26]]-Tabela1[[#This Row],[SALDO PENDENTE SEM CX REPR.]]-Tabela1[[#This Row],[SALDO CARTAO]]-Tabela1[[#This Row],[ADIANTAMENTO]]</f>
        <v>798</v>
      </c>
      <c r="R232" s="23">
        <v>0</v>
      </c>
      <c r="S232" s="40">
        <f>IF(Tabela1[[#This Row],[CARGA PARCIAL]]&lt;0,0,Tabela1[[#This Row],[CARGA PARCIAL]]+Tabela1[[#This Row],[REEMBOLSO]])</f>
        <v>798</v>
      </c>
      <c r="T232" s="40">
        <f>IF(Tabela1[[#This Row],[CARGA PARCIAL SEM CX REPROV.]]&lt;0,0,Tabela1[[#This Row],[CARGA PARCIAL]]+Tabela1[[#This Row],[REEMBOLSO]])</f>
        <v>798</v>
      </c>
      <c r="U232" s="24" t="s">
        <v>22</v>
      </c>
      <c r="V232" s="24"/>
    </row>
    <row r="233" spans="2:22" hidden="1" x14ac:dyDescent="0.25">
      <c r="B233" s="31" t="s">
        <v>906</v>
      </c>
      <c r="C233" s="32" t="s">
        <v>406</v>
      </c>
      <c r="D233" s="33" t="s">
        <v>18</v>
      </c>
      <c r="E233" s="33" t="s">
        <v>407</v>
      </c>
      <c r="F233" s="33">
        <v>11030720001</v>
      </c>
      <c r="G233" s="33" t="s">
        <v>25</v>
      </c>
      <c r="H233" s="22" t="s">
        <v>21</v>
      </c>
      <c r="I233" s="23">
        <v>0</v>
      </c>
      <c r="J233" s="23">
        <v>1012.3900000000018</v>
      </c>
      <c r="K233" s="23">
        <v>0</v>
      </c>
      <c r="L233" s="23">
        <v>16105.21</v>
      </c>
      <c r="M233" s="23">
        <v>1200</v>
      </c>
      <c r="N233" s="23">
        <v>4.8600000000000003</v>
      </c>
      <c r="O233" s="23">
        <v>0</v>
      </c>
      <c r="P233" s="23">
        <f>Tabela1[[#This Row],[1QZ DE MARÇO 26]]-Tabela1[[#This Row],[SALDO PENDENTE COM CX REPR.]]-Tabela1[[#This Row],[SALDO CARTAO]]-Tabela1[[#This Row],[ADIANTAMENTO]]</f>
        <v>182.74999999999818</v>
      </c>
      <c r="Q233" s="23">
        <f>Tabela1[[#This Row],[1QZ DE MARÇO 26]]-Tabela1[[#This Row],[SALDO PENDENTE SEM CX REPR.]]-Tabela1[[#This Row],[SALDO CARTAO]]-Tabela1[[#This Row],[ADIANTAMENTO]]</f>
        <v>-14910.07</v>
      </c>
      <c r="R233" s="23">
        <v>0</v>
      </c>
      <c r="S233" s="40">
        <f>IF(Tabela1[[#This Row],[CARGA PARCIAL]]&lt;0,0,Tabela1[[#This Row],[CARGA PARCIAL]]+Tabela1[[#This Row],[REEMBOLSO]])</f>
        <v>182.74999999999818</v>
      </c>
      <c r="T233" s="40">
        <f>IF(Tabela1[[#This Row],[CARGA PARCIAL SEM CX REPROV.]]&lt;0,0,Tabela1[[#This Row],[CARGA PARCIAL]]+Tabela1[[#This Row],[REEMBOLSO]])</f>
        <v>0</v>
      </c>
      <c r="U233" s="24" t="s">
        <v>22</v>
      </c>
      <c r="V233" s="24"/>
    </row>
    <row r="234" spans="2:22" hidden="1" x14ac:dyDescent="0.25">
      <c r="B234" s="33" t="s">
        <v>907</v>
      </c>
      <c r="C234" s="33" t="s">
        <v>138</v>
      </c>
      <c r="D234" s="33" t="s">
        <v>18</v>
      </c>
      <c r="E234" s="33" t="s">
        <v>139</v>
      </c>
      <c r="F234" s="33">
        <v>11080230001</v>
      </c>
      <c r="G234" s="33" t="s">
        <v>20</v>
      </c>
      <c r="H234" s="33" t="s">
        <v>21</v>
      </c>
      <c r="I234" s="23">
        <v>0</v>
      </c>
      <c r="J234" s="23">
        <v>1003.1600000000017</v>
      </c>
      <c r="K234" s="23">
        <v>0</v>
      </c>
      <c r="L234" s="23">
        <v>0</v>
      </c>
      <c r="M234" s="23">
        <v>750</v>
      </c>
      <c r="N234" s="23">
        <v>0</v>
      </c>
      <c r="O234" s="23">
        <v>0</v>
      </c>
      <c r="P234" s="23">
        <f>Tabela1[[#This Row],[1QZ DE MARÇO 26]]-Tabela1[[#This Row],[SALDO PENDENTE COM CX REPR.]]-Tabela1[[#This Row],[SALDO CARTAO]]-Tabela1[[#This Row],[ADIANTAMENTO]]</f>
        <v>-253.16000000000167</v>
      </c>
      <c r="Q234" s="23">
        <f>Tabela1[[#This Row],[1QZ DE MARÇO 26]]-Tabela1[[#This Row],[SALDO PENDENTE SEM CX REPR.]]-Tabela1[[#This Row],[SALDO CARTAO]]-Tabela1[[#This Row],[ADIANTAMENTO]]</f>
        <v>750</v>
      </c>
      <c r="R234" s="23">
        <v>0</v>
      </c>
      <c r="S234" s="40">
        <f>IF(Tabela1[[#This Row],[CARGA PARCIAL]]&lt;0,0,Tabela1[[#This Row],[CARGA PARCIAL]]+Tabela1[[#This Row],[REEMBOLSO]])</f>
        <v>0</v>
      </c>
      <c r="T234" s="40">
        <f>IF(Tabela1[[#This Row],[CARGA PARCIAL SEM CX REPROV.]]&lt;0,0,Tabela1[[#This Row],[CARGA PARCIAL]]+Tabela1[[#This Row],[REEMBOLSO]])</f>
        <v>-253.16000000000167</v>
      </c>
      <c r="U234" s="24" t="s">
        <v>22</v>
      </c>
      <c r="V234" s="24"/>
    </row>
    <row r="235" spans="2:22" hidden="1" x14ac:dyDescent="0.25">
      <c r="B235" s="31" t="s">
        <v>908</v>
      </c>
      <c r="C235" s="32" t="s">
        <v>491</v>
      </c>
      <c r="D235" s="33" t="s">
        <v>18</v>
      </c>
      <c r="E235" s="33" t="s">
        <v>73</v>
      </c>
      <c r="F235" s="33">
        <v>11030690001</v>
      </c>
      <c r="G235" s="33" t="s">
        <v>42</v>
      </c>
      <c r="H235" s="22" t="s">
        <v>39</v>
      </c>
      <c r="I235" s="23">
        <v>0</v>
      </c>
      <c r="J235" s="23">
        <v>271.20000000000005</v>
      </c>
      <c r="K235" s="23">
        <v>0</v>
      </c>
      <c r="L235" s="23">
        <v>0</v>
      </c>
      <c r="M235" s="23">
        <v>240</v>
      </c>
      <c r="N235" s="23">
        <v>398</v>
      </c>
      <c r="O235" s="23">
        <v>0</v>
      </c>
      <c r="P235" s="23">
        <f>Tabela1[[#This Row],[1QZ DE MARÇO 26]]-Tabela1[[#This Row],[SALDO PENDENTE COM CX REPR.]]-Tabela1[[#This Row],[SALDO CARTAO]]-Tabela1[[#This Row],[ADIANTAMENTO]]</f>
        <v>-429.20000000000005</v>
      </c>
      <c r="Q235" s="23">
        <f>Tabela1[[#This Row],[1QZ DE MARÇO 26]]-Tabela1[[#This Row],[SALDO PENDENTE SEM CX REPR.]]-Tabela1[[#This Row],[SALDO CARTAO]]-Tabela1[[#This Row],[ADIANTAMENTO]]</f>
        <v>-158</v>
      </c>
      <c r="R235" s="23">
        <v>0</v>
      </c>
      <c r="S235" s="40">
        <f>IF(Tabela1[[#This Row],[CARGA PARCIAL]]&lt;0,0,Tabela1[[#This Row],[CARGA PARCIAL]]+Tabela1[[#This Row],[REEMBOLSO]])</f>
        <v>0</v>
      </c>
      <c r="T235" s="40">
        <f>IF(Tabela1[[#This Row],[CARGA PARCIAL SEM CX REPROV.]]&lt;0,0,Tabela1[[#This Row],[CARGA PARCIAL]]+Tabela1[[#This Row],[REEMBOLSO]])</f>
        <v>0</v>
      </c>
      <c r="U235" s="24" t="s">
        <v>22</v>
      </c>
      <c r="V235" s="24"/>
    </row>
    <row r="236" spans="2:22" hidden="1" x14ac:dyDescent="0.25">
      <c r="B236" s="33" t="s">
        <v>909</v>
      </c>
      <c r="C236" s="33" t="s">
        <v>198</v>
      </c>
      <c r="D236" s="33" t="s">
        <v>18</v>
      </c>
      <c r="E236" s="33" t="s">
        <v>134</v>
      </c>
      <c r="F236" s="33">
        <v>11061720001</v>
      </c>
      <c r="G236" s="33" t="s">
        <v>42</v>
      </c>
      <c r="H236" s="22" t="s">
        <v>39</v>
      </c>
      <c r="I236" s="23">
        <v>0</v>
      </c>
      <c r="J236" s="23">
        <v>80.440000000002499</v>
      </c>
      <c r="K236" s="23">
        <v>0</v>
      </c>
      <c r="L236" s="23">
        <v>1317.3799999999999</v>
      </c>
      <c r="M236" s="23">
        <v>800</v>
      </c>
      <c r="N236" s="23">
        <v>17.61</v>
      </c>
      <c r="O236" s="23">
        <v>0</v>
      </c>
      <c r="P236" s="23">
        <f>Tabela1[[#This Row],[1QZ DE MARÇO 26]]-Tabela1[[#This Row],[SALDO PENDENTE COM CX REPR.]]-Tabela1[[#This Row],[SALDO CARTAO]]-Tabela1[[#This Row],[ADIANTAMENTO]]</f>
        <v>701.94999999999743</v>
      </c>
      <c r="Q236" s="23">
        <f>Tabela1[[#This Row],[1QZ DE MARÇO 26]]-Tabela1[[#This Row],[SALDO PENDENTE SEM CX REPR.]]-Tabela1[[#This Row],[SALDO CARTAO]]-Tabela1[[#This Row],[ADIANTAMENTO]]</f>
        <v>-534.9899999999999</v>
      </c>
      <c r="R236" s="23">
        <v>0</v>
      </c>
      <c r="S236" s="40">
        <f>IF(Tabela1[[#This Row],[CARGA PARCIAL]]&lt;0,0,Tabela1[[#This Row],[CARGA PARCIAL]]+Tabela1[[#This Row],[REEMBOLSO]])</f>
        <v>701.94999999999743</v>
      </c>
      <c r="T236" s="40">
        <f>IF(Tabela1[[#This Row],[CARGA PARCIAL SEM CX REPROV.]]&lt;0,0,Tabela1[[#This Row],[CARGA PARCIAL]]+Tabela1[[#This Row],[REEMBOLSO]])</f>
        <v>0</v>
      </c>
      <c r="U236" s="24" t="s">
        <v>22</v>
      </c>
      <c r="V236" s="24"/>
    </row>
    <row r="237" spans="2:22" hidden="1" x14ac:dyDescent="0.25">
      <c r="B237" s="31" t="s">
        <v>910</v>
      </c>
      <c r="C237" s="32" t="s">
        <v>200</v>
      </c>
      <c r="D237" s="33" t="s">
        <v>18</v>
      </c>
      <c r="E237" s="33" t="s">
        <v>134</v>
      </c>
      <c r="F237" s="33">
        <v>11061720001</v>
      </c>
      <c r="G237" s="33" t="s">
        <v>42</v>
      </c>
      <c r="H237" s="22" t="s">
        <v>39</v>
      </c>
      <c r="I237" s="23">
        <v>0</v>
      </c>
      <c r="J237" s="23">
        <v>41.000000000002331</v>
      </c>
      <c r="K237" s="23">
        <v>0</v>
      </c>
      <c r="L237" s="23">
        <v>1223.22</v>
      </c>
      <c r="M237" s="23">
        <v>800</v>
      </c>
      <c r="N237" s="23">
        <v>0</v>
      </c>
      <c r="O237" s="23">
        <v>0</v>
      </c>
      <c r="P237" s="23">
        <f>Tabela1[[#This Row],[1QZ DE MARÇO 26]]-Tabela1[[#This Row],[SALDO PENDENTE COM CX REPR.]]-Tabela1[[#This Row],[SALDO CARTAO]]-Tabela1[[#This Row],[ADIANTAMENTO]]</f>
        <v>758.99999999999773</v>
      </c>
      <c r="Q237" s="23">
        <f>Tabela1[[#This Row],[1QZ DE MARÇO 26]]-Tabela1[[#This Row],[SALDO PENDENTE SEM CX REPR.]]-Tabela1[[#This Row],[SALDO CARTAO]]-Tabela1[[#This Row],[ADIANTAMENTO]]</f>
        <v>-423.22</v>
      </c>
      <c r="R237" s="23">
        <v>0</v>
      </c>
      <c r="S237" s="40">
        <f>IF(Tabela1[[#This Row],[CARGA PARCIAL]]&lt;0,0,Tabela1[[#This Row],[CARGA PARCIAL]]+Tabela1[[#This Row],[REEMBOLSO]])</f>
        <v>758.99999999999773</v>
      </c>
      <c r="T237" s="40">
        <f>IF(Tabela1[[#This Row],[CARGA PARCIAL SEM CX REPROV.]]&lt;0,0,Tabela1[[#This Row],[CARGA PARCIAL]]+Tabela1[[#This Row],[REEMBOLSO]])</f>
        <v>0</v>
      </c>
      <c r="U237" s="24" t="s">
        <v>22</v>
      </c>
      <c r="V237" s="24"/>
    </row>
    <row r="238" spans="2:22" x14ac:dyDescent="0.25">
      <c r="B238" s="33" t="s">
        <v>1070</v>
      </c>
      <c r="C238" s="33" t="s">
        <v>61</v>
      </c>
      <c r="D238" s="33" t="s">
        <v>18</v>
      </c>
      <c r="E238" s="33" t="s">
        <v>62</v>
      </c>
      <c r="F238" s="33">
        <v>11030650001</v>
      </c>
      <c r="G238" s="33" t="s">
        <v>54</v>
      </c>
      <c r="H238" s="22" t="s">
        <v>39</v>
      </c>
      <c r="I238" s="23">
        <v>-316.0499999999995</v>
      </c>
      <c r="J238" s="23">
        <v>0</v>
      </c>
      <c r="K238" s="23">
        <v>0</v>
      </c>
      <c r="L238" s="23">
        <v>213.55999999999767</v>
      </c>
      <c r="M238" s="23">
        <v>3000</v>
      </c>
      <c r="N238" s="23">
        <v>0</v>
      </c>
      <c r="O238" s="23">
        <v>0</v>
      </c>
      <c r="P238" s="23">
        <f>Tabela1[[#This Row],[1QZ DE MARÇO 26]]-Tabela1[[#This Row],[SALDO PENDENTE COM CX REPR.]]-Tabela1[[#This Row],[SALDO CARTAO]]-Tabela1[[#This Row],[ADIANTAMENTO]]</f>
        <v>3000</v>
      </c>
      <c r="Q238" s="23">
        <f>Tabela1[[#This Row],[1QZ DE MARÇO 26]]-Tabela1[[#This Row],[SALDO PENDENTE SEM CX REPR.]]-Tabela1[[#This Row],[SALDO CARTAO]]-Tabela1[[#This Row],[ADIANTAMENTO]]</f>
        <v>2786.4400000000023</v>
      </c>
      <c r="R238" s="23">
        <v>0</v>
      </c>
      <c r="S238" s="40">
        <f>IF(Tabela1[[#This Row],[CARGA PARCIAL]]&lt;0,0,Tabela1[[#This Row],[CARGA PARCIAL]]+Tabela1[[#This Row],[REEMBOLSO]])</f>
        <v>3000</v>
      </c>
      <c r="T238" s="40">
        <f>IF(Tabela1[[#This Row],[CARGA PARCIAL SEM CX REPROV.]]&lt;0,0,Tabela1[[#This Row],[CARGA PARCIAL]]+Tabela1[[#This Row],[REEMBOLSO]])</f>
        <v>3000</v>
      </c>
      <c r="U238" s="24" t="s">
        <v>22</v>
      </c>
      <c r="V238" s="24"/>
    </row>
    <row r="239" spans="2:22" x14ac:dyDescent="0.25">
      <c r="B239" s="31" t="s">
        <v>912</v>
      </c>
      <c r="C239" s="32" t="s">
        <v>57</v>
      </c>
      <c r="D239" s="33" t="s">
        <v>18</v>
      </c>
      <c r="E239" s="33" t="s">
        <v>37</v>
      </c>
      <c r="F239" s="33">
        <v>11030830001</v>
      </c>
      <c r="G239" s="33" t="s">
        <v>38</v>
      </c>
      <c r="H239" s="22" t="s">
        <v>39</v>
      </c>
      <c r="I239" s="23">
        <v>0</v>
      </c>
      <c r="J239" s="23">
        <v>97.890000000045106</v>
      </c>
      <c r="K239" s="23">
        <v>0</v>
      </c>
      <c r="L239" s="23">
        <v>0</v>
      </c>
      <c r="M239" s="23">
        <v>3000</v>
      </c>
      <c r="N239" s="23"/>
      <c r="O239" s="23">
        <v>0</v>
      </c>
      <c r="P239" s="23">
        <f>Tabela1[[#This Row],[1QZ DE MARÇO 26]]-Tabela1[[#This Row],[SALDO PENDENTE COM CX REPR.]]-Tabela1[[#This Row],[SALDO CARTAO]]-Tabela1[[#This Row],[ADIANTAMENTO]]</f>
        <v>2902.1099999999551</v>
      </c>
      <c r="Q239" s="23">
        <f>Tabela1[[#This Row],[1QZ DE MARÇO 26]]-Tabela1[[#This Row],[SALDO PENDENTE SEM CX REPR.]]-Tabela1[[#This Row],[SALDO CARTAO]]-Tabela1[[#This Row],[ADIANTAMENTO]]</f>
        <v>3000</v>
      </c>
      <c r="R239" s="23">
        <v>0</v>
      </c>
      <c r="S239" s="40">
        <f>IF(Tabela1[[#This Row],[CARGA PARCIAL]]&lt;0,0,Tabela1[[#This Row],[CARGA PARCIAL]]+Tabela1[[#This Row],[REEMBOLSO]])</f>
        <v>2902.1099999999551</v>
      </c>
      <c r="T239" s="40">
        <f>IF(Tabela1[[#This Row],[CARGA PARCIAL SEM CX REPROV.]]&lt;0,0,Tabela1[[#This Row],[CARGA PARCIAL]]+Tabela1[[#This Row],[REEMBOLSO]])</f>
        <v>2902.1099999999551</v>
      </c>
      <c r="U239" s="24" t="s">
        <v>22</v>
      </c>
      <c r="V239" s="24"/>
    </row>
    <row r="240" spans="2:22" hidden="1" x14ac:dyDescent="0.25">
      <c r="B240" s="33" t="s">
        <v>913</v>
      </c>
      <c r="C240" s="33" t="s">
        <v>175</v>
      </c>
      <c r="D240" s="33" t="s">
        <v>18</v>
      </c>
      <c r="E240" s="33" t="s">
        <v>134</v>
      </c>
      <c r="F240" s="33">
        <v>11061720001</v>
      </c>
      <c r="G240" s="33" t="s">
        <v>42</v>
      </c>
      <c r="H240" s="22" t="s">
        <v>39</v>
      </c>
      <c r="I240" s="23">
        <v>0</v>
      </c>
      <c r="J240" s="23">
        <v>160.90000000000111</v>
      </c>
      <c r="K240" s="23">
        <v>0</v>
      </c>
      <c r="L240" s="23">
        <v>1000</v>
      </c>
      <c r="M240" s="23">
        <v>800</v>
      </c>
      <c r="N240" s="23">
        <v>25.94</v>
      </c>
      <c r="O240" s="23">
        <v>0</v>
      </c>
      <c r="P240" s="23">
        <f>Tabela1[[#This Row],[1QZ DE MARÇO 26]]-Tabela1[[#This Row],[SALDO PENDENTE COM CX REPR.]]-Tabela1[[#This Row],[SALDO CARTAO]]-Tabela1[[#This Row],[ADIANTAMENTO]]</f>
        <v>613.15999999999883</v>
      </c>
      <c r="Q240" s="23">
        <f>Tabela1[[#This Row],[1QZ DE MARÇO 26]]-Tabela1[[#This Row],[SALDO PENDENTE SEM CX REPR.]]-Tabela1[[#This Row],[SALDO CARTAO]]-Tabela1[[#This Row],[ADIANTAMENTO]]</f>
        <v>-225.94</v>
      </c>
      <c r="R240" s="23">
        <v>0</v>
      </c>
      <c r="S240" s="40">
        <f>IF(Tabela1[[#This Row],[CARGA PARCIAL]]&lt;0,0,Tabela1[[#This Row],[CARGA PARCIAL]]+Tabela1[[#This Row],[REEMBOLSO]])</f>
        <v>613.15999999999883</v>
      </c>
      <c r="T240" s="40">
        <f>IF(Tabela1[[#This Row],[CARGA PARCIAL SEM CX REPROV.]]&lt;0,0,Tabela1[[#This Row],[CARGA PARCIAL]]+Tabela1[[#This Row],[REEMBOLSO]])</f>
        <v>0</v>
      </c>
      <c r="U240" s="24" t="s">
        <v>22</v>
      </c>
      <c r="V240" s="24"/>
    </row>
    <row r="241" spans="2:22" hidden="1" x14ac:dyDescent="0.25">
      <c r="B241" s="37" t="s">
        <v>914</v>
      </c>
      <c r="C241" s="32" t="s">
        <v>371</v>
      </c>
      <c r="D241" s="33" t="s">
        <v>18</v>
      </c>
      <c r="E241" s="33" t="s">
        <v>19</v>
      </c>
      <c r="F241" s="33">
        <v>11030260001</v>
      </c>
      <c r="G241" s="33" t="s">
        <v>20</v>
      </c>
      <c r="H241" s="22" t="s">
        <v>21</v>
      </c>
      <c r="I241" s="23">
        <v>-4.0099999999997635</v>
      </c>
      <c r="J241" s="23">
        <v>0</v>
      </c>
      <c r="K241" s="23">
        <v>0</v>
      </c>
      <c r="L241" s="23">
        <v>278.61999999999989</v>
      </c>
      <c r="M241" s="23">
        <v>0</v>
      </c>
      <c r="N241" s="23">
        <v>4.3</v>
      </c>
      <c r="O241" s="23">
        <v>0</v>
      </c>
      <c r="P241" s="23">
        <f>Tabela1[[#This Row],[1QZ DE MARÇO 26]]-Tabela1[[#This Row],[SALDO PENDENTE COM CX REPR.]]-Tabela1[[#This Row],[SALDO CARTAO]]-Tabela1[[#This Row],[ADIANTAMENTO]]</f>
        <v>-4.3</v>
      </c>
      <c r="Q241" s="23">
        <f>Tabela1[[#This Row],[1QZ DE MARÇO 26]]-Tabela1[[#This Row],[SALDO PENDENTE SEM CX REPR.]]-Tabela1[[#This Row],[SALDO CARTAO]]-Tabela1[[#This Row],[ADIANTAMENTO]]</f>
        <v>-282.9199999999999</v>
      </c>
      <c r="R241" s="23">
        <v>0</v>
      </c>
      <c r="S241" s="40">
        <f>IF(Tabela1[[#This Row],[CARGA PARCIAL]]&lt;0,0,Tabela1[[#This Row],[CARGA PARCIAL]]+Tabela1[[#This Row],[REEMBOLSO]])</f>
        <v>0</v>
      </c>
      <c r="T241" s="40">
        <f>IF(Tabela1[[#This Row],[CARGA PARCIAL SEM CX REPROV.]]&lt;0,0,Tabela1[[#This Row],[CARGA PARCIAL]]+Tabela1[[#This Row],[REEMBOLSO]])</f>
        <v>0</v>
      </c>
      <c r="U241" s="24" t="s">
        <v>22</v>
      </c>
      <c r="V241" s="24"/>
    </row>
    <row r="242" spans="2:22" x14ac:dyDescent="0.25">
      <c r="B242" s="31" t="s">
        <v>915</v>
      </c>
      <c r="C242" s="32" t="s">
        <v>171</v>
      </c>
      <c r="D242" s="33" t="s">
        <v>18</v>
      </c>
      <c r="E242" s="33" t="s">
        <v>172</v>
      </c>
      <c r="F242" s="33">
        <v>11030860001</v>
      </c>
      <c r="G242" s="33" t="s">
        <v>42</v>
      </c>
      <c r="H242" s="22" t="s">
        <v>39</v>
      </c>
      <c r="I242" s="23">
        <v>-39.999999999998693</v>
      </c>
      <c r="J242" s="23">
        <v>0</v>
      </c>
      <c r="K242" s="23">
        <v>0</v>
      </c>
      <c r="L242" s="23">
        <v>0</v>
      </c>
      <c r="M242" s="23">
        <v>1000</v>
      </c>
      <c r="N242" s="23">
        <v>1.76</v>
      </c>
      <c r="O242" s="23">
        <v>0</v>
      </c>
      <c r="P242" s="23">
        <f>Tabela1[[#This Row],[1QZ DE MARÇO 26]]-Tabela1[[#This Row],[SALDO PENDENTE COM CX REPR.]]-Tabela1[[#This Row],[SALDO CARTAO]]-Tabela1[[#This Row],[ADIANTAMENTO]]</f>
        <v>998.24</v>
      </c>
      <c r="Q242" s="23">
        <f>Tabela1[[#This Row],[1QZ DE MARÇO 26]]-Tabela1[[#This Row],[SALDO PENDENTE SEM CX REPR.]]-Tabela1[[#This Row],[SALDO CARTAO]]-Tabela1[[#This Row],[ADIANTAMENTO]]</f>
        <v>998.24</v>
      </c>
      <c r="R242" s="23">
        <v>0</v>
      </c>
      <c r="S242" s="40">
        <f>IF(Tabela1[[#This Row],[CARGA PARCIAL]]&lt;0,0,Tabela1[[#This Row],[CARGA PARCIAL]]+Tabela1[[#This Row],[REEMBOLSO]])</f>
        <v>998.24</v>
      </c>
      <c r="T242" s="40">
        <f>IF(Tabela1[[#This Row],[CARGA PARCIAL SEM CX REPROV.]]&lt;0,0,Tabela1[[#This Row],[CARGA PARCIAL]]+Tabela1[[#This Row],[REEMBOLSO]])</f>
        <v>998.24</v>
      </c>
      <c r="U242" s="24" t="s">
        <v>22</v>
      </c>
      <c r="V242" s="24"/>
    </row>
    <row r="243" spans="2:22" hidden="1" x14ac:dyDescent="0.25">
      <c r="B243" s="39" t="s">
        <v>916</v>
      </c>
      <c r="C243" s="36" t="s">
        <v>515</v>
      </c>
      <c r="D243" s="34" t="s">
        <v>18</v>
      </c>
      <c r="E243" s="33" t="s">
        <v>283</v>
      </c>
      <c r="F243" s="33">
        <v>11040140001</v>
      </c>
      <c r="G243" s="33" t="s">
        <v>45</v>
      </c>
      <c r="H243" s="22" t="s">
        <v>39</v>
      </c>
      <c r="I243" s="23">
        <v>0</v>
      </c>
      <c r="J243" s="23">
        <v>124.39999999999998</v>
      </c>
      <c r="K243" s="23">
        <v>0</v>
      </c>
      <c r="L243" s="23">
        <v>1491.71</v>
      </c>
      <c r="M243" s="23">
        <v>100</v>
      </c>
      <c r="N243" s="23">
        <v>0</v>
      </c>
      <c r="O243" s="23">
        <v>0</v>
      </c>
      <c r="P243" s="23">
        <f>Tabela1[[#This Row],[1QZ DE MARÇO 26]]-Tabela1[[#This Row],[SALDO PENDENTE COM CX REPR.]]-Tabela1[[#This Row],[SALDO CARTAO]]-Tabela1[[#This Row],[ADIANTAMENTO]]</f>
        <v>-24.399999999999977</v>
      </c>
      <c r="Q243" s="23">
        <f>Tabela1[[#This Row],[1QZ DE MARÇO 26]]-Tabela1[[#This Row],[SALDO PENDENTE SEM CX REPR.]]-Tabela1[[#This Row],[SALDO CARTAO]]-Tabela1[[#This Row],[ADIANTAMENTO]]</f>
        <v>-1391.71</v>
      </c>
      <c r="R243" s="23">
        <v>0</v>
      </c>
      <c r="S243" s="40">
        <f>IF(Tabela1[[#This Row],[CARGA PARCIAL]]&lt;0,0,Tabela1[[#This Row],[CARGA PARCIAL]]+Tabela1[[#This Row],[REEMBOLSO]])</f>
        <v>0</v>
      </c>
      <c r="T243" s="40">
        <f>IF(Tabela1[[#This Row],[CARGA PARCIAL SEM CX REPROV.]]&lt;0,0,Tabela1[[#This Row],[CARGA PARCIAL]]+Tabela1[[#This Row],[REEMBOLSO]])</f>
        <v>0</v>
      </c>
      <c r="U243" s="25" t="s">
        <v>22</v>
      </c>
      <c r="V243" s="26"/>
    </row>
    <row r="244" spans="2:22" hidden="1" x14ac:dyDescent="0.25">
      <c r="B244" s="33" t="s">
        <v>917</v>
      </c>
      <c r="C244" s="33" t="s">
        <v>588</v>
      </c>
      <c r="D244" s="33" t="s">
        <v>18</v>
      </c>
      <c r="E244" s="33" t="s">
        <v>400</v>
      </c>
      <c r="F244" s="33">
        <v>11080220001</v>
      </c>
      <c r="G244" s="33" t="s">
        <v>28</v>
      </c>
      <c r="H244" s="33" t="s">
        <v>21</v>
      </c>
      <c r="I244" s="23">
        <v>0</v>
      </c>
      <c r="J244" s="23">
        <v>91.98</v>
      </c>
      <c r="K244" s="23">
        <v>0</v>
      </c>
      <c r="L244" s="23">
        <v>1918.5</v>
      </c>
      <c r="M244" s="23">
        <v>0</v>
      </c>
      <c r="N244" s="23">
        <v>99.56</v>
      </c>
      <c r="O244" s="23">
        <v>0</v>
      </c>
      <c r="P244" s="23">
        <f>Tabela1[[#This Row],[1QZ DE MARÇO 26]]-Tabela1[[#This Row],[SALDO PENDENTE COM CX REPR.]]-Tabela1[[#This Row],[SALDO CARTAO]]-Tabela1[[#This Row],[ADIANTAMENTO]]</f>
        <v>-191.54000000000002</v>
      </c>
      <c r="Q244" s="23">
        <f>Tabela1[[#This Row],[1QZ DE MARÇO 26]]-Tabela1[[#This Row],[SALDO PENDENTE SEM CX REPR.]]-Tabela1[[#This Row],[SALDO CARTAO]]-Tabela1[[#This Row],[ADIANTAMENTO]]</f>
        <v>-2018.06</v>
      </c>
      <c r="R244" s="23">
        <v>0</v>
      </c>
      <c r="S244" s="40">
        <f>IF(Tabela1[[#This Row],[CARGA PARCIAL]]&lt;0,0,Tabela1[[#This Row],[CARGA PARCIAL]]+Tabela1[[#This Row],[REEMBOLSO]])</f>
        <v>0</v>
      </c>
      <c r="T244" s="40">
        <f>IF(Tabela1[[#This Row],[CARGA PARCIAL SEM CX REPROV.]]&lt;0,0,Tabela1[[#This Row],[CARGA PARCIAL]]+Tabela1[[#This Row],[REEMBOLSO]])</f>
        <v>0</v>
      </c>
      <c r="U244" s="24" t="s">
        <v>60</v>
      </c>
      <c r="V244" s="24"/>
    </row>
    <row r="245" spans="2:22" x14ac:dyDescent="0.25">
      <c r="B245" s="37" t="s">
        <v>918</v>
      </c>
      <c r="C245" s="32" t="s">
        <v>114</v>
      </c>
      <c r="D245" s="33" t="s">
        <v>18</v>
      </c>
      <c r="E245" s="33" t="s">
        <v>115</v>
      </c>
      <c r="F245" s="33">
        <v>11060700001</v>
      </c>
      <c r="G245" s="33" t="s">
        <v>48</v>
      </c>
      <c r="H245" s="22" t="s">
        <v>35</v>
      </c>
      <c r="I245" s="23">
        <v>0</v>
      </c>
      <c r="J245" s="23">
        <v>4595.7599999999948</v>
      </c>
      <c r="K245" s="23">
        <v>0</v>
      </c>
      <c r="L245" s="23">
        <v>1338.46</v>
      </c>
      <c r="M245" s="23">
        <v>5000</v>
      </c>
      <c r="N245" s="23">
        <v>0</v>
      </c>
      <c r="O245" s="23">
        <v>0</v>
      </c>
      <c r="P245" s="23">
        <f>Tabela1[[#This Row],[1QZ DE MARÇO 26]]-Tabela1[[#This Row],[SALDO PENDENTE COM CX REPR.]]-Tabela1[[#This Row],[SALDO CARTAO]]-Tabela1[[#This Row],[ADIANTAMENTO]]</f>
        <v>404.24000000000524</v>
      </c>
      <c r="Q245" s="23">
        <f>Tabela1[[#This Row],[1QZ DE MARÇO 26]]-Tabela1[[#This Row],[SALDO PENDENTE SEM CX REPR.]]-Tabela1[[#This Row],[SALDO CARTAO]]-Tabela1[[#This Row],[ADIANTAMENTO]]</f>
        <v>3661.54</v>
      </c>
      <c r="R245" s="23">
        <v>0</v>
      </c>
      <c r="S245" s="40">
        <f>IF(Tabela1[[#This Row],[CARGA PARCIAL]]&lt;0,0,Tabela1[[#This Row],[CARGA PARCIAL]]+Tabela1[[#This Row],[REEMBOLSO]])</f>
        <v>404.24000000000524</v>
      </c>
      <c r="T245" s="40">
        <f>IF(Tabela1[[#This Row],[CARGA PARCIAL SEM CX REPROV.]]&lt;0,0,Tabela1[[#This Row],[CARGA PARCIAL]]+Tabela1[[#This Row],[REEMBOLSO]])</f>
        <v>404.24000000000524</v>
      </c>
      <c r="U245" s="24" t="s">
        <v>22</v>
      </c>
      <c r="V245" s="24"/>
    </row>
    <row r="246" spans="2:22" x14ac:dyDescent="0.25">
      <c r="B246" s="31" t="s">
        <v>919</v>
      </c>
      <c r="C246" s="32" t="s">
        <v>168</v>
      </c>
      <c r="D246" s="33" t="s">
        <v>18</v>
      </c>
      <c r="E246" s="33" t="s">
        <v>145</v>
      </c>
      <c r="F246" s="33">
        <v>11062630001</v>
      </c>
      <c r="G246" s="33" t="s">
        <v>42</v>
      </c>
      <c r="H246" s="22" t="s">
        <v>39</v>
      </c>
      <c r="I246" s="23">
        <v>0</v>
      </c>
      <c r="J246" s="23">
        <v>378.4399999999996</v>
      </c>
      <c r="K246" s="23">
        <v>-1480.5700000000106</v>
      </c>
      <c r="L246" s="23">
        <v>0</v>
      </c>
      <c r="M246" s="23">
        <v>500</v>
      </c>
      <c r="N246" s="23">
        <v>0</v>
      </c>
      <c r="O246" s="23">
        <v>0</v>
      </c>
      <c r="P246" s="23">
        <f>Tabela1[[#This Row],[1QZ DE MARÇO 26]]-Tabela1[[#This Row],[SALDO PENDENTE COM CX REPR.]]-Tabela1[[#This Row],[SALDO CARTAO]]-Tabela1[[#This Row],[ADIANTAMENTO]]</f>
        <v>121.5600000000004</v>
      </c>
      <c r="Q246" s="23">
        <f>Tabela1[[#This Row],[1QZ DE MARÇO 26]]-Tabela1[[#This Row],[SALDO PENDENTE SEM CX REPR.]]-Tabela1[[#This Row],[SALDO CARTAO]]-Tabela1[[#This Row],[ADIANTAMENTO]]</f>
        <v>500</v>
      </c>
      <c r="R246" s="23">
        <v>0</v>
      </c>
      <c r="S246" s="40">
        <f>IF(Tabela1[[#This Row],[CARGA PARCIAL]]&lt;0,0,Tabela1[[#This Row],[CARGA PARCIAL]]+Tabela1[[#This Row],[REEMBOLSO]])</f>
        <v>121.5600000000004</v>
      </c>
      <c r="T246" s="40">
        <f>IF(Tabela1[[#This Row],[CARGA PARCIAL SEM CX REPROV.]]&lt;0,0,Tabela1[[#This Row],[CARGA PARCIAL]]+Tabela1[[#This Row],[REEMBOLSO]])</f>
        <v>121.5600000000004</v>
      </c>
      <c r="U246" s="24" t="s">
        <v>22</v>
      </c>
      <c r="V246" s="24"/>
    </row>
    <row r="247" spans="2:22" x14ac:dyDescent="0.25">
      <c r="B247" s="37" t="s">
        <v>920</v>
      </c>
      <c r="C247" s="32" t="s">
        <v>79</v>
      </c>
      <c r="D247" s="33" t="s">
        <v>18</v>
      </c>
      <c r="E247" s="33" t="s">
        <v>80</v>
      </c>
      <c r="F247" s="33">
        <v>11062350001</v>
      </c>
      <c r="G247" s="33" t="s">
        <v>20</v>
      </c>
      <c r="H247" s="22" t="s">
        <v>21</v>
      </c>
      <c r="I247" s="23">
        <v>0</v>
      </c>
      <c r="J247" s="23">
        <v>237.90999999999985</v>
      </c>
      <c r="K247" s="23">
        <v>0</v>
      </c>
      <c r="L247" s="23">
        <v>0</v>
      </c>
      <c r="M247" s="23">
        <v>1750</v>
      </c>
      <c r="N247" s="23">
        <v>0</v>
      </c>
      <c r="O247" s="23">
        <v>0</v>
      </c>
      <c r="P247" s="23">
        <f>Tabela1[[#This Row],[1QZ DE MARÇO 26]]-Tabela1[[#This Row],[SALDO PENDENTE COM CX REPR.]]-Tabela1[[#This Row],[SALDO CARTAO]]-Tabela1[[#This Row],[ADIANTAMENTO]]</f>
        <v>1512.0900000000001</v>
      </c>
      <c r="Q247" s="23">
        <f>Tabela1[[#This Row],[1QZ DE MARÇO 26]]-Tabela1[[#This Row],[SALDO PENDENTE SEM CX REPR.]]-Tabela1[[#This Row],[SALDO CARTAO]]-Tabela1[[#This Row],[ADIANTAMENTO]]</f>
        <v>1750</v>
      </c>
      <c r="R247" s="23">
        <v>0</v>
      </c>
      <c r="S247" s="40">
        <f>IF(Tabela1[[#This Row],[CARGA PARCIAL]]&lt;0,0,Tabela1[[#This Row],[CARGA PARCIAL]]+Tabela1[[#This Row],[REEMBOLSO]])</f>
        <v>1512.0900000000001</v>
      </c>
      <c r="T247" s="40">
        <f>IF(Tabela1[[#This Row],[CARGA PARCIAL SEM CX REPROV.]]&lt;0,0,Tabela1[[#This Row],[CARGA PARCIAL]]+Tabela1[[#This Row],[REEMBOLSO]])</f>
        <v>1512.0900000000001</v>
      </c>
      <c r="U247" s="24" t="s">
        <v>22</v>
      </c>
      <c r="V247" s="24"/>
    </row>
    <row r="248" spans="2:22" hidden="1" x14ac:dyDescent="0.25">
      <c r="B248" s="33" t="s">
        <v>921</v>
      </c>
      <c r="C248" s="33" t="s">
        <v>516</v>
      </c>
      <c r="D248" s="33" t="s">
        <v>18</v>
      </c>
      <c r="E248" s="33" t="s">
        <v>283</v>
      </c>
      <c r="F248" s="33">
        <v>11040140001</v>
      </c>
      <c r="G248" s="33" t="s">
        <v>45</v>
      </c>
      <c r="H248" s="33" t="s">
        <v>39</v>
      </c>
      <c r="I248" s="23">
        <v>0</v>
      </c>
      <c r="J248" s="23">
        <v>182.6</v>
      </c>
      <c r="K248" s="23">
        <v>-4275.0000000000109</v>
      </c>
      <c r="L248" s="23">
        <v>0</v>
      </c>
      <c r="M248" s="23">
        <v>100</v>
      </c>
      <c r="N248" s="23">
        <v>57.18</v>
      </c>
      <c r="O248" s="23">
        <v>0</v>
      </c>
      <c r="P248" s="23">
        <f>Tabela1[[#This Row],[1QZ DE MARÇO 26]]-Tabela1[[#This Row],[SALDO PENDENTE COM CX REPR.]]-Tabela1[[#This Row],[SALDO CARTAO]]-Tabela1[[#This Row],[ADIANTAMENTO]]</f>
        <v>-139.78</v>
      </c>
      <c r="Q248" s="23">
        <f>Tabela1[[#This Row],[1QZ DE MARÇO 26]]-Tabela1[[#This Row],[SALDO PENDENTE SEM CX REPR.]]-Tabela1[[#This Row],[SALDO CARTAO]]-Tabela1[[#This Row],[ADIANTAMENTO]]</f>
        <v>42.82</v>
      </c>
      <c r="R248" s="23">
        <v>0</v>
      </c>
      <c r="S248" s="40">
        <f>IF(Tabela1[[#This Row],[CARGA PARCIAL]]&lt;0,0,Tabela1[[#This Row],[CARGA PARCIAL]]+Tabela1[[#This Row],[REEMBOLSO]])</f>
        <v>0</v>
      </c>
      <c r="T248" s="40">
        <f>IF(Tabela1[[#This Row],[CARGA PARCIAL SEM CX REPROV.]]&lt;0,0,Tabela1[[#This Row],[CARGA PARCIAL]]+Tabela1[[#This Row],[REEMBOLSO]])</f>
        <v>-139.78</v>
      </c>
      <c r="U248" s="24" t="s">
        <v>60</v>
      </c>
      <c r="V248" s="24"/>
    </row>
    <row r="249" spans="2:22" hidden="1" x14ac:dyDescent="0.25">
      <c r="B249" s="33" t="s">
        <v>922</v>
      </c>
      <c r="C249" s="33" t="s">
        <v>589</v>
      </c>
      <c r="D249" s="33" t="s">
        <v>18</v>
      </c>
      <c r="E249" s="33" t="s">
        <v>532</v>
      </c>
      <c r="F249" s="33">
        <v>11063050001</v>
      </c>
      <c r="G249" s="33" t="s">
        <v>54</v>
      </c>
      <c r="H249" s="22" t="s">
        <v>39</v>
      </c>
      <c r="I249" s="23">
        <v>0</v>
      </c>
      <c r="J249" s="23">
        <v>2818.6</v>
      </c>
      <c r="K249" s="23">
        <v>0</v>
      </c>
      <c r="L249" s="23">
        <v>419.98000000000008</v>
      </c>
      <c r="M249" s="23">
        <v>0</v>
      </c>
      <c r="N249" s="23">
        <v>455</v>
      </c>
      <c r="O249" s="23">
        <v>0</v>
      </c>
      <c r="P249" s="23">
        <f>Tabela1[[#This Row],[1QZ DE MARÇO 26]]-Tabela1[[#This Row],[SALDO PENDENTE COM CX REPR.]]-Tabela1[[#This Row],[SALDO CARTAO]]-Tabela1[[#This Row],[ADIANTAMENTO]]</f>
        <v>-3273.6</v>
      </c>
      <c r="Q249" s="23">
        <f>Tabela1[[#This Row],[1QZ DE MARÇO 26]]-Tabela1[[#This Row],[SALDO PENDENTE SEM CX REPR.]]-Tabela1[[#This Row],[SALDO CARTAO]]-Tabela1[[#This Row],[ADIANTAMENTO]]</f>
        <v>-874.98</v>
      </c>
      <c r="R249" s="23">
        <v>0</v>
      </c>
      <c r="S249" s="40">
        <f>IF(Tabela1[[#This Row],[CARGA PARCIAL]]&lt;0,0,Tabela1[[#This Row],[CARGA PARCIAL]]+Tabela1[[#This Row],[REEMBOLSO]])</f>
        <v>0</v>
      </c>
      <c r="T249" s="40">
        <f>IF(Tabela1[[#This Row],[CARGA PARCIAL SEM CX REPROV.]]&lt;0,0,Tabela1[[#This Row],[CARGA PARCIAL]]+Tabela1[[#This Row],[REEMBOLSO]])</f>
        <v>0</v>
      </c>
      <c r="U249" s="24" t="s">
        <v>22</v>
      </c>
      <c r="V249" s="24"/>
    </row>
    <row r="250" spans="2:22" hidden="1" x14ac:dyDescent="0.25">
      <c r="B250" s="39" t="s">
        <v>923</v>
      </c>
      <c r="C250" s="36" t="s">
        <v>660</v>
      </c>
      <c r="D250" s="34" t="s">
        <v>18</v>
      </c>
      <c r="E250" s="33" t="s">
        <v>44</v>
      </c>
      <c r="F250" s="33">
        <v>1104150001</v>
      </c>
      <c r="G250" s="33" t="s">
        <v>54</v>
      </c>
      <c r="H250" s="22" t="s">
        <v>39</v>
      </c>
      <c r="I250" s="23">
        <v>0</v>
      </c>
      <c r="J250" s="23">
        <v>0</v>
      </c>
      <c r="K250" s="23">
        <v>0</v>
      </c>
      <c r="L250" s="23">
        <v>1124.4500000000003</v>
      </c>
      <c r="M250" s="23">
        <v>0</v>
      </c>
      <c r="N250" s="23">
        <v>0</v>
      </c>
      <c r="O250" s="23">
        <v>0</v>
      </c>
      <c r="P250" s="23">
        <f>Tabela1[[#This Row],[1QZ DE MARÇO 26]]-Tabela1[[#This Row],[SALDO PENDENTE COM CX REPR.]]-Tabela1[[#This Row],[SALDO CARTAO]]-Tabela1[[#This Row],[ADIANTAMENTO]]</f>
        <v>0</v>
      </c>
      <c r="Q250" s="23">
        <f>Tabela1[[#This Row],[1QZ DE MARÇO 26]]-Tabela1[[#This Row],[SALDO PENDENTE SEM CX REPR.]]-Tabela1[[#This Row],[SALDO CARTAO]]-Tabela1[[#This Row],[ADIANTAMENTO]]</f>
        <v>-1124.4500000000003</v>
      </c>
      <c r="R250" s="23">
        <v>0</v>
      </c>
      <c r="S250" s="40">
        <f>IF(Tabela1[[#This Row],[CARGA PARCIAL]]&lt;0,0,Tabela1[[#This Row],[CARGA PARCIAL]]+Tabela1[[#This Row],[REEMBOLSO]])</f>
        <v>0</v>
      </c>
      <c r="T250" s="40">
        <f>IF(Tabela1[[#This Row],[CARGA PARCIAL SEM CX REPROV.]]&lt;0,0,Tabela1[[#This Row],[CARGA PARCIAL]]+Tabela1[[#This Row],[REEMBOLSO]])</f>
        <v>0</v>
      </c>
      <c r="U250" s="25" t="s">
        <v>1158</v>
      </c>
      <c r="V250" s="26"/>
    </row>
    <row r="251" spans="2:22" hidden="1" x14ac:dyDescent="0.25">
      <c r="B251" s="31" t="s">
        <v>924</v>
      </c>
      <c r="C251" s="32" t="s">
        <v>416</v>
      </c>
      <c r="D251" s="33" t="s">
        <v>18</v>
      </c>
      <c r="E251" s="33" t="s">
        <v>24</v>
      </c>
      <c r="F251" s="33">
        <v>11030290001</v>
      </c>
      <c r="G251" s="33" t="s">
        <v>25</v>
      </c>
      <c r="H251" s="22" t="s">
        <v>21</v>
      </c>
      <c r="I251" s="23">
        <v>0</v>
      </c>
      <c r="J251" s="23">
        <v>2908.28</v>
      </c>
      <c r="K251" s="23">
        <v>0</v>
      </c>
      <c r="L251" s="23">
        <v>100</v>
      </c>
      <c r="M251" s="23">
        <v>0</v>
      </c>
      <c r="N251" s="23">
        <v>0</v>
      </c>
      <c r="O251" s="23">
        <v>0</v>
      </c>
      <c r="P251" s="23">
        <f>Tabela1[[#This Row],[1QZ DE MARÇO 26]]-Tabela1[[#This Row],[SALDO PENDENTE COM CX REPR.]]-Tabela1[[#This Row],[SALDO CARTAO]]-Tabela1[[#This Row],[ADIANTAMENTO]]</f>
        <v>-2908.28</v>
      </c>
      <c r="Q251" s="23">
        <f>Tabela1[[#This Row],[1QZ DE MARÇO 26]]-Tabela1[[#This Row],[SALDO PENDENTE SEM CX REPR.]]-Tabela1[[#This Row],[SALDO CARTAO]]-Tabela1[[#This Row],[ADIANTAMENTO]]</f>
        <v>-100</v>
      </c>
      <c r="R251" s="23">
        <v>0</v>
      </c>
      <c r="S251" s="40">
        <f>IF(Tabela1[[#This Row],[CARGA PARCIAL]]&lt;0,0,Tabela1[[#This Row],[CARGA PARCIAL]]+Tabela1[[#This Row],[REEMBOLSO]])</f>
        <v>0</v>
      </c>
      <c r="T251" s="40">
        <f>IF(Tabela1[[#This Row],[CARGA PARCIAL SEM CX REPROV.]]&lt;0,0,Tabela1[[#This Row],[CARGA PARCIAL]]+Tabela1[[#This Row],[REEMBOLSO]])</f>
        <v>0</v>
      </c>
      <c r="U251" s="24" t="s">
        <v>22</v>
      </c>
      <c r="V251" s="24"/>
    </row>
    <row r="252" spans="2:22" hidden="1" x14ac:dyDescent="0.25">
      <c r="B252" s="33" t="s">
        <v>925</v>
      </c>
      <c r="C252" s="33" t="s">
        <v>211</v>
      </c>
      <c r="D252" s="33" t="s">
        <v>18</v>
      </c>
      <c r="E252" s="33" t="s">
        <v>212</v>
      </c>
      <c r="F252" s="33">
        <v>11061810001</v>
      </c>
      <c r="G252" s="33" t="s">
        <v>54</v>
      </c>
      <c r="H252" s="33" t="s">
        <v>39</v>
      </c>
      <c r="I252" s="23">
        <v>0</v>
      </c>
      <c r="J252" s="23">
        <v>230.20000000000073</v>
      </c>
      <c r="K252" s="23">
        <v>0</v>
      </c>
      <c r="L252" s="23">
        <v>998.3499999999998</v>
      </c>
      <c r="M252" s="23">
        <v>500</v>
      </c>
      <c r="N252" s="23">
        <v>0.9</v>
      </c>
      <c r="O252" s="23">
        <v>0</v>
      </c>
      <c r="P252" s="23">
        <f>Tabela1[[#This Row],[1QZ DE MARÇO 26]]-Tabela1[[#This Row],[SALDO PENDENTE COM CX REPR.]]-Tabela1[[#This Row],[SALDO CARTAO]]-Tabela1[[#This Row],[ADIANTAMENTO]]</f>
        <v>268.8999999999993</v>
      </c>
      <c r="Q252" s="23">
        <f>Tabela1[[#This Row],[1QZ DE MARÇO 26]]-Tabela1[[#This Row],[SALDO PENDENTE SEM CX REPR.]]-Tabela1[[#This Row],[SALDO CARTAO]]-Tabela1[[#This Row],[ADIANTAMENTO]]</f>
        <v>-499.24999999999977</v>
      </c>
      <c r="R252" s="23">
        <v>0</v>
      </c>
      <c r="S252" s="40">
        <f>IF(Tabela1[[#This Row],[CARGA PARCIAL]]&lt;0,0,Tabela1[[#This Row],[CARGA PARCIAL]]+Tabela1[[#This Row],[REEMBOLSO]])</f>
        <v>268.8999999999993</v>
      </c>
      <c r="T252" s="40">
        <f>IF(Tabela1[[#This Row],[CARGA PARCIAL SEM CX REPROV.]]&lt;0,0,Tabela1[[#This Row],[CARGA PARCIAL]]+Tabela1[[#This Row],[REEMBOLSO]])</f>
        <v>0</v>
      </c>
      <c r="U252" s="24" t="s">
        <v>22</v>
      </c>
      <c r="V252" s="24"/>
    </row>
    <row r="253" spans="2:22" hidden="1" x14ac:dyDescent="0.25">
      <c r="B253" s="37" t="s">
        <v>926</v>
      </c>
      <c r="C253" s="32" t="s">
        <v>661</v>
      </c>
      <c r="D253" s="33" t="s">
        <v>18</v>
      </c>
      <c r="E253" s="33" t="s">
        <v>532</v>
      </c>
      <c r="F253" s="33">
        <v>11063050001</v>
      </c>
      <c r="G253" s="33" t="s">
        <v>54</v>
      </c>
      <c r="H253" s="22" t="s">
        <v>39</v>
      </c>
      <c r="I253" s="23">
        <v>0</v>
      </c>
      <c r="J253" s="23">
        <v>0</v>
      </c>
      <c r="K253" s="23">
        <v>0</v>
      </c>
      <c r="L253" s="23">
        <v>207.40999999999985</v>
      </c>
      <c r="M253" s="23">
        <v>0</v>
      </c>
      <c r="N253" s="23"/>
      <c r="O253" s="23">
        <v>0</v>
      </c>
      <c r="P253" s="23">
        <f>Tabela1[[#This Row],[1QZ DE MARÇO 26]]-Tabela1[[#This Row],[SALDO PENDENTE COM CX REPR.]]-Tabela1[[#This Row],[SALDO CARTAO]]-Tabela1[[#This Row],[ADIANTAMENTO]]</f>
        <v>0</v>
      </c>
      <c r="Q253" s="23">
        <f>Tabela1[[#This Row],[1QZ DE MARÇO 26]]-Tabela1[[#This Row],[SALDO PENDENTE SEM CX REPR.]]-Tabela1[[#This Row],[SALDO CARTAO]]-Tabela1[[#This Row],[ADIANTAMENTO]]</f>
        <v>-207.40999999999985</v>
      </c>
      <c r="R253" s="23">
        <v>0</v>
      </c>
      <c r="S253" s="40">
        <f>IF(Tabela1[[#This Row],[CARGA PARCIAL]]&lt;0,0,Tabela1[[#This Row],[CARGA PARCIAL]]+Tabela1[[#This Row],[REEMBOLSO]])</f>
        <v>0</v>
      </c>
      <c r="T253" s="40">
        <f>IF(Tabela1[[#This Row],[CARGA PARCIAL SEM CX REPROV.]]&lt;0,0,Tabela1[[#This Row],[CARGA PARCIAL]]+Tabela1[[#This Row],[REEMBOLSO]])</f>
        <v>0</v>
      </c>
      <c r="U253" s="24" t="s">
        <v>22</v>
      </c>
      <c r="V253" s="24"/>
    </row>
    <row r="254" spans="2:22" hidden="1" x14ac:dyDescent="0.25">
      <c r="B254" s="34" t="s">
        <v>927</v>
      </c>
      <c r="C254" s="34" t="s">
        <v>284</v>
      </c>
      <c r="D254" s="34" t="s">
        <v>18</v>
      </c>
      <c r="E254" s="33" t="s">
        <v>88</v>
      </c>
      <c r="F254" s="33">
        <v>11040130001</v>
      </c>
      <c r="G254" s="33" t="s">
        <v>45</v>
      </c>
      <c r="H254" s="22" t="s">
        <v>39</v>
      </c>
      <c r="I254" s="23">
        <v>0</v>
      </c>
      <c r="J254" s="23">
        <v>178.87999999999877</v>
      </c>
      <c r="K254" s="23">
        <v>0</v>
      </c>
      <c r="L254" s="23">
        <v>2678.7799999999997</v>
      </c>
      <c r="M254" s="23">
        <v>0</v>
      </c>
      <c r="N254" s="23">
        <v>0</v>
      </c>
      <c r="O254" s="23">
        <v>0</v>
      </c>
      <c r="P254" s="23">
        <f>Tabela1[[#This Row],[1QZ DE MARÇO 26]]-Tabela1[[#This Row],[SALDO PENDENTE COM CX REPR.]]-Tabela1[[#This Row],[SALDO CARTAO]]-Tabela1[[#This Row],[ADIANTAMENTO]]</f>
        <v>-178.87999999999877</v>
      </c>
      <c r="Q254" s="23">
        <f>Tabela1[[#This Row],[1QZ DE MARÇO 26]]-Tabela1[[#This Row],[SALDO PENDENTE SEM CX REPR.]]-Tabela1[[#This Row],[SALDO CARTAO]]-Tabela1[[#This Row],[ADIANTAMENTO]]</f>
        <v>-2678.7799999999997</v>
      </c>
      <c r="R254" s="23">
        <v>0</v>
      </c>
      <c r="S254" s="40">
        <f>IF(Tabela1[[#This Row],[CARGA PARCIAL]]&lt;0,0,Tabela1[[#This Row],[CARGA PARCIAL]]+Tabela1[[#This Row],[REEMBOLSO]])</f>
        <v>0</v>
      </c>
      <c r="T254" s="40">
        <f>IF(Tabela1[[#This Row],[CARGA PARCIAL SEM CX REPROV.]]&lt;0,0,Tabela1[[#This Row],[CARGA PARCIAL]]+Tabela1[[#This Row],[REEMBOLSO]])</f>
        <v>0</v>
      </c>
      <c r="U254" s="25" t="s">
        <v>22</v>
      </c>
      <c r="V254" s="26"/>
    </row>
    <row r="255" spans="2:22" x14ac:dyDescent="0.25">
      <c r="B255" s="33" t="s">
        <v>928</v>
      </c>
      <c r="C255" s="33" t="s">
        <v>124</v>
      </c>
      <c r="D255" s="33" t="s">
        <v>18</v>
      </c>
      <c r="E255" s="33" t="s">
        <v>125</v>
      </c>
      <c r="F255" s="33">
        <v>11080150001</v>
      </c>
      <c r="G255" s="33" t="s">
        <v>20</v>
      </c>
      <c r="H255" s="33" t="s">
        <v>21</v>
      </c>
      <c r="I255" s="23">
        <v>0</v>
      </c>
      <c r="J255" s="23">
        <v>534.02999999999884</v>
      </c>
      <c r="K255" s="23">
        <v>0</v>
      </c>
      <c r="L255" s="23">
        <v>868.31999999999994</v>
      </c>
      <c r="M255" s="23">
        <v>1500</v>
      </c>
      <c r="N255" s="23">
        <v>450</v>
      </c>
      <c r="O255" s="23">
        <v>0</v>
      </c>
      <c r="P255" s="23">
        <f>Tabela1[[#This Row],[1QZ DE MARÇO 26]]-Tabela1[[#This Row],[SALDO PENDENTE COM CX REPR.]]-Tabela1[[#This Row],[SALDO CARTAO]]-Tabela1[[#This Row],[ADIANTAMENTO]]</f>
        <v>515.97000000000116</v>
      </c>
      <c r="Q255" s="23">
        <f>Tabela1[[#This Row],[1QZ DE MARÇO 26]]-Tabela1[[#This Row],[SALDO PENDENTE SEM CX REPR.]]-Tabela1[[#This Row],[SALDO CARTAO]]-Tabela1[[#This Row],[ADIANTAMENTO]]</f>
        <v>181.68000000000006</v>
      </c>
      <c r="R255" s="23">
        <v>0</v>
      </c>
      <c r="S255" s="40">
        <f>IF(Tabela1[[#This Row],[CARGA PARCIAL]]&lt;0,0,Tabela1[[#This Row],[CARGA PARCIAL]]+Tabela1[[#This Row],[REEMBOLSO]])</f>
        <v>515.97000000000116</v>
      </c>
      <c r="T255" s="40">
        <f>IF(Tabela1[[#This Row],[CARGA PARCIAL SEM CX REPROV.]]&lt;0,0,Tabela1[[#This Row],[CARGA PARCIAL]]+Tabela1[[#This Row],[REEMBOLSO]])</f>
        <v>515.97000000000116</v>
      </c>
      <c r="U255" s="24" t="s">
        <v>22</v>
      </c>
      <c r="V255" s="24"/>
    </row>
    <row r="256" spans="2:22" x14ac:dyDescent="0.25">
      <c r="B256" s="31" t="s">
        <v>1038</v>
      </c>
      <c r="C256" s="32" t="s">
        <v>142</v>
      </c>
      <c r="D256" s="33" t="s">
        <v>18</v>
      </c>
      <c r="E256" s="33" t="s">
        <v>134</v>
      </c>
      <c r="F256" s="33">
        <v>11061720001</v>
      </c>
      <c r="G256" s="33" t="s">
        <v>42</v>
      </c>
      <c r="H256" s="22" t="s">
        <v>39</v>
      </c>
      <c r="I256" s="23">
        <v>-329.59999999999548</v>
      </c>
      <c r="J256" s="23">
        <v>0</v>
      </c>
      <c r="K256" s="23">
        <v>0</v>
      </c>
      <c r="L256" s="23">
        <v>114.49999999999994</v>
      </c>
      <c r="M256" s="23">
        <v>800</v>
      </c>
      <c r="N256" s="23">
        <v>0</v>
      </c>
      <c r="O256" s="23">
        <v>0</v>
      </c>
      <c r="P256" s="23">
        <f>Tabela1[[#This Row],[1QZ DE MARÇO 26]]-Tabela1[[#This Row],[SALDO PENDENTE COM CX REPR.]]-Tabela1[[#This Row],[SALDO CARTAO]]-Tabela1[[#This Row],[ADIANTAMENTO]]</f>
        <v>800</v>
      </c>
      <c r="Q256" s="23">
        <f>Tabela1[[#This Row],[1QZ DE MARÇO 26]]-Tabela1[[#This Row],[SALDO PENDENTE SEM CX REPR.]]-Tabela1[[#This Row],[SALDO CARTAO]]-Tabela1[[#This Row],[ADIANTAMENTO]]</f>
        <v>685.5</v>
      </c>
      <c r="R256" s="23">
        <v>0</v>
      </c>
      <c r="S256" s="40">
        <f>IF(Tabela1[[#This Row],[CARGA PARCIAL]]&lt;0,0,Tabela1[[#This Row],[CARGA PARCIAL]]+Tabela1[[#This Row],[REEMBOLSO]])</f>
        <v>800</v>
      </c>
      <c r="T256" s="40">
        <f>IF(Tabela1[[#This Row],[CARGA PARCIAL SEM CX REPROV.]]&lt;0,0,Tabela1[[#This Row],[CARGA PARCIAL]]+Tabela1[[#This Row],[REEMBOLSO]])</f>
        <v>800</v>
      </c>
      <c r="U256" s="24" t="s">
        <v>22</v>
      </c>
      <c r="V256" s="24"/>
    </row>
    <row r="257" spans="2:22" x14ac:dyDescent="0.25">
      <c r="B257" s="37" t="s">
        <v>1037</v>
      </c>
      <c r="C257" s="32" t="s">
        <v>182</v>
      </c>
      <c r="D257" s="33" t="s">
        <v>18</v>
      </c>
      <c r="E257" s="33" t="s">
        <v>134</v>
      </c>
      <c r="F257" s="33">
        <v>11061720001</v>
      </c>
      <c r="G257" s="33" t="s">
        <v>42</v>
      </c>
      <c r="H257" s="22" t="s">
        <v>39</v>
      </c>
      <c r="I257" s="23">
        <v>-341.149999999996</v>
      </c>
      <c r="J257" s="23">
        <v>0</v>
      </c>
      <c r="K257" s="23">
        <v>0</v>
      </c>
      <c r="L257" s="23">
        <v>0</v>
      </c>
      <c r="M257" s="23">
        <v>600</v>
      </c>
      <c r="N257" s="23">
        <v>0</v>
      </c>
      <c r="O257" s="23">
        <v>0</v>
      </c>
      <c r="P257" s="23">
        <f>Tabela1[[#This Row],[1QZ DE MARÇO 26]]-Tabela1[[#This Row],[SALDO PENDENTE COM CX REPR.]]-Tabela1[[#This Row],[SALDO CARTAO]]-Tabela1[[#This Row],[ADIANTAMENTO]]</f>
        <v>600</v>
      </c>
      <c r="Q257" s="23">
        <f>Tabela1[[#This Row],[1QZ DE MARÇO 26]]-Tabela1[[#This Row],[SALDO PENDENTE SEM CX REPR.]]-Tabela1[[#This Row],[SALDO CARTAO]]-Tabela1[[#This Row],[ADIANTAMENTO]]</f>
        <v>600</v>
      </c>
      <c r="R257" s="23">
        <v>341.149999999996</v>
      </c>
      <c r="S257" s="40">
        <f>IF(Tabela1[[#This Row],[CARGA PARCIAL]]&lt;0,0,Tabela1[[#This Row],[CARGA PARCIAL]]+Tabela1[[#This Row],[REEMBOLSO]])</f>
        <v>941.149999999996</v>
      </c>
      <c r="T257" s="40">
        <f>IF(Tabela1[[#This Row],[CARGA PARCIAL SEM CX REPROV.]]&lt;0,0,Tabela1[[#This Row],[CARGA PARCIAL]]+Tabela1[[#This Row],[REEMBOLSO]])</f>
        <v>941.149999999996</v>
      </c>
      <c r="U257" s="24" t="s">
        <v>22</v>
      </c>
      <c r="V257" s="24"/>
    </row>
    <row r="258" spans="2:22" hidden="1" x14ac:dyDescent="0.25">
      <c r="B258" s="37" t="s">
        <v>931</v>
      </c>
      <c r="C258" s="32" t="s">
        <v>517</v>
      </c>
      <c r="D258" s="33" t="s">
        <v>18</v>
      </c>
      <c r="E258" s="33" t="s">
        <v>283</v>
      </c>
      <c r="F258" s="33">
        <v>11040140001</v>
      </c>
      <c r="G258" s="33" t="s">
        <v>45</v>
      </c>
      <c r="H258" s="22" t="s">
        <v>39</v>
      </c>
      <c r="I258" s="23">
        <v>0</v>
      </c>
      <c r="J258" s="23">
        <v>42.999999999999773</v>
      </c>
      <c r="K258" s="23">
        <v>0</v>
      </c>
      <c r="L258" s="23">
        <v>2323</v>
      </c>
      <c r="M258" s="23">
        <v>100</v>
      </c>
      <c r="N258" s="23">
        <v>0</v>
      </c>
      <c r="O258" s="23">
        <v>0</v>
      </c>
      <c r="P258" s="23">
        <f>Tabela1[[#This Row],[1QZ DE MARÇO 26]]-Tabela1[[#This Row],[SALDO PENDENTE COM CX REPR.]]-Tabela1[[#This Row],[SALDO CARTAO]]-Tabela1[[#This Row],[ADIANTAMENTO]]</f>
        <v>57.000000000000227</v>
      </c>
      <c r="Q258" s="23">
        <f>Tabela1[[#This Row],[1QZ DE MARÇO 26]]-Tabela1[[#This Row],[SALDO PENDENTE SEM CX REPR.]]-Tabela1[[#This Row],[SALDO CARTAO]]-Tabela1[[#This Row],[ADIANTAMENTO]]</f>
        <v>-2223</v>
      </c>
      <c r="R258" s="23">
        <v>0</v>
      </c>
      <c r="S258" s="40">
        <f>IF(Tabela1[[#This Row],[CARGA PARCIAL]]&lt;0,0,Tabela1[[#This Row],[CARGA PARCIAL]]+Tabela1[[#This Row],[REEMBOLSO]])</f>
        <v>57.000000000000227</v>
      </c>
      <c r="T258" s="40">
        <f>IF(Tabela1[[#This Row],[CARGA PARCIAL SEM CX REPROV.]]&lt;0,0,Tabela1[[#This Row],[CARGA PARCIAL]]+Tabela1[[#This Row],[REEMBOLSO]])</f>
        <v>0</v>
      </c>
      <c r="U258" s="24" t="s">
        <v>22</v>
      </c>
      <c r="V258" s="24"/>
    </row>
    <row r="259" spans="2:22" x14ac:dyDescent="0.25">
      <c r="B259" s="37" t="s">
        <v>932</v>
      </c>
      <c r="C259" s="32" t="s">
        <v>420</v>
      </c>
      <c r="D259" s="33" t="s">
        <v>18</v>
      </c>
      <c r="E259" s="33" t="s">
        <v>99</v>
      </c>
      <c r="F259" s="33">
        <v>11040040001</v>
      </c>
      <c r="G259" s="33" t="s">
        <v>25</v>
      </c>
      <c r="H259" s="22" t="s">
        <v>21</v>
      </c>
      <c r="I259" s="23">
        <v>0</v>
      </c>
      <c r="J259" s="23">
        <v>697.43999999999869</v>
      </c>
      <c r="K259" s="23">
        <v>0</v>
      </c>
      <c r="L259" s="23">
        <v>608.96999999999844</v>
      </c>
      <c r="M259" s="23">
        <v>1500</v>
      </c>
      <c r="N259" s="23">
        <v>0</v>
      </c>
      <c r="O259" s="23">
        <v>0</v>
      </c>
      <c r="P259" s="23">
        <f>Tabela1[[#This Row],[1QZ DE MARÇO 26]]-Tabela1[[#This Row],[SALDO PENDENTE COM CX REPR.]]-Tabela1[[#This Row],[SALDO CARTAO]]-Tabela1[[#This Row],[ADIANTAMENTO]]</f>
        <v>802.56000000000131</v>
      </c>
      <c r="Q259" s="23">
        <f>Tabela1[[#This Row],[1QZ DE MARÇO 26]]-Tabela1[[#This Row],[SALDO PENDENTE SEM CX REPR.]]-Tabela1[[#This Row],[SALDO CARTAO]]-Tabela1[[#This Row],[ADIANTAMENTO]]</f>
        <v>891.03000000000156</v>
      </c>
      <c r="R259" s="23">
        <v>0</v>
      </c>
      <c r="S259" s="40">
        <f>IF(Tabela1[[#This Row],[CARGA PARCIAL]]&lt;0,0,Tabela1[[#This Row],[CARGA PARCIAL]]+Tabela1[[#This Row],[REEMBOLSO]])</f>
        <v>802.56000000000131</v>
      </c>
      <c r="T259" s="40">
        <f>IF(Tabela1[[#This Row],[CARGA PARCIAL SEM CX REPROV.]]&lt;0,0,Tabela1[[#This Row],[CARGA PARCIAL]]+Tabela1[[#This Row],[REEMBOLSO]])</f>
        <v>802.56000000000131</v>
      </c>
      <c r="U259" s="24" t="s">
        <v>22</v>
      </c>
      <c r="V259" s="24"/>
    </row>
    <row r="260" spans="2:22" x14ac:dyDescent="0.25">
      <c r="B260" s="33" t="s">
        <v>933</v>
      </c>
      <c r="C260" s="33" t="s">
        <v>201</v>
      </c>
      <c r="D260" s="33" t="s">
        <v>18</v>
      </c>
      <c r="E260" s="33" t="s">
        <v>202</v>
      </c>
      <c r="F260" s="33">
        <v>11010370001</v>
      </c>
      <c r="G260" s="33" t="s">
        <v>42</v>
      </c>
      <c r="H260" s="22" t="s">
        <v>39</v>
      </c>
      <c r="I260" s="23">
        <v>-12.55000000000091</v>
      </c>
      <c r="J260" s="23">
        <v>0</v>
      </c>
      <c r="K260" s="23">
        <v>0</v>
      </c>
      <c r="L260" s="23">
        <v>418.14000000000124</v>
      </c>
      <c r="M260" s="23">
        <v>1000</v>
      </c>
      <c r="N260" s="23">
        <v>1</v>
      </c>
      <c r="O260" s="23">
        <v>0</v>
      </c>
      <c r="P260" s="23">
        <f>Tabela1[[#This Row],[1QZ DE MARÇO 26]]-Tabela1[[#This Row],[SALDO PENDENTE COM CX REPR.]]-Tabela1[[#This Row],[SALDO CARTAO]]-Tabela1[[#This Row],[ADIANTAMENTO]]</f>
        <v>999</v>
      </c>
      <c r="Q260" s="23">
        <f>Tabela1[[#This Row],[1QZ DE MARÇO 26]]-Tabela1[[#This Row],[SALDO PENDENTE SEM CX REPR.]]-Tabela1[[#This Row],[SALDO CARTAO]]-Tabela1[[#This Row],[ADIANTAMENTO]]</f>
        <v>580.85999999999876</v>
      </c>
      <c r="R260" s="23">
        <v>0</v>
      </c>
      <c r="S260" s="40">
        <f>IF(Tabela1[[#This Row],[CARGA PARCIAL]]&lt;0,0,Tabela1[[#This Row],[CARGA PARCIAL]]+Tabela1[[#This Row],[REEMBOLSO]])</f>
        <v>999</v>
      </c>
      <c r="T260" s="40">
        <f>IF(Tabela1[[#This Row],[CARGA PARCIAL SEM CX REPROV.]]&lt;0,0,Tabela1[[#This Row],[CARGA PARCIAL]]+Tabela1[[#This Row],[REEMBOLSO]])</f>
        <v>999</v>
      </c>
      <c r="U260" s="24" t="s">
        <v>22</v>
      </c>
      <c r="V260" s="24"/>
    </row>
    <row r="261" spans="2:22" hidden="1" x14ac:dyDescent="0.25">
      <c r="B261" s="33" t="s">
        <v>934</v>
      </c>
      <c r="C261" s="33" t="s">
        <v>382</v>
      </c>
      <c r="D261" s="33" t="s">
        <v>18</v>
      </c>
      <c r="E261" s="33" t="s">
        <v>44</v>
      </c>
      <c r="F261" s="33">
        <v>1104150001</v>
      </c>
      <c r="G261" s="33" t="s">
        <v>45</v>
      </c>
      <c r="H261" s="33" t="s">
        <v>39</v>
      </c>
      <c r="I261" s="23">
        <v>-11.260000000000218</v>
      </c>
      <c r="J261" s="23">
        <v>0</v>
      </c>
      <c r="K261" s="23">
        <v>0</v>
      </c>
      <c r="L261" s="23">
        <v>157.88</v>
      </c>
      <c r="M261" s="23">
        <v>0</v>
      </c>
      <c r="N261" s="23">
        <v>0</v>
      </c>
      <c r="O261" s="23">
        <v>0</v>
      </c>
      <c r="P261" s="23">
        <f>Tabela1[[#This Row],[1QZ DE MARÇO 26]]-Tabela1[[#This Row],[SALDO PENDENTE COM CX REPR.]]-Tabela1[[#This Row],[SALDO CARTAO]]-Tabela1[[#This Row],[ADIANTAMENTO]]</f>
        <v>0</v>
      </c>
      <c r="Q261" s="23">
        <f>Tabela1[[#This Row],[1QZ DE MARÇO 26]]-Tabela1[[#This Row],[SALDO PENDENTE SEM CX REPR.]]-Tabela1[[#This Row],[SALDO CARTAO]]-Tabela1[[#This Row],[ADIANTAMENTO]]</f>
        <v>-157.88</v>
      </c>
      <c r="R261" s="23">
        <v>0</v>
      </c>
      <c r="S261" s="40">
        <f>IF(Tabela1[[#This Row],[CARGA PARCIAL]]&lt;0,0,Tabela1[[#This Row],[CARGA PARCIAL]]+Tabela1[[#This Row],[REEMBOLSO]])</f>
        <v>0</v>
      </c>
      <c r="T261" s="40">
        <f>IF(Tabela1[[#This Row],[CARGA PARCIAL SEM CX REPROV.]]&lt;0,0,Tabela1[[#This Row],[CARGA PARCIAL]]+Tabela1[[#This Row],[REEMBOLSO]])</f>
        <v>0</v>
      </c>
      <c r="U261" s="24" t="s">
        <v>22</v>
      </c>
      <c r="V261" s="24"/>
    </row>
    <row r="262" spans="2:22" hidden="1" x14ac:dyDescent="0.25">
      <c r="B262" s="33" t="s">
        <v>935</v>
      </c>
      <c r="C262" s="33" t="s">
        <v>522</v>
      </c>
      <c r="D262" s="33" t="s">
        <v>18</v>
      </c>
      <c r="E262" s="33" t="s">
        <v>283</v>
      </c>
      <c r="F262" s="33">
        <v>11040140001</v>
      </c>
      <c r="G262" s="33" t="s">
        <v>45</v>
      </c>
      <c r="H262" s="22" t="s">
        <v>39</v>
      </c>
      <c r="I262" s="23">
        <v>0</v>
      </c>
      <c r="J262" s="23">
        <v>100</v>
      </c>
      <c r="K262" s="23">
        <v>0</v>
      </c>
      <c r="L262" s="23">
        <v>5375.83</v>
      </c>
      <c r="M262" s="23">
        <v>50</v>
      </c>
      <c r="N262" s="23">
        <v>11</v>
      </c>
      <c r="O262" s="23">
        <v>0</v>
      </c>
      <c r="P262" s="23">
        <f>Tabela1[[#This Row],[1QZ DE MARÇO 26]]-Tabela1[[#This Row],[SALDO PENDENTE COM CX REPR.]]-Tabela1[[#This Row],[SALDO CARTAO]]-Tabela1[[#This Row],[ADIANTAMENTO]]</f>
        <v>-61</v>
      </c>
      <c r="Q262" s="23">
        <f>Tabela1[[#This Row],[1QZ DE MARÇO 26]]-Tabela1[[#This Row],[SALDO PENDENTE SEM CX REPR.]]-Tabela1[[#This Row],[SALDO CARTAO]]-Tabela1[[#This Row],[ADIANTAMENTO]]</f>
        <v>-5336.83</v>
      </c>
      <c r="R262" s="23">
        <v>0</v>
      </c>
      <c r="S262" s="40">
        <f>IF(Tabela1[[#This Row],[CARGA PARCIAL]]&lt;0,0,Tabela1[[#This Row],[CARGA PARCIAL]]+Tabela1[[#This Row],[REEMBOLSO]])</f>
        <v>0</v>
      </c>
      <c r="T262" s="40">
        <f>IF(Tabela1[[#This Row],[CARGA PARCIAL SEM CX REPROV.]]&lt;0,0,Tabela1[[#This Row],[CARGA PARCIAL]]+Tabela1[[#This Row],[REEMBOLSO]])</f>
        <v>0</v>
      </c>
      <c r="U262" s="24" t="s">
        <v>22</v>
      </c>
      <c r="V262" s="24"/>
    </row>
    <row r="263" spans="2:22" hidden="1" x14ac:dyDescent="0.25">
      <c r="B263" s="37" t="s">
        <v>936</v>
      </c>
      <c r="C263" s="32" t="s">
        <v>330</v>
      </c>
      <c r="D263" s="33" t="s">
        <v>18</v>
      </c>
      <c r="E263" s="33" t="s">
        <v>283</v>
      </c>
      <c r="F263" s="33">
        <v>11040140001</v>
      </c>
      <c r="G263" s="33" t="s">
        <v>45</v>
      </c>
      <c r="H263" s="22" t="s">
        <v>39</v>
      </c>
      <c r="I263" s="23">
        <v>0</v>
      </c>
      <c r="J263" s="23">
        <v>103.20000000000005</v>
      </c>
      <c r="K263" s="23">
        <v>0</v>
      </c>
      <c r="L263" s="23">
        <v>45</v>
      </c>
      <c r="M263" s="23">
        <v>100</v>
      </c>
      <c r="N263" s="23">
        <v>5.55</v>
      </c>
      <c r="O263" s="23">
        <v>0</v>
      </c>
      <c r="P263" s="23">
        <f>Tabela1[[#This Row],[1QZ DE MARÇO 26]]-Tabela1[[#This Row],[SALDO PENDENTE COM CX REPR.]]-Tabela1[[#This Row],[SALDO CARTAO]]-Tabela1[[#This Row],[ADIANTAMENTO]]</f>
        <v>-8.7500000000000462</v>
      </c>
      <c r="Q263" s="23">
        <f>Tabela1[[#This Row],[1QZ DE MARÇO 26]]-Tabela1[[#This Row],[SALDO PENDENTE SEM CX REPR.]]-Tabela1[[#This Row],[SALDO CARTAO]]-Tabela1[[#This Row],[ADIANTAMENTO]]</f>
        <v>49.45</v>
      </c>
      <c r="R263" s="23">
        <v>0</v>
      </c>
      <c r="S263" s="40">
        <f>IF(Tabela1[[#This Row],[CARGA PARCIAL]]&lt;0,0,Tabela1[[#This Row],[CARGA PARCIAL]]+Tabela1[[#This Row],[REEMBOLSO]])</f>
        <v>0</v>
      </c>
      <c r="T263" s="40">
        <f>IF(Tabela1[[#This Row],[CARGA PARCIAL SEM CX REPROV.]]&lt;0,0,Tabela1[[#This Row],[CARGA PARCIAL]]+Tabela1[[#This Row],[REEMBOLSO]])</f>
        <v>-8.7500000000000462</v>
      </c>
      <c r="U263" s="24" t="s">
        <v>22</v>
      </c>
      <c r="V263" s="24"/>
    </row>
    <row r="264" spans="2:22" hidden="1" x14ac:dyDescent="0.25">
      <c r="B264" s="33" t="s">
        <v>937</v>
      </c>
      <c r="C264" s="33" t="s">
        <v>440</v>
      </c>
      <c r="D264" s="33" t="s">
        <v>18</v>
      </c>
      <c r="E264" s="33" t="s">
        <v>101</v>
      </c>
      <c r="F264" s="33">
        <v>11061490001</v>
      </c>
      <c r="G264" s="33" t="s">
        <v>20</v>
      </c>
      <c r="H264" s="33" t="s">
        <v>21</v>
      </c>
      <c r="I264" s="23">
        <v>0</v>
      </c>
      <c r="J264" s="23">
        <v>1000</v>
      </c>
      <c r="K264" s="23">
        <v>0</v>
      </c>
      <c r="L264" s="23">
        <v>199.04000000000019</v>
      </c>
      <c r="M264" s="23">
        <v>1000</v>
      </c>
      <c r="N264" s="23">
        <v>0</v>
      </c>
      <c r="O264" s="23">
        <v>0</v>
      </c>
      <c r="P264" s="23">
        <f>Tabela1[[#This Row],[1QZ DE MARÇO 26]]-Tabela1[[#This Row],[SALDO PENDENTE COM CX REPR.]]-Tabela1[[#This Row],[SALDO CARTAO]]-Tabela1[[#This Row],[ADIANTAMENTO]]</f>
        <v>0</v>
      </c>
      <c r="Q264" s="23">
        <f>Tabela1[[#This Row],[1QZ DE MARÇO 26]]-Tabela1[[#This Row],[SALDO PENDENTE SEM CX REPR.]]-Tabela1[[#This Row],[SALDO CARTAO]]-Tabela1[[#This Row],[ADIANTAMENTO]]</f>
        <v>800.95999999999981</v>
      </c>
      <c r="R264" s="23">
        <v>0</v>
      </c>
      <c r="S264" s="40">
        <f>IF(Tabela1[[#This Row],[CARGA PARCIAL]]&lt;0,0,Tabela1[[#This Row],[CARGA PARCIAL]]+Tabela1[[#This Row],[REEMBOLSO]])</f>
        <v>0</v>
      </c>
      <c r="T264" s="40">
        <f>IF(Tabela1[[#This Row],[CARGA PARCIAL SEM CX REPROV.]]&lt;0,0,Tabela1[[#This Row],[CARGA PARCIAL]]+Tabela1[[#This Row],[REEMBOLSO]])</f>
        <v>0</v>
      </c>
      <c r="U264" s="24" t="s">
        <v>22</v>
      </c>
      <c r="V264" s="24"/>
    </row>
    <row r="265" spans="2:22" hidden="1" x14ac:dyDescent="0.25">
      <c r="B265" s="33" t="s">
        <v>938</v>
      </c>
      <c r="C265" s="33" t="s">
        <v>472</v>
      </c>
      <c r="D265" s="33" t="s">
        <v>18</v>
      </c>
      <c r="E265" s="33" t="s">
        <v>473</v>
      </c>
      <c r="F265" s="33">
        <v>11080200001</v>
      </c>
      <c r="G265" s="33" t="s">
        <v>20</v>
      </c>
      <c r="H265" s="22" t="s">
        <v>21</v>
      </c>
      <c r="I265" s="23">
        <v>0</v>
      </c>
      <c r="J265" s="23">
        <v>724.77999999999975</v>
      </c>
      <c r="K265" s="23">
        <v>0</v>
      </c>
      <c r="L265" s="23">
        <v>292.08000000000038</v>
      </c>
      <c r="M265" s="23">
        <v>500</v>
      </c>
      <c r="N265" s="23">
        <v>0</v>
      </c>
      <c r="O265" s="23">
        <v>0</v>
      </c>
      <c r="P265" s="23">
        <f>Tabela1[[#This Row],[1QZ DE MARÇO 26]]-Tabela1[[#This Row],[SALDO PENDENTE COM CX REPR.]]-Tabela1[[#This Row],[SALDO CARTAO]]-Tabela1[[#This Row],[ADIANTAMENTO]]</f>
        <v>-224.77999999999975</v>
      </c>
      <c r="Q265" s="23">
        <f>Tabela1[[#This Row],[1QZ DE MARÇO 26]]-Tabela1[[#This Row],[SALDO PENDENTE SEM CX REPR.]]-Tabela1[[#This Row],[SALDO CARTAO]]-Tabela1[[#This Row],[ADIANTAMENTO]]</f>
        <v>207.91999999999962</v>
      </c>
      <c r="R265" s="23">
        <v>0</v>
      </c>
      <c r="S265" s="40">
        <f>IF(Tabela1[[#This Row],[CARGA PARCIAL]]&lt;0,0,Tabela1[[#This Row],[CARGA PARCIAL]]+Tabela1[[#This Row],[REEMBOLSO]])</f>
        <v>0</v>
      </c>
      <c r="T265" s="40">
        <f>IF(Tabela1[[#This Row],[CARGA PARCIAL SEM CX REPROV.]]&lt;0,0,Tabela1[[#This Row],[CARGA PARCIAL]]+Tabela1[[#This Row],[REEMBOLSO]])</f>
        <v>-224.77999999999975</v>
      </c>
      <c r="U265" s="24" t="s">
        <v>22</v>
      </c>
      <c r="V265" s="24"/>
    </row>
    <row r="266" spans="2:22" x14ac:dyDescent="0.25">
      <c r="B266" s="31" t="s">
        <v>714</v>
      </c>
      <c r="C266" s="32" t="s">
        <v>493</v>
      </c>
      <c r="D266" s="33" t="s">
        <v>18</v>
      </c>
      <c r="E266" s="33" t="s">
        <v>132</v>
      </c>
      <c r="F266" s="33">
        <v>11061820001</v>
      </c>
      <c r="G266" s="33" t="s">
        <v>54</v>
      </c>
      <c r="H266" s="22" t="s">
        <v>39</v>
      </c>
      <c r="I266" s="23">
        <v>-363.92000000000024</v>
      </c>
      <c r="J266" s="23">
        <v>0</v>
      </c>
      <c r="K266" s="23">
        <v>0</v>
      </c>
      <c r="L266" s="23">
        <v>80</v>
      </c>
      <c r="M266" s="23">
        <v>500</v>
      </c>
      <c r="N266" s="23">
        <v>3.95</v>
      </c>
      <c r="O266" s="23">
        <v>0</v>
      </c>
      <c r="P266" s="23">
        <f>Tabela1[[#This Row],[1QZ DE MARÇO 26]]-Tabela1[[#This Row],[SALDO PENDENTE COM CX REPR.]]-Tabela1[[#This Row],[SALDO CARTAO]]-Tabela1[[#This Row],[ADIANTAMENTO]]</f>
        <v>496.05</v>
      </c>
      <c r="Q266" s="23">
        <f>Tabela1[[#This Row],[1QZ DE MARÇO 26]]-Tabela1[[#This Row],[SALDO PENDENTE SEM CX REPR.]]-Tabela1[[#This Row],[SALDO CARTAO]]-Tabela1[[#This Row],[ADIANTAMENTO]]</f>
        <v>416.05</v>
      </c>
      <c r="R266" s="23">
        <v>363.92000000000024</v>
      </c>
      <c r="S266" s="40">
        <f>IF(Tabela1[[#This Row],[CARGA PARCIAL]]&lt;0,0,Tabela1[[#This Row],[CARGA PARCIAL]]+Tabela1[[#This Row],[REEMBOLSO]])</f>
        <v>859.97000000000025</v>
      </c>
      <c r="T266" s="40">
        <f>IF(Tabela1[[#This Row],[CARGA PARCIAL SEM CX REPROV.]]&lt;0,0,Tabela1[[#This Row],[CARGA PARCIAL]]+Tabela1[[#This Row],[REEMBOLSO]])</f>
        <v>859.97000000000025</v>
      </c>
      <c r="U266" s="24" t="s">
        <v>22</v>
      </c>
      <c r="V266" s="24"/>
    </row>
    <row r="267" spans="2:22" hidden="1" x14ac:dyDescent="0.25">
      <c r="B267" s="33" t="s">
        <v>940</v>
      </c>
      <c r="C267" s="33" t="s">
        <v>120</v>
      </c>
      <c r="D267" s="33" t="s">
        <v>18</v>
      </c>
      <c r="E267" s="33" t="s">
        <v>121</v>
      </c>
      <c r="F267" s="33">
        <v>1201020</v>
      </c>
      <c r="G267" s="33" t="s">
        <v>122</v>
      </c>
      <c r="H267" s="33" t="s">
        <v>123</v>
      </c>
      <c r="I267" s="23">
        <v>0</v>
      </c>
      <c r="J267" s="23">
        <v>1849.2499999999998</v>
      </c>
      <c r="K267" s="23">
        <v>-0.4099999999955628</v>
      </c>
      <c r="L267" s="23">
        <v>0</v>
      </c>
      <c r="M267" s="23">
        <v>1500</v>
      </c>
      <c r="N267" s="23">
        <v>0</v>
      </c>
      <c r="O267" s="23">
        <v>1500</v>
      </c>
      <c r="P267" s="23">
        <f>Tabela1[[#This Row],[1QZ DE MARÇO 26]]-Tabela1[[#This Row],[SALDO PENDENTE COM CX REPR.]]-Tabela1[[#This Row],[SALDO CARTAO]]-Tabela1[[#This Row],[ADIANTAMENTO]]</f>
        <v>-1849.2499999999998</v>
      </c>
      <c r="Q267" s="23">
        <f>Tabela1[[#This Row],[1QZ DE MARÇO 26]]-Tabela1[[#This Row],[SALDO PENDENTE SEM CX REPR.]]-Tabela1[[#This Row],[SALDO CARTAO]]-Tabela1[[#This Row],[ADIANTAMENTO]]</f>
        <v>0</v>
      </c>
      <c r="R267" s="23">
        <v>0</v>
      </c>
      <c r="S267" s="40">
        <f>IF(Tabela1[[#This Row],[CARGA PARCIAL]]&lt;0,0,Tabela1[[#This Row],[CARGA PARCIAL]]+Tabela1[[#This Row],[REEMBOLSO]])</f>
        <v>0</v>
      </c>
      <c r="T267" s="40">
        <f>IF(Tabela1[[#This Row],[CARGA PARCIAL SEM CX REPROV.]]&lt;0,0,Tabela1[[#This Row],[CARGA PARCIAL]]+Tabela1[[#This Row],[REEMBOLSO]])</f>
        <v>-1849.2499999999998</v>
      </c>
      <c r="U267" s="24" t="s">
        <v>22</v>
      </c>
      <c r="V267" s="24"/>
    </row>
    <row r="268" spans="2:22" hidden="1" x14ac:dyDescent="0.25">
      <c r="B268" s="31" t="s">
        <v>941</v>
      </c>
      <c r="C268" s="32" t="s">
        <v>378</v>
      </c>
      <c r="D268" s="33" t="s">
        <v>18</v>
      </c>
      <c r="E268" s="33" t="s">
        <v>379</v>
      </c>
      <c r="F268" s="33">
        <v>11062820001</v>
      </c>
      <c r="G268" s="33" t="s">
        <v>380</v>
      </c>
      <c r="H268" s="22" t="s">
        <v>123</v>
      </c>
      <c r="I268" s="23">
        <v>0</v>
      </c>
      <c r="J268" s="23">
        <v>37.570000000000164</v>
      </c>
      <c r="K268" s="23">
        <v>-15.799999999999955</v>
      </c>
      <c r="L268" s="23">
        <v>0</v>
      </c>
      <c r="M268" s="23">
        <v>0</v>
      </c>
      <c r="N268" s="23">
        <v>0</v>
      </c>
      <c r="O268" s="23">
        <v>0</v>
      </c>
      <c r="P268" s="23">
        <f>Tabela1[[#This Row],[1QZ DE MARÇO 26]]-Tabela1[[#This Row],[SALDO PENDENTE COM CX REPR.]]-Tabela1[[#This Row],[SALDO CARTAO]]-Tabela1[[#This Row],[ADIANTAMENTO]]</f>
        <v>-37.570000000000164</v>
      </c>
      <c r="Q268" s="23">
        <f>Tabela1[[#This Row],[1QZ DE MARÇO 26]]-Tabela1[[#This Row],[SALDO PENDENTE SEM CX REPR.]]-Tabela1[[#This Row],[SALDO CARTAO]]-Tabela1[[#This Row],[ADIANTAMENTO]]</f>
        <v>0</v>
      </c>
      <c r="R268" s="23">
        <v>0</v>
      </c>
      <c r="S268" s="40">
        <f>IF(Tabela1[[#This Row],[CARGA PARCIAL]]&lt;0,0,Tabela1[[#This Row],[CARGA PARCIAL]]+Tabela1[[#This Row],[REEMBOLSO]])</f>
        <v>0</v>
      </c>
      <c r="T268" s="40">
        <f>IF(Tabela1[[#This Row],[CARGA PARCIAL SEM CX REPROV.]]&lt;0,0,Tabela1[[#This Row],[CARGA PARCIAL]]+Tabela1[[#This Row],[REEMBOLSO]])</f>
        <v>-37.570000000000164</v>
      </c>
      <c r="U268" s="24" t="s">
        <v>22</v>
      </c>
      <c r="V268" s="24"/>
    </row>
    <row r="269" spans="2:22" hidden="1" x14ac:dyDescent="0.25">
      <c r="B269" s="33" t="s">
        <v>942</v>
      </c>
      <c r="C269" s="33" t="s">
        <v>662</v>
      </c>
      <c r="D269" s="33" t="s">
        <v>18</v>
      </c>
      <c r="E269" s="33" t="s">
        <v>532</v>
      </c>
      <c r="F269" s="33">
        <v>11063050001</v>
      </c>
      <c r="G269" s="33" t="s">
        <v>54</v>
      </c>
      <c r="H269" s="22" t="s">
        <v>39</v>
      </c>
      <c r="I269" s="23">
        <v>0</v>
      </c>
      <c r="J269" s="23">
        <v>734</v>
      </c>
      <c r="K269" s="23">
        <v>0</v>
      </c>
      <c r="L269" s="23">
        <v>0</v>
      </c>
      <c r="M269" s="23">
        <v>0</v>
      </c>
      <c r="N269" s="23">
        <v>89.52</v>
      </c>
      <c r="O269" s="23">
        <v>0</v>
      </c>
      <c r="P269" s="23">
        <f>Tabela1[[#This Row],[1QZ DE MARÇO 26]]-Tabela1[[#This Row],[SALDO PENDENTE COM CX REPR.]]-Tabela1[[#This Row],[SALDO CARTAO]]-Tabela1[[#This Row],[ADIANTAMENTO]]</f>
        <v>-823.52</v>
      </c>
      <c r="Q269" s="23">
        <f>Tabela1[[#This Row],[1QZ DE MARÇO 26]]-Tabela1[[#This Row],[SALDO PENDENTE SEM CX REPR.]]-Tabela1[[#This Row],[SALDO CARTAO]]-Tabela1[[#This Row],[ADIANTAMENTO]]</f>
        <v>-89.52</v>
      </c>
      <c r="R269" s="23">
        <v>0</v>
      </c>
      <c r="S269" s="40">
        <f>IF(Tabela1[[#This Row],[CARGA PARCIAL]]&lt;0,0,Tabela1[[#This Row],[CARGA PARCIAL]]+Tabela1[[#This Row],[REEMBOLSO]])</f>
        <v>0</v>
      </c>
      <c r="T269" s="40">
        <f>IF(Tabela1[[#This Row],[CARGA PARCIAL SEM CX REPROV.]]&lt;0,0,Tabela1[[#This Row],[CARGA PARCIAL]]+Tabela1[[#This Row],[REEMBOLSO]])</f>
        <v>0</v>
      </c>
      <c r="U269" s="27" t="s">
        <v>22</v>
      </c>
      <c r="V269" s="24"/>
    </row>
    <row r="270" spans="2:22" hidden="1" x14ac:dyDescent="0.25">
      <c r="B270" s="39" t="s">
        <v>943</v>
      </c>
      <c r="C270" s="36" t="s">
        <v>518</v>
      </c>
      <c r="D270" s="34" t="s">
        <v>18</v>
      </c>
      <c r="E270" s="33" t="s">
        <v>283</v>
      </c>
      <c r="F270" s="33">
        <v>11040140001</v>
      </c>
      <c r="G270" s="33" t="s">
        <v>45</v>
      </c>
      <c r="H270" s="22" t="s">
        <v>39</v>
      </c>
      <c r="I270" s="23">
        <v>0</v>
      </c>
      <c r="J270" s="23">
        <v>100</v>
      </c>
      <c r="K270" s="23">
        <v>0</v>
      </c>
      <c r="L270" s="23">
        <v>0</v>
      </c>
      <c r="M270" s="23">
        <v>100</v>
      </c>
      <c r="N270" s="23">
        <v>912.95</v>
      </c>
      <c r="O270" s="23">
        <v>0</v>
      </c>
      <c r="P270" s="23">
        <f>Tabela1[[#This Row],[1QZ DE MARÇO 26]]-Tabela1[[#This Row],[SALDO PENDENTE COM CX REPR.]]-Tabela1[[#This Row],[SALDO CARTAO]]-Tabela1[[#This Row],[ADIANTAMENTO]]</f>
        <v>-912.95</v>
      </c>
      <c r="Q270" s="23">
        <f>Tabela1[[#This Row],[1QZ DE MARÇO 26]]-Tabela1[[#This Row],[SALDO PENDENTE SEM CX REPR.]]-Tabela1[[#This Row],[SALDO CARTAO]]-Tabela1[[#This Row],[ADIANTAMENTO]]</f>
        <v>-812.95</v>
      </c>
      <c r="R270" s="23">
        <v>0</v>
      </c>
      <c r="S270" s="40">
        <f>IF(Tabela1[[#This Row],[CARGA PARCIAL]]&lt;0,0,Tabela1[[#This Row],[CARGA PARCIAL]]+Tabela1[[#This Row],[REEMBOLSO]])</f>
        <v>0</v>
      </c>
      <c r="T270" s="40">
        <f>IF(Tabela1[[#This Row],[CARGA PARCIAL SEM CX REPROV.]]&lt;0,0,Tabela1[[#This Row],[CARGA PARCIAL]]+Tabela1[[#This Row],[REEMBOLSO]])</f>
        <v>0</v>
      </c>
      <c r="U270" s="25" t="s">
        <v>22</v>
      </c>
      <c r="V270" s="26"/>
    </row>
    <row r="271" spans="2:22" hidden="1" x14ac:dyDescent="0.25">
      <c r="B271" s="37" t="s">
        <v>944</v>
      </c>
      <c r="C271" s="32" t="s">
        <v>446</v>
      </c>
      <c r="D271" s="33" t="s">
        <v>18</v>
      </c>
      <c r="E271" s="33" t="s">
        <v>134</v>
      </c>
      <c r="F271" s="33">
        <v>11061720001</v>
      </c>
      <c r="G271" s="33" t="s">
        <v>42</v>
      </c>
      <c r="H271" s="22" t="s">
        <v>39</v>
      </c>
      <c r="I271" s="23">
        <v>0</v>
      </c>
      <c r="J271" s="23">
        <v>886.00000000000023</v>
      </c>
      <c r="K271" s="23">
        <v>0</v>
      </c>
      <c r="L271" s="23">
        <v>329.40000000000032</v>
      </c>
      <c r="M271" s="23">
        <v>800</v>
      </c>
      <c r="N271" s="23"/>
      <c r="O271" s="23">
        <v>0</v>
      </c>
      <c r="P271" s="23">
        <f>Tabela1[[#This Row],[1QZ DE MARÇO 26]]-Tabela1[[#This Row],[SALDO PENDENTE COM CX REPR.]]-Tabela1[[#This Row],[SALDO CARTAO]]-Tabela1[[#This Row],[ADIANTAMENTO]]</f>
        <v>-86.000000000000227</v>
      </c>
      <c r="Q271" s="23">
        <f>Tabela1[[#This Row],[1QZ DE MARÇO 26]]-Tabela1[[#This Row],[SALDO PENDENTE SEM CX REPR.]]-Tabela1[[#This Row],[SALDO CARTAO]]-Tabela1[[#This Row],[ADIANTAMENTO]]</f>
        <v>470.59999999999968</v>
      </c>
      <c r="R271" s="23">
        <v>0</v>
      </c>
      <c r="S271" s="40">
        <f>IF(Tabela1[[#This Row],[CARGA PARCIAL]]&lt;0,0,Tabela1[[#This Row],[CARGA PARCIAL]]+Tabela1[[#This Row],[REEMBOLSO]])</f>
        <v>0</v>
      </c>
      <c r="T271" s="40">
        <f>IF(Tabela1[[#This Row],[CARGA PARCIAL SEM CX REPROV.]]&lt;0,0,Tabela1[[#This Row],[CARGA PARCIAL]]+Tabela1[[#This Row],[REEMBOLSO]])</f>
        <v>-86.000000000000227</v>
      </c>
      <c r="U271" s="24" t="s">
        <v>22</v>
      </c>
      <c r="V271" s="24"/>
    </row>
    <row r="272" spans="2:22" hidden="1" x14ac:dyDescent="0.25">
      <c r="B272" s="34" t="s">
        <v>945</v>
      </c>
      <c r="C272" s="34" t="s">
        <v>591</v>
      </c>
      <c r="D272" s="34" t="s">
        <v>18</v>
      </c>
      <c r="E272" s="33" t="s">
        <v>117</v>
      </c>
      <c r="F272" s="33">
        <v>11010180001</v>
      </c>
      <c r="G272" s="33" t="s">
        <v>42</v>
      </c>
      <c r="H272" s="22" t="s">
        <v>39</v>
      </c>
      <c r="I272" s="23">
        <v>0</v>
      </c>
      <c r="J272" s="23">
        <v>259.7</v>
      </c>
      <c r="K272" s="23">
        <v>0</v>
      </c>
      <c r="L272" s="23">
        <v>1918.5</v>
      </c>
      <c r="M272" s="23">
        <v>0</v>
      </c>
      <c r="N272" s="23">
        <v>0</v>
      </c>
      <c r="O272" s="23">
        <v>0</v>
      </c>
      <c r="P272" s="23">
        <f>Tabela1[[#This Row],[1QZ DE MARÇO 26]]-Tabela1[[#This Row],[SALDO PENDENTE COM CX REPR.]]-Tabela1[[#This Row],[SALDO CARTAO]]-Tabela1[[#This Row],[ADIANTAMENTO]]</f>
        <v>-259.7</v>
      </c>
      <c r="Q272" s="23">
        <f>Tabela1[[#This Row],[1QZ DE MARÇO 26]]-Tabela1[[#This Row],[SALDO PENDENTE SEM CX REPR.]]-Tabela1[[#This Row],[SALDO CARTAO]]-Tabela1[[#This Row],[ADIANTAMENTO]]</f>
        <v>-1918.5</v>
      </c>
      <c r="R272" s="23">
        <v>0</v>
      </c>
      <c r="S272" s="40">
        <f>IF(Tabela1[[#This Row],[CARGA PARCIAL]]&lt;0,0,Tabela1[[#This Row],[CARGA PARCIAL]]+Tabela1[[#This Row],[REEMBOLSO]])</f>
        <v>0</v>
      </c>
      <c r="T272" s="40">
        <f>IF(Tabela1[[#This Row],[CARGA PARCIAL SEM CX REPROV.]]&lt;0,0,Tabela1[[#This Row],[CARGA PARCIAL]]+Tabela1[[#This Row],[REEMBOLSO]])</f>
        <v>0</v>
      </c>
      <c r="U272" s="25" t="s">
        <v>22</v>
      </c>
      <c r="V272" s="26"/>
    </row>
    <row r="273" spans="2:22" x14ac:dyDescent="0.25">
      <c r="B273" s="31" t="s">
        <v>946</v>
      </c>
      <c r="C273" s="32" t="s">
        <v>288</v>
      </c>
      <c r="D273" s="33" t="s">
        <v>18</v>
      </c>
      <c r="E273" s="33" t="s">
        <v>47</v>
      </c>
      <c r="F273" s="33">
        <v>11030660001</v>
      </c>
      <c r="G273" s="33" t="s">
        <v>48</v>
      </c>
      <c r="H273" s="22" t="s">
        <v>35</v>
      </c>
      <c r="I273" s="23">
        <v>0</v>
      </c>
      <c r="J273" s="23">
        <v>550.36000000000058</v>
      </c>
      <c r="K273" s="23">
        <v>0</v>
      </c>
      <c r="L273" s="23">
        <v>269.99999999999977</v>
      </c>
      <c r="M273" s="23">
        <v>1000</v>
      </c>
      <c r="N273" s="23">
        <v>56.8</v>
      </c>
      <c r="O273" s="23">
        <v>0</v>
      </c>
      <c r="P273" s="23">
        <f>Tabela1[[#This Row],[1QZ DE MARÇO 26]]-Tabela1[[#This Row],[SALDO PENDENTE COM CX REPR.]]-Tabela1[[#This Row],[SALDO CARTAO]]-Tabela1[[#This Row],[ADIANTAMENTO]]</f>
        <v>392.83999999999941</v>
      </c>
      <c r="Q273" s="23">
        <f>Tabela1[[#This Row],[1QZ DE MARÇO 26]]-Tabela1[[#This Row],[SALDO PENDENTE SEM CX REPR.]]-Tabela1[[#This Row],[SALDO CARTAO]]-Tabela1[[#This Row],[ADIANTAMENTO]]</f>
        <v>673.20000000000027</v>
      </c>
      <c r="R273" s="23">
        <v>0</v>
      </c>
      <c r="S273" s="40">
        <f>IF(Tabela1[[#This Row],[CARGA PARCIAL]]&lt;0,0,Tabela1[[#This Row],[CARGA PARCIAL]]+Tabela1[[#This Row],[REEMBOLSO]])</f>
        <v>392.83999999999941</v>
      </c>
      <c r="T273" s="40">
        <f>IF(Tabela1[[#This Row],[CARGA PARCIAL SEM CX REPROV.]]&lt;0,0,Tabela1[[#This Row],[CARGA PARCIAL]]+Tabela1[[#This Row],[REEMBOLSO]])</f>
        <v>392.83999999999941</v>
      </c>
      <c r="U273" s="24" t="s">
        <v>22</v>
      </c>
      <c r="V273" s="24"/>
    </row>
    <row r="274" spans="2:22" x14ac:dyDescent="0.25">
      <c r="B274" s="34" t="s">
        <v>947</v>
      </c>
      <c r="C274" s="34" t="s">
        <v>415</v>
      </c>
      <c r="D274" s="34" t="s">
        <v>18</v>
      </c>
      <c r="E274" s="33" t="s">
        <v>59</v>
      </c>
      <c r="F274" s="33">
        <v>11080370001</v>
      </c>
      <c r="G274" s="33" t="s">
        <v>42</v>
      </c>
      <c r="H274" s="22" t="s">
        <v>39</v>
      </c>
      <c r="I274" s="23">
        <v>0</v>
      </c>
      <c r="J274" s="23">
        <v>6373.2800000000007</v>
      </c>
      <c r="K274" s="23">
        <v>0</v>
      </c>
      <c r="L274" s="23">
        <v>0</v>
      </c>
      <c r="M274" s="23">
        <v>7000</v>
      </c>
      <c r="N274" s="23"/>
      <c r="O274" s="23">
        <v>0</v>
      </c>
      <c r="P274" s="23">
        <f>Tabela1[[#This Row],[1QZ DE MARÇO 26]]-Tabela1[[#This Row],[SALDO PENDENTE COM CX REPR.]]-Tabela1[[#This Row],[SALDO CARTAO]]-Tabela1[[#This Row],[ADIANTAMENTO]]</f>
        <v>626.71999999999935</v>
      </c>
      <c r="Q274" s="23">
        <f>Tabela1[[#This Row],[1QZ DE MARÇO 26]]-Tabela1[[#This Row],[SALDO PENDENTE SEM CX REPR.]]-Tabela1[[#This Row],[SALDO CARTAO]]-Tabela1[[#This Row],[ADIANTAMENTO]]</f>
        <v>7000</v>
      </c>
      <c r="R274" s="23">
        <v>0</v>
      </c>
      <c r="S274" s="40">
        <f>IF(Tabela1[[#This Row],[CARGA PARCIAL]]&lt;0,0,Tabela1[[#This Row],[CARGA PARCIAL]]+Tabela1[[#This Row],[REEMBOLSO]])</f>
        <v>626.71999999999935</v>
      </c>
      <c r="T274" s="40">
        <f>IF(Tabela1[[#This Row],[CARGA PARCIAL SEM CX REPROV.]]&lt;0,0,Tabela1[[#This Row],[CARGA PARCIAL]]+Tabela1[[#This Row],[REEMBOLSO]])</f>
        <v>626.71999999999935</v>
      </c>
      <c r="U274" s="25" t="s">
        <v>22</v>
      </c>
      <c r="V274" s="26"/>
    </row>
    <row r="275" spans="2:22" hidden="1" x14ac:dyDescent="0.25">
      <c r="B275" s="31" t="s">
        <v>948</v>
      </c>
      <c r="C275" s="32" t="s">
        <v>592</v>
      </c>
      <c r="D275" s="33" t="s">
        <v>18</v>
      </c>
      <c r="E275" s="33" t="s">
        <v>121</v>
      </c>
      <c r="F275" s="33">
        <v>1201020</v>
      </c>
      <c r="G275" s="33" t="s">
        <v>122</v>
      </c>
      <c r="H275" s="22" t="s">
        <v>123</v>
      </c>
      <c r="I275" s="23">
        <v>0</v>
      </c>
      <c r="J275" s="23">
        <v>1805.3200000000002</v>
      </c>
      <c r="K275" s="23">
        <v>0</v>
      </c>
      <c r="L275" s="23">
        <v>17.769999999999982</v>
      </c>
      <c r="M275" s="23">
        <v>0</v>
      </c>
      <c r="N275" s="23">
        <v>0</v>
      </c>
      <c r="O275" s="23">
        <v>0</v>
      </c>
      <c r="P275" s="23">
        <f>Tabela1[[#This Row],[1QZ DE MARÇO 26]]-Tabela1[[#This Row],[SALDO PENDENTE COM CX REPR.]]-Tabela1[[#This Row],[SALDO CARTAO]]-Tabela1[[#This Row],[ADIANTAMENTO]]</f>
        <v>-1805.3200000000002</v>
      </c>
      <c r="Q275" s="23">
        <f>Tabela1[[#This Row],[1QZ DE MARÇO 26]]-Tabela1[[#This Row],[SALDO PENDENTE SEM CX REPR.]]-Tabela1[[#This Row],[SALDO CARTAO]]-Tabela1[[#This Row],[ADIANTAMENTO]]</f>
        <v>-17.769999999999982</v>
      </c>
      <c r="R275" s="23">
        <v>0</v>
      </c>
      <c r="S275" s="40">
        <f>IF(Tabela1[[#This Row],[CARGA PARCIAL]]&lt;0,0,Tabela1[[#This Row],[CARGA PARCIAL]]+Tabela1[[#This Row],[REEMBOLSO]])</f>
        <v>0</v>
      </c>
      <c r="T275" s="40">
        <f>IF(Tabela1[[#This Row],[CARGA PARCIAL SEM CX REPROV.]]&lt;0,0,Tabela1[[#This Row],[CARGA PARCIAL]]+Tabela1[[#This Row],[REEMBOLSO]])</f>
        <v>0</v>
      </c>
      <c r="U275" s="24" t="s">
        <v>22</v>
      </c>
      <c r="V275" s="24"/>
    </row>
    <row r="276" spans="2:22" hidden="1" x14ac:dyDescent="0.25">
      <c r="B276" s="33" t="s">
        <v>949</v>
      </c>
      <c r="C276" s="33" t="s">
        <v>260</v>
      </c>
      <c r="D276" s="33" t="s">
        <v>18</v>
      </c>
      <c r="E276" s="33" t="s">
        <v>117</v>
      </c>
      <c r="F276" s="33">
        <v>11010180001</v>
      </c>
      <c r="G276" s="33" t="s">
        <v>42</v>
      </c>
      <c r="H276" s="33" t="s">
        <v>39</v>
      </c>
      <c r="I276" s="23">
        <v>0</v>
      </c>
      <c r="J276" s="23">
        <v>500.00000000000068</v>
      </c>
      <c r="K276" s="23">
        <v>-1597.4000000000378</v>
      </c>
      <c r="L276" s="23">
        <v>0</v>
      </c>
      <c r="M276" s="23">
        <v>500</v>
      </c>
      <c r="N276" s="23">
        <v>0</v>
      </c>
      <c r="O276" s="23">
        <v>0</v>
      </c>
      <c r="P276" s="23">
        <f>Tabela1[[#This Row],[1QZ DE MARÇO 26]]-Tabela1[[#This Row],[SALDO PENDENTE COM CX REPR.]]-Tabela1[[#This Row],[SALDO CARTAO]]-Tabela1[[#This Row],[ADIANTAMENTO]]</f>
        <v>-6.8212102632969618E-13</v>
      </c>
      <c r="Q276" s="23">
        <f>Tabela1[[#This Row],[1QZ DE MARÇO 26]]-Tabela1[[#This Row],[SALDO PENDENTE SEM CX REPR.]]-Tabela1[[#This Row],[SALDO CARTAO]]-Tabela1[[#This Row],[ADIANTAMENTO]]</f>
        <v>500</v>
      </c>
      <c r="R276" s="23">
        <v>0</v>
      </c>
      <c r="S276" s="40">
        <f>IF(Tabela1[[#This Row],[CARGA PARCIAL]]&lt;0,0,Tabela1[[#This Row],[CARGA PARCIAL]]+Tabela1[[#This Row],[REEMBOLSO]])</f>
        <v>0</v>
      </c>
      <c r="T276" s="40">
        <f>IF(Tabela1[[#This Row],[CARGA PARCIAL SEM CX REPROV.]]&lt;0,0,Tabela1[[#This Row],[CARGA PARCIAL]]+Tabela1[[#This Row],[REEMBOLSO]])</f>
        <v>-6.8212102632969618E-13</v>
      </c>
      <c r="U276" s="24" t="s">
        <v>22</v>
      </c>
      <c r="V276" s="24"/>
    </row>
    <row r="277" spans="2:22" hidden="1" x14ac:dyDescent="0.25">
      <c r="B277" s="33" t="s">
        <v>950</v>
      </c>
      <c r="C277" s="33" t="s">
        <v>663</v>
      </c>
      <c r="D277" s="33" t="s">
        <v>18</v>
      </c>
      <c r="E277" s="33" t="s">
        <v>134</v>
      </c>
      <c r="F277" s="33">
        <v>11061720001</v>
      </c>
      <c r="G277" s="33" t="s">
        <v>42</v>
      </c>
      <c r="H277" s="33" t="s">
        <v>39</v>
      </c>
      <c r="I277" s="23">
        <v>0</v>
      </c>
      <c r="J277" s="23">
        <v>600</v>
      </c>
      <c r="K277" s="23">
        <v>0</v>
      </c>
      <c r="L277" s="23">
        <v>4160.739999999988</v>
      </c>
      <c r="M277" s="23">
        <v>0</v>
      </c>
      <c r="N277" s="23">
        <v>0</v>
      </c>
      <c r="O277" s="23">
        <v>0</v>
      </c>
      <c r="P277" s="23">
        <f>Tabela1[[#This Row],[1QZ DE MARÇO 26]]-Tabela1[[#This Row],[SALDO PENDENTE COM CX REPR.]]-Tabela1[[#This Row],[SALDO CARTAO]]-Tabela1[[#This Row],[ADIANTAMENTO]]</f>
        <v>-600</v>
      </c>
      <c r="Q277" s="23">
        <f>Tabela1[[#This Row],[1QZ DE MARÇO 26]]-Tabela1[[#This Row],[SALDO PENDENTE SEM CX REPR.]]-Tabela1[[#This Row],[SALDO CARTAO]]-Tabela1[[#This Row],[ADIANTAMENTO]]</f>
        <v>-4160.739999999988</v>
      </c>
      <c r="R277" s="23">
        <v>0</v>
      </c>
      <c r="S277" s="40">
        <f>IF(Tabela1[[#This Row],[CARGA PARCIAL]]&lt;0,0,Tabela1[[#This Row],[CARGA PARCIAL]]+Tabela1[[#This Row],[REEMBOLSO]])</f>
        <v>0</v>
      </c>
      <c r="T277" s="40">
        <f>IF(Tabela1[[#This Row],[CARGA PARCIAL SEM CX REPROV.]]&lt;0,0,Tabela1[[#This Row],[CARGA PARCIAL]]+Tabela1[[#This Row],[REEMBOLSO]])</f>
        <v>0</v>
      </c>
      <c r="U277" s="24" t="s">
        <v>60</v>
      </c>
      <c r="V277" s="24"/>
    </row>
    <row r="278" spans="2:22" hidden="1" x14ac:dyDescent="0.25">
      <c r="B278" s="37" t="s">
        <v>951</v>
      </c>
      <c r="C278" s="32" t="s">
        <v>311</v>
      </c>
      <c r="D278" s="33" t="s">
        <v>18</v>
      </c>
      <c r="E278" s="33" t="s">
        <v>167</v>
      </c>
      <c r="F278" s="33">
        <v>11062280001</v>
      </c>
      <c r="G278" s="33" t="s">
        <v>38</v>
      </c>
      <c r="H278" s="22" t="s">
        <v>39</v>
      </c>
      <c r="I278" s="23">
        <v>0</v>
      </c>
      <c r="J278" s="23">
        <v>910.85999999999967</v>
      </c>
      <c r="K278" s="23">
        <v>0</v>
      </c>
      <c r="L278" s="23">
        <v>530.54000000000087</v>
      </c>
      <c r="M278" s="23">
        <v>0</v>
      </c>
      <c r="N278" s="23">
        <v>0</v>
      </c>
      <c r="O278" s="23">
        <v>0</v>
      </c>
      <c r="P278" s="23">
        <f>Tabela1[[#This Row],[1QZ DE MARÇO 26]]-Tabela1[[#This Row],[SALDO PENDENTE COM CX REPR.]]-Tabela1[[#This Row],[SALDO CARTAO]]-Tabela1[[#This Row],[ADIANTAMENTO]]</f>
        <v>-910.85999999999967</v>
      </c>
      <c r="Q278" s="23">
        <f>Tabela1[[#This Row],[1QZ DE MARÇO 26]]-Tabela1[[#This Row],[SALDO PENDENTE SEM CX REPR.]]-Tabela1[[#This Row],[SALDO CARTAO]]-Tabela1[[#This Row],[ADIANTAMENTO]]</f>
        <v>-530.54000000000087</v>
      </c>
      <c r="R278" s="23">
        <v>0</v>
      </c>
      <c r="S278" s="40">
        <f>IF(Tabela1[[#This Row],[CARGA PARCIAL]]&lt;0,0,Tabela1[[#This Row],[CARGA PARCIAL]]+Tabela1[[#This Row],[REEMBOLSO]])</f>
        <v>0</v>
      </c>
      <c r="T278" s="40">
        <f>IF(Tabela1[[#This Row],[CARGA PARCIAL SEM CX REPROV.]]&lt;0,0,Tabela1[[#This Row],[CARGA PARCIAL]]+Tabela1[[#This Row],[REEMBOLSO]])</f>
        <v>0</v>
      </c>
      <c r="U278" s="24" t="s">
        <v>22</v>
      </c>
      <c r="V278" s="24"/>
    </row>
    <row r="279" spans="2:22" x14ac:dyDescent="0.25">
      <c r="B279" s="33" t="s">
        <v>952</v>
      </c>
      <c r="C279" s="33" t="s">
        <v>519</v>
      </c>
      <c r="D279" s="33" t="s">
        <v>18</v>
      </c>
      <c r="E279" s="33" t="s">
        <v>283</v>
      </c>
      <c r="F279" s="33">
        <v>11040140001</v>
      </c>
      <c r="G279" s="33" t="s">
        <v>45</v>
      </c>
      <c r="H279" s="33" t="s">
        <v>39</v>
      </c>
      <c r="I279" s="23">
        <v>0</v>
      </c>
      <c r="J279" s="23">
        <v>0</v>
      </c>
      <c r="K279" s="23">
        <v>-0.8999999999996362</v>
      </c>
      <c r="L279" s="23">
        <v>0</v>
      </c>
      <c r="M279" s="23">
        <v>100</v>
      </c>
      <c r="N279" s="23"/>
      <c r="O279" s="23">
        <v>0</v>
      </c>
      <c r="P279" s="23">
        <f>Tabela1[[#This Row],[1QZ DE MARÇO 26]]-Tabela1[[#This Row],[SALDO PENDENTE COM CX REPR.]]-Tabela1[[#This Row],[SALDO CARTAO]]-Tabela1[[#This Row],[ADIANTAMENTO]]</f>
        <v>100</v>
      </c>
      <c r="Q279" s="23">
        <f>Tabela1[[#This Row],[1QZ DE MARÇO 26]]-Tabela1[[#This Row],[SALDO PENDENTE SEM CX REPR.]]-Tabela1[[#This Row],[SALDO CARTAO]]-Tabela1[[#This Row],[ADIANTAMENTO]]</f>
        <v>100</v>
      </c>
      <c r="R279" s="23">
        <v>0</v>
      </c>
      <c r="S279" s="40">
        <f>IF(Tabela1[[#This Row],[CARGA PARCIAL]]&lt;0,0,Tabela1[[#This Row],[CARGA PARCIAL]]+Tabela1[[#This Row],[REEMBOLSO]])</f>
        <v>100</v>
      </c>
      <c r="T279" s="40">
        <f>IF(Tabela1[[#This Row],[CARGA PARCIAL SEM CX REPROV.]]&lt;0,0,Tabela1[[#This Row],[CARGA PARCIAL]]+Tabela1[[#This Row],[REEMBOLSO]])</f>
        <v>100</v>
      </c>
      <c r="U279" s="24" t="s">
        <v>22</v>
      </c>
      <c r="V279" s="24"/>
    </row>
    <row r="280" spans="2:22" hidden="1" x14ac:dyDescent="0.25">
      <c r="B280" s="37" t="s">
        <v>953</v>
      </c>
      <c r="C280" s="32" t="s">
        <v>447</v>
      </c>
      <c r="D280" s="33" t="s">
        <v>18</v>
      </c>
      <c r="E280" s="33" t="s">
        <v>156</v>
      </c>
      <c r="F280" s="33">
        <v>11062670001</v>
      </c>
      <c r="G280" s="33" t="s">
        <v>38</v>
      </c>
      <c r="H280" s="22" t="s">
        <v>39</v>
      </c>
      <c r="I280" s="23">
        <v>0</v>
      </c>
      <c r="J280" s="23">
        <v>7.2475359047530219E-13</v>
      </c>
      <c r="K280" s="23">
        <v>0</v>
      </c>
      <c r="L280" s="23">
        <v>2857.4900000000021</v>
      </c>
      <c r="M280" s="23">
        <v>800</v>
      </c>
      <c r="N280" s="23">
        <v>81.22</v>
      </c>
      <c r="O280" s="23">
        <v>0</v>
      </c>
      <c r="P280" s="23">
        <f>Tabela1[[#This Row],[1QZ DE MARÇO 26]]-Tabela1[[#This Row],[SALDO PENDENTE COM CX REPR.]]-Tabela1[[#This Row],[SALDO CARTAO]]-Tabela1[[#This Row],[ADIANTAMENTO]]</f>
        <v>718.77999999999929</v>
      </c>
      <c r="Q280" s="23">
        <f>Tabela1[[#This Row],[1QZ DE MARÇO 26]]-Tabela1[[#This Row],[SALDO PENDENTE SEM CX REPR.]]-Tabela1[[#This Row],[SALDO CARTAO]]-Tabela1[[#This Row],[ADIANTAMENTO]]</f>
        <v>-2138.7100000000019</v>
      </c>
      <c r="R280" s="23">
        <v>0</v>
      </c>
      <c r="S280" s="40">
        <f>IF(Tabela1[[#This Row],[CARGA PARCIAL]]&lt;0,0,Tabela1[[#This Row],[CARGA PARCIAL]]+Tabela1[[#This Row],[REEMBOLSO]])</f>
        <v>718.77999999999929</v>
      </c>
      <c r="T280" s="40">
        <f>IF(Tabela1[[#This Row],[CARGA PARCIAL SEM CX REPROV.]]&lt;0,0,Tabela1[[#This Row],[CARGA PARCIAL]]+Tabela1[[#This Row],[REEMBOLSO]])</f>
        <v>0</v>
      </c>
      <c r="U280" s="24" t="s">
        <v>22</v>
      </c>
      <c r="V280" s="24"/>
    </row>
    <row r="281" spans="2:22" hidden="1" x14ac:dyDescent="0.25">
      <c r="B281" s="31" t="s">
        <v>954</v>
      </c>
      <c r="C281" s="32" t="s">
        <v>593</v>
      </c>
      <c r="D281" s="33" t="s">
        <v>18</v>
      </c>
      <c r="E281" s="33" t="s">
        <v>44</v>
      </c>
      <c r="F281" s="33">
        <v>1104150001</v>
      </c>
      <c r="G281" s="33" t="s">
        <v>45</v>
      </c>
      <c r="H281" s="22" t="s">
        <v>39</v>
      </c>
      <c r="I281" s="23">
        <v>0</v>
      </c>
      <c r="J281" s="23">
        <v>1154.6899999999996</v>
      </c>
      <c r="K281" s="23">
        <v>0</v>
      </c>
      <c r="L281" s="23">
        <v>1003.1600000000008</v>
      </c>
      <c r="M281" s="23">
        <v>0</v>
      </c>
      <c r="N281" s="23">
        <v>0</v>
      </c>
      <c r="O281" s="23">
        <v>0</v>
      </c>
      <c r="P281" s="23">
        <f>Tabela1[[#This Row],[1QZ DE MARÇO 26]]-Tabela1[[#This Row],[SALDO PENDENTE COM CX REPR.]]-Tabela1[[#This Row],[SALDO CARTAO]]-Tabela1[[#This Row],[ADIANTAMENTO]]</f>
        <v>-1154.6899999999996</v>
      </c>
      <c r="Q281" s="23">
        <f>Tabela1[[#This Row],[1QZ DE MARÇO 26]]-Tabela1[[#This Row],[SALDO PENDENTE SEM CX REPR.]]-Tabela1[[#This Row],[SALDO CARTAO]]-Tabela1[[#This Row],[ADIANTAMENTO]]</f>
        <v>-1003.1600000000008</v>
      </c>
      <c r="R281" s="23">
        <v>0</v>
      </c>
      <c r="S281" s="40">
        <f>IF(Tabela1[[#This Row],[CARGA PARCIAL]]&lt;0,0,Tabela1[[#This Row],[CARGA PARCIAL]]+Tabela1[[#This Row],[REEMBOLSO]])</f>
        <v>0</v>
      </c>
      <c r="T281" s="40">
        <f>IF(Tabela1[[#This Row],[CARGA PARCIAL SEM CX REPROV.]]&lt;0,0,Tabela1[[#This Row],[CARGA PARCIAL]]+Tabela1[[#This Row],[REEMBOLSO]])</f>
        <v>0</v>
      </c>
      <c r="U281" s="24" t="s">
        <v>22</v>
      </c>
      <c r="V281" s="24"/>
    </row>
    <row r="282" spans="2:22" x14ac:dyDescent="0.25">
      <c r="B282" s="33" t="s">
        <v>955</v>
      </c>
      <c r="C282" s="33" t="s">
        <v>192</v>
      </c>
      <c r="D282" s="33" t="s">
        <v>18</v>
      </c>
      <c r="E282" s="33" t="s">
        <v>95</v>
      </c>
      <c r="F282" s="33">
        <v>11040160001</v>
      </c>
      <c r="G282" s="33" t="s">
        <v>48</v>
      </c>
      <c r="H282" s="33" t="s">
        <v>35</v>
      </c>
      <c r="I282" s="23">
        <v>0</v>
      </c>
      <c r="J282" s="23">
        <v>16.880000000001019</v>
      </c>
      <c r="K282" s="23">
        <v>0</v>
      </c>
      <c r="L282" s="23">
        <v>458.53</v>
      </c>
      <c r="M282" s="23">
        <v>700</v>
      </c>
      <c r="N282" s="23">
        <v>80.92</v>
      </c>
      <c r="O282" s="23">
        <v>0</v>
      </c>
      <c r="P282" s="23">
        <f>Tabela1[[#This Row],[1QZ DE MARÇO 26]]-Tabela1[[#This Row],[SALDO PENDENTE COM CX REPR.]]-Tabela1[[#This Row],[SALDO CARTAO]]-Tabela1[[#This Row],[ADIANTAMENTO]]</f>
        <v>602.19999999999902</v>
      </c>
      <c r="Q282" s="23">
        <f>Tabela1[[#This Row],[1QZ DE MARÇO 26]]-Tabela1[[#This Row],[SALDO PENDENTE SEM CX REPR.]]-Tabela1[[#This Row],[SALDO CARTAO]]-Tabela1[[#This Row],[ADIANTAMENTO]]</f>
        <v>160.55000000000001</v>
      </c>
      <c r="R282" s="23">
        <v>0</v>
      </c>
      <c r="S282" s="40">
        <f>IF(Tabela1[[#This Row],[CARGA PARCIAL]]&lt;0,0,Tabela1[[#This Row],[CARGA PARCIAL]]+Tabela1[[#This Row],[REEMBOLSO]])</f>
        <v>602.19999999999902</v>
      </c>
      <c r="T282" s="40">
        <f>IF(Tabela1[[#This Row],[CARGA PARCIAL SEM CX REPROV.]]&lt;0,0,Tabela1[[#This Row],[CARGA PARCIAL]]+Tabela1[[#This Row],[REEMBOLSO]])</f>
        <v>602.19999999999902</v>
      </c>
      <c r="U282" s="24" t="s">
        <v>22</v>
      </c>
      <c r="V282" s="24"/>
    </row>
    <row r="283" spans="2:22" hidden="1" x14ac:dyDescent="0.25">
      <c r="B283" s="33" t="s">
        <v>956</v>
      </c>
      <c r="C283" s="33" t="s">
        <v>188</v>
      </c>
      <c r="D283" s="33" t="s">
        <v>18</v>
      </c>
      <c r="E283" s="33" t="s">
        <v>189</v>
      </c>
      <c r="F283" s="33">
        <v>11061400001</v>
      </c>
      <c r="G283" s="33" t="s">
        <v>42</v>
      </c>
      <c r="H283" s="22" t="s">
        <v>39</v>
      </c>
      <c r="I283" s="23">
        <v>0</v>
      </c>
      <c r="J283" s="23">
        <v>700</v>
      </c>
      <c r="K283" s="23">
        <v>0</v>
      </c>
      <c r="L283" s="23">
        <v>80.440000000001589</v>
      </c>
      <c r="M283" s="23">
        <v>700</v>
      </c>
      <c r="N283" s="23">
        <v>40.200000000000003</v>
      </c>
      <c r="O283" s="23">
        <v>0</v>
      </c>
      <c r="P283" s="23">
        <f>Tabela1[[#This Row],[1QZ DE MARÇO 26]]-Tabela1[[#This Row],[SALDO PENDENTE COM CX REPR.]]-Tabela1[[#This Row],[SALDO CARTAO]]-Tabela1[[#This Row],[ADIANTAMENTO]]</f>
        <v>-40.200000000000003</v>
      </c>
      <c r="Q283" s="23">
        <f>Tabela1[[#This Row],[1QZ DE MARÇO 26]]-Tabela1[[#This Row],[SALDO PENDENTE SEM CX REPR.]]-Tabela1[[#This Row],[SALDO CARTAO]]-Tabela1[[#This Row],[ADIANTAMENTO]]</f>
        <v>579.35999999999831</v>
      </c>
      <c r="R283" s="23">
        <v>0</v>
      </c>
      <c r="S283" s="40">
        <f>IF(Tabela1[[#This Row],[CARGA PARCIAL]]&lt;0,0,Tabela1[[#This Row],[CARGA PARCIAL]]+Tabela1[[#This Row],[REEMBOLSO]])</f>
        <v>0</v>
      </c>
      <c r="T283" s="40">
        <f>IF(Tabela1[[#This Row],[CARGA PARCIAL SEM CX REPROV.]]&lt;0,0,Tabela1[[#This Row],[CARGA PARCIAL]]+Tabela1[[#This Row],[REEMBOLSO]])</f>
        <v>-40.200000000000003</v>
      </c>
      <c r="U283" s="24" t="s">
        <v>22</v>
      </c>
      <c r="V283" s="24"/>
    </row>
    <row r="284" spans="2:22" hidden="1" x14ac:dyDescent="0.25">
      <c r="B284" s="31" t="s">
        <v>957</v>
      </c>
      <c r="C284" s="32" t="s">
        <v>594</v>
      </c>
      <c r="D284" s="33" t="s">
        <v>18</v>
      </c>
      <c r="E284" s="33" t="s">
        <v>469</v>
      </c>
      <c r="F284" s="33">
        <v>11062360001</v>
      </c>
      <c r="G284" s="33" t="s">
        <v>38</v>
      </c>
      <c r="H284" s="22" t="s">
        <v>39</v>
      </c>
      <c r="I284" s="23">
        <v>0</v>
      </c>
      <c r="J284" s="23">
        <v>16.25</v>
      </c>
      <c r="K284" s="23">
        <v>0</v>
      </c>
      <c r="L284" s="23">
        <v>0</v>
      </c>
      <c r="M284" s="23">
        <v>0</v>
      </c>
      <c r="N284" s="23">
        <v>330.44</v>
      </c>
      <c r="O284" s="23">
        <v>0</v>
      </c>
      <c r="P284" s="23">
        <f>Tabela1[[#This Row],[1QZ DE MARÇO 26]]-Tabela1[[#This Row],[SALDO PENDENTE COM CX REPR.]]-Tabela1[[#This Row],[SALDO CARTAO]]-Tabela1[[#This Row],[ADIANTAMENTO]]</f>
        <v>-346.69</v>
      </c>
      <c r="Q284" s="23">
        <f>Tabela1[[#This Row],[1QZ DE MARÇO 26]]-Tabela1[[#This Row],[SALDO PENDENTE SEM CX REPR.]]-Tabela1[[#This Row],[SALDO CARTAO]]-Tabela1[[#This Row],[ADIANTAMENTO]]</f>
        <v>-330.44</v>
      </c>
      <c r="R284" s="23">
        <v>0</v>
      </c>
      <c r="S284" s="40">
        <f>IF(Tabela1[[#This Row],[CARGA PARCIAL]]&lt;0,0,Tabela1[[#This Row],[CARGA PARCIAL]]+Tabela1[[#This Row],[REEMBOLSO]])</f>
        <v>0</v>
      </c>
      <c r="T284" s="40">
        <f>IF(Tabela1[[#This Row],[CARGA PARCIAL SEM CX REPROV.]]&lt;0,0,Tabela1[[#This Row],[CARGA PARCIAL]]+Tabela1[[#This Row],[REEMBOLSO]])</f>
        <v>0</v>
      </c>
      <c r="U284" s="24" t="s">
        <v>60</v>
      </c>
      <c r="V284" s="24"/>
    </row>
    <row r="285" spans="2:22" hidden="1" x14ac:dyDescent="0.25">
      <c r="B285" s="33" t="s">
        <v>958</v>
      </c>
      <c r="C285" s="33" t="s">
        <v>409</v>
      </c>
      <c r="D285" s="33" t="s">
        <v>18</v>
      </c>
      <c r="E285" s="33" t="s">
        <v>223</v>
      </c>
      <c r="F285" s="33">
        <v>11062640001</v>
      </c>
      <c r="G285" s="33" t="s">
        <v>38</v>
      </c>
      <c r="H285" s="33" t="s">
        <v>39</v>
      </c>
      <c r="I285" s="23">
        <v>0</v>
      </c>
      <c r="J285" s="23">
        <v>4000</v>
      </c>
      <c r="K285" s="23">
        <v>0</v>
      </c>
      <c r="L285" s="23">
        <v>40.999999999998693</v>
      </c>
      <c r="M285" s="23">
        <v>4000</v>
      </c>
      <c r="N285" s="23">
        <v>43</v>
      </c>
      <c r="O285" s="23">
        <v>0</v>
      </c>
      <c r="P285" s="23">
        <f>Tabela1[[#This Row],[1QZ DE MARÇO 26]]-Tabela1[[#This Row],[SALDO PENDENTE COM CX REPR.]]-Tabela1[[#This Row],[SALDO CARTAO]]-Tabela1[[#This Row],[ADIANTAMENTO]]</f>
        <v>-43</v>
      </c>
      <c r="Q285" s="23">
        <f>Tabela1[[#This Row],[1QZ DE MARÇO 26]]-Tabela1[[#This Row],[SALDO PENDENTE SEM CX REPR.]]-Tabela1[[#This Row],[SALDO CARTAO]]-Tabela1[[#This Row],[ADIANTAMENTO]]</f>
        <v>3916.0000000000014</v>
      </c>
      <c r="R285" s="23">
        <v>0</v>
      </c>
      <c r="S285" s="40">
        <f>IF(Tabela1[[#This Row],[CARGA PARCIAL]]&lt;0,0,Tabela1[[#This Row],[CARGA PARCIAL]]+Tabela1[[#This Row],[REEMBOLSO]])</f>
        <v>0</v>
      </c>
      <c r="T285" s="40">
        <f>IF(Tabela1[[#This Row],[CARGA PARCIAL SEM CX REPROV.]]&lt;0,0,Tabela1[[#This Row],[CARGA PARCIAL]]+Tabela1[[#This Row],[REEMBOLSO]])</f>
        <v>-43</v>
      </c>
      <c r="U285" s="24" t="s">
        <v>22</v>
      </c>
      <c r="V285" s="24"/>
    </row>
    <row r="286" spans="2:22" hidden="1" x14ac:dyDescent="0.25">
      <c r="B286" s="33" t="s">
        <v>939</v>
      </c>
      <c r="C286" s="33" t="s">
        <v>271</v>
      </c>
      <c r="D286" s="33" t="s">
        <v>18</v>
      </c>
      <c r="E286" s="33" t="s">
        <v>272</v>
      </c>
      <c r="F286" s="33">
        <v>11080440001</v>
      </c>
      <c r="G286" s="33" t="s">
        <v>42</v>
      </c>
      <c r="H286" s="33" t="s">
        <v>39</v>
      </c>
      <c r="I286" s="23">
        <v>-379.99999999999955</v>
      </c>
      <c r="J286" s="23">
        <v>0</v>
      </c>
      <c r="K286" s="23">
        <v>0</v>
      </c>
      <c r="L286" s="23">
        <v>500.00000000000023</v>
      </c>
      <c r="M286" s="23">
        <v>350</v>
      </c>
      <c r="N286" s="23">
        <v>0</v>
      </c>
      <c r="O286" s="23">
        <v>0</v>
      </c>
      <c r="P286" s="23">
        <f>Tabela1[[#This Row],[1QZ DE MARÇO 26]]-Tabela1[[#This Row],[SALDO PENDENTE COM CX REPR.]]-Tabela1[[#This Row],[SALDO CARTAO]]-Tabela1[[#This Row],[ADIANTAMENTO]]</f>
        <v>350</v>
      </c>
      <c r="Q286" s="23">
        <f>Tabela1[[#This Row],[1QZ DE MARÇO 26]]-Tabela1[[#This Row],[SALDO PENDENTE SEM CX REPR.]]-Tabela1[[#This Row],[SALDO CARTAO]]-Tabela1[[#This Row],[ADIANTAMENTO]]</f>
        <v>-150.00000000000023</v>
      </c>
      <c r="R286" s="23">
        <v>379.99999999999955</v>
      </c>
      <c r="S286" s="40">
        <f>IF(Tabela1[[#This Row],[CARGA PARCIAL]]&lt;0,0,Tabela1[[#This Row],[CARGA PARCIAL]]+Tabela1[[#This Row],[REEMBOLSO]])</f>
        <v>729.99999999999955</v>
      </c>
      <c r="T286" s="40">
        <f>IF(Tabela1[[#This Row],[CARGA PARCIAL SEM CX REPROV.]]&lt;0,0,Tabela1[[#This Row],[CARGA PARCIAL]]+Tabela1[[#This Row],[REEMBOLSO]])</f>
        <v>0</v>
      </c>
      <c r="U286" s="24" t="s">
        <v>22</v>
      </c>
      <c r="V286" s="24"/>
    </row>
    <row r="287" spans="2:22" hidden="1" x14ac:dyDescent="0.25">
      <c r="B287" s="31" t="s">
        <v>960</v>
      </c>
      <c r="C287" s="32" t="s">
        <v>474</v>
      </c>
      <c r="D287" s="33" t="s">
        <v>18</v>
      </c>
      <c r="E287" s="33" t="s">
        <v>235</v>
      </c>
      <c r="F287" s="33">
        <v>1201008</v>
      </c>
      <c r="G287" s="33" t="s">
        <v>38</v>
      </c>
      <c r="H287" s="22" t="s">
        <v>39</v>
      </c>
      <c r="I287" s="23">
        <v>0</v>
      </c>
      <c r="J287" s="23">
        <v>939.18000000000211</v>
      </c>
      <c r="K287" s="23">
        <v>0</v>
      </c>
      <c r="L287" s="23">
        <v>97.889999999979622</v>
      </c>
      <c r="M287" s="23">
        <v>500</v>
      </c>
      <c r="N287" s="23">
        <v>0</v>
      </c>
      <c r="O287" s="23">
        <v>0</v>
      </c>
      <c r="P287" s="23">
        <f>Tabela1[[#This Row],[1QZ DE MARÇO 26]]-Tabela1[[#This Row],[SALDO PENDENTE COM CX REPR.]]-Tabela1[[#This Row],[SALDO CARTAO]]-Tabela1[[#This Row],[ADIANTAMENTO]]</f>
        <v>-439.18000000000211</v>
      </c>
      <c r="Q287" s="23">
        <f>Tabela1[[#This Row],[1QZ DE MARÇO 26]]-Tabela1[[#This Row],[SALDO PENDENTE SEM CX REPR.]]-Tabela1[[#This Row],[SALDO CARTAO]]-Tabela1[[#This Row],[ADIANTAMENTO]]</f>
        <v>402.11000000002036</v>
      </c>
      <c r="R287" s="23">
        <v>0</v>
      </c>
      <c r="S287" s="40">
        <f>IF(Tabela1[[#This Row],[CARGA PARCIAL]]&lt;0,0,Tabela1[[#This Row],[CARGA PARCIAL]]+Tabela1[[#This Row],[REEMBOLSO]])</f>
        <v>0</v>
      </c>
      <c r="T287" s="40">
        <f>IF(Tabela1[[#This Row],[CARGA PARCIAL SEM CX REPROV.]]&lt;0,0,Tabela1[[#This Row],[CARGA PARCIAL]]+Tabela1[[#This Row],[REEMBOLSO]])</f>
        <v>-439.18000000000211</v>
      </c>
      <c r="U287" s="24" t="s">
        <v>22</v>
      </c>
      <c r="V287" s="24"/>
    </row>
    <row r="288" spans="2:22" x14ac:dyDescent="0.25">
      <c r="B288" s="33" t="s">
        <v>961</v>
      </c>
      <c r="C288" s="33" t="s">
        <v>295</v>
      </c>
      <c r="D288" s="33" t="s">
        <v>18</v>
      </c>
      <c r="E288" s="33" t="s">
        <v>272</v>
      </c>
      <c r="F288" s="33">
        <v>11080440001</v>
      </c>
      <c r="G288" s="33" t="s">
        <v>42</v>
      </c>
      <c r="H288" s="33" t="s">
        <v>39</v>
      </c>
      <c r="I288" s="23">
        <v>0</v>
      </c>
      <c r="J288" s="23">
        <v>418.47999999999956</v>
      </c>
      <c r="K288" s="23">
        <v>0</v>
      </c>
      <c r="L288" s="23">
        <v>160.90000000000293</v>
      </c>
      <c r="M288" s="23">
        <v>2000</v>
      </c>
      <c r="N288" s="23">
        <v>0</v>
      </c>
      <c r="O288" s="23">
        <v>0</v>
      </c>
      <c r="P288" s="23">
        <f>Tabela1[[#This Row],[1QZ DE MARÇO 26]]-Tabela1[[#This Row],[SALDO PENDENTE COM CX REPR.]]-Tabela1[[#This Row],[SALDO CARTAO]]-Tabela1[[#This Row],[ADIANTAMENTO]]</f>
        <v>1581.5200000000004</v>
      </c>
      <c r="Q288" s="23">
        <f>Tabela1[[#This Row],[1QZ DE MARÇO 26]]-Tabela1[[#This Row],[SALDO PENDENTE SEM CX REPR.]]-Tabela1[[#This Row],[SALDO CARTAO]]-Tabela1[[#This Row],[ADIANTAMENTO]]</f>
        <v>1839.0999999999972</v>
      </c>
      <c r="R288" s="23">
        <v>0</v>
      </c>
      <c r="S288" s="40">
        <f>IF(Tabela1[[#This Row],[CARGA PARCIAL]]&lt;0,0,Tabela1[[#This Row],[CARGA PARCIAL]]+Tabela1[[#This Row],[REEMBOLSO]])</f>
        <v>1581.5200000000004</v>
      </c>
      <c r="T288" s="40">
        <f>IF(Tabela1[[#This Row],[CARGA PARCIAL SEM CX REPROV.]]&lt;0,0,Tabela1[[#This Row],[CARGA PARCIAL]]+Tabela1[[#This Row],[REEMBOLSO]])</f>
        <v>1581.5200000000004</v>
      </c>
      <c r="U288" s="24" t="s">
        <v>22</v>
      </c>
      <c r="V288" s="24"/>
    </row>
    <row r="289" spans="2:22" x14ac:dyDescent="0.25">
      <c r="B289" s="31" t="s">
        <v>762</v>
      </c>
      <c r="C289" s="32" t="s">
        <v>133</v>
      </c>
      <c r="D289" s="33" t="s">
        <v>18</v>
      </c>
      <c r="E289" s="33" t="s">
        <v>134</v>
      </c>
      <c r="F289" s="33">
        <v>11061720001</v>
      </c>
      <c r="G289" s="33" t="s">
        <v>42</v>
      </c>
      <c r="H289" s="22" t="s">
        <v>39</v>
      </c>
      <c r="I289" s="23">
        <v>-408.02999999999884</v>
      </c>
      <c r="J289" s="23">
        <v>0</v>
      </c>
      <c r="K289" s="23">
        <v>0</v>
      </c>
      <c r="L289" s="23">
        <v>0</v>
      </c>
      <c r="M289" s="23">
        <v>900</v>
      </c>
      <c r="N289" s="23">
        <v>36</v>
      </c>
      <c r="O289" s="23">
        <v>0</v>
      </c>
      <c r="P289" s="23">
        <f>Tabela1[[#This Row],[1QZ DE MARÇO 26]]-Tabela1[[#This Row],[SALDO PENDENTE COM CX REPR.]]-Tabela1[[#This Row],[SALDO CARTAO]]-Tabela1[[#This Row],[ADIANTAMENTO]]</f>
        <v>864</v>
      </c>
      <c r="Q289" s="23">
        <f>Tabela1[[#This Row],[1QZ DE MARÇO 26]]-Tabela1[[#This Row],[SALDO PENDENTE SEM CX REPR.]]-Tabela1[[#This Row],[SALDO CARTAO]]-Tabela1[[#This Row],[ADIANTAMENTO]]</f>
        <v>864</v>
      </c>
      <c r="R289" s="23">
        <v>0</v>
      </c>
      <c r="S289" s="40">
        <f>IF(Tabela1[[#This Row],[CARGA PARCIAL]]&lt;0,0,Tabela1[[#This Row],[CARGA PARCIAL]]+Tabela1[[#This Row],[REEMBOLSO]])</f>
        <v>864</v>
      </c>
      <c r="T289" s="40">
        <f>IF(Tabela1[[#This Row],[CARGA PARCIAL SEM CX REPROV.]]&lt;0,0,Tabela1[[#This Row],[CARGA PARCIAL]]+Tabela1[[#This Row],[REEMBOLSO]])</f>
        <v>864</v>
      </c>
      <c r="U289" s="24" t="s">
        <v>22</v>
      </c>
      <c r="V289" s="24"/>
    </row>
    <row r="290" spans="2:22" x14ac:dyDescent="0.25">
      <c r="B290" s="33" t="s">
        <v>963</v>
      </c>
      <c r="C290" s="33" t="s">
        <v>304</v>
      </c>
      <c r="D290" s="33" t="s">
        <v>18</v>
      </c>
      <c r="E290" s="33" t="s">
        <v>90</v>
      </c>
      <c r="F290" s="33">
        <v>11040170001</v>
      </c>
      <c r="G290" s="33" t="s">
        <v>91</v>
      </c>
      <c r="H290" s="33" t="s">
        <v>21</v>
      </c>
      <c r="I290" s="23">
        <v>0</v>
      </c>
      <c r="J290" s="23">
        <v>780.00000000000364</v>
      </c>
      <c r="K290" s="23">
        <v>0</v>
      </c>
      <c r="L290" s="23">
        <v>37.329999999999416</v>
      </c>
      <c r="M290" s="23">
        <v>1000</v>
      </c>
      <c r="N290" s="23">
        <v>0</v>
      </c>
      <c r="O290" s="23">
        <v>0</v>
      </c>
      <c r="P290" s="23">
        <f>Tabela1[[#This Row],[1QZ DE MARÇO 26]]-Tabela1[[#This Row],[SALDO PENDENTE COM CX REPR.]]-Tabela1[[#This Row],[SALDO CARTAO]]-Tabela1[[#This Row],[ADIANTAMENTO]]</f>
        <v>219.99999999999636</v>
      </c>
      <c r="Q290" s="23">
        <f>Tabela1[[#This Row],[1QZ DE MARÇO 26]]-Tabela1[[#This Row],[SALDO PENDENTE SEM CX REPR.]]-Tabela1[[#This Row],[SALDO CARTAO]]-Tabela1[[#This Row],[ADIANTAMENTO]]</f>
        <v>962.67000000000053</v>
      </c>
      <c r="R290" s="23">
        <v>0</v>
      </c>
      <c r="S290" s="40">
        <f>IF(Tabela1[[#This Row],[CARGA PARCIAL]]&lt;0,0,Tabela1[[#This Row],[CARGA PARCIAL]]+Tabela1[[#This Row],[REEMBOLSO]])</f>
        <v>219.99999999999636</v>
      </c>
      <c r="T290" s="40">
        <f>IF(Tabela1[[#This Row],[CARGA PARCIAL SEM CX REPROV.]]&lt;0,0,Tabela1[[#This Row],[CARGA PARCIAL]]+Tabela1[[#This Row],[REEMBOLSO]])</f>
        <v>219.99999999999636</v>
      </c>
      <c r="U290" s="24" t="s">
        <v>22</v>
      </c>
      <c r="V290" s="24"/>
    </row>
    <row r="291" spans="2:22" hidden="1" x14ac:dyDescent="0.25">
      <c r="B291" s="33" t="s">
        <v>964</v>
      </c>
      <c r="C291" s="33" t="s">
        <v>595</v>
      </c>
      <c r="D291" s="33" t="s">
        <v>18</v>
      </c>
      <c r="E291" s="33" t="s">
        <v>44</v>
      </c>
      <c r="F291" s="33">
        <v>1104150001</v>
      </c>
      <c r="G291" s="33" t="s">
        <v>45</v>
      </c>
      <c r="H291" s="22" t="s">
        <v>39</v>
      </c>
      <c r="I291" s="23">
        <v>0</v>
      </c>
      <c r="J291" s="23">
        <v>31.999999999999545</v>
      </c>
      <c r="K291" s="23">
        <v>0</v>
      </c>
      <c r="L291" s="23">
        <v>0</v>
      </c>
      <c r="M291" s="23">
        <v>0</v>
      </c>
      <c r="N291" s="23">
        <v>0</v>
      </c>
      <c r="O291" s="23">
        <v>0</v>
      </c>
      <c r="P291" s="23">
        <f>Tabela1[[#This Row],[1QZ DE MARÇO 26]]-Tabela1[[#This Row],[SALDO PENDENTE COM CX REPR.]]-Tabela1[[#This Row],[SALDO CARTAO]]-Tabela1[[#This Row],[ADIANTAMENTO]]</f>
        <v>-31.999999999999545</v>
      </c>
      <c r="Q291" s="23">
        <f>Tabela1[[#This Row],[1QZ DE MARÇO 26]]-Tabela1[[#This Row],[SALDO PENDENTE SEM CX REPR.]]-Tabela1[[#This Row],[SALDO CARTAO]]-Tabela1[[#This Row],[ADIANTAMENTO]]</f>
        <v>0</v>
      </c>
      <c r="R291" s="23">
        <v>0</v>
      </c>
      <c r="S291" s="40">
        <f>IF(Tabela1[[#This Row],[CARGA PARCIAL]]&lt;0,0,Tabela1[[#This Row],[CARGA PARCIAL]]+Tabela1[[#This Row],[REEMBOLSO]])</f>
        <v>0</v>
      </c>
      <c r="T291" s="40">
        <f>IF(Tabela1[[#This Row],[CARGA PARCIAL SEM CX REPROV.]]&lt;0,0,Tabela1[[#This Row],[CARGA PARCIAL]]+Tabela1[[#This Row],[REEMBOLSO]])</f>
        <v>-31.999999999999545</v>
      </c>
      <c r="U291" s="24" t="s">
        <v>22</v>
      </c>
      <c r="V291" s="24"/>
    </row>
    <row r="292" spans="2:22" hidden="1" x14ac:dyDescent="0.25">
      <c r="B292" s="33" t="s">
        <v>965</v>
      </c>
      <c r="C292" s="33" t="s">
        <v>596</v>
      </c>
      <c r="D292" s="33" t="s">
        <v>18</v>
      </c>
      <c r="E292" s="33" t="s">
        <v>384</v>
      </c>
      <c r="F292" s="33">
        <v>1201002</v>
      </c>
      <c r="G292" s="33" t="s">
        <v>385</v>
      </c>
      <c r="H292" s="22" t="s">
        <v>386</v>
      </c>
      <c r="I292" s="23">
        <v>0</v>
      </c>
      <c r="J292" s="23">
        <v>14.33</v>
      </c>
      <c r="K292" s="23">
        <v>0</v>
      </c>
      <c r="L292" s="23">
        <v>204.39999999999995</v>
      </c>
      <c r="M292" s="23">
        <v>0</v>
      </c>
      <c r="N292" s="23">
        <v>1.37</v>
      </c>
      <c r="O292" s="23">
        <v>0</v>
      </c>
      <c r="P292" s="23">
        <f>Tabela1[[#This Row],[1QZ DE MARÇO 26]]-Tabela1[[#This Row],[SALDO PENDENTE COM CX REPR.]]-Tabela1[[#This Row],[SALDO CARTAO]]-Tabela1[[#This Row],[ADIANTAMENTO]]</f>
        <v>-15.7</v>
      </c>
      <c r="Q292" s="23">
        <f>Tabela1[[#This Row],[1QZ DE MARÇO 26]]-Tabela1[[#This Row],[SALDO PENDENTE SEM CX REPR.]]-Tabela1[[#This Row],[SALDO CARTAO]]-Tabela1[[#This Row],[ADIANTAMENTO]]</f>
        <v>-205.76999999999995</v>
      </c>
      <c r="R292" s="23">
        <v>0</v>
      </c>
      <c r="S292" s="40">
        <f>IF(Tabela1[[#This Row],[CARGA PARCIAL]]&lt;0,0,Tabela1[[#This Row],[CARGA PARCIAL]]+Tabela1[[#This Row],[REEMBOLSO]])</f>
        <v>0</v>
      </c>
      <c r="T292" s="40">
        <f>IF(Tabela1[[#This Row],[CARGA PARCIAL SEM CX REPROV.]]&lt;0,0,Tabela1[[#This Row],[CARGA PARCIAL]]+Tabela1[[#This Row],[REEMBOLSO]])</f>
        <v>0</v>
      </c>
      <c r="U292" s="24" t="s">
        <v>22</v>
      </c>
      <c r="V292" s="24"/>
    </row>
    <row r="293" spans="2:22" hidden="1" x14ac:dyDescent="0.25">
      <c r="B293" s="37" t="s">
        <v>966</v>
      </c>
      <c r="C293" s="32" t="s">
        <v>240</v>
      </c>
      <c r="D293" s="33" t="s">
        <v>18</v>
      </c>
      <c r="E293" s="33" t="s">
        <v>241</v>
      </c>
      <c r="F293" s="33">
        <v>1201005</v>
      </c>
      <c r="G293" s="33" t="s">
        <v>54</v>
      </c>
      <c r="H293" s="22" t="s">
        <v>39</v>
      </c>
      <c r="I293" s="23">
        <v>0</v>
      </c>
      <c r="J293" s="23">
        <v>359.98999999999796</v>
      </c>
      <c r="K293" s="23">
        <v>0</v>
      </c>
      <c r="L293" s="23">
        <v>91.98</v>
      </c>
      <c r="M293" s="23">
        <v>1000</v>
      </c>
      <c r="N293" s="23">
        <v>0</v>
      </c>
      <c r="O293" s="23">
        <v>1000</v>
      </c>
      <c r="P293" s="23">
        <f>Tabela1[[#This Row],[1QZ DE MARÇO 26]]-Tabela1[[#This Row],[SALDO PENDENTE COM CX REPR.]]-Tabela1[[#This Row],[SALDO CARTAO]]-Tabela1[[#This Row],[ADIANTAMENTO]]</f>
        <v>-359.98999999999796</v>
      </c>
      <c r="Q293" s="23">
        <f>Tabela1[[#This Row],[1QZ DE MARÇO 26]]-Tabela1[[#This Row],[SALDO PENDENTE SEM CX REPR.]]-Tabela1[[#This Row],[SALDO CARTAO]]-Tabela1[[#This Row],[ADIANTAMENTO]]</f>
        <v>-91.980000000000018</v>
      </c>
      <c r="R293" s="23">
        <v>0</v>
      </c>
      <c r="S293" s="40">
        <f>IF(Tabela1[[#This Row],[CARGA PARCIAL]]&lt;0,0,Tabela1[[#This Row],[CARGA PARCIAL]]+Tabela1[[#This Row],[REEMBOLSO]])</f>
        <v>0</v>
      </c>
      <c r="T293" s="40">
        <f>IF(Tabela1[[#This Row],[CARGA PARCIAL SEM CX REPROV.]]&lt;0,0,Tabela1[[#This Row],[CARGA PARCIAL]]+Tabela1[[#This Row],[REEMBOLSO]])</f>
        <v>0</v>
      </c>
      <c r="U293" s="24" t="s">
        <v>22</v>
      </c>
      <c r="V293" s="24"/>
    </row>
    <row r="294" spans="2:22" hidden="1" x14ac:dyDescent="0.25">
      <c r="B294" s="31" t="s">
        <v>967</v>
      </c>
      <c r="C294" s="32" t="s">
        <v>597</v>
      </c>
      <c r="D294" s="33" t="s">
        <v>18</v>
      </c>
      <c r="E294" s="33" t="s">
        <v>44</v>
      </c>
      <c r="F294" s="33">
        <v>1104150001</v>
      </c>
      <c r="G294" s="33" t="s">
        <v>45</v>
      </c>
      <c r="H294" s="22" t="s">
        <v>39</v>
      </c>
      <c r="I294" s="23">
        <v>0</v>
      </c>
      <c r="J294" s="23">
        <v>282.30000000000143</v>
      </c>
      <c r="K294" s="23">
        <v>0</v>
      </c>
      <c r="L294" s="23">
        <v>9176.259999999922</v>
      </c>
      <c r="M294" s="23">
        <v>0</v>
      </c>
      <c r="N294" s="23">
        <v>0</v>
      </c>
      <c r="O294" s="23">
        <v>0</v>
      </c>
      <c r="P294" s="23">
        <f>Tabela1[[#This Row],[1QZ DE MARÇO 26]]-Tabela1[[#This Row],[SALDO PENDENTE COM CX REPR.]]-Tabela1[[#This Row],[SALDO CARTAO]]-Tabela1[[#This Row],[ADIANTAMENTO]]</f>
        <v>-282.30000000000143</v>
      </c>
      <c r="Q294" s="23">
        <f>Tabela1[[#This Row],[1QZ DE MARÇO 26]]-Tabela1[[#This Row],[SALDO PENDENTE SEM CX REPR.]]-Tabela1[[#This Row],[SALDO CARTAO]]-Tabela1[[#This Row],[ADIANTAMENTO]]</f>
        <v>-9176.259999999922</v>
      </c>
      <c r="R294" s="23">
        <v>0</v>
      </c>
      <c r="S294" s="40">
        <f>IF(Tabela1[[#This Row],[CARGA PARCIAL]]&lt;0,0,Tabela1[[#This Row],[CARGA PARCIAL]]+Tabela1[[#This Row],[REEMBOLSO]])</f>
        <v>0</v>
      </c>
      <c r="T294" s="40">
        <f>IF(Tabela1[[#This Row],[CARGA PARCIAL SEM CX REPROV.]]&lt;0,0,Tabela1[[#This Row],[CARGA PARCIAL]]+Tabela1[[#This Row],[REEMBOLSO]])</f>
        <v>0</v>
      </c>
      <c r="U294" s="24" t="s">
        <v>22</v>
      </c>
      <c r="V294" s="24"/>
    </row>
    <row r="295" spans="2:22" hidden="1" x14ac:dyDescent="0.25">
      <c r="B295" s="33" t="s">
        <v>968</v>
      </c>
      <c r="C295" s="33" t="s">
        <v>146</v>
      </c>
      <c r="D295" s="33" t="s">
        <v>18</v>
      </c>
      <c r="E295" s="33" t="s">
        <v>90</v>
      </c>
      <c r="F295" s="33">
        <v>11040170001</v>
      </c>
      <c r="G295" s="33" t="s">
        <v>91</v>
      </c>
      <c r="H295" s="22" t="s">
        <v>21</v>
      </c>
      <c r="I295" s="23">
        <v>0</v>
      </c>
      <c r="J295" s="23">
        <v>862.60000000000184</v>
      </c>
      <c r="K295" s="23">
        <v>0</v>
      </c>
      <c r="L295" s="23">
        <v>378.43999999999915</v>
      </c>
      <c r="M295" s="23">
        <v>1000</v>
      </c>
      <c r="N295" s="23">
        <v>654.25</v>
      </c>
      <c r="O295" s="23">
        <v>0</v>
      </c>
      <c r="P295" s="23">
        <f>Tabela1[[#This Row],[1QZ DE MARÇO 26]]-Tabela1[[#This Row],[SALDO PENDENTE COM CX REPR.]]-Tabela1[[#This Row],[SALDO CARTAO]]-Tabela1[[#This Row],[ADIANTAMENTO]]</f>
        <v>-516.85000000000184</v>
      </c>
      <c r="Q295" s="23">
        <f>Tabela1[[#This Row],[1QZ DE MARÇO 26]]-Tabela1[[#This Row],[SALDO PENDENTE SEM CX REPR.]]-Tabela1[[#This Row],[SALDO CARTAO]]-Tabela1[[#This Row],[ADIANTAMENTO]]</f>
        <v>-32.689999999999145</v>
      </c>
      <c r="R295" s="23">
        <v>0</v>
      </c>
      <c r="S295" s="40">
        <f>IF(Tabela1[[#This Row],[CARGA PARCIAL]]&lt;0,0,Tabela1[[#This Row],[CARGA PARCIAL]]+Tabela1[[#This Row],[REEMBOLSO]])</f>
        <v>0</v>
      </c>
      <c r="T295" s="40">
        <f>IF(Tabela1[[#This Row],[CARGA PARCIAL SEM CX REPROV.]]&lt;0,0,Tabela1[[#This Row],[CARGA PARCIAL]]+Tabela1[[#This Row],[REEMBOLSO]])</f>
        <v>0</v>
      </c>
      <c r="U295" s="24" t="s">
        <v>22</v>
      </c>
      <c r="V295" s="24"/>
    </row>
    <row r="296" spans="2:22" hidden="1" x14ac:dyDescent="0.25">
      <c r="B296" s="31" t="s">
        <v>969</v>
      </c>
      <c r="C296" s="32" t="s">
        <v>598</v>
      </c>
      <c r="D296" s="33" t="s">
        <v>18</v>
      </c>
      <c r="E296" s="33" t="s">
        <v>202</v>
      </c>
      <c r="F296" s="33">
        <v>11010370001</v>
      </c>
      <c r="G296" s="33" t="s">
        <v>39</v>
      </c>
      <c r="H296" s="22" t="s">
        <v>39</v>
      </c>
      <c r="I296" s="23">
        <v>0</v>
      </c>
      <c r="J296" s="23">
        <v>0</v>
      </c>
      <c r="K296" s="23">
        <v>0</v>
      </c>
      <c r="L296" s="23">
        <v>2486.2599999999948</v>
      </c>
      <c r="M296" s="23">
        <v>0</v>
      </c>
      <c r="N296" s="23">
        <v>0</v>
      </c>
      <c r="O296" s="23">
        <v>0</v>
      </c>
      <c r="P296" s="23">
        <f>Tabela1[[#This Row],[1QZ DE MARÇO 26]]-Tabela1[[#This Row],[SALDO PENDENTE COM CX REPR.]]-Tabela1[[#This Row],[SALDO CARTAO]]-Tabela1[[#This Row],[ADIANTAMENTO]]</f>
        <v>0</v>
      </c>
      <c r="Q296" s="23">
        <f>Tabela1[[#This Row],[1QZ DE MARÇO 26]]-Tabela1[[#This Row],[SALDO PENDENTE SEM CX REPR.]]-Tabela1[[#This Row],[SALDO CARTAO]]-Tabela1[[#This Row],[ADIANTAMENTO]]</f>
        <v>-2486.2599999999948</v>
      </c>
      <c r="R296" s="23">
        <v>0</v>
      </c>
      <c r="S296" s="40">
        <f>IF(Tabela1[[#This Row],[CARGA PARCIAL]]&lt;0,0,Tabela1[[#This Row],[CARGA PARCIAL]]+Tabela1[[#This Row],[REEMBOLSO]])</f>
        <v>0</v>
      </c>
      <c r="T296" s="40">
        <f>IF(Tabela1[[#This Row],[CARGA PARCIAL SEM CX REPROV.]]&lt;0,0,Tabela1[[#This Row],[CARGA PARCIAL]]+Tabela1[[#This Row],[REEMBOLSO]])</f>
        <v>0</v>
      </c>
      <c r="U296" s="24" t="s">
        <v>22</v>
      </c>
      <c r="V296" s="24"/>
    </row>
    <row r="297" spans="2:22" hidden="1" x14ac:dyDescent="0.25">
      <c r="B297" s="33" t="s">
        <v>970</v>
      </c>
      <c r="C297" s="33" t="s">
        <v>179</v>
      </c>
      <c r="D297" s="33" t="s">
        <v>18</v>
      </c>
      <c r="E297" s="33" t="s">
        <v>134</v>
      </c>
      <c r="F297" s="33">
        <v>11061720001</v>
      </c>
      <c r="G297" s="33" t="s">
        <v>42</v>
      </c>
      <c r="H297" s="22" t="s">
        <v>39</v>
      </c>
      <c r="I297" s="23">
        <v>0</v>
      </c>
      <c r="J297" s="23">
        <v>0</v>
      </c>
      <c r="K297" s="23">
        <v>0</v>
      </c>
      <c r="L297" s="23">
        <v>182.6</v>
      </c>
      <c r="M297" s="23">
        <v>0</v>
      </c>
      <c r="N297" s="23">
        <v>131.12</v>
      </c>
      <c r="O297" s="23">
        <v>0</v>
      </c>
      <c r="P297" s="23">
        <f>Tabela1[[#This Row],[1QZ DE MARÇO 26]]-Tabela1[[#This Row],[SALDO PENDENTE COM CX REPR.]]-Tabela1[[#This Row],[SALDO CARTAO]]-Tabela1[[#This Row],[ADIANTAMENTO]]</f>
        <v>-131.12</v>
      </c>
      <c r="Q297" s="23">
        <f>Tabela1[[#This Row],[1QZ DE MARÇO 26]]-Tabela1[[#This Row],[SALDO PENDENTE SEM CX REPR.]]-Tabela1[[#This Row],[SALDO CARTAO]]-Tabela1[[#This Row],[ADIANTAMENTO]]</f>
        <v>-313.72000000000003</v>
      </c>
      <c r="R297" s="23">
        <v>0</v>
      </c>
      <c r="S297" s="40">
        <f>IF(Tabela1[[#This Row],[CARGA PARCIAL]]&lt;0,0,Tabela1[[#This Row],[CARGA PARCIAL]]+Tabela1[[#This Row],[REEMBOLSO]])</f>
        <v>0</v>
      </c>
      <c r="T297" s="40">
        <f>IF(Tabela1[[#This Row],[CARGA PARCIAL SEM CX REPROV.]]&lt;0,0,Tabela1[[#This Row],[CARGA PARCIAL]]+Tabela1[[#This Row],[REEMBOLSO]])</f>
        <v>0</v>
      </c>
      <c r="U297" s="24" t="s">
        <v>22</v>
      </c>
      <c r="V297" s="24"/>
    </row>
    <row r="298" spans="2:22" hidden="1" x14ac:dyDescent="0.25">
      <c r="B298" s="37" t="s">
        <v>971</v>
      </c>
      <c r="C298" s="32" t="s">
        <v>431</v>
      </c>
      <c r="D298" s="33" t="s">
        <v>18</v>
      </c>
      <c r="E298" s="33" t="s">
        <v>319</v>
      </c>
      <c r="F298" s="33">
        <v>11061430001</v>
      </c>
      <c r="G298" s="33" t="s">
        <v>25</v>
      </c>
      <c r="H298" s="22" t="s">
        <v>21</v>
      </c>
      <c r="I298" s="23">
        <v>0</v>
      </c>
      <c r="J298" s="23">
        <v>2031.2500000000025</v>
      </c>
      <c r="K298" s="23">
        <v>0</v>
      </c>
      <c r="L298" s="23">
        <v>2818.6</v>
      </c>
      <c r="M298" s="23">
        <v>0</v>
      </c>
      <c r="N298" s="23">
        <v>65.400000000000006</v>
      </c>
      <c r="O298" s="23">
        <v>0</v>
      </c>
      <c r="P298" s="23">
        <f>Tabela1[[#This Row],[1QZ DE MARÇO 26]]-Tabela1[[#This Row],[SALDO PENDENTE COM CX REPR.]]-Tabela1[[#This Row],[SALDO CARTAO]]-Tabela1[[#This Row],[ADIANTAMENTO]]</f>
        <v>-2096.6500000000024</v>
      </c>
      <c r="Q298" s="23">
        <f>Tabela1[[#This Row],[1QZ DE MARÇO 26]]-Tabela1[[#This Row],[SALDO PENDENTE SEM CX REPR.]]-Tabela1[[#This Row],[SALDO CARTAO]]-Tabela1[[#This Row],[ADIANTAMENTO]]</f>
        <v>-2884</v>
      </c>
      <c r="R298" s="23">
        <v>0</v>
      </c>
      <c r="S298" s="40">
        <f>IF(Tabela1[[#This Row],[CARGA PARCIAL]]&lt;0,0,Tabela1[[#This Row],[CARGA PARCIAL]]+Tabela1[[#This Row],[REEMBOLSO]])</f>
        <v>0</v>
      </c>
      <c r="T298" s="40">
        <f>IF(Tabela1[[#This Row],[CARGA PARCIAL SEM CX REPROV.]]&lt;0,0,Tabela1[[#This Row],[CARGA PARCIAL]]+Tabela1[[#This Row],[REEMBOLSO]])</f>
        <v>0</v>
      </c>
      <c r="U298" s="24" t="s">
        <v>22</v>
      </c>
      <c r="V298" s="24"/>
    </row>
    <row r="299" spans="2:22" x14ac:dyDescent="0.25">
      <c r="B299" s="33" t="s">
        <v>972</v>
      </c>
      <c r="C299" s="33" t="s">
        <v>314</v>
      </c>
      <c r="D299" s="33" t="s">
        <v>18</v>
      </c>
      <c r="E299" s="33" t="s">
        <v>134</v>
      </c>
      <c r="F299" s="33">
        <v>11061720001</v>
      </c>
      <c r="G299" s="33" t="s">
        <v>42</v>
      </c>
      <c r="H299" s="22" t="s">
        <v>39</v>
      </c>
      <c r="I299" s="23">
        <v>0</v>
      </c>
      <c r="J299" s="23">
        <v>58.299999999999699</v>
      </c>
      <c r="K299" s="23">
        <v>0</v>
      </c>
      <c r="L299" s="23">
        <v>0</v>
      </c>
      <c r="M299" s="23">
        <v>800</v>
      </c>
      <c r="N299" s="23">
        <v>0</v>
      </c>
      <c r="O299" s="23">
        <v>0</v>
      </c>
      <c r="P299" s="23">
        <f>Tabela1[[#This Row],[1QZ DE MARÇO 26]]-Tabela1[[#This Row],[SALDO PENDENTE COM CX REPR.]]-Tabela1[[#This Row],[SALDO CARTAO]]-Tabela1[[#This Row],[ADIANTAMENTO]]</f>
        <v>741.70000000000027</v>
      </c>
      <c r="Q299" s="23">
        <f>Tabela1[[#This Row],[1QZ DE MARÇO 26]]-Tabela1[[#This Row],[SALDO PENDENTE SEM CX REPR.]]-Tabela1[[#This Row],[SALDO CARTAO]]-Tabela1[[#This Row],[ADIANTAMENTO]]</f>
        <v>800</v>
      </c>
      <c r="R299" s="23">
        <v>0</v>
      </c>
      <c r="S299" s="40">
        <f>IF(Tabela1[[#This Row],[CARGA PARCIAL]]&lt;0,0,Tabela1[[#This Row],[CARGA PARCIAL]]+Tabela1[[#This Row],[REEMBOLSO]])</f>
        <v>741.70000000000027</v>
      </c>
      <c r="T299" s="40">
        <f>IF(Tabela1[[#This Row],[CARGA PARCIAL SEM CX REPROV.]]&lt;0,0,Tabela1[[#This Row],[CARGA PARCIAL]]+Tabela1[[#This Row],[REEMBOLSO]])</f>
        <v>741.70000000000027</v>
      </c>
      <c r="U299" s="24" t="s">
        <v>22</v>
      </c>
      <c r="V299" s="24"/>
    </row>
    <row r="300" spans="2:22" hidden="1" x14ac:dyDescent="0.25">
      <c r="B300" s="33" t="s">
        <v>973</v>
      </c>
      <c r="C300" s="33" t="s">
        <v>242</v>
      </c>
      <c r="D300" s="33" t="s">
        <v>18</v>
      </c>
      <c r="E300" s="33" t="s">
        <v>243</v>
      </c>
      <c r="F300" s="33">
        <v>11062450001</v>
      </c>
      <c r="G300" s="33" t="s">
        <v>48</v>
      </c>
      <c r="H300" s="33" t="s">
        <v>35</v>
      </c>
      <c r="I300" s="23">
        <v>0</v>
      </c>
      <c r="J300" s="23">
        <v>13.3900000000001</v>
      </c>
      <c r="K300" s="23">
        <v>0</v>
      </c>
      <c r="L300" s="23">
        <v>2908.28</v>
      </c>
      <c r="M300" s="23">
        <v>1000</v>
      </c>
      <c r="N300" s="23">
        <v>34.700000000000003</v>
      </c>
      <c r="O300" s="23">
        <v>0</v>
      </c>
      <c r="P300" s="23">
        <f>Tabela1[[#This Row],[1QZ DE MARÇO 26]]-Tabela1[[#This Row],[SALDO PENDENTE COM CX REPR.]]-Tabela1[[#This Row],[SALDO CARTAO]]-Tabela1[[#This Row],[ADIANTAMENTO]]</f>
        <v>951.90999999999985</v>
      </c>
      <c r="Q300" s="23">
        <f>Tabela1[[#This Row],[1QZ DE MARÇO 26]]-Tabela1[[#This Row],[SALDO PENDENTE SEM CX REPR.]]-Tabela1[[#This Row],[SALDO CARTAO]]-Tabela1[[#This Row],[ADIANTAMENTO]]</f>
        <v>-1942.9800000000002</v>
      </c>
      <c r="R300" s="23">
        <v>0</v>
      </c>
      <c r="S300" s="40">
        <f>IF(Tabela1[[#This Row],[CARGA PARCIAL]]&lt;0,0,Tabela1[[#This Row],[CARGA PARCIAL]]+Tabela1[[#This Row],[REEMBOLSO]])</f>
        <v>951.90999999999985</v>
      </c>
      <c r="T300" s="40">
        <f>IF(Tabela1[[#This Row],[CARGA PARCIAL SEM CX REPROV.]]&lt;0,0,Tabela1[[#This Row],[CARGA PARCIAL]]+Tabela1[[#This Row],[REEMBOLSO]])</f>
        <v>0</v>
      </c>
      <c r="U300" s="27" t="s">
        <v>22</v>
      </c>
      <c r="V300" s="24"/>
    </row>
    <row r="301" spans="2:22" hidden="1" x14ac:dyDescent="0.25">
      <c r="B301" s="35" t="s">
        <v>974</v>
      </c>
      <c r="C301" s="36" t="s">
        <v>208</v>
      </c>
      <c r="D301" s="34" t="s">
        <v>18</v>
      </c>
      <c r="E301" s="33" t="s">
        <v>88</v>
      </c>
      <c r="F301" s="33">
        <v>11040130001</v>
      </c>
      <c r="G301" s="33" t="s">
        <v>45</v>
      </c>
      <c r="H301" s="22" t="s">
        <v>39</v>
      </c>
      <c r="I301" s="23">
        <v>-36.650000000000148</v>
      </c>
      <c r="J301" s="23">
        <v>0</v>
      </c>
      <c r="K301" s="23">
        <v>0</v>
      </c>
      <c r="L301" s="23">
        <v>772.70000000000027</v>
      </c>
      <c r="M301" s="23">
        <v>120</v>
      </c>
      <c r="N301" s="23">
        <v>234.52</v>
      </c>
      <c r="O301" s="23">
        <v>0</v>
      </c>
      <c r="P301" s="23">
        <f>Tabela1[[#This Row],[1QZ DE MARÇO 26]]-Tabela1[[#This Row],[SALDO PENDENTE COM CX REPR.]]-Tabela1[[#This Row],[SALDO CARTAO]]-Tabela1[[#This Row],[ADIANTAMENTO]]</f>
        <v>-114.52000000000001</v>
      </c>
      <c r="Q301" s="23">
        <f>Tabela1[[#This Row],[1QZ DE MARÇO 26]]-Tabela1[[#This Row],[SALDO PENDENTE SEM CX REPR.]]-Tabela1[[#This Row],[SALDO CARTAO]]-Tabela1[[#This Row],[ADIANTAMENTO]]</f>
        <v>-887.22000000000025</v>
      </c>
      <c r="R301" s="23">
        <v>0</v>
      </c>
      <c r="S301" s="40">
        <f>IF(Tabela1[[#This Row],[CARGA PARCIAL]]&lt;0,0,Tabela1[[#This Row],[CARGA PARCIAL]]+Tabela1[[#This Row],[REEMBOLSO]])</f>
        <v>0</v>
      </c>
      <c r="T301" s="40">
        <f>IF(Tabela1[[#This Row],[CARGA PARCIAL SEM CX REPROV.]]&lt;0,0,Tabela1[[#This Row],[CARGA PARCIAL]]+Tabela1[[#This Row],[REEMBOLSO]])</f>
        <v>0</v>
      </c>
      <c r="U301" s="25" t="s">
        <v>22</v>
      </c>
      <c r="V301" s="26"/>
    </row>
    <row r="302" spans="2:22" x14ac:dyDescent="0.25">
      <c r="B302" s="37" t="s">
        <v>975</v>
      </c>
      <c r="C302" s="32" t="s">
        <v>333</v>
      </c>
      <c r="D302" s="33" t="s">
        <v>18</v>
      </c>
      <c r="E302" s="33" t="s">
        <v>283</v>
      </c>
      <c r="F302" s="33">
        <v>11040140001</v>
      </c>
      <c r="G302" s="33" t="s">
        <v>45</v>
      </c>
      <c r="H302" s="22" t="s">
        <v>39</v>
      </c>
      <c r="I302" s="23">
        <v>-13.39999999999989</v>
      </c>
      <c r="J302" s="23">
        <v>0</v>
      </c>
      <c r="K302" s="23">
        <v>0</v>
      </c>
      <c r="L302" s="23">
        <v>0</v>
      </c>
      <c r="M302" s="23">
        <v>100</v>
      </c>
      <c r="N302" s="23">
        <v>0</v>
      </c>
      <c r="O302" s="23">
        <v>0</v>
      </c>
      <c r="P302" s="23">
        <f>Tabela1[[#This Row],[1QZ DE MARÇO 26]]-Tabela1[[#This Row],[SALDO PENDENTE COM CX REPR.]]-Tabela1[[#This Row],[SALDO CARTAO]]-Tabela1[[#This Row],[ADIANTAMENTO]]</f>
        <v>100</v>
      </c>
      <c r="Q302" s="23">
        <f>Tabela1[[#This Row],[1QZ DE MARÇO 26]]-Tabela1[[#This Row],[SALDO PENDENTE SEM CX REPR.]]-Tabela1[[#This Row],[SALDO CARTAO]]-Tabela1[[#This Row],[ADIANTAMENTO]]</f>
        <v>100</v>
      </c>
      <c r="R302" s="23">
        <v>0</v>
      </c>
      <c r="S302" s="40">
        <f>IF(Tabela1[[#This Row],[CARGA PARCIAL]]&lt;0,0,Tabela1[[#This Row],[CARGA PARCIAL]]+Tabela1[[#This Row],[REEMBOLSO]])</f>
        <v>100</v>
      </c>
      <c r="T302" s="40">
        <f>IF(Tabela1[[#This Row],[CARGA PARCIAL SEM CX REPROV.]]&lt;0,0,Tabela1[[#This Row],[CARGA PARCIAL]]+Tabela1[[#This Row],[REEMBOLSO]])</f>
        <v>100</v>
      </c>
      <c r="U302" s="24" t="s">
        <v>22</v>
      </c>
      <c r="V302" s="24"/>
    </row>
    <row r="303" spans="2:22" x14ac:dyDescent="0.25">
      <c r="B303" s="34" t="s">
        <v>976</v>
      </c>
      <c r="C303" s="34" t="s">
        <v>402</v>
      </c>
      <c r="D303" s="34" t="s">
        <v>18</v>
      </c>
      <c r="E303" s="33" t="s">
        <v>137</v>
      </c>
      <c r="F303" s="33">
        <v>11030890001</v>
      </c>
      <c r="G303" s="33" t="s">
        <v>20</v>
      </c>
      <c r="H303" s="22" t="s">
        <v>21</v>
      </c>
      <c r="I303" s="23">
        <v>0</v>
      </c>
      <c r="J303" s="23">
        <v>1826.1499999999942</v>
      </c>
      <c r="K303" s="23">
        <v>0</v>
      </c>
      <c r="L303" s="23">
        <v>178.87999999999855</v>
      </c>
      <c r="M303" s="23">
        <v>6000</v>
      </c>
      <c r="N303" s="23">
        <v>681.81</v>
      </c>
      <c r="O303" s="23">
        <v>0</v>
      </c>
      <c r="P303" s="23">
        <f>Tabela1[[#This Row],[1QZ DE MARÇO 26]]-Tabela1[[#This Row],[SALDO PENDENTE COM CX REPR.]]-Tabela1[[#This Row],[SALDO CARTAO]]-Tabela1[[#This Row],[ADIANTAMENTO]]</f>
        <v>3492.0400000000059</v>
      </c>
      <c r="Q303" s="23">
        <f>Tabela1[[#This Row],[1QZ DE MARÇO 26]]-Tabela1[[#This Row],[SALDO PENDENTE SEM CX REPR.]]-Tabela1[[#This Row],[SALDO CARTAO]]-Tabela1[[#This Row],[ADIANTAMENTO]]</f>
        <v>5139.3100000000013</v>
      </c>
      <c r="R303" s="23">
        <v>0</v>
      </c>
      <c r="S303" s="40">
        <f>IF(Tabela1[[#This Row],[CARGA PARCIAL]]&lt;0,0,Tabela1[[#This Row],[CARGA PARCIAL]]+Tabela1[[#This Row],[REEMBOLSO]])</f>
        <v>3492.0400000000059</v>
      </c>
      <c r="T303" s="40">
        <f>IF(Tabela1[[#This Row],[CARGA PARCIAL SEM CX REPROV.]]&lt;0,0,Tabela1[[#This Row],[CARGA PARCIAL]]+Tabela1[[#This Row],[REEMBOLSO]])</f>
        <v>3492.0400000000059</v>
      </c>
      <c r="U303" s="25" t="s">
        <v>22</v>
      </c>
      <c r="V303" s="26"/>
    </row>
    <row r="304" spans="2:22" hidden="1" x14ac:dyDescent="0.25">
      <c r="B304" s="37" t="s">
        <v>977</v>
      </c>
      <c r="C304" s="32" t="s">
        <v>432</v>
      </c>
      <c r="D304" s="33" t="s">
        <v>18</v>
      </c>
      <c r="E304" s="33" t="s">
        <v>243</v>
      </c>
      <c r="F304" s="33">
        <v>11062450001</v>
      </c>
      <c r="G304" s="33" t="s">
        <v>48</v>
      </c>
      <c r="H304" s="22" t="s">
        <v>35</v>
      </c>
      <c r="I304" s="23">
        <v>0</v>
      </c>
      <c r="J304" s="23">
        <v>1705.37</v>
      </c>
      <c r="K304" s="23">
        <v>0</v>
      </c>
      <c r="L304" s="23">
        <v>534.02999999999884</v>
      </c>
      <c r="M304" s="23">
        <v>1500</v>
      </c>
      <c r="N304" s="23">
        <v>60.31</v>
      </c>
      <c r="O304" s="23">
        <v>0</v>
      </c>
      <c r="P304" s="23">
        <f>Tabela1[[#This Row],[1QZ DE MARÇO 26]]-Tabela1[[#This Row],[SALDO PENDENTE COM CX REPR.]]-Tabela1[[#This Row],[SALDO CARTAO]]-Tabela1[[#This Row],[ADIANTAMENTO]]</f>
        <v>-265.67999999999989</v>
      </c>
      <c r="Q304" s="23">
        <f>Tabela1[[#This Row],[1QZ DE MARÇO 26]]-Tabela1[[#This Row],[SALDO PENDENTE SEM CX REPR.]]-Tabela1[[#This Row],[SALDO CARTAO]]-Tabela1[[#This Row],[ADIANTAMENTO]]</f>
        <v>905.66000000000122</v>
      </c>
      <c r="R304" s="23">
        <v>0</v>
      </c>
      <c r="S304" s="40">
        <f>IF(Tabela1[[#This Row],[CARGA PARCIAL]]&lt;0,0,Tabela1[[#This Row],[CARGA PARCIAL]]+Tabela1[[#This Row],[REEMBOLSO]])</f>
        <v>0</v>
      </c>
      <c r="T304" s="40">
        <f>IF(Tabela1[[#This Row],[CARGA PARCIAL SEM CX REPROV.]]&lt;0,0,Tabela1[[#This Row],[CARGA PARCIAL]]+Tabela1[[#This Row],[REEMBOLSO]])</f>
        <v>-265.67999999999989</v>
      </c>
      <c r="U304" s="24" t="s">
        <v>22</v>
      </c>
      <c r="V304" s="24"/>
    </row>
    <row r="305" spans="2:22" x14ac:dyDescent="0.25">
      <c r="B305" s="31" t="s">
        <v>1136</v>
      </c>
      <c r="C305" s="32" t="s">
        <v>43</v>
      </c>
      <c r="D305" s="33" t="s">
        <v>18</v>
      </c>
      <c r="E305" s="33" t="s">
        <v>44</v>
      </c>
      <c r="F305" s="33">
        <v>1104150001</v>
      </c>
      <c r="G305" s="33" t="s">
        <v>45</v>
      </c>
      <c r="H305" s="22" t="s">
        <v>39</v>
      </c>
      <c r="I305" s="23">
        <v>-425.93999999999852</v>
      </c>
      <c r="J305" s="23">
        <v>0</v>
      </c>
      <c r="K305" s="23">
        <v>0</v>
      </c>
      <c r="L305" s="23">
        <v>0</v>
      </c>
      <c r="M305" s="23">
        <v>5600</v>
      </c>
      <c r="N305" s="23">
        <v>0</v>
      </c>
      <c r="O305" s="23">
        <v>0</v>
      </c>
      <c r="P305" s="23">
        <f>Tabela1[[#This Row],[1QZ DE MARÇO 26]]-Tabela1[[#This Row],[SALDO PENDENTE COM CX REPR.]]-Tabela1[[#This Row],[SALDO CARTAO]]-Tabela1[[#This Row],[ADIANTAMENTO]]</f>
        <v>5600</v>
      </c>
      <c r="Q305" s="23">
        <f>Tabela1[[#This Row],[1QZ DE MARÇO 26]]-Tabela1[[#This Row],[SALDO PENDENTE SEM CX REPR.]]-Tabela1[[#This Row],[SALDO CARTAO]]-Tabela1[[#This Row],[ADIANTAMENTO]]</f>
        <v>5600</v>
      </c>
      <c r="R305" s="23">
        <v>0</v>
      </c>
      <c r="S305" s="40">
        <f>IF(Tabela1[[#This Row],[CARGA PARCIAL]]&lt;0,0,Tabela1[[#This Row],[CARGA PARCIAL]]+Tabela1[[#This Row],[REEMBOLSO]])</f>
        <v>5600</v>
      </c>
      <c r="T305" s="40">
        <f>IF(Tabela1[[#This Row],[CARGA PARCIAL SEM CX REPROV.]]&lt;0,0,Tabela1[[#This Row],[CARGA PARCIAL]]+Tabela1[[#This Row],[REEMBOLSO]])</f>
        <v>5600</v>
      </c>
      <c r="U305" s="24" t="s">
        <v>22</v>
      </c>
      <c r="V305" s="24"/>
    </row>
    <row r="306" spans="2:22" hidden="1" x14ac:dyDescent="0.25">
      <c r="B306" s="31" t="s">
        <v>979</v>
      </c>
      <c r="C306" s="32" t="s">
        <v>349</v>
      </c>
      <c r="D306" s="33" t="s">
        <v>18</v>
      </c>
      <c r="E306" s="33" t="s">
        <v>283</v>
      </c>
      <c r="F306" s="33">
        <v>11040140001</v>
      </c>
      <c r="G306" s="33" t="s">
        <v>45</v>
      </c>
      <c r="H306" s="22" t="s">
        <v>39</v>
      </c>
      <c r="I306" s="23">
        <v>0</v>
      </c>
      <c r="J306" s="23">
        <v>114.49999999999994</v>
      </c>
      <c r="K306" s="23">
        <v>-542.36000000002969</v>
      </c>
      <c r="L306" s="23">
        <v>0</v>
      </c>
      <c r="M306" s="23">
        <v>100</v>
      </c>
      <c r="N306" s="23">
        <v>0</v>
      </c>
      <c r="O306" s="23">
        <v>0</v>
      </c>
      <c r="P306" s="23">
        <f>Tabela1[[#This Row],[1QZ DE MARÇO 26]]-Tabela1[[#This Row],[SALDO PENDENTE COM CX REPR.]]-Tabela1[[#This Row],[SALDO CARTAO]]-Tabela1[[#This Row],[ADIANTAMENTO]]</f>
        <v>-14.499999999999943</v>
      </c>
      <c r="Q306" s="23">
        <f>Tabela1[[#This Row],[1QZ DE MARÇO 26]]-Tabela1[[#This Row],[SALDO PENDENTE SEM CX REPR.]]-Tabela1[[#This Row],[SALDO CARTAO]]-Tabela1[[#This Row],[ADIANTAMENTO]]</f>
        <v>100</v>
      </c>
      <c r="R306" s="23">
        <v>0</v>
      </c>
      <c r="S306" s="40">
        <f>IF(Tabela1[[#This Row],[CARGA PARCIAL]]&lt;0,0,Tabela1[[#This Row],[CARGA PARCIAL]]+Tabela1[[#This Row],[REEMBOLSO]])</f>
        <v>0</v>
      </c>
      <c r="T306" s="40">
        <f>IF(Tabela1[[#This Row],[CARGA PARCIAL SEM CX REPROV.]]&lt;0,0,Tabela1[[#This Row],[CARGA PARCIAL]]+Tabela1[[#This Row],[REEMBOLSO]])</f>
        <v>-14.499999999999943</v>
      </c>
      <c r="U306" s="24" t="s">
        <v>22</v>
      </c>
      <c r="V306" s="24"/>
    </row>
    <row r="307" spans="2:22" hidden="1" x14ac:dyDescent="0.25">
      <c r="B307" s="37" t="s">
        <v>980</v>
      </c>
      <c r="C307" s="32" t="s">
        <v>523</v>
      </c>
      <c r="D307" s="33" t="s">
        <v>18</v>
      </c>
      <c r="E307" s="33" t="s">
        <v>283</v>
      </c>
      <c r="F307" s="33">
        <v>11040140001</v>
      </c>
      <c r="G307" s="33" t="s">
        <v>45</v>
      </c>
      <c r="H307" s="22" t="s">
        <v>39</v>
      </c>
      <c r="I307" s="23">
        <v>0</v>
      </c>
      <c r="J307" s="23">
        <v>84.6</v>
      </c>
      <c r="K307" s="23">
        <v>0</v>
      </c>
      <c r="L307" s="23">
        <v>142.99999999999989</v>
      </c>
      <c r="M307" s="23">
        <v>50</v>
      </c>
      <c r="N307" s="23">
        <v>0</v>
      </c>
      <c r="O307" s="23">
        <v>0</v>
      </c>
      <c r="P307" s="23">
        <f>Tabela1[[#This Row],[1QZ DE MARÇO 26]]-Tabela1[[#This Row],[SALDO PENDENTE COM CX REPR.]]-Tabela1[[#This Row],[SALDO CARTAO]]-Tabela1[[#This Row],[ADIANTAMENTO]]</f>
        <v>-34.599999999999994</v>
      </c>
      <c r="Q307" s="23">
        <f>Tabela1[[#This Row],[1QZ DE MARÇO 26]]-Tabela1[[#This Row],[SALDO PENDENTE SEM CX REPR.]]-Tabela1[[#This Row],[SALDO CARTAO]]-Tabela1[[#This Row],[ADIANTAMENTO]]</f>
        <v>-92.999999999999886</v>
      </c>
      <c r="R307" s="23">
        <v>0</v>
      </c>
      <c r="S307" s="40">
        <f>IF(Tabela1[[#This Row],[CARGA PARCIAL]]&lt;0,0,Tabela1[[#This Row],[CARGA PARCIAL]]+Tabela1[[#This Row],[REEMBOLSO]])</f>
        <v>0</v>
      </c>
      <c r="T307" s="40">
        <f>IF(Tabela1[[#This Row],[CARGA PARCIAL SEM CX REPROV.]]&lt;0,0,Tabela1[[#This Row],[CARGA PARCIAL]]+Tabela1[[#This Row],[REEMBOLSO]])</f>
        <v>0</v>
      </c>
      <c r="U307" s="24" t="s">
        <v>22</v>
      </c>
      <c r="V307" s="24"/>
    </row>
    <row r="308" spans="2:22" x14ac:dyDescent="0.25">
      <c r="B308" s="31" t="s">
        <v>981</v>
      </c>
      <c r="C308" s="32" t="s">
        <v>110</v>
      </c>
      <c r="D308" s="33" t="s">
        <v>18</v>
      </c>
      <c r="E308" s="33" t="s">
        <v>111</v>
      </c>
      <c r="F308" s="33">
        <v>11060710001</v>
      </c>
      <c r="G308" s="33" t="s">
        <v>28</v>
      </c>
      <c r="H308" s="22" t="s">
        <v>21</v>
      </c>
      <c r="I308" s="23">
        <v>0</v>
      </c>
      <c r="J308" s="23">
        <v>1139.7499999999563</v>
      </c>
      <c r="K308" s="23">
        <v>0</v>
      </c>
      <c r="L308" s="23">
        <v>697.44000000000051</v>
      </c>
      <c r="M308" s="23">
        <v>4000</v>
      </c>
      <c r="N308" s="23">
        <v>0</v>
      </c>
      <c r="O308" s="23">
        <v>0</v>
      </c>
      <c r="P308" s="23">
        <f>Tabela1[[#This Row],[1QZ DE MARÇO 26]]-Tabela1[[#This Row],[SALDO PENDENTE COM CX REPR.]]-Tabela1[[#This Row],[SALDO CARTAO]]-Tabela1[[#This Row],[ADIANTAMENTO]]</f>
        <v>2860.2500000000437</v>
      </c>
      <c r="Q308" s="23">
        <f>Tabela1[[#This Row],[1QZ DE MARÇO 26]]-Tabela1[[#This Row],[SALDO PENDENTE SEM CX REPR.]]-Tabela1[[#This Row],[SALDO CARTAO]]-Tabela1[[#This Row],[ADIANTAMENTO]]</f>
        <v>3302.5599999999995</v>
      </c>
      <c r="R308" s="23">
        <v>0</v>
      </c>
      <c r="S308" s="40">
        <f>IF(Tabela1[[#This Row],[CARGA PARCIAL]]&lt;0,0,Tabela1[[#This Row],[CARGA PARCIAL]]+Tabela1[[#This Row],[REEMBOLSO]])</f>
        <v>2860.2500000000437</v>
      </c>
      <c r="T308" s="40">
        <f>IF(Tabela1[[#This Row],[CARGA PARCIAL SEM CX REPROV.]]&lt;0,0,Tabela1[[#This Row],[CARGA PARCIAL]]+Tabela1[[#This Row],[REEMBOLSO]])</f>
        <v>2860.2500000000437</v>
      </c>
      <c r="U308" s="24" t="s">
        <v>22</v>
      </c>
      <c r="V308" s="24"/>
    </row>
    <row r="309" spans="2:22" x14ac:dyDescent="0.25">
      <c r="B309" s="37" t="s">
        <v>982</v>
      </c>
      <c r="C309" s="32" t="s">
        <v>40</v>
      </c>
      <c r="D309" s="33" t="s">
        <v>18</v>
      </c>
      <c r="E309" s="33" t="s">
        <v>41</v>
      </c>
      <c r="F309" s="33">
        <v>11030790001</v>
      </c>
      <c r="G309" s="33" t="s">
        <v>42</v>
      </c>
      <c r="H309" s="22" t="s">
        <v>39</v>
      </c>
      <c r="I309" s="23">
        <v>0</v>
      </c>
      <c r="J309" s="23">
        <v>2630.1599999999162</v>
      </c>
      <c r="K309" s="23">
        <v>-12.549999999999091</v>
      </c>
      <c r="L309" s="23">
        <v>0</v>
      </c>
      <c r="M309" s="23">
        <v>6500</v>
      </c>
      <c r="N309" s="23">
        <v>0</v>
      </c>
      <c r="O309" s="23">
        <v>0</v>
      </c>
      <c r="P309" s="23">
        <f>Tabela1[[#This Row],[1QZ DE MARÇO 26]]-Tabela1[[#This Row],[SALDO PENDENTE COM CX REPR.]]-Tabela1[[#This Row],[SALDO CARTAO]]-Tabela1[[#This Row],[ADIANTAMENTO]]</f>
        <v>3869.8400000000838</v>
      </c>
      <c r="Q309" s="23">
        <f>Tabela1[[#This Row],[1QZ DE MARÇO 26]]-Tabela1[[#This Row],[SALDO PENDENTE SEM CX REPR.]]-Tabela1[[#This Row],[SALDO CARTAO]]-Tabela1[[#This Row],[ADIANTAMENTO]]</f>
        <v>6500</v>
      </c>
      <c r="R309" s="23">
        <v>0</v>
      </c>
      <c r="S309" s="40">
        <f>IF(Tabela1[[#This Row],[CARGA PARCIAL]]&lt;0,0,Tabela1[[#This Row],[CARGA PARCIAL]]+Tabela1[[#This Row],[REEMBOLSO]])</f>
        <v>3869.8400000000838</v>
      </c>
      <c r="T309" s="40">
        <f>IF(Tabela1[[#This Row],[CARGA PARCIAL SEM CX REPROV.]]&lt;0,0,Tabela1[[#This Row],[CARGA PARCIAL]]+Tabela1[[#This Row],[REEMBOLSO]])</f>
        <v>3869.8400000000838</v>
      </c>
      <c r="U309" s="24" t="s">
        <v>22</v>
      </c>
      <c r="V309" s="24"/>
    </row>
    <row r="310" spans="2:22" hidden="1" x14ac:dyDescent="0.25">
      <c r="B310" s="37" t="s">
        <v>983</v>
      </c>
      <c r="C310" s="32" t="s">
        <v>600</v>
      </c>
      <c r="D310" s="33" t="s">
        <v>18</v>
      </c>
      <c r="E310" s="33" t="s">
        <v>73</v>
      </c>
      <c r="F310" s="33">
        <v>11030690001</v>
      </c>
      <c r="G310" s="33" t="s">
        <v>42</v>
      </c>
      <c r="H310" s="22" t="s">
        <v>39</v>
      </c>
      <c r="I310" s="23">
        <v>0</v>
      </c>
      <c r="J310" s="23">
        <v>1514.9999999999995</v>
      </c>
      <c r="K310" s="23">
        <v>-11.260000000000446</v>
      </c>
      <c r="L310" s="23">
        <v>0</v>
      </c>
      <c r="M310" s="23">
        <v>0</v>
      </c>
      <c r="N310" s="23">
        <v>0</v>
      </c>
      <c r="O310" s="23">
        <v>0</v>
      </c>
      <c r="P310" s="23">
        <f>Tabela1[[#This Row],[1QZ DE MARÇO 26]]-Tabela1[[#This Row],[SALDO PENDENTE COM CX REPR.]]-Tabela1[[#This Row],[SALDO CARTAO]]-Tabela1[[#This Row],[ADIANTAMENTO]]</f>
        <v>-1514.9999999999995</v>
      </c>
      <c r="Q310" s="23">
        <f>Tabela1[[#This Row],[1QZ DE MARÇO 26]]-Tabela1[[#This Row],[SALDO PENDENTE SEM CX REPR.]]-Tabela1[[#This Row],[SALDO CARTAO]]-Tabela1[[#This Row],[ADIANTAMENTO]]</f>
        <v>0</v>
      </c>
      <c r="R310" s="23">
        <v>0</v>
      </c>
      <c r="S310" s="40">
        <f>IF(Tabela1[[#This Row],[CARGA PARCIAL]]&lt;0,0,Tabela1[[#This Row],[CARGA PARCIAL]]+Tabela1[[#This Row],[REEMBOLSO]])</f>
        <v>0</v>
      </c>
      <c r="T310" s="40">
        <f>IF(Tabela1[[#This Row],[CARGA PARCIAL SEM CX REPROV.]]&lt;0,0,Tabela1[[#This Row],[CARGA PARCIAL]]+Tabela1[[#This Row],[REEMBOLSO]])</f>
        <v>-1514.9999999999995</v>
      </c>
      <c r="U310" s="24" t="s">
        <v>22</v>
      </c>
      <c r="V310" s="24"/>
    </row>
    <row r="311" spans="2:22" hidden="1" x14ac:dyDescent="0.25">
      <c r="B311" s="33" t="s">
        <v>984</v>
      </c>
      <c r="C311" s="33" t="s">
        <v>601</v>
      </c>
      <c r="D311" s="33" t="s">
        <v>18</v>
      </c>
      <c r="E311" s="33" t="s">
        <v>473</v>
      </c>
      <c r="F311" s="33">
        <v>11080200001</v>
      </c>
      <c r="G311" s="33" t="s">
        <v>20</v>
      </c>
      <c r="H311" s="33" t="s">
        <v>21</v>
      </c>
      <c r="I311" s="23">
        <v>0</v>
      </c>
      <c r="J311" s="23">
        <v>81.830000000000155</v>
      </c>
      <c r="K311" s="23">
        <v>0</v>
      </c>
      <c r="L311" s="23">
        <v>100</v>
      </c>
      <c r="M311" s="23">
        <v>0</v>
      </c>
      <c r="N311" s="23">
        <v>0</v>
      </c>
      <c r="O311" s="23">
        <v>0</v>
      </c>
      <c r="P311" s="23">
        <f>Tabela1[[#This Row],[1QZ DE MARÇO 26]]-Tabela1[[#This Row],[SALDO PENDENTE COM CX REPR.]]-Tabela1[[#This Row],[SALDO CARTAO]]-Tabela1[[#This Row],[ADIANTAMENTO]]</f>
        <v>-81.830000000000155</v>
      </c>
      <c r="Q311" s="23">
        <f>Tabela1[[#This Row],[1QZ DE MARÇO 26]]-Tabela1[[#This Row],[SALDO PENDENTE SEM CX REPR.]]-Tabela1[[#This Row],[SALDO CARTAO]]-Tabela1[[#This Row],[ADIANTAMENTO]]</f>
        <v>-100</v>
      </c>
      <c r="R311" s="23">
        <v>0</v>
      </c>
      <c r="S311" s="40">
        <f>IF(Tabela1[[#This Row],[CARGA PARCIAL]]&lt;0,0,Tabela1[[#This Row],[CARGA PARCIAL]]+Tabela1[[#This Row],[REEMBOLSO]])</f>
        <v>0</v>
      </c>
      <c r="T311" s="40">
        <f>IF(Tabela1[[#This Row],[CARGA PARCIAL SEM CX REPROV.]]&lt;0,0,Tabela1[[#This Row],[CARGA PARCIAL]]+Tabela1[[#This Row],[REEMBOLSO]])</f>
        <v>0</v>
      </c>
      <c r="U311" s="24" t="s">
        <v>22</v>
      </c>
      <c r="V311" s="24"/>
    </row>
    <row r="312" spans="2:22" hidden="1" x14ac:dyDescent="0.25">
      <c r="B312" s="31" t="s">
        <v>985</v>
      </c>
      <c r="C312" s="32" t="s">
        <v>328</v>
      </c>
      <c r="D312" s="33" t="s">
        <v>18</v>
      </c>
      <c r="E312" s="33" t="s">
        <v>283</v>
      </c>
      <c r="F312" s="33">
        <v>11040140001</v>
      </c>
      <c r="G312" s="33" t="s">
        <v>45</v>
      </c>
      <c r="H312" s="22" t="s">
        <v>39</v>
      </c>
      <c r="I312" s="23">
        <v>0</v>
      </c>
      <c r="J312" s="23">
        <v>187.21000000000004</v>
      </c>
      <c r="K312" s="23">
        <v>0</v>
      </c>
      <c r="L312" s="23">
        <v>103.20000000000005</v>
      </c>
      <c r="M312" s="23">
        <v>150</v>
      </c>
      <c r="N312" s="23">
        <v>1867</v>
      </c>
      <c r="O312" s="23">
        <v>0</v>
      </c>
      <c r="P312" s="23">
        <f>Tabela1[[#This Row],[1QZ DE MARÇO 26]]-Tabela1[[#This Row],[SALDO PENDENTE COM CX REPR.]]-Tabela1[[#This Row],[SALDO CARTAO]]-Tabela1[[#This Row],[ADIANTAMENTO]]</f>
        <v>-1904.21</v>
      </c>
      <c r="Q312" s="23">
        <f>Tabela1[[#This Row],[1QZ DE MARÇO 26]]-Tabela1[[#This Row],[SALDO PENDENTE SEM CX REPR.]]-Tabela1[[#This Row],[SALDO CARTAO]]-Tabela1[[#This Row],[ADIANTAMENTO]]</f>
        <v>-1820.2</v>
      </c>
      <c r="R312" s="23">
        <v>0</v>
      </c>
      <c r="S312" s="40">
        <f>IF(Tabela1[[#This Row],[CARGA PARCIAL]]&lt;0,0,Tabela1[[#This Row],[CARGA PARCIAL]]+Tabela1[[#This Row],[REEMBOLSO]])</f>
        <v>0</v>
      </c>
      <c r="T312" s="40">
        <f>IF(Tabela1[[#This Row],[CARGA PARCIAL SEM CX REPROV.]]&lt;0,0,Tabela1[[#This Row],[CARGA PARCIAL]]+Tabela1[[#This Row],[REEMBOLSO]])</f>
        <v>0</v>
      </c>
      <c r="U312" s="24" t="s">
        <v>22</v>
      </c>
      <c r="V312" s="24"/>
    </row>
    <row r="313" spans="2:22" hidden="1" x14ac:dyDescent="0.25">
      <c r="B313" s="33" t="s">
        <v>986</v>
      </c>
      <c r="C313" s="33" t="s">
        <v>602</v>
      </c>
      <c r="D313" s="33" t="s">
        <v>18</v>
      </c>
      <c r="E313" s="33" t="s">
        <v>44</v>
      </c>
      <c r="F313" s="33">
        <v>1104150001</v>
      </c>
      <c r="G313" s="33" t="s">
        <v>45</v>
      </c>
      <c r="H313" s="33" t="s">
        <v>39</v>
      </c>
      <c r="I313" s="23">
        <v>0</v>
      </c>
      <c r="J313" s="23">
        <v>3024.4000000000019</v>
      </c>
      <c r="K313" s="23">
        <v>0</v>
      </c>
      <c r="L313" s="23">
        <v>0</v>
      </c>
      <c r="M313" s="23">
        <v>0</v>
      </c>
      <c r="N313" s="23">
        <v>0</v>
      </c>
      <c r="O313" s="23">
        <v>0</v>
      </c>
      <c r="P313" s="23">
        <f>Tabela1[[#This Row],[1QZ DE MARÇO 26]]-Tabela1[[#This Row],[SALDO PENDENTE COM CX REPR.]]-Tabela1[[#This Row],[SALDO CARTAO]]-Tabela1[[#This Row],[ADIANTAMENTO]]</f>
        <v>-3024.4000000000019</v>
      </c>
      <c r="Q313" s="23">
        <f>Tabela1[[#This Row],[1QZ DE MARÇO 26]]-Tabela1[[#This Row],[SALDO PENDENTE SEM CX REPR.]]-Tabela1[[#This Row],[SALDO CARTAO]]-Tabela1[[#This Row],[ADIANTAMENTO]]</f>
        <v>0</v>
      </c>
      <c r="R313" s="23">
        <v>0</v>
      </c>
      <c r="S313" s="40">
        <f>IF(Tabela1[[#This Row],[CARGA PARCIAL]]&lt;0,0,Tabela1[[#This Row],[CARGA PARCIAL]]+Tabela1[[#This Row],[REEMBOLSO]])</f>
        <v>0</v>
      </c>
      <c r="T313" s="40">
        <f>IF(Tabela1[[#This Row],[CARGA PARCIAL SEM CX REPROV.]]&lt;0,0,Tabela1[[#This Row],[CARGA PARCIAL]]+Tabela1[[#This Row],[REEMBOLSO]])</f>
        <v>-3024.4000000000019</v>
      </c>
      <c r="U313" s="24" t="s">
        <v>22</v>
      </c>
      <c r="V313" s="24"/>
    </row>
    <row r="314" spans="2:22" hidden="1" x14ac:dyDescent="0.25">
      <c r="B314" s="37" t="s">
        <v>987</v>
      </c>
      <c r="C314" s="32" t="s">
        <v>603</v>
      </c>
      <c r="D314" s="33" t="s">
        <v>18</v>
      </c>
      <c r="E314" s="33" t="s">
        <v>604</v>
      </c>
      <c r="F314" s="33">
        <v>11061900001</v>
      </c>
      <c r="G314" s="33" t="s">
        <v>42</v>
      </c>
      <c r="H314" s="22" t="s">
        <v>39</v>
      </c>
      <c r="I314" s="23">
        <v>0</v>
      </c>
      <c r="J314" s="23">
        <v>29.15</v>
      </c>
      <c r="K314" s="23">
        <v>0</v>
      </c>
      <c r="L314" s="23">
        <v>999.99999999999955</v>
      </c>
      <c r="M314" s="23">
        <v>0</v>
      </c>
      <c r="N314" s="23">
        <v>0</v>
      </c>
      <c r="O314" s="23">
        <v>0</v>
      </c>
      <c r="P314" s="23">
        <f>Tabela1[[#This Row],[1QZ DE MARÇO 26]]-Tabela1[[#This Row],[SALDO PENDENTE COM CX REPR.]]-Tabela1[[#This Row],[SALDO CARTAO]]-Tabela1[[#This Row],[ADIANTAMENTO]]</f>
        <v>-29.15</v>
      </c>
      <c r="Q314" s="23">
        <f>Tabela1[[#This Row],[1QZ DE MARÇO 26]]-Tabela1[[#This Row],[SALDO PENDENTE SEM CX REPR.]]-Tabela1[[#This Row],[SALDO CARTAO]]-Tabela1[[#This Row],[ADIANTAMENTO]]</f>
        <v>-999.99999999999955</v>
      </c>
      <c r="R314" s="23">
        <v>0</v>
      </c>
      <c r="S314" s="40">
        <f>IF(Tabela1[[#This Row],[CARGA PARCIAL]]&lt;0,0,Tabela1[[#This Row],[CARGA PARCIAL]]+Tabela1[[#This Row],[REEMBOLSO]])</f>
        <v>0</v>
      </c>
      <c r="T314" s="40">
        <f>IF(Tabela1[[#This Row],[CARGA PARCIAL SEM CX REPROV.]]&lt;0,0,Tabela1[[#This Row],[CARGA PARCIAL]]+Tabela1[[#This Row],[REEMBOLSO]])</f>
        <v>0</v>
      </c>
      <c r="U314" s="24" t="s">
        <v>22</v>
      </c>
      <c r="V314" s="24"/>
    </row>
    <row r="315" spans="2:22" x14ac:dyDescent="0.25">
      <c r="B315" s="39" t="s">
        <v>911</v>
      </c>
      <c r="C315" s="36" t="s">
        <v>147</v>
      </c>
      <c r="D315" s="34" t="s">
        <v>18</v>
      </c>
      <c r="E315" s="33" t="s">
        <v>27</v>
      </c>
      <c r="F315" s="33">
        <v>11030870001</v>
      </c>
      <c r="G315" s="33" t="s">
        <v>28</v>
      </c>
      <c r="H315" s="22" t="s">
        <v>21</v>
      </c>
      <c r="I315" s="23">
        <v>-513.61999999999966</v>
      </c>
      <c r="J315" s="23">
        <v>0</v>
      </c>
      <c r="K315" s="23">
        <v>0</v>
      </c>
      <c r="L315" s="23">
        <v>500</v>
      </c>
      <c r="M315" s="23">
        <v>1000</v>
      </c>
      <c r="N315" s="23">
        <v>477.3</v>
      </c>
      <c r="O315" s="23">
        <v>0</v>
      </c>
      <c r="P315" s="23">
        <f>Tabela1[[#This Row],[1QZ DE MARÇO 26]]-Tabela1[[#This Row],[SALDO PENDENTE COM CX REPR.]]-Tabela1[[#This Row],[SALDO CARTAO]]-Tabela1[[#This Row],[ADIANTAMENTO]]</f>
        <v>522.70000000000005</v>
      </c>
      <c r="Q315" s="23">
        <f>Tabela1[[#This Row],[1QZ DE MARÇO 26]]-Tabela1[[#This Row],[SALDO PENDENTE SEM CX REPR.]]-Tabela1[[#This Row],[SALDO CARTAO]]-Tabela1[[#This Row],[ADIANTAMENTO]]</f>
        <v>22.699999999999989</v>
      </c>
      <c r="R315" s="23">
        <v>513.61999999999966</v>
      </c>
      <c r="S315" s="40">
        <f>IF(Tabela1[[#This Row],[CARGA PARCIAL]]&lt;0,0,Tabela1[[#This Row],[CARGA PARCIAL]]+Tabela1[[#This Row],[REEMBOLSO]])</f>
        <v>1036.3199999999997</v>
      </c>
      <c r="T315" s="40">
        <f>IF(Tabela1[[#This Row],[CARGA PARCIAL SEM CX REPROV.]]&lt;0,0,Tabela1[[#This Row],[CARGA PARCIAL]]+Tabela1[[#This Row],[REEMBOLSO]])</f>
        <v>1036.3199999999997</v>
      </c>
      <c r="U315" s="25" t="s">
        <v>22</v>
      </c>
      <c r="V315" s="26"/>
    </row>
    <row r="316" spans="2:22" hidden="1" x14ac:dyDescent="0.25">
      <c r="B316" s="33" t="s">
        <v>989</v>
      </c>
      <c r="C316" s="33" t="s">
        <v>441</v>
      </c>
      <c r="D316" s="33" t="s">
        <v>18</v>
      </c>
      <c r="E316" s="33" t="s">
        <v>119</v>
      </c>
      <c r="F316" s="33">
        <v>11030640001</v>
      </c>
      <c r="G316" s="33" t="s">
        <v>38</v>
      </c>
      <c r="H316" s="22" t="s">
        <v>39</v>
      </c>
      <c r="I316" s="23">
        <v>0</v>
      </c>
      <c r="J316" s="23">
        <v>1074.9800000000005</v>
      </c>
      <c r="K316" s="23">
        <v>-380.00000000000045</v>
      </c>
      <c r="L316" s="23">
        <v>0</v>
      </c>
      <c r="M316" s="23">
        <v>1000</v>
      </c>
      <c r="N316" s="23">
        <v>15.68</v>
      </c>
      <c r="O316" s="23">
        <v>0</v>
      </c>
      <c r="P316" s="23">
        <f>Tabela1[[#This Row],[1QZ DE MARÇO 26]]-Tabela1[[#This Row],[SALDO PENDENTE COM CX REPR.]]-Tabela1[[#This Row],[SALDO CARTAO]]-Tabela1[[#This Row],[ADIANTAMENTO]]</f>
        <v>-90.66000000000048</v>
      </c>
      <c r="Q316" s="23">
        <f>Tabela1[[#This Row],[1QZ DE MARÇO 26]]-Tabela1[[#This Row],[SALDO PENDENTE SEM CX REPR.]]-Tabela1[[#This Row],[SALDO CARTAO]]-Tabela1[[#This Row],[ADIANTAMENTO]]</f>
        <v>984.32</v>
      </c>
      <c r="R316" s="23">
        <v>0</v>
      </c>
      <c r="S316" s="40">
        <f>IF(Tabela1[[#This Row],[CARGA PARCIAL]]&lt;0,0,Tabela1[[#This Row],[CARGA PARCIAL]]+Tabela1[[#This Row],[REEMBOLSO]])</f>
        <v>0</v>
      </c>
      <c r="T316" s="40">
        <f>IF(Tabela1[[#This Row],[CARGA PARCIAL SEM CX REPROV.]]&lt;0,0,Tabela1[[#This Row],[CARGA PARCIAL]]+Tabela1[[#This Row],[REEMBOLSO]])</f>
        <v>-90.66000000000048</v>
      </c>
      <c r="U316" s="24" t="s">
        <v>22</v>
      </c>
      <c r="V316" s="24"/>
    </row>
    <row r="317" spans="2:22" hidden="1" x14ac:dyDescent="0.25">
      <c r="B317" s="31" t="s">
        <v>990</v>
      </c>
      <c r="C317" s="32" t="s">
        <v>433</v>
      </c>
      <c r="D317" s="33" t="s">
        <v>18</v>
      </c>
      <c r="E317" s="33" t="s">
        <v>319</v>
      </c>
      <c r="F317" s="33">
        <v>11061430001</v>
      </c>
      <c r="G317" s="33" t="s">
        <v>25</v>
      </c>
      <c r="H317" s="22" t="s">
        <v>21</v>
      </c>
      <c r="I317" s="23">
        <v>0</v>
      </c>
      <c r="J317" s="23">
        <v>916.9800000000032</v>
      </c>
      <c r="K317" s="23">
        <v>0</v>
      </c>
      <c r="L317" s="23">
        <v>1849.2499999999998</v>
      </c>
      <c r="M317" s="23">
        <v>800</v>
      </c>
      <c r="N317" s="23">
        <v>243.87</v>
      </c>
      <c r="O317" s="23">
        <v>0</v>
      </c>
      <c r="P317" s="23">
        <f>Tabela1[[#This Row],[1QZ DE MARÇO 26]]-Tabela1[[#This Row],[SALDO PENDENTE COM CX REPR.]]-Tabela1[[#This Row],[SALDO CARTAO]]-Tabela1[[#This Row],[ADIANTAMENTO]]</f>
        <v>-360.85000000000321</v>
      </c>
      <c r="Q317" s="23">
        <f>Tabela1[[#This Row],[1QZ DE MARÇO 26]]-Tabela1[[#This Row],[SALDO PENDENTE SEM CX REPR.]]-Tabela1[[#This Row],[SALDO CARTAO]]-Tabela1[[#This Row],[ADIANTAMENTO]]</f>
        <v>-1293.1199999999999</v>
      </c>
      <c r="R317" s="23">
        <v>0</v>
      </c>
      <c r="S317" s="40">
        <f>IF(Tabela1[[#This Row],[CARGA PARCIAL]]&lt;0,0,Tabela1[[#This Row],[CARGA PARCIAL]]+Tabela1[[#This Row],[REEMBOLSO]])</f>
        <v>0</v>
      </c>
      <c r="T317" s="40">
        <f>IF(Tabela1[[#This Row],[CARGA PARCIAL SEM CX REPROV.]]&lt;0,0,Tabela1[[#This Row],[CARGA PARCIAL]]+Tabela1[[#This Row],[REEMBOLSO]])</f>
        <v>0</v>
      </c>
      <c r="U317" s="24" t="s">
        <v>22</v>
      </c>
      <c r="V317" s="24"/>
    </row>
    <row r="318" spans="2:22" hidden="1" x14ac:dyDescent="0.25">
      <c r="B318" s="31" t="s">
        <v>991</v>
      </c>
      <c r="C318" s="32" t="s">
        <v>664</v>
      </c>
      <c r="D318" s="33" t="s">
        <v>672</v>
      </c>
      <c r="E318" s="33" t="s">
        <v>189</v>
      </c>
      <c r="F318" s="33">
        <v>11061400001</v>
      </c>
      <c r="G318" s="33" t="s">
        <v>42</v>
      </c>
      <c r="H318" s="22" t="s">
        <v>39</v>
      </c>
      <c r="I318" s="23">
        <v>-87</v>
      </c>
      <c r="J318" s="23">
        <v>0</v>
      </c>
      <c r="K318" s="23">
        <v>0</v>
      </c>
      <c r="L318" s="23">
        <v>37.570000000000164</v>
      </c>
      <c r="M318" s="23">
        <v>0</v>
      </c>
      <c r="N318" s="23">
        <v>0</v>
      </c>
      <c r="O318" s="23">
        <v>0</v>
      </c>
      <c r="P318" s="23">
        <f>Tabela1[[#This Row],[1QZ DE MARÇO 26]]-Tabela1[[#This Row],[SALDO PENDENTE COM CX REPR.]]-Tabela1[[#This Row],[SALDO CARTAO]]-Tabela1[[#This Row],[ADIANTAMENTO]]</f>
        <v>0</v>
      </c>
      <c r="Q318" s="23">
        <f>Tabela1[[#This Row],[1QZ DE MARÇO 26]]-Tabela1[[#This Row],[SALDO PENDENTE SEM CX REPR.]]-Tabela1[[#This Row],[SALDO CARTAO]]-Tabela1[[#This Row],[ADIANTAMENTO]]</f>
        <v>-37.570000000000164</v>
      </c>
      <c r="R318" s="23">
        <v>0</v>
      </c>
      <c r="S318" s="40">
        <f>IF(Tabela1[[#This Row],[CARGA PARCIAL]]&lt;0,0,Tabela1[[#This Row],[CARGA PARCIAL]]+Tabela1[[#This Row],[REEMBOLSO]])</f>
        <v>0</v>
      </c>
      <c r="T318" s="40">
        <f>IF(Tabela1[[#This Row],[CARGA PARCIAL SEM CX REPROV.]]&lt;0,0,Tabela1[[#This Row],[CARGA PARCIAL]]+Tabela1[[#This Row],[REEMBOLSO]])</f>
        <v>0</v>
      </c>
      <c r="U318" s="24" t="s">
        <v>22</v>
      </c>
      <c r="V318" s="24"/>
    </row>
    <row r="319" spans="2:22" hidden="1" x14ac:dyDescent="0.25">
      <c r="B319" s="37" t="s">
        <v>930</v>
      </c>
      <c r="C319" s="32" t="s">
        <v>358</v>
      </c>
      <c r="D319" s="33" t="s">
        <v>18</v>
      </c>
      <c r="E319" s="33" t="s">
        <v>84</v>
      </c>
      <c r="F319" s="33">
        <v>11030750001</v>
      </c>
      <c r="G319" s="33" t="s">
        <v>38</v>
      </c>
      <c r="H319" s="22" t="s">
        <v>39</v>
      </c>
      <c r="I319" s="23">
        <v>-542.36000000002969</v>
      </c>
      <c r="J319" s="23">
        <v>0</v>
      </c>
      <c r="K319" s="23">
        <v>0</v>
      </c>
      <c r="L319" s="23">
        <v>3.2000000000132331</v>
      </c>
      <c r="M319" s="23">
        <v>0</v>
      </c>
      <c r="N319" s="23">
        <v>2.72</v>
      </c>
      <c r="O319" s="23">
        <v>0</v>
      </c>
      <c r="P319" s="23">
        <f>Tabela1[[#This Row],[1QZ DE MARÇO 26]]-Tabela1[[#This Row],[SALDO PENDENTE COM CX REPR.]]-Tabela1[[#This Row],[SALDO CARTAO]]-Tabela1[[#This Row],[ADIANTAMENTO]]</f>
        <v>-2.72</v>
      </c>
      <c r="Q319" s="23">
        <f>Tabela1[[#This Row],[1QZ DE MARÇO 26]]-Tabela1[[#This Row],[SALDO PENDENTE SEM CX REPR.]]-Tabela1[[#This Row],[SALDO CARTAO]]-Tabela1[[#This Row],[ADIANTAMENTO]]</f>
        <v>-5.9200000000132338</v>
      </c>
      <c r="R319" s="23">
        <v>0</v>
      </c>
      <c r="S319" s="40">
        <f>IF(Tabela1[[#This Row],[CARGA PARCIAL]]&lt;0,0,Tabela1[[#This Row],[CARGA PARCIAL]]+Tabela1[[#This Row],[REEMBOLSO]])</f>
        <v>0</v>
      </c>
      <c r="T319" s="40">
        <f>IF(Tabela1[[#This Row],[CARGA PARCIAL SEM CX REPROV.]]&lt;0,0,Tabela1[[#This Row],[CARGA PARCIAL]]+Tabela1[[#This Row],[REEMBOLSO]])</f>
        <v>0</v>
      </c>
      <c r="U319" s="24" t="s">
        <v>22</v>
      </c>
      <c r="V319" s="24"/>
    </row>
    <row r="320" spans="2:22" x14ac:dyDescent="0.25">
      <c r="B320" s="31" t="s">
        <v>993</v>
      </c>
      <c r="C320" s="32" t="s">
        <v>296</v>
      </c>
      <c r="D320" s="33" t="s">
        <v>18</v>
      </c>
      <c r="E320" s="33" t="s">
        <v>119</v>
      </c>
      <c r="F320" s="33">
        <v>11030640001</v>
      </c>
      <c r="G320" s="33" t="s">
        <v>38</v>
      </c>
      <c r="H320" s="22" t="s">
        <v>39</v>
      </c>
      <c r="I320" s="23">
        <v>0</v>
      </c>
      <c r="J320" s="23">
        <v>119.28000000000426</v>
      </c>
      <c r="K320" s="23">
        <v>0</v>
      </c>
      <c r="L320" s="23">
        <v>295</v>
      </c>
      <c r="M320" s="23">
        <v>800</v>
      </c>
      <c r="N320" s="23">
        <v>0</v>
      </c>
      <c r="O320" s="23">
        <v>0</v>
      </c>
      <c r="P320" s="23">
        <f>Tabela1[[#This Row],[1QZ DE MARÇO 26]]-Tabela1[[#This Row],[SALDO PENDENTE COM CX REPR.]]-Tabela1[[#This Row],[SALDO CARTAO]]-Tabela1[[#This Row],[ADIANTAMENTO]]</f>
        <v>680.71999999999571</v>
      </c>
      <c r="Q320" s="23">
        <f>Tabela1[[#This Row],[1QZ DE MARÇO 26]]-Tabela1[[#This Row],[SALDO PENDENTE SEM CX REPR.]]-Tabela1[[#This Row],[SALDO CARTAO]]-Tabela1[[#This Row],[ADIANTAMENTO]]</f>
        <v>505</v>
      </c>
      <c r="R320" s="23">
        <v>0</v>
      </c>
      <c r="S320" s="40">
        <f>IF(Tabela1[[#This Row],[CARGA PARCIAL]]&lt;0,0,Tabela1[[#This Row],[CARGA PARCIAL]]+Tabela1[[#This Row],[REEMBOLSO]])</f>
        <v>680.71999999999571</v>
      </c>
      <c r="T320" s="40">
        <f>IF(Tabela1[[#This Row],[CARGA PARCIAL SEM CX REPROV.]]&lt;0,0,Tabela1[[#This Row],[CARGA PARCIAL]]+Tabela1[[#This Row],[REEMBOLSO]])</f>
        <v>680.71999999999571</v>
      </c>
      <c r="U320" s="24" t="s">
        <v>22</v>
      </c>
      <c r="V320" s="24"/>
    </row>
    <row r="321" spans="2:22" hidden="1" x14ac:dyDescent="0.25">
      <c r="B321" s="33" t="s">
        <v>994</v>
      </c>
      <c r="C321" s="33" t="s">
        <v>437</v>
      </c>
      <c r="D321" s="33" t="s">
        <v>18</v>
      </c>
      <c r="E321" s="33" t="s">
        <v>319</v>
      </c>
      <c r="F321" s="33">
        <v>11061430001</v>
      </c>
      <c r="G321" s="33" t="s">
        <v>25</v>
      </c>
      <c r="H321" s="22" t="s">
        <v>21</v>
      </c>
      <c r="I321" s="23">
        <v>0</v>
      </c>
      <c r="J321" s="23">
        <v>5097.63</v>
      </c>
      <c r="K321" s="23">
        <v>0</v>
      </c>
      <c r="L321" s="23">
        <v>0</v>
      </c>
      <c r="M321" s="23">
        <v>0</v>
      </c>
      <c r="N321" s="23">
        <v>0</v>
      </c>
      <c r="O321" s="23">
        <v>0</v>
      </c>
      <c r="P321" s="23">
        <f>Tabela1[[#This Row],[1QZ DE MARÇO 26]]-Tabela1[[#This Row],[SALDO PENDENTE COM CX REPR.]]-Tabela1[[#This Row],[SALDO CARTAO]]-Tabela1[[#This Row],[ADIANTAMENTO]]</f>
        <v>-5097.63</v>
      </c>
      <c r="Q321" s="23">
        <f>Tabela1[[#This Row],[1QZ DE MARÇO 26]]-Tabela1[[#This Row],[SALDO PENDENTE SEM CX REPR.]]-Tabela1[[#This Row],[SALDO CARTAO]]-Tabela1[[#This Row],[ADIANTAMENTO]]</f>
        <v>0</v>
      </c>
      <c r="R321" s="23">
        <v>0</v>
      </c>
      <c r="S321" s="40">
        <f>IF(Tabela1[[#This Row],[CARGA PARCIAL]]&lt;0,0,Tabela1[[#This Row],[CARGA PARCIAL]]+Tabela1[[#This Row],[REEMBOLSO]])</f>
        <v>0</v>
      </c>
      <c r="T321" s="40">
        <f>IF(Tabela1[[#This Row],[CARGA PARCIAL SEM CX REPROV.]]&lt;0,0,Tabela1[[#This Row],[CARGA PARCIAL]]+Tabela1[[#This Row],[REEMBOLSO]])</f>
        <v>-5097.63</v>
      </c>
      <c r="U321" s="24" t="s">
        <v>22</v>
      </c>
      <c r="V321" s="24"/>
    </row>
    <row r="322" spans="2:22" x14ac:dyDescent="0.25">
      <c r="B322" s="31" t="s">
        <v>1092</v>
      </c>
      <c r="C322" s="32" t="s">
        <v>334</v>
      </c>
      <c r="D322" s="33" t="s">
        <v>18</v>
      </c>
      <c r="E322" s="33" t="s">
        <v>95</v>
      </c>
      <c r="F322" s="33">
        <v>11040160001</v>
      </c>
      <c r="G322" s="33" t="s">
        <v>48</v>
      </c>
      <c r="H322" s="22" t="s">
        <v>35</v>
      </c>
      <c r="I322" s="23">
        <v>-700.01999999999975</v>
      </c>
      <c r="J322" s="23">
        <v>0</v>
      </c>
      <c r="K322" s="23">
        <v>-284.70999999999913</v>
      </c>
      <c r="L322" s="23">
        <v>0</v>
      </c>
      <c r="M322" s="23">
        <v>500</v>
      </c>
      <c r="N322" s="23">
        <v>19</v>
      </c>
      <c r="O322" s="23">
        <v>0</v>
      </c>
      <c r="P322" s="23">
        <f>Tabela1[[#This Row],[1QZ DE MARÇO 26]]-Tabela1[[#This Row],[SALDO PENDENTE COM CX REPR.]]-Tabela1[[#This Row],[SALDO CARTAO]]-Tabela1[[#This Row],[ADIANTAMENTO]]</f>
        <v>481</v>
      </c>
      <c r="Q322" s="23">
        <f>Tabela1[[#This Row],[1QZ DE MARÇO 26]]-Tabela1[[#This Row],[SALDO PENDENTE SEM CX REPR.]]-Tabela1[[#This Row],[SALDO CARTAO]]-Tabela1[[#This Row],[ADIANTAMENTO]]</f>
        <v>481</v>
      </c>
      <c r="R322" s="23">
        <v>700.01999999999975</v>
      </c>
      <c r="S322" s="40">
        <f>IF(Tabela1[[#This Row],[CARGA PARCIAL]]&lt;0,0,Tabela1[[#This Row],[CARGA PARCIAL]]+Tabela1[[#This Row],[REEMBOLSO]])</f>
        <v>1181.0199999999998</v>
      </c>
      <c r="T322" s="40">
        <f>IF(Tabela1[[#This Row],[CARGA PARCIAL SEM CX REPROV.]]&lt;0,0,Tabela1[[#This Row],[CARGA PARCIAL]]+Tabela1[[#This Row],[REEMBOLSO]])</f>
        <v>1181.0199999999998</v>
      </c>
      <c r="U322" s="24" t="s">
        <v>22</v>
      </c>
      <c r="V322" s="24"/>
    </row>
    <row r="323" spans="2:22" hidden="1" x14ac:dyDescent="0.25">
      <c r="B323" s="33" t="s">
        <v>996</v>
      </c>
      <c r="C323" s="33" t="s">
        <v>289</v>
      </c>
      <c r="D323" s="33" t="s">
        <v>18</v>
      </c>
      <c r="E323" s="33" t="s">
        <v>262</v>
      </c>
      <c r="F323" s="33">
        <v>11030800001</v>
      </c>
      <c r="G323" s="33" t="s">
        <v>48</v>
      </c>
      <c r="H323" s="33" t="s">
        <v>35</v>
      </c>
      <c r="I323" s="23">
        <v>0</v>
      </c>
      <c r="J323" s="23">
        <v>1260.8999999999996</v>
      </c>
      <c r="K323" s="23">
        <v>0</v>
      </c>
      <c r="L323" s="23">
        <v>0</v>
      </c>
      <c r="M323" s="23">
        <v>1000</v>
      </c>
      <c r="N323" s="23">
        <v>12.54</v>
      </c>
      <c r="O323" s="23">
        <v>0</v>
      </c>
      <c r="P323" s="23">
        <f>Tabela1[[#This Row],[1QZ DE MARÇO 26]]-Tabela1[[#This Row],[SALDO PENDENTE COM CX REPR.]]-Tabela1[[#This Row],[SALDO CARTAO]]-Tabela1[[#This Row],[ADIANTAMENTO]]</f>
        <v>-273.43999999999966</v>
      </c>
      <c r="Q323" s="23">
        <f>Tabela1[[#This Row],[1QZ DE MARÇO 26]]-Tabela1[[#This Row],[SALDO PENDENTE SEM CX REPR.]]-Tabela1[[#This Row],[SALDO CARTAO]]-Tabela1[[#This Row],[ADIANTAMENTO]]</f>
        <v>987.46</v>
      </c>
      <c r="R323" s="23">
        <v>0</v>
      </c>
      <c r="S323" s="40">
        <f>IF(Tabela1[[#This Row],[CARGA PARCIAL]]&lt;0,0,Tabela1[[#This Row],[CARGA PARCIAL]]+Tabela1[[#This Row],[REEMBOLSO]])</f>
        <v>0</v>
      </c>
      <c r="T323" s="40">
        <f>IF(Tabela1[[#This Row],[CARGA PARCIAL SEM CX REPROV.]]&lt;0,0,Tabela1[[#This Row],[CARGA PARCIAL]]+Tabela1[[#This Row],[REEMBOLSO]])</f>
        <v>-273.43999999999966</v>
      </c>
      <c r="U323" s="24" t="s">
        <v>22</v>
      </c>
      <c r="V323" s="24"/>
    </row>
    <row r="324" spans="2:22" x14ac:dyDescent="0.25">
      <c r="B324" s="37" t="s">
        <v>849</v>
      </c>
      <c r="C324" s="32" t="s">
        <v>356</v>
      </c>
      <c r="D324" s="33" t="s">
        <v>18</v>
      </c>
      <c r="E324" s="33" t="s">
        <v>24</v>
      </c>
      <c r="F324" s="33">
        <v>11030290001</v>
      </c>
      <c r="G324" s="33" t="s">
        <v>25</v>
      </c>
      <c r="H324" s="22" t="s">
        <v>21</v>
      </c>
      <c r="I324" s="23">
        <v>-840.84000000000378</v>
      </c>
      <c r="J324" s="23">
        <v>0</v>
      </c>
      <c r="K324" s="23">
        <v>0</v>
      </c>
      <c r="L324" s="23">
        <v>0</v>
      </c>
      <c r="M324" s="23">
        <v>8000</v>
      </c>
      <c r="N324" s="23">
        <v>0</v>
      </c>
      <c r="O324" s="23">
        <v>0</v>
      </c>
      <c r="P324" s="23">
        <f>Tabela1[[#This Row],[1QZ DE MARÇO 26]]-Tabela1[[#This Row],[SALDO PENDENTE COM CX REPR.]]-Tabela1[[#This Row],[SALDO CARTAO]]-Tabela1[[#This Row],[ADIANTAMENTO]]</f>
        <v>8000</v>
      </c>
      <c r="Q324" s="23">
        <f>Tabela1[[#This Row],[1QZ DE MARÇO 26]]-Tabela1[[#This Row],[SALDO PENDENTE SEM CX REPR.]]-Tabela1[[#This Row],[SALDO CARTAO]]-Tabela1[[#This Row],[ADIANTAMENTO]]</f>
        <v>8000</v>
      </c>
      <c r="R324" s="23">
        <v>0</v>
      </c>
      <c r="S324" s="40">
        <f>IF(Tabela1[[#This Row],[CARGA PARCIAL]]&lt;0,0,Tabela1[[#This Row],[CARGA PARCIAL]]+Tabela1[[#This Row],[REEMBOLSO]])</f>
        <v>8000</v>
      </c>
      <c r="T324" s="40">
        <f>IF(Tabela1[[#This Row],[CARGA PARCIAL SEM CX REPROV.]]&lt;0,0,Tabela1[[#This Row],[CARGA PARCIAL]]+Tabela1[[#This Row],[REEMBOLSO]])</f>
        <v>8000</v>
      </c>
      <c r="U324" s="24" t="s">
        <v>22</v>
      </c>
      <c r="V324" s="24"/>
    </row>
    <row r="325" spans="2:22" hidden="1" x14ac:dyDescent="0.25">
      <c r="B325" s="37" t="s">
        <v>998</v>
      </c>
      <c r="C325" s="32" t="s">
        <v>280</v>
      </c>
      <c r="D325" s="33" t="s">
        <v>18</v>
      </c>
      <c r="E325" s="33" t="s">
        <v>281</v>
      </c>
      <c r="F325" s="33">
        <v>11010330001</v>
      </c>
      <c r="G325" s="33" t="s">
        <v>38</v>
      </c>
      <c r="H325" s="22" t="s">
        <v>39</v>
      </c>
      <c r="I325" s="23">
        <v>-19.769999999999243</v>
      </c>
      <c r="J325" s="23">
        <v>0</v>
      </c>
      <c r="K325" s="23">
        <v>0</v>
      </c>
      <c r="L325" s="23">
        <v>706.36000000000058</v>
      </c>
      <c r="M325" s="23">
        <v>500</v>
      </c>
      <c r="N325" s="23">
        <v>6.66</v>
      </c>
      <c r="O325" s="23">
        <v>0</v>
      </c>
      <c r="P325" s="23">
        <f>Tabela1[[#This Row],[1QZ DE MARÇO 26]]-Tabela1[[#This Row],[SALDO PENDENTE COM CX REPR.]]-Tabela1[[#This Row],[SALDO CARTAO]]-Tabela1[[#This Row],[ADIANTAMENTO]]</f>
        <v>493.34</v>
      </c>
      <c r="Q325" s="23">
        <f>Tabela1[[#This Row],[1QZ DE MARÇO 26]]-Tabela1[[#This Row],[SALDO PENDENTE SEM CX REPR.]]-Tabela1[[#This Row],[SALDO CARTAO]]-Tabela1[[#This Row],[ADIANTAMENTO]]</f>
        <v>-213.02000000000058</v>
      </c>
      <c r="R325" s="23">
        <v>0</v>
      </c>
      <c r="S325" s="40">
        <f>IF(Tabela1[[#This Row],[CARGA PARCIAL]]&lt;0,0,Tabela1[[#This Row],[CARGA PARCIAL]]+Tabela1[[#This Row],[REEMBOLSO]])</f>
        <v>493.34</v>
      </c>
      <c r="T325" s="40">
        <f>IF(Tabela1[[#This Row],[CARGA PARCIAL SEM CX REPROV.]]&lt;0,0,Tabela1[[#This Row],[CARGA PARCIAL]]+Tabela1[[#This Row],[REEMBOLSO]])</f>
        <v>0</v>
      </c>
      <c r="U325" s="24" t="s">
        <v>22</v>
      </c>
      <c r="V325" s="24"/>
    </row>
    <row r="326" spans="2:22" hidden="1" x14ac:dyDescent="0.25">
      <c r="B326" s="37" t="s">
        <v>1069</v>
      </c>
      <c r="C326" s="32" t="s">
        <v>113</v>
      </c>
      <c r="D326" s="33" t="s">
        <v>18</v>
      </c>
      <c r="E326" s="33" t="s">
        <v>67</v>
      </c>
      <c r="F326" s="33">
        <v>11030840001</v>
      </c>
      <c r="G326" s="33" t="s">
        <v>38</v>
      </c>
      <c r="H326" s="22" t="s">
        <v>39</v>
      </c>
      <c r="I326" s="23">
        <v>-962.80999999999369</v>
      </c>
      <c r="J326" s="23">
        <v>0</v>
      </c>
      <c r="K326" s="23">
        <v>0</v>
      </c>
      <c r="L326" s="23">
        <v>2918.5299999999952</v>
      </c>
      <c r="M326" s="23">
        <v>1800</v>
      </c>
      <c r="N326" s="23">
        <v>0</v>
      </c>
      <c r="O326" s="23">
        <v>0</v>
      </c>
      <c r="P326" s="23">
        <f>Tabela1[[#This Row],[1QZ DE MARÇO 26]]-Tabela1[[#This Row],[SALDO PENDENTE COM CX REPR.]]-Tabela1[[#This Row],[SALDO CARTAO]]-Tabela1[[#This Row],[ADIANTAMENTO]]</f>
        <v>1800</v>
      </c>
      <c r="Q326" s="23">
        <f>Tabela1[[#This Row],[1QZ DE MARÇO 26]]-Tabela1[[#This Row],[SALDO PENDENTE SEM CX REPR.]]-Tabela1[[#This Row],[SALDO CARTAO]]-Tabela1[[#This Row],[ADIANTAMENTO]]</f>
        <v>-1118.5299999999952</v>
      </c>
      <c r="R326" s="23">
        <v>962.80999999999369</v>
      </c>
      <c r="S326" s="40">
        <f>IF(Tabela1[[#This Row],[CARGA PARCIAL]]&lt;0,0,Tabela1[[#This Row],[CARGA PARCIAL]]+Tabela1[[#This Row],[REEMBOLSO]])</f>
        <v>2762.8099999999936</v>
      </c>
      <c r="T326" s="40">
        <f>IF(Tabela1[[#This Row],[CARGA PARCIAL SEM CX REPROV.]]&lt;0,0,Tabela1[[#This Row],[CARGA PARCIAL]]+Tabela1[[#This Row],[REEMBOLSO]])</f>
        <v>0</v>
      </c>
      <c r="U326" s="24" t="s">
        <v>22</v>
      </c>
      <c r="V326" s="24"/>
    </row>
    <row r="327" spans="2:22" hidden="1" x14ac:dyDescent="0.25">
      <c r="B327" s="37" t="s">
        <v>1000</v>
      </c>
      <c r="C327" s="32" t="s">
        <v>232</v>
      </c>
      <c r="D327" s="33" t="s">
        <v>18</v>
      </c>
      <c r="E327" s="33" t="s">
        <v>233</v>
      </c>
      <c r="F327" s="33">
        <v>11110340001</v>
      </c>
      <c r="G327" s="33" t="s">
        <v>28</v>
      </c>
      <c r="H327" s="22" t="s">
        <v>21</v>
      </c>
      <c r="I327" s="23">
        <v>0</v>
      </c>
      <c r="J327" s="23">
        <v>622.14000000000124</v>
      </c>
      <c r="K327" s="23">
        <v>0</v>
      </c>
      <c r="L327" s="23">
        <v>2626.78</v>
      </c>
      <c r="M327" s="23">
        <v>700</v>
      </c>
      <c r="N327" s="23">
        <v>281.66000000000003</v>
      </c>
      <c r="O327" s="23">
        <v>0</v>
      </c>
      <c r="P327" s="23">
        <f>Tabela1[[#This Row],[1QZ DE MARÇO 26]]-Tabela1[[#This Row],[SALDO PENDENTE COM CX REPR.]]-Tabela1[[#This Row],[SALDO CARTAO]]-Tabela1[[#This Row],[ADIANTAMENTO]]</f>
        <v>-203.80000000000126</v>
      </c>
      <c r="Q327" s="23">
        <f>Tabela1[[#This Row],[1QZ DE MARÇO 26]]-Tabela1[[#This Row],[SALDO PENDENTE SEM CX REPR.]]-Tabela1[[#This Row],[SALDO CARTAO]]-Tabela1[[#This Row],[ADIANTAMENTO]]</f>
        <v>-2208.44</v>
      </c>
      <c r="R327" s="23">
        <v>0</v>
      </c>
      <c r="S327" s="40">
        <f>IF(Tabela1[[#This Row],[CARGA PARCIAL]]&lt;0,0,Tabela1[[#This Row],[CARGA PARCIAL]]+Tabela1[[#This Row],[REEMBOLSO]])</f>
        <v>0</v>
      </c>
      <c r="T327" s="40">
        <f>IF(Tabela1[[#This Row],[CARGA PARCIAL SEM CX REPROV.]]&lt;0,0,Tabela1[[#This Row],[CARGA PARCIAL]]+Tabela1[[#This Row],[REEMBOLSO]])</f>
        <v>0</v>
      </c>
      <c r="U327" s="24" t="s">
        <v>22</v>
      </c>
      <c r="V327" s="24"/>
    </row>
    <row r="328" spans="2:22" hidden="1" x14ac:dyDescent="0.25">
      <c r="B328" s="37" t="s">
        <v>1001</v>
      </c>
      <c r="C328" s="32" t="s">
        <v>609</v>
      </c>
      <c r="D328" s="33" t="s">
        <v>18</v>
      </c>
      <c r="E328" s="33" t="s">
        <v>373</v>
      </c>
      <c r="F328" s="33">
        <v>1201004</v>
      </c>
      <c r="G328" s="33" t="s">
        <v>374</v>
      </c>
      <c r="H328" s="22" t="s">
        <v>375</v>
      </c>
      <c r="I328" s="23">
        <v>-10.000000000000455</v>
      </c>
      <c r="J328" s="23">
        <v>0</v>
      </c>
      <c r="K328" s="23">
        <v>0</v>
      </c>
      <c r="L328" s="23">
        <v>0</v>
      </c>
      <c r="M328" s="23">
        <v>0</v>
      </c>
      <c r="N328" s="23">
        <v>506</v>
      </c>
      <c r="O328" s="23">
        <v>0</v>
      </c>
      <c r="P328" s="23">
        <f>Tabela1[[#This Row],[1QZ DE MARÇO 26]]-Tabela1[[#This Row],[SALDO PENDENTE COM CX REPR.]]-Tabela1[[#This Row],[SALDO CARTAO]]-Tabela1[[#This Row],[ADIANTAMENTO]]</f>
        <v>-506</v>
      </c>
      <c r="Q328" s="23">
        <f>Tabela1[[#This Row],[1QZ DE MARÇO 26]]-Tabela1[[#This Row],[SALDO PENDENTE SEM CX REPR.]]-Tabela1[[#This Row],[SALDO CARTAO]]-Tabela1[[#This Row],[ADIANTAMENTO]]</f>
        <v>-506</v>
      </c>
      <c r="R328" s="23">
        <v>0</v>
      </c>
      <c r="S328" s="40">
        <f>IF(Tabela1[[#This Row],[CARGA PARCIAL]]&lt;0,0,Tabela1[[#This Row],[CARGA PARCIAL]]+Tabela1[[#This Row],[REEMBOLSO]])</f>
        <v>0</v>
      </c>
      <c r="T328" s="40">
        <f>IF(Tabela1[[#This Row],[CARGA PARCIAL SEM CX REPROV.]]&lt;0,0,Tabela1[[#This Row],[CARGA PARCIAL]]+Tabela1[[#This Row],[REEMBOLSO]])</f>
        <v>0</v>
      </c>
      <c r="U328" s="24" t="s">
        <v>22</v>
      </c>
      <c r="V328" s="24"/>
    </row>
    <row r="329" spans="2:22" hidden="1" x14ac:dyDescent="0.25">
      <c r="B329" s="31" t="s">
        <v>1002</v>
      </c>
      <c r="C329" s="32" t="s">
        <v>322</v>
      </c>
      <c r="D329" s="33" t="s">
        <v>18</v>
      </c>
      <c r="E329" s="33" t="s">
        <v>163</v>
      </c>
      <c r="F329" s="33">
        <v>11062020001</v>
      </c>
      <c r="G329" s="33" t="s">
        <v>42</v>
      </c>
      <c r="H329" s="22" t="s">
        <v>39</v>
      </c>
      <c r="I329" s="23">
        <v>0</v>
      </c>
      <c r="J329" s="23">
        <v>101.44999999999901</v>
      </c>
      <c r="K329" s="23">
        <v>0</v>
      </c>
      <c r="L329" s="23">
        <v>500.00000000000068</v>
      </c>
      <c r="M329" s="23">
        <v>250</v>
      </c>
      <c r="N329" s="23">
        <v>0</v>
      </c>
      <c r="O329" s="23">
        <v>0</v>
      </c>
      <c r="P329" s="23">
        <f>Tabela1[[#This Row],[1QZ DE MARÇO 26]]-Tabela1[[#This Row],[SALDO PENDENTE COM CX REPR.]]-Tabela1[[#This Row],[SALDO CARTAO]]-Tabela1[[#This Row],[ADIANTAMENTO]]</f>
        <v>148.55000000000098</v>
      </c>
      <c r="Q329" s="23">
        <f>Tabela1[[#This Row],[1QZ DE MARÇO 26]]-Tabela1[[#This Row],[SALDO PENDENTE SEM CX REPR.]]-Tabela1[[#This Row],[SALDO CARTAO]]-Tabela1[[#This Row],[ADIANTAMENTO]]</f>
        <v>-250.00000000000068</v>
      </c>
      <c r="R329" s="23">
        <v>0</v>
      </c>
      <c r="S329" s="40">
        <f>IF(Tabela1[[#This Row],[CARGA PARCIAL]]&lt;0,0,Tabela1[[#This Row],[CARGA PARCIAL]]+Tabela1[[#This Row],[REEMBOLSO]])</f>
        <v>148.55000000000098</v>
      </c>
      <c r="T329" s="40">
        <f>IF(Tabela1[[#This Row],[CARGA PARCIAL SEM CX REPROV.]]&lt;0,0,Tabela1[[#This Row],[CARGA PARCIAL]]+Tabela1[[#This Row],[REEMBOLSO]])</f>
        <v>0</v>
      </c>
      <c r="U329" s="24" t="s">
        <v>22</v>
      </c>
      <c r="V329" s="24"/>
    </row>
    <row r="330" spans="2:22" hidden="1" x14ac:dyDescent="0.25">
      <c r="B330" s="35" t="s">
        <v>1003</v>
      </c>
      <c r="C330" s="36" t="s">
        <v>323</v>
      </c>
      <c r="D330" s="34" t="s">
        <v>18</v>
      </c>
      <c r="E330" s="33" t="s">
        <v>324</v>
      </c>
      <c r="F330" s="33">
        <v>11010270001</v>
      </c>
      <c r="G330" s="33" t="s">
        <v>42</v>
      </c>
      <c r="H330" s="22" t="s">
        <v>39</v>
      </c>
      <c r="I330" s="23">
        <v>0</v>
      </c>
      <c r="J330" s="23">
        <v>500</v>
      </c>
      <c r="K330" s="23">
        <v>0</v>
      </c>
      <c r="L330" s="23">
        <v>600</v>
      </c>
      <c r="M330" s="23">
        <v>500</v>
      </c>
      <c r="N330" s="23">
        <v>13</v>
      </c>
      <c r="O330" s="23">
        <v>0</v>
      </c>
      <c r="P330" s="23">
        <f>Tabela1[[#This Row],[1QZ DE MARÇO 26]]-Tabela1[[#This Row],[SALDO PENDENTE COM CX REPR.]]-Tabela1[[#This Row],[SALDO CARTAO]]-Tabela1[[#This Row],[ADIANTAMENTO]]</f>
        <v>-13</v>
      </c>
      <c r="Q330" s="23">
        <f>Tabela1[[#This Row],[1QZ DE MARÇO 26]]-Tabela1[[#This Row],[SALDO PENDENTE SEM CX REPR.]]-Tabela1[[#This Row],[SALDO CARTAO]]-Tabela1[[#This Row],[ADIANTAMENTO]]</f>
        <v>-113</v>
      </c>
      <c r="R330" s="23">
        <v>0</v>
      </c>
      <c r="S330" s="40">
        <f>IF(Tabela1[[#This Row],[CARGA PARCIAL]]&lt;0,0,Tabela1[[#This Row],[CARGA PARCIAL]]+Tabela1[[#This Row],[REEMBOLSO]])</f>
        <v>0</v>
      </c>
      <c r="T330" s="40">
        <f>IF(Tabela1[[#This Row],[CARGA PARCIAL SEM CX REPROV.]]&lt;0,0,Tabela1[[#This Row],[CARGA PARCIAL]]+Tabela1[[#This Row],[REEMBOLSO]])</f>
        <v>0</v>
      </c>
      <c r="U330" s="25" t="s">
        <v>22</v>
      </c>
      <c r="V330" s="26"/>
    </row>
    <row r="331" spans="2:22" x14ac:dyDescent="0.25">
      <c r="B331" s="33" t="s">
        <v>1122</v>
      </c>
      <c r="C331" s="33" t="s">
        <v>160</v>
      </c>
      <c r="D331" s="33" t="s">
        <v>18</v>
      </c>
      <c r="E331" s="33" t="s">
        <v>161</v>
      </c>
      <c r="F331" s="33">
        <v>11010170001</v>
      </c>
      <c r="G331" s="33" t="s">
        <v>48</v>
      </c>
      <c r="H331" s="22" t="s">
        <v>35</v>
      </c>
      <c r="I331" s="23">
        <v>-999.05999999999949</v>
      </c>
      <c r="J331" s="23">
        <v>0</v>
      </c>
      <c r="K331" s="23">
        <v>0</v>
      </c>
      <c r="L331" s="23">
        <v>188.06</v>
      </c>
      <c r="M331" s="23">
        <v>1000</v>
      </c>
      <c r="N331" s="23">
        <v>493</v>
      </c>
      <c r="O331" s="23">
        <v>0</v>
      </c>
      <c r="P331" s="23">
        <f>Tabela1[[#This Row],[1QZ DE MARÇO 26]]-Tabela1[[#This Row],[SALDO PENDENTE COM CX REPR.]]-Tabela1[[#This Row],[SALDO CARTAO]]-Tabela1[[#This Row],[ADIANTAMENTO]]</f>
        <v>507</v>
      </c>
      <c r="Q331" s="23">
        <f>Tabela1[[#This Row],[1QZ DE MARÇO 26]]-Tabela1[[#This Row],[SALDO PENDENTE SEM CX REPR.]]-Tabela1[[#This Row],[SALDO CARTAO]]-Tabela1[[#This Row],[ADIANTAMENTO]]</f>
        <v>318.94000000000005</v>
      </c>
      <c r="R331" s="23">
        <v>999.05999999999949</v>
      </c>
      <c r="S331" s="40">
        <f>IF(Tabela1[[#This Row],[CARGA PARCIAL]]&lt;0,0,Tabela1[[#This Row],[CARGA PARCIAL]]+Tabela1[[#This Row],[REEMBOLSO]])</f>
        <v>1506.0599999999995</v>
      </c>
      <c r="T331" s="40">
        <f>IF(Tabela1[[#This Row],[CARGA PARCIAL SEM CX REPROV.]]&lt;0,0,Tabela1[[#This Row],[CARGA PARCIAL]]+Tabela1[[#This Row],[REEMBOLSO]])</f>
        <v>1506.0599999999995</v>
      </c>
      <c r="U331" s="24" t="s">
        <v>22</v>
      </c>
      <c r="V331" s="24"/>
    </row>
    <row r="332" spans="2:22" x14ac:dyDescent="0.25">
      <c r="B332" s="34" t="s">
        <v>1005</v>
      </c>
      <c r="C332" s="34" t="s">
        <v>444</v>
      </c>
      <c r="D332" s="34" t="s">
        <v>18</v>
      </c>
      <c r="E332" s="33" t="s">
        <v>24</v>
      </c>
      <c r="F332" s="33">
        <v>11030290001</v>
      </c>
      <c r="G332" s="33" t="s">
        <v>25</v>
      </c>
      <c r="H332" s="22" t="s">
        <v>21</v>
      </c>
      <c r="I332" s="23">
        <v>0</v>
      </c>
      <c r="J332" s="23">
        <v>2918.5300000000025</v>
      </c>
      <c r="K332" s="23">
        <v>0</v>
      </c>
      <c r="L332" s="23">
        <v>0</v>
      </c>
      <c r="M332" s="23">
        <v>5000</v>
      </c>
      <c r="N332" s="23">
        <v>0</v>
      </c>
      <c r="O332" s="23">
        <v>0</v>
      </c>
      <c r="P332" s="23">
        <f>Tabela1[[#This Row],[1QZ DE MARÇO 26]]-Tabela1[[#This Row],[SALDO PENDENTE COM CX REPR.]]-Tabela1[[#This Row],[SALDO CARTAO]]-Tabela1[[#This Row],[ADIANTAMENTO]]</f>
        <v>2081.4699999999975</v>
      </c>
      <c r="Q332" s="23">
        <f>Tabela1[[#This Row],[1QZ DE MARÇO 26]]-Tabela1[[#This Row],[SALDO PENDENTE SEM CX REPR.]]-Tabela1[[#This Row],[SALDO CARTAO]]-Tabela1[[#This Row],[ADIANTAMENTO]]</f>
        <v>5000</v>
      </c>
      <c r="R332" s="23">
        <v>0</v>
      </c>
      <c r="S332" s="40">
        <f>IF(Tabela1[[#This Row],[CARGA PARCIAL]]&lt;0,0,Tabela1[[#This Row],[CARGA PARCIAL]]+Tabela1[[#This Row],[REEMBOLSO]])</f>
        <v>2081.4699999999975</v>
      </c>
      <c r="T332" s="40">
        <f>IF(Tabela1[[#This Row],[CARGA PARCIAL SEM CX REPROV.]]&lt;0,0,Tabela1[[#This Row],[CARGA PARCIAL]]+Tabela1[[#This Row],[REEMBOLSO]])</f>
        <v>2081.4699999999975</v>
      </c>
      <c r="U332" s="25" t="s">
        <v>22</v>
      </c>
      <c r="V332" s="26"/>
    </row>
    <row r="333" spans="2:22" x14ac:dyDescent="0.25">
      <c r="B333" s="31" t="s">
        <v>1006</v>
      </c>
      <c r="C333" s="32" t="s">
        <v>81</v>
      </c>
      <c r="D333" s="33" t="s">
        <v>18</v>
      </c>
      <c r="E333" s="33" t="s">
        <v>82</v>
      </c>
      <c r="F333" s="33">
        <v>11061880001</v>
      </c>
      <c r="G333" s="33" t="s">
        <v>48</v>
      </c>
      <c r="H333" s="22" t="s">
        <v>35</v>
      </c>
      <c r="I333" s="23">
        <v>0</v>
      </c>
      <c r="J333" s="23">
        <v>213.56000000002678</v>
      </c>
      <c r="K333" s="23">
        <v>0</v>
      </c>
      <c r="L333" s="23">
        <v>0</v>
      </c>
      <c r="M333" s="23">
        <v>2000</v>
      </c>
      <c r="N333" s="23">
        <v>0</v>
      </c>
      <c r="O333" s="23">
        <v>0</v>
      </c>
      <c r="P333" s="23">
        <f>Tabela1[[#This Row],[1QZ DE MARÇO 26]]-Tabela1[[#This Row],[SALDO PENDENTE COM CX REPR.]]-Tabela1[[#This Row],[SALDO CARTAO]]-Tabela1[[#This Row],[ADIANTAMENTO]]</f>
        <v>1786.4399999999732</v>
      </c>
      <c r="Q333" s="23">
        <f>Tabela1[[#This Row],[1QZ DE MARÇO 26]]-Tabela1[[#This Row],[SALDO PENDENTE SEM CX REPR.]]-Tabela1[[#This Row],[SALDO CARTAO]]-Tabela1[[#This Row],[ADIANTAMENTO]]</f>
        <v>2000</v>
      </c>
      <c r="R333" s="23">
        <v>0</v>
      </c>
      <c r="S333" s="40">
        <f>IF(Tabela1[[#This Row],[CARGA PARCIAL]]&lt;0,0,Tabela1[[#This Row],[CARGA PARCIAL]]+Tabela1[[#This Row],[REEMBOLSO]])</f>
        <v>1786.4399999999732</v>
      </c>
      <c r="T333" s="40">
        <f>IF(Tabela1[[#This Row],[CARGA PARCIAL SEM CX REPROV.]]&lt;0,0,Tabela1[[#This Row],[CARGA PARCIAL]]+Tabela1[[#This Row],[REEMBOLSO]])</f>
        <v>1786.4399999999732</v>
      </c>
      <c r="U333" s="24" t="s">
        <v>22</v>
      </c>
      <c r="V333" s="24"/>
    </row>
    <row r="334" spans="2:22" hidden="1" x14ac:dyDescent="0.25">
      <c r="B334" s="37" t="s">
        <v>1007</v>
      </c>
      <c r="C334" s="32" t="s">
        <v>665</v>
      </c>
      <c r="D334" s="33" t="s">
        <v>18</v>
      </c>
      <c r="E334" s="33" t="s">
        <v>532</v>
      </c>
      <c r="F334" s="33">
        <v>11063050001</v>
      </c>
      <c r="G334" s="33" t="s">
        <v>54</v>
      </c>
      <c r="H334" s="22" t="s">
        <v>39</v>
      </c>
      <c r="I334" s="23">
        <v>0</v>
      </c>
      <c r="J334" s="23">
        <v>2646.5</v>
      </c>
      <c r="K334" s="23">
        <v>0</v>
      </c>
      <c r="L334" s="23">
        <v>36.000000000001634</v>
      </c>
      <c r="M334" s="23">
        <v>0</v>
      </c>
      <c r="N334" s="23">
        <v>0</v>
      </c>
      <c r="O334" s="23">
        <v>0</v>
      </c>
      <c r="P334" s="23">
        <f>Tabela1[[#This Row],[1QZ DE MARÇO 26]]-Tabela1[[#This Row],[SALDO PENDENTE COM CX REPR.]]-Tabela1[[#This Row],[SALDO CARTAO]]-Tabela1[[#This Row],[ADIANTAMENTO]]</f>
        <v>-2646.5</v>
      </c>
      <c r="Q334" s="23">
        <f>Tabela1[[#This Row],[1QZ DE MARÇO 26]]-Tabela1[[#This Row],[SALDO PENDENTE SEM CX REPR.]]-Tabela1[[#This Row],[SALDO CARTAO]]-Tabela1[[#This Row],[ADIANTAMENTO]]</f>
        <v>-36.000000000001634</v>
      </c>
      <c r="R334" s="23">
        <v>0</v>
      </c>
      <c r="S334" s="40">
        <f>IF(Tabela1[[#This Row],[CARGA PARCIAL]]&lt;0,0,Tabela1[[#This Row],[CARGA PARCIAL]]+Tabela1[[#This Row],[REEMBOLSO]])</f>
        <v>0</v>
      </c>
      <c r="T334" s="40">
        <f>IF(Tabela1[[#This Row],[CARGA PARCIAL SEM CX REPROV.]]&lt;0,0,Tabela1[[#This Row],[CARGA PARCIAL]]+Tabela1[[#This Row],[REEMBOLSO]])</f>
        <v>0</v>
      </c>
      <c r="U334" s="24" t="s">
        <v>22</v>
      </c>
      <c r="V334" s="24"/>
    </row>
    <row r="335" spans="2:22" hidden="1" x14ac:dyDescent="0.25">
      <c r="B335" s="33" t="s">
        <v>1008</v>
      </c>
      <c r="C335" s="33" t="s">
        <v>219</v>
      </c>
      <c r="D335" s="33" t="s">
        <v>18</v>
      </c>
      <c r="E335" s="33" t="s">
        <v>44</v>
      </c>
      <c r="F335" s="33">
        <v>1104150001</v>
      </c>
      <c r="G335" s="33" t="s">
        <v>45</v>
      </c>
      <c r="H335" s="33" t="s">
        <v>39</v>
      </c>
      <c r="I335" s="23">
        <v>0</v>
      </c>
      <c r="J335" s="23">
        <v>41.499999999999432</v>
      </c>
      <c r="K335" s="23">
        <v>0</v>
      </c>
      <c r="L335" s="23">
        <v>1154.6899999999996</v>
      </c>
      <c r="M335" s="23">
        <v>0</v>
      </c>
      <c r="N335" s="23">
        <v>5</v>
      </c>
      <c r="O335" s="23">
        <v>0</v>
      </c>
      <c r="P335" s="23">
        <f>Tabela1[[#This Row],[1QZ DE MARÇO 26]]-Tabela1[[#This Row],[SALDO PENDENTE COM CX REPR.]]-Tabela1[[#This Row],[SALDO CARTAO]]-Tabela1[[#This Row],[ADIANTAMENTO]]</f>
        <v>-46.499999999999432</v>
      </c>
      <c r="Q335" s="23">
        <f>Tabela1[[#This Row],[1QZ DE MARÇO 26]]-Tabela1[[#This Row],[SALDO PENDENTE SEM CX REPR.]]-Tabela1[[#This Row],[SALDO CARTAO]]-Tabela1[[#This Row],[ADIANTAMENTO]]</f>
        <v>-1159.6899999999996</v>
      </c>
      <c r="R335" s="23">
        <v>0</v>
      </c>
      <c r="S335" s="40">
        <f>IF(Tabela1[[#This Row],[CARGA PARCIAL]]&lt;0,0,Tabela1[[#This Row],[CARGA PARCIAL]]+Tabela1[[#This Row],[REEMBOLSO]])</f>
        <v>0</v>
      </c>
      <c r="T335" s="40">
        <f>IF(Tabela1[[#This Row],[CARGA PARCIAL SEM CX REPROV.]]&lt;0,0,Tabela1[[#This Row],[CARGA PARCIAL]]+Tabela1[[#This Row],[REEMBOLSO]])</f>
        <v>0</v>
      </c>
      <c r="U335" s="24" t="s">
        <v>22</v>
      </c>
      <c r="V335" s="24"/>
    </row>
    <row r="336" spans="2:22" hidden="1" x14ac:dyDescent="0.25">
      <c r="B336" s="33" t="s">
        <v>1028</v>
      </c>
      <c r="C336" s="33" t="s">
        <v>546</v>
      </c>
      <c r="D336" s="33" t="s">
        <v>18</v>
      </c>
      <c r="E336" s="33" t="s">
        <v>547</v>
      </c>
      <c r="F336" s="33">
        <v>11030810001</v>
      </c>
      <c r="G336" s="33" t="s">
        <v>25</v>
      </c>
      <c r="H336" s="22" t="s">
        <v>21</v>
      </c>
      <c r="I336" s="23">
        <v>-1174.6400000000051</v>
      </c>
      <c r="J336" s="23">
        <v>0</v>
      </c>
      <c r="K336" s="23">
        <v>0</v>
      </c>
      <c r="L336" s="23">
        <v>2031.2500000000025</v>
      </c>
      <c r="M336" s="23">
        <v>1000</v>
      </c>
      <c r="N336" s="23">
        <v>8.76</v>
      </c>
      <c r="O336" s="23">
        <v>0</v>
      </c>
      <c r="P336" s="23">
        <f>Tabela1[[#This Row],[1QZ DE MARÇO 26]]-Tabela1[[#This Row],[SALDO PENDENTE COM CX REPR.]]-Tabela1[[#This Row],[SALDO CARTAO]]-Tabela1[[#This Row],[ADIANTAMENTO]]</f>
        <v>991.24</v>
      </c>
      <c r="Q336" s="23">
        <f>Tabela1[[#This Row],[1QZ DE MARÇO 26]]-Tabela1[[#This Row],[SALDO PENDENTE SEM CX REPR.]]-Tabela1[[#This Row],[SALDO CARTAO]]-Tabela1[[#This Row],[ADIANTAMENTO]]</f>
        <v>-1040.0100000000025</v>
      </c>
      <c r="R336" s="23">
        <v>0</v>
      </c>
      <c r="S336" s="40">
        <f>IF(Tabela1[[#This Row],[CARGA PARCIAL]]&lt;0,0,Tabela1[[#This Row],[CARGA PARCIAL]]+Tabela1[[#This Row],[REEMBOLSO]])</f>
        <v>991.24</v>
      </c>
      <c r="T336" s="40">
        <f>IF(Tabela1[[#This Row],[CARGA PARCIAL SEM CX REPROV.]]&lt;0,0,Tabela1[[#This Row],[CARGA PARCIAL]]+Tabela1[[#This Row],[REEMBOLSO]])</f>
        <v>0</v>
      </c>
      <c r="U336" s="24" t="s">
        <v>22</v>
      </c>
      <c r="V336" s="24"/>
    </row>
    <row r="337" spans="2:22" hidden="1" x14ac:dyDescent="0.25">
      <c r="B337" s="33" t="s">
        <v>1010</v>
      </c>
      <c r="C337" s="33" t="s">
        <v>537</v>
      </c>
      <c r="D337" s="33" t="s">
        <v>18</v>
      </c>
      <c r="E337" s="33" t="s">
        <v>319</v>
      </c>
      <c r="F337" s="33">
        <v>11061430001</v>
      </c>
      <c r="G337" s="33" t="s">
        <v>25</v>
      </c>
      <c r="H337" s="33" t="s">
        <v>21</v>
      </c>
      <c r="I337" s="23">
        <v>0</v>
      </c>
      <c r="J337" s="23">
        <v>0</v>
      </c>
      <c r="K337" s="23">
        <v>0</v>
      </c>
      <c r="L337" s="23">
        <v>700</v>
      </c>
      <c r="M337" s="23">
        <v>0</v>
      </c>
      <c r="N337" s="23"/>
      <c r="O337" s="23">
        <v>0</v>
      </c>
      <c r="P337" s="23">
        <f>Tabela1[[#This Row],[1QZ DE MARÇO 26]]-Tabela1[[#This Row],[SALDO PENDENTE COM CX REPR.]]-Tabela1[[#This Row],[SALDO CARTAO]]-Tabela1[[#This Row],[ADIANTAMENTO]]</f>
        <v>0</v>
      </c>
      <c r="Q337" s="23">
        <f>Tabela1[[#This Row],[1QZ DE MARÇO 26]]-Tabela1[[#This Row],[SALDO PENDENTE SEM CX REPR.]]-Tabela1[[#This Row],[SALDO CARTAO]]-Tabela1[[#This Row],[ADIANTAMENTO]]</f>
        <v>-700</v>
      </c>
      <c r="R337" s="23">
        <v>0</v>
      </c>
      <c r="S337" s="40">
        <f>IF(Tabela1[[#This Row],[CARGA PARCIAL]]&lt;0,0,Tabela1[[#This Row],[CARGA PARCIAL]]+Tabela1[[#This Row],[REEMBOLSO]])</f>
        <v>0</v>
      </c>
      <c r="T337" s="40">
        <f>IF(Tabela1[[#This Row],[CARGA PARCIAL SEM CX REPROV.]]&lt;0,0,Tabela1[[#This Row],[CARGA PARCIAL]]+Tabela1[[#This Row],[REEMBOLSO]])</f>
        <v>0</v>
      </c>
      <c r="U337" s="24" t="s">
        <v>22</v>
      </c>
      <c r="V337" s="24"/>
    </row>
    <row r="338" spans="2:22" x14ac:dyDescent="0.25">
      <c r="B338" s="31" t="s">
        <v>1011</v>
      </c>
      <c r="C338" s="32" t="s">
        <v>85</v>
      </c>
      <c r="D338" s="33" t="s">
        <v>18</v>
      </c>
      <c r="E338" s="33" t="s">
        <v>86</v>
      </c>
      <c r="F338" s="33">
        <v>11030700001</v>
      </c>
      <c r="G338" s="33" t="s">
        <v>42</v>
      </c>
      <c r="H338" s="22" t="s">
        <v>39</v>
      </c>
      <c r="I338" s="23">
        <v>-1297.0499999999993</v>
      </c>
      <c r="J338" s="23">
        <v>0</v>
      </c>
      <c r="K338" s="23">
        <v>0</v>
      </c>
      <c r="L338" s="23">
        <v>16.25</v>
      </c>
      <c r="M338" s="23">
        <v>1840</v>
      </c>
      <c r="N338" s="23">
        <v>228.12</v>
      </c>
      <c r="O338" s="23">
        <v>0</v>
      </c>
      <c r="P338" s="23">
        <f>Tabela1[[#This Row],[1QZ DE MARÇO 26]]-Tabela1[[#This Row],[SALDO PENDENTE COM CX REPR.]]-Tabela1[[#This Row],[SALDO CARTAO]]-Tabela1[[#This Row],[ADIANTAMENTO]]</f>
        <v>1611.88</v>
      </c>
      <c r="Q338" s="23">
        <f>Tabela1[[#This Row],[1QZ DE MARÇO 26]]-Tabela1[[#This Row],[SALDO PENDENTE SEM CX REPR.]]-Tabela1[[#This Row],[SALDO CARTAO]]-Tabela1[[#This Row],[ADIANTAMENTO]]</f>
        <v>1595.63</v>
      </c>
      <c r="R338" s="23">
        <v>0</v>
      </c>
      <c r="S338" s="40">
        <f>IF(Tabela1[[#This Row],[CARGA PARCIAL]]&lt;0,0,Tabela1[[#This Row],[CARGA PARCIAL]]+Tabela1[[#This Row],[REEMBOLSO]])</f>
        <v>1611.88</v>
      </c>
      <c r="T338" s="40">
        <f>IF(Tabela1[[#This Row],[CARGA PARCIAL SEM CX REPROV.]]&lt;0,0,Tabela1[[#This Row],[CARGA PARCIAL]]+Tabela1[[#This Row],[REEMBOLSO]])</f>
        <v>1611.88</v>
      </c>
      <c r="U338" s="24" t="s">
        <v>22</v>
      </c>
      <c r="V338" s="24"/>
    </row>
    <row r="339" spans="2:22" hidden="1" x14ac:dyDescent="0.25">
      <c r="B339" s="33" t="s">
        <v>1012</v>
      </c>
      <c r="C339" s="33" t="s">
        <v>365</v>
      </c>
      <c r="D339" s="33" t="s">
        <v>18</v>
      </c>
      <c r="E339" s="33" t="s">
        <v>90</v>
      </c>
      <c r="F339" s="33">
        <v>11040170001</v>
      </c>
      <c r="G339" s="33" t="s">
        <v>91</v>
      </c>
      <c r="H339" s="33" t="s">
        <v>21</v>
      </c>
      <c r="I339" s="23">
        <v>-98.590000000000146</v>
      </c>
      <c r="J339" s="23">
        <v>0</v>
      </c>
      <c r="K339" s="23">
        <v>0</v>
      </c>
      <c r="L339" s="23">
        <v>4000.0000000000036</v>
      </c>
      <c r="M339" s="23">
        <v>1000</v>
      </c>
      <c r="N339" s="23">
        <v>663</v>
      </c>
      <c r="O339" s="23">
        <v>0</v>
      </c>
      <c r="P339" s="23">
        <f>Tabela1[[#This Row],[1QZ DE MARÇO 26]]-Tabela1[[#This Row],[SALDO PENDENTE COM CX REPR.]]-Tabela1[[#This Row],[SALDO CARTAO]]-Tabela1[[#This Row],[ADIANTAMENTO]]</f>
        <v>337</v>
      </c>
      <c r="Q339" s="23">
        <f>Tabela1[[#This Row],[1QZ DE MARÇO 26]]-Tabela1[[#This Row],[SALDO PENDENTE SEM CX REPR.]]-Tabela1[[#This Row],[SALDO CARTAO]]-Tabela1[[#This Row],[ADIANTAMENTO]]</f>
        <v>-3663.0000000000036</v>
      </c>
      <c r="R339" s="23">
        <v>0</v>
      </c>
      <c r="S339" s="40">
        <f>IF(Tabela1[[#This Row],[CARGA PARCIAL]]&lt;0,0,Tabela1[[#This Row],[CARGA PARCIAL]]+Tabela1[[#This Row],[REEMBOLSO]])</f>
        <v>337</v>
      </c>
      <c r="T339" s="40">
        <f>IF(Tabela1[[#This Row],[CARGA PARCIAL SEM CX REPROV.]]&lt;0,0,Tabela1[[#This Row],[CARGA PARCIAL]]+Tabela1[[#This Row],[REEMBOLSO]])</f>
        <v>0</v>
      </c>
      <c r="U339" s="24" t="s">
        <v>22</v>
      </c>
      <c r="V339" s="24"/>
    </row>
    <row r="340" spans="2:22" x14ac:dyDescent="0.25">
      <c r="B340" s="31" t="s">
        <v>1013</v>
      </c>
      <c r="C340" s="32" t="s">
        <v>442</v>
      </c>
      <c r="D340" s="33" t="s">
        <v>18</v>
      </c>
      <c r="E340" s="33" t="s">
        <v>95</v>
      </c>
      <c r="F340" s="33">
        <v>11040160001</v>
      </c>
      <c r="G340" s="33" t="s">
        <v>48</v>
      </c>
      <c r="H340" s="22" t="s">
        <v>35</v>
      </c>
      <c r="I340" s="23">
        <v>0</v>
      </c>
      <c r="J340" s="23">
        <v>761.32999999999993</v>
      </c>
      <c r="K340" s="23">
        <v>-2613.4599999999982</v>
      </c>
      <c r="L340" s="23">
        <v>0</v>
      </c>
      <c r="M340" s="23">
        <v>1000</v>
      </c>
      <c r="N340" s="23">
        <v>0</v>
      </c>
      <c r="O340" s="23">
        <v>0</v>
      </c>
      <c r="P340" s="23">
        <f>Tabela1[[#This Row],[1QZ DE MARÇO 26]]-Tabela1[[#This Row],[SALDO PENDENTE COM CX REPR.]]-Tabela1[[#This Row],[SALDO CARTAO]]-Tabela1[[#This Row],[ADIANTAMENTO]]</f>
        <v>238.67000000000007</v>
      </c>
      <c r="Q340" s="23">
        <f>Tabela1[[#This Row],[1QZ DE MARÇO 26]]-Tabela1[[#This Row],[SALDO PENDENTE SEM CX REPR.]]-Tabela1[[#This Row],[SALDO CARTAO]]-Tabela1[[#This Row],[ADIANTAMENTO]]</f>
        <v>1000</v>
      </c>
      <c r="R340" s="23">
        <v>0</v>
      </c>
      <c r="S340" s="40">
        <f>IF(Tabela1[[#This Row],[CARGA PARCIAL]]&lt;0,0,Tabela1[[#This Row],[CARGA PARCIAL]]+Tabela1[[#This Row],[REEMBOLSO]])</f>
        <v>238.67000000000007</v>
      </c>
      <c r="T340" s="40">
        <f>IF(Tabela1[[#This Row],[CARGA PARCIAL SEM CX REPROV.]]&lt;0,0,Tabela1[[#This Row],[CARGA PARCIAL]]+Tabela1[[#This Row],[REEMBOLSO]])</f>
        <v>238.67000000000007</v>
      </c>
      <c r="U340" s="27" t="s">
        <v>22</v>
      </c>
      <c r="V340" s="24"/>
    </row>
    <row r="341" spans="2:22" hidden="1" x14ac:dyDescent="0.25">
      <c r="B341" s="35" t="s">
        <v>1014</v>
      </c>
      <c r="C341" s="36" t="s">
        <v>273</v>
      </c>
      <c r="D341" s="34" t="s">
        <v>18</v>
      </c>
      <c r="E341" s="33" t="s">
        <v>274</v>
      </c>
      <c r="F341" s="33">
        <v>1201014</v>
      </c>
      <c r="G341" s="33" t="s">
        <v>275</v>
      </c>
      <c r="H341" s="22" t="s">
        <v>123</v>
      </c>
      <c r="I341" s="23">
        <v>0</v>
      </c>
      <c r="J341" s="23">
        <v>725</v>
      </c>
      <c r="K341" s="23">
        <v>0</v>
      </c>
      <c r="L341" s="23">
        <v>999.18000000000211</v>
      </c>
      <c r="M341" s="23">
        <v>0</v>
      </c>
      <c r="N341" s="23">
        <v>6</v>
      </c>
      <c r="O341" s="23">
        <v>0</v>
      </c>
      <c r="P341" s="23">
        <f>Tabela1[[#This Row],[1QZ DE MARÇO 26]]-Tabela1[[#This Row],[SALDO PENDENTE COM CX REPR.]]-Tabela1[[#This Row],[SALDO CARTAO]]-Tabela1[[#This Row],[ADIANTAMENTO]]</f>
        <v>-731</v>
      </c>
      <c r="Q341" s="23">
        <f>Tabela1[[#This Row],[1QZ DE MARÇO 26]]-Tabela1[[#This Row],[SALDO PENDENTE SEM CX REPR.]]-Tabela1[[#This Row],[SALDO CARTAO]]-Tabela1[[#This Row],[ADIANTAMENTO]]</f>
        <v>-1005.1800000000021</v>
      </c>
      <c r="R341" s="23">
        <v>0</v>
      </c>
      <c r="S341" s="40">
        <f>IF(Tabela1[[#This Row],[CARGA PARCIAL]]&lt;0,0,Tabela1[[#This Row],[CARGA PARCIAL]]+Tabela1[[#This Row],[REEMBOLSO]])</f>
        <v>0</v>
      </c>
      <c r="T341" s="40">
        <f>IF(Tabela1[[#This Row],[CARGA PARCIAL SEM CX REPROV.]]&lt;0,0,Tabela1[[#This Row],[CARGA PARCIAL]]+Tabela1[[#This Row],[REEMBOLSO]])</f>
        <v>0</v>
      </c>
      <c r="U341" s="25" t="s">
        <v>22</v>
      </c>
      <c r="V341" s="26"/>
    </row>
    <row r="342" spans="2:22" x14ac:dyDescent="0.25">
      <c r="B342" s="37" t="s">
        <v>1015</v>
      </c>
      <c r="C342" s="32" t="s">
        <v>112</v>
      </c>
      <c r="D342" s="33" t="s">
        <v>18</v>
      </c>
      <c r="E342" s="33" t="s">
        <v>41</v>
      </c>
      <c r="F342" s="33">
        <v>11030790001</v>
      </c>
      <c r="G342" s="33" t="s">
        <v>42</v>
      </c>
      <c r="H342" s="22" t="s">
        <v>39</v>
      </c>
      <c r="I342" s="23">
        <v>0</v>
      </c>
      <c r="J342" s="23">
        <v>24.749999999996362</v>
      </c>
      <c r="K342" s="23">
        <v>0</v>
      </c>
      <c r="L342" s="23">
        <v>418.47999999999956</v>
      </c>
      <c r="M342" s="23">
        <v>2000</v>
      </c>
      <c r="N342" s="23">
        <v>0</v>
      </c>
      <c r="O342" s="23">
        <v>0</v>
      </c>
      <c r="P342" s="23">
        <f>Tabela1[[#This Row],[1QZ DE MARÇO 26]]-Tabela1[[#This Row],[SALDO PENDENTE COM CX REPR.]]-Tabela1[[#This Row],[SALDO CARTAO]]-Tabela1[[#This Row],[ADIANTAMENTO]]</f>
        <v>1975.2500000000036</v>
      </c>
      <c r="Q342" s="23">
        <f>Tabela1[[#This Row],[1QZ DE MARÇO 26]]-Tabela1[[#This Row],[SALDO PENDENTE SEM CX REPR.]]-Tabela1[[#This Row],[SALDO CARTAO]]-Tabela1[[#This Row],[ADIANTAMENTO]]</f>
        <v>1581.5200000000004</v>
      </c>
      <c r="R342" s="23">
        <v>0</v>
      </c>
      <c r="S342" s="40">
        <f>IF(Tabela1[[#This Row],[CARGA PARCIAL]]&lt;0,0,Tabela1[[#This Row],[CARGA PARCIAL]]+Tabela1[[#This Row],[REEMBOLSO]])</f>
        <v>1975.2500000000036</v>
      </c>
      <c r="T342" s="40">
        <f>IF(Tabela1[[#This Row],[CARGA PARCIAL SEM CX REPROV.]]&lt;0,0,Tabela1[[#This Row],[CARGA PARCIAL]]+Tabela1[[#This Row],[REEMBOLSO]])</f>
        <v>1975.2500000000036</v>
      </c>
      <c r="U342" s="24" t="s">
        <v>22</v>
      </c>
      <c r="V342" s="24"/>
    </row>
    <row r="343" spans="2:22" x14ac:dyDescent="0.25">
      <c r="B343" s="37" t="s">
        <v>1016</v>
      </c>
      <c r="C343" s="32" t="s">
        <v>497</v>
      </c>
      <c r="D343" s="33" t="s">
        <v>18</v>
      </c>
      <c r="E343" s="33" t="s">
        <v>247</v>
      </c>
      <c r="F343" s="33">
        <v>11061980001</v>
      </c>
      <c r="G343" s="33" t="s">
        <v>54</v>
      </c>
      <c r="H343" s="22" t="s">
        <v>39</v>
      </c>
      <c r="I343" s="23">
        <v>0</v>
      </c>
      <c r="J343" s="23">
        <v>68.650000000000233</v>
      </c>
      <c r="K343" s="23">
        <v>0</v>
      </c>
      <c r="L343" s="23">
        <v>0</v>
      </c>
      <c r="M343" s="23">
        <v>200</v>
      </c>
      <c r="N343" s="23">
        <v>0</v>
      </c>
      <c r="O343" s="23">
        <v>0</v>
      </c>
      <c r="P343" s="23">
        <f>Tabela1[[#This Row],[1QZ DE MARÇO 26]]-Tabela1[[#This Row],[SALDO PENDENTE COM CX REPR.]]-Tabela1[[#This Row],[SALDO CARTAO]]-Tabela1[[#This Row],[ADIANTAMENTO]]</f>
        <v>131.34999999999977</v>
      </c>
      <c r="Q343" s="23">
        <f>Tabela1[[#This Row],[1QZ DE MARÇO 26]]-Tabela1[[#This Row],[SALDO PENDENTE SEM CX REPR.]]-Tabela1[[#This Row],[SALDO CARTAO]]-Tabela1[[#This Row],[ADIANTAMENTO]]</f>
        <v>200</v>
      </c>
      <c r="R343" s="23">
        <v>0</v>
      </c>
      <c r="S343" s="40">
        <f>IF(Tabela1[[#This Row],[CARGA PARCIAL]]&lt;0,0,Tabela1[[#This Row],[CARGA PARCIAL]]+Tabela1[[#This Row],[REEMBOLSO]])</f>
        <v>131.34999999999977</v>
      </c>
      <c r="T343" s="40">
        <f>IF(Tabela1[[#This Row],[CARGA PARCIAL SEM CX REPROV.]]&lt;0,0,Tabela1[[#This Row],[CARGA PARCIAL]]+Tabela1[[#This Row],[REEMBOLSO]])</f>
        <v>131.34999999999977</v>
      </c>
      <c r="U343" s="24" t="s">
        <v>22</v>
      </c>
      <c r="V343" s="24"/>
    </row>
    <row r="344" spans="2:22" hidden="1" x14ac:dyDescent="0.25">
      <c r="B344" s="37" t="s">
        <v>1017</v>
      </c>
      <c r="C344" s="32" t="s">
        <v>610</v>
      </c>
      <c r="D344" s="33" t="s">
        <v>18</v>
      </c>
      <c r="E344" s="33" t="s">
        <v>611</v>
      </c>
      <c r="F344" s="33">
        <v>11010200001</v>
      </c>
      <c r="G344" s="33" t="s">
        <v>54</v>
      </c>
      <c r="H344" s="22" t="s">
        <v>39</v>
      </c>
      <c r="I344" s="23">
        <v>0</v>
      </c>
      <c r="J344" s="23">
        <v>0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f>Tabela1[[#This Row],[1QZ DE MARÇO 26]]-Tabela1[[#This Row],[SALDO PENDENTE COM CX REPR.]]-Tabela1[[#This Row],[SALDO CARTAO]]-Tabela1[[#This Row],[ADIANTAMENTO]]</f>
        <v>0</v>
      </c>
      <c r="Q344" s="23">
        <f>Tabela1[[#This Row],[1QZ DE MARÇO 26]]-Tabela1[[#This Row],[SALDO PENDENTE SEM CX REPR.]]-Tabela1[[#This Row],[SALDO CARTAO]]-Tabela1[[#This Row],[ADIANTAMENTO]]</f>
        <v>0</v>
      </c>
      <c r="R344" s="23">
        <v>0</v>
      </c>
      <c r="S344" s="40">
        <f>IF(Tabela1[[#This Row],[CARGA PARCIAL]]&lt;0,0,Tabela1[[#This Row],[CARGA PARCIAL]]+Tabela1[[#This Row],[REEMBOLSO]])</f>
        <v>0</v>
      </c>
      <c r="T344" s="40">
        <f>IF(Tabela1[[#This Row],[CARGA PARCIAL SEM CX REPROV.]]&lt;0,0,Tabela1[[#This Row],[CARGA PARCIAL]]+Tabela1[[#This Row],[REEMBOLSO]])</f>
        <v>0</v>
      </c>
      <c r="U344" s="24" t="s">
        <v>22</v>
      </c>
      <c r="V344" s="24"/>
    </row>
    <row r="345" spans="2:22" x14ac:dyDescent="0.25">
      <c r="B345" s="33" t="s">
        <v>1018</v>
      </c>
      <c r="C345" s="33" t="s">
        <v>498</v>
      </c>
      <c r="D345" s="33" t="s">
        <v>18</v>
      </c>
      <c r="E345" s="33" t="s">
        <v>212</v>
      </c>
      <c r="F345" s="33">
        <v>11061810001</v>
      </c>
      <c r="G345" s="33" t="s">
        <v>54</v>
      </c>
      <c r="H345" s="22" t="s">
        <v>39</v>
      </c>
      <c r="I345" s="23">
        <v>0</v>
      </c>
      <c r="J345" s="23">
        <v>22.100000000000364</v>
      </c>
      <c r="K345" s="23">
        <v>-1363.7200000000003</v>
      </c>
      <c r="L345" s="23">
        <v>0</v>
      </c>
      <c r="M345" s="23">
        <v>200</v>
      </c>
      <c r="N345" s="23">
        <v>0</v>
      </c>
      <c r="O345" s="23">
        <v>0</v>
      </c>
      <c r="P345" s="23">
        <f>Tabela1[[#This Row],[1QZ DE MARÇO 26]]-Tabela1[[#This Row],[SALDO PENDENTE COM CX REPR.]]-Tabela1[[#This Row],[SALDO CARTAO]]-Tabela1[[#This Row],[ADIANTAMENTO]]</f>
        <v>177.89999999999964</v>
      </c>
      <c r="Q345" s="23">
        <f>Tabela1[[#This Row],[1QZ DE MARÇO 26]]-Tabela1[[#This Row],[SALDO PENDENTE SEM CX REPR.]]-Tabela1[[#This Row],[SALDO CARTAO]]-Tabela1[[#This Row],[ADIANTAMENTO]]</f>
        <v>200</v>
      </c>
      <c r="R345" s="23">
        <v>0</v>
      </c>
      <c r="S345" s="40">
        <f>IF(Tabela1[[#This Row],[CARGA PARCIAL]]&lt;0,0,Tabela1[[#This Row],[CARGA PARCIAL]]+Tabela1[[#This Row],[REEMBOLSO]])</f>
        <v>177.89999999999964</v>
      </c>
      <c r="T345" s="40">
        <f>IF(Tabela1[[#This Row],[CARGA PARCIAL SEM CX REPROV.]]&lt;0,0,Tabela1[[#This Row],[CARGA PARCIAL]]+Tabela1[[#This Row],[REEMBOLSO]])</f>
        <v>177.89999999999964</v>
      </c>
      <c r="U345" s="24" t="s">
        <v>22</v>
      </c>
      <c r="V345" s="24"/>
    </row>
    <row r="346" spans="2:22" hidden="1" x14ac:dyDescent="0.25">
      <c r="B346" s="31" t="s">
        <v>1019</v>
      </c>
      <c r="C346" s="32" t="s">
        <v>520</v>
      </c>
      <c r="D346" s="33" t="s">
        <v>18</v>
      </c>
      <c r="E346" s="33" t="s">
        <v>283</v>
      </c>
      <c r="F346" s="33">
        <v>11040140001</v>
      </c>
      <c r="G346" s="33" t="s">
        <v>45</v>
      </c>
      <c r="H346" s="22" t="s">
        <v>39</v>
      </c>
      <c r="I346" s="23">
        <v>0</v>
      </c>
      <c r="J346" s="23">
        <v>10.770000000000039</v>
      </c>
      <c r="K346" s="23">
        <v>0</v>
      </c>
      <c r="L346" s="23">
        <v>780</v>
      </c>
      <c r="M346" s="23">
        <v>100</v>
      </c>
      <c r="N346" s="23">
        <v>0</v>
      </c>
      <c r="O346" s="23">
        <v>0</v>
      </c>
      <c r="P346" s="23">
        <f>Tabela1[[#This Row],[1QZ DE MARÇO 26]]-Tabela1[[#This Row],[SALDO PENDENTE COM CX REPR.]]-Tabela1[[#This Row],[SALDO CARTAO]]-Tabela1[[#This Row],[ADIANTAMENTO]]</f>
        <v>89.229999999999961</v>
      </c>
      <c r="Q346" s="23">
        <f>Tabela1[[#This Row],[1QZ DE MARÇO 26]]-Tabela1[[#This Row],[SALDO PENDENTE SEM CX REPR.]]-Tabela1[[#This Row],[SALDO CARTAO]]-Tabela1[[#This Row],[ADIANTAMENTO]]</f>
        <v>-680</v>
      </c>
      <c r="R346" s="23">
        <v>0</v>
      </c>
      <c r="S346" s="40">
        <f>IF(Tabela1[[#This Row],[CARGA PARCIAL]]&lt;0,0,Tabela1[[#This Row],[CARGA PARCIAL]]+Tabela1[[#This Row],[REEMBOLSO]])</f>
        <v>89.229999999999961</v>
      </c>
      <c r="T346" s="40">
        <f>IF(Tabela1[[#This Row],[CARGA PARCIAL SEM CX REPROV.]]&lt;0,0,Tabela1[[#This Row],[CARGA PARCIAL]]+Tabela1[[#This Row],[REEMBOLSO]])</f>
        <v>0</v>
      </c>
      <c r="U346" s="24" t="s">
        <v>22</v>
      </c>
      <c r="V346" s="24"/>
    </row>
    <row r="347" spans="2:22" hidden="1" x14ac:dyDescent="0.25">
      <c r="B347" s="39" t="s">
        <v>1020</v>
      </c>
      <c r="C347" s="36" t="s">
        <v>612</v>
      </c>
      <c r="D347" s="34" t="s">
        <v>18</v>
      </c>
      <c r="E347" s="33" t="s">
        <v>88</v>
      </c>
      <c r="F347" s="33">
        <v>11040130001</v>
      </c>
      <c r="G347" s="33" t="s">
        <v>45</v>
      </c>
      <c r="H347" s="22" t="s">
        <v>39</v>
      </c>
      <c r="I347" s="23">
        <v>0</v>
      </c>
      <c r="J347" s="23">
        <v>63.019999999999982</v>
      </c>
      <c r="K347" s="23">
        <v>0</v>
      </c>
      <c r="L347" s="23">
        <v>31.999999999999545</v>
      </c>
      <c r="M347" s="23">
        <v>0</v>
      </c>
      <c r="N347" s="23">
        <v>0</v>
      </c>
      <c r="O347" s="23">
        <v>0</v>
      </c>
      <c r="P347" s="23">
        <f>Tabela1[[#This Row],[1QZ DE MARÇO 26]]-Tabela1[[#This Row],[SALDO PENDENTE COM CX REPR.]]-Tabela1[[#This Row],[SALDO CARTAO]]-Tabela1[[#This Row],[ADIANTAMENTO]]</f>
        <v>-63.019999999999982</v>
      </c>
      <c r="Q347" s="23">
        <f>Tabela1[[#This Row],[1QZ DE MARÇO 26]]-Tabela1[[#This Row],[SALDO PENDENTE SEM CX REPR.]]-Tabela1[[#This Row],[SALDO CARTAO]]-Tabela1[[#This Row],[ADIANTAMENTO]]</f>
        <v>-31.999999999999545</v>
      </c>
      <c r="R347" s="23">
        <v>0</v>
      </c>
      <c r="S347" s="40">
        <f>IF(Tabela1[[#This Row],[CARGA PARCIAL]]&lt;0,0,Tabela1[[#This Row],[CARGA PARCIAL]]+Tabela1[[#This Row],[REEMBOLSO]])</f>
        <v>0</v>
      </c>
      <c r="T347" s="40">
        <f>IF(Tabela1[[#This Row],[CARGA PARCIAL SEM CX REPROV.]]&lt;0,0,Tabela1[[#This Row],[CARGA PARCIAL]]+Tabela1[[#This Row],[REEMBOLSO]])</f>
        <v>0</v>
      </c>
      <c r="U347" s="25" t="s">
        <v>22</v>
      </c>
      <c r="V347" s="26"/>
    </row>
    <row r="348" spans="2:22" hidden="1" x14ac:dyDescent="0.25">
      <c r="B348" s="37" t="s">
        <v>1021</v>
      </c>
      <c r="C348" s="32" t="s">
        <v>613</v>
      </c>
      <c r="D348" s="33" t="s">
        <v>18</v>
      </c>
      <c r="E348" s="33" t="s">
        <v>44</v>
      </c>
      <c r="F348" s="33">
        <v>1104150001</v>
      </c>
      <c r="G348" s="33" t="s">
        <v>45</v>
      </c>
      <c r="H348" s="22" t="s">
        <v>39</v>
      </c>
      <c r="I348" s="23">
        <v>0</v>
      </c>
      <c r="J348" s="23">
        <v>1529.3500000000022</v>
      </c>
      <c r="K348" s="23">
        <v>0</v>
      </c>
      <c r="L348" s="23">
        <v>14.33</v>
      </c>
      <c r="M348" s="23">
        <v>0</v>
      </c>
      <c r="N348" s="23"/>
      <c r="O348" s="23">
        <v>0</v>
      </c>
      <c r="P348" s="23">
        <f>Tabela1[[#This Row],[1QZ DE MARÇO 26]]-Tabela1[[#This Row],[SALDO PENDENTE COM CX REPR.]]-Tabela1[[#This Row],[SALDO CARTAO]]-Tabela1[[#This Row],[ADIANTAMENTO]]</f>
        <v>-1529.3500000000022</v>
      </c>
      <c r="Q348" s="23">
        <f>Tabela1[[#This Row],[1QZ DE MARÇO 26]]-Tabela1[[#This Row],[SALDO PENDENTE SEM CX REPR.]]-Tabela1[[#This Row],[SALDO CARTAO]]-Tabela1[[#This Row],[ADIANTAMENTO]]</f>
        <v>-14.33</v>
      </c>
      <c r="R348" s="23">
        <v>0</v>
      </c>
      <c r="S348" s="40">
        <f>IF(Tabela1[[#This Row],[CARGA PARCIAL]]&lt;0,0,Tabela1[[#This Row],[CARGA PARCIAL]]+Tabela1[[#This Row],[REEMBOLSO]])</f>
        <v>0</v>
      </c>
      <c r="T348" s="40">
        <f>IF(Tabela1[[#This Row],[CARGA PARCIAL SEM CX REPROV.]]&lt;0,0,Tabela1[[#This Row],[CARGA PARCIAL]]+Tabela1[[#This Row],[REEMBOLSO]])</f>
        <v>0</v>
      </c>
      <c r="U348" s="24" t="s">
        <v>22</v>
      </c>
      <c r="V348" s="24"/>
    </row>
    <row r="349" spans="2:22" x14ac:dyDescent="0.25">
      <c r="B349" s="37" t="s">
        <v>1022</v>
      </c>
      <c r="C349" s="32" t="s">
        <v>207</v>
      </c>
      <c r="D349" s="33" t="s">
        <v>18</v>
      </c>
      <c r="E349" s="33" t="s">
        <v>84</v>
      </c>
      <c r="F349" s="33">
        <v>11030750001</v>
      </c>
      <c r="G349" s="33" t="s">
        <v>38</v>
      </c>
      <c r="H349" s="22" t="s">
        <v>39</v>
      </c>
      <c r="I349" s="23">
        <v>0</v>
      </c>
      <c r="J349" s="23">
        <v>1609.8799999999392</v>
      </c>
      <c r="K349" s="23">
        <v>0</v>
      </c>
      <c r="L349" s="23">
        <v>359.98999999999978</v>
      </c>
      <c r="M349" s="23">
        <v>3350</v>
      </c>
      <c r="N349" s="23">
        <v>0</v>
      </c>
      <c r="O349" s="23">
        <v>0</v>
      </c>
      <c r="P349" s="23">
        <f>Tabela1[[#This Row],[1QZ DE MARÇO 26]]-Tabela1[[#This Row],[SALDO PENDENTE COM CX REPR.]]-Tabela1[[#This Row],[SALDO CARTAO]]-Tabela1[[#This Row],[ADIANTAMENTO]]</f>
        <v>1740.1200000000608</v>
      </c>
      <c r="Q349" s="23">
        <f>Tabela1[[#This Row],[1QZ DE MARÇO 26]]-Tabela1[[#This Row],[SALDO PENDENTE SEM CX REPR.]]-Tabela1[[#This Row],[SALDO CARTAO]]-Tabela1[[#This Row],[ADIANTAMENTO]]</f>
        <v>2990.01</v>
      </c>
      <c r="R349" s="23">
        <v>0</v>
      </c>
      <c r="S349" s="40">
        <f>IF(Tabela1[[#This Row],[CARGA PARCIAL]]&lt;0,0,Tabela1[[#This Row],[CARGA PARCIAL]]+Tabela1[[#This Row],[REEMBOLSO]])</f>
        <v>1740.1200000000608</v>
      </c>
      <c r="T349" s="40">
        <f>IF(Tabela1[[#This Row],[CARGA PARCIAL SEM CX REPROV.]]&lt;0,0,Tabela1[[#This Row],[CARGA PARCIAL]]+Tabela1[[#This Row],[REEMBOLSO]])</f>
        <v>1740.1200000000608</v>
      </c>
      <c r="U349" s="24" t="s">
        <v>22</v>
      </c>
      <c r="V349" s="24"/>
    </row>
    <row r="350" spans="2:22" hidden="1" x14ac:dyDescent="0.25">
      <c r="B350" s="33" t="s">
        <v>1023</v>
      </c>
      <c r="C350" s="33" t="s">
        <v>327</v>
      </c>
      <c r="D350" s="33" t="s">
        <v>18</v>
      </c>
      <c r="E350" s="33" t="s">
        <v>88</v>
      </c>
      <c r="F350" s="33">
        <v>11040130001</v>
      </c>
      <c r="G350" s="33" t="s">
        <v>45</v>
      </c>
      <c r="H350" s="22" t="s">
        <v>39</v>
      </c>
      <c r="I350" s="23">
        <v>0</v>
      </c>
      <c r="J350" s="23">
        <v>111.35999999999997</v>
      </c>
      <c r="K350" s="23">
        <v>0</v>
      </c>
      <c r="L350" s="23">
        <v>0</v>
      </c>
      <c r="M350" s="23">
        <v>120</v>
      </c>
      <c r="N350" s="23">
        <v>50</v>
      </c>
      <c r="O350" s="23">
        <v>0</v>
      </c>
      <c r="P350" s="23">
        <f>Tabela1[[#This Row],[1QZ DE MARÇO 26]]-Tabela1[[#This Row],[SALDO PENDENTE COM CX REPR.]]-Tabela1[[#This Row],[SALDO CARTAO]]-Tabela1[[#This Row],[ADIANTAMENTO]]</f>
        <v>-41.359999999999971</v>
      </c>
      <c r="Q350" s="23">
        <f>Tabela1[[#This Row],[1QZ DE MARÇO 26]]-Tabela1[[#This Row],[SALDO PENDENTE SEM CX REPR.]]-Tabela1[[#This Row],[SALDO CARTAO]]-Tabela1[[#This Row],[ADIANTAMENTO]]</f>
        <v>70</v>
      </c>
      <c r="R350" s="23">
        <v>0</v>
      </c>
      <c r="S350" s="40">
        <f>IF(Tabela1[[#This Row],[CARGA PARCIAL]]&lt;0,0,Tabela1[[#This Row],[CARGA PARCIAL]]+Tabela1[[#This Row],[REEMBOLSO]])</f>
        <v>0</v>
      </c>
      <c r="T350" s="40">
        <f>IF(Tabela1[[#This Row],[CARGA PARCIAL SEM CX REPROV.]]&lt;0,0,Tabela1[[#This Row],[CARGA PARCIAL]]+Tabela1[[#This Row],[REEMBOLSO]])</f>
        <v>-41.359999999999971</v>
      </c>
      <c r="U350" s="24" t="s">
        <v>22</v>
      </c>
      <c r="V350" s="24"/>
    </row>
    <row r="351" spans="2:22" hidden="1" x14ac:dyDescent="0.25">
      <c r="B351" s="37" t="s">
        <v>1024</v>
      </c>
      <c r="C351" s="32" t="s">
        <v>543</v>
      </c>
      <c r="D351" s="33" t="s">
        <v>18</v>
      </c>
      <c r="E351" s="33" t="s">
        <v>544</v>
      </c>
      <c r="F351" s="33">
        <v>11010210001</v>
      </c>
      <c r="G351" s="33" t="s">
        <v>25</v>
      </c>
      <c r="H351" s="22" t="s">
        <v>21</v>
      </c>
      <c r="I351" s="23">
        <v>0</v>
      </c>
      <c r="J351" s="23">
        <v>349.99999999999977</v>
      </c>
      <c r="K351" s="23">
        <v>0</v>
      </c>
      <c r="L351" s="23">
        <v>396.00000000000125</v>
      </c>
      <c r="M351" s="23">
        <v>350</v>
      </c>
      <c r="N351" s="23">
        <v>0</v>
      </c>
      <c r="O351" s="23">
        <v>0</v>
      </c>
      <c r="P351" s="23">
        <f>Tabela1[[#This Row],[1QZ DE MARÇO 26]]-Tabela1[[#This Row],[SALDO PENDENTE COM CX REPR.]]-Tabela1[[#This Row],[SALDO CARTAO]]-Tabela1[[#This Row],[ADIANTAMENTO]]</f>
        <v>2.2737367544323206E-13</v>
      </c>
      <c r="Q351" s="23">
        <f>Tabela1[[#This Row],[1QZ DE MARÇO 26]]-Tabela1[[#This Row],[SALDO PENDENTE SEM CX REPR.]]-Tabela1[[#This Row],[SALDO CARTAO]]-Tabela1[[#This Row],[ADIANTAMENTO]]</f>
        <v>-46.000000000001251</v>
      </c>
      <c r="R351" s="23">
        <v>0</v>
      </c>
      <c r="S351" s="40">
        <f>IF(Tabela1[[#This Row],[CARGA PARCIAL]]&lt;0,0,Tabela1[[#This Row],[CARGA PARCIAL]]+Tabela1[[#This Row],[REEMBOLSO]])</f>
        <v>2.2737367544323206E-13</v>
      </c>
      <c r="T351" s="40">
        <f>IF(Tabela1[[#This Row],[CARGA PARCIAL SEM CX REPROV.]]&lt;0,0,Tabela1[[#This Row],[CARGA PARCIAL]]+Tabela1[[#This Row],[REEMBOLSO]])</f>
        <v>0</v>
      </c>
      <c r="U351" s="24" t="s">
        <v>22</v>
      </c>
      <c r="V351" s="24"/>
    </row>
    <row r="352" spans="2:22" hidden="1" x14ac:dyDescent="0.25">
      <c r="B352" s="34" t="s">
        <v>1025</v>
      </c>
      <c r="C352" s="34" t="s">
        <v>614</v>
      </c>
      <c r="D352" s="34" t="s">
        <v>18</v>
      </c>
      <c r="E352" s="33" t="s">
        <v>44</v>
      </c>
      <c r="F352" s="33">
        <v>1104150001</v>
      </c>
      <c r="G352" s="33" t="s">
        <v>45</v>
      </c>
      <c r="H352" s="22" t="s">
        <v>39</v>
      </c>
      <c r="I352" s="23">
        <v>0</v>
      </c>
      <c r="J352" s="23">
        <v>10.300000000000855</v>
      </c>
      <c r="K352" s="23">
        <v>0</v>
      </c>
      <c r="L352" s="23">
        <v>862.60000000000184</v>
      </c>
      <c r="M352" s="23">
        <v>0</v>
      </c>
      <c r="N352" s="23">
        <v>0</v>
      </c>
      <c r="O352" s="23">
        <v>0</v>
      </c>
      <c r="P352" s="23">
        <f>Tabela1[[#This Row],[1QZ DE MARÇO 26]]-Tabela1[[#This Row],[SALDO PENDENTE COM CX REPR.]]-Tabela1[[#This Row],[SALDO CARTAO]]-Tabela1[[#This Row],[ADIANTAMENTO]]</f>
        <v>-10.300000000000855</v>
      </c>
      <c r="Q352" s="23">
        <f>Tabela1[[#This Row],[1QZ DE MARÇO 26]]-Tabela1[[#This Row],[SALDO PENDENTE SEM CX REPR.]]-Tabela1[[#This Row],[SALDO CARTAO]]-Tabela1[[#This Row],[ADIANTAMENTO]]</f>
        <v>-862.60000000000184</v>
      </c>
      <c r="R352" s="23">
        <v>0</v>
      </c>
      <c r="S352" s="40">
        <f>IF(Tabela1[[#This Row],[CARGA PARCIAL]]&lt;0,0,Tabela1[[#This Row],[CARGA PARCIAL]]+Tabela1[[#This Row],[REEMBOLSO]])</f>
        <v>0</v>
      </c>
      <c r="T352" s="40">
        <f>IF(Tabela1[[#This Row],[CARGA PARCIAL SEM CX REPROV.]]&lt;0,0,Tabela1[[#This Row],[CARGA PARCIAL]]+Tabela1[[#This Row],[REEMBOLSO]])</f>
        <v>0</v>
      </c>
      <c r="U352" s="25" t="s">
        <v>22</v>
      </c>
      <c r="V352" s="26"/>
    </row>
    <row r="353" spans="2:22" x14ac:dyDescent="0.25">
      <c r="B353" s="31" t="s">
        <v>820</v>
      </c>
      <c r="C353" s="32" t="s">
        <v>55</v>
      </c>
      <c r="D353" s="33" t="s">
        <v>18</v>
      </c>
      <c r="E353" s="33" t="s">
        <v>56</v>
      </c>
      <c r="F353" s="33">
        <v>11061770001</v>
      </c>
      <c r="G353" s="33" t="s">
        <v>54</v>
      </c>
      <c r="H353" s="22" t="s">
        <v>39</v>
      </c>
      <c r="I353" s="23">
        <v>-1338.3399999999942</v>
      </c>
      <c r="J353" s="23">
        <v>0</v>
      </c>
      <c r="K353" s="23">
        <v>0</v>
      </c>
      <c r="L353" s="23">
        <v>1437.92</v>
      </c>
      <c r="M353" s="23">
        <v>2500</v>
      </c>
      <c r="N353" s="23">
        <v>44.11</v>
      </c>
      <c r="O353" s="23">
        <v>0</v>
      </c>
      <c r="P353" s="23">
        <f>Tabela1[[#This Row],[1QZ DE MARÇO 26]]-Tabela1[[#This Row],[SALDO PENDENTE COM CX REPR.]]-Tabela1[[#This Row],[SALDO CARTAO]]-Tabela1[[#This Row],[ADIANTAMENTO]]</f>
        <v>2455.89</v>
      </c>
      <c r="Q353" s="23">
        <f>Tabela1[[#This Row],[1QZ DE MARÇO 26]]-Tabela1[[#This Row],[SALDO PENDENTE SEM CX REPR.]]-Tabela1[[#This Row],[SALDO CARTAO]]-Tabela1[[#This Row],[ADIANTAMENTO]]</f>
        <v>1017.9699999999999</v>
      </c>
      <c r="R353" s="23">
        <v>0</v>
      </c>
      <c r="S353" s="40">
        <f>IF(Tabela1[[#This Row],[CARGA PARCIAL]]&lt;0,0,Tabela1[[#This Row],[CARGA PARCIAL]]+Tabela1[[#This Row],[REEMBOLSO]])</f>
        <v>2455.89</v>
      </c>
      <c r="T353" s="40">
        <f>IF(Tabela1[[#This Row],[CARGA PARCIAL SEM CX REPROV.]]&lt;0,0,Tabela1[[#This Row],[CARGA PARCIAL]]+Tabela1[[#This Row],[REEMBOLSO]])</f>
        <v>2455.89</v>
      </c>
      <c r="U353" s="24" t="s">
        <v>22</v>
      </c>
      <c r="V353" s="24"/>
    </row>
    <row r="354" spans="2:22" hidden="1" x14ac:dyDescent="0.25">
      <c r="B354" s="31" t="s">
        <v>1027</v>
      </c>
      <c r="C354" s="32" t="s">
        <v>615</v>
      </c>
      <c r="D354" s="33" t="s">
        <v>18</v>
      </c>
      <c r="E354" s="33" t="s">
        <v>616</v>
      </c>
      <c r="F354" s="33">
        <v>11062580001</v>
      </c>
      <c r="G354" s="33" t="s">
        <v>54</v>
      </c>
      <c r="H354" s="22" t="s">
        <v>39</v>
      </c>
      <c r="I354" s="23">
        <v>0</v>
      </c>
      <c r="J354" s="23">
        <v>7.35</v>
      </c>
      <c r="K354" s="23">
        <v>0</v>
      </c>
      <c r="L354" s="23">
        <v>2693.8300000000008</v>
      </c>
      <c r="M354" s="23">
        <v>0</v>
      </c>
      <c r="N354" s="23">
        <v>0</v>
      </c>
      <c r="O354" s="23">
        <v>0</v>
      </c>
      <c r="P354" s="23">
        <f>Tabela1[[#This Row],[1QZ DE MARÇO 26]]-Tabela1[[#This Row],[SALDO PENDENTE COM CX REPR.]]-Tabela1[[#This Row],[SALDO CARTAO]]-Tabela1[[#This Row],[ADIANTAMENTO]]</f>
        <v>-7.35</v>
      </c>
      <c r="Q354" s="23">
        <f>Tabela1[[#This Row],[1QZ DE MARÇO 26]]-Tabela1[[#This Row],[SALDO PENDENTE SEM CX REPR.]]-Tabela1[[#This Row],[SALDO CARTAO]]-Tabela1[[#This Row],[ADIANTAMENTO]]</f>
        <v>-2693.8300000000008</v>
      </c>
      <c r="R354" s="23">
        <v>0</v>
      </c>
      <c r="S354" s="40">
        <f>IF(Tabela1[[#This Row],[CARGA PARCIAL]]&lt;0,0,Tabela1[[#This Row],[CARGA PARCIAL]]+Tabela1[[#This Row],[REEMBOLSO]])</f>
        <v>0</v>
      </c>
      <c r="T354" s="40">
        <f>IF(Tabela1[[#This Row],[CARGA PARCIAL SEM CX REPROV.]]&lt;0,0,Tabela1[[#This Row],[CARGA PARCIAL]]+Tabela1[[#This Row],[REEMBOLSO]])</f>
        <v>0</v>
      </c>
      <c r="U354" s="24" t="s">
        <v>22</v>
      </c>
      <c r="V354" s="24"/>
    </row>
    <row r="355" spans="2:22" hidden="1" x14ac:dyDescent="0.25">
      <c r="B355" s="37" t="s">
        <v>995</v>
      </c>
      <c r="C355" s="32" t="s">
        <v>131</v>
      </c>
      <c r="D355" s="33" t="s">
        <v>18</v>
      </c>
      <c r="E355" s="33" t="s">
        <v>132</v>
      </c>
      <c r="F355" s="33">
        <v>11061820001</v>
      </c>
      <c r="G355" s="33" t="s">
        <v>54</v>
      </c>
      <c r="H355" s="22" t="s">
        <v>39</v>
      </c>
      <c r="I355" s="23">
        <v>-1357.1499999999996</v>
      </c>
      <c r="J355" s="23">
        <v>0</v>
      </c>
      <c r="K355" s="23">
        <v>0</v>
      </c>
      <c r="L355" s="23">
        <v>886.00000000000023</v>
      </c>
      <c r="M355" s="23">
        <v>500</v>
      </c>
      <c r="N355" s="23">
        <v>0</v>
      </c>
      <c r="O355" s="23">
        <v>0</v>
      </c>
      <c r="P355" s="23">
        <f>Tabela1[[#This Row],[1QZ DE MARÇO 26]]-Tabela1[[#This Row],[SALDO PENDENTE COM CX REPR.]]-Tabela1[[#This Row],[SALDO CARTAO]]-Tabela1[[#This Row],[ADIANTAMENTO]]</f>
        <v>500</v>
      </c>
      <c r="Q355" s="23">
        <f>Tabela1[[#This Row],[1QZ DE MARÇO 26]]-Tabela1[[#This Row],[SALDO PENDENTE SEM CX REPR.]]-Tabela1[[#This Row],[SALDO CARTAO]]-Tabela1[[#This Row],[ADIANTAMENTO]]</f>
        <v>-386.00000000000023</v>
      </c>
      <c r="R355" s="23">
        <v>1357.1499999999996</v>
      </c>
      <c r="S355" s="40">
        <f>IF(Tabela1[[#This Row],[CARGA PARCIAL]]&lt;0,0,Tabela1[[#This Row],[CARGA PARCIAL]]+Tabela1[[#This Row],[REEMBOLSO]])</f>
        <v>1857.1499999999996</v>
      </c>
      <c r="T355" s="40">
        <f>IF(Tabela1[[#This Row],[CARGA PARCIAL SEM CX REPROV.]]&lt;0,0,Tabela1[[#This Row],[CARGA PARCIAL]]+Tabela1[[#This Row],[REEMBOLSO]])</f>
        <v>0</v>
      </c>
      <c r="U355" s="24" t="s">
        <v>22</v>
      </c>
      <c r="V355" s="24"/>
    </row>
    <row r="356" spans="2:22" hidden="1" x14ac:dyDescent="0.25">
      <c r="B356" s="34" t="s">
        <v>1029</v>
      </c>
      <c r="C356" s="34" t="s">
        <v>164</v>
      </c>
      <c r="D356" s="34" t="s">
        <v>18</v>
      </c>
      <c r="E356" s="33" t="s">
        <v>165</v>
      </c>
      <c r="F356" s="33">
        <v>11010080001</v>
      </c>
      <c r="G356" s="33" t="s">
        <v>42</v>
      </c>
      <c r="H356" s="22" t="s">
        <v>39</v>
      </c>
      <c r="I356" s="23">
        <v>0</v>
      </c>
      <c r="J356" s="23">
        <v>1000</v>
      </c>
      <c r="K356" s="23">
        <v>0</v>
      </c>
      <c r="L356" s="23">
        <v>58.300000000000608</v>
      </c>
      <c r="M356" s="23">
        <v>1000</v>
      </c>
      <c r="N356" s="23">
        <v>0</v>
      </c>
      <c r="O356" s="23">
        <v>0</v>
      </c>
      <c r="P356" s="23">
        <f>Tabela1[[#This Row],[1QZ DE MARÇO 26]]-Tabela1[[#This Row],[SALDO PENDENTE COM CX REPR.]]-Tabela1[[#This Row],[SALDO CARTAO]]-Tabela1[[#This Row],[ADIANTAMENTO]]</f>
        <v>0</v>
      </c>
      <c r="Q356" s="23">
        <f>Tabela1[[#This Row],[1QZ DE MARÇO 26]]-Tabela1[[#This Row],[SALDO PENDENTE SEM CX REPR.]]-Tabela1[[#This Row],[SALDO CARTAO]]-Tabela1[[#This Row],[ADIANTAMENTO]]</f>
        <v>941.69999999999936</v>
      </c>
      <c r="R356" s="23">
        <v>0</v>
      </c>
      <c r="S356" s="40">
        <f>IF(Tabela1[[#This Row],[CARGA PARCIAL]]&lt;0,0,Tabela1[[#This Row],[CARGA PARCIAL]]+Tabela1[[#This Row],[REEMBOLSO]])</f>
        <v>0</v>
      </c>
      <c r="T356" s="40">
        <f>IF(Tabela1[[#This Row],[CARGA PARCIAL SEM CX REPROV.]]&lt;0,0,Tabela1[[#This Row],[CARGA PARCIAL]]+Tabela1[[#This Row],[REEMBOLSO]])</f>
        <v>0</v>
      </c>
      <c r="U356" s="25" t="s">
        <v>22</v>
      </c>
      <c r="V356" s="26"/>
    </row>
    <row r="357" spans="2:22" x14ac:dyDescent="0.25">
      <c r="B357" s="37" t="s">
        <v>1030</v>
      </c>
      <c r="C357" s="32" t="s">
        <v>425</v>
      </c>
      <c r="D357" s="33" t="s">
        <v>18</v>
      </c>
      <c r="E357" s="33" t="s">
        <v>47</v>
      </c>
      <c r="F357" s="33">
        <v>11030660001</v>
      </c>
      <c r="G357" s="33" t="s">
        <v>48</v>
      </c>
      <c r="H357" s="22" t="s">
        <v>35</v>
      </c>
      <c r="I357" s="23">
        <v>0</v>
      </c>
      <c r="J357" s="23">
        <v>1970.7600000000057</v>
      </c>
      <c r="K357" s="23">
        <v>0</v>
      </c>
      <c r="L357" s="23">
        <v>0</v>
      </c>
      <c r="M357" s="23">
        <v>2000</v>
      </c>
      <c r="N357" s="23">
        <v>0</v>
      </c>
      <c r="O357" s="23">
        <v>0</v>
      </c>
      <c r="P357" s="23">
        <f>Tabela1[[#This Row],[1QZ DE MARÇO 26]]-Tabela1[[#This Row],[SALDO PENDENTE COM CX REPR.]]-Tabela1[[#This Row],[SALDO CARTAO]]-Tabela1[[#This Row],[ADIANTAMENTO]]</f>
        <v>29.239999999994325</v>
      </c>
      <c r="Q357" s="23">
        <f>Tabela1[[#This Row],[1QZ DE MARÇO 26]]-Tabela1[[#This Row],[SALDO PENDENTE SEM CX REPR.]]-Tabela1[[#This Row],[SALDO CARTAO]]-Tabela1[[#This Row],[ADIANTAMENTO]]</f>
        <v>2000</v>
      </c>
      <c r="R357" s="23">
        <v>0</v>
      </c>
      <c r="S357" s="40">
        <f>IF(Tabela1[[#This Row],[CARGA PARCIAL]]&lt;0,0,Tabela1[[#This Row],[CARGA PARCIAL]]+Tabela1[[#This Row],[REEMBOLSO]])</f>
        <v>29.239999999994325</v>
      </c>
      <c r="T357" s="40">
        <f>IF(Tabela1[[#This Row],[CARGA PARCIAL SEM CX REPROV.]]&lt;0,0,Tabela1[[#This Row],[CARGA PARCIAL]]+Tabela1[[#This Row],[REEMBOLSO]])</f>
        <v>29.239999999994325</v>
      </c>
      <c r="U357" s="24" t="s">
        <v>22</v>
      </c>
      <c r="V357" s="24"/>
    </row>
    <row r="358" spans="2:22" hidden="1" x14ac:dyDescent="0.25">
      <c r="B358" s="37" t="s">
        <v>1031</v>
      </c>
      <c r="C358" s="32" t="s">
        <v>617</v>
      </c>
      <c r="D358" s="33" t="s">
        <v>18</v>
      </c>
      <c r="E358" s="33" t="s">
        <v>532</v>
      </c>
      <c r="F358" s="33">
        <v>11063050001</v>
      </c>
      <c r="G358" s="33" t="s">
        <v>54</v>
      </c>
      <c r="H358" s="22" t="s">
        <v>39</v>
      </c>
      <c r="I358" s="23">
        <v>0</v>
      </c>
      <c r="J358" s="23">
        <v>3177.82</v>
      </c>
      <c r="K358" s="23">
        <v>0</v>
      </c>
      <c r="L358" s="23">
        <v>13.3900000000001</v>
      </c>
      <c r="M358" s="23">
        <v>0</v>
      </c>
      <c r="N358" s="23">
        <v>615.99</v>
      </c>
      <c r="O358" s="23">
        <v>0</v>
      </c>
      <c r="P358" s="23">
        <f>Tabela1[[#This Row],[1QZ DE MARÇO 26]]-Tabela1[[#This Row],[SALDO PENDENTE COM CX REPR.]]-Tabela1[[#This Row],[SALDO CARTAO]]-Tabela1[[#This Row],[ADIANTAMENTO]]</f>
        <v>-3793.8100000000004</v>
      </c>
      <c r="Q358" s="23">
        <f>Tabela1[[#This Row],[1QZ DE MARÇO 26]]-Tabela1[[#This Row],[SALDO PENDENTE SEM CX REPR.]]-Tabela1[[#This Row],[SALDO CARTAO]]-Tabela1[[#This Row],[ADIANTAMENTO]]</f>
        <v>-629.38000000000011</v>
      </c>
      <c r="R358" s="23">
        <v>0</v>
      </c>
      <c r="S358" s="40">
        <f>IF(Tabela1[[#This Row],[CARGA PARCIAL]]&lt;0,0,Tabela1[[#This Row],[CARGA PARCIAL]]+Tabela1[[#This Row],[REEMBOLSO]])</f>
        <v>0</v>
      </c>
      <c r="T358" s="40">
        <f>IF(Tabela1[[#This Row],[CARGA PARCIAL SEM CX REPROV.]]&lt;0,0,Tabela1[[#This Row],[CARGA PARCIAL]]+Tabela1[[#This Row],[REEMBOLSO]])</f>
        <v>0</v>
      </c>
      <c r="U358" s="24" t="s">
        <v>22</v>
      </c>
      <c r="V358" s="24"/>
    </row>
    <row r="359" spans="2:22" hidden="1" x14ac:dyDescent="0.25">
      <c r="B359" s="34" t="s">
        <v>1032</v>
      </c>
      <c r="C359" s="34" t="s">
        <v>253</v>
      </c>
      <c r="D359" s="34" t="s">
        <v>18</v>
      </c>
      <c r="E359" s="33" t="s">
        <v>90</v>
      </c>
      <c r="F359" s="33">
        <v>11040170001</v>
      </c>
      <c r="G359" s="33" t="s">
        <v>91</v>
      </c>
      <c r="H359" s="33" t="s">
        <v>21</v>
      </c>
      <c r="I359" s="23">
        <v>0</v>
      </c>
      <c r="J359" s="23">
        <v>119.28999999999996</v>
      </c>
      <c r="K359" s="23">
        <v>-36.650000000000148</v>
      </c>
      <c r="L359" s="23">
        <v>0</v>
      </c>
      <c r="M359" s="23">
        <v>0</v>
      </c>
      <c r="N359" s="23">
        <v>0</v>
      </c>
      <c r="O359" s="23">
        <v>0</v>
      </c>
      <c r="P359" s="23">
        <f>Tabela1[[#This Row],[1QZ DE MARÇO 26]]-Tabela1[[#This Row],[SALDO PENDENTE COM CX REPR.]]-Tabela1[[#This Row],[SALDO CARTAO]]-Tabela1[[#This Row],[ADIANTAMENTO]]</f>
        <v>-119.28999999999996</v>
      </c>
      <c r="Q359" s="23">
        <f>Tabela1[[#This Row],[1QZ DE MARÇO 26]]-Tabela1[[#This Row],[SALDO PENDENTE SEM CX REPR.]]-Tabela1[[#This Row],[SALDO CARTAO]]-Tabela1[[#This Row],[ADIANTAMENTO]]</f>
        <v>0</v>
      </c>
      <c r="R359" s="23">
        <v>0</v>
      </c>
      <c r="S359" s="40">
        <f>IF(Tabela1[[#This Row],[CARGA PARCIAL]]&lt;0,0,Tabela1[[#This Row],[CARGA PARCIAL]]+Tabela1[[#This Row],[REEMBOLSO]])</f>
        <v>0</v>
      </c>
      <c r="T359" s="40">
        <f>IF(Tabela1[[#This Row],[CARGA PARCIAL SEM CX REPROV.]]&lt;0,0,Tabela1[[#This Row],[CARGA PARCIAL]]+Tabela1[[#This Row],[REEMBOLSO]])</f>
        <v>-119.28999999999996</v>
      </c>
      <c r="U359" s="25" t="s">
        <v>22</v>
      </c>
      <c r="V359" s="26"/>
    </row>
    <row r="360" spans="2:22" hidden="1" x14ac:dyDescent="0.25">
      <c r="B360" s="31" t="s">
        <v>1033</v>
      </c>
      <c r="C360" s="32" t="s">
        <v>510</v>
      </c>
      <c r="D360" s="33" t="s">
        <v>18</v>
      </c>
      <c r="E360" s="33" t="s">
        <v>88</v>
      </c>
      <c r="F360" s="33">
        <v>11040130001</v>
      </c>
      <c r="G360" s="33" t="s">
        <v>45</v>
      </c>
      <c r="H360" s="22" t="s">
        <v>39</v>
      </c>
      <c r="I360" s="23">
        <v>0</v>
      </c>
      <c r="J360" s="23">
        <v>559.29</v>
      </c>
      <c r="K360" s="23">
        <v>-13.400000000000118</v>
      </c>
      <c r="L360" s="23">
        <v>0</v>
      </c>
      <c r="M360" s="23">
        <v>120</v>
      </c>
      <c r="N360" s="23">
        <v>0</v>
      </c>
      <c r="O360" s="23">
        <v>0</v>
      </c>
      <c r="P360" s="23">
        <f>Tabela1[[#This Row],[1QZ DE MARÇO 26]]-Tabela1[[#This Row],[SALDO PENDENTE COM CX REPR.]]-Tabela1[[#This Row],[SALDO CARTAO]]-Tabela1[[#This Row],[ADIANTAMENTO]]</f>
        <v>-439.28999999999996</v>
      </c>
      <c r="Q360" s="23">
        <f>Tabela1[[#This Row],[1QZ DE MARÇO 26]]-Tabela1[[#This Row],[SALDO PENDENTE SEM CX REPR.]]-Tabela1[[#This Row],[SALDO CARTAO]]-Tabela1[[#This Row],[ADIANTAMENTO]]</f>
        <v>120</v>
      </c>
      <c r="R360" s="23">
        <v>0</v>
      </c>
      <c r="S360" s="40">
        <f>IF(Tabela1[[#This Row],[CARGA PARCIAL]]&lt;0,0,Tabela1[[#This Row],[CARGA PARCIAL]]+Tabela1[[#This Row],[REEMBOLSO]])</f>
        <v>0</v>
      </c>
      <c r="T360" s="40">
        <f>IF(Tabela1[[#This Row],[CARGA PARCIAL SEM CX REPROV.]]&lt;0,0,Tabela1[[#This Row],[CARGA PARCIAL]]+Tabela1[[#This Row],[REEMBOLSO]])</f>
        <v>-439.28999999999996</v>
      </c>
      <c r="U360" s="24" t="s">
        <v>22</v>
      </c>
      <c r="V360" s="24"/>
    </row>
    <row r="361" spans="2:22" hidden="1" x14ac:dyDescent="0.25">
      <c r="B361" s="31" t="s">
        <v>1034</v>
      </c>
      <c r="C361" s="32" t="s">
        <v>618</v>
      </c>
      <c r="D361" s="33" t="s">
        <v>18</v>
      </c>
      <c r="E361" s="33" t="s">
        <v>88</v>
      </c>
      <c r="F361" s="33">
        <v>11040130001</v>
      </c>
      <c r="G361" s="33" t="s">
        <v>45</v>
      </c>
      <c r="H361" s="22" t="s">
        <v>39</v>
      </c>
      <c r="I361" s="23">
        <v>0</v>
      </c>
      <c r="J361" s="23">
        <v>0</v>
      </c>
      <c r="K361" s="23">
        <v>0</v>
      </c>
      <c r="L361" s="23">
        <v>2162.150000000016</v>
      </c>
      <c r="M361" s="23">
        <v>0</v>
      </c>
      <c r="N361" s="23">
        <v>12.21</v>
      </c>
      <c r="O361" s="23">
        <v>0</v>
      </c>
      <c r="P361" s="23">
        <f>Tabela1[[#This Row],[1QZ DE MARÇO 26]]-Tabela1[[#This Row],[SALDO PENDENTE COM CX REPR.]]-Tabela1[[#This Row],[SALDO CARTAO]]-Tabela1[[#This Row],[ADIANTAMENTO]]</f>
        <v>-12.21</v>
      </c>
      <c r="Q361" s="23">
        <f>Tabela1[[#This Row],[1QZ DE MARÇO 26]]-Tabela1[[#This Row],[SALDO PENDENTE SEM CX REPR.]]-Tabela1[[#This Row],[SALDO CARTAO]]-Tabela1[[#This Row],[ADIANTAMENTO]]</f>
        <v>-2174.360000000016</v>
      </c>
      <c r="R361" s="23">
        <v>0</v>
      </c>
      <c r="S361" s="40">
        <f>IF(Tabela1[[#This Row],[CARGA PARCIAL]]&lt;0,0,Tabela1[[#This Row],[CARGA PARCIAL]]+Tabela1[[#This Row],[REEMBOLSO]])</f>
        <v>0</v>
      </c>
      <c r="T361" s="40">
        <f>IF(Tabela1[[#This Row],[CARGA PARCIAL SEM CX REPROV.]]&lt;0,0,Tabela1[[#This Row],[CARGA PARCIAL]]+Tabela1[[#This Row],[REEMBOLSO]])</f>
        <v>0</v>
      </c>
      <c r="U361" s="24" t="s">
        <v>22</v>
      </c>
      <c r="V361" s="24"/>
    </row>
    <row r="362" spans="2:22" hidden="1" x14ac:dyDescent="0.25">
      <c r="B362" s="33" t="s">
        <v>1035</v>
      </c>
      <c r="C362" s="33" t="s">
        <v>619</v>
      </c>
      <c r="D362" s="33" t="s">
        <v>18</v>
      </c>
      <c r="E362" s="33" t="s">
        <v>44</v>
      </c>
      <c r="F362" s="33">
        <v>1104150001</v>
      </c>
      <c r="G362" s="33" t="s">
        <v>45</v>
      </c>
      <c r="H362" s="22" t="s">
        <v>39</v>
      </c>
      <c r="I362" s="23">
        <v>0</v>
      </c>
      <c r="J362" s="23">
        <v>0.99000000000023647</v>
      </c>
      <c r="K362" s="23">
        <v>0</v>
      </c>
      <c r="L362" s="23">
        <v>1705.369999999999</v>
      </c>
      <c r="M362" s="23">
        <v>0</v>
      </c>
      <c r="N362" s="23">
        <v>0</v>
      </c>
      <c r="O362" s="23">
        <v>0</v>
      </c>
      <c r="P362" s="23">
        <f>Tabela1[[#This Row],[1QZ DE MARÇO 26]]-Tabela1[[#This Row],[SALDO PENDENTE COM CX REPR.]]-Tabela1[[#This Row],[SALDO CARTAO]]-Tabela1[[#This Row],[ADIANTAMENTO]]</f>
        <v>-0.99000000000023647</v>
      </c>
      <c r="Q362" s="23">
        <f>Tabela1[[#This Row],[1QZ DE MARÇO 26]]-Tabela1[[#This Row],[SALDO PENDENTE SEM CX REPR.]]-Tabela1[[#This Row],[SALDO CARTAO]]-Tabela1[[#This Row],[ADIANTAMENTO]]</f>
        <v>-1705.369999999999</v>
      </c>
      <c r="R362" s="23">
        <v>0</v>
      </c>
      <c r="S362" s="40">
        <f>IF(Tabela1[[#This Row],[CARGA PARCIAL]]&lt;0,0,Tabela1[[#This Row],[CARGA PARCIAL]]+Tabela1[[#This Row],[REEMBOLSO]])</f>
        <v>0</v>
      </c>
      <c r="T362" s="40">
        <f>IF(Tabela1[[#This Row],[CARGA PARCIAL SEM CX REPROV.]]&lt;0,0,Tabela1[[#This Row],[CARGA PARCIAL]]+Tabela1[[#This Row],[REEMBOLSO]])</f>
        <v>0</v>
      </c>
      <c r="U362" s="24" t="s">
        <v>22</v>
      </c>
      <c r="V362" s="24"/>
    </row>
    <row r="363" spans="2:22" x14ac:dyDescent="0.25">
      <c r="B363" s="31" t="s">
        <v>1036</v>
      </c>
      <c r="C363" s="32" t="s">
        <v>524</v>
      </c>
      <c r="D363" s="33" t="s">
        <v>18</v>
      </c>
      <c r="E363" s="33" t="s">
        <v>283</v>
      </c>
      <c r="F363" s="33">
        <v>11040140001</v>
      </c>
      <c r="G363" s="33" t="s">
        <v>45</v>
      </c>
      <c r="H363" s="22" t="s">
        <v>39</v>
      </c>
      <c r="I363" s="23">
        <v>-26.700000000000159</v>
      </c>
      <c r="J363" s="23">
        <v>0</v>
      </c>
      <c r="K363" s="23">
        <v>-288.63999999999214</v>
      </c>
      <c r="L363" s="23">
        <v>0</v>
      </c>
      <c r="M363" s="23">
        <v>50</v>
      </c>
      <c r="N363" s="23"/>
      <c r="O363" s="23">
        <v>0</v>
      </c>
      <c r="P363" s="23">
        <f>Tabela1[[#This Row],[1QZ DE MARÇO 26]]-Tabela1[[#This Row],[SALDO PENDENTE COM CX REPR.]]-Tabela1[[#This Row],[SALDO CARTAO]]-Tabela1[[#This Row],[ADIANTAMENTO]]</f>
        <v>50</v>
      </c>
      <c r="Q363" s="23">
        <f>Tabela1[[#This Row],[1QZ DE MARÇO 26]]-Tabela1[[#This Row],[SALDO PENDENTE SEM CX REPR.]]-Tabela1[[#This Row],[SALDO CARTAO]]-Tabela1[[#This Row],[ADIANTAMENTO]]</f>
        <v>50</v>
      </c>
      <c r="R363" s="23">
        <v>26.700000000000159</v>
      </c>
      <c r="S363" s="40">
        <f>IF(Tabela1[[#This Row],[CARGA PARCIAL]]&lt;0,0,Tabela1[[#This Row],[CARGA PARCIAL]]+Tabela1[[#This Row],[REEMBOLSO]])</f>
        <v>76.700000000000159</v>
      </c>
      <c r="T363" s="40">
        <f>IF(Tabela1[[#This Row],[CARGA PARCIAL SEM CX REPROV.]]&lt;0,0,Tabela1[[#This Row],[CARGA PARCIAL]]+Tabela1[[#This Row],[REEMBOLSO]])</f>
        <v>76.700000000000159</v>
      </c>
      <c r="U363" s="24" t="s">
        <v>22</v>
      </c>
      <c r="V363" s="24"/>
    </row>
    <row r="364" spans="2:22" hidden="1" x14ac:dyDescent="0.25">
      <c r="B364" s="33" t="s">
        <v>962</v>
      </c>
      <c r="C364" s="33" t="s">
        <v>103</v>
      </c>
      <c r="D364" s="33" t="s">
        <v>18</v>
      </c>
      <c r="E364" s="33" t="s">
        <v>104</v>
      </c>
      <c r="F364" s="33">
        <v>11030900001</v>
      </c>
      <c r="G364" s="33" t="s">
        <v>20</v>
      </c>
      <c r="H364" s="22" t="s">
        <v>21</v>
      </c>
      <c r="I364" s="23">
        <v>-1363.7199999999966</v>
      </c>
      <c r="J364" s="23">
        <v>0</v>
      </c>
      <c r="K364" s="23">
        <v>-4.0099999999999909</v>
      </c>
      <c r="L364" s="23">
        <v>0</v>
      </c>
      <c r="M364" s="23">
        <v>1000</v>
      </c>
      <c r="N364" s="23">
        <v>1268.01</v>
      </c>
      <c r="O364" s="23">
        <v>0</v>
      </c>
      <c r="P364" s="23">
        <f>Tabela1[[#This Row],[1QZ DE MARÇO 26]]-Tabela1[[#This Row],[SALDO PENDENTE COM CX REPR.]]-Tabela1[[#This Row],[SALDO CARTAO]]-Tabela1[[#This Row],[ADIANTAMENTO]]</f>
        <v>-268.01</v>
      </c>
      <c r="Q364" s="23">
        <f>Tabela1[[#This Row],[1QZ DE MARÇO 26]]-Tabela1[[#This Row],[SALDO PENDENTE SEM CX REPR.]]-Tabela1[[#This Row],[SALDO CARTAO]]-Tabela1[[#This Row],[ADIANTAMENTO]]</f>
        <v>-268.01</v>
      </c>
      <c r="R364" s="23">
        <v>0</v>
      </c>
      <c r="S364" s="40">
        <f>IF(Tabela1[[#This Row],[CARGA PARCIAL]]&lt;0,0,Tabela1[[#This Row],[CARGA PARCIAL]]+Tabela1[[#This Row],[REEMBOLSO]])</f>
        <v>0</v>
      </c>
      <c r="T364" s="40">
        <f>IF(Tabela1[[#This Row],[CARGA PARCIAL SEM CX REPROV.]]&lt;0,0,Tabela1[[#This Row],[CARGA PARCIAL]]+Tabela1[[#This Row],[REEMBOLSO]])</f>
        <v>0</v>
      </c>
      <c r="U364" s="24" t="s">
        <v>22</v>
      </c>
      <c r="V364" s="24"/>
    </row>
    <row r="365" spans="2:22" x14ac:dyDescent="0.25">
      <c r="B365" s="33" t="s">
        <v>874</v>
      </c>
      <c r="C365" s="33" t="s">
        <v>106</v>
      </c>
      <c r="D365" s="33" t="s">
        <v>18</v>
      </c>
      <c r="E365" s="33" t="s">
        <v>107</v>
      </c>
      <c r="F365" s="33">
        <v>11030770001</v>
      </c>
      <c r="G365" s="33" t="s">
        <v>20</v>
      </c>
      <c r="H365" s="33" t="s">
        <v>21</v>
      </c>
      <c r="I365" s="23">
        <v>-1480.570000000007</v>
      </c>
      <c r="J365" s="23">
        <v>0</v>
      </c>
      <c r="K365" s="23">
        <v>0</v>
      </c>
      <c r="L365" s="23">
        <v>0</v>
      </c>
      <c r="M365" s="23">
        <v>2000</v>
      </c>
      <c r="N365" s="23">
        <v>2.31</v>
      </c>
      <c r="O365" s="23">
        <v>0</v>
      </c>
      <c r="P365" s="23">
        <f>Tabela1[[#This Row],[1QZ DE MARÇO 26]]-Tabela1[[#This Row],[SALDO PENDENTE COM CX REPR.]]-Tabela1[[#This Row],[SALDO CARTAO]]-Tabela1[[#This Row],[ADIANTAMENTO]]</f>
        <v>1997.69</v>
      </c>
      <c r="Q365" s="23">
        <f>Tabela1[[#This Row],[1QZ DE MARÇO 26]]-Tabela1[[#This Row],[SALDO PENDENTE SEM CX REPR.]]-Tabela1[[#This Row],[SALDO CARTAO]]-Tabela1[[#This Row],[ADIANTAMENTO]]</f>
        <v>1997.69</v>
      </c>
      <c r="R365" s="23">
        <v>0</v>
      </c>
      <c r="S365" s="40">
        <f>IF(Tabela1[[#This Row],[CARGA PARCIAL]]&lt;0,0,Tabela1[[#This Row],[CARGA PARCIAL]]+Tabela1[[#This Row],[REEMBOLSO]])</f>
        <v>1997.69</v>
      </c>
      <c r="T365" s="40">
        <f>IF(Tabela1[[#This Row],[CARGA PARCIAL SEM CX REPROV.]]&lt;0,0,Tabela1[[#This Row],[CARGA PARCIAL]]+Tabela1[[#This Row],[REEMBOLSO]])</f>
        <v>1997.69</v>
      </c>
      <c r="U365" s="24" t="s">
        <v>22</v>
      </c>
      <c r="V365" s="24"/>
    </row>
    <row r="366" spans="2:22" x14ac:dyDescent="0.25">
      <c r="B366" s="37" t="s">
        <v>997</v>
      </c>
      <c r="C366" s="32" t="s">
        <v>92</v>
      </c>
      <c r="D366" s="33" t="s">
        <v>18</v>
      </c>
      <c r="E366" s="33" t="s">
        <v>93</v>
      </c>
      <c r="F366" s="33">
        <v>11030780001</v>
      </c>
      <c r="G366" s="33" t="s">
        <v>38</v>
      </c>
      <c r="H366" s="22" t="s">
        <v>39</v>
      </c>
      <c r="I366" s="23">
        <v>-1546.9799999999889</v>
      </c>
      <c r="J366" s="23">
        <v>0</v>
      </c>
      <c r="K366" s="23">
        <v>0</v>
      </c>
      <c r="L366" s="23">
        <v>259.7</v>
      </c>
      <c r="M366" s="23">
        <v>2000</v>
      </c>
      <c r="N366" s="23">
        <v>13</v>
      </c>
      <c r="O366" s="23">
        <v>0</v>
      </c>
      <c r="P366" s="23">
        <f>Tabela1[[#This Row],[1QZ DE MARÇO 26]]-Tabela1[[#This Row],[SALDO PENDENTE COM CX REPR.]]-Tabela1[[#This Row],[SALDO CARTAO]]-Tabela1[[#This Row],[ADIANTAMENTO]]</f>
        <v>1987</v>
      </c>
      <c r="Q366" s="23">
        <f>Tabela1[[#This Row],[1QZ DE MARÇO 26]]-Tabela1[[#This Row],[SALDO PENDENTE SEM CX REPR.]]-Tabela1[[#This Row],[SALDO CARTAO]]-Tabela1[[#This Row],[ADIANTAMENTO]]</f>
        <v>1727.3</v>
      </c>
      <c r="R366" s="23">
        <v>0</v>
      </c>
      <c r="S366" s="40">
        <f>IF(Tabela1[[#This Row],[CARGA PARCIAL]]&lt;0,0,Tabela1[[#This Row],[CARGA PARCIAL]]+Tabela1[[#This Row],[REEMBOLSO]])</f>
        <v>1987</v>
      </c>
      <c r="T366" s="40">
        <f>IF(Tabela1[[#This Row],[CARGA PARCIAL SEM CX REPROV.]]&lt;0,0,Tabela1[[#This Row],[CARGA PARCIAL]]+Tabela1[[#This Row],[REEMBOLSO]])</f>
        <v>1987</v>
      </c>
      <c r="U366" s="24" t="s">
        <v>22</v>
      </c>
      <c r="V366" s="24"/>
    </row>
    <row r="367" spans="2:22" hidden="1" x14ac:dyDescent="0.25">
      <c r="B367" s="33" t="s">
        <v>1040</v>
      </c>
      <c r="C367" s="33" t="s">
        <v>199</v>
      </c>
      <c r="D367" s="33" t="s">
        <v>18</v>
      </c>
      <c r="E367" s="33" t="s">
        <v>134</v>
      </c>
      <c r="F367" s="33">
        <v>11061720001</v>
      </c>
      <c r="G367" s="33" t="s">
        <v>42</v>
      </c>
      <c r="H367" s="22" t="s">
        <v>39</v>
      </c>
      <c r="I367" s="23">
        <v>-67.500000000000654</v>
      </c>
      <c r="J367" s="23">
        <v>0</v>
      </c>
      <c r="K367" s="23">
        <v>0</v>
      </c>
      <c r="L367" s="23">
        <v>1139.7499999999272</v>
      </c>
      <c r="M367" s="23">
        <v>800</v>
      </c>
      <c r="N367" s="23">
        <v>0</v>
      </c>
      <c r="O367" s="23">
        <v>0</v>
      </c>
      <c r="P367" s="23">
        <f>Tabela1[[#This Row],[1QZ DE MARÇO 26]]-Tabela1[[#This Row],[SALDO PENDENTE COM CX REPR.]]-Tabela1[[#This Row],[SALDO CARTAO]]-Tabela1[[#This Row],[ADIANTAMENTO]]</f>
        <v>800</v>
      </c>
      <c r="Q367" s="23">
        <f>Tabela1[[#This Row],[1QZ DE MARÇO 26]]-Tabela1[[#This Row],[SALDO PENDENTE SEM CX REPR.]]-Tabela1[[#This Row],[SALDO CARTAO]]-Tabela1[[#This Row],[ADIANTAMENTO]]</f>
        <v>-339.74999999992724</v>
      </c>
      <c r="R367" s="23">
        <v>0</v>
      </c>
      <c r="S367" s="40">
        <f>IF(Tabela1[[#This Row],[CARGA PARCIAL]]&lt;0,0,Tabela1[[#This Row],[CARGA PARCIAL]]+Tabela1[[#This Row],[REEMBOLSO]])</f>
        <v>800</v>
      </c>
      <c r="T367" s="40">
        <f>IF(Tabela1[[#This Row],[CARGA PARCIAL SEM CX REPROV.]]&lt;0,0,Tabela1[[#This Row],[CARGA PARCIAL]]+Tabela1[[#This Row],[REEMBOLSO]])</f>
        <v>0</v>
      </c>
      <c r="U367" s="24" t="s">
        <v>22</v>
      </c>
      <c r="V367" s="24"/>
    </row>
    <row r="368" spans="2:22" hidden="1" x14ac:dyDescent="0.25">
      <c r="B368" s="31" t="s">
        <v>1041</v>
      </c>
      <c r="C368" s="32" t="s">
        <v>396</v>
      </c>
      <c r="D368" s="33" t="s">
        <v>18</v>
      </c>
      <c r="E368" s="33" t="s">
        <v>225</v>
      </c>
      <c r="F368" s="33">
        <v>1201007</v>
      </c>
      <c r="G368" s="33" t="s">
        <v>28</v>
      </c>
      <c r="H368" s="22" t="s">
        <v>21</v>
      </c>
      <c r="I368" s="23">
        <v>0</v>
      </c>
      <c r="J368" s="23">
        <v>91.979999999999791</v>
      </c>
      <c r="K368" s="23">
        <v>0</v>
      </c>
      <c r="L368" s="23">
        <v>3874.9899999999252</v>
      </c>
      <c r="M368" s="23">
        <v>0</v>
      </c>
      <c r="N368" s="23">
        <v>11.55</v>
      </c>
      <c r="O368" s="23">
        <v>0</v>
      </c>
      <c r="P368" s="23">
        <f>Tabela1[[#This Row],[1QZ DE MARÇO 26]]-Tabela1[[#This Row],[SALDO PENDENTE COM CX REPR.]]-Tabela1[[#This Row],[SALDO CARTAO]]-Tabela1[[#This Row],[ADIANTAMENTO]]</f>
        <v>-103.52999999999979</v>
      </c>
      <c r="Q368" s="23">
        <f>Tabela1[[#This Row],[1QZ DE MARÇO 26]]-Tabela1[[#This Row],[SALDO PENDENTE SEM CX REPR.]]-Tabela1[[#This Row],[SALDO CARTAO]]-Tabela1[[#This Row],[ADIANTAMENTO]]</f>
        <v>-3886.5399999999254</v>
      </c>
      <c r="R368" s="23">
        <v>0</v>
      </c>
      <c r="S368" s="40">
        <f>IF(Tabela1[[#This Row],[CARGA PARCIAL]]&lt;0,0,Tabela1[[#This Row],[CARGA PARCIAL]]+Tabela1[[#This Row],[REEMBOLSO]])</f>
        <v>0</v>
      </c>
      <c r="T368" s="40">
        <f>IF(Tabela1[[#This Row],[CARGA PARCIAL SEM CX REPROV.]]&lt;0,0,Tabela1[[#This Row],[CARGA PARCIAL]]+Tabela1[[#This Row],[REEMBOLSO]])</f>
        <v>0</v>
      </c>
      <c r="U368" s="24" t="s">
        <v>22</v>
      </c>
      <c r="V368" s="24"/>
    </row>
    <row r="369" spans="2:22" hidden="1" x14ac:dyDescent="0.25">
      <c r="B369" s="33" t="s">
        <v>1042</v>
      </c>
      <c r="C369" s="33" t="s">
        <v>434</v>
      </c>
      <c r="D369" s="33" t="s">
        <v>18</v>
      </c>
      <c r="E369" s="33" t="s">
        <v>435</v>
      </c>
      <c r="F369" s="33">
        <v>11080260001</v>
      </c>
      <c r="G369" s="33" t="s">
        <v>42</v>
      </c>
      <c r="H369" s="33" t="s">
        <v>39</v>
      </c>
      <c r="I369" s="23">
        <v>0</v>
      </c>
      <c r="J369" s="23">
        <v>1801.9099999999994</v>
      </c>
      <c r="K369" s="23">
        <v>0</v>
      </c>
      <c r="L369" s="23">
        <v>1514.9999999999995</v>
      </c>
      <c r="M369" s="23">
        <v>1200</v>
      </c>
      <c r="N369" s="23">
        <v>174.47</v>
      </c>
      <c r="O369" s="23">
        <v>0</v>
      </c>
      <c r="P369" s="23">
        <f>Tabela1[[#This Row],[1QZ DE MARÇO 26]]-Tabela1[[#This Row],[SALDO PENDENTE COM CX REPR.]]-Tabela1[[#This Row],[SALDO CARTAO]]-Tabela1[[#This Row],[ADIANTAMENTO]]</f>
        <v>-776.37999999999943</v>
      </c>
      <c r="Q369" s="23">
        <f>Tabela1[[#This Row],[1QZ DE MARÇO 26]]-Tabela1[[#This Row],[SALDO PENDENTE SEM CX REPR.]]-Tabela1[[#This Row],[SALDO CARTAO]]-Tabela1[[#This Row],[ADIANTAMENTO]]</f>
        <v>-489.46999999999957</v>
      </c>
      <c r="R369" s="23">
        <v>0</v>
      </c>
      <c r="S369" s="40">
        <f>IF(Tabela1[[#This Row],[CARGA PARCIAL]]&lt;0,0,Tabela1[[#This Row],[CARGA PARCIAL]]+Tabela1[[#This Row],[REEMBOLSO]])</f>
        <v>0</v>
      </c>
      <c r="T369" s="40">
        <f>IF(Tabela1[[#This Row],[CARGA PARCIAL SEM CX REPROV.]]&lt;0,0,Tabela1[[#This Row],[CARGA PARCIAL]]+Tabela1[[#This Row],[REEMBOLSO]])</f>
        <v>0</v>
      </c>
      <c r="U369" s="24" t="s">
        <v>22</v>
      </c>
      <c r="V369" s="24"/>
    </row>
    <row r="370" spans="2:22" x14ac:dyDescent="0.25">
      <c r="B370" s="31" t="s">
        <v>1043</v>
      </c>
      <c r="C370" s="32" t="s">
        <v>135</v>
      </c>
      <c r="D370" s="33" t="s">
        <v>18</v>
      </c>
      <c r="E370" s="33" t="s">
        <v>134</v>
      </c>
      <c r="F370" s="33">
        <v>11061720001</v>
      </c>
      <c r="G370" s="33" t="s">
        <v>42</v>
      </c>
      <c r="H370" s="22" t="s">
        <v>39</v>
      </c>
      <c r="I370" s="23">
        <v>-13.999999999987637</v>
      </c>
      <c r="J370" s="23">
        <v>0</v>
      </c>
      <c r="K370" s="23">
        <v>0</v>
      </c>
      <c r="L370" s="23">
        <v>81.829999999999927</v>
      </c>
      <c r="M370" s="23">
        <v>1400</v>
      </c>
      <c r="N370" s="23">
        <v>0</v>
      </c>
      <c r="O370" s="23">
        <v>0</v>
      </c>
      <c r="P370" s="23">
        <f>Tabela1[[#This Row],[1QZ DE MARÇO 26]]-Tabela1[[#This Row],[SALDO PENDENTE COM CX REPR.]]-Tabela1[[#This Row],[SALDO CARTAO]]-Tabela1[[#This Row],[ADIANTAMENTO]]</f>
        <v>1400</v>
      </c>
      <c r="Q370" s="23">
        <f>Tabela1[[#This Row],[1QZ DE MARÇO 26]]-Tabela1[[#This Row],[SALDO PENDENTE SEM CX REPR.]]-Tabela1[[#This Row],[SALDO CARTAO]]-Tabela1[[#This Row],[ADIANTAMENTO]]</f>
        <v>1318.17</v>
      </c>
      <c r="R370" s="23">
        <v>0</v>
      </c>
      <c r="S370" s="40">
        <f>IF(Tabela1[[#This Row],[CARGA PARCIAL]]&lt;0,0,Tabela1[[#This Row],[CARGA PARCIAL]]+Tabela1[[#This Row],[REEMBOLSO]])</f>
        <v>1400</v>
      </c>
      <c r="T370" s="40">
        <f>IF(Tabela1[[#This Row],[CARGA PARCIAL SEM CX REPROV.]]&lt;0,0,Tabela1[[#This Row],[CARGA PARCIAL]]+Tabela1[[#This Row],[REEMBOLSO]])</f>
        <v>1400</v>
      </c>
      <c r="U370" s="24" t="s">
        <v>22</v>
      </c>
      <c r="V370" s="24"/>
    </row>
    <row r="371" spans="2:22" x14ac:dyDescent="0.25">
      <c r="B371" s="33" t="s">
        <v>1044</v>
      </c>
      <c r="C371" s="33" t="s">
        <v>436</v>
      </c>
      <c r="D371" s="33" t="s">
        <v>18</v>
      </c>
      <c r="E371" s="33" t="s">
        <v>86</v>
      </c>
      <c r="F371" s="33">
        <v>11030700001</v>
      </c>
      <c r="G371" s="33" t="s">
        <v>42</v>
      </c>
      <c r="H371" s="22" t="s">
        <v>39</v>
      </c>
      <c r="I371" s="23">
        <v>0</v>
      </c>
      <c r="J371" s="23">
        <v>2.820000000001528</v>
      </c>
      <c r="K371" s="23">
        <v>0</v>
      </c>
      <c r="L371" s="23">
        <v>187.21000000000049</v>
      </c>
      <c r="M371" s="23">
        <v>1200</v>
      </c>
      <c r="N371" s="23">
        <v>0</v>
      </c>
      <c r="O371" s="23">
        <v>0</v>
      </c>
      <c r="P371" s="23">
        <f>Tabela1[[#This Row],[1QZ DE MARÇO 26]]-Tabela1[[#This Row],[SALDO PENDENTE COM CX REPR.]]-Tabela1[[#This Row],[SALDO CARTAO]]-Tabela1[[#This Row],[ADIANTAMENTO]]</f>
        <v>1197.1799999999985</v>
      </c>
      <c r="Q371" s="23">
        <f>Tabela1[[#This Row],[1QZ DE MARÇO 26]]-Tabela1[[#This Row],[SALDO PENDENTE SEM CX REPR.]]-Tabela1[[#This Row],[SALDO CARTAO]]-Tabela1[[#This Row],[ADIANTAMENTO]]</f>
        <v>1012.7899999999995</v>
      </c>
      <c r="R371" s="23">
        <v>0</v>
      </c>
      <c r="S371" s="40">
        <f>IF(Tabela1[[#This Row],[CARGA PARCIAL]]&lt;0,0,Tabela1[[#This Row],[CARGA PARCIAL]]+Tabela1[[#This Row],[REEMBOLSO]])</f>
        <v>1197.1799999999985</v>
      </c>
      <c r="T371" s="40">
        <f>IF(Tabela1[[#This Row],[CARGA PARCIAL SEM CX REPROV.]]&lt;0,0,Tabela1[[#This Row],[CARGA PARCIAL]]+Tabela1[[#This Row],[REEMBOLSO]])</f>
        <v>1197.1799999999985</v>
      </c>
      <c r="U371" s="24" t="s">
        <v>22</v>
      </c>
      <c r="V371" s="24"/>
    </row>
    <row r="372" spans="2:22" hidden="1" x14ac:dyDescent="0.25">
      <c r="B372" s="31" t="s">
        <v>1045</v>
      </c>
      <c r="C372" s="32" t="s">
        <v>666</v>
      </c>
      <c r="D372" s="33" t="s">
        <v>18</v>
      </c>
      <c r="E372" s="33" t="s">
        <v>532</v>
      </c>
      <c r="F372" s="33">
        <v>11063050001</v>
      </c>
      <c r="G372" s="33" t="s">
        <v>54</v>
      </c>
      <c r="H372" s="22" t="s">
        <v>39</v>
      </c>
      <c r="I372" s="23">
        <v>0</v>
      </c>
      <c r="J372" s="23">
        <v>0</v>
      </c>
      <c r="K372" s="23">
        <v>0</v>
      </c>
      <c r="L372" s="23">
        <v>3024.3999999999992</v>
      </c>
      <c r="M372" s="23">
        <v>0</v>
      </c>
      <c r="N372" s="23">
        <v>0</v>
      </c>
      <c r="O372" s="23">
        <v>0</v>
      </c>
      <c r="P372" s="23">
        <f>Tabela1[[#This Row],[1QZ DE MARÇO 26]]-Tabela1[[#This Row],[SALDO PENDENTE COM CX REPR.]]-Tabela1[[#This Row],[SALDO CARTAO]]-Tabela1[[#This Row],[ADIANTAMENTO]]</f>
        <v>0</v>
      </c>
      <c r="Q372" s="23">
        <f>Tabela1[[#This Row],[1QZ DE MARÇO 26]]-Tabela1[[#This Row],[SALDO PENDENTE SEM CX REPR.]]-Tabela1[[#This Row],[SALDO CARTAO]]-Tabela1[[#This Row],[ADIANTAMENTO]]</f>
        <v>-3024.3999999999992</v>
      </c>
      <c r="R372" s="23">
        <v>0</v>
      </c>
      <c r="S372" s="40">
        <f>IF(Tabela1[[#This Row],[CARGA PARCIAL]]&lt;0,0,Tabela1[[#This Row],[CARGA PARCIAL]]+Tabela1[[#This Row],[REEMBOLSO]])</f>
        <v>0</v>
      </c>
      <c r="T372" s="40">
        <f>IF(Tabela1[[#This Row],[CARGA PARCIAL SEM CX REPROV.]]&lt;0,0,Tabela1[[#This Row],[CARGA PARCIAL]]+Tabela1[[#This Row],[REEMBOLSO]])</f>
        <v>0</v>
      </c>
      <c r="U372" s="24" t="s">
        <v>22</v>
      </c>
      <c r="V372" s="24"/>
    </row>
    <row r="373" spans="2:22" x14ac:dyDescent="0.25">
      <c r="B373" s="31" t="s">
        <v>1046</v>
      </c>
      <c r="C373" s="32" t="s">
        <v>313</v>
      </c>
      <c r="D373" s="33" t="s">
        <v>18</v>
      </c>
      <c r="E373" s="33" t="s">
        <v>95</v>
      </c>
      <c r="F373" s="33">
        <v>11040160001</v>
      </c>
      <c r="G373" s="33" t="s">
        <v>48</v>
      </c>
      <c r="H373" s="22" t="s">
        <v>35</v>
      </c>
      <c r="I373" s="23">
        <v>0</v>
      </c>
      <c r="J373" s="23">
        <v>285.94999999999914</v>
      </c>
      <c r="K373" s="23">
        <v>0</v>
      </c>
      <c r="L373" s="23">
        <v>29.15</v>
      </c>
      <c r="M373" s="23">
        <v>750</v>
      </c>
      <c r="N373" s="23">
        <v>183.9</v>
      </c>
      <c r="O373" s="23">
        <v>0</v>
      </c>
      <c r="P373" s="23">
        <f>Tabela1[[#This Row],[1QZ DE MARÇO 26]]-Tabela1[[#This Row],[SALDO PENDENTE COM CX REPR.]]-Tabela1[[#This Row],[SALDO CARTAO]]-Tabela1[[#This Row],[ADIANTAMENTO]]</f>
        <v>280.15000000000089</v>
      </c>
      <c r="Q373" s="23">
        <f>Tabela1[[#This Row],[1QZ DE MARÇO 26]]-Tabela1[[#This Row],[SALDO PENDENTE SEM CX REPR.]]-Tabela1[[#This Row],[SALDO CARTAO]]-Tabela1[[#This Row],[ADIANTAMENTO]]</f>
        <v>536.95000000000005</v>
      </c>
      <c r="R373" s="23">
        <v>0</v>
      </c>
      <c r="S373" s="40">
        <f>IF(Tabela1[[#This Row],[CARGA PARCIAL]]&lt;0,0,Tabela1[[#This Row],[CARGA PARCIAL]]+Tabela1[[#This Row],[REEMBOLSO]])</f>
        <v>280.15000000000089</v>
      </c>
      <c r="T373" s="40">
        <f>IF(Tabela1[[#This Row],[CARGA PARCIAL SEM CX REPROV.]]&lt;0,0,Tabela1[[#This Row],[CARGA PARCIAL]]+Tabela1[[#This Row],[REEMBOLSO]])</f>
        <v>280.15000000000089</v>
      </c>
      <c r="U373" s="24" t="s">
        <v>22</v>
      </c>
      <c r="V373" s="24"/>
    </row>
    <row r="374" spans="2:22" hidden="1" x14ac:dyDescent="0.25">
      <c r="B374" s="31" t="s">
        <v>1047</v>
      </c>
      <c r="C374" s="32" t="s">
        <v>503</v>
      </c>
      <c r="D374" s="33" t="s">
        <v>18</v>
      </c>
      <c r="E374" s="33" t="s">
        <v>504</v>
      </c>
      <c r="F374" s="33">
        <v>11010380001</v>
      </c>
      <c r="G374" s="33" t="s">
        <v>38</v>
      </c>
      <c r="H374" s="22" t="s">
        <v>39</v>
      </c>
      <c r="I374" s="23">
        <v>0</v>
      </c>
      <c r="J374" s="23">
        <v>150</v>
      </c>
      <c r="K374" s="23">
        <v>-250.40000000000703</v>
      </c>
      <c r="L374" s="23">
        <v>0</v>
      </c>
      <c r="M374" s="23">
        <v>150</v>
      </c>
      <c r="N374" s="23">
        <v>0</v>
      </c>
      <c r="O374" s="23">
        <v>0</v>
      </c>
      <c r="P374" s="23">
        <f>Tabela1[[#This Row],[1QZ DE MARÇO 26]]-Tabela1[[#This Row],[SALDO PENDENTE COM CX REPR.]]-Tabela1[[#This Row],[SALDO CARTAO]]-Tabela1[[#This Row],[ADIANTAMENTO]]</f>
        <v>0</v>
      </c>
      <c r="Q374" s="23">
        <f>Tabela1[[#This Row],[1QZ DE MARÇO 26]]-Tabela1[[#This Row],[SALDO PENDENTE SEM CX REPR.]]-Tabela1[[#This Row],[SALDO CARTAO]]-Tabela1[[#This Row],[ADIANTAMENTO]]</f>
        <v>150</v>
      </c>
      <c r="R374" s="23">
        <v>0</v>
      </c>
      <c r="S374" s="40">
        <f>IF(Tabela1[[#This Row],[CARGA PARCIAL]]&lt;0,0,Tabela1[[#This Row],[CARGA PARCIAL]]+Tabela1[[#This Row],[REEMBOLSO]])</f>
        <v>0</v>
      </c>
      <c r="T374" s="40">
        <f>IF(Tabela1[[#This Row],[CARGA PARCIAL SEM CX REPROV.]]&lt;0,0,Tabela1[[#This Row],[CARGA PARCIAL]]+Tabela1[[#This Row],[REEMBOLSO]])</f>
        <v>0</v>
      </c>
      <c r="U374" s="24" t="s">
        <v>22</v>
      </c>
      <c r="V374" s="24"/>
    </row>
    <row r="375" spans="2:22" hidden="1" x14ac:dyDescent="0.25">
      <c r="B375" s="33" t="s">
        <v>1048</v>
      </c>
      <c r="C375" s="33" t="s">
        <v>377</v>
      </c>
      <c r="D375" s="33" t="s">
        <v>18</v>
      </c>
      <c r="E375" s="33" t="s">
        <v>88</v>
      </c>
      <c r="F375" s="33">
        <v>11040130001</v>
      </c>
      <c r="G375" s="33" t="s">
        <v>42</v>
      </c>
      <c r="H375" s="22" t="s">
        <v>39</v>
      </c>
      <c r="I375" s="23">
        <v>0</v>
      </c>
      <c r="J375" s="23">
        <v>149.09999999999974</v>
      </c>
      <c r="K375" s="23">
        <v>0</v>
      </c>
      <c r="L375" s="23">
        <v>1414</v>
      </c>
      <c r="M375" s="23">
        <v>0</v>
      </c>
      <c r="N375" s="23"/>
      <c r="O375" s="23">
        <v>0</v>
      </c>
      <c r="P375" s="23">
        <f>Tabela1[[#This Row],[1QZ DE MARÇO 26]]-Tabela1[[#This Row],[SALDO PENDENTE COM CX REPR.]]-Tabela1[[#This Row],[SALDO CARTAO]]-Tabela1[[#This Row],[ADIANTAMENTO]]</f>
        <v>-149.09999999999974</v>
      </c>
      <c r="Q375" s="23">
        <f>Tabela1[[#This Row],[1QZ DE MARÇO 26]]-Tabela1[[#This Row],[SALDO PENDENTE SEM CX REPR.]]-Tabela1[[#This Row],[SALDO CARTAO]]-Tabela1[[#This Row],[ADIANTAMENTO]]</f>
        <v>-1414</v>
      </c>
      <c r="R375" s="23">
        <v>0</v>
      </c>
      <c r="S375" s="40">
        <f>IF(Tabela1[[#This Row],[CARGA PARCIAL]]&lt;0,0,Tabela1[[#This Row],[CARGA PARCIAL]]+Tabela1[[#This Row],[REEMBOLSO]])</f>
        <v>0</v>
      </c>
      <c r="T375" s="40">
        <f>IF(Tabela1[[#This Row],[CARGA PARCIAL SEM CX REPROV.]]&lt;0,0,Tabela1[[#This Row],[CARGA PARCIAL]]+Tabela1[[#This Row],[REEMBOLSO]])</f>
        <v>0</v>
      </c>
      <c r="U375" s="24" t="s">
        <v>22</v>
      </c>
      <c r="V375" s="24"/>
    </row>
    <row r="376" spans="2:22" x14ac:dyDescent="0.25">
      <c r="B376" s="31" t="s">
        <v>1049</v>
      </c>
      <c r="C376" s="32" t="s">
        <v>70</v>
      </c>
      <c r="D376" s="33" t="s">
        <v>18</v>
      </c>
      <c r="E376" s="33" t="s">
        <v>71</v>
      </c>
      <c r="F376" s="33">
        <v>11030590001</v>
      </c>
      <c r="G376" s="33" t="s">
        <v>54</v>
      </c>
      <c r="H376" s="22" t="s">
        <v>39</v>
      </c>
      <c r="I376" s="23">
        <v>0</v>
      </c>
      <c r="J376" s="23">
        <v>1281.0100000000166</v>
      </c>
      <c r="K376" s="23">
        <v>0</v>
      </c>
      <c r="L376" s="23">
        <v>0</v>
      </c>
      <c r="M376" s="23">
        <v>3000</v>
      </c>
      <c r="N376" s="23">
        <v>19.47</v>
      </c>
      <c r="O376" s="23">
        <v>0</v>
      </c>
      <c r="P376" s="23">
        <f>Tabela1[[#This Row],[1QZ DE MARÇO 26]]-Tabela1[[#This Row],[SALDO PENDENTE COM CX REPR.]]-Tabela1[[#This Row],[SALDO CARTAO]]-Tabela1[[#This Row],[ADIANTAMENTO]]</f>
        <v>1699.5199999999834</v>
      </c>
      <c r="Q376" s="23">
        <f>Tabela1[[#This Row],[1QZ DE MARÇO 26]]-Tabela1[[#This Row],[SALDO PENDENTE SEM CX REPR.]]-Tabela1[[#This Row],[SALDO CARTAO]]-Tabela1[[#This Row],[ADIANTAMENTO]]</f>
        <v>2980.53</v>
      </c>
      <c r="R376" s="23">
        <v>0</v>
      </c>
      <c r="S376" s="40">
        <f>IF(Tabela1[[#This Row],[CARGA PARCIAL]]&lt;0,0,Tabela1[[#This Row],[CARGA PARCIAL]]+Tabela1[[#This Row],[REEMBOLSO]])</f>
        <v>1699.5199999999834</v>
      </c>
      <c r="T376" s="40">
        <f>IF(Tabela1[[#This Row],[CARGA PARCIAL SEM CX REPROV.]]&lt;0,0,Tabela1[[#This Row],[CARGA PARCIAL]]+Tabela1[[#This Row],[REEMBOLSO]])</f>
        <v>1699.5199999999834</v>
      </c>
      <c r="U376" s="24" t="s">
        <v>22</v>
      </c>
      <c r="V376" s="24"/>
    </row>
    <row r="377" spans="2:22" hidden="1" x14ac:dyDescent="0.25">
      <c r="B377" s="31" t="s">
        <v>1050</v>
      </c>
      <c r="C377" s="32" t="s">
        <v>620</v>
      </c>
      <c r="D377" s="33" t="s">
        <v>18</v>
      </c>
      <c r="E377" s="33" t="s">
        <v>532</v>
      </c>
      <c r="F377" s="33">
        <v>11063050001</v>
      </c>
      <c r="G377" s="33" t="s">
        <v>54</v>
      </c>
      <c r="H377" s="22" t="s">
        <v>39</v>
      </c>
      <c r="I377" s="23">
        <v>0</v>
      </c>
      <c r="J377" s="23">
        <v>40</v>
      </c>
      <c r="K377" s="23">
        <v>0</v>
      </c>
      <c r="L377" s="23">
        <v>916.98000000000229</v>
      </c>
      <c r="M377" s="23">
        <v>0</v>
      </c>
      <c r="N377" s="23">
        <v>0</v>
      </c>
      <c r="O377" s="23">
        <v>0</v>
      </c>
      <c r="P377" s="23">
        <f>Tabela1[[#This Row],[1QZ DE MARÇO 26]]-Tabela1[[#This Row],[SALDO PENDENTE COM CX REPR.]]-Tabela1[[#This Row],[SALDO CARTAO]]-Tabela1[[#This Row],[ADIANTAMENTO]]</f>
        <v>-40</v>
      </c>
      <c r="Q377" s="23">
        <f>Tabela1[[#This Row],[1QZ DE MARÇO 26]]-Tabela1[[#This Row],[SALDO PENDENTE SEM CX REPR.]]-Tabela1[[#This Row],[SALDO CARTAO]]-Tabela1[[#This Row],[ADIANTAMENTO]]</f>
        <v>-916.98000000000229</v>
      </c>
      <c r="R377" s="23">
        <v>0</v>
      </c>
      <c r="S377" s="40">
        <f>IF(Tabela1[[#This Row],[CARGA PARCIAL]]&lt;0,0,Tabela1[[#This Row],[CARGA PARCIAL]]+Tabela1[[#This Row],[REEMBOLSO]])</f>
        <v>0</v>
      </c>
      <c r="T377" s="40">
        <f>IF(Tabela1[[#This Row],[CARGA PARCIAL SEM CX REPROV.]]&lt;0,0,Tabela1[[#This Row],[CARGA PARCIAL]]+Tabela1[[#This Row],[REEMBOLSO]])</f>
        <v>0</v>
      </c>
      <c r="U377" s="24" t="s">
        <v>22</v>
      </c>
      <c r="V377" s="24"/>
    </row>
    <row r="378" spans="2:22" hidden="1" x14ac:dyDescent="0.25">
      <c r="B378" s="33" t="s">
        <v>1051</v>
      </c>
      <c r="C378" s="33" t="s">
        <v>621</v>
      </c>
      <c r="D378" s="33" t="s">
        <v>18</v>
      </c>
      <c r="E378" s="33" t="s">
        <v>44</v>
      </c>
      <c r="F378" s="33">
        <v>1104150001</v>
      </c>
      <c r="G378" s="33" t="s">
        <v>45</v>
      </c>
      <c r="H378" s="22" t="s">
        <v>39</v>
      </c>
      <c r="I378" s="23">
        <v>-33.730000000000075</v>
      </c>
      <c r="J378" s="23">
        <v>0</v>
      </c>
      <c r="K378" s="23">
        <v>-87</v>
      </c>
      <c r="L378" s="23">
        <v>0</v>
      </c>
      <c r="M378" s="23">
        <v>0</v>
      </c>
      <c r="N378" s="23">
        <v>18.7</v>
      </c>
      <c r="O378" s="23">
        <v>0</v>
      </c>
      <c r="P378" s="23">
        <f>Tabela1[[#This Row],[1QZ DE MARÇO 26]]-Tabela1[[#This Row],[SALDO PENDENTE COM CX REPR.]]-Tabela1[[#This Row],[SALDO CARTAO]]-Tabela1[[#This Row],[ADIANTAMENTO]]</f>
        <v>-18.7</v>
      </c>
      <c r="Q378" s="23">
        <f>Tabela1[[#This Row],[1QZ DE MARÇO 26]]-Tabela1[[#This Row],[SALDO PENDENTE SEM CX REPR.]]-Tabela1[[#This Row],[SALDO CARTAO]]-Tabela1[[#This Row],[ADIANTAMENTO]]</f>
        <v>-18.7</v>
      </c>
      <c r="R378" s="23">
        <v>0</v>
      </c>
      <c r="S378" s="40">
        <f>IF(Tabela1[[#This Row],[CARGA PARCIAL]]&lt;0,0,Tabela1[[#This Row],[CARGA PARCIAL]]+Tabela1[[#This Row],[REEMBOLSO]])</f>
        <v>0</v>
      </c>
      <c r="T378" s="40">
        <f>IF(Tabela1[[#This Row],[CARGA PARCIAL SEM CX REPROV.]]&lt;0,0,Tabela1[[#This Row],[CARGA PARCIAL]]+Tabela1[[#This Row],[REEMBOLSO]])</f>
        <v>0</v>
      </c>
      <c r="U378" s="24" t="s">
        <v>22</v>
      </c>
      <c r="V378" s="24"/>
    </row>
    <row r="379" spans="2:22" hidden="1" x14ac:dyDescent="0.25">
      <c r="B379" s="31" t="s">
        <v>1052</v>
      </c>
      <c r="C379" s="32" t="s">
        <v>622</v>
      </c>
      <c r="D379" s="33" t="s">
        <v>18</v>
      </c>
      <c r="E379" s="33" t="s">
        <v>88</v>
      </c>
      <c r="F379" s="33">
        <v>11040130001</v>
      </c>
      <c r="G379" s="33" t="s">
        <v>42</v>
      </c>
      <c r="H379" s="22" t="s">
        <v>39</v>
      </c>
      <c r="I379" s="23">
        <v>0</v>
      </c>
      <c r="J379" s="23">
        <v>0</v>
      </c>
      <c r="K379" s="23">
        <v>-2324.7300000000105</v>
      </c>
      <c r="L379" s="23">
        <v>0</v>
      </c>
      <c r="M379" s="23">
        <v>0</v>
      </c>
      <c r="N379" s="23">
        <v>604</v>
      </c>
      <c r="O379" s="23">
        <v>0</v>
      </c>
      <c r="P379" s="23">
        <f>Tabela1[[#This Row],[1QZ DE MARÇO 26]]-Tabela1[[#This Row],[SALDO PENDENTE COM CX REPR.]]-Tabela1[[#This Row],[SALDO CARTAO]]-Tabela1[[#This Row],[ADIANTAMENTO]]</f>
        <v>-604</v>
      </c>
      <c r="Q379" s="23">
        <f>Tabela1[[#This Row],[1QZ DE MARÇO 26]]-Tabela1[[#This Row],[SALDO PENDENTE SEM CX REPR.]]-Tabela1[[#This Row],[SALDO CARTAO]]-Tabela1[[#This Row],[ADIANTAMENTO]]</f>
        <v>-604</v>
      </c>
      <c r="R379" s="23">
        <v>0</v>
      </c>
      <c r="S379" s="40">
        <f>IF(Tabela1[[#This Row],[CARGA PARCIAL]]&lt;0,0,Tabela1[[#This Row],[CARGA PARCIAL]]+Tabela1[[#This Row],[REEMBOLSO]])</f>
        <v>0</v>
      </c>
      <c r="T379" s="40">
        <f>IF(Tabela1[[#This Row],[CARGA PARCIAL SEM CX REPROV.]]&lt;0,0,Tabela1[[#This Row],[CARGA PARCIAL]]+Tabela1[[#This Row],[REEMBOLSO]])</f>
        <v>0</v>
      </c>
      <c r="U379" s="24" t="s">
        <v>22</v>
      </c>
      <c r="V379" s="24"/>
    </row>
    <row r="380" spans="2:22" x14ac:dyDescent="0.25">
      <c r="B380" s="31" t="s">
        <v>1053</v>
      </c>
      <c r="C380" s="32" t="s">
        <v>667</v>
      </c>
      <c r="D380" s="33" t="s">
        <v>18</v>
      </c>
      <c r="E380" s="33" t="s">
        <v>676</v>
      </c>
      <c r="F380" s="33">
        <v>11063040001</v>
      </c>
      <c r="G380" s="33" t="s">
        <v>25</v>
      </c>
      <c r="H380" s="22" t="s">
        <v>21</v>
      </c>
      <c r="I380" s="23">
        <v>0</v>
      </c>
      <c r="J380" s="23">
        <v>188.06</v>
      </c>
      <c r="K380" s="23">
        <v>0</v>
      </c>
      <c r="L380" s="23">
        <v>169.80000000000652</v>
      </c>
      <c r="M380" s="23">
        <v>250</v>
      </c>
      <c r="N380" s="23">
        <v>50</v>
      </c>
      <c r="O380" s="23">
        <v>0</v>
      </c>
      <c r="P380" s="23">
        <f>Tabela1[[#This Row],[1QZ DE MARÇO 26]]-Tabela1[[#This Row],[SALDO PENDENTE COM CX REPR.]]-Tabela1[[#This Row],[SALDO CARTAO]]-Tabela1[[#This Row],[ADIANTAMENTO]]</f>
        <v>11.939999999999998</v>
      </c>
      <c r="Q380" s="23">
        <f>Tabela1[[#This Row],[1QZ DE MARÇO 26]]-Tabela1[[#This Row],[SALDO PENDENTE SEM CX REPR.]]-Tabela1[[#This Row],[SALDO CARTAO]]-Tabela1[[#This Row],[ADIANTAMENTO]]</f>
        <v>30.19999999999348</v>
      </c>
      <c r="R380" s="23">
        <v>0</v>
      </c>
      <c r="S380" s="40">
        <f>IF(Tabela1[[#This Row],[CARGA PARCIAL]]&lt;0,0,Tabela1[[#This Row],[CARGA PARCIAL]]+Tabela1[[#This Row],[REEMBOLSO]])</f>
        <v>11.939999999999998</v>
      </c>
      <c r="T380" s="40">
        <f>IF(Tabela1[[#This Row],[CARGA PARCIAL SEM CX REPROV.]]&lt;0,0,Tabela1[[#This Row],[CARGA PARCIAL]]+Tabela1[[#This Row],[REEMBOLSO]])</f>
        <v>11.939999999999998</v>
      </c>
      <c r="U380" s="24" t="s">
        <v>22</v>
      </c>
      <c r="V380" s="24"/>
    </row>
    <row r="381" spans="2:22" hidden="1" x14ac:dyDescent="0.25">
      <c r="B381" s="33" t="s">
        <v>1054</v>
      </c>
      <c r="C381" s="33" t="s">
        <v>338</v>
      </c>
      <c r="D381" s="33" t="s">
        <v>18</v>
      </c>
      <c r="E381" s="33" t="s">
        <v>283</v>
      </c>
      <c r="F381" s="33">
        <v>11040140001</v>
      </c>
      <c r="G381" s="33" t="s">
        <v>45</v>
      </c>
      <c r="H381" s="22" t="s">
        <v>39</v>
      </c>
      <c r="I381" s="23">
        <v>0</v>
      </c>
      <c r="J381" s="23">
        <v>50</v>
      </c>
      <c r="K381" s="23">
        <v>0</v>
      </c>
      <c r="L381" s="23">
        <v>7376.9299999999994</v>
      </c>
      <c r="M381" s="23">
        <v>100</v>
      </c>
      <c r="N381" s="23">
        <v>83.18</v>
      </c>
      <c r="O381" s="23">
        <v>0</v>
      </c>
      <c r="P381" s="23">
        <f>Tabela1[[#This Row],[1QZ DE MARÇO 26]]-Tabela1[[#This Row],[SALDO PENDENTE COM CX REPR.]]-Tabela1[[#This Row],[SALDO CARTAO]]-Tabela1[[#This Row],[ADIANTAMENTO]]</f>
        <v>-33.180000000000007</v>
      </c>
      <c r="Q381" s="23">
        <f>Tabela1[[#This Row],[1QZ DE MARÇO 26]]-Tabela1[[#This Row],[SALDO PENDENTE SEM CX REPR.]]-Tabela1[[#This Row],[SALDO CARTAO]]-Tabela1[[#This Row],[ADIANTAMENTO]]</f>
        <v>-7360.11</v>
      </c>
      <c r="R381" s="23">
        <v>0</v>
      </c>
      <c r="S381" s="40">
        <f>IF(Tabela1[[#This Row],[CARGA PARCIAL]]&lt;0,0,Tabela1[[#This Row],[CARGA PARCIAL]]+Tabela1[[#This Row],[REEMBOLSO]])</f>
        <v>0</v>
      </c>
      <c r="T381" s="40">
        <f>IF(Tabela1[[#This Row],[CARGA PARCIAL SEM CX REPROV.]]&lt;0,0,Tabela1[[#This Row],[CARGA PARCIAL]]+Tabela1[[#This Row],[REEMBOLSO]])</f>
        <v>0</v>
      </c>
      <c r="U381" s="24" t="s">
        <v>22</v>
      </c>
      <c r="V381" s="24"/>
    </row>
    <row r="382" spans="2:22" x14ac:dyDescent="0.25">
      <c r="B382" s="31" t="s">
        <v>902</v>
      </c>
      <c r="C382" s="32" t="s">
        <v>46</v>
      </c>
      <c r="D382" s="33" t="s">
        <v>18</v>
      </c>
      <c r="E382" s="33" t="s">
        <v>47</v>
      </c>
      <c r="F382" s="33">
        <v>11030660001</v>
      </c>
      <c r="G382" s="33" t="s">
        <v>48</v>
      </c>
      <c r="H382" s="22" t="s">
        <v>35</v>
      </c>
      <c r="I382" s="23">
        <v>-1597.3999999999651</v>
      </c>
      <c r="J382" s="23">
        <v>0</v>
      </c>
      <c r="K382" s="23">
        <v>0</v>
      </c>
      <c r="L382" s="23">
        <v>1199.1799999999971</v>
      </c>
      <c r="M382" s="23">
        <v>7000</v>
      </c>
      <c r="N382" s="23">
        <v>74.5</v>
      </c>
      <c r="O382" s="23">
        <v>0</v>
      </c>
      <c r="P382" s="23">
        <f>Tabela1[[#This Row],[1QZ DE MARÇO 26]]-Tabela1[[#This Row],[SALDO PENDENTE COM CX REPR.]]-Tabela1[[#This Row],[SALDO CARTAO]]-Tabela1[[#This Row],[ADIANTAMENTO]]</f>
        <v>6925.5</v>
      </c>
      <c r="Q382" s="23">
        <f>Tabela1[[#This Row],[1QZ DE MARÇO 26]]-Tabela1[[#This Row],[SALDO PENDENTE SEM CX REPR.]]-Tabela1[[#This Row],[SALDO CARTAO]]-Tabela1[[#This Row],[ADIANTAMENTO]]</f>
        <v>5726.3200000000033</v>
      </c>
      <c r="R382" s="23">
        <v>0</v>
      </c>
      <c r="S382" s="40">
        <f>IF(Tabela1[[#This Row],[CARGA PARCIAL]]&lt;0,0,Tabela1[[#This Row],[CARGA PARCIAL]]+Tabela1[[#This Row],[REEMBOLSO]])</f>
        <v>6925.5</v>
      </c>
      <c r="T382" s="40">
        <f>IF(Tabela1[[#This Row],[CARGA PARCIAL SEM CX REPROV.]]&lt;0,0,Tabela1[[#This Row],[CARGA PARCIAL]]+Tabela1[[#This Row],[REEMBOLSO]])</f>
        <v>6925.5</v>
      </c>
      <c r="U382" s="24" t="s">
        <v>22</v>
      </c>
      <c r="V382" s="24"/>
    </row>
    <row r="383" spans="2:22" x14ac:dyDescent="0.25">
      <c r="B383" s="33" t="s">
        <v>1056</v>
      </c>
      <c r="C383" s="33" t="s">
        <v>17</v>
      </c>
      <c r="D383" s="33" t="s">
        <v>18</v>
      </c>
      <c r="E383" s="33" t="s">
        <v>19</v>
      </c>
      <c r="F383" s="33">
        <v>11030260001</v>
      </c>
      <c r="G383" s="33" t="s">
        <v>20</v>
      </c>
      <c r="H383" s="33" t="s">
        <v>21</v>
      </c>
      <c r="I383" s="23">
        <v>0</v>
      </c>
      <c r="J383" s="23">
        <v>2668.399999999936</v>
      </c>
      <c r="K383" s="23">
        <v>0</v>
      </c>
      <c r="L383" s="23">
        <v>1260.9000000000005</v>
      </c>
      <c r="M383" s="23">
        <v>16000</v>
      </c>
      <c r="N383" s="23">
        <v>0</v>
      </c>
      <c r="O383" s="23">
        <v>0</v>
      </c>
      <c r="P383" s="23">
        <f>Tabela1[[#This Row],[1QZ DE MARÇO 26]]-Tabela1[[#This Row],[SALDO PENDENTE COM CX REPR.]]-Tabela1[[#This Row],[SALDO CARTAO]]-Tabela1[[#This Row],[ADIANTAMENTO]]</f>
        <v>13331.600000000064</v>
      </c>
      <c r="Q383" s="23">
        <f>Tabela1[[#This Row],[1QZ DE MARÇO 26]]-Tabela1[[#This Row],[SALDO PENDENTE SEM CX REPR.]]-Tabela1[[#This Row],[SALDO CARTAO]]-Tabela1[[#This Row],[ADIANTAMENTO]]</f>
        <v>14739.099999999999</v>
      </c>
      <c r="R383" s="23">
        <v>0</v>
      </c>
      <c r="S383" s="40">
        <f>IF(Tabela1[[#This Row],[CARGA PARCIAL]]&lt;0,0,Tabela1[[#This Row],[CARGA PARCIAL]]+Tabela1[[#This Row],[REEMBOLSO]])</f>
        <v>13331.600000000064</v>
      </c>
      <c r="T383" s="40">
        <f>IF(Tabela1[[#This Row],[CARGA PARCIAL SEM CX REPROV.]]&lt;0,0,Tabela1[[#This Row],[CARGA PARCIAL]]+Tabela1[[#This Row],[REEMBOLSO]])</f>
        <v>13331.600000000064</v>
      </c>
      <c r="U383" s="24" t="s">
        <v>22</v>
      </c>
      <c r="V383" s="24"/>
    </row>
    <row r="384" spans="2:22" x14ac:dyDescent="0.25">
      <c r="B384" s="31" t="s">
        <v>1057</v>
      </c>
      <c r="C384" s="32" t="s">
        <v>270</v>
      </c>
      <c r="D384" s="33" t="s">
        <v>18</v>
      </c>
      <c r="E384" s="33" t="s">
        <v>134</v>
      </c>
      <c r="F384" s="33">
        <v>11061720001</v>
      </c>
      <c r="G384" s="33" t="s">
        <v>42</v>
      </c>
      <c r="H384" s="22" t="s">
        <v>39</v>
      </c>
      <c r="I384" s="23">
        <v>0</v>
      </c>
      <c r="J384" s="23">
        <v>276.00000000000148</v>
      </c>
      <c r="K384" s="23">
        <v>-1546.9799999999925</v>
      </c>
      <c r="L384" s="23">
        <v>0</v>
      </c>
      <c r="M384" s="23">
        <v>600</v>
      </c>
      <c r="N384" s="23">
        <v>0</v>
      </c>
      <c r="O384" s="23">
        <v>0</v>
      </c>
      <c r="P384" s="23">
        <f>Tabela1[[#This Row],[1QZ DE MARÇO 26]]-Tabela1[[#This Row],[SALDO PENDENTE COM CX REPR.]]-Tabela1[[#This Row],[SALDO CARTAO]]-Tabela1[[#This Row],[ADIANTAMENTO]]</f>
        <v>323.99999999999852</v>
      </c>
      <c r="Q384" s="23">
        <f>Tabela1[[#This Row],[1QZ DE MARÇO 26]]-Tabela1[[#This Row],[SALDO PENDENTE SEM CX REPR.]]-Tabela1[[#This Row],[SALDO CARTAO]]-Tabela1[[#This Row],[ADIANTAMENTO]]</f>
        <v>600</v>
      </c>
      <c r="R384" s="23">
        <v>0</v>
      </c>
      <c r="S384" s="40">
        <f>IF(Tabela1[[#This Row],[CARGA PARCIAL]]&lt;0,0,Tabela1[[#This Row],[CARGA PARCIAL]]+Tabela1[[#This Row],[REEMBOLSO]])</f>
        <v>323.99999999999852</v>
      </c>
      <c r="T384" s="40">
        <f>IF(Tabela1[[#This Row],[CARGA PARCIAL SEM CX REPROV.]]&lt;0,0,Tabela1[[#This Row],[CARGA PARCIAL]]+Tabela1[[#This Row],[REEMBOLSO]])</f>
        <v>323.99999999999852</v>
      </c>
      <c r="U384" s="24" t="s">
        <v>22</v>
      </c>
      <c r="V384" s="24"/>
    </row>
    <row r="385" spans="2:22" x14ac:dyDescent="0.25">
      <c r="B385" s="37" t="s">
        <v>1058</v>
      </c>
      <c r="C385" s="32" t="s">
        <v>176</v>
      </c>
      <c r="D385" s="33" t="s">
        <v>18</v>
      </c>
      <c r="E385" s="33" t="s">
        <v>134</v>
      </c>
      <c r="F385" s="33">
        <v>11061720001</v>
      </c>
      <c r="G385" s="33" t="s">
        <v>42</v>
      </c>
      <c r="H385" s="22" t="s">
        <v>39</v>
      </c>
      <c r="I385" s="23">
        <v>0</v>
      </c>
      <c r="J385" s="23">
        <v>37.300000000003195</v>
      </c>
      <c r="K385" s="23">
        <v>0</v>
      </c>
      <c r="L385" s="23">
        <v>0</v>
      </c>
      <c r="M385" s="23">
        <v>800</v>
      </c>
      <c r="N385" s="23">
        <v>224.9</v>
      </c>
      <c r="O385" s="23">
        <v>0</v>
      </c>
      <c r="P385" s="23">
        <f>Tabela1[[#This Row],[1QZ DE MARÇO 26]]-Tabela1[[#This Row],[SALDO PENDENTE COM CX REPR.]]-Tabela1[[#This Row],[SALDO CARTAO]]-Tabela1[[#This Row],[ADIANTAMENTO]]</f>
        <v>537.79999999999688</v>
      </c>
      <c r="Q385" s="23">
        <f>Tabela1[[#This Row],[1QZ DE MARÇO 26]]-Tabela1[[#This Row],[SALDO PENDENTE SEM CX REPR.]]-Tabela1[[#This Row],[SALDO CARTAO]]-Tabela1[[#This Row],[ADIANTAMENTO]]</f>
        <v>575.1</v>
      </c>
      <c r="R385" s="23">
        <v>0</v>
      </c>
      <c r="S385" s="40">
        <f>IF(Tabela1[[#This Row],[CARGA PARCIAL]]&lt;0,0,Tabela1[[#This Row],[CARGA PARCIAL]]+Tabela1[[#This Row],[REEMBOLSO]])</f>
        <v>537.79999999999688</v>
      </c>
      <c r="T385" s="40">
        <f>IF(Tabela1[[#This Row],[CARGA PARCIAL SEM CX REPROV.]]&lt;0,0,Tabela1[[#This Row],[CARGA PARCIAL]]+Tabela1[[#This Row],[REEMBOLSO]])</f>
        <v>537.79999999999688</v>
      </c>
      <c r="U385" s="24" t="s">
        <v>22</v>
      </c>
      <c r="V385" s="24"/>
    </row>
    <row r="386" spans="2:22" x14ac:dyDescent="0.25">
      <c r="B386" s="31" t="s">
        <v>1059</v>
      </c>
      <c r="C386" s="32" t="s">
        <v>448</v>
      </c>
      <c r="D386" s="33" t="s">
        <v>18</v>
      </c>
      <c r="E386" s="33" t="s">
        <v>95</v>
      </c>
      <c r="F386" s="33">
        <v>11040160001</v>
      </c>
      <c r="G386" s="33" t="s">
        <v>48</v>
      </c>
      <c r="H386" s="22" t="s">
        <v>35</v>
      </c>
      <c r="I386" s="23">
        <v>0</v>
      </c>
      <c r="J386" s="23">
        <v>90.820000000002437</v>
      </c>
      <c r="K386" s="23">
        <v>0</v>
      </c>
      <c r="L386" s="23">
        <v>0</v>
      </c>
      <c r="M386" s="23">
        <v>800</v>
      </c>
      <c r="N386" s="23">
        <v>0</v>
      </c>
      <c r="O386" s="23">
        <v>0</v>
      </c>
      <c r="P386" s="23">
        <f>Tabela1[[#This Row],[1QZ DE MARÇO 26]]-Tabela1[[#This Row],[SALDO PENDENTE COM CX REPR.]]-Tabela1[[#This Row],[SALDO CARTAO]]-Tabela1[[#This Row],[ADIANTAMENTO]]</f>
        <v>709.17999999999756</v>
      </c>
      <c r="Q386" s="23">
        <f>Tabela1[[#This Row],[1QZ DE MARÇO 26]]-Tabela1[[#This Row],[SALDO PENDENTE SEM CX REPR.]]-Tabela1[[#This Row],[SALDO CARTAO]]-Tabela1[[#This Row],[ADIANTAMENTO]]</f>
        <v>800</v>
      </c>
      <c r="R386" s="23">
        <v>0</v>
      </c>
      <c r="S386" s="40">
        <f>IF(Tabela1[[#This Row],[CARGA PARCIAL]]&lt;0,0,Tabela1[[#This Row],[CARGA PARCIAL]]+Tabela1[[#This Row],[REEMBOLSO]])</f>
        <v>709.17999999999756</v>
      </c>
      <c r="T386" s="40">
        <f>IF(Tabela1[[#This Row],[CARGA PARCIAL SEM CX REPROV.]]&lt;0,0,Tabela1[[#This Row],[CARGA PARCIAL]]+Tabela1[[#This Row],[REEMBOLSO]])</f>
        <v>709.17999999999756</v>
      </c>
      <c r="U386" s="24" t="s">
        <v>22</v>
      </c>
      <c r="V386" s="24"/>
    </row>
    <row r="387" spans="2:22" hidden="1" x14ac:dyDescent="0.25">
      <c r="B387" s="35" t="s">
        <v>1060</v>
      </c>
      <c r="C387" s="36" t="s">
        <v>623</v>
      </c>
      <c r="D387" s="34" t="s">
        <v>18</v>
      </c>
      <c r="E387" s="33" t="s">
        <v>379</v>
      </c>
      <c r="F387" s="33">
        <v>11062820001</v>
      </c>
      <c r="G387" s="33" t="s">
        <v>380</v>
      </c>
      <c r="H387" s="22" t="s">
        <v>123</v>
      </c>
      <c r="I387" s="23">
        <v>0</v>
      </c>
      <c r="J387" s="23">
        <v>31.350000000000136</v>
      </c>
      <c r="K387" s="23">
        <v>-19.769999999999698</v>
      </c>
      <c r="L387" s="23">
        <v>0</v>
      </c>
      <c r="M387" s="23">
        <v>0</v>
      </c>
      <c r="N387" s="23">
        <v>0</v>
      </c>
      <c r="O387" s="23">
        <v>0</v>
      </c>
      <c r="P387" s="23">
        <f>Tabela1[[#This Row],[1QZ DE MARÇO 26]]-Tabela1[[#This Row],[SALDO PENDENTE COM CX REPR.]]-Tabela1[[#This Row],[SALDO CARTAO]]-Tabela1[[#This Row],[ADIANTAMENTO]]</f>
        <v>-31.350000000000136</v>
      </c>
      <c r="Q387" s="23">
        <f>Tabela1[[#This Row],[1QZ DE MARÇO 26]]-Tabela1[[#This Row],[SALDO PENDENTE SEM CX REPR.]]-Tabela1[[#This Row],[SALDO CARTAO]]-Tabela1[[#This Row],[ADIANTAMENTO]]</f>
        <v>0</v>
      </c>
      <c r="R387" s="23">
        <v>0</v>
      </c>
      <c r="S387" s="40">
        <f>IF(Tabela1[[#This Row],[CARGA PARCIAL]]&lt;0,0,Tabela1[[#This Row],[CARGA PARCIAL]]+Tabela1[[#This Row],[REEMBOLSO]])</f>
        <v>0</v>
      </c>
      <c r="T387" s="40">
        <f>IF(Tabela1[[#This Row],[CARGA PARCIAL SEM CX REPROV.]]&lt;0,0,Tabela1[[#This Row],[CARGA PARCIAL]]+Tabela1[[#This Row],[REEMBOLSO]])</f>
        <v>-31.350000000000136</v>
      </c>
      <c r="U387" s="25" t="s">
        <v>22</v>
      </c>
      <c r="V387" s="26"/>
    </row>
    <row r="388" spans="2:22" x14ac:dyDescent="0.25">
      <c r="B388" s="37" t="s">
        <v>1061</v>
      </c>
      <c r="C388" s="32" t="s">
        <v>308</v>
      </c>
      <c r="D388" s="33" t="s">
        <v>18</v>
      </c>
      <c r="E388" s="33" t="s">
        <v>309</v>
      </c>
      <c r="F388" s="33">
        <v>11010420001</v>
      </c>
      <c r="G388" s="33" t="s">
        <v>38</v>
      </c>
      <c r="H388" s="22" t="s">
        <v>39</v>
      </c>
      <c r="I388" s="23">
        <v>0</v>
      </c>
      <c r="J388" s="23">
        <v>164.06999999999971</v>
      </c>
      <c r="K388" s="23">
        <v>-108.46000000000004</v>
      </c>
      <c r="L388" s="23">
        <v>0</v>
      </c>
      <c r="M388" s="23">
        <v>1500</v>
      </c>
      <c r="N388" s="23">
        <v>173.43</v>
      </c>
      <c r="O388" s="23">
        <v>0</v>
      </c>
      <c r="P388" s="23">
        <f>Tabela1[[#This Row],[1QZ DE MARÇO 26]]-Tabela1[[#This Row],[SALDO PENDENTE COM CX REPR.]]-Tabela1[[#This Row],[SALDO CARTAO]]-Tabela1[[#This Row],[ADIANTAMENTO]]</f>
        <v>1162.5000000000002</v>
      </c>
      <c r="Q388" s="23">
        <f>Tabela1[[#This Row],[1QZ DE MARÇO 26]]-Tabela1[[#This Row],[SALDO PENDENTE SEM CX REPR.]]-Tabela1[[#This Row],[SALDO CARTAO]]-Tabela1[[#This Row],[ADIANTAMENTO]]</f>
        <v>1326.57</v>
      </c>
      <c r="R388" s="23">
        <v>0</v>
      </c>
      <c r="S388" s="40">
        <f>IF(Tabela1[[#This Row],[CARGA PARCIAL]]&lt;0,0,Tabela1[[#This Row],[CARGA PARCIAL]]+Tabela1[[#This Row],[REEMBOLSO]])</f>
        <v>1162.5000000000002</v>
      </c>
      <c r="T388" s="40">
        <f>IF(Tabela1[[#This Row],[CARGA PARCIAL SEM CX REPROV.]]&lt;0,0,Tabela1[[#This Row],[CARGA PARCIAL]]+Tabela1[[#This Row],[REEMBOLSO]])</f>
        <v>1162.5000000000002</v>
      </c>
      <c r="U388" s="24" t="s">
        <v>22</v>
      </c>
      <c r="V388" s="24"/>
    </row>
    <row r="389" spans="2:22" hidden="1" x14ac:dyDescent="0.25">
      <c r="B389" s="33" t="s">
        <v>1062</v>
      </c>
      <c r="C389" s="33" t="s">
        <v>624</v>
      </c>
      <c r="D389" s="33" t="s">
        <v>18</v>
      </c>
      <c r="E389" s="33" t="s">
        <v>125</v>
      </c>
      <c r="F389" s="33">
        <v>11080150001</v>
      </c>
      <c r="G389" s="33" t="s">
        <v>20</v>
      </c>
      <c r="H389" s="33" t="s">
        <v>21</v>
      </c>
      <c r="I389" s="23">
        <v>0</v>
      </c>
      <c r="J389" s="23">
        <v>0</v>
      </c>
      <c r="K389" s="23">
        <v>0</v>
      </c>
      <c r="L389" s="23">
        <v>0</v>
      </c>
      <c r="M389" s="23">
        <v>0</v>
      </c>
      <c r="N389" s="23">
        <v>6</v>
      </c>
      <c r="O389" s="23">
        <v>0</v>
      </c>
      <c r="P389" s="23">
        <f>Tabela1[[#This Row],[1QZ DE MARÇO 26]]-Tabela1[[#This Row],[SALDO PENDENTE COM CX REPR.]]-Tabela1[[#This Row],[SALDO CARTAO]]-Tabela1[[#This Row],[ADIANTAMENTO]]</f>
        <v>-6</v>
      </c>
      <c r="Q389" s="23">
        <f>Tabela1[[#This Row],[1QZ DE MARÇO 26]]-Tabela1[[#This Row],[SALDO PENDENTE SEM CX REPR.]]-Tabela1[[#This Row],[SALDO CARTAO]]-Tabela1[[#This Row],[ADIANTAMENTO]]</f>
        <v>-6</v>
      </c>
      <c r="R389" s="23">
        <v>0</v>
      </c>
      <c r="S389" s="40">
        <f>IF(Tabela1[[#This Row],[CARGA PARCIAL]]&lt;0,0,Tabela1[[#This Row],[CARGA PARCIAL]]+Tabela1[[#This Row],[REEMBOLSO]])</f>
        <v>0</v>
      </c>
      <c r="T389" s="40">
        <f>IF(Tabela1[[#This Row],[CARGA PARCIAL SEM CX REPROV.]]&lt;0,0,Tabela1[[#This Row],[CARGA PARCIAL]]+Tabela1[[#This Row],[REEMBOLSO]])</f>
        <v>0</v>
      </c>
      <c r="U389" s="24" t="s">
        <v>60</v>
      </c>
      <c r="V389" s="24"/>
    </row>
    <row r="390" spans="2:22" hidden="1" x14ac:dyDescent="0.25">
      <c r="B390" s="33" t="s">
        <v>692</v>
      </c>
      <c r="C390" s="33" t="s">
        <v>259</v>
      </c>
      <c r="D390" s="33" t="s">
        <v>18</v>
      </c>
      <c r="E390" s="33" t="s">
        <v>95</v>
      </c>
      <c r="F390" s="33">
        <v>11040160001</v>
      </c>
      <c r="G390" s="33" t="s">
        <v>48</v>
      </c>
      <c r="H390" s="33" t="s">
        <v>35</v>
      </c>
      <c r="I390" s="23">
        <v>-1706.2699999999982</v>
      </c>
      <c r="J390" s="23">
        <v>0</v>
      </c>
      <c r="K390" s="23">
        <v>0</v>
      </c>
      <c r="L390" s="23">
        <v>68.11</v>
      </c>
      <c r="M390" s="23">
        <v>1000</v>
      </c>
      <c r="N390" s="23">
        <v>1190.27</v>
      </c>
      <c r="O390" s="23">
        <v>750</v>
      </c>
      <c r="P390" s="23">
        <f>Tabela1[[#This Row],[1QZ DE MARÇO 26]]-Tabela1[[#This Row],[SALDO PENDENTE COM CX REPR.]]-Tabela1[[#This Row],[SALDO CARTAO]]-Tabela1[[#This Row],[ADIANTAMENTO]]</f>
        <v>-940.27</v>
      </c>
      <c r="Q390" s="23">
        <f>Tabela1[[#This Row],[1QZ DE MARÇO 26]]-Tabela1[[#This Row],[SALDO PENDENTE SEM CX REPR.]]-Tabela1[[#This Row],[SALDO CARTAO]]-Tabela1[[#This Row],[ADIANTAMENTO]]</f>
        <v>-1008.38</v>
      </c>
      <c r="R390" s="23">
        <v>0</v>
      </c>
      <c r="S390" s="40">
        <f>IF(Tabela1[[#This Row],[CARGA PARCIAL]]&lt;0,0,Tabela1[[#This Row],[CARGA PARCIAL]]+Tabela1[[#This Row],[REEMBOLSO]])</f>
        <v>0</v>
      </c>
      <c r="T390" s="40">
        <f>IF(Tabela1[[#This Row],[CARGA PARCIAL SEM CX REPROV.]]&lt;0,0,Tabela1[[#This Row],[CARGA PARCIAL]]+Tabela1[[#This Row],[REEMBOLSO]])</f>
        <v>0</v>
      </c>
      <c r="U390" s="24" t="s">
        <v>22</v>
      </c>
      <c r="V390" s="24"/>
    </row>
    <row r="391" spans="2:22" x14ac:dyDescent="0.25">
      <c r="B391" s="31" t="s">
        <v>1064</v>
      </c>
      <c r="C391" s="32" t="s">
        <v>449</v>
      </c>
      <c r="D391" s="33" t="s">
        <v>18</v>
      </c>
      <c r="E391" s="33" t="s">
        <v>134</v>
      </c>
      <c r="F391" s="33">
        <v>11061720001</v>
      </c>
      <c r="G391" s="33" t="s">
        <v>42</v>
      </c>
      <c r="H391" s="22" t="s">
        <v>39</v>
      </c>
      <c r="I391" s="23">
        <v>0</v>
      </c>
      <c r="J391" s="23">
        <v>186.95000000000277</v>
      </c>
      <c r="K391" s="23">
        <v>-10.000000000000455</v>
      </c>
      <c r="L391" s="23">
        <v>0</v>
      </c>
      <c r="M391" s="23">
        <v>800</v>
      </c>
      <c r="N391" s="23">
        <v>0</v>
      </c>
      <c r="O391" s="23">
        <v>0</v>
      </c>
      <c r="P391" s="23">
        <f>Tabela1[[#This Row],[1QZ DE MARÇO 26]]-Tabela1[[#This Row],[SALDO PENDENTE COM CX REPR.]]-Tabela1[[#This Row],[SALDO CARTAO]]-Tabela1[[#This Row],[ADIANTAMENTO]]</f>
        <v>613.04999999999723</v>
      </c>
      <c r="Q391" s="23">
        <f>Tabela1[[#This Row],[1QZ DE MARÇO 26]]-Tabela1[[#This Row],[SALDO PENDENTE SEM CX REPR.]]-Tabela1[[#This Row],[SALDO CARTAO]]-Tabela1[[#This Row],[ADIANTAMENTO]]</f>
        <v>800</v>
      </c>
      <c r="R391" s="23">
        <v>0</v>
      </c>
      <c r="S391" s="40">
        <f>IF(Tabela1[[#This Row],[CARGA PARCIAL]]&lt;0,0,Tabela1[[#This Row],[CARGA PARCIAL]]+Tabela1[[#This Row],[REEMBOLSO]])</f>
        <v>613.04999999999723</v>
      </c>
      <c r="T391" s="40">
        <f>IF(Tabela1[[#This Row],[CARGA PARCIAL SEM CX REPROV.]]&lt;0,0,Tabela1[[#This Row],[CARGA PARCIAL]]+Tabela1[[#This Row],[REEMBOLSO]])</f>
        <v>613.04999999999723</v>
      </c>
      <c r="U391" s="24" t="s">
        <v>22</v>
      </c>
      <c r="V391" s="24"/>
    </row>
    <row r="392" spans="2:22" hidden="1" x14ac:dyDescent="0.25">
      <c r="B392" s="31" t="s">
        <v>1065</v>
      </c>
      <c r="C392" s="32" t="s">
        <v>625</v>
      </c>
      <c r="D392" s="33" t="s">
        <v>18</v>
      </c>
      <c r="E392" s="33" t="s">
        <v>125</v>
      </c>
      <c r="F392" s="33">
        <v>11080150001</v>
      </c>
      <c r="G392" s="33" t="s">
        <v>20</v>
      </c>
      <c r="H392" s="22" t="s">
        <v>21</v>
      </c>
      <c r="I392" s="23">
        <v>0</v>
      </c>
      <c r="J392" s="23">
        <v>0</v>
      </c>
      <c r="K392" s="23">
        <v>0</v>
      </c>
      <c r="L392" s="23">
        <v>101.44999999999901</v>
      </c>
      <c r="M392" s="23">
        <v>0</v>
      </c>
      <c r="N392" s="23">
        <v>0</v>
      </c>
      <c r="O392" s="23">
        <v>0</v>
      </c>
      <c r="P392" s="23">
        <f>Tabela1[[#This Row],[1QZ DE MARÇO 26]]-Tabela1[[#This Row],[SALDO PENDENTE COM CX REPR.]]-Tabela1[[#This Row],[SALDO CARTAO]]-Tabela1[[#This Row],[ADIANTAMENTO]]</f>
        <v>0</v>
      </c>
      <c r="Q392" s="23">
        <f>Tabela1[[#This Row],[1QZ DE MARÇO 26]]-Tabela1[[#This Row],[SALDO PENDENTE SEM CX REPR.]]-Tabela1[[#This Row],[SALDO CARTAO]]-Tabela1[[#This Row],[ADIANTAMENTO]]</f>
        <v>-101.44999999999901</v>
      </c>
      <c r="R392" s="23">
        <v>0</v>
      </c>
      <c r="S392" s="40">
        <f>IF(Tabela1[[#This Row],[CARGA PARCIAL]]&lt;0,0,Tabela1[[#This Row],[CARGA PARCIAL]]+Tabela1[[#This Row],[REEMBOLSO]])</f>
        <v>0</v>
      </c>
      <c r="T392" s="40">
        <f>IF(Tabela1[[#This Row],[CARGA PARCIAL SEM CX REPROV.]]&lt;0,0,Tabela1[[#This Row],[CARGA PARCIAL]]+Tabela1[[#This Row],[REEMBOLSO]])</f>
        <v>0</v>
      </c>
      <c r="U392" s="24" t="s">
        <v>60</v>
      </c>
      <c r="V392" s="24"/>
    </row>
    <row r="393" spans="2:22" hidden="1" x14ac:dyDescent="0.25">
      <c r="B393" s="33" t="s">
        <v>1066</v>
      </c>
      <c r="C393" s="33" t="s">
        <v>626</v>
      </c>
      <c r="D393" s="33" t="s">
        <v>18</v>
      </c>
      <c r="E393" s="33" t="s">
        <v>223</v>
      </c>
      <c r="F393" s="33">
        <v>11062640001</v>
      </c>
      <c r="G393" s="33" t="s">
        <v>38</v>
      </c>
      <c r="H393" s="33" t="s">
        <v>39</v>
      </c>
      <c r="I393" s="23">
        <v>0</v>
      </c>
      <c r="J393" s="23">
        <v>1381.6699999999996</v>
      </c>
      <c r="K393" s="23">
        <v>0</v>
      </c>
      <c r="L393" s="23">
        <v>700.00000000000023</v>
      </c>
      <c r="M393" s="23">
        <v>0</v>
      </c>
      <c r="N393" s="23">
        <v>63.31</v>
      </c>
      <c r="O393" s="23">
        <v>0</v>
      </c>
      <c r="P393" s="23">
        <f>Tabela1[[#This Row],[1QZ DE MARÇO 26]]-Tabela1[[#This Row],[SALDO PENDENTE COM CX REPR.]]-Tabela1[[#This Row],[SALDO CARTAO]]-Tabela1[[#This Row],[ADIANTAMENTO]]</f>
        <v>-1444.9799999999996</v>
      </c>
      <c r="Q393" s="23">
        <f>Tabela1[[#This Row],[1QZ DE MARÇO 26]]-Tabela1[[#This Row],[SALDO PENDENTE SEM CX REPR.]]-Tabela1[[#This Row],[SALDO CARTAO]]-Tabela1[[#This Row],[ADIANTAMENTO]]</f>
        <v>-763.31000000000017</v>
      </c>
      <c r="R393" s="23">
        <v>0</v>
      </c>
      <c r="S393" s="40">
        <f>IF(Tabela1[[#This Row],[CARGA PARCIAL]]&lt;0,0,Tabela1[[#This Row],[CARGA PARCIAL]]+Tabela1[[#This Row],[REEMBOLSO]])</f>
        <v>0</v>
      </c>
      <c r="T393" s="40">
        <f>IF(Tabela1[[#This Row],[CARGA PARCIAL SEM CX REPROV.]]&lt;0,0,Tabela1[[#This Row],[CARGA PARCIAL]]+Tabela1[[#This Row],[REEMBOLSO]])</f>
        <v>0</v>
      </c>
      <c r="U393" s="24" t="s">
        <v>22</v>
      </c>
      <c r="V393" s="24"/>
    </row>
    <row r="394" spans="2:22" x14ac:dyDescent="0.25">
      <c r="B394" s="31" t="s">
        <v>1067</v>
      </c>
      <c r="C394" s="32" t="s">
        <v>193</v>
      </c>
      <c r="D394" s="33" t="s">
        <v>18</v>
      </c>
      <c r="E394" s="33" t="s">
        <v>95</v>
      </c>
      <c r="F394" s="33">
        <v>11040160001</v>
      </c>
      <c r="G394" s="33" t="s">
        <v>48</v>
      </c>
      <c r="H394" s="22" t="s">
        <v>35</v>
      </c>
      <c r="I394" s="23">
        <v>0</v>
      </c>
      <c r="J394" s="23">
        <v>408.24000000000069</v>
      </c>
      <c r="K394" s="23">
        <v>0</v>
      </c>
      <c r="L394" s="23">
        <v>0</v>
      </c>
      <c r="M394" s="23">
        <v>800</v>
      </c>
      <c r="N394" s="23">
        <v>29.01</v>
      </c>
      <c r="O394" s="23">
        <v>0</v>
      </c>
      <c r="P394" s="23">
        <f>Tabela1[[#This Row],[1QZ DE MARÇO 26]]-Tabela1[[#This Row],[SALDO PENDENTE COM CX REPR.]]-Tabela1[[#This Row],[SALDO CARTAO]]-Tabela1[[#This Row],[ADIANTAMENTO]]</f>
        <v>362.74999999999932</v>
      </c>
      <c r="Q394" s="23">
        <f>Tabela1[[#This Row],[1QZ DE MARÇO 26]]-Tabela1[[#This Row],[SALDO PENDENTE SEM CX REPR.]]-Tabela1[[#This Row],[SALDO CARTAO]]-Tabela1[[#This Row],[ADIANTAMENTO]]</f>
        <v>770.99</v>
      </c>
      <c r="R394" s="23">
        <v>0</v>
      </c>
      <c r="S394" s="40">
        <f>IF(Tabela1[[#This Row],[CARGA PARCIAL]]&lt;0,0,Tabela1[[#This Row],[CARGA PARCIAL]]+Tabela1[[#This Row],[REEMBOLSO]])</f>
        <v>362.74999999999932</v>
      </c>
      <c r="T394" s="40">
        <f>IF(Tabela1[[#This Row],[CARGA PARCIAL SEM CX REPROV.]]&lt;0,0,Tabela1[[#This Row],[CARGA PARCIAL]]+Tabela1[[#This Row],[REEMBOLSO]])</f>
        <v>362.74999999999932</v>
      </c>
      <c r="U394" s="24" t="s">
        <v>22</v>
      </c>
      <c r="V394" s="24"/>
    </row>
    <row r="395" spans="2:22" hidden="1" x14ac:dyDescent="0.25">
      <c r="B395" s="33" t="s">
        <v>1068</v>
      </c>
      <c r="C395" s="33" t="s">
        <v>511</v>
      </c>
      <c r="D395" s="33" t="s">
        <v>18</v>
      </c>
      <c r="E395" s="33" t="s">
        <v>88</v>
      </c>
      <c r="F395" s="33">
        <v>11040130001</v>
      </c>
      <c r="G395" s="33" t="s">
        <v>45</v>
      </c>
      <c r="H395" s="33" t="s">
        <v>39</v>
      </c>
      <c r="I395" s="23">
        <v>0</v>
      </c>
      <c r="J395" s="23">
        <v>235</v>
      </c>
      <c r="K395" s="23">
        <v>-107.7199999999998</v>
      </c>
      <c r="L395" s="23">
        <v>0</v>
      </c>
      <c r="M395" s="23">
        <v>120</v>
      </c>
      <c r="N395" s="23">
        <v>0</v>
      </c>
      <c r="O395" s="23">
        <v>0</v>
      </c>
      <c r="P395" s="23">
        <f>Tabela1[[#This Row],[1QZ DE MARÇO 26]]-Tabela1[[#This Row],[SALDO PENDENTE COM CX REPR.]]-Tabela1[[#This Row],[SALDO CARTAO]]-Tabela1[[#This Row],[ADIANTAMENTO]]</f>
        <v>-115</v>
      </c>
      <c r="Q395" s="23">
        <f>Tabela1[[#This Row],[1QZ DE MARÇO 26]]-Tabela1[[#This Row],[SALDO PENDENTE SEM CX REPR.]]-Tabela1[[#This Row],[SALDO CARTAO]]-Tabela1[[#This Row],[ADIANTAMENTO]]</f>
        <v>120</v>
      </c>
      <c r="R395" s="23">
        <v>0</v>
      </c>
      <c r="S395" s="40">
        <f>IF(Tabela1[[#This Row],[CARGA PARCIAL]]&lt;0,0,Tabela1[[#This Row],[CARGA PARCIAL]]+Tabela1[[#This Row],[REEMBOLSO]])</f>
        <v>0</v>
      </c>
      <c r="T395" s="40">
        <f>IF(Tabela1[[#This Row],[CARGA PARCIAL SEM CX REPROV.]]&lt;0,0,Tabela1[[#This Row],[CARGA PARCIAL]]+Tabela1[[#This Row],[REEMBOLSO]])</f>
        <v>-115</v>
      </c>
      <c r="U395" s="24" t="s">
        <v>22</v>
      </c>
      <c r="V395" s="24"/>
    </row>
    <row r="396" spans="2:22" x14ac:dyDescent="0.25">
      <c r="B396" s="33" t="s">
        <v>1088</v>
      </c>
      <c r="C396" s="33" t="s">
        <v>64</v>
      </c>
      <c r="D396" s="33" t="s">
        <v>18</v>
      </c>
      <c r="E396" s="33" t="s">
        <v>65</v>
      </c>
      <c r="F396" s="33">
        <v>11030620001</v>
      </c>
      <c r="G396" s="33" t="s">
        <v>54</v>
      </c>
      <c r="H396" s="22" t="s">
        <v>39</v>
      </c>
      <c r="I396" s="23">
        <v>-1891.7600000000311</v>
      </c>
      <c r="J396" s="23">
        <v>0</v>
      </c>
      <c r="K396" s="23">
        <v>0</v>
      </c>
      <c r="L396" s="23">
        <v>2008.2099999999555</v>
      </c>
      <c r="M396" s="23">
        <v>2800</v>
      </c>
      <c r="N396" s="23">
        <v>369.12</v>
      </c>
      <c r="O396" s="23">
        <v>0</v>
      </c>
      <c r="P396" s="23">
        <f>Tabela1[[#This Row],[1QZ DE MARÇO 26]]-Tabela1[[#This Row],[SALDO PENDENTE COM CX REPR.]]-Tabela1[[#This Row],[SALDO CARTAO]]-Tabela1[[#This Row],[ADIANTAMENTO]]</f>
        <v>2430.88</v>
      </c>
      <c r="Q396" s="23">
        <f>Tabela1[[#This Row],[1QZ DE MARÇO 26]]-Tabela1[[#This Row],[SALDO PENDENTE SEM CX REPR.]]-Tabela1[[#This Row],[SALDO CARTAO]]-Tabela1[[#This Row],[ADIANTAMENTO]]</f>
        <v>422.67000000004452</v>
      </c>
      <c r="R396" s="23">
        <v>0</v>
      </c>
      <c r="S396" s="40">
        <f>IF(Tabela1[[#This Row],[CARGA PARCIAL]]&lt;0,0,Tabela1[[#This Row],[CARGA PARCIAL]]+Tabela1[[#This Row],[REEMBOLSO]])</f>
        <v>2430.88</v>
      </c>
      <c r="T396" s="40">
        <f>IF(Tabela1[[#This Row],[CARGA PARCIAL SEM CX REPROV.]]&lt;0,0,Tabela1[[#This Row],[CARGA PARCIAL]]+Tabela1[[#This Row],[REEMBOLSO]])</f>
        <v>2430.88</v>
      </c>
      <c r="U396" s="24" t="s">
        <v>22</v>
      </c>
      <c r="V396" s="24"/>
    </row>
    <row r="397" spans="2:22" x14ac:dyDescent="0.25">
      <c r="B397" s="33" t="s">
        <v>1039</v>
      </c>
      <c r="C397" s="33" t="s">
        <v>49</v>
      </c>
      <c r="D397" s="33" t="s">
        <v>18</v>
      </c>
      <c r="E397" s="33" t="s">
        <v>37</v>
      </c>
      <c r="F397" s="33">
        <v>11030830001</v>
      </c>
      <c r="G397" s="33" t="s">
        <v>38</v>
      </c>
      <c r="H397" s="33" t="s">
        <v>39</v>
      </c>
      <c r="I397" s="23">
        <v>-2137.5499999997164</v>
      </c>
      <c r="J397" s="23">
        <v>0</v>
      </c>
      <c r="K397" s="23">
        <v>0</v>
      </c>
      <c r="L397" s="23">
        <v>84.6</v>
      </c>
      <c r="M397" s="23">
        <v>4000</v>
      </c>
      <c r="N397" s="23">
        <v>0</v>
      </c>
      <c r="O397" s="23">
        <v>0</v>
      </c>
      <c r="P397" s="23">
        <f>Tabela1[[#This Row],[1QZ DE MARÇO 26]]-Tabela1[[#This Row],[SALDO PENDENTE COM CX REPR.]]-Tabela1[[#This Row],[SALDO CARTAO]]-Tabela1[[#This Row],[ADIANTAMENTO]]</f>
        <v>4000</v>
      </c>
      <c r="Q397" s="23">
        <f>Tabela1[[#This Row],[1QZ DE MARÇO 26]]-Tabela1[[#This Row],[SALDO PENDENTE SEM CX REPR.]]-Tabela1[[#This Row],[SALDO CARTAO]]-Tabela1[[#This Row],[ADIANTAMENTO]]</f>
        <v>3915.4</v>
      </c>
      <c r="R397" s="23">
        <v>0</v>
      </c>
      <c r="S397" s="40">
        <f>IF(Tabela1[[#This Row],[CARGA PARCIAL]]&lt;0,0,Tabela1[[#This Row],[CARGA PARCIAL]]+Tabela1[[#This Row],[REEMBOLSO]])</f>
        <v>4000</v>
      </c>
      <c r="T397" s="40">
        <f>IF(Tabela1[[#This Row],[CARGA PARCIAL SEM CX REPROV.]]&lt;0,0,Tabela1[[#This Row],[CARGA PARCIAL]]+Tabela1[[#This Row],[REEMBOLSO]])</f>
        <v>4000</v>
      </c>
      <c r="U397" s="24" t="s">
        <v>22</v>
      </c>
      <c r="V397" s="24"/>
    </row>
    <row r="398" spans="2:22" hidden="1" x14ac:dyDescent="0.25">
      <c r="B398" s="37" t="s">
        <v>1071</v>
      </c>
      <c r="C398" s="32" t="s">
        <v>668</v>
      </c>
      <c r="D398" s="33" t="s">
        <v>18</v>
      </c>
      <c r="E398" s="33" t="s">
        <v>532</v>
      </c>
      <c r="F398" s="33">
        <v>11063050001</v>
      </c>
      <c r="G398" s="33" t="s">
        <v>54</v>
      </c>
      <c r="H398" s="22" t="s">
        <v>39</v>
      </c>
      <c r="I398" s="23">
        <v>0</v>
      </c>
      <c r="J398" s="23">
        <v>960</v>
      </c>
      <c r="K398" s="23">
        <v>0</v>
      </c>
      <c r="L398" s="23">
        <v>2646.5</v>
      </c>
      <c r="M398" s="23">
        <v>0</v>
      </c>
      <c r="N398" s="23">
        <v>44.68</v>
      </c>
      <c r="O398" s="23">
        <v>0</v>
      </c>
      <c r="P398" s="23">
        <f>Tabela1[[#This Row],[1QZ DE MARÇO 26]]-Tabela1[[#This Row],[SALDO PENDENTE COM CX REPR.]]-Tabela1[[#This Row],[SALDO CARTAO]]-Tabela1[[#This Row],[ADIANTAMENTO]]</f>
        <v>-1004.68</v>
      </c>
      <c r="Q398" s="23">
        <f>Tabela1[[#This Row],[1QZ DE MARÇO 26]]-Tabela1[[#This Row],[SALDO PENDENTE SEM CX REPR.]]-Tabela1[[#This Row],[SALDO CARTAO]]-Tabela1[[#This Row],[ADIANTAMENTO]]</f>
        <v>-2691.18</v>
      </c>
      <c r="R398" s="23">
        <v>0</v>
      </c>
      <c r="S398" s="40">
        <f>IF(Tabela1[[#This Row],[CARGA PARCIAL]]&lt;0,0,Tabela1[[#This Row],[CARGA PARCIAL]]+Tabela1[[#This Row],[REEMBOLSO]])</f>
        <v>0</v>
      </c>
      <c r="T398" s="40">
        <f>IF(Tabela1[[#This Row],[CARGA PARCIAL SEM CX REPROV.]]&lt;0,0,Tabela1[[#This Row],[CARGA PARCIAL]]+Tabela1[[#This Row],[REEMBOLSO]])</f>
        <v>0</v>
      </c>
      <c r="U398" s="24" t="s">
        <v>22</v>
      </c>
      <c r="V398" s="24"/>
    </row>
    <row r="399" spans="2:22" hidden="1" x14ac:dyDescent="0.25">
      <c r="B399" s="31" t="s">
        <v>1072</v>
      </c>
      <c r="C399" s="32" t="s">
        <v>590</v>
      </c>
      <c r="D399" s="33" t="s">
        <v>18</v>
      </c>
      <c r="E399" s="33" t="s">
        <v>319</v>
      </c>
      <c r="F399" s="33">
        <v>11061430001</v>
      </c>
      <c r="G399" s="33" t="s">
        <v>25</v>
      </c>
      <c r="H399" s="22" t="s">
        <v>21</v>
      </c>
      <c r="I399" s="23">
        <v>0</v>
      </c>
      <c r="J399" s="23">
        <v>2547.0400000000127</v>
      </c>
      <c r="K399" s="23">
        <v>0</v>
      </c>
      <c r="L399" s="23">
        <v>41.499999999999432</v>
      </c>
      <c r="M399" s="23">
        <v>0</v>
      </c>
      <c r="N399" s="23">
        <v>0</v>
      </c>
      <c r="O399" s="23">
        <v>0</v>
      </c>
      <c r="P399" s="23">
        <f>Tabela1[[#This Row],[1QZ DE MARÇO 26]]-Tabela1[[#This Row],[SALDO PENDENTE COM CX REPR.]]-Tabela1[[#This Row],[SALDO CARTAO]]-Tabela1[[#This Row],[ADIANTAMENTO]]</f>
        <v>-2547.0400000000127</v>
      </c>
      <c r="Q399" s="23">
        <f>Tabela1[[#This Row],[1QZ DE MARÇO 26]]-Tabela1[[#This Row],[SALDO PENDENTE SEM CX REPR.]]-Tabela1[[#This Row],[SALDO CARTAO]]-Tabela1[[#This Row],[ADIANTAMENTO]]</f>
        <v>-41.499999999999432</v>
      </c>
      <c r="R399" s="23">
        <v>0</v>
      </c>
      <c r="S399" s="40">
        <f>IF(Tabela1[[#This Row],[CARGA PARCIAL]]&lt;0,0,Tabela1[[#This Row],[CARGA PARCIAL]]+Tabela1[[#This Row],[REEMBOLSO]])</f>
        <v>0</v>
      </c>
      <c r="T399" s="40">
        <f>IF(Tabela1[[#This Row],[CARGA PARCIAL SEM CX REPROV.]]&lt;0,0,Tabela1[[#This Row],[CARGA PARCIAL]]+Tabela1[[#This Row],[REEMBOLSO]])</f>
        <v>0</v>
      </c>
      <c r="U399" s="24" t="s">
        <v>22</v>
      </c>
      <c r="V399" s="24"/>
    </row>
    <row r="400" spans="2:22" hidden="1" x14ac:dyDescent="0.25">
      <c r="B400" s="33" t="s">
        <v>1073</v>
      </c>
      <c r="C400" s="33" t="s">
        <v>205</v>
      </c>
      <c r="D400" s="33" t="s">
        <v>18</v>
      </c>
      <c r="E400" s="33" t="s">
        <v>206</v>
      </c>
      <c r="F400" s="33">
        <v>12010580001</v>
      </c>
      <c r="G400" s="33" t="s">
        <v>20</v>
      </c>
      <c r="H400" s="33" t="s">
        <v>21</v>
      </c>
      <c r="I400" s="23">
        <v>0</v>
      </c>
      <c r="J400" s="23">
        <v>755.23000000000013</v>
      </c>
      <c r="K400" s="23">
        <v>-159.88000000000102</v>
      </c>
      <c r="L400" s="23">
        <v>0</v>
      </c>
      <c r="M400" s="23">
        <v>0</v>
      </c>
      <c r="N400" s="23">
        <v>1232.24</v>
      </c>
      <c r="O400" s="23">
        <v>0</v>
      </c>
      <c r="P400" s="23">
        <f>Tabela1[[#This Row],[1QZ DE MARÇO 26]]-Tabela1[[#This Row],[SALDO PENDENTE COM CX REPR.]]-Tabela1[[#This Row],[SALDO CARTAO]]-Tabela1[[#This Row],[ADIANTAMENTO]]</f>
        <v>-1987.4700000000003</v>
      </c>
      <c r="Q400" s="23">
        <f>Tabela1[[#This Row],[1QZ DE MARÇO 26]]-Tabela1[[#This Row],[SALDO PENDENTE SEM CX REPR.]]-Tabela1[[#This Row],[SALDO CARTAO]]-Tabela1[[#This Row],[ADIANTAMENTO]]</f>
        <v>-1232.24</v>
      </c>
      <c r="R400" s="23">
        <v>0</v>
      </c>
      <c r="S400" s="40">
        <f>IF(Tabela1[[#This Row],[CARGA PARCIAL]]&lt;0,0,Tabela1[[#This Row],[CARGA PARCIAL]]+Tabela1[[#This Row],[REEMBOLSO]])</f>
        <v>0</v>
      </c>
      <c r="T400" s="40">
        <f>IF(Tabela1[[#This Row],[CARGA PARCIAL SEM CX REPROV.]]&lt;0,0,Tabela1[[#This Row],[CARGA PARCIAL]]+Tabela1[[#This Row],[REEMBOLSO]])</f>
        <v>0</v>
      </c>
      <c r="U400" s="24" t="s">
        <v>22</v>
      </c>
      <c r="V400" s="24"/>
    </row>
    <row r="401" spans="2:22" x14ac:dyDescent="0.25">
      <c r="B401" s="33" t="s">
        <v>1074</v>
      </c>
      <c r="C401" s="33" t="s">
        <v>312</v>
      </c>
      <c r="D401" s="33" t="s">
        <v>18</v>
      </c>
      <c r="E401" s="33" t="s">
        <v>189</v>
      </c>
      <c r="F401" s="33">
        <v>11061400001</v>
      </c>
      <c r="G401" s="33" t="s">
        <v>42</v>
      </c>
      <c r="H401" s="22" t="s">
        <v>39</v>
      </c>
      <c r="I401" s="23">
        <v>0</v>
      </c>
      <c r="J401" s="23">
        <v>490.219999999989</v>
      </c>
      <c r="K401" s="23">
        <v>0</v>
      </c>
      <c r="L401" s="23">
        <v>0</v>
      </c>
      <c r="M401" s="23">
        <v>700</v>
      </c>
      <c r="N401" s="23"/>
      <c r="O401" s="23">
        <v>0</v>
      </c>
      <c r="P401" s="23">
        <f>Tabela1[[#This Row],[1QZ DE MARÇO 26]]-Tabela1[[#This Row],[SALDO PENDENTE COM CX REPR.]]-Tabela1[[#This Row],[SALDO CARTAO]]-Tabela1[[#This Row],[ADIANTAMENTO]]</f>
        <v>209.780000000011</v>
      </c>
      <c r="Q401" s="23">
        <f>Tabela1[[#This Row],[1QZ DE MARÇO 26]]-Tabela1[[#This Row],[SALDO PENDENTE SEM CX REPR.]]-Tabela1[[#This Row],[SALDO CARTAO]]-Tabela1[[#This Row],[ADIANTAMENTO]]</f>
        <v>700</v>
      </c>
      <c r="R401" s="23">
        <v>0</v>
      </c>
      <c r="S401" s="40">
        <f>IF(Tabela1[[#This Row],[CARGA PARCIAL]]&lt;0,0,Tabela1[[#This Row],[CARGA PARCIAL]]+Tabela1[[#This Row],[REEMBOLSO]])</f>
        <v>209.780000000011</v>
      </c>
      <c r="T401" s="40">
        <f>IF(Tabela1[[#This Row],[CARGA PARCIAL SEM CX REPROV.]]&lt;0,0,Tabela1[[#This Row],[CARGA PARCIAL]]+Tabela1[[#This Row],[REEMBOLSO]])</f>
        <v>209.780000000011</v>
      </c>
      <c r="U401" s="27" t="s">
        <v>22</v>
      </c>
      <c r="V401" s="24"/>
    </row>
    <row r="402" spans="2:22" hidden="1" x14ac:dyDescent="0.25">
      <c r="B402" s="34" t="s">
        <v>1075</v>
      </c>
      <c r="C402" s="34" t="s">
        <v>628</v>
      </c>
      <c r="D402" s="34" t="s">
        <v>18</v>
      </c>
      <c r="E402" s="33" t="s">
        <v>44</v>
      </c>
      <c r="F402" s="33">
        <v>1104150001</v>
      </c>
      <c r="G402" s="33" t="s">
        <v>45</v>
      </c>
      <c r="H402" s="33" t="s">
        <v>39</v>
      </c>
      <c r="I402" s="23">
        <v>0</v>
      </c>
      <c r="J402" s="23">
        <v>141.79999999999995</v>
      </c>
      <c r="K402" s="23">
        <v>-1297.049999999992</v>
      </c>
      <c r="L402" s="23">
        <v>0</v>
      </c>
      <c r="M402" s="23">
        <v>0</v>
      </c>
      <c r="N402" s="23">
        <v>490.2</v>
      </c>
      <c r="O402" s="23">
        <v>0</v>
      </c>
      <c r="P402" s="23">
        <f>Tabela1[[#This Row],[1QZ DE MARÇO 26]]-Tabela1[[#This Row],[SALDO PENDENTE COM CX REPR.]]-Tabela1[[#This Row],[SALDO CARTAO]]-Tabela1[[#This Row],[ADIANTAMENTO]]</f>
        <v>-632</v>
      </c>
      <c r="Q402" s="23">
        <f>Tabela1[[#This Row],[1QZ DE MARÇO 26]]-Tabela1[[#This Row],[SALDO PENDENTE SEM CX REPR.]]-Tabela1[[#This Row],[SALDO CARTAO]]-Tabela1[[#This Row],[ADIANTAMENTO]]</f>
        <v>-490.2</v>
      </c>
      <c r="R402" s="23">
        <v>0</v>
      </c>
      <c r="S402" s="40">
        <f>IF(Tabela1[[#This Row],[CARGA PARCIAL]]&lt;0,0,Tabela1[[#This Row],[CARGA PARCIAL]]+Tabela1[[#This Row],[REEMBOLSO]])</f>
        <v>0</v>
      </c>
      <c r="T402" s="40">
        <f>IF(Tabela1[[#This Row],[CARGA PARCIAL SEM CX REPROV.]]&lt;0,0,Tabela1[[#This Row],[CARGA PARCIAL]]+Tabela1[[#This Row],[REEMBOLSO]])</f>
        <v>0</v>
      </c>
      <c r="U402" s="25" t="s">
        <v>22</v>
      </c>
      <c r="V402" s="26"/>
    </row>
    <row r="403" spans="2:22" hidden="1" x14ac:dyDescent="0.25">
      <c r="B403" s="31" t="s">
        <v>1108</v>
      </c>
      <c r="C403" s="32" t="s">
        <v>250</v>
      </c>
      <c r="D403" s="33" t="s">
        <v>18</v>
      </c>
      <c r="E403" s="33" t="s">
        <v>27</v>
      </c>
      <c r="F403" s="33">
        <v>11030870001</v>
      </c>
      <c r="G403" s="33" t="s">
        <v>28</v>
      </c>
      <c r="H403" s="22" t="s">
        <v>21</v>
      </c>
      <c r="I403" s="23">
        <v>-2310.6400000000026</v>
      </c>
      <c r="J403" s="23">
        <v>0</v>
      </c>
      <c r="K403" s="23">
        <v>-4.2916781239910051E-12</v>
      </c>
      <c r="L403" s="23">
        <v>0</v>
      </c>
      <c r="M403" s="23">
        <v>500</v>
      </c>
      <c r="N403" s="23">
        <v>792.42</v>
      </c>
      <c r="O403" s="23">
        <v>0</v>
      </c>
      <c r="P403" s="23">
        <f>Tabela1[[#This Row],[1QZ DE MARÇO 26]]-Tabela1[[#This Row],[SALDO PENDENTE COM CX REPR.]]-Tabela1[[#This Row],[SALDO CARTAO]]-Tabela1[[#This Row],[ADIANTAMENTO]]</f>
        <v>-292.41999999999996</v>
      </c>
      <c r="Q403" s="23">
        <f>Tabela1[[#This Row],[1QZ DE MARÇO 26]]-Tabela1[[#This Row],[SALDO PENDENTE SEM CX REPR.]]-Tabela1[[#This Row],[SALDO CARTAO]]-Tabela1[[#This Row],[ADIANTAMENTO]]</f>
        <v>-292.41999999999996</v>
      </c>
      <c r="R403" s="23">
        <v>2310.6400000000026</v>
      </c>
      <c r="S403" s="40">
        <f>IF(Tabela1[[#This Row],[CARGA PARCIAL]]&lt;0,0,Tabela1[[#This Row],[CARGA PARCIAL]]+Tabela1[[#This Row],[REEMBOLSO]])</f>
        <v>0</v>
      </c>
      <c r="T403" s="40">
        <f>IF(Tabela1[[#This Row],[CARGA PARCIAL SEM CX REPROV.]]&lt;0,0,Tabela1[[#This Row],[CARGA PARCIAL]]+Tabela1[[#This Row],[REEMBOLSO]])</f>
        <v>0</v>
      </c>
      <c r="U403" s="24" t="s">
        <v>22</v>
      </c>
      <c r="V403" s="24"/>
    </row>
    <row r="404" spans="2:22" hidden="1" x14ac:dyDescent="0.25">
      <c r="B404" s="33" t="s">
        <v>1077</v>
      </c>
      <c r="C404" s="33" t="s">
        <v>512</v>
      </c>
      <c r="D404" s="33" t="s">
        <v>18</v>
      </c>
      <c r="E404" s="33" t="s">
        <v>88</v>
      </c>
      <c r="F404" s="33">
        <v>11040130001</v>
      </c>
      <c r="G404" s="33" t="s">
        <v>45</v>
      </c>
      <c r="H404" s="22" t="s">
        <v>39</v>
      </c>
      <c r="I404" s="23">
        <v>0</v>
      </c>
      <c r="J404" s="23">
        <v>249.40000000000023</v>
      </c>
      <c r="K404" s="23">
        <v>0</v>
      </c>
      <c r="L404" s="23">
        <v>761.32999999999993</v>
      </c>
      <c r="M404" s="23">
        <v>120</v>
      </c>
      <c r="N404" s="23">
        <v>23.86</v>
      </c>
      <c r="O404" s="23">
        <v>0</v>
      </c>
      <c r="P404" s="23">
        <f>Tabela1[[#This Row],[1QZ DE MARÇO 26]]-Tabela1[[#This Row],[SALDO PENDENTE COM CX REPR.]]-Tabela1[[#This Row],[SALDO CARTAO]]-Tabela1[[#This Row],[ADIANTAMENTO]]</f>
        <v>-153.26000000000022</v>
      </c>
      <c r="Q404" s="23">
        <f>Tabela1[[#This Row],[1QZ DE MARÇO 26]]-Tabela1[[#This Row],[SALDO PENDENTE SEM CX REPR.]]-Tabela1[[#This Row],[SALDO CARTAO]]-Tabela1[[#This Row],[ADIANTAMENTO]]</f>
        <v>-665.18999999999994</v>
      </c>
      <c r="R404" s="23">
        <v>0</v>
      </c>
      <c r="S404" s="40">
        <f>IF(Tabela1[[#This Row],[CARGA PARCIAL]]&lt;0,0,Tabela1[[#This Row],[CARGA PARCIAL]]+Tabela1[[#This Row],[REEMBOLSO]])</f>
        <v>0</v>
      </c>
      <c r="T404" s="40">
        <f>IF(Tabela1[[#This Row],[CARGA PARCIAL SEM CX REPROV.]]&lt;0,0,Tabela1[[#This Row],[CARGA PARCIAL]]+Tabela1[[#This Row],[REEMBOLSO]])</f>
        <v>0</v>
      </c>
      <c r="U404" s="24" t="s">
        <v>22</v>
      </c>
      <c r="V404" s="24"/>
    </row>
    <row r="405" spans="2:22" hidden="1" x14ac:dyDescent="0.25">
      <c r="B405" s="33" t="s">
        <v>1078</v>
      </c>
      <c r="C405" s="33" t="s">
        <v>629</v>
      </c>
      <c r="D405" s="33" t="s">
        <v>18</v>
      </c>
      <c r="E405" s="33" t="s">
        <v>132</v>
      </c>
      <c r="F405" s="33">
        <v>11061820001</v>
      </c>
      <c r="G405" s="33" t="s">
        <v>54</v>
      </c>
      <c r="H405" s="22" t="s">
        <v>39</v>
      </c>
      <c r="I405" s="23">
        <v>0</v>
      </c>
      <c r="J405" s="23">
        <v>0</v>
      </c>
      <c r="K405" s="23">
        <v>0</v>
      </c>
      <c r="L405" s="23">
        <v>725</v>
      </c>
      <c r="M405" s="23">
        <v>0</v>
      </c>
      <c r="N405" s="23">
        <v>0</v>
      </c>
      <c r="O405" s="23">
        <v>0</v>
      </c>
      <c r="P405" s="23">
        <f>Tabela1[[#This Row],[1QZ DE MARÇO 26]]-Tabela1[[#This Row],[SALDO PENDENTE COM CX REPR.]]-Tabela1[[#This Row],[SALDO CARTAO]]-Tabela1[[#This Row],[ADIANTAMENTO]]</f>
        <v>0</v>
      </c>
      <c r="Q405" s="23">
        <f>Tabela1[[#This Row],[1QZ DE MARÇO 26]]-Tabela1[[#This Row],[SALDO PENDENTE SEM CX REPR.]]-Tabela1[[#This Row],[SALDO CARTAO]]-Tabela1[[#This Row],[ADIANTAMENTO]]</f>
        <v>-725</v>
      </c>
      <c r="R405" s="23">
        <v>0</v>
      </c>
      <c r="S405" s="40">
        <f>IF(Tabela1[[#This Row],[CARGA PARCIAL]]&lt;0,0,Tabela1[[#This Row],[CARGA PARCIAL]]+Tabela1[[#This Row],[REEMBOLSO]])</f>
        <v>0</v>
      </c>
      <c r="T405" s="40">
        <f>IF(Tabela1[[#This Row],[CARGA PARCIAL SEM CX REPROV.]]&lt;0,0,Tabela1[[#This Row],[CARGA PARCIAL]]+Tabela1[[#This Row],[REEMBOLSO]])</f>
        <v>0</v>
      </c>
      <c r="U405" s="24" t="s">
        <v>60</v>
      </c>
      <c r="V405" s="24"/>
    </row>
    <row r="406" spans="2:22" x14ac:dyDescent="0.25">
      <c r="B406" s="31" t="s">
        <v>1079</v>
      </c>
      <c r="C406" s="32" t="s">
        <v>306</v>
      </c>
      <c r="D406" s="33" t="s">
        <v>18</v>
      </c>
      <c r="E406" s="33" t="s">
        <v>88</v>
      </c>
      <c r="F406" s="33">
        <v>11040130001</v>
      </c>
      <c r="G406" s="33" t="s">
        <v>45</v>
      </c>
      <c r="H406" s="22" t="s">
        <v>39</v>
      </c>
      <c r="I406" s="23">
        <v>-2.2737367544323206E-13</v>
      </c>
      <c r="J406" s="23">
        <v>0</v>
      </c>
      <c r="K406" s="23">
        <v>0</v>
      </c>
      <c r="L406" s="23">
        <v>31.649999999994179</v>
      </c>
      <c r="M406" s="23">
        <v>160</v>
      </c>
      <c r="N406" s="23">
        <v>35.6</v>
      </c>
      <c r="O406" s="23">
        <v>0</v>
      </c>
      <c r="P406" s="23">
        <f>Tabela1[[#This Row],[1QZ DE MARÇO 26]]-Tabela1[[#This Row],[SALDO PENDENTE COM CX REPR.]]-Tabela1[[#This Row],[SALDO CARTAO]]-Tabela1[[#This Row],[ADIANTAMENTO]]</f>
        <v>124.4</v>
      </c>
      <c r="Q406" s="23">
        <f>Tabela1[[#This Row],[1QZ DE MARÇO 26]]-Tabela1[[#This Row],[SALDO PENDENTE SEM CX REPR.]]-Tabela1[[#This Row],[SALDO CARTAO]]-Tabela1[[#This Row],[ADIANTAMENTO]]</f>
        <v>92.750000000005826</v>
      </c>
      <c r="R406" s="23">
        <v>0</v>
      </c>
      <c r="S406" s="40">
        <f>IF(Tabela1[[#This Row],[CARGA PARCIAL]]&lt;0,0,Tabela1[[#This Row],[CARGA PARCIAL]]+Tabela1[[#This Row],[REEMBOLSO]])</f>
        <v>124.4</v>
      </c>
      <c r="T406" s="40">
        <f>IF(Tabela1[[#This Row],[CARGA PARCIAL SEM CX REPROV.]]&lt;0,0,Tabela1[[#This Row],[CARGA PARCIAL]]+Tabela1[[#This Row],[REEMBOLSO]])</f>
        <v>124.4</v>
      </c>
      <c r="U406" s="24" t="s">
        <v>22</v>
      </c>
      <c r="V406" s="24"/>
    </row>
    <row r="407" spans="2:22" hidden="1" x14ac:dyDescent="0.25">
      <c r="B407" s="31" t="s">
        <v>1080</v>
      </c>
      <c r="C407" s="32" t="s">
        <v>599</v>
      </c>
      <c r="D407" s="33" t="s">
        <v>18</v>
      </c>
      <c r="E407" s="33" t="s">
        <v>99</v>
      </c>
      <c r="F407" s="33">
        <v>11040040001</v>
      </c>
      <c r="G407" s="33" t="s">
        <v>25</v>
      </c>
      <c r="H407" s="22" t="s">
        <v>21</v>
      </c>
      <c r="I407" s="23">
        <v>0</v>
      </c>
      <c r="J407" s="23">
        <v>2473.7500000000109</v>
      </c>
      <c r="K407" s="23">
        <v>0</v>
      </c>
      <c r="L407" s="23">
        <v>68.650000000000233</v>
      </c>
      <c r="M407" s="23">
        <v>1200</v>
      </c>
      <c r="N407" s="23">
        <v>72.599999999999994</v>
      </c>
      <c r="O407" s="23">
        <v>0</v>
      </c>
      <c r="P407" s="23">
        <f>Tabela1[[#This Row],[1QZ DE MARÇO 26]]-Tabela1[[#This Row],[SALDO PENDENTE COM CX REPR.]]-Tabela1[[#This Row],[SALDO CARTAO]]-Tabela1[[#This Row],[ADIANTAMENTO]]</f>
        <v>-1346.3500000000108</v>
      </c>
      <c r="Q407" s="23">
        <f>Tabela1[[#This Row],[1QZ DE MARÇO 26]]-Tabela1[[#This Row],[SALDO PENDENTE SEM CX REPR.]]-Tabela1[[#This Row],[SALDO CARTAO]]-Tabela1[[#This Row],[ADIANTAMENTO]]</f>
        <v>1058.7499999999998</v>
      </c>
      <c r="R407" s="23">
        <v>0</v>
      </c>
      <c r="S407" s="40">
        <f>IF(Tabela1[[#This Row],[CARGA PARCIAL]]&lt;0,0,Tabela1[[#This Row],[CARGA PARCIAL]]+Tabela1[[#This Row],[REEMBOLSO]])</f>
        <v>0</v>
      </c>
      <c r="T407" s="40">
        <f>IF(Tabela1[[#This Row],[CARGA PARCIAL SEM CX REPROV.]]&lt;0,0,Tabela1[[#This Row],[CARGA PARCIAL]]+Tabela1[[#This Row],[REEMBOLSO]])</f>
        <v>-1346.3500000000108</v>
      </c>
      <c r="U407" s="24" t="s">
        <v>22</v>
      </c>
      <c r="V407" s="24"/>
    </row>
    <row r="408" spans="2:22" hidden="1" x14ac:dyDescent="0.25">
      <c r="B408" s="34" t="s">
        <v>1081</v>
      </c>
      <c r="C408" s="34" t="s">
        <v>454</v>
      </c>
      <c r="D408" s="34" t="s">
        <v>18</v>
      </c>
      <c r="E408" s="33" t="s">
        <v>19</v>
      </c>
      <c r="F408" s="33">
        <v>11030260001</v>
      </c>
      <c r="G408" s="33" t="s">
        <v>20</v>
      </c>
      <c r="H408" s="22" t="s">
        <v>21</v>
      </c>
      <c r="I408" s="23">
        <v>0</v>
      </c>
      <c r="J408" s="23">
        <v>9267.2599999999948</v>
      </c>
      <c r="K408" s="23">
        <v>0</v>
      </c>
      <c r="L408" s="23">
        <v>0</v>
      </c>
      <c r="M408" s="23">
        <v>700</v>
      </c>
      <c r="N408" s="23">
        <v>0</v>
      </c>
      <c r="O408" s="23">
        <v>0</v>
      </c>
      <c r="P408" s="23">
        <f>Tabela1[[#This Row],[1QZ DE MARÇO 26]]-Tabela1[[#This Row],[SALDO PENDENTE COM CX REPR.]]-Tabela1[[#This Row],[SALDO CARTAO]]-Tabela1[[#This Row],[ADIANTAMENTO]]</f>
        <v>-8567.2599999999948</v>
      </c>
      <c r="Q408" s="23">
        <f>Tabela1[[#This Row],[1QZ DE MARÇO 26]]-Tabela1[[#This Row],[SALDO PENDENTE SEM CX REPR.]]-Tabela1[[#This Row],[SALDO CARTAO]]-Tabela1[[#This Row],[ADIANTAMENTO]]</f>
        <v>700</v>
      </c>
      <c r="R408" s="23">
        <v>0</v>
      </c>
      <c r="S408" s="40">
        <f>IF(Tabela1[[#This Row],[CARGA PARCIAL]]&lt;0,0,Tabela1[[#This Row],[CARGA PARCIAL]]+Tabela1[[#This Row],[REEMBOLSO]])</f>
        <v>0</v>
      </c>
      <c r="T408" s="40">
        <f>IF(Tabela1[[#This Row],[CARGA PARCIAL SEM CX REPROV.]]&lt;0,0,Tabela1[[#This Row],[CARGA PARCIAL]]+Tabela1[[#This Row],[REEMBOLSO]])</f>
        <v>-8567.2599999999948</v>
      </c>
      <c r="U408" s="25" t="s">
        <v>22</v>
      </c>
      <c r="V408" s="26"/>
    </row>
    <row r="409" spans="2:22" hidden="1" x14ac:dyDescent="0.25">
      <c r="B409" s="33" t="s">
        <v>1082</v>
      </c>
      <c r="C409" s="33" t="s">
        <v>630</v>
      </c>
      <c r="D409" s="33" t="s">
        <v>18</v>
      </c>
      <c r="E409" s="33" t="s">
        <v>88</v>
      </c>
      <c r="F409" s="33">
        <v>11040130001</v>
      </c>
      <c r="G409" s="33" t="s">
        <v>42</v>
      </c>
      <c r="H409" s="33" t="s">
        <v>39</v>
      </c>
      <c r="I409" s="23">
        <v>-72.200000000004636</v>
      </c>
      <c r="J409" s="23">
        <v>0</v>
      </c>
      <c r="K409" s="23">
        <v>0</v>
      </c>
      <c r="L409" s="23">
        <v>212.10000000000025</v>
      </c>
      <c r="M409" s="23">
        <v>0</v>
      </c>
      <c r="N409" s="23">
        <v>46</v>
      </c>
      <c r="O409" s="23">
        <v>0</v>
      </c>
      <c r="P409" s="23">
        <f>Tabela1[[#This Row],[1QZ DE MARÇO 26]]-Tabela1[[#This Row],[SALDO PENDENTE COM CX REPR.]]-Tabela1[[#This Row],[SALDO CARTAO]]-Tabela1[[#This Row],[ADIANTAMENTO]]</f>
        <v>-46</v>
      </c>
      <c r="Q409" s="23">
        <f>Tabela1[[#This Row],[1QZ DE MARÇO 26]]-Tabela1[[#This Row],[SALDO PENDENTE SEM CX REPR.]]-Tabela1[[#This Row],[SALDO CARTAO]]-Tabela1[[#This Row],[ADIANTAMENTO]]</f>
        <v>-258.10000000000025</v>
      </c>
      <c r="R409" s="23">
        <v>0</v>
      </c>
      <c r="S409" s="40">
        <f>IF(Tabela1[[#This Row],[CARGA PARCIAL]]&lt;0,0,Tabela1[[#This Row],[CARGA PARCIAL]]+Tabela1[[#This Row],[REEMBOLSO]])</f>
        <v>0</v>
      </c>
      <c r="T409" s="40">
        <f>IF(Tabela1[[#This Row],[CARGA PARCIAL SEM CX REPROV.]]&lt;0,0,Tabela1[[#This Row],[CARGA PARCIAL]]+Tabela1[[#This Row],[REEMBOLSO]])</f>
        <v>0</v>
      </c>
      <c r="U409" s="24" t="s">
        <v>22</v>
      </c>
      <c r="V409" s="24"/>
    </row>
    <row r="410" spans="2:22" x14ac:dyDescent="0.25">
      <c r="B410" s="33" t="s">
        <v>1083</v>
      </c>
      <c r="C410" s="33" t="s">
        <v>254</v>
      </c>
      <c r="D410" s="33" t="s">
        <v>18</v>
      </c>
      <c r="E410" s="33" t="s">
        <v>134</v>
      </c>
      <c r="F410" s="33">
        <v>11061720001</v>
      </c>
      <c r="G410" s="33" t="s">
        <v>42</v>
      </c>
      <c r="H410" s="33" t="s">
        <v>39</v>
      </c>
      <c r="I410" s="23">
        <v>0</v>
      </c>
      <c r="J410" s="23">
        <v>334.29999999999728</v>
      </c>
      <c r="K410" s="23">
        <v>0</v>
      </c>
      <c r="L410" s="23">
        <v>0</v>
      </c>
      <c r="M410" s="23">
        <v>800</v>
      </c>
      <c r="N410" s="23">
        <v>9.25</v>
      </c>
      <c r="O410" s="23">
        <v>0</v>
      </c>
      <c r="P410" s="23">
        <f>Tabela1[[#This Row],[1QZ DE MARÇO 26]]-Tabela1[[#This Row],[SALDO PENDENTE COM CX REPR.]]-Tabela1[[#This Row],[SALDO CARTAO]]-Tabela1[[#This Row],[ADIANTAMENTO]]</f>
        <v>456.45000000000272</v>
      </c>
      <c r="Q410" s="23">
        <f>Tabela1[[#This Row],[1QZ DE MARÇO 26]]-Tabela1[[#This Row],[SALDO PENDENTE SEM CX REPR.]]-Tabela1[[#This Row],[SALDO CARTAO]]-Tabela1[[#This Row],[ADIANTAMENTO]]</f>
        <v>790.75</v>
      </c>
      <c r="R410" s="23">
        <v>0</v>
      </c>
      <c r="S410" s="40">
        <f>IF(Tabela1[[#This Row],[CARGA PARCIAL]]&lt;0,0,Tabela1[[#This Row],[CARGA PARCIAL]]+Tabela1[[#This Row],[REEMBOLSO]])</f>
        <v>456.45000000000272</v>
      </c>
      <c r="T410" s="40">
        <f>IF(Tabela1[[#This Row],[CARGA PARCIAL SEM CX REPROV.]]&lt;0,0,Tabela1[[#This Row],[CARGA PARCIAL]]+Tabela1[[#This Row],[REEMBOLSO]])</f>
        <v>456.45000000000272</v>
      </c>
      <c r="U410" s="24" t="s">
        <v>22</v>
      </c>
      <c r="V410" s="24"/>
    </row>
    <row r="411" spans="2:22" hidden="1" x14ac:dyDescent="0.25">
      <c r="B411" s="31" t="s">
        <v>1084</v>
      </c>
      <c r="C411" s="32" t="s">
        <v>305</v>
      </c>
      <c r="D411" s="33" t="s">
        <v>18</v>
      </c>
      <c r="E411" s="33" t="s">
        <v>283</v>
      </c>
      <c r="F411" s="33">
        <v>11040140001</v>
      </c>
      <c r="G411" s="33" t="s">
        <v>45</v>
      </c>
      <c r="H411" s="22" t="s">
        <v>39</v>
      </c>
      <c r="I411" s="23">
        <v>0</v>
      </c>
      <c r="J411" s="23">
        <v>72.519999999999754</v>
      </c>
      <c r="K411" s="23">
        <v>0</v>
      </c>
      <c r="L411" s="23">
        <v>0</v>
      </c>
      <c r="M411" s="23">
        <v>50</v>
      </c>
      <c r="N411" s="23">
        <v>1240</v>
      </c>
      <c r="O411" s="23">
        <v>0</v>
      </c>
      <c r="P411" s="23">
        <f>Tabela1[[#This Row],[1QZ DE MARÇO 26]]-Tabela1[[#This Row],[SALDO PENDENTE COM CX REPR.]]-Tabela1[[#This Row],[SALDO CARTAO]]-Tabela1[[#This Row],[ADIANTAMENTO]]</f>
        <v>-1262.5199999999998</v>
      </c>
      <c r="Q411" s="23">
        <f>Tabela1[[#This Row],[1QZ DE MARÇO 26]]-Tabela1[[#This Row],[SALDO PENDENTE SEM CX REPR.]]-Tabela1[[#This Row],[SALDO CARTAO]]-Tabela1[[#This Row],[ADIANTAMENTO]]</f>
        <v>-1190</v>
      </c>
      <c r="R411" s="23">
        <v>0</v>
      </c>
      <c r="S411" s="40">
        <f>IF(Tabela1[[#This Row],[CARGA PARCIAL]]&lt;0,0,Tabela1[[#This Row],[CARGA PARCIAL]]+Tabela1[[#This Row],[REEMBOLSO]])</f>
        <v>0</v>
      </c>
      <c r="T411" s="40">
        <f>IF(Tabela1[[#This Row],[CARGA PARCIAL SEM CX REPROV.]]&lt;0,0,Tabela1[[#This Row],[CARGA PARCIAL]]+Tabela1[[#This Row],[REEMBOLSO]])</f>
        <v>0</v>
      </c>
      <c r="U411" s="27" t="s">
        <v>22</v>
      </c>
      <c r="V411" s="24"/>
    </row>
    <row r="412" spans="2:22" hidden="1" x14ac:dyDescent="0.25">
      <c r="B412" s="37" t="s">
        <v>1085</v>
      </c>
      <c r="C412" s="32" t="s">
        <v>140</v>
      </c>
      <c r="D412" s="33" t="s">
        <v>18</v>
      </c>
      <c r="E412" s="33" t="s">
        <v>141</v>
      </c>
      <c r="F412" s="33">
        <v>11010300001</v>
      </c>
      <c r="G412" s="33" t="s">
        <v>42</v>
      </c>
      <c r="H412" s="22" t="s">
        <v>39</v>
      </c>
      <c r="I412" s="23">
        <v>0</v>
      </c>
      <c r="J412" s="23">
        <v>1369.8800000000037</v>
      </c>
      <c r="K412" s="23">
        <v>0</v>
      </c>
      <c r="L412" s="23">
        <v>10.769999999999982</v>
      </c>
      <c r="M412" s="23">
        <v>1500</v>
      </c>
      <c r="N412" s="23">
        <v>168.7</v>
      </c>
      <c r="O412" s="23">
        <v>0</v>
      </c>
      <c r="P412" s="23">
        <f>Tabela1[[#This Row],[1QZ DE MARÇO 26]]-Tabela1[[#This Row],[SALDO PENDENTE COM CX REPR.]]-Tabela1[[#This Row],[SALDO CARTAO]]-Tabela1[[#This Row],[ADIANTAMENTO]]</f>
        <v>-38.580000000003736</v>
      </c>
      <c r="Q412" s="23">
        <f>Tabela1[[#This Row],[1QZ DE MARÇO 26]]-Tabela1[[#This Row],[SALDO PENDENTE SEM CX REPR.]]-Tabela1[[#This Row],[SALDO CARTAO]]-Tabela1[[#This Row],[ADIANTAMENTO]]</f>
        <v>1320.53</v>
      </c>
      <c r="R412" s="23">
        <v>0</v>
      </c>
      <c r="S412" s="40">
        <f>IF(Tabela1[[#This Row],[CARGA PARCIAL]]&lt;0,0,Tabela1[[#This Row],[CARGA PARCIAL]]+Tabela1[[#This Row],[REEMBOLSO]])</f>
        <v>0</v>
      </c>
      <c r="T412" s="40">
        <f>IF(Tabela1[[#This Row],[CARGA PARCIAL SEM CX REPROV.]]&lt;0,0,Tabela1[[#This Row],[CARGA PARCIAL]]+Tabela1[[#This Row],[REEMBOLSO]])</f>
        <v>-38.580000000003736</v>
      </c>
      <c r="U412" s="24" t="s">
        <v>22</v>
      </c>
      <c r="V412" s="24"/>
    </row>
    <row r="413" spans="2:22" hidden="1" x14ac:dyDescent="0.25">
      <c r="B413" s="37" t="s">
        <v>1086</v>
      </c>
      <c r="C413" s="32" t="s">
        <v>387</v>
      </c>
      <c r="D413" s="33" t="s">
        <v>18</v>
      </c>
      <c r="E413" s="33" t="s">
        <v>388</v>
      </c>
      <c r="F413" s="33">
        <v>11060720001</v>
      </c>
      <c r="G413" s="33" t="s">
        <v>42</v>
      </c>
      <c r="H413" s="22" t="s">
        <v>39</v>
      </c>
      <c r="I413" s="23">
        <v>0</v>
      </c>
      <c r="J413" s="23">
        <v>500</v>
      </c>
      <c r="K413" s="23">
        <v>0</v>
      </c>
      <c r="L413" s="23">
        <v>63.019999999999982</v>
      </c>
      <c r="M413" s="23">
        <v>500</v>
      </c>
      <c r="N413" s="23">
        <v>0</v>
      </c>
      <c r="O413" s="23">
        <v>0</v>
      </c>
      <c r="P413" s="23">
        <f>Tabela1[[#This Row],[1QZ DE MARÇO 26]]-Tabela1[[#This Row],[SALDO PENDENTE COM CX REPR.]]-Tabela1[[#This Row],[SALDO CARTAO]]-Tabela1[[#This Row],[ADIANTAMENTO]]</f>
        <v>0</v>
      </c>
      <c r="Q413" s="23">
        <f>Tabela1[[#This Row],[1QZ DE MARÇO 26]]-Tabela1[[#This Row],[SALDO PENDENTE SEM CX REPR.]]-Tabela1[[#This Row],[SALDO CARTAO]]-Tabela1[[#This Row],[ADIANTAMENTO]]</f>
        <v>436.98</v>
      </c>
      <c r="R413" s="23">
        <v>0</v>
      </c>
      <c r="S413" s="40">
        <f>IF(Tabela1[[#This Row],[CARGA PARCIAL]]&lt;0,0,Tabela1[[#This Row],[CARGA PARCIAL]]+Tabela1[[#This Row],[REEMBOLSO]])</f>
        <v>0</v>
      </c>
      <c r="T413" s="40">
        <f>IF(Tabela1[[#This Row],[CARGA PARCIAL SEM CX REPROV.]]&lt;0,0,Tabela1[[#This Row],[CARGA PARCIAL]]+Tabela1[[#This Row],[REEMBOLSO]])</f>
        <v>0</v>
      </c>
      <c r="U413" s="24" t="s">
        <v>22</v>
      </c>
      <c r="V413" s="24"/>
    </row>
    <row r="414" spans="2:22" x14ac:dyDescent="0.25">
      <c r="B414" s="33" t="s">
        <v>1087</v>
      </c>
      <c r="C414" s="33" t="s">
        <v>426</v>
      </c>
      <c r="D414" s="33" t="s">
        <v>18</v>
      </c>
      <c r="E414" s="33" t="s">
        <v>427</v>
      </c>
      <c r="F414" s="33">
        <v>11062290001</v>
      </c>
      <c r="G414" s="33" t="s">
        <v>28</v>
      </c>
      <c r="H414" s="22" t="s">
        <v>21</v>
      </c>
      <c r="I414" s="23">
        <v>0</v>
      </c>
      <c r="J414" s="23">
        <v>1567.9400000000114</v>
      </c>
      <c r="K414" s="23">
        <v>0</v>
      </c>
      <c r="L414" s="23">
        <v>1529.3500000000004</v>
      </c>
      <c r="M414" s="23">
        <v>2000</v>
      </c>
      <c r="N414" s="23">
        <v>0</v>
      </c>
      <c r="O414" s="23">
        <v>0</v>
      </c>
      <c r="P414" s="23">
        <f>Tabela1[[#This Row],[1QZ DE MARÇO 26]]-Tabela1[[#This Row],[SALDO PENDENTE COM CX REPR.]]-Tabela1[[#This Row],[SALDO CARTAO]]-Tabela1[[#This Row],[ADIANTAMENTO]]</f>
        <v>432.05999999998858</v>
      </c>
      <c r="Q414" s="23">
        <f>Tabela1[[#This Row],[1QZ DE MARÇO 26]]-Tabela1[[#This Row],[SALDO PENDENTE SEM CX REPR.]]-Tabela1[[#This Row],[SALDO CARTAO]]-Tabela1[[#This Row],[ADIANTAMENTO]]</f>
        <v>470.64999999999964</v>
      </c>
      <c r="R414" s="23">
        <v>0</v>
      </c>
      <c r="S414" s="40">
        <f>IF(Tabela1[[#This Row],[CARGA PARCIAL]]&lt;0,0,Tabela1[[#This Row],[CARGA PARCIAL]]+Tabela1[[#This Row],[REEMBOLSO]])</f>
        <v>432.05999999998858</v>
      </c>
      <c r="T414" s="40">
        <f>IF(Tabela1[[#This Row],[CARGA PARCIAL SEM CX REPROV.]]&lt;0,0,Tabela1[[#This Row],[CARGA PARCIAL]]+Tabela1[[#This Row],[REEMBOLSO]])</f>
        <v>432.05999999998858</v>
      </c>
      <c r="U414" s="24" t="s">
        <v>22</v>
      </c>
      <c r="V414" s="24"/>
    </row>
    <row r="415" spans="2:22" x14ac:dyDescent="0.25">
      <c r="B415" s="33" t="s">
        <v>992</v>
      </c>
      <c r="C415" s="33" t="s">
        <v>266</v>
      </c>
      <c r="D415" s="33" t="s">
        <v>18</v>
      </c>
      <c r="E415" s="33" t="s">
        <v>267</v>
      </c>
      <c r="F415" s="33">
        <v>11062650001</v>
      </c>
      <c r="G415" s="33" t="s">
        <v>20</v>
      </c>
      <c r="H415" s="22" t="s">
        <v>21</v>
      </c>
      <c r="I415" s="23">
        <v>-2324.7300000000105</v>
      </c>
      <c r="J415" s="23">
        <v>0</v>
      </c>
      <c r="K415" s="23">
        <v>0</v>
      </c>
      <c r="L415" s="23">
        <v>734</v>
      </c>
      <c r="M415" s="23">
        <v>1500</v>
      </c>
      <c r="N415" s="23">
        <v>0</v>
      </c>
      <c r="O415" s="23">
        <v>0</v>
      </c>
      <c r="P415" s="23">
        <f>Tabela1[[#This Row],[1QZ DE MARÇO 26]]-Tabela1[[#This Row],[SALDO PENDENTE COM CX REPR.]]-Tabela1[[#This Row],[SALDO CARTAO]]-Tabela1[[#This Row],[ADIANTAMENTO]]</f>
        <v>1500</v>
      </c>
      <c r="Q415" s="23">
        <f>Tabela1[[#This Row],[1QZ DE MARÇO 26]]-Tabela1[[#This Row],[SALDO PENDENTE SEM CX REPR.]]-Tabela1[[#This Row],[SALDO CARTAO]]-Tabela1[[#This Row],[ADIANTAMENTO]]</f>
        <v>766</v>
      </c>
      <c r="R415" s="23">
        <v>0</v>
      </c>
      <c r="S415" s="40">
        <f>IF(Tabela1[[#This Row],[CARGA PARCIAL]]&lt;0,0,Tabela1[[#This Row],[CARGA PARCIAL]]+Tabela1[[#This Row],[REEMBOLSO]])</f>
        <v>1500</v>
      </c>
      <c r="T415" s="40">
        <f>IF(Tabela1[[#This Row],[CARGA PARCIAL SEM CX REPROV.]]&lt;0,0,Tabela1[[#This Row],[CARGA PARCIAL]]+Tabela1[[#This Row],[REEMBOLSO]])</f>
        <v>1500</v>
      </c>
      <c r="U415" s="24" t="s">
        <v>22</v>
      </c>
      <c r="V415" s="24"/>
    </row>
    <row r="416" spans="2:22" hidden="1" x14ac:dyDescent="0.25">
      <c r="B416" s="33" t="s">
        <v>1089</v>
      </c>
      <c r="C416" s="33" t="s">
        <v>605</v>
      </c>
      <c r="D416" s="33" t="s">
        <v>18</v>
      </c>
      <c r="E416" s="33" t="s">
        <v>51</v>
      </c>
      <c r="F416" s="33">
        <v>11010400001</v>
      </c>
      <c r="G416" s="33" t="s">
        <v>25</v>
      </c>
      <c r="H416" s="33" t="s">
        <v>21</v>
      </c>
      <c r="I416" s="23">
        <v>0</v>
      </c>
      <c r="J416" s="23">
        <v>2937.1099999999969</v>
      </c>
      <c r="K416" s="23">
        <v>0</v>
      </c>
      <c r="L416" s="23">
        <v>111.36000000000008</v>
      </c>
      <c r="M416" s="23">
        <v>4500</v>
      </c>
      <c r="N416" s="23">
        <v>0</v>
      </c>
      <c r="O416" s="23">
        <v>3000</v>
      </c>
      <c r="P416" s="23">
        <f>Tabela1[[#This Row],[1QZ DE MARÇO 26]]-Tabela1[[#This Row],[SALDO PENDENTE COM CX REPR.]]-Tabela1[[#This Row],[SALDO CARTAO]]-Tabela1[[#This Row],[ADIANTAMENTO]]</f>
        <v>-1437.1099999999969</v>
      </c>
      <c r="Q416" s="23">
        <f>Tabela1[[#This Row],[1QZ DE MARÇO 26]]-Tabela1[[#This Row],[SALDO PENDENTE SEM CX REPR.]]-Tabela1[[#This Row],[SALDO CARTAO]]-Tabela1[[#This Row],[ADIANTAMENTO]]</f>
        <v>1388.6400000000003</v>
      </c>
      <c r="R416" s="23">
        <v>0</v>
      </c>
      <c r="S416" s="40">
        <f>IF(Tabela1[[#This Row],[CARGA PARCIAL]]&lt;0,0,Tabela1[[#This Row],[CARGA PARCIAL]]+Tabela1[[#This Row],[REEMBOLSO]])</f>
        <v>0</v>
      </c>
      <c r="T416" s="40">
        <f>IF(Tabela1[[#This Row],[CARGA PARCIAL SEM CX REPROV.]]&lt;0,0,Tabela1[[#This Row],[CARGA PARCIAL]]+Tabela1[[#This Row],[REEMBOLSO]])</f>
        <v>-1437.1099999999969</v>
      </c>
      <c r="U416" s="24" t="s">
        <v>22</v>
      </c>
      <c r="V416" s="24"/>
    </row>
    <row r="417" spans="2:22" x14ac:dyDescent="0.25">
      <c r="B417" s="33" t="s">
        <v>1101</v>
      </c>
      <c r="C417" s="33" t="s">
        <v>475</v>
      </c>
      <c r="D417" s="33" t="s">
        <v>18</v>
      </c>
      <c r="E417" s="33" t="s">
        <v>476</v>
      </c>
      <c r="F417" s="33">
        <v>11061950001</v>
      </c>
      <c r="G417" s="33" t="s">
        <v>42</v>
      </c>
      <c r="H417" s="33" t="s">
        <v>39</v>
      </c>
      <c r="I417" s="23">
        <v>-2350.590000000002</v>
      </c>
      <c r="J417" s="23">
        <v>0</v>
      </c>
      <c r="K417" s="23">
        <v>0</v>
      </c>
      <c r="L417" s="23">
        <v>0</v>
      </c>
      <c r="M417" s="23">
        <v>1500</v>
      </c>
      <c r="N417" s="23">
        <v>893</v>
      </c>
      <c r="O417" s="23">
        <v>0</v>
      </c>
      <c r="P417" s="23">
        <f>Tabela1[[#This Row],[1QZ DE MARÇO 26]]-Tabela1[[#This Row],[SALDO PENDENTE COM CX REPR.]]-Tabela1[[#This Row],[SALDO CARTAO]]-Tabela1[[#This Row],[ADIANTAMENTO]]</f>
        <v>607</v>
      </c>
      <c r="Q417" s="23">
        <f>Tabela1[[#This Row],[1QZ DE MARÇO 26]]-Tabela1[[#This Row],[SALDO PENDENTE SEM CX REPR.]]-Tabela1[[#This Row],[SALDO CARTAO]]-Tabela1[[#This Row],[ADIANTAMENTO]]</f>
        <v>607</v>
      </c>
      <c r="R417" s="23">
        <v>0</v>
      </c>
      <c r="S417" s="40">
        <f>IF(Tabela1[[#This Row],[CARGA PARCIAL]]&lt;0,0,Tabela1[[#This Row],[CARGA PARCIAL]]+Tabela1[[#This Row],[REEMBOLSO]])</f>
        <v>607</v>
      </c>
      <c r="T417" s="40">
        <f>IF(Tabela1[[#This Row],[CARGA PARCIAL SEM CX REPROV.]]&lt;0,0,Tabela1[[#This Row],[CARGA PARCIAL]]+Tabela1[[#This Row],[REEMBOLSO]])</f>
        <v>607</v>
      </c>
      <c r="U417" s="24" t="s">
        <v>22</v>
      </c>
      <c r="V417" s="24"/>
    </row>
    <row r="418" spans="2:22" hidden="1" x14ac:dyDescent="0.25">
      <c r="B418" s="31" t="s">
        <v>1091</v>
      </c>
      <c r="C418" s="32" t="s">
        <v>383</v>
      </c>
      <c r="D418" s="33" t="s">
        <v>18</v>
      </c>
      <c r="E418" s="33" t="s">
        <v>384</v>
      </c>
      <c r="F418" s="33">
        <v>1201002</v>
      </c>
      <c r="G418" s="33" t="s">
        <v>385</v>
      </c>
      <c r="H418" s="22" t="s">
        <v>386</v>
      </c>
      <c r="I418" s="23">
        <v>0</v>
      </c>
      <c r="J418" s="23">
        <v>104.37999999999988</v>
      </c>
      <c r="K418" s="23">
        <v>0</v>
      </c>
      <c r="L418" s="23">
        <v>10.30000000000131</v>
      </c>
      <c r="M418" s="23">
        <v>0</v>
      </c>
      <c r="N418" s="23">
        <v>1</v>
      </c>
      <c r="O418" s="23">
        <v>0</v>
      </c>
      <c r="P418" s="23">
        <f>Tabela1[[#This Row],[1QZ DE MARÇO 26]]-Tabela1[[#This Row],[SALDO PENDENTE COM CX REPR.]]-Tabela1[[#This Row],[SALDO CARTAO]]-Tabela1[[#This Row],[ADIANTAMENTO]]</f>
        <v>-105.37999999999988</v>
      </c>
      <c r="Q418" s="23">
        <f>Tabela1[[#This Row],[1QZ DE MARÇO 26]]-Tabela1[[#This Row],[SALDO PENDENTE SEM CX REPR.]]-Tabela1[[#This Row],[SALDO CARTAO]]-Tabela1[[#This Row],[ADIANTAMENTO]]</f>
        <v>-11.30000000000131</v>
      </c>
      <c r="R418" s="23">
        <v>0</v>
      </c>
      <c r="S418" s="40">
        <f>IF(Tabela1[[#This Row],[CARGA PARCIAL]]&lt;0,0,Tabela1[[#This Row],[CARGA PARCIAL]]+Tabela1[[#This Row],[REEMBOLSO]])</f>
        <v>0</v>
      </c>
      <c r="T418" s="40">
        <f>IF(Tabela1[[#This Row],[CARGA PARCIAL SEM CX REPROV.]]&lt;0,0,Tabela1[[#This Row],[CARGA PARCIAL]]+Tabela1[[#This Row],[REEMBOLSO]])</f>
        <v>0</v>
      </c>
      <c r="U418" s="24" t="s">
        <v>22</v>
      </c>
      <c r="V418" s="24"/>
    </row>
    <row r="419" spans="2:22" x14ac:dyDescent="0.25">
      <c r="B419" s="37" t="s">
        <v>929</v>
      </c>
      <c r="C419" s="32" t="s">
        <v>401</v>
      </c>
      <c r="D419" s="33" t="s">
        <v>18</v>
      </c>
      <c r="E419" s="33" t="s">
        <v>191</v>
      </c>
      <c r="F419" s="33">
        <v>11080170001</v>
      </c>
      <c r="G419" s="33" t="s">
        <v>38</v>
      </c>
      <c r="H419" s="22" t="s">
        <v>39</v>
      </c>
      <c r="I419" s="23">
        <v>-2408.4800000000032</v>
      </c>
      <c r="J419" s="23">
        <v>0</v>
      </c>
      <c r="K419" s="23">
        <v>0</v>
      </c>
      <c r="L419" s="23">
        <v>95.440000000000055</v>
      </c>
      <c r="M419" s="23">
        <v>6000</v>
      </c>
      <c r="N419" s="23"/>
      <c r="O419" s="23">
        <v>0</v>
      </c>
      <c r="P419" s="23">
        <f>Tabela1[[#This Row],[1QZ DE MARÇO 26]]-Tabela1[[#This Row],[SALDO PENDENTE COM CX REPR.]]-Tabela1[[#This Row],[SALDO CARTAO]]-Tabela1[[#This Row],[ADIANTAMENTO]]</f>
        <v>6000</v>
      </c>
      <c r="Q419" s="23">
        <f>Tabela1[[#This Row],[1QZ DE MARÇO 26]]-Tabela1[[#This Row],[SALDO PENDENTE SEM CX REPR.]]-Tabela1[[#This Row],[SALDO CARTAO]]-Tabela1[[#This Row],[ADIANTAMENTO]]</f>
        <v>5904.5599999999995</v>
      </c>
      <c r="R419" s="23">
        <v>0</v>
      </c>
      <c r="S419" s="40">
        <f>IF(Tabela1[[#This Row],[CARGA PARCIAL]]&lt;0,0,Tabela1[[#This Row],[CARGA PARCIAL]]+Tabela1[[#This Row],[REEMBOLSO]])</f>
        <v>6000</v>
      </c>
      <c r="T419" s="40">
        <f>IF(Tabela1[[#This Row],[CARGA PARCIAL SEM CX REPROV.]]&lt;0,0,Tabela1[[#This Row],[CARGA PARCIAL]]+Tabela1[[#This Row],[REEMBOLSO]])</f>
        <v>6000</v>
      </c>
      <c r="U419" s="24" t="s">
        <v>22</v>
      </c>
      <c r="V419" s="24"/>
    </row>
    <row r="420" spans="2:22" x14ac:dyDescent="0.25">
      <c r="B420" s="31" t="s">
        <v>1093</v>
      </c>
      <c r="C420" s="32" t="s">
        <v>36</v>
      </c>
      <c r="D420" s="33" t="s">
        <v>18</v>
      </c>
      <c r="E420" s="33" t="s">
        <v>37</v>
      </c>
      <c r="F420" s="33">
        <v>11030830001</v>
      </c>
      <c r="G420" s="33" t="s">
        <v>38</v>
      </c>
      <c r="H420" s="22" t="s">
        <v>39</v>
      </c>
      <c r="I420" s="23">
        <v>0</v>
      </c>
      <c r="J420" s="23">
        <v>567.94999999993911</v>
      </c>
      <c r="K420" s="23">
        <v>0</v>
      </c>
      <c r="L420" s="23">
        <v>7.35</v>
      </c>
      <c r="M420" s="23">
        <v>4000</v>
      </c>
      <c r="N420" s="23">
        <v>0</v>
      </c>
      <c r="O420" s="23">
        <v>0</v>
      </c>
      <c r="P420" s="23">
        <f>Tabela1[[#This Row],[1QZ DE MARÇO 26]]-Tabela1[[#This Row],[SALDO PENDENTE COM CX REPR.]]-Tabela1[[#This Row],[SALDO CARTAO]]-Tabela1[[#This Row],[ADIANTAMENTO]]</f>
        <v>3432.0500000000611</v>
      </c>
      <c r="Q420" s="23">
        <f>Tabela1[[#This Row],[1QZ DE MARÇO 26]]-Tabela1[[#This Row],[SALDO PENDENTE SEM CX REPR.]]-Tabela1[[#This Row],[SALDO CARTAO]]-Tabela1[[#This Row],[ADIANTAMENTO]]</f>
        <v>3992.65</v>
      </c>
      <c r="R420" s="23">
        <v>0</v>
      </c>
      <c r="S420" s="40">
        <f>IF(Tabela1[[#This Row],[CARGA PARCIAL]]&lt;0,0,Tabela1[[#This Row],[CARGA PARCIAL]]+Tabela1[[#This Row],[REEMBOLSO]])</f>
        <v>3432.0500000000611</v>
      </c>
      <c r="T420" s="40">
        <f>IF(Tabela1[[#This Row],[CARGA PARCIAL SEM CX REPROV.]]&lt;0,0,Tabela1[[#This Row],[CARGA PARCIAL]]+Tabela1[[#This Row],[REEMBOLSO]])</f>
        <v>3432.0500000000611</v>
      </c>
      <c r="U420" s="24" t="s">
        <v>22</v>
      </c>
      <c r="V420" s="24"/>
    </row>
    <row r="421" spans="2:22" hidden="1" x14ac:dyDescent="0.25">
      <c r="B421" s="33" t="s">
        <v>1094</v>
      </c>
      <c r="C421" s="33" t="s">
        <v>152</v>
      </c>
      <c r="D421" s="33" t="s">
        <v>18</v>
      </c>
      <c r="E421" s="33" t="s">
        <v>56</v>
      </c>
      <c r="F421" s="33">
        <v>11061770001</v>
      </c>
      <c r="G421" s="33" t="s">
        <v>54</v>
      </c>
      <c r="H421" s="22" t="s">
        <v>39</v>
      </c>
      <c r="I421" s="23">
        <v>0</v>
      </c>
      <c r="J421" s="23">
        <v>186.03999999999979</v>
      </c>
      <c r="K421" s="23">
        <v>-1174.6400000000051</v>
      </c>
      <c r="L421" s="23">
        <v>0</v>
      </c>
      <c r="M421" s="23">
        <v>200</v>
      </c>
      <c r="N421" s="23">
        <v>22.99</v>
      </c>
      <c r="O421" s="23">
        <v>0</v>
      </c>
      <c r="P421" s="23">
        <f>Tabela1[[#This Row],[1QZ DE MARÇO 26]]-Tabela1[[#This Row],[SALDO PENDENTE COM CX REPR.]]-Tabela1[[#This Row],[SALDO CARTAO]]-Tabela1[[#This Row],[ADIANTAMENTO]]</f>
        <v>-9.0299999999997915</v>
      </c>
      <c r="Q421" s="23">
        <f>Tabela1[[#This Row],[1QZ DE MARÇO 26]]-Tabela1[[#This Row],[SALDO PENDENTE SEM CX REPR.]]-Tabela1[[#This Row],[SALDO CARTAO]]-Tabela1[[#This Row],[ADIANTAMENTO]]</f>
        <v>177.01</v>
      </c>
      <c r="R421" s="23">
        <v>0</v>
      </c>
      <c r="S421" s="40">
        <f>IF(Tabela1[[#This Row],[CARGA PARCIAL]]&lt;0,0,Tabela1[[#This Row],[CARGA PARCIAL]]+Tabela1[[#This Row],[REEMBOLSO]])</f>
        <v>0</v>
      </c>
      <c r="T421" s="40">
        <f>IF(Tabela1[[#This Row],[CARGA PARCIAL SEM CX REPROV.]]&lt;0,0,Tabela1[[#This Row],[CARGA PARCIAL]]+Tabela1[[#This Row],[REEMBOLSO]])</f>
        <v>-9.0299999999997915</v>
      </c>
      <c r="U421" s="24" t="s">
        <v>22</v>
      </c>
      <c r="V421" s="24"/>
    </row>
    <row r="422" spans="2:22" x14ac:dyDescent="0.25">
      <c r="B422" s="33" t="s">
        <v>1095</v>
      </c>
      <c r="C422" s="33" t="s">
        <v>408</v>
      </c>
      <c r="D422" s="33" t="s">
        <v>18</v>
      </c>
      <c r="E422" s="33" t="s">
        <v>86</v>
      </c>
      <c r="F422" s="33">
        <v>11030700001</v>
      </c>
      <c r="G422" s="33" t="s">
        <v>42</v>
      </c>
      <c r="H422" s="33" t="s">
        <v>39</v>
      </c>
      <c r="I422" s="23">
        <v>0</v>
      </c>
      <c r="J422" s="23">
        <v>403.21999999998371</v>
      </c>
      <c r="K422" s="23">
        <v>0</v>
      </c>
      <c r="L422" s="23">
        <v>1000</v>
      </c>
      <c r="M422" s="23">
        <v>4240</v>
      </c>
      <c r="N422" s="23">
        <v>76.930000000000007</v>
      </c>
      <c r="O422" s="23">
        <v>0</v>
      </c>
      <c r="P422" s="23">
        <f>Tabela1[[#This Row],[1QZ DE MARÇO 26]]-Tabela1[[#This Row],[SALDO PENDENTE COM CX REPR.]]-Tabela1[[#This Row],[SALDO CARTAO]]-Tabela1[[#This Row],[ADIANTAMENTO]]</f>
        <v>3759.8500000000163</v>
      </c>
      <c r="Q422" s="23">
        <f>Tabela1[[#This Row],[1QZ DE MARÇO 26]]-Tabela1[[#This Row],[SALDO PENDENTE SEM CX REPR.]]-Tabela1[[#This Row],[SALDO CARTAO]]-Tabela1[[#This Row],[ADIANTAMENTO]]</f>
        <v>3163.07</v>
      </c>
      <c r="R422" s="23">
        <v>0</v>
      </c>
      <c r="S422" s="40">
        <f>IF(Tabela1[[#This Row],[CARGA PARCIAL]]&lt;0,0,Tabela1[[#This Row],[CARGA PARCIAL]]+Tabela1[[#This Row],[REEMBOLSO]])</f>
        <v>3759.8500000000163</v>
      </c>
      <c r="T422" s="40">
        <f>IF(Tabela1[[#This Row],[CARGA PARCIAL SEM CX REPROV.]]&lt;0,0,Tabela1[[#This Row],[CARGA PARCIAL]]+Tabela1[[#This Row],[REEMBOLSO]])</f>
        <v>3759.8500000000163</v>
      </c>
      <c r="U422" s="24" t="s">
        <v>22</v>
      </c>
      <c r="V422" s="24"/>
    </row>
    <row r="423" spans="2:22" x14ac:dyDescent="0.25">
      <c r="B423" s="31" t="s">
        <v>1096</v>
      </c>
      <c r="C423" s="32" t="s">
        <v>410</v>
      </c>
      <c r="D423" s="33" t="s">
        <v>18</v>
      </c>
      <c r="E423" s="33" t="s">
        <v>67</v>
      </c>
      <c r="F423" s="33">
        <v>11030840001</v>
      </c>
      <c r="G423" s="33" t="s">
        <v>38</v>
      </c>
      <c r="H423" s="22" t="s">
        <v>39</v>
      </c>
      <c r="I423" s="23">
        <v>0</v>
      </c>
      <c r="J423" s="23">
        <v>1821.2899999999963</v>
      </c>
      <c r="K423" s="23">
        <v>0</v>
      </c>
      <c r="L423" s="23">
        <v>1970.7600000000039</v>
      </c>
      <c r="M423" s="23">
        <v>4000</v>
      </c>
      <c r="N423" s="23">
        <v>0</v>
      </c>
      <c r="O423" s="23">
        <v>0</v>
      </c>
      <c r="P423" s="23">
        <f>Tabela1[[#This Row],[1QZ DE MARÇO 26]]-Tabela1[[#This Row],[SALDO PENDENTE COM CX REPR.]]-Tabela1[[#This Row],[SALDO CARTAO]]-Tabela1[[#This Row],[ADIANTAMENTO]]</f>
        <v>2178.7100000000037</v>
      </c>
      <c r="Q423" s="23">
        <f>Tabela1[[#This Row],[1QZ DE MARÇO 26]]-Tabela1[[#This Row],[SALDO PENDENTE SEM CX REPR.]]-Tabela1[[#This Row],[SALDO CARTAO]]-Tabela1[[#This Row],[ADIANTAMENTO]]</f>
        <v>2029.2399999999961</v>
      </c>
      <c r="R423" s="23">
        <v>0</v>
      </c>
      <c r="S423" s="40">
        <f>IF(Tabela1[[#This Row],[CARGA PARCIAL]]&lt;0,0,Tabela1[[#This Row],[CARGA PARCIAL]]+Tabela1[[#This Row],[REEMBOLSO]])</f>
        <v>2178.7100000000037</v>
      </c>
      <c r="T423" s="40">
        <f>IF(Tabela1[[#This Row],[CARGA PARCIAL SEM CX REPROV.]]&lt;0,0,Tabela1[[#This Row],[CARGA PARCIAL]]+Tabela1[[#This Row],[REEMBOLSO]])</f>
        <v>2178.7100000000037</v>
      </c>
      <c r="U423" s="24" t="s">
        <v>22</v>
      </c>
      <c r="V423" s="24"/>
    </row>
    <row r="424" spans="2:22" hidden="1" x14ac:dyDescent="0.25">
      <c r="B424" s="33" t="s">
        <v>1097</v>
      </c>
      <c r="C424" s="33" t="s">
        <v>166</v>
      </c>
      <c r="D424" s="33" t="s">
        <v>18</v>
      </c>
      <c r="E424" s="33" t="s">
        <v>167</v>
      </c>
      <c r="F424" s="33">
        <v>11062280001</v>
      </c>
      <c r="G424" s="33" t="s">
        <v>38</v>
      </c>
      <c r="H424" s="33" t="s">
        <v>39</v>
      </c>
      <c r="I424" s="23">
        <v>0</v>
      </c>
      <c r="J424" s="23">
        <v>953.75999999999658</v>
      </c>
      <c r="K424" s="23">
        <v>0</v>
      </c>
      <c r="L424" s="23">
        <v>3177.82</v>
      </c>
      <c r="M424" s="23">
        <v>1500</v>
      </c>
      <c r="N424" s="23">
        <v>338.41</v>
      </c>
      <c r="O424" s="23">
        <v>0</v>
      </c>
      <c r="P424" s="23">
        <f>Tabela1[[#This Row],[1QZ DE MARÇO 26]]-Tabela1[[#This Row],[SALDO PENDENTE COM CX REPR.]]-Tabela1[[#This Row],[SALDO CARTAO]]-Tabela1[[#This Row],[ADIANTAMENTO]]</f>
        <v>207.83000000000339</v>
      </c>
      <c r="Q424" s="23">
        <f>Tabela1[[#This Row],[1QZ DE MARÇO 26]]-Tabela1[[#This Row],[SALDO PENDENTE SEM CX REPR.]]-Tabela1[[#This Row],[SALDO CARTAO]]-Tabela1[[#This Row],[ADIANTAMENTO]]</f>
        <v>-2016.2300000000002</v>
      </c>
      <c r="R424" s="23">
        <v>0</v>
      </c>
      <c r="S424" s="40">
        <f>IF(Tabela1[[#This Row],[CARGA PARCIAL]]&lt;0,0,Tabela1[[#This Row],[CARGA PARCIAL]]+Tabela1[[#This Row],[REEMBOLSO]])</f>
        <v>207.83000000000339</v>
      </c>
      <c r="T424" s="40">
        <f>IF(Tabela1[[#This Row],[CARGA PARCIAL SEM CX REPROV.]]&lt;0,0,Tabela1[[#This Row],[CARGA PARCIAL]]+Tabela1[[#This Row],[REEMBOLSO]])</f>
        <v>0</v>
      </c>
      <c r="U424" s="24" t="s">
        <v>22</v>
      </c>
      <c r="V424" s="24"/>
    </row>
    <row r="425" spans="2:22" x14ac:dyDescent="0.25">
      <c r="B425" s="31" t="s">
        <v>1098</v>
      </c>
      <c r="C425" s="32" t="s">
        <v>83</v>
      </c>
      <c r="D425" s="33" t="s">
        <v>18</v>
      </c>
      <c r="E425" s="33" t="s">
        <v>84</v>
      </c>
      <c r="F425" s="33">
        <v>11030750001</v>
      </c>
      <c r="G425" s="33" t="s">
        <v>38</v>
      </c>
      <c r="H425" s="22" t="s">
        <v>39</v>
      </c>
      <c r="I425" s="23">
        <v>0</v>
      </c>
      <c r="J425" s="23">
        <v>2118.4099999999962</v>
      </c>
      <c r="K425" s="23">
        <v>0</v>
      </c>
      <c r="L425" s="23">
        <v>119.28999999999996</v>
      </c>
      <c r="M425" s="23">
        <v>5750</v>
      </c>
      <c r="N425" s="23">
        <v>0.45</v>
      </c>
      <c r="O425" s="23">
        <v>0</v>
      </c>
      <c r="P425" s="23">
        <f>Tabela1[[#This Row],[1QZ DE MARÇO 26]]-Tabela1[[#This Row],[SALDO PENDENTE COM CX REPR.]]-Tabela1[[#This Row],[SALDO CARTAO]]-Tabela1[[#This Row],[ADIANTAMENTO]]</f>
        <v>3631.140000000004</v>
      </c>
      <c r="Q425" s="23">
        <f>Tabela1[[#This Row],[1QZ DE MARÇO 26]]-Tabela1[[#This Row],[SALDO PENDENTE SEM CX REPR.]]-Tabela1[[#This Row],[SALDO CARTAO]]-Tabela1[[#This Row],[ADIANTAMENTO]]</f>
        <v>5630.26</v>
      </c>
      <c r="R425" s="23">
        <v>0</v>
      </c>
      <c r="S425" s="40">
        <f>IF(Tabela1[[#This Row],[CARGA PARCIAL]]&lt;0,0,Tabela1[[#This Row],[CARGA PARCIAL]]+Tabela1[[#This Row],[REEMBOLSO]])</f>
        <v>3631.140000000004</v>
      </c>
      <c r="T425" s="40">
        <f>IF(Tabela1[[#This Row],[CARGA PARCIAL SEM CX REPROV.]]&lt;0,0,Tabela1[[#This Row],[CARGA PARCIAL]]+Tabela1[[#This Row],[REEMBOLSO]])</f>
        <v>3631.140000000004</v>
      </c>
      <c r="U425" s="24" t="s">
        <v>22</v>
      </c>
      <c r="V425" s="24"/>
    </row>
    <row r="426" spans="2:22" hidden="1" x14ac:dyDescent="0.25">
      <c r="B426" s="31" t="s">
        <v>1099</v>
      </c>
      <c r="C426" s="32" t="s">
        <v>340</v>
      </c>
      <c r="D426" s="33" t="s">
        <v>679</v>
      </c>
      <c r="E426" s="33" t="s">
        <v>88</v>
      </c>
      <c r="F426" s="33">
        <v>11040130001</v>
      </c>
      <c r="G426" s="33" t="s">
        <v>45</v>
      </c>
      <c r="H426" s="22" t="s">
        <v>39</v>
      </c>
      <c r="I426" s="23">
        <v>0</v>
      </c>
      <c r="J426" s="23">
        <v>157.70000000000005</v>
      </c>
      <c r="K426" s="23">
        <v>0</v>
      </c>
      <c r="L426" s="23">
        <v>2302.8300000000004</v>
      </c>
      <c r="M426" s="23">
        <v>120</v>
      </c>
      <c r="N426" s="23">
        <v>20.37</v>
      </c>
      <c r="O426" s="23">
        <v>0</v>
      </c>
      <c r="P426" s="23">
        <f>Tabela1[[#This Row],[1QZ DE MARÇO 26]]-Tabela1[[#This Row],[SALDO PENDENTE COM CX REPR.]]-Tabela1[[#This Row],[SALDO CARTAO]]-Tabela1[[#This Row],[ADIANTAMENTO]]</f>
        <v>-58.07000000000005</v>
      </c>
      <c r="Q426" s="23">
        <f>Tabela1[[#This Row],[1QZ DE MARÇO 26]]-Tabela1[[#This Row],[SALDO PENDENTE SEM CX REPR.]]-Tabela1[[#This Row],[SALDO CARTAO]]-Tabela1[[#This Row],[ADIANTAMENTO]]</f>
        <v>-2203.2000000000003</v>
      </c>
      <c r="R426" s="23">
        <v>0</v>
      </c>
      <c r="S426" s="40">
        <f>IF(Tabela1[[#This Row],[CARGA PARCIAL]]&lt;0,0,Tabela1[[#This Row],[CARGA PARCIAL]]+Tabela1[[#This Row],[REEMBOLSO]])</f>
        <v>0</v>
      </c>
      <c r="T426" s="40">
        <f>IF(Tabela1[[#This Row],[CARGA PARCIAL SEM CX REPROV.]]&lt;0,0,Tabela1[[#This Row],[CARGA PARCIAL]]+Tabela1[[#This Row],[REEMBOLSO]])</f>
        <v>0</v>
      </c>
      <c r="U426" s="24" t="s">
        <v>22</v>
      </c>
      <c r="V426" s="24"/>
    </row>
    <row r="427" spans="2:22" x14ac:dyDescent="0.25">
      <c r="B427" s="31" t="s">
        <v>1100</v>
      </c>
      <c r="C427" s="32" t="s">
        <v>213</v>
      </c>
      <c r="D427" s="33" t="s">
        <v>18</v>
      </c>
      <c r="E427" s="33" t="s">
        <v>134</v>
      </c>
      <c r="F427" s="33">
        <v>11061720001</v>
      </c>
      <c r="G427" s="33" t="s">
        <v>42</v>
      </c>
      <c r="H427" s="22" t="s">
        <v>39</v>
      </c>
      <c r="I427" s="23">
        <v>0</v>
      </c>
      <c r="J427" s="23">
        <v>697.14999999999816</v>
      </c>
      <c r="K427" s="23">
        <v>0</v>
      </c>
      <c r="L427" s="23">
        <v>188.9</v>
      </c>
      <c r="M427" s="23">
        <v>800</v>
      </c>
      <c r="N427" s="23">
        <v>0</v>
      </c>
      <c r="O427" s="23">
        <v>0</v>
      </c>
      <c r="P427" s="23">
        <f>Tabela1[[#This Row],[1QZ DE MARÇO 26]]-Tabela1[[#This Row],[SALDO PENDENTE COM CX REPR.]]-Tabela1[[#This Row],[SALDO CARTAO]]-Tabela1[[#This Row],[ADIANTAMENTO]]</f>
        <v>102.85000000000184</v>
      </c>
      <c r="Q427" s="23">
        <f>Tabela1[[#This Row],[1QZ DE MARÇO 26]]-Tabela1[[#This Row],[SALDO PENDENTE SEM CX REPR.]]-Tabela1[[#This Row],[SALDO CARTAO]]-Tabela1[[#This Row],[ADIANTAMENTO]]</f>
        <v>611.1</v>
      </c>
      <c r="R427" s="23">
        <v>0</v>
      </c>
      <c r="S427" s="40">
        <f>IF(Tabela1[[#This Row],[CARGA PARCIAL]]&lt;0,0,Tabela1[[#This Row],[CARGA PARCIAL]]+Tabela1[[#This Row],[REEMBOLSO]])</f>
        <v>102.85000000000184</v>
      </c>
      <c r="T427" s="40">
        <f>IF(Tabela1[[#This Row],[CARGA PARCIAL SEM CX REPROV.]]&lt;0,0,Tabela1[[#This Row],[CARGA PARCIAL]]+Tabela1[[#This Row],[REEMBOLSO]])</f>
        <v>102.85000000000184</v>
      </c>
      <c r="U427" s="24" t="s">
        <v>22</v>
      </c>
      <c r="V427" s="24"/>
    </row>
    <row r="428" spans="2:22" x14ac:dyDescent="0.25">
      <c r="B428" s="31" t="s">
        <v>959</v>
      </c>
      <c r="C428" s="32" t="s">
        <v>26</v>
      </c>
      <c r="D428" s="33" t="s">
        <v>18</v>
      </c>
      <c r="E428" s="33" t="s">
        <v>27</v>
      </c>
      <c r="F428" s="33">
        <v>11030870001</v>
      </c>
      <c r="G428" s="33" t="s">
        <v>28</v>
      </c>
      <c r="H428" s="22" t="s">
        <v>21</v>
      </c>
      <c r="I428" s="23">
        <v>-2613.4599999999928</v>
      </c>
      <c r="J428" s="23">
        <v>0</v>
      </c>
      <c r="K428" s="23">
        <v>-513.61999999999603</v>
      </c>
      <c r="L428" s="23">
        <v>0</v>
      </c>
      <c r="M428" s="23">
        <v>500</v>
      </c>
      <c r="N428" s="23">
        <v>0</v>
      </c>
      <c r="O428" s="23">
        <v>0</v>
      </c>
      <c r="P428" s="23">
        <f>Tabela1[[#This Row],[1QZ DE MARÇO 26]]-Tabela1[[#This Row],[SALDO PENDENTE COM CX REPR.]]-Tabela1[[#This Row],[SALDO CARTAO]]-Tabela1[[#This Row],[ADIANTAMENTO]]</f>
        <v>500</v>
      </c>
      <c r="Q428" s="23">
        <f>Tabela1[[#This Row],[1QZ DE MARÇO 26]]-Tabela1[[#This Row],[SALDO PENDENTE SEM CX REPR.]]-Tabela1[[#This Row],[SALDO CARTAO]]-Tabela1[[#This Row],[ADIANTAMENTO]]</f>
        <v>500</v>
      </c>
      <c r="R428" s="23">
        <v>2613.4599999999928</v>
      </c>
      <c r="S428" s="40">
        <f>IF(Tabela1[[#This Row],[CARGA PARCIAL]]&lt;0,0,Tabela1[[#This Row],[CARGA PARCIAL]]+Tabela1[[#This Row],[REEMBOLSO]])</f>
        <v>3113.4599999999928</v>
      </c>
      <c r="T428" s="40">
        <f>IF(Tabela1[[#This Row],[CARGA PARCIAL SEM CX REPROV.]]&lt;0,0,Tabela1[[#This Row],[CARGA PARCIAL]]+Tabela1[[#This Row],[REEMBOLSO]])</f>
        <v>3113.4599999999928</v>
      </c>
      <c r="U428" s="24" t="s">
        <v>22</v>
      </c>
      <c r="V428" s="24"/>
    </row>
    <row r="429" spans="2:22" x14ac:dyDescent="0.25">
      <c r="B429" s="33" t="s">
        <v>1102</v>
      </c>
      <c r="C429" s="33" t="s">
        <v>317</v>
      </c>
      <c r="D429" s="33" t="s">
        <v>18</v>
      </c>
      <c r="E429" s="33" t="s">
        <v>88</v>
      </c>
      <c r="F429" s="33">
        <v>11040130001</v>
      </c>
      <c r="G429" s="33" t="s">
        <v>45</v>
      </c>
      <c r="H429" s="33" t="s">
        <v>39</v>
      </c>
      <c r="I429" s="23">
        <v>0</v>
      </c>
      <c r="J429" s="23">
        <v>103.1</v>
      </c>
      <c r="K429" s="23">
        <v>0</v>
      </c>
      <c r="L429" s="23">
        <v>0</v>
      </c>
      <c r="M429" s="23">
        <v>120</v>
      </c>
      <c r="N429" s="23">
        <v>0</v>
      </c>
      <c r="O429" s="23">
        <v>0</v>
      </c>
      <c r="P429" s="23">
        <f>Tabela1[[#This Row],[1QZ DE MARÇO 26]]-Tabela1[[#This Row],[SALDO PENDENTE COM CX REPR.]]-Tabela1[[#This Row],[SALDO CARTAO]]-Tabela1[[#This Row],[ADIANTAMENTO]]</f>
        <v>16.900000000000006</v>
      </c>
      <c r="Q429" s="23">
        <f>Tabela1[[#This Row],[1QZ DE MARÇO 26]]-Tabela1[[#This Row],[SALDO PENDENTE SEM CX REPR.]]-Tabela1[[#This Row],[SALDO CARTAO]]-Tabela1[[#This Row],[ADIANTAMENTO]]</f>
        <v>120</v>
      </c>
      <c r="R429" s="23">
        <v>0</v>
      </c>
      <c r="S429" s="40">
        <f>IF(Tabela1[[#This Row],[CARGA PARCIAL]]&lt;0,0,Tabela1[[#This Row],[CARGA PARCIAL]]+Tabela1[[#This Row],[REEMBOLSO]])</f>
        <v>16.900000000000006</v>
      </c>
      <c r="T429" s="40">
        <f>IF(Tabela1[[#This Row],[CARGA PARCIAL SEM CX REPROV.]]&lt;0,0,Tabela1[[#This Row],[CARGA PARCIAL]]+Tabela1[[#This Row],[REEMBOLSO]])</f>
        <v>16.900000000000006</v>
      </c>
      <c r="U429" s="24" t="s">
        <v>22</v>
      </c>
      <c r="V429" s="24"/>
    </row>
    <row r="430" spans="2:22" x14ac:dyDescent="0.25">
      <c r="B430" s="33" t="s">
        <v>1103</v>
      </c>
      <c r="C430" s="33" t="s">
        <v>627</v>
      </c>
      <c r="D430" s="33" t="s">
        <v>18</v>
      </c>
      <c r="E430" s="33" t="s">
        <v>99</v>
      </c>
      <c r="F430" s="33">
        <v>11040040001</v>
      </c>
      <c r="G430" s="33" t="s">
        <v>25</v>
      </c>
      <c r="H430" s="22" t="s">
        <v>21</v>
      </c>
      <c r="I430" s="23">
        <v>0</v>
      </c>
      <c r="J430" s="23">
        <v>188.65999999999201</v>
      </c>
      <c r="K430" s="23">
        <v>0</v>
      </c>
      <c r="L430" s="23">
        <v>0.98999999999978172</v>
      </c>
      <c r="M430" s="23">
        <v>4900</v>
      </c>
      <c r="N430" s="23">
        <v>0</v>
      </c>
      <c r="O430" s="23">
        <v>0</v>
      </c>
      <c r="P430" s="23">
        <f>Tabela1[[#This Row],[1QZ DE MARÇO 26]]-Tabela1[[#This Row],[SALDO PENDENTE COM CX REPR.]]-Tabela1[[#This Row],[SALDO CARTAO]]-Tabela1[[#This Row],[ADIANTAMENTO]]</f>
        <v>4711.3400000000083</v>
      </c>
      <c r="Q430" s="23">
        <f>Tabela1[[#This Row],[1QZ DE MARÇO 26]]-Tabela1[[#This Row],[SALDO PENDENTE SEM CX REPR.]]-Tabela1[[#This Row],[SALDO CARTAO]]-Tabela1[[#This Row],[ADIANTAMENTO]]</f>
        <v>4899.01</v>
      </c>
      <c r="R430" s="23">
        <v>0</v>
      </c>
      <c r="S430" s="40">
        <f>IF(Tabela1[[#This Row],[CARGA PARCIAL]]&lt;0,0,Tabela1[[#This Row],[CARGA PARCIAL]]+Tabela1[[#This Row],[REEMBOLSO]])</f>
        <v>4711.3400000000083</v>
      </c>
      <c r="T430" s="40">
        <f>IF(Tabela1[[#This Row],[CARGA PARCIAL SEM CX REPROV.]]&lt;0,0,Tabela1[[#This Row],[CARGA PARCIAL]]+Tabela1[[#This Row],[REEMBOLSO]])</f>
        <v>4711.3400000000083</v>
      </c>
      <c r="U430" s="24" t="s">
        <v>22</v>
      </c>
      <c r="V430" s="24"/>
    </row>
    <row r="431" spans="2:22" hidden="1" x14ac:dyDescent="0.25">
      <c r="B431" s="33" t="s">
        <v>1104</v>
      </c>
      <c r="C431" s="33" t="s">
        <v>228</v>
      </c>
      <c r="D431" s="33" t="s">
        <v>18</v>
      </c>
      <c r="E431" s="33" t="s">
        <v>229</v>
      </c>
      <c r="F431" s="33">
        <v>1201017</v>
      </c>
      <c r="G431" s="33" t="s">
        <v>48</v>
      </c>
      <c r="H431" s="22" t="s">
        <v>35</v>
      </c>
      <c r="I431" s="23">
        <v>0</v>
      </c>
      <c r="J431" s="23">
        <v>199.9800000000015</v>
      </c>
      <c r="K431" s="23">
        <v>0</v>
      </c>
      <c r="L431" s="23">
        <v>97.499999999999886</v>
      </c>
      <c r="M431" s="23">
        <v>1000</v>
      </c>
      <c r="N431" s="23">
        <v>97.85</v>
      </c>
      <c r="O431" s="23">
        <v>1000</v>
      </c>
      <c r="P431" s="23">
        <f>Tabela1[[#This Row],[1QZ DE MARÇO 26]]-Tabela1[[#This Row],[SALDO PENDENTE COM CX REPR.]]-Tabela1[[#This Row],[SALDO CARTAO]]-Tabela1[[#This Row],[ADIANTAMENTO]]</f>
        <v>-297.83000000000152</v>
      </c>
      <c r="Q431" s="23">
        <f>Tabela1[[#This Row],[1QZ DE MARÇO 26]]-Tabela1[[#This Row],[SALDO PENDENTE SEM CX REPR.]]-Tabela1[[#This Row],[SALDO CARTAO]]-Tabela1[[#This Row],[ADIANTAMENTO]]</f>
        <v>-195.34999999999991</v>
      </c>
      <c r="R431" s="23">
        <v>0</v>
      </c>
      <c r="S431" s="40">
        <f>IF(Tabela1[[#This Row],[CARGA PARCIAL]]&lt;0,0,Tabela1[[#This Row],[CARGA PARCIAL]]+Tabela1[[#This Row],[REEMBOLSO]])</f>
        <v>0</v>
      </c>
      <c r="T431" s="40">
        <f>IF(Tabela1[[#This Row],[CARGA PARCIAL SEM CX REPROV.]]&lt;0,0,Tabela1[[#This Row],[CARGA PARCIAL]]+Tabela1[[#This Row],[REEMBOLSO]])</f>
        <v>0</v>
      </c>
      <c r="U431" s="24" t="s">
        <v>22</v>
      </c>
      <c r="V431" s="24"/>
    </row>
    <row r="432" spans="2:22" hidden="1" x14ac:dyDescent="0.25">
      <c r="B432" s="37" t="s">
        <v>1105</v>
      </c>
      <c r="C432" s="32" t="s">
        <v>224</v>
      </c>
      <c r="D432" s="33" t="s">
        <v>18</v>
      </c>
      <c r="E432" s="33" t="s">
        <v>225</v>
      </c>
      <c r="F432" s="33">
        <v>1201007</v>
      </c>
      <c r="G432" s="33" t="s">
        <v>28</v>
      </c>
      <c r="H432" s="22" t="s">
        <v>21</v>
      </c>
      <c r="I432" s="23">
        <v>-3089.9800000000023</v>
      </c>
      <c r="J432" s="23">
        <v>0</v>
      </c>
      <c r="K432" s="23">
        <v>-341.14999999999964</v>
      </c>
      <c r="L432" s="23">
        <v>0</v>
      </c>
      <c r="M432" s="23">
        <v>1000</v>
      </c>
      <c r="N432" s="23">
        <v>13</v>
      </c>
      <c r="O432" s="23">
        <v>1000</v>
      </c>
      <c r="P432" s="23">
        <f>Tabela1[[#This Row],[1QZ DE MARÇO 26]]-Tabela1[[#This Row],[SALDO PENDENTE COM CX REPR.]]-Tabela1[[#This Row],[SALDO CARTAO]]-Tabela1[[#This Row],[ADIANTAMENTO]]</f>
        <v>-13</v>
      </c>
      <c r="Q432" s="23">
        <f>Tabela1[[#This Row],[1QZ DE MARÇO 26]]-Tabela1[[#This Row],[SALDO PENDENTE SEM CX REPR.]]-Tabela1[[#This Row],[SALDO CARTAO]]-Tabela1[[#This Row],[ADIANTAMENTO]]</f>
        <v>-13</v>
      </c>
      <c r="R432" s="23">
        <v>0</v>
      </c>
      <c r="S432" s="40">
        <f>IF(Tabela1[[#This Row],[CARGA PARCIAL]]&lt;0,0,Tabela1[[#This Row],[CARGA PARCIAL]]+Tabela1[[#This Row],[REEMBOLSO]])</f>
        <v>0</v>
      </c>
      <c r="T432" s="40">
        <f>IF(Tabela1[[#This Row],[CARGA PARCIAL SEM CX REPROV.]]&lt;0,0,Tabela1[[#This Row],[CARGA PARCIAL]]+Tabela1[[#This Row],[REEMBOLSO]])</f>
        <v>0</v>
      </c>
      <c r="U432" s="24" t="s">
        <v>22</v>
      </c>
      <c r="V432" s="24"/>
    </row>
    <row r="433" spans="2:22" x14ac:dyDescent="0.25">
      <c r="B433" s="31" t="s">
        <v>1106</v>
      </c>
      <c r="C433" s="32" t="s">
        <v>136</v>
      </c>
      <c r="D433" s="33" t="s">
        <v>18</v>
      </c>
      <c r="E433" s="33" t="s">
        <v>137</v>
      </c>
      <c r="F433" s="33">
        <v>11030890001</v>
      </c>
      <c r="G433" s="33" t="s">
        <v>20</v>
      </c>
      <c r="H433" s="22" t="s">
        <v>21</v>
      </c>
      <c r="I433" s="23">
        <v>0</v>
      </c>
      <c r="J433" s="23">
        <v>2392.839999999997</v>
      </c>
      <c r="K433" s="23">
        <v>-329.59999999999729</v>
      </c>
      <c r="L433" s="23">
        <v>0</v>
      </c>
      <c r="M433" s="23">
        <v>4000</v>
      </c>
      <c r="N433" s="23">
        <v>16.899999999999999</v>
      </c>
      <c r="O433" s="23">
        <v>0</v>
      </c>
      <c r="P433" s="23">
        <f>Tabela1[[#This Row],[1QZ DE MARÇO 26]]-Tabela1[[#This Row],[SALDO PENDENTE COM CX REPR.]]-Tabela1[[#This Row],[SALDO CARTAO]]-Tabela1[[#This Row],[ADIANTAMENTO]]</f>
        <v>1590.2600000000029</v>
      </c>
      <c r="Q433" s="23">
        <f>Tabela1[[#This Row],[1QZ DE MARÇO 26]]-Tabela1[[#This Row],[SALDO PENDENTE SEM CX REPR.]]-Tabela1[[#This Row],[SALDO CARTAO]]-Tabela1[[#This Row],[ADIANTAMENTO]]</f>
        <v>3983.1</v>
      </c>
      <c r="R433" s="23">
        <v>0</v>
      </c>
      <c r="S433" s="40">
        <f>IF(Tabela1[[#This Row],[CARGA PARCIAL]]&lt;0,0,Tabela1[[#This Row],[CARGA PARCIAL]]+Tabela1[[#This Row],[REEMBOLSO]])</f>
        <v>1590.2600000000029</v>
      </c>
      <c r="T433" s="40">
        <f>IF(Tabela1[[#This Row],[CARGA PARCIAL SEM CX REPROV.]]&lt;0,0,Tabela1[[#This Row],[CARGA PARCIAL]]+Tabela1[[#This Row],[REEMBOLSO]])</f>
        <v>1590.2600000000029</v>
      </c>
      <c r="U433" s="24" t="s">
        <v>22</v>
      </c>
      <c r="V433" s="24"/>
    </row>
    <row r="434" spans="2:22" x14ac:dyDescent="0.25">
      <c r="B434" s="33" t="s">
        <v>1107</v>
      </c>
      <c r="C434" s="33" t="s">
        <v>451</v>
      </c>
      <c r="D434" s="33" t="s">
        <v>18</v>
      </c>
      <c r="E434" s="33" t="s">
        <v>156</v>
      </c>
      <c r="F434" s="33">
        <v>11062670001</v>
      </c>
      <c r="G434" s="33" t="s">
        <v>38</v>
      </c>
      <c r="H434" s="22" t="s">
        <v>39</v>
      </c>
      <c r="I434" s="23">
        <v>0</v>
      </c>
      <c r="J434" s="23">
        <v>243.3100000000004</v>
      </c>
      <c r="K434" s="23">
        <v>-2137.5499999998619</v>
      </c>
      <c r="L434" s="23">
        <v>0</v>
      </c>
      <c r="M434" s="23">
        <v>800</v>
      </c>
      <c r="N434" s="23">
        <v>0.14000000000000001</v>
      </c>
      <c r="O434" s="23">
        <v>0</v>
      </c>
      <c r="P434" s="23">
        <f>Tabela1[[#This Row],[1QZ DE MARÇO 26]]-Tabela1[[#This Row],[SALDO PENDENTE COM CX REPR.]]-Tabela1[[#This Row],[SALDO CARTAO]]-Tabela1[[#This Row],[ADIANTAMENTO]]</f>
        <v>556.54999999999961</v>
      </c>
      <c r="Q434" s="23">
        <f>Tabela1[[#This Row],[1QZ DE MARÇO 26]]-Tabela1[[#This Row],[SALDO PENDENTE SEM CX REPR.]]-Tabela1[[#This Row],[SALDO CARTAO]]-Tabela1[[#This Row],[ADIANTAMENTO]]</f>
        <v>799.86</v>
      </c>
      <c r="R434" s="23">
        <v>0</v>
      </c>
      <c r="S434" s="40">
        <f>IF(Tabela1[[#This Row],[CARGA PARCIAL]]&lt;0,0,Tabela1[[#This Row],[CARGA PARCIAL]]+Tabela1[[#This Row],[REEMBOLSO]])</f>
        <v>556.54999999999961</v>
      </c>
      <c r="T434" s="40">
        <f>IF(Tabela1[[#This Row],[CARGA PARCIAL SEM CX REPROV.]]&lt;0,0,Tabela1[[#This Row],[CARGA PARCIAL]]+Tabela1[[#This Row],[REEMBOLSO]])</f>
        <v>556.54999999999961</v>
      </c>
      <c r="U434" s="24" t="s">
        <v>22</v>
      </c>
      <c r="V434" s="24"/>
    </row>
    <row r="435" spans="2:22" x14ac:dyDescent="0.25">
      <c r="B435" s="33" t="s">
        <v>839</v>
      </c>
      <c r="C435" s="33" t="s">
        <v>264</v>
      </c>
      <c r="D435" s="33" t="s">
        <v>18</v>
      </c>
      <c r="E435" s="33" t="s">
        <v>265</v>
      </c>
      <c r="F435" s="33">
        <v>11030630001</v>
      </c>
      <c r="G435" s="33" t="s">
        <v>54</v>
      </c>
      <c r="H435" s="33" t="s">
        <v>39</v>
      </c>
      <c r="I435" s="23">
        <v>-3662.2000000000262</v>
      </c>
      <c r="J435" s="23">
        <v>0</v>
      </c>
      <c r="K435" s="23">
        <v>0</v>
      </c>
      <c r="L435" s="23">
        <v>396.66000000000076</v>
      </c>
      <c r="M435" s="23">
        <v>2800</v>
      </c>
      <c r="N435" s="23">
        <v>0</v>
      </c>
      <c r="O435" s="23">
        <v>0</v>
      </c>
      <c r="P435" s="23">
        <f>Tabela1[[#This Row],[1QZ DE MARÇO 26]]-Tabela1[[#This Row],[SALDO PENDENTE COM CX REPR.]]-Tabela1[[#This Row],[SALDO CARTAO]]-Tabela1[[#This Row],[ADIANTAMENTO]]</f>
        <v>2800</v>
      </c>
      <c r="Q435" s="23">
        <f>Tabela1[[#This Row],[1QZ DE MARÇO 26]]-Tabela1[[#This Row],[SALDO PENDENTE SEM CX REPR.]]-Tabela1[[#This Row],[SALDO CARTAO]]-Tabela1[[#This Row],[ADIANTAMENTO]]</f>
        <v>2403.3399999999992</v>
      </c>
      <c r="R435" s="23">
        <v>0</v>
      </c>
      <c r="S435" s="40">
        <f>IF(Tabela1[[#This Row],[CARGA PARCIAL]]&lt;0,0,Tabela1[[#This Row],[CARGA PARCIAL]]+Tabela1[[#This Row],[REEMBOLSO]])</f>
        <v>2800</v>
      </c>
      <c r="T435" s="40">
        <f>IF(Tabela1[[#This Row],[CARGA PARCIAL SEM CX REPROV.]]&lt;0,0,Tabela1[[#This Row],[CARGA PARCIAL]]+Tabela1[[#This Row],[REEMBOLSO]])</f>
        <v>2800</v>
      </c>
      <c r="U435" s="24" t="s">
        <v>22</v>
      </c>
      <c r="V435" s="24"/>
    </row>
    <row r="436" spans="2:22" hidden="1" x14ac:dyDescent="0.25">
      <c r="B436" s="33" t="s">
        <v>1109</v>
      </c>
      <c r="C436" s="33" t="s">
        <v>352</v>
      </c>
      <c r="D436" s="33" t="s">
        <v>18</v>
      </c>
      <c r="E436" s="33" t="s">
        <v>353</v>
      </c>
      <c r="F436" s="33">
        <v>11062940001</v>
      </c>
      <c r="G436" s="33" t="s">
        <v>38</v>
      </c>
      <c r="H436" s="22" t="s">
        <v>39</v>
      </c>
      <c r="I436" s="23">
        <v>0</v>
      </c>
      <c r="J436" s="23">
        <v>1500.0000000000009</v>
      </c>
      <c r="K436" s="23">
        <v>0</v>
      </c>
      <c r="L436" s="23">
        <v>0</v>
      </c>
      <c r="M436" s="23">
        <v>1500</v>
      </c>
      <c r="N436" s="23">
        <v>3.64</v>
      </c>
      <c r="O436" s="23">
        <v>0</v>
      </c>
      <c r="P436" s="23">
        <f>Tabela1[[#This Row],[1QZ DE MARÇO 26]]-Tabela1[[#This Row],[SALDO PENDENTE COM CX REPR.]]-Tabela1[[#This Row],[SALDO CARTAO]]-Tabela1[[#This Row],[ADIANTAMENTO]]</f>
        <v>-3.6400000000009096</v>
      </c>
      <c r="Q436" s="23">
        <f>Tabela1[[#This Row],[1QZ DE MARÇO 26]]-Tabela1[[#This Row],[SALDO PENDENTE SEM CX REPR.]]-Tabela1[[#This Row],[SALDO CARTAO]]-Tabela1[[#This Row],[ADIANTAMENTO]]</f>
        <v>1496.36</v>
      </c>
      <c r="R436" s="23">
        <v>0</v>
      </c>
      <c r="S436" s="40">
        <f>IF(Tabela1[[#This Row],[CARGA PARCIAL]]&lt;0,0,Tabela1[[#This Row],[CARGA PARCIAL]]+Tabela1[[#This Row],[REEMBOLSO]])</f>
        <v>0</v>
      </c>
      <c r="T436" s="40">
        <f>IF(Tabela1[[#This Row],[CARGA PARCIAL SEM CX REPROV.]]&lt;0,0,Tabela1[[#This Row],[CARGA PARCIAL]]+Tabela1[[#This Row],[REEMBOLSO]])</f>
        <v>-3.6400000000009096</v>
      </c>
      <c r="U436" s="24" t="s">
        <v>22</v>
      </c>
      <c r="V436" s="24"/>
    </row>
    <row r="437" spans="2:22" x14ac:dyDescent="0.25">
      <c r="B437" s="33" t="s">
        <v>1110</v>
      </c>
      <c r="C437" s="33" t="s">
        <v>351</v>
      </c>
      <c r="D437" s="33" t="s">
        <v>18</v>
      </c>
      <c r="E437" s="33" t="s">
        <v>90</v>
      </c>
      <c r="F437" s="33">
        <v>11040170001</v>
      </c>
      <c r="G437" s="33" t="s">
        <v>91</v>
      </c>
      <c r="H437" s="33" t="s">
        <v>21</v>
      </c>
      <c r="I437" s="23">
        <v>0</v>
      </c>
      <c r="J437" s="23">
        <v>1334.3999999999996</v>
      </c>
      <c r="K437" s="23">
        <v>0</v>
      </c>
      <c r="L437" s="23">
        <v>91.980000000000018</v>
      </c>
      <c r="M437" s="23">
        <v>1800</v>
      </c>
      <c r="N437" s="23">
        <v>6.36</v>
      </c>
      <c r="O437" s="23">
        <v>0</v>
      </c>
      <c r="P437" s="23">
        <f>Tabela1[[#This Row],[1QZ DE MARÇO 26]]-Tabela1[[#This Row],[SALDO PENDENTE COM CX REPR.]]-Tabela1[[#This Row],[SALDO CARTAO]]-Tabela1[[#This Row],[ADIANTAMENTO]]</f>
        <v>459.24000000000035</v>
      </c>
      <c r="Q437" s="23">
        <f>Tabela1[[#This Row],[1QZ DE MARÇO 26]]-Tabela1[[#This Row],[SALDO PENDENTE SEM CX REPR.]]-Tabela1[[#This Row],[SALDO CARTAO]]-Tabela1[[#This Row],[ADIANTAMENTO]]</f>
        <v>1701.66</v>
      </c>
      <c r="R437" s="23">
        <v>0</v>
      </c>
      <c r="S437" s="40">
        <f>IF(Tabela1[[#This Row],[CARGA PARCIAL]]&lt;0,0,Tabela1[[#This Row],[CARGA PARCIAL]]+Tabela1[[#This Row],[REEMBOLSO]])</f>
        <v>459.24000000000035</v>
      </c>
      <c r="T437" s="40">
        <f>IF(Tabela1[[#This Row],[CARGA PARCIAL SEM CX REPROV.]]&lt;0,0,Tabela1[[#This Row],[CARGA PARCIAL]]+Tabela1[[#This Row],[REEMBOLSO]])</f>
        <v>459.24000000000035</v>
      </c>
      <c r="U437" s="24" t="s">
        <v>22</v>
      </c>
      <c r="V437" s="24"/>
    </row>
    <row r="438" spans="2:22" hidden="1" x14ac:dyDescent="0.25">
      <c r="B438" s="34" t="s">
        <v>1111</v>
      </c>
      <c r="C438" s="34" t="s">
        <v>153</v>
      </c>
      <c r="D438" s="34" t="s">
        <v>18</v>
      </c>
      <c r="E438" s="33" t="s">
        <v>107</v>
      </c>
      <c r="F438" s="33">
        <v>11030770001</v>
      </c>
      <c r="G438" s="33" t="s">
        <v>20</v>
      </c>
      <c r="H438" s="22" t="s">
        <v>21</v>
      </c>
      <c r="I438" s="23">
        <v>0</v>
      </c>
      <c r="J438" s="23">
        <v>485.79999999999927</v>
      </c>
      <c r="K438" s="23">
        <v>0</v>
      </c>
      <c r="L438" s="23">
        <v>2480.5199999999995</v>
      </c>
      <c r="M438" s="23">
        <v>1500</v>
      </c>
      <c r="N438" s="23">
        <v>0</v>
      </c>
      <c r="O438" s="23">
        <v>0</v>
      </c>
      <c r="P438" s="23">
        <f>Tabela1[[#This Row],[1QZ DE MARÇO 26]]-Tabela1[[#This Row],[SALDO PENDENTE COM CX REPR.]]-Tabela1[[#This Row],[SALDO CARTAO]]-Tabela1[[#This Row],[ADIANTAMENTO]]</f>
        <v>1014.2000000000007</v>
      </c>
      <c r="Q438" s="23">
        <f>Tabela1[[#This Row],[1QZ DE MARÇO 26]]-Tabela1[[#This Row],[SALDO PENDENTE SEM CX REPR.]]-Tabela1[[#This Row],[SALDO CARTAO]]-Tabela1[[#This Row],[ADIANTAMENTO]]</f>
        <v>-980.51999999999953</v>
      </c>
      <c r="R438" s="23">
        <v>0</v>
      </c>
      <c r="S438" s="40">
        <f>IF(Tabela1[[#This Row],[CARGA PARCIAL]]&lt;0,0,Tabela1[[#This Row],[CARGA PARCIAL]]+Tabela1[[#This Row],[REEMBOLSO]])</f>
        <v>1014.2000000000007</v>
      </c>
      <c r="T438" s="40">
        <f>IF(Tabela1[[#This Row],[CARGA PARCIAL SEM CX REPROV.]]&lt;0,0,Tabela1[[#This Row],[CARGA PARCIAL]]+Tabela1[[#This Row],[REEMBOLSO]])</f>
        <v>0</v>
      </c>
      <c r="U438" s="25" t="s">
        <v>22</v>
      </c>
      <c r="V438" s="26"/>
    </row>
    <row r="439" spans="2:22" hidden="1" x14ac:dyDescent="0.25">
      <c r="B439" s="33" t="s">
        <v>1112</v>
      </c>
      <c r="C439" s="33" t="s">
        <v>632</v>
      </c>
      <c r="D439" s="33" t="s">
        <v>18</v>
      </c>
      <c r="E439" s="33" t="s">
        <v>532</v>
      </c>
      <c r="F439" s="33">
        <v>11063050001</v>
      </c>
      <c r="G439" s="33" t="s">
        <v>54</v>
      </c>
      <c r="H439" s="33" t="s">
        <v>39</v>
      </c>
      <c r="I439" s="23">
        <v>0</v>
      </c>
      <c r="J439" s="23">
        <v>458.5</v>
      </c>
      <c r="K439" s="23">
        <v>-13.999999999989456</v>
      </c>
      <c r="L439" s="23">
        <v>0</v>
      </c>
      <c r="M439" s="23">
        <v>0</v>
      </c>
      <c r="N439" s="23">
        <v>0</v>
      </c>
      <c r="O439" s="23">
        <v>0</v>
      </c>
      <c r="P439" s="23">
        <f>Tabela1[[#This Row],[1QZ DE MARÇO 26]]-Tabela1[[#This Row],[SALDO PENDENTE COM CX REPR.]]-Tabela1[[#This Row],[SALDO CARTAO]]-Tabela1[[#This Row],[ADIANTAMENTO]]</f>
        <v>-458.5</v>
      </c>
      <c r="Q439" s="23">
        <f>Tabela1[[#This Row],[1QZ DE MARÇO 26]]-Tabela1[[#This Row],[SALDO PENDENTE SEM CX REPR.]]-Tabela1[[#This Row],[SALDO CARTAO]]-Tabela1[[#This Row],[ADIANTAMENTO]]</f>
        <v>0</v>
      </c>
      <c r="R439" s="23">
        <v>0</v>
      </c>
      <c r="S439" s="40">
        <f>IF(Tabela1[[#This Row],[CARGA PARCIAL]]&lt;0,0,Tabela1[[#This Row],[CARGA PARCIAL]]+Tabela1[[#This Row],[REEMBOLSO]])</f>
        <v>0</v>
      </c>
      <c r="T439" s="40">
        <f>IF(Tabela1[[#This Row],[CARGA PARCIAL SEM CX REPROV.]]&lt;0,0,Tabela1[[#This Row],[CARGA PARCIAL]]+Tabela1[[#This Row],[REEMBOLSO]])</f>
        <v>-458.5</v>
      </c>
      <c r="U439" s="24" t="s">
        <v>22</v>
      </c>
      <c r="V439" s="24"/>
    </row>
    <row r="440" spans="2:22" hidden="1" x14ac:dyDescent="0.25">
      <c r="B440" s="31" t="s">
        <v>1113</v>
      </c>
      <c r="C440" s="32" t="s">
        <v>633</v>
      </c>
      <c r="D440" s="33" t="s">
        <v>18</v>
      </c>
      <c r="E440" s="33" t="s">
        <v>88</v>
      </c>
      <c r="F440" s="33">
        <v>11040130001</v>
      </c>
      <c r="G440" s="33" t="s">
        <v>45</v>
      </c>
      <c r="H440" s="22" t="s">
        <v>39</v>
      </c>
      <c r="I440" s="23">
        <v>0</v>
      </c>
      <c r="J440" s="23">
        <v>0</v>
      </c>
      <c r="K440" s="23">
        <v>0</v>
      </c>
      <c r="L440" s="23">
        <v>2.820000000001528</v>
      </c>
      <c r="M440" s="23">
        <v>0</v>
      </c>
      <c r="N440" s="23">
        <v>0</v>
      </c>
      <c r="O440" s="23">
        <v>0</v>
      </c>
      <c r="P440" s="23">
        <f>Tabela1[[#This Row],[1QZ DE MARÇO 26]]-Tabela1[[#This Row],[SALDO PENDENTE COM CX REPR.]]-Tabela1[[#This Row],[SALDO CARTAO]]-Tabela1[[#This Row],[ADIANTAMENTO]]</f>
        <v>0</v>
      </c>
      <c r="Q440" s="23">
        <f>Tabela1[[#This Row],[1QZ DE MARÇO 26]]-Tabela1[[#This Row],[SALDO PENDENTE SEM CX REPR.]]-Tabela1[[#This Row],[SALDO CARTAO]]-Tabela1[[#This Row],[ADIANTAMENTO]]</f>
        <v>-2.820000000001528</v>
      </c>
      <c r="R440" s="23">
        <v>0</v>
      </c>
      <c r="S440" s="40">
        <f>IF(Tabela1[[#This Row],[CARGA PARCIAL]]&lt;0,0,Tabela1[[#This Row],[CARGA PARCIAL]]+Tabela1[[#This Row],[REEMBOLSO]])</f>
        <v>0</v>
      </c>
      <c r="T440" s="40">
        <f>IF(Tabela1[[#This Row],[CARGA PARCIAL SEM CX REPROV.]]&lt;0,0,Tabela1[[#This Row],[CARGA PARCIAL]]+Tabela1[[#This Row],[REEMBOLSO]])</f>
        <v>0</v>
      </c>
      <c r="U440" s="24" t="s">
        <v>22</v>
      </c>
      <c r="V440" s="24"/>
    </row>
    <row r="441" spans="2:22" hidden="1" x14ac:dyDescent="0.25">
      <c r="B441" s="33" t="s">
        <v>1114</v>
      </c>
      <c r="C441" s="33" t="s">
        <v>634</v>
      </c>
      <c r="D441" s="33" t="s">
        <v>18</v>
      </c>
      <c r="E441" s="33" t="s">
        <v>44</v>
      </c>
      <c r="F441" s="33">
        <v>1104150001</v>
      </c>
      <c r="G441" s="33" t="s">
        <v>45</v>
      </c>
      <c r="H441" s="22" t="s">
        <v>39</v>
      </c>
      <c r="I441" s="23">
        <v>0</v>
      </c>
      <c r="J441" s="23">
        <v>0</v>
      </c>
      <c r="K441" s="23">
        <v>0</v>
      </c>
      <c r="L441" s="23">
        <v>0</v>
      </c>
      <c r="M441" s="23">
        <v>0</v>
      </c>
      <c r="N441" s="23">
        <v>0</v>
      </c>
      <c r="O441" s="23">
        <v>0</v>
      </c>
      <c r="P441" s="23">
        <f>Tabela1[[#This Row],[1QZ DE MARÇO 26]]-Tabela1[[#This Row],[SALDO PENDENTE COM CX REPR.]]-Tabela1[[#This Row],[SALDO CARTAO]]-Tabela1[[#This Row],[ADIANTAMENTO]]</f>
        <v>0</v>
      </c>
      <c r="Q441" s="23">
        <f>Tabela1[[#This Row],[1QZ DE MARÇO 26]]-Tabela1[[#This Row],[SALDO PENDENTE SEM CX REPR.]]-Tabela1[[#This Row],[SALDO CARTAO]]-Tabela1[[#This Row],[ADIANTAMENTO]]</f>
        <v>0</v>
      </c>
      <c r="R441" s="23">
        <v>0</v>
      </c>
      <c r="S441" s="40">
        <f>IF(Tabela1[[#This Row],[CARGA PARCIAL]]&lt;0,0,Tabela1[[#This Row],[CARGA PARCIAL]]+Tabela1[[#This Row],[REEMBOLSO]])</f>
        <v>0</v>
      </c>
      <c r="T441" s="40">
        <f>IF(Tabela1[[#This Row],[CARGA PARCIAL SEM CX REPROV.]]&lt;0,0,Tabela1[[#This Row],[CARGA PARCIAL]]+Tabela1[[#This Row],[REEMBOLSO]])</f>
        <v>0</v>
      </c>
      <c r="U441" s="24" t="s">
        <v>22</v>
      </c>
      <c r="V441" s="24"/>
    </row>
    <row r="442" spans="2:22" hidden="1" x14ac:dyDescent="0.25">
      <c r="B442" s="31" t="s">
        <v>1115</v>
      </c>
      <c r="C442" s="32" t="s">
        <v>320</v>
      </c>
      <c r="D442" s="33" t="s">
        <v>18</v>
      </c>
      <c r="E442" s="33" t="s">
        <v>321</v>
      </c>
      <c r="F442" s="33">
        <v>11060800001</v>
      </c>
      <c r="G442" s="33" t="s">
        <v>42</v>
      </c>
      <c r="H442" s="22" t="s">
        <v>39</v>
      </c>
      <c r="I442" s="23">
        <v>0</v>
      </c>
      <c r="J442" s="23">
        <v>1023.45</v>
      </c>
      <c r="K442" s="23">
        <v>0</v>
      </c>
      <c r="L442" s="23">
        <v>285.94999999999914</v>
      </c>
      <c r="M442" s="23">
        <v>0</v>
      </c>
      <c r="N442" s="23">
        <v>0</v>
      </c>
      <c r="O442" s="23">
        <v>0</v>
      </c>
      <c r="P442" s="23">
        <f>Tabela1[[#This Row],[1QZ DE MARÇO 26]]-Tabela1[[#This Row],[SALDO PENDENTE COM CX REPR.]]-Tabela1[[#This Row],[SALDO CARTAO]]-Tabela1[[#This Row],[ADIANTAMENTO]]</f>
        <v>-1023.45</v>
      </c>
      <c r="Q442" s="23">
        <f>Tabela1[[#This Row],[1QZ DE MARÇO 26]]-Tabela1[[#This Row],[SALDO PENDENTE SEM CX REPR.]]-Tabela1[[#This Row],[SALDO CARTAO]]-Tabela1[[#This Row],[ADIANTAMENTO]]</f>
        <v>-285.94999999999914</v>
      </c>
      <c r="R442" s="23">
        <v>0</v>
      </c>
      <c r="S442" s="40">
        <f>IF(Tabela1[[#This Row],[CARGA PARCIAL]]&lt;0,0,Tabela1[[#This Row],[CARGA PARCIAL]]+Tabela1[[#This Row],[REEMBOLSO]])</f>
        <v>0</v>
      </c>
      <c r="T442" s="40">
        <f>IF(Tabela1[[#This Row],[CARGA PARCIAL SEM CX REPROV.]]&lt;0,0,Tabela1[[#This Row],[CARGA PARCIAL]]+Tabela1[[#This Row],[REEMBOLSO]])</f>
        <v>0</v>
      </c>
      <c r="U442" s="24" t="s">
        <v>22</v>
      </c>
      <c r="V442" s="24"/>
    </row>
    <row r="443" spans="2:22" hidden="1" x14ac:dyDescent="0.25">
      <c r="B443" s="37" t="s">
        <v>1116</v>
      </c>
      <c r="C443" s="32" t="s">
        <v>635</v>
      </c>
      <c r="D443" s="33" t="s">
        <v>18</v>
      </c>
      <c r="E443" s="33" t="s">
        <v>44</v>
      </c>
      <c r="F443" s="33">
        <v>1104150001</v>
      </c>
      <c r="G443" s="33" t="s">
        <v>45</v>
      </c>
      <c r="H443" s="22" t="s">
        <v>39</v>
      </c>
      <c r="I443" s="23">
        <v>0</v>
      </c>
      <c r="J443" s="23">
        <v>2100</v>
      </c>
      <c r="K443" s="23">
        <v>0</v>
      </c>
      <c r="L443" s="23">
        <v>150</v>
      </c>
      <c r="M443" s="23">
        <v>0</v>
      </c>
      <c r="N443" s="23">
        <v>0</v>
      </c>
      <c r="O443" s="23">
        <v>0</v>
      </c>
      <c r="P443" s="23">
        <f>Tabela1[[#This Row],[1QZ DE MARÇO 26]]-Tabela1[[#This Row],[SALDO PENDENTE COM CX REPR.]]-Tabela1[[#This Row],[SALDO CARTAO]]-Tabela1[[#This Row],[ADIANTAMENTO]]</f>
        <v>-2100</v>
      </c>
      <c r="Q443" s="23">
        <f>Tabela1[[#This Row],[1QZ DE MARÇO 26]]-Tabela1[[#This Row],[SALDO PENDENTE SEM CX REPR.]]-Tabela1[[#This Row],[SALDO CARTAO]]-Tabela1[[#This Row],[ADIANTAMENTO]]</f>
        <v>-150</v>
      </c>
      <c r="R443" s="23">
        <v>0</v>
      </c>
      <c r="S443" s="40">
        <f>IF(Tabela1[[#This Row],[CARGA PARCIAL]]&lt;0,0,Tabela1[[#This Row],[CARGA PARCIAL]]+Tabela1[[#This Row],[REEMBOLSO]])</f>
        <v>0</v>
      </c>
      <c r="T443" s="40">
        <f>IF(Tabela1[[#This Row],[CARGA PARCIAL SEM CX REPROV.]]&lt;0,0,Tabela1[[#This Row],[CARGA PARCIAL]]+Tabela1[[#This Row],[REEMBOLSO]])</f>
        <v>0</v>
      </c>
      <c r="U443" s="24" t="s">
        <v>22</v>
      </c>
      <c r="V443" s="24"/>
    </row>
    <row r="444" spans="2:22" hidden="1" x14ac:dyDescent="0.25">
      <c r="B444" s="33" t="s">
        <v>1117</v>
      </c>
      <c r="C444" s="33" t="s">
        <v>452</v>
      </c>
      <c r="D444" s="33" t="s">
        <v>18</v>
      </c>
      <c r="E444" s="33" t="s">
        <v>156</v>
      </c>
      <c r="F444" s="33">
        <v>11062670001</v>
      </c>
      <c r="G444" s="33" t="s">
        <v>38</v>
      </c>
      <c r="H444" s="33" t="s">
        <v>39</v>
      </c>
      <c r="I444" s="23">
        <v>0</v>
      </c>
      <c r="J444" s="23">
        <v>749.34999999999945</v>
      </c>
      <c r="K444" s="23">
        <v>0</v>
      </c>
      <c r="L444" s="23">
        <v>300.05999999999977</v>
      </c>
      <c r="M444" s="23">
        <v>800</v>
      </c>
      <c r="N444" s="23">
        <v>51.7</v>
      </c>
      <c r="O444" s="23">
        <v>0</v>
      </c>
      <c r="P444" s="23">
        <f>Tabela1[[#This Row],[1QZ DE MARÇO 26]]-Tabela1[[#This Row],[SALDO PENDENTE COM CX REPR.]]-Tabela1[[#This Row],[SALDO CARTAO]]-Tabela1[[#This Row],[ADIANTAMENTO]]</f>
        <v>-1.0499999999994571</v>
      </c>
      <c r="Q444" s="23">
        <f>Tabela1[[#This Row],[1QZ DE MARÇO 26]]-Tabela1[[#This Row],[SALDO PENDENTE SEM CX REPR.]]-Tabela1[[#This Row],[SALDO CARTAO]]-Tabela1[[#This Row],[ADIANTAMENTO]]</f>
        <v>448.24000000000024</v>
      </c>
      <c r="R444" s="23">
        <v>0</v>
      </c>
      <c r="S444" s="40">
        <f>IF(Tabela1[[#This Row],[CARGA PARCIAL]]&lt;0,0,Tabela1[[#This Row],[CARGA PARCIAL]]+Tabela1[[#This Row],[REEMBOLSO]])</f>
        <v>0</v>
      </c>
      <c r="T444" s="40">
        <f>IF(Tabela1[[#This Row],[CARGA PARCIAL SEM CX REPROV.]]&lt;0,0,Tabela1[[#This Row],[CARGA PARCIAL]]+Tabela1[[#This Row],[REEMBOLSO]])</f>
        <v>-1.0499999999994571</v>
      </c>
      <c r="U444" s="24" t="s">
        <v>22</v>
      </c>
      <c r="V444" s="24"/>
    </row>
    <row r="445" spans="2:22" hidden="1" x14ac:dyDescent="0.25">
      <c r="B445" s="33" t="s">
        <v>1118</v>
      </c>
      <c r="C445" s="33" t="s">
        <v>184</v>
      </c>
      <c r="D445" s="33" t="s">
        <v>18</v>
      </c>
      <c r="E445" s="33" t="s">
        <v>185</v>
      </c>
      <c r="F445" s="33">
        <v>11080400001</v>
      </c>
      <c r="G445" s="33" t="s">
        <v>38</v>
      </c>
      <c r="H445" s="22" t="s">
        <v>39</v>
      </c>
      <c r="I445" s="23">
        <v>-26.78999999999909</v>
      </c>
      <c r="J445" s="23">
        <v>0</v>
      </c>
      <c r="K445" s="23">
        <v>0</v>
      </c>
      <c r="L445" s="23">
        <v>1281.010000000002</v>
      </c>
      <c r="M445" s="23">
        <v>600</v>
      </c>
      <c r="N445" s="23">
        <v>227.99</v>
      </c>
      <c r="O445" s="23">
        <v>0</v>
      </c>
      <c r="P445" s="23">
        <f>Tabela1[[#This Row],[1QZ DE MARÇO 26]]-Tabela1[[#This Row],[SALDO PENDENTE COM CX REPR.]]-Tabela1[[#This Row],[SALDO CARTAO]]-Tabela1[[#This Row],[ADIANTAMENTO]]</f>
        <v>372.01</v>
      </c>
      <c r="Q445" s="23">
        <f>Tabela1[[#This Row],[1QZ DE MARÇO 26]]-Tabela1[[#This Row],[SALDO PENDENTE SEM CX REPR.]]-Tabela1[[#This Row],[SALDO CARTAO]]-Tabela1[[#This Row],[ADIANTAMENTO]]</f>
        <v>-909.00000000000205</v>
      </c>
      <c r="R445" s="23">
        <v>0</v>
      </c>
      <c r="S445" s="40">
        <f>IF(Tabela1[[#This Row],[CARGA PARCIAL]]&lt;0,0,Tabela1[[#This Row],[CARGA PARCIAL]]+Tabela1[[#This Row],[REEMBOLSO]])</f>
        <v>372.01</v>
      </c>
      <c r="T445" s="40">
        <f>IF(Tabela1[[#This Row],[CARGA PARCIAL SEM CX REPROV.]]&lt;0,0,Tabela1[[#This Row],[CARGA PARCIAL]]+Tabela1[[#This Row],[REEMBOLSO]])</f>
        <v>0</v>
      </c>
      <c r="U445" s="24" t="s">
        <v>22</v>
      </c>
      <c r="V445" s="24"/>
    </row>
    <row r="446" spans="2:22" x14ac:dyDescent="0.25">
      <c r="B446" s="33" t="s">
        <v>1119</v>
      </c>
      <c r="C446" s="33" t="s">
        <v>255</v>
      </c>
      <c r="D446" s="33" t="s">
        <v>18</v>
      </c>
      <c r="E446" s="22" t="s">
        <v>256</v>
      </c>
      <c r="F446" s="33">
        <v>11062160001</v>
      </c>
      <c r="G446" s="33" t="s">
        <v>20</v>
      </c>
      <c r="H446" s="33" t="s">
        <v>21</v>
      </c>
      <c r="I446" s="23">
        <v>0</v>
      </c>
      <c r="J446" s="23">
        <v>383.7300000000032</v>
      </c>
      <c r="K446" s="23">
        <v>0</v>
      </c>
      <c r="L446" s="23">
        <v>40</v>
      </c>
      <c r="M446" s="23">
        <v>800</v>
      </c>
      <c r="N446" s="23">
        <v>0.51</v>
      </c>
      <c r="O446" s="23">
        <v>0</v>
      </c>
      <c r="P446" s="23">
        <f>Tabela1[[#This Row],[1QZ DE MARÇO 26]]-Tabela1[[#This Row],[SALDO PENDENTE COM CX REPR.]]-Tabela1[[#This Row],[SALDO CARTAO]]-Tabela1[[#This Row],[ADIANTAMENTO]]</f>
        <v>415.75999999999681</v>
      </c>
      <c r="Q446" s="23">
        <f>Tabela1[[#This Row],[1QZ DE MARÇO 26]]-Tabela1[[#This Row],[SALDO PENDENTE SEM CX REPR.]]-Tabela1[[#This Row],[SALDO CARTAO]]-Tabela1[[#This Row],[ADIANTAMENTO]]</f>
        <v>759.49</v>
      </c>
      <c r="R446" s="23">
        <v>0</v>
      </c>
      <c r="S446" s="40">
        <f>IF(Tabela1[[#This Row],[CARGA PARCIAL]]&lt;0,0,Tabela1[[#This Row],[CARGA PARCIAL]]+Tabela1[[#This Row],[REEMBOLSO]])</f>
        <v>415.75999999999681</v>
      </c>
      <c r="T446" s="40">
        <f>IF(Tabela1[[#This Row],[CARGA PARCIAL SEM CX REPROV.]]&lt;0,0,Tabela1[[#This Row],[CARGA PARCIAL]]+Tabela1[[#This Row],[REEMBOLSO]])</f>
        <v>415.75999999999681</v>
      </c>
      <c r="U446" s="24" t="s">
        <v>22</v>
      </c>
      <c r="V446" s="24"/>
    </row>
    <row r="447" spans="2:22" hidden="1" x14ac:dyDescent="0.25">
      <c r="B447" s="31" t="s">
        <v>1120</v>
      </c>
      <c r="C447" s="32" t="s">
        <v>636</v>
      </c>
      <c r="D447" s="33" t="s">
        <v>18</v>
      </c>
      <c r="E447" s="33" t="s">
        <v>419</v>
      </c>
      <c r="F447" s="33">
        <v>11030580001</v>
      </c>
      <c r="G447" s="33" t="s">
        <v>54</v>
      </c>
      <c r="H447" s="22" t="s">
        <v>39</v>
      </c>
      <c r="I447" s="23">
        <v>0</v>
      </c>
      <c r="J447" s="23">
        <v>43.100000000000009</v>
      </c>
      <c r="K447" s="23">
        <v>-16.230000000000075</v>
      </c>
      <c r="L447" s="23">
        <v>0</v>
      </c>
      <c r="M447" s="23">
        <v>0</v>
      </c>
      <c r="N447" s="23">
        <v>0</v>
      </c>
      <c r="O447" s="23">
        <v>0</v>
      </c>
      <c r="P447" s="23">
        <f>Tabela1[[#This Row],[1QZ DE MARÇO 26]]-Tabela1[[#This Row],[SALDO PENDENTE COM CX REPR.]]-Tabela1[[#This Row],[SALDO CARTAO]]-Tabela1[[#This Row],[ADIANTAMENTO]]</f>
        <v>-43.100000000000009</v>
      </c>
      <c r="Q447" s="23">
        <f>Tabela1[[#This Row],[1QZ DE MARÇO 26]]-Tabela1[[#This Row],[SALDO PENDENTE SEM CX REPR.]]-Tabela1[[#This Row],[SALDO CARTAO]]-Tabela1[[#This Row],[ADIANTAMENTO]]</f>
        <v>0</v>
      </c>
      <c r="R447" s="23">
        <v>0</v>
      </c>
      <c r="S447" s="40">
        <f>IF(Tabela1[[#This Row],[CARGA PARCIAL]]&lt;0,0,Tabela1[[#This Row],[CARGA PARCIAL]]+Tabela1[[#This Row],[REEMBOLSO]])</f>
        <v>0</v>
      </c>
      <c r="T447" s="40">
        <f>IF(Tabela1[[#This Row],[CARGA PARCIAL SEM CX REPROV.]]&lt;0,0,Tabela1[[#This Row],[CARGA PARCIAL]]+Tabela1[[#This Row],[REEMBOLSO]])</f>
        <v>-43.100000000000009</v>
      </c>
      <c r="U447" s="24" t="s">
        <v>22</v>
      </c>
      <c r="V447" s="24"/>
    </row>
    <row r="448" spans="2:22" hidden="1" x14ac:dyDescent="0.25">
      <c r="B448" s="31" t="s">
        <v>1121</v>
      </c>
      <c r="C448" s="32" t="s">
        <v>637</v>
      </c>
      <c r="D448" s="33" t="s">
        <v>18</v>
      </c>
      <c r="E448" s="33" t="s">
        <v>44</v>
      </c>
      <c r="F448" s="33">
        <v>1104150001</v>
      </c>
      <c r="G448" s="33" t="s">
        <v>45</v>
      </c>
      <c r="H448" s="22" t="s">
        <v>39</v>
      </c>
      <c r="I448" s="23">
        <v>0</v>
      </c>
      <c r="J448" s="23">
        <v>29.230000000000004</v>
      </c>
      <c r="K448" s="23">
        <v>-6.3948846218409017E-14</v>
      </c>
      <c r="L448" s="23">
        <v>0</v>
      </c>
      <c r="M448" s="23">
        <v>0</v>
      </c>
      <c r="N448" s="23">
        <v>0</v>
      </c>
      <c r="O448" s="23">
        <v>0</v>
      </c>
      <c r="P448" s="23">
        <f>Tabela1[[#This Row],[1QZ DE MARÇO 26]]-Tabela1[[#This Row],[SALDO PENDENTE COM CX REPR.]]-Tabela1[[#This Row],[SALDO CARTAO]]-Tabela1[[#This Row],[ADIANTAMENTO]]</f>
        <v>-29.230000000000004</v>
      </c>
      <c r="Q448" s="23">
        <f>Tabela1[[#This Row],[1QZ DE MARÇO 26]]-Tabela1[[#This Row],[SALDO PENDENTE SEM CX REPR.]]-Tabela1[[#This Row],[SALDO CARTAO]]-Tabela1[[#This Row],[ADIANTAMENTO]]</f>
        <v>0</v>
      </c>
      <c r="R448" s="23">
        <v>0</v>
      </c>
      <c r="S448" s="40">
        <f>IF(Tabela1[[#This Row],[CARGA PARCIAL]]&lt;0,0,Tabela1[[#This Row],[CARGA PARCIAL]]+Tabela1[[#This Row],[REEMBOLSO]])</f>
        <v>0</v>
      </c>
      <c r="T448" s="40">
        <f>IF(Tabela1[[#This Row],[CARGA PARCIAL SEM CX REPROV.]]&lt;0,0,Tabela1[[#This Row],[CARGA PARCIAL]]+Tabela1[[#This Row],[REEMBOLSO]])</f>
        <v>-29.230000000000004</v>
      </c>
      <c r="U448" s="24" t="s">
        <v>22</v>
      </c>
      <c r="V448" s="24"/>
    </row>
    <row r="449" spans="2:22" x14ac:dyDescent="0.25">
      <c r="B449" s="35" t="s">
        <v>732</v>
      </c>
      <c r="C449" s="36" t="s">
        <v>74</v>
      </c>
      <c r="D449" s="34" t="s">
        <v>18</v>
      </c>
      <c r="E449" s="33" t="s">
        <v>75</v>
      </c>
      <c r="F449" s="33">
        <v>11030850001</v>
      </c>
      <c r="G449" s="33" t="s">
        <v>25</v>
      </c>
      <c r="H449" s="22" t="s">
        <v>21</v>
      </c>
      <c r="I449" s="23">
        <v>-3775.2400000000198</v>
      </c>
      <c r="J449" s="23">
        <v>0</v>
      </c>
      <c r="K449" s="23">
        <v>0</v>
      </c>
      <c r="L449" s="23">
        <v>758.50999999996566</v>
      </c>
      <c r="M449" s="23">
        <v>2000</v>
      </c>
      <c r="N449" s="23">
        <v>0</v>
      </c>
      <c r="O449" s="23">
        <v>0</v>
      </c>
      <c r="P449" s="23">
        <f>Tabela1[[#This Row],[1QZ DE MARÇO 26]]-Tabela1[[#This Row],[SALDO PENDENTE COM CX REPR.]]-Tabela1[[#This Row],[SALDO CARTAO]]-Tabela1[[#This Row],[ADIANTAMENTO]]</f>
        <v>2000</v>
      </c>
      <c r="Q449" s="23">
        <f>Tabela1[[#This Row],[1QZ DE MARÇO 26]]-Tabela1[[#This Row],[SALDO PENDENTE SEM CX REPR.]]-Tabela1[[#This Row],[SALDO CARTAO]]-Tabela1[[#This Row],[ADIANTAMENTO]]</f>
        <v>1241.4900000000343</v>
      </c>
      <c r="R449" s="23">
        <v>3611.24</v>
      </c>
      <c r="S449" s="40">
        <f>IF(Tabela1[[#This Row],[CARGA PARCIAL]]&lt;0,0,Tabela1[[#This Row],[CARGA PARCIAL]]+Tabela1[[#This Row],[REEMBOLSO]])</f>
        <v>5611.24</v>
      </c>
      <c r="T449" s="40">
        <f>IF(Tabela1[[#This Row],[CARGA PARCIAL SEM CX REPROV.]]&lt;0,0,Tabela1[[#This Row],[CARGA PARCIAL]]+Tabela1[[#This Row],[REEMBOLSO]])</f>
        <v>5611.24</v>
      </c>
      <c r="U449" s="25" t="s">
        <v>22</v>
      </c>
      <c r="V449" s="26"/>
    </row>
    <row r="450" spans="2:22" hidden="1" x14ac:dyDescent="0.25">
      <c r="B450" s="31" t="s">
        <v>1123</v>
      </c>
      <c r="C450" s="32" t="s">
        <v>411</v>
      </c>
      <c r="D450" s="33" t="s">
        <v>18</v>
      </c>
      <c r="E450" s="33" t="s">
        <v>360</v>
      </c>
      <c r="F450" s="33">
        <v>11010410001</v>
      </c>
      <c r="G450" s="33" t="s">
        <v>42</v>
      </c>
      <c r="H450" s="22" t="s">
        <v>39</v>
      </c>
      <c r="I450" s="23">
        <v>0</v>
      </c>
      <c r="J450" s="23">
        <v>4482.6499999999996</v>
      </c>
      <c r="K450" s="23">
        <v>0</v>
      </c>
      <c r="L450" s="23">
        <v>195</v>
      </c>
      <c r="M450" s="23">
        <v>4000</v>
      </c>
      <c r="N450" s="23">
        <v>0</v>
      </c>
      <c r="O450" s="23">
        <v>0</v>
      </c>
      <c r="P450" s="23">
        <f>Tabela1[[#This Row],[1QZ DE MARÇO 26]]-Tabela1[[#This Row],[SALDO PENDENTE COM CX REPR.]]-Tabela1[[#This Row],[SALDO CARTAO]]-Tabela1[[#This Row],[ADIANTAMENTO]]</f>
        <v>-482.64999999999964</v>
      </c>
      <c r="Q450" s="23">
        <f>Tabela1[[#This Row],[1QZ DE MARÇO 26]]-Tabela1[[#This Row],[SALDO PENDENTE SEM CX REPR.]]-Tabela1[[#This Row],[SALDO CARTAO]]-Tabela1[[#This Row],[ADIANTAMENTO]]</f>
        <v>3805</v>
      </c>
      <c r="R450" s="23">
        <v>0</v>
      </c>
      <c r="S450" s="40">
        <f>IF(Tabela1[[#This Row],[CARGA PARCIAL]]&lt;0,0,Tabela1[[#This Row],[CARGA PARCIAL]]+Tabela1[[#This Row],[REEMBOLSO]])</f>
        <v>0</v>
      </c>
      <c r="T450" s="40">
        <f>IF(Tabela1[[#This Row],[CARGA PARCIAL SEM CX REPROV.]]&lt;0,0,Tabela1[[#This Row],[CARGA PARCIAL]]+Tabela1[[#This Row],[REEMBOLSO]])</f>
        <v>-482.64999999999964</v>
      </c>
      <c r="U450" s="24" t="s">
        <v>22</v>
      </c>
      <c r="V450" s="24"/>
    </row>
    <row r="451" spans="2:22" x14ac:dyDescent="0.25">
      <c r="B451" s="31" t="s">
        <v>1124</v>
      </c>
      <c r="C451" s="32" t="s">
        <v>325</v>
      </c>
      <c r="D451" s="33" t="s">
        <v>18</v>
      </c>
      <c r="E451" s="33" t="s">
        <v>326</v>
      </c>
      <c r="F451" s="33">
        <v>11062770001</v>
      </c>
      <c r="G451" s="33" t="s">
        <v>48</v>
      </c>
      <c r="H451" s="22" t="s">
        <v>35</v>
      </c>
      <c r="I451" s="23">
        <v>0</v>
      </c>
      <c r="J451" s="23">
        <v>5.1500000000003183</v>
      </c>
      <c r="K451" s="23">
        <v>-108.19999999999936</v>
      </c>
      <c r="L451" s="23">
        <v>0</v>
      </c>
      <c r="M451" s="23">
        <v>750</v>
      </c>
      <c r="N451" s="23">
        <v>0</v>
      </c>
      <c r="O451" s="23">
        <v>0</v>
      </c>
      <c r="P451" s="23">
        <f>Tabela1[[#This Row],[1QZ DE MARÇO 26]]-Tabela1[[#This Row],[SALDO PENDENTE COM CX REPR.]]-Tabela1[[#This Row],[SALDO CARTAO]]-Tabela1[[#This Row],[ADIANTAMENTO]]</f>
        <v>744.84999999999968</v>
      </c>
      <c r="Q451" s="23">
        <f>Tabela1[[#This Row],[1QZ DE MARÇO 26]]-Tabela1[[#This Row],[SALDO PENDENTE SEM CX REPR.]]-Tabela1[[#This Row],[SALDO CARTAO]]-Tabela1[[#This Row],[ADIANTAMENTO]]</f>
        <v>750</v>
      </c>
      <c r="R451" s="23">
        <v>0</v>
      </c>
      <c r="S451" s="40">
        <f>IF(Tabela1[[#This Row],[CARGA PARCIAL]]&lt;0,0,Tabela1[[#This Row],[CARGA PARCIAL]]+Tabela1[[#This Row],[REEMBOLSO]])</f>
        <v>744.84999999999968</v>
      </c>
      <c r="T451" s="40">
        <f>IF(Tabela1[[#This Row],[CARGA PARCIAL SEM CX REPROV.]]&lt;0,0,Tabela1[[#This Row],[CARGA PARCIAL]]+Tabela1[[#This Row],[REEMBOLSO]])</f>
        <v>744.84999999999968</v>
      </c>
      <c r="U451" s="24" t="s">
        <v>22</v>
      </c>
      <c r="V451" s="24"/>
    </row>
    <row r="452" spans="2:22" hidden="1" x14ac:dyDescent="0.25">
      <c r="B452" s="31" t="s">
        <v>1125</v>
      </c>
      <c r="C452" s="32" t="s">
        <v>268</v>
      </c>
      <c r="D452" s="33" t="s">
        <v>18</v>
      </c>
      <c r="E452" s="33" t="s">
        <v>269</v>
      </c>
      <c r="F452" s="33">
        <v>11080500001</v>
      </c>
      <c r="G452" s="33" t="s">
        <v>20</v>
      </c>
      <c r="H452" s="22" t="s">
        <v>21</v>
      </c>
      <c r="I452" s="23">
        <v>0</v>
      </c>
      <c r="J452" s="23">
        <v>173.99999999999983</v>
      </c>
      <c r="K452" s="23">
        <v>0</v>
      </c>
      <c r="L452" s="23">
        <v>31931.880000000092</v>
      </c>
      <c r="M452" s="23">
        <v>500</v>
      </c>
      <c r="N452" s="23">
        <v>0</v>
      </c>
      <c r="O452" s="23">
        <v>0</v>
      </c>
      <c r="P452" s="23">
        <f>Tabela1[[#This Row],[1QZ DE MARÇO 26]]-Tabela1[[#This Row],[SALDO PENDENTE COM CX REPR.]]-Tabela1[[#This Row],[SALDO CARTAO]]-Tabela1[[#This Row],[ADIANTAMENTO]]</f>
        <v>326.00000000000017</v>
      </c>
      <c r="Q452" s="23">
        <f>Tabela1[[#This Row],[1QZ DE MARÇO 26]]-Tabela1[[#This Row],[SALDO PENDENTE SEM CX REPR.]]-Tabela1[[#This Row],[SALDO CARTAO]]-Tabela1[[#This Row],[ADIANTAMENTO]]</f>
        <v>-31431.880000000092</v>
      </c>
      <c r="R452" s="23">
        <v>0</v>
      </c>
      <c r="S452" s="40">
        <f>IF(Tabela1[[#This Row],[CARGA PARCIAL]]&lt;0,0,Tabela1[[#This Row],[CARGA PARCIAL]]+Tabela1[[#This Row],[REEMBOLSO]])</f>
        <v>326.00000000000017</v>
      </c>
      <c r="T452" s="40">
        <f>IF(Tabela1[[#This Row],[CARGA PARCIAL SEM CX REPROV.]]&lt;0,0,Tabela1[[#This Row],[CARGA PARCIAL]]+Tabela1[[#This Row],[REEMBOLSO]])</f>
        <v>0</v>
      </c>
      <c r="U452" s="27" t="s">
        <v>22</v>
      </c>
      <c r="V452" s="24"/>
    </row>
    <row r="453" spans="2:22" hidden="1" x14ac:dyDescent="0.25">
      <c r="B453" s="33" t="s">
        <v>1126</v>
      </c>
      <c r="C453" s="33" t="s">
        <v>438</v>
      </c>
      <c r="D453" s="33" t="s">
        <v>18</v>
      </c>
      <c r="E453" s="33" t="s">
        <v>400</v>
      </c>
      <c r="F453" s="33">
        <v>11080220001</v>
      </c>
      <c r="G453" s="33" t="s">
        <v>34</v>
      </c>
      <c r="H453" s="22" t="s">
        <v>35</v>
      </c>
      <c r="I453" s="23">
        <v>0</v>
      </c>
      <c r="J453" s="23">
        <v>2583.7300000000009</v>
      </c>
      <c r="K453" s="23">
        <v>0</v>
      </c>
      <c r="L453" s="23">
        <v>276.00000000000239</v>
      </c>
      <c r="M453" s="23">
        <v>1150</v>
      </c>
      <c r="N453" s="23">
        <v>0</v>
      </c>
      <c r="O453" s="23">
        <v>0</v>
      </c>
      <c r="P453" s="23">
        <f>Tabela1[[#This Row],[1QZ DE MARÇO 26]]-Tabela1[[#This Row],[SALDO PENDENTE COM CX REPR.]]-Tabela1[[#This Row],[SALDO CARTAO]]-Tabela1[[#This Row],[ADIANTAMENTO]]</f>
        <v>-1433.7300000000009</v>
      </c>
      <c r="Q453" s="23">
        <f>Tabela1[[#This Row],[1QZ DE MARÇO 26]]-Tabela1[[#This Row],[SALDO PENDENTE SEM CX REPR.]]-Tabela1[[#This Row],[SALDO CARTAO]]-Tabela1[[#This Row],[ADIANTAMENTO]]</f>
        <v>873.99999999999761</v>
      </c>
      <c r="R453" s="23">
        <v>0</v>
      </c>
      <c r="S453" s="40">
        <f>IF(Tabela1[[#This Row],[CARGA PARCIAL]]&lt;0,0,Tabela1[[#This Row],[CARGA PARCIAL]]+Tabela1[[#This Row],[REEMBOLSO]])</f>
        <v>0</v>
      </c>
      <c r="T453" s="40">
        <f>IF(Tabela1[[#This Row],[CARGA PARCIAL SEM CX REPROV.]]&lt;0,0,Tabela1[[#This Row],[CARGA PARCIAL]]+Tabela1[[#This Row],[REEMBOLSO]])</f>
        <v>-1433.7300000000009</v>
      </c>
      <c r="U453" s="24" t="s">
        <v>22</v>
      </c>
      <c r="V453" s="24"/>
    </row>
    <row r="454" spans="2:22" hidden="1" x14ac:dyDescent="0.25">
      <c r="B454" s="33" t="s">
        <v>1127</v>
      </c>
      <c r="C454" s="33" t="s">
        <v>148</v>
      </c>
      <c r="D454" s="33" t="s">
        <v>18</v>
      </c>
      <c r="E454" s="33" t="s">
        <v>149</v>
      </c>
      <c r="F454" s="33">
        <v>11062050001</v>
      </c>
      <c r="G454" s="33" t="s">
        <v>45</v>
      </c>
      <c r="H454" s="22" t="s">
        <v>39</v>
      </c>
      <c r="I454" s="23">
        <v>0</v>
      </c>
      <c r="J454" s="23">
        <v>368.19999999999982</v>
      </c>
      <c r="K454" s="23">
        <v>0</v>
      </c>
      <c r="L454" s="23">
        <v>0</v>
      </c>
      <c r="M454" s="23">
        <v>240</v>
      </c>
      <c r="N454" s="23">
        <v>307.2</v>
      </c>
      <c r="O454" s="23">
        <v>0</v>
      </c>
      <c r="P454" s="23">
        <f>Tabela1[[#This Row],[1QZ DE MARÇO 26]]-Tabela1[[#This Row],[SALDO PENDENTE COM CX REPR.]]-Tabela1[[#This Row],[SALDO CARTAO]]-Tabela1[[#This Row],[ADIANTAMENTO]]</f>
        <v>-435.39999999999981</v>
      </c>
      <c r="Q454" s="23">
        <f>Tabela1[[#This Row],[1QZ DE MARÇO 26]]-Tabela1[[#This Row],[SALDO PENDENTE SEM CX REPR.]]-Tabela1[[#This Row],[SALDO CARTAO]]-Tabela1[[#This Row],[ADIANTAMENTO]]</f>
        <v>-67.199999999999989</v>
      </c>
      <c r="R454" s="23">
        <v>0</v>
      </c>
      <c r="S454" s="40">
        <f>IF(Tabela1[[#This Row],[CARGA PARCIAL]]&lt;0,0,Tabela1[[#This Row],[CARGA PARCIAL]]+Tabela1[[#This Row],[REEMBOLSO]])</f>
        <v>0</v>
      </c>
      <c r="T454" s="40">
        <f>IF(Tabela1[[#This Row],[CARGA PARCIAL SEM CX REPROV.]]&lt;0,0,Tabela1[[#This Row],[CARGA PARCIAL]]+Tabela1[[#This Row],[REEMBOLSO]])</f>
        <v>0</v>
      </c>
      <c r="U454" s="24" t="s">
        <v>22</v>
      </c>
      <c r="V454" s="24"/>
    </row>
    <row r="455" spans="2:22" hidden="1" x14ac:dyDescent="0.25">
      <c r="B455" s="33" t="s">
        <v>1128</v>
      </c>
      <c r="C455" s="33" t="s">
        <v>669</v>
      </c>
      <c r="D455" s="33" t="s">
        <v>18</v>
      </c>
      <c r="E455" s="33" t="s">
        <v>532</v>
      </c>
      <c r="F455" s="33">
        <v>11063050001</v>
      </c>
      <c r="G455" s="33" t="s">
        <v>54</v>
      </c>
      <c r="H455" s="22" t="s">
        <v>39</v>
      </c>
      <c r="I455" s="23">
        <v>0</v>
      </c>
      <c r="J455" s="23">
        <v>3697</v>
      </c>
      <c r="K455" s="23">
        <v>0</v>
      </c>
      <c r="L455" s="23">
        <v>0</v>
      </c>
      <c r="M455" s="23">
        <v>0</v>
      </c>
      <c r="N455" s="23"/>
      <c r="O455" s="23">
        <v>0</v>
      </c>
      <c r="P455" s="23">
        <f>Tabela1[[#This Row],[1QZ DE MARÇO 26]]-Tabela1[[#This Row],[SALDO PENDENTE COM CX REPR.]]-Tabela1[[#This Row],[SALDO CARTAO]]-Tabela1[[#This Row],[ADIANTAMENTO]]</f>
        <v>-3697</v>
      </c>
      <c r="Q455" s="23">
        <f>Tabela1[[#This Row],[1QZ DE MARÇO 26]]-Tabela1[[#This Row],[SALDO PENDENTE SEM CX REPR.]]-Tabela1[[#This Row],[SALDO CARTAO]]-Tabela1[[#This Row],[ADIANTAMENTO]]</f>
        <v>0</v>
      </c>
      <c r="R455" s="23">
        <v>0</v>
      </c>
      <c r="S455" s="40">
        <f>IF(Tabela1[[#This Row],[CARGA PARCIAL]]&lt;0,0,Tabela1[[#This Row],[CARGA PARCIAL]]+Tabela1[[#This Row],[REEMBOLSO]])</f>
        <v>0</v>
      </c>
      <c r="T455" s="40">
        <f>IF(Tabela1[[#This Row],[CARGA PARCIAL SEM CX REPROV.]]&lt;0,0,Tabela1[[#This Row],[CARGA PARCIAL]]+Tabela1[[#This Row],[REEMBOLSO]])</f>
        <v>-3697</v>
      </c>
      <c r="U455" s="24" t="s">
        <v>22</v>
      </c>
      <c r="V455" s="24"/>
    </row>
    <row r="456" spans="2:22" hidden="1" x14ac:dyDescent="0.25">
      <c r="B456" s="31" t="s">
        <v>1129</v>
      </c>
      <c r="C456" s="32" t="s">
        <v>453</v>
      </c>
      <c r="D456" s="33" t="s">
        <v>18</v>
      </c>
      <c r="E456" s="33" t="s">
        <v>156</v>
      </c>
      <c r="F456" s="33">
        <v>11062670001</v>
      </c>
      <c r="G456" s="33" t="s">
        <v>38</v>
      </c>
      <c r="H456" s="22" t="s">
        <v>39</v>
      </c>
      <c r="I456" s="23">
        <v>0</v>
      </c>
      <c r="J456" s="23">
        <v>792.95</v>
      </c>
      <c r="K456" s="23">
        <v>0</v>
      </c>
      <c r="L456" s="23">
        <v>37.300000000005014</v>
      </c>
      <c r="M456" s="23">
        <v>800</v>
      </c>
      <c r="N456" s="23">
        <v>176.56</v>
      </c>
      <c r="O456" s="23">
        <v>0</v>
      </c>
      <c r="P456" s="23">
        <f>Tabela1[[#This Row],[1QZ DE MARÇO 26]]-Tabela1[[#This Row],[SALDO PENDENTE COM CX REPR.]]-Tabela1[[#This Row],[SALDO CARTAO]]-Tabela1[[#This Row],[ADIANTAMENTO]]</f>
        <v>-169.51000000000005</v>
      </c>
      <c r="Q456" s="23">
        <f>Tabela1[[#This Row],[1QZ DE MARÇO 26]]-Tabela1[[#This Row],[SALDO PENDENTE SEM CX REPR.]]-Tabela1[[#This Row],[SALDO CARTAO]]-Tabela1[[#This Row],[ADIANTAMENTO]]</f>
        <v>586.1399999999951</v>
      </c>
      <c r="R456" s="23">
        <v>0</v>
      </c>
      <c r="S456" s="40">
        <f>IF(Tabela1[[#This Row],[CARGA PARCIAL]]&lt;0,0,Tabela1[[#This Row],[CARGA PARCIAL]]+Tabela1[[#This Row],[REEMBOLSO]])</f>
        <v>0</v>
      </c>
      <c r="T456" s="40">
        <f>IF(Tabela1[[#This Row],[CARGA PARCIAL SEM CX REPROV.]]&lt;0,0,Tabela1[[#This Row],[CARGA PARCIAL]]+Tabela1[[#This Row],[REEMBOLSO]])</f>
        <v>-169.51000000000005</v>
      </c>
      <c r="U456" s="24" t="s">
        <v>22</v>
      </c>
      <c r="V456" s="24"/>
    </row>
    <row r="457" spans="2:22" x14ac:dyDescent="0.25">
      <c r="B457" s="33" t="s">
        <v>1130</v>
      </c>
      <c r="C457" s="33" t="s">
        <v>670</v>
      </c>
      <c r="D457" s="33" t="s">
        <v>18</v>
      </c>
      <c r="E457" s="33" t="s">
        <v>156</v>
      </c>
      <c r="F457" s="33">
        <v>11062670001</v>
      </c>
      <c r="G457" s="33" t="s">
        <v>38</v>
      </c>
      <c r="H457" s="33" t="s">
        <v>39</v>
      </c>
      <c r="I457" s="23">
        <v>0</v>
      </c>
      <c r="J457" s="23">
        <v>0</v>
      </c>
      <c r="K457" s="23">
        <v>0</v>
      </c>
      <c r="L457" s="23">
        <v>90.820000000004256</v>
      </c>
      <c r="M457" s="23">
        <v>800</v>
      </c>
      <c r="N457" s="23">
        <v>0</v>
      </c>
      <c r="O457" s="23">
        <v>0</v>
      </c>
      <c r="P457" s="23">
        <f>Tabela1[[#This Row],[1QZ DE MARÇO 26]]-Tabela1[[#This Row],[SALDO PENDENTE COM CX REPR.]]-Tabela1[[#This Row],[SALDO CARTAO]]-Tabela1[[#This Row],[ADIANTAMENTO]]</f>
        <v>800</v>
      </c>
      <c r="Q457" s="23">
        <f>Tabela1[[#This Row],[1QZ DE MARÇO 26]]-Tabela1[[#This Row],[SALDO PENDENTE SEM CX REPR.]]-Tabela1[[#This Row],[SALDO CARTAO]]-Tabela1[[#This Row],[ADIANTAMENTO]]</f>
        <v>709.17999999999574</v>
      </c>
      <c r="R457" s="23">
        <v>0</v>
      </c>
      <c r="S457" s="40">
        <f>IF(Tabela1[[#This Row],[CARGA PARCIAL]]&lt;0,0,Tabela1[[#This Row],[CARGA PARCIAL]]+Tabela1[[#This Row],[REEMBOLSO]])</f>
        <v>800</v>
      </c>
      <c r="T457" s="40">
        <f>IF(Tabela1[[#This Row],[CARGA PARCIAL SEM CX REPROV.]]&lt;0,0,Tabela1[[#This Row],[CARGA PARCIAL]]+Tabela1[[#This Row],[REEMBOLSO]])</f>
        <v>800</v>
      </c>
      <c r="U457" s="24" t="s">
        <v>22</v>
      </c>
      <c r="V457" s="24"/>
    </row>
    <row r="458" spans="2:22" x14ac:dyDescent="0.25">
      <c r="B458" s="33" t="s">
        <v>1131</v>
      </c>
      <c r="C458" s="33" t="s">
        <v>215</v>
      </c>
      <c r="D458" s="33" t="s">
        <v>18</v>
      </c>
      <c r="E458" s="33" t="s">
        <v>134</v>
      </c>
      <c r="F458" s="33">
        <v>11061720001</v>
      </c>
      <c r="G458" s="33" t="s">
        <v>42</v>
      </c>
      <c r="H458" s="22" t="s">
        <v>39</v>
      </c>
      <c r="I458" s="23">
        <v>0</v>
      </c>
      <c r="J458" s="23">
        <v>415.27000000000407</v>
      </c>
      <c r="K458" s="23">
        <v>0</v>
      </c>
      <c r="L458" s="23">
        <v>261.45000000000005</v>
      </c>
      <c r="M458" s="23">
        <v>800</v>
      </c>
      <c r="N458" s="23">
        <v>175.05</v>
      </c>
      <c r="O458" s="23">
        <v>0</v>
      </c>
      <c r="P458" s="23">
        <f>Tabela1[[#This Row],[1QZ DE MARÇO 26]]-Tabela1[[#This Row],[SALDO PENDENTE COM CX REPR.]]-Tabela1[[#This Row],[SALDO CARTAO]]-Tabela1[[#This Row],[ADIANTAMENTO]]</f>
        <v>209.67999999999591</v>
      </c>
      <c r="Q458" s="23">
        <f>Tabela1[[#This Row],[1QZ DE MARÇO 26]]-Tabela1[[#This Row],[SALDO PENDENTE SEM CX REPR.]]-Tabela1[[#This Row],[SALDO CARTAO]]-Tabela1[[#This Row],[ADIANTAMENTO]]</f>
        <v>363.49999999999994</v>
      </c>
      <c r="R458" s="23">
        <v>0</v>
      </c>
      <c r="S458" s="40">
        <f>IF(Tabela1[[#This Row],[CARGA PARCIAL]]&lt;0,0,Tabela1[[#This Row],[CARGA PARCIAL]]+Tabela1[[#This Row],[REEMBOLSO]])</f>
        <v>209.67999999999591</v>
      </c>
      <c r="T458" s="40">
        <f>IF(Tabela1[[#This Row],[CARGA PARCIAL SEM CX REPROV.]]&lt;0,0,Tabela1[[#This Row],[CARGA PARCIAL]]+Tabela1[[#This Row],[REEMBOLSO]])</f>
        <v>209.67999999999591</v>
      </c>
      <c r="U458" s="24" t="s">
        <v>22</v>
      </c>
      <c r="V458" s="24"/>
    </row>
    <row r="459" spans="2:22" x14ac:dyDescent="0.25">
      <c r="B459" s="33" t="s">
        <v>1132</v>
      </c>
      <c r="C459" s="33" t="s">
        <v>222</v>
      </c>
      <c r="D459" s="33" t="s">
        <v>18</v>
      </c>
      <c r="E459" s="33" t="s">
        <v>223</v>
      </c>
      <c r="F459" s="33">
        <v>11062640001</v>
      </c>
      <c r="G459" s="33" t="s">
        <v>38</v>
      </c>
      <c r="H459" s="33" t="s">
        <v>39</v>
      </c>
      <c r="I459" s="23">
        <v>0</v>
      </c>
      <c r="J459" s="23">
        <v>3987.5899999999747</v>
      </c>
      <c r="K459" s="23">
        <v>0</v>
      </c>
      <c r="L459" s="23">
        <v>164.06999999999971</v>
      </c>
      <c r="M459" s="23">
        <v>5000</v>
      </c>
      <c r="N459" s="23"/>
      <c r="O459" s="23">
        <v>0</v>
      </c>
      <c r="P459" s="23">
        <f>Tabela1[[#This Row],[1QZ DE MARÇO 26]]-Tabela1[[#This Row],[SALDO PENDENTE COM CX REPR.]]-Tabela1[[#This Row],[SALDO CARTAO]]-Tabela1[[#This Row],[ADIANTAMENTO]]</f>
        <v>1012.4100000000253</v>
      </c>
      <c r="Q459" s="23">
        <f>Tabela1[[#This Row],[1QZ DE MARÇO 26]]-Tabela1[[#This Row],[SALDO PENDENTE SEM CX REPR.]]-Tabela1[[#This Row],[SALDO CARTAO]]-Tabela1[[#This Row],[ADIANTAMENTO]]</f>
        <v>4835.93</v>
      </c>
      <c r="R459" s="23">
        <v>0</v>
      </c>
      <c r="S459" s="40">
        <f>IF(Tabela1[[#This Row],[CARGA PARCIAL]]&lt;0,0,Tabela1[[#This Row],[CARGA PARCIAL]]+Tabela1[[#This Row],[REEMBOLSO]])</f>
        <v>1012.4100000000253</v>
      </c>
      <c r="T459" s="40">
        <f>IF(Tabela1[[#This Row],[CARGA PARCIAL SEM CX REPROV.]]&lt;0,0,Tabela1[[#This Row],[CARGA PARCIAL]]+Tabela1[[#This Row],[REEMBOLSO]])</f>
        <v>1012.4100000000253</v>
      </c>
      <c r="U459" s="24" t="s">
        <v>22</v>
      </c>
      <c r="V459" s="24"/>
    </row>
    <row r="460" spans="2:22" hidden="1" x14ac:dyDescent="0.25">
      <c r="B460" s="37" t="s">
        <v>1133</v>
      </c>
      <c r="C460" s="32" t="s">
        <v>486</v>
      </c>
      <c r="D460" s="33" t="s">
        <v>18</v>
      </c>
      <c r="E460" s="33" t="s">
        <v>487</v>
      </c>
      <c r="F460" s="33">
        <v>11062110001</v>
      </c>
      <c r="G460" s="33" t="s">
        <v>42</v>
      </c>
      <c r="H460" s="22" t="s">
        <v>39</v>
      </c>
      <c r="I460" s="23">
        <v>0</v>
      </c>
      <c r="J460" s="23">
        <v>483.1</v>
      </c>
      <c r="K460" s="23">
        <v>0</v>
      </c>
      <c r="L460" s="23">
        <v>0</v>
      </c>
      <c r="M460" s="23">
        <v>300</v>
      </c>
      <c r="N460" s="23">
        <v>0</v>
      </c>
      <c r="O460" s="23">
        <v>0</v>
      </c>
      <c r="P460" s="23">
        <f>Tabela1[[#This Row],[1QZ DE MARÇO 26]]-Tabela1[[#This Row],[SALDO PENDENTE COM CX REPR.]]-Tabela1[[#This Row],[SALDO CARTAO]]-Tabela1[[#This Row],[ADIANTAMENTO]]</f>
        <v>-183.10000000000002</v>
      </c>
      <c r="Q460" s="23">
        <f>Tabela1[[#This Row],[1QZ DE MARÇO 26]]-Tabela1[[#This Row],[SALDO PENDENTE SEM CX REPR.]]-Tabela1[[#This Row],[SALDO CARTAO]]-Tabela1[[#This Row],[ADIANTAMENTO]]</f>
        <v>300</v>
      </c>
      <c r="R460" s="23">
        <v>0</v>
      </c>
      <c r="S460" s="40">
        <f>IF(Tabela1[[#This Row],[CARGA PARCIAL]]&lt;0,0,Tabela1[[#This Row],[CARGA PARCIAL]]+Tabela1[[#This Row],[REEMBOLSO]])</f>
        <v>0</v>
      </c>
      <c r="T460" s="40">
        <f>IF(Tabela1[[#This Row],[CARGA PARCIAL SEM CX REPROV.]]&lt;0,0,Tabela1[[#This Row],[CARGA PARCIAL]]+Tabela1[[#This Row],[REEMBOLSO]])</f>
        <v>-183.10000000000002</v>
      </c>
      <c r="U460" s="24" t="s">
        <v>22</v>
      </c>
      <c r="V460" s="24"/>
    </row>
    <row r="461" spans="2:22" x14ac:dyDescent="0.25">
      <c r="B461" s="33" t="s">
        <v>1134</v>
      </c>
      <c r="C461" s="33" t="s">
        <v>238</v>
      </c>
      <c r="D461" s="33" t="s">
        <v>18</v>
      </c>
      <c r="E461" s="33" t="s">
        <v>239</v>
      </c>
      <c r="F461" s="33">
        <v>11010150001</v>
      </c>
      <c r="G461" s="33" t="s">
        <v>42</v>
      </c>
      <c r="H461" s="22" t="s">
        <v>39</v>
      </c>
      <c r="I461" s="23">
        <v>0</v>
      </c>
      <c r="J461" s="23">
        <v>0</v>
      </c>
      <c r="K461" s="23">
        <v>-128.08000000000044</v>
      </c>
      <c r="L461" s="23">
        <v>0</v>
      </c>
      <c r="M461" s="23">
        <v>500</v>
      </c>
      <c r="N461" s="23">
        <v>0</v>
      </c>
      <c r="O461" s="23">
        <v>0</v>
      </c>
      <c r="P461" s="23">
        <f>Tabela1[[#This Row],[1QZ DE MARÇO 26]]-Tabela1[[#This Row],[SALDO PENDENTE COM CX REPR.]]-Tabela1[[#This Row],[SALDO CARTAO]]-Tabela1[[#This Row],[ADIANTAMENTO]]</f>
        <v>500</v>
      </c>
      <c r="Q461" s="23">
        <f>Tabela1[[#This Row],[1QZ DE MARÇO 26]]-Tabela1[[#This Row],[SALDO PENDENTE SEM CX REPR.]]-Tabela1[[#This Row],[SALDO CARTAO]]-Tabela1[[#This Row],[ADIANTAMENTO]]</f>
        <v>500</v>
      </c>
      <c r="R461" s="23">
        <v>0</v>
      </c>
      <c r="S461" s="40">
        <f>IF(Tabela1[[#This Row],[CARGA PARCIAL]]&lt;0,0,Tabela1[[#This Row],[CARGA PARCIAL]]+Tabela1[[#This Row],[REEMBOLSO]])</f>
        <v>500</v>
      </c>
      <c r="T461" s="40">
        <f>IF(Tabela1[[#This Row],[CARGA PARCIAL SEM CX REPROV.]]&lt;0,0,Tabela1[[#This Row],[CARGA PARCIAL]]+Tabela1[[#This Row],[REEMBOLSO]])</f>
        <v>500</v>
      </c>
      <c r="U461" s="24" t="s">
        <v>22</v>
      </c>
      <c r="V461" s="24"/>
    </row>
    <row r="462" spans="2:22" hidden="1" x14ac:dyDescent="0.25">
      <c r="B462" s="31" t="s">
        <v>1135</v>
      </c>
      <c r="C462" s="32" t="s">
        <v>499</v>
      </c>
      <c r="D462" s="33" t="s">
        <v>18</v>
      </c>
      <c r="E462" s="33" t="s">
        <v>149</v>
      </c>
      <c r="F462" s="33">
        <v>11062050001</v>
      </c>
      <c r="G462" s="33" t="s">
        <v>45</v>
      </c>
      <c r="H462" s="22" t="s">
        <v>39</v>
      </c>
      <c r="I462" s="23">
        <v>0</v>
      </c>
      <c r="J462" s="23">
        <v>184.01</v>
      </c>
      <c r="K462" s="23">
        <v>0</v>
      </c>
      <c r="L462" s="23">
        <v>1136.5900000000004</v>
      </c>
      <c r="M462" s="23">
        <v>180</v>
      </c>
      <c r="N462" s="23">
        <v>0</v>
      </c>
      <c r="O462" s="23">
        <v>0</v>
      </c>
      <c r="P462" s="23">
        <f>Tabela1[[#This Row],[1QZ DE MARÇO 26]]-Tabela1[[#This Row],[SALDO PENDENTE COM CX REPR.]]-Tabela1[[#This Row],[SALDO CARTAO]]-Tabela1[[#This Row],[ADIANTAMENTO]]</f>
        <v>-4.0099999999999909</v>
      </c>
      <c r="Q462" s="23">
        <f>Tabela1[[#This Row],[1QZ DE MARÇO 26]]-Tabela1[[#This Row],[SALDO PENDENTE SEM CX REPR.]]-Tabela1[[#This Row],[SALDO CARTAO]]-Tabela1[[#This Row],[ADIANTAMENTO]]</f>
        <v>-956.59000000000037</v>
      </c>
      <c r="R462" s="23">
        <v>0</v>
      </c>
      <c r="S462" s="40">
        <f>IF(Tabela1[[#This Row],[CARGA PARCIAL]]&lt;0,0,Tabela1[[#This Row],[CARGA PARCIAL]]+Tabela1[[#This Row],[REEMBOLSO]])</f>
        <v>0</v>
      </c>
      <c r="T462" s="40">
        <f>IF(Tabela1[[#This Row],[CARGA PARCIAL SEM CX REPROV.]]&lt;0,0,Tabela1[[#This Row],[CARGA PARCIAL]]+Tabela1[[#This Row],[REEMBOLSO]])</f>
        <v>0</v>
      </c>
      <c r="U462" s="24" t="s">
        <v>60</v>
      </c>
      <c r="V462" s="24"/>
    </row>
    <row r="463" spans="2:22" x14ac:dyDescent="0.25">
      <c r="B463" s="33" t="s">
        <v>875</v>
      </c>
      <c r="C463" s="33" t="s">
        <v>150</v>
      </c>
      <c r="D463" s="33" t="s">
        <v>18</v>
      </c>
      <c r="E463" s="33" t="s">
        <v>151</v>
      </c>
      <c r="F463" s="33">
        <v>11030820001</v>
      </c>
      <c r="G463" s="33" t="s">
        <v>34</v>
      </c>
      <c r="H463" s="33" t="s">
        <v>35</v>
      </c>
      <c r="I463" s="23">
        <v>-4275.0000000000146</v>
      </c>
      <c r="J463" s="23">
        <v>0</v>
      </c>
      <c r="K463" s="23">
        <v>0</v>
      </c>
      <c r="L463" s="23">
        <v>44.969999999999253</v>
      </c>
      <c r="M463" s="23">
        <v>2000</v>
      </c>
      <c r="N463" s="23">
        <v>0</v>
      </c>
      <c r="O463" s="23">
        <v>0</v>
      </c>
      <c r="P463" s="23">
        <f>Tabela1[[#This Row],[1QZ DE MARÇO 26]]-Tabela1[[#This Row],[SALDO PENDENTE COM CX REPR.]]-Tabela1[[#This Row],[SALDO CARTAO]]-Tabela1[[#This Row],[ADIANTAMENTO]]</f>
        <v>2000</v>
      </c>
      <c r="Q463" s="23">
        <f>Tabela1[[#This Row],[1QZ DE MARÇO 26]]-Tabela1[[#This Row],[SALDO PENDENTE SEM CX REPR.]]-Tabela1[[#This Row],[SALDO CARTAO]]-Tabela1[[#This Row],[ADIANTAMENTO]]</f>
        <v>1955.0300000000007</v>
      </c>
      <c r="R463" s="23">
        <v>4198.1499999999996</v>
      </c>
      <c r="S463" s="40">
        <f>IF(Tabela1[[#This Row],[CARGA PARCIAL]]&lt;0,0,Tabela1[[#This Row],[CARGA PARCIAL]]+Tabela1[[#This Row],[REEMBOLSO]])</f>
        <v>6198.15</v>
      </c>
      <c r="T463" s="40">
        <f>IF(Tabela1[[#This Row],[CARGA PARCIAL SEM CX REPROV.]]&lt;0,0,Tabela1[[#This Row],[CARGA PARCIAL]]+Tabela1[[#This Row],[REEMBOLSO]])</f>
        <v>6198.15</v>
      </c>
      <c r="U463" s="24" t="s">
        <v>22</v>
      </c>
      <c r="V463" s="24"/>
    </row>
    <row r="464" spans="2:22" hidden="1" x14ac:dyDescent="0.25">
      <c r="B464" s="37" t="s">
        <v>1137</v>
      </c>
      <c r="C464" s="32" t="s">
        <v>631</v>
      </c>
      <c r="D464" s="33" t="s">
        <v>18</v>
      </c>
      <c r="E464" s="33" t="s">
        <v>99</v>
      </c>
      <c r="F464" s="33">
        <v>11040040001</v>
      </c>
      <c r="G464" s="33" t="s">
        <v>25</v>
      </c>
      <c r="H464" s="22" t="s">
        <v>21</v>
      </c>
      <c r="I464" s="23">
        <v>0</v>
      </c>
      <c r="J464" s="23">
        <v>809.90999999999985</v>
      </c>
      <c r="K464" s="23">
        <v>0</v>
      </c>
      <c r="L464" s="23">
        <v>1381.6700000000005</v>
      </c>
      <c r="M464" s="23">
        <v>800</v>
      </c>
      <c r="N464" s="23">
        <v>256.60000000000002</v>
      </c>
      <c r="O464" s="23">
        <v>0</v>
      </c>
      <c r="P464" s="23">
        <f>Tabela1[[#This Row],[1QZ DE MARÇO 26]]-Tabela1[[#This Row],[SALDO PENDENTE COM CX REPR.]]-Tabela1[[#This Row],[SALDO CARTAO]]-Tabela1[[#This Row],[ADIANTAMENTO]]</f>
        <v>-266.50999999999988</v>
      </c>
      <c r="Q464" s="23">
        <f>Tabela1[[#This Row],[1QZ DE MARÇO 26]]-Tabela1[[#This Row],[SALDO PENDENTE SEM CX REPR.]]-Tabela1[[#This Row],[SALDO CARTAO]]-Tabela1[[#This Row],[ADIANTAMENTO]]</f>
        <v>-838.27000000000055</v>
      </c>
      <c r="R464" s="23">
        <v>0</v>
      </c>
      <c r="S464" s="40">
        <f>IF(Tabela1[[#This Row],[CARGA PARCIAL]]&lt;0,0,Tabela1[[#This Row],[CARGA PARCIAL]]+Tabela1[[#This Row],[REEMBOLSO]])</f>
        <v>0</v>
      </c>
      <c r="T464" s="40">
        <f>IF(Tabela1[[#This Row],[CARGA PARCIAL SEM CX REPROV.]]&lt;0,0,Tabela1[[#This Row],[CARGA PARCIAL]]+Tabela1[[#This Row],[REEMBOLSO]])</f>
        <v>0</v>
      </c>
      <c r="U464" s="24" t="s">
        <v>22</v>
      </c>
      <c r="V464" s="24"/>
    </row>
    <row r="465" spans="2:22" x14ac:dyDescent="0.25">
      <c r="B465" s="33" t="s">
        <v>1138</v>
      </c>
      <c r="C465" s="33" t="s">
        <v>105</v>
      </c>
      <c r="D465" s="33" t="s">
        <v>18</v>
      </c>
      <c r="E465" s="33" t="s">
        <v>677</v>
      </c>
      <c r="F465" s="33">
        <v>11062900001</v>
      </c>
      <c r="G465" s="33" t="s">
        <v>48</v>
      </c>
      <c r="H465" s="33" t="s">
        <v>35</v>
      </c>
      <c r="I465" s="23">
        <v>0</v>
      </c>
      <c r="J465" s="23">
        <v>528.33999999999287</v>
      </c>
      <c r="K465" s="23">
        <v>0</v>
      </c>
      <c r="L465" s="23">
        <v>408.24000000000069</v>
      </c>
      <c r="M465" s="23">
        <v>1500</v>
      </c>
      <c r="N465" s="23">
        <v>0</v>
      </c>
      <c r="O465" s="23">
        <v>0</v>
      </c>
      <c r="P465" s="23">
        <f>Tabela1[[#This Row],[1QZ DE MARÇO 26]]-Tabela1[[#This Row],[SALDO PENDENTE COM CX REPR.]]-Tabela1[[#This Row],[SALDO CARTAO]]-Tabela1[[#This Row],[ADIANTAMENTO]]</f>
        <v>971.66000000000713</v>
      </c>
      <c r="Q465" s="23">
        <f>Tabela1[[#This Row],[1QZ DE MARÇO 26]]-Tabela1[[#This Row],[SALDO PENDENTE SEM CX REPR.]]-Tabela1[[#This Row],[SALDO CARTAO]]-Tabela1[[#This Row],[ADIANTAMENTO]]</f>
        <v>1091.7599999999993</v>
      </c>
      <c r="R465" s="23">
        <v>0</v>
      </c>
      <c r="S465" s="40">
        <f>IF(Tabela1[[#This Row],[CARGA PARCIAL]]&lt;0,0,Tabela1[[#This Row],[CARGA PARCIAL]]+Tabela1[[#This Row],[REEMBOLSO]])</f>
        <v>971.66000000000713</v>
      </c>
      <c r="T465" s="40">
        <f>IF(Tabela1[[#This Row],[CARGA PARCIAL SEM CX REPROV.]]&lt;0,0,Tabela1[[#This Row],[CARGA PARCIAL]]+Tabela1[[#This Row],[REEMBOLSO]])</f>
        <v>971.66000000000713</v>
      </c>
      <c r="U465" s="24" t="s">
        <v>22</v>
      </c>
      <c r="V465" s="24"/>
    </row>
    <row r="466" spans="2:22" x14ac:dyDescent="0.25">
      <c r="B466" s="33" t="s">
        <v>1139</v>
      </c>
      <c r="C466" s="33" t="s">
        <v>294</v>
      </c>
      <c r="D466" s="33" t="s">
        <v>18</v>
      </c>
      <c r="E466" s="33" t="s">
        <v>134</v>
      </c>
      <c r="F466" s="33">
        <v>11061720001</v>
      </c>
      <c r="G466" s="33" t="s">
        <v>42</v>
      </c>
      <c r="H466" s="33" t="s">
        <v>39</v>
      </c>
      <c r="I466" s="23">
        <v>0</v>
      </c>
      <c r="J466" s="23">
        <v>21.149999999997078</v>
      </c>
      <c r="K466" s="23">
        <v>0</v>
      </c>
      <c r="L466" s="23">
        <v>235</v>
      </c>
      <c r="M466" s="23">
        <v>800</v>
      </c>
      <c r="N466" s="23">
        <v>0.8</v>
      </c>
      <c r="O466" s="23">
        <v>0</v>
      </c>
      <c r="P466" s="23">
        <f>Tabela1[[#This Row],[1QZ DE MARÇO 26]]-Tabela1[[#This Row],[SALDO PENDENTE COM CX REPR.]]-Tabela1[[#This Row],[SALDO CARTAO]]-Tabela1[[#This Row],[ADIANTAMENTO]]</f>
        <v>778.05000000000291</v>
      </c>
      <c r="Q466" s="23">
        <f>Tabela1[[#This Row],[1QZ DE MARÇO 26]]-Tabela1[[#This Row],[SALDO PENDENTE SEM CX REPR.]]-Tabela1[[#This Row],[SALDO CARTAO]]-Tabela1[[#This Row],[ADIANTAMENTO]]</f>
        <v>564.20000000000005</v>
      </c>
      <c r="R466" s="23">
        <v>0</v>
      </c>
      <c r="S466" s="40">
        <f>IF(Tabela1[[#This Row],[CARGA PARCIAL]]&lt;0,0,Tabela1[[#This Row],[CARGA PARCIAL]]+Tabela1[[#This Row],[REEMBOLSO]])</f>
        <v>778.05000000000291</v>
      </c>
      <c r="T466" s="40">
        <f>IF(Tabela1[[#This Row],[CARGA PARCIAL SEM CX REPROV.]]&lt;0,0,Tabela1[[#This Row],[CARGA PARCIAL]]+Tabela1[[#This Row],[REEMBOLSO]])</f>
        <v>778.05000000000291</v>
      </c>
      <c r="U466" s="24" t="s">
        <v>22</v>
      </c>
      <c r="V466" s="24"/>
    </row>
    <row r="467" spans="2:22" hidden="1" x14ac:dyDescent="0.25">
      <c r="B467" s="33" t="s">
        <v>1140</v>
      </c>
      <c r="C467" s="33" t="s">
        <v>638</v>
      </c>
      <c r="D467" s="33" t="s">
        <v>18</v>
      </c>
      <c r="E467" s="33" t="s">
        <v>44</v>
      </c>
      <c r="F467" s="33">
        <v>1104150001</v>
      </c>
      <c r="G467" s="33" t="s">
        <v>45</v>
      </c>
      <c r="H467" s="22" t="s">
        <v>39</v>
      </c>
      <c r="I467" s="23">
        <v>0</v>
      </c>
      <c r="J467" s="23">
        <v>484.71000000000203</v>
      </c>
      <c r="K467" s="23">
        <v>-962.80999999999369</v>
      </c>
      <c r="L467" s="23">
        <v>0</v>
      </c>
      <c r="M467" s="23">
        <v>0</v>
      </c>
      <c r="N467" s="23">
        <v>13</v>
      </c>
      <c r="O467" s="23">
        <v>0</v>
      </c>
      <c r="P467" s="23">
        <f>Tabela1[[#This Row],[1QZ DE MARÇO 26]]-Tabela1[[#This Row],[SALDO PENDENTE COM CX REPR.]]-Tabela1[[#This Row],[SALDO CARTAO]]-Tabela1[[#This Row],[ADIANTAMENTO]]</f>
        <v>-497.71000000000203</v>
      </c>
      <c r="Q467" s="23">
        <f>Tabela1[[#This Row],[1QZ DE MARÇO 26]]-Tabela1[[#This Row],[SALDO PENDENTE SEM CX REPR.]]-Tabela1[[#This Row],[SALDO CARTAO]]-Tabela1[[#This Row],[ADIANTAMENTO]]</f>
        <v>-13</v>
      </c>
      <c r="R467" s="23">
        <v>0</v>
      </c>
      <c r="S467" s="40">
        <f>IF(Tabela1[[#This Row],[CARGA PARCIAL]]&lt;0,0,Tabela1[[#This Row],[CARGA PARCIAL]]+Tabela1[[#This Row],[REEMBOLSO]])</f>
        <v>0</v>
      </c>
      <c r="T467" s="40">
        <f>IF(Tabela1[[#This Row],[CARGA PARCIAL SEM CX REPROV.]]&lt;0,0,Tabela1[[#This Row],[CARGA PARCIAL]]+Tabela1[[#This Row],[REEMBOLSO]])</f>
        <v>0</v>
      </c>
      <c r="U467" s="24" t="s">
        <v>22</v>
      </c>
      <c r="V467" s="24"/>
    </row>
    <row r="468" spans="2:22" x14ac:dyDescent="0.25">
      <c r="B468" s="31" t="s">
        <v>1141</v>
      </c>
      <c r="C468" s="32" t="s">
        <v>286</v>
      </c>
      <c r="D468" s="33" t="s">
        <v>18</v>
      </c>
      <c r="E468" s="33" t="s">
        <v>134</v>
      </c>
      <c r="F468" s="33">
        <v>11061720001</v>
      </c>
      <c r="G468" s="33" t="s">
        <v>42</v>
      </c>
      <c r="H468" s="22" t="s">
        <v>39</v>
      </c>
      <c r="I468" s="23">
        <v>0</v>
      </c>
      <c r="J468" s="23">
        <v>3.0695446184836328E-12</v>
      </c>
      <c r="K468" s="23">
        <v>0</v>
      </c>
      <c r="L468" s="23">
        <v>0</v>
      </c>
      <c r="M468" s="23">
        <v>800</v>
      </c>
      <c r="N468" s="23">
        <v>0</v>
      </c>
      <c r="O468" s="23">
        <v>0</v>
      </c>
      <c r="P468" s="23">
        <f>Tabela1[[#This Row],[1QZ DE MARÇO 26]]-Tabela1[[#This Row],[SALDO PENDENTE COM CX REPR.]]-Tabela1[[#This Row],[SALDO CARTAO]]-Tabela1[[#This Row],[ADIANTAMENTO]]</f>
        <v>799.99999999999693</v>
      </c>
      <c r="Q468" s="23">
        <f>Tabela1[[#This Row],[1QZ DE MARÇO 26]]-Tabela1[[#This Row],[SALDO PENDENTE SEM CX REPR.]]-Tabela1[[#This Row],[SALDO CARTAO]]-Tabela1[[#This Row],[ADIANTAMENTO]]</f>
        <v>800</v>
      </c>
      <c r="R468" s="23">
        <v>0</v>
      </c>
      <c r="S468" s="40">
        <f>IF(Tabela1[[#This Row],[CARGA PARCIAL]]&lt;0,0,Tabela1[[#This Row],[CARGA PARCIAL]]+Tabela1[[#This Row],[REEMBOLSO]])</f>
        <v>799.99999999999693</v>
      </c>
      <c r="T468" s="40">
        <f>IF(Tabela1[[#This Row],[CARGA PARCIAL SEM CX REPROV.]]&lt;0,0,Tabela1[[#This Row],[CARGA PARCIAL]]+Tabela1[[#This Row],[REEMBOLSO]])</f>
        <v>799.99999999999693</v>
      </c>
      <c r="U468" s="24" t="s">
        <v>22</v>
      </c>
      <c r="V468" s="24"/>
    </row>
    <row r="469" spans="2:22" x14ac:dyDescent="0.25">
      <c r="B469" s="33" t="s">
        <v>1142</v>
      </c>
      <c r="C469" s="33" t="s">
        <v>639</v>
      </c>
      <c r="D469" s="33" t="s">
        <v>18</v>
      </c>
      <c r="E469" s="33" t="s">
        <v>412</v>
      </c>
      <c r="F469" s="33">
        <v>11061890001</v>
      </c>
      <c r="G469" s="33" t="s">
        <v>39</v>
      </c>
      <c r="H469" s="22" t="s">
        <v>39</v>
      </c>
      <c r="I469" s="23">
        <v>0</v>
      </c>
      <c r="J469" s="23">
        <v>0</v>
      </c>
      <c r="K469" s="23">
        <v>-316.0499999999995</v>
      </c>
      <c r="L469" s="23">
        <v>0</v>
      </c>
      <c r="M469" s="23">
        <v>2500</v>
      </c>
      <c r="N469" s="23">
        <v>6</v>
      </c>
      <c r="O469" s="23">
        <v>0</v>
      </c>
      <c r="P469" s="23">
        <f>Tabela1[[#This Row],[1QZ DE MARÇO 26]]-Tabela1[[#This Row],[SALDO PENDENTE COM CX REPR.]]-Tabela1[[#This Row],[SALDO CARTAO]]-Tabela1[[#This Row],[ADIANTAMENTO]]</f>
        <v>2494</v>
      </c>
      <c r="Q469" s="23">
        <f>Tabela1[[#This Row],[1QZ DE MARÇO 26]]-Tabela1[[#This Row],[SALDO PENDENTE SEM CX REPR.]]-Tabela1[[#This Row],[SALDO CARTAO]]-Tabela1[[#This Row],[ADIANTAMENTO]]</f>
        <v>2494</v>
      </c>
      <c r="R469" s="23">
        <v>0</v>
      </c>
      <c r="S469" s="40">
        <f>IF(Tabela1[[#This Row],[CARGA PARCIAL]]&lt;0,0,Tabela1[[#This Row],[CARGA PARCIAL]]+Tabela1[[#This Row],[REEMBOLSO]])</f>
        <v>2494</v>
      </c>
      <c r="T469" s="40">
        <f>IF(Tabela1[[#This Row],[CARGA PARCIAL SEM CX REPROV.]]&lt;0,0,Tabela1[[#This Row],[CARGA PARCIAL]]+Tabela1[[#This Row],[REEMBOLSO]])</f>
        <v>2494</v>
      </c>
      <c r="U469" s="24" t="s">
        <v>22</v>
      </c>
      <c r="V469" s="24"/>
    </row>
    <row r="470" spans="2:22" hidden="1" x14ac:dyDescent="0.25">
      <c r="B470" s="33" t="s">
        <v>1143</v>
      </c>
      <c r="C470" s="33" t="s">
        <v>640</v>
      </c>
      <c r="D470" s="33" t="s">
        <v>18</v>
      </c>
      <c r="E470" s="33" t="s">
        <v>115</v>
      </c>
      <c r="F470" s="33">
        <v>11060700001</v>
      </c>
      <c r="G470" s="33" t="s">
        <v>48</v>
      </c>
      <c r="H470" s="33" t="s">
        <v>35</v>
      </c>
      <c r="I470" s="23">
        <v>0</v>
      </c>
      <c r="J470" s="23">
        <v>19.3</v>
      </c>
      <c r="K470" s="23">
        <v>0</v>
      </c>
      <c r="L470" s="23">
        <v>960</v>
      </c>
      <c r="M470" s="23">
        <v>0</v>
      </c>
      <c r="N470" s="23">
        <v>380.05</v>
      </c>
      <c r="O470" s="23">
        <v>0</v>
      </c>
      <c r="P470" s="23">
        <f>Tabela1[[#This Row],[1QZ DE MARÇO 26]]-Tabela1[[#This Row],[SALDO PENDENTE COM CX REPR.]]-Tabela1[[#This Row],[SALDO CARTAO]]-Tabela1[[#This Row],[ADIANTAMENTO]]</f>
        <v>-399.35</v>
      </c>
      <c r="Q470" s="23">
        <f>Tabela1[[#This Row],[1QZ DE MARÇO 26]]-Tabela1[[#This Row],[SALDO PENDENTE SEM CX REPR.]]-Tabela1[[#This Row],[SALDO CARTAO]]-Tabela1[[#This Row],[ADIANTAMENTO]]</f>
        <v>-1340.05</v>
      </c>
      <c r="R470" s="23">
        <v>0</v>
      </c>
      <c r="S470" s="40">
        <f>IF(Tabela1[[#This Row],[CARGA PARCIAL]]&lt;0,0,Tabela1[[#This Row],[CARGA PARCIAL]]+Tabela1[[#This Row],[REEMBOLSO]])</f>
        <v>0</v>
      </c>
      <c r="T470" s="40">
        <f>IF(Tabela1[[#This Row],[CARGA PARCIAL SEM CX REPROV.]]&lt;0,0,Tabela1[[#This Row],[CARGA PARCIAL]]+Tabela1[[#This Row],[REEMBOLSO]])</f>
        <v>0</v>
      </c>
      <c r="U470" s="24" t="s">
        <v>22</v>
      </c>
      <c r="V470" s="24"/>
    </row>
    <row r="471" spans="2:22" hidden="1" x14ac:dyDescent="0.25">
      <c r="B471" s="31" t="s">
        <v>1144</v>
      </c>
      <c r="C471" s="32" t="s">
        <v>186</v>
      </c>
      <c r="D471" s="33" t="s">
        <v>18</v>
      </c>
      <c r="E471" s="33" t="s">
        <v>187</v>
      </c>
      <c r="F471" s="33">
        <v>11061390001</v>
      </c>
      <c r="G471" s="33" t="s">
        <v>54</v>
      </c>
      <c r="H471" s="22" t="s">
        <v>39</v>
      </c>
      <c r="I471" s="23">
        <v>0</v>
      </c>
      <c r="J471" s="23">
        <v>1138.2999999999884</v>
      </c>
      <c r="K471" s="23">
        <v>0</v>
      </c>
      <c r="L471" s="23">
        <v>2547.0400000000127</v>
      </c>
      <c r="M471" s="23">
        <v>2700</v>
      </c>
      <c r="N471" s="23">
        <v>343.84</v>
      </c>
      <c r="O471" s="23">
        <v>0</v>
      </c>
      <c r="P471" s="23">
        <f>Tabela1[[#This Row],[1QZ DE MARÇO 26]]-Tabela1[[#This Row],[SALDO PENDENTE COM CX REPR.]]-Tabela1[[#This Row],[SALDO CARTAO]]-Tabela1[[#This Row],[ADIANTAMENTO]]</f>
        <v>1217.8600000000117</v>
      </c>
      <c r="Q471" s="23">
        <f>Tabela1[[#This Row],[1QZ DE MARÇO 26]]-Tabela1[[#This Row],[SALDO PENDENTE SEM CX REPR.]]-Tabela1[[#This Row],[SALDO CARTAO]]-Tabela1[[#This Row],[ADIANTAMENTO]]</f>
        <v>-190.88000000001267</v>
      </c>
      <c r="R471" s="23">
        <v>0</v>
      </c>
      <c r="S471" s="40">
        <f>IF(Tabela1[[#This Row],[CARGA PARCIAL]]&lt;0,0,Tabela1[[#This Row],[CARGA PARCIAL]]+Tabela1[[#This Row],[REEMBOLSO]])</f>
        <v>1217.8600000000117</v>
      </c>
      <c r="T471" s="40">
        <f>IF(Tabela1[[#This Row],[CARGA PARCIAL SEM CX REPROV.]]&lt;0,0,Tabela1[[#This Row],[CARGA PARCIAL]]+Tabela1[[#This Row],[REEMBOLSO]])</f>
        <v>0</v>
      </c>
      <c r="U471" s="24" t="s">
        <v>22</v>
      </c>
      <c r="V471" s="24"/>
    </row>
    <row r="472" spans="2:22" hidden="1" x14ac:dyDescent="0.25">
      <c r="B472" s="33" t="s">
        <v>1145</v>
      </c>
      <c r="C472" s="33" t="s">
        <v>641</v>
      </c>
      <c r="D472" s="33" t="s">
        <v>18</v>
      </c>
      <c r="E472" s="33" t="s">
        <v>88</v>
      </c>
      <c r="F472" s="33">
        <v>11040130001</v>
      </c>
      <c r="G472" s="33" t="s">
        <v>45</v>
      </c>
      <c r="H472" s="33" t="s">
        <v>39</v>
      </c>
      <c r="I472" s="23">
        <v>0</v>
      </c>
      <c r="J472" s="23">
        <v>724.95999999999992</v>
      </c>
      <c r="K472" s="23">
        <v>0</v>
      </c>
      <c r="L472" s="23">
        <v>1235.46</v>
      </c>
      <c r="M472" s="23">
        <v>0</v>
      </c>
      <c r="N472" s="23">
        <v>282.64</v>
      </c>
      <c r="O472" s="23">
        <v>0</v>
      </c>
      <c r="P472" s="23">
        <f>Tabela1[[#This Row],[1QZ DE MARÇO 26]]-Tabela1[[#This Row],[SALDO PENDENTE COM CX REPR.]]-Tabela1[[#This Row],[SALDO CARTAO]]-Tabela1[[#This Row],[ADIANTAMENTO]]</f>
        <v>-1007.5999999999999</v>
      </c>
      <c r="Q472" s="23">
        <f>Tabela1[[#This Row],[1QZ DE MARÇO 26]]-Tabela1[[#This Row],[SALDO PENDENTE SEM CX REPR.]]-Tabela1[[#This Row],[SALDO CARTAO]]-Tabela1[[#This Row],[ADIANTAMENTO]]</f>
        <v>-1518.1</v>
      </c>
      <c r="R472" s="23">
        <v>0</v>
      </c>
      <c r="S472" s="40">
        <f>IF(Tabela1[[#This Row],[CARGA PARCIAL]]&lt;0,0,Tabela1[[#This Row],[CARGA PARCIAL]]+Tabela1[[#This Row],[REEMBOLSO]])</f>
        <v>0</v>
      </c>
      <c r="T472" s="40">
        <f>IF(Tabela1[[#This Row],[CARGA PARCIAL SEM CX REPROV.]]&lt;0,0,Tabela1[[#This Row],[CARGA PARCIAL]]+Tabela1[[#This Row],[REEMBOLSO]])</f>
        <v>0</v>
      </c>
      <c r="U472" s="24" t="s">
        <v>22</v>
      </c>
      <c r="V472" s="24"/>
    </row>
    <row r="473" spans="2:22" hidden="1" x14ac:dyDescent="0.25">
      <c r="B473" s="33" t="s">
        <v>1146</v>
      </c>
      <c r="C473" s="33" t="s">
        <v>369</v>
      </c>
      <c r="D473" s="33" t="s">
        <v>18</v>
      </c>
      <c r="E473" s="33" t="s">
        <v>370</v>
      </c>
      <c r="F473" s="33">
        <v>11061370001</v>
      </c>
      <c r="G473" s="33" t="s">
        <v>42</v>
      </c>
      <c r="H473" s="33" t="s">
        <v>39</v>
      </c>
      <c r="I473" s="23">
        <v>0</v>
      </c>
      <c r="J473" s="23">
        <v>7.25</v>
      </c>
      <c r="K473" s="23">
        <v>0</v>
      </c>
      <c r="L473" s="23">
        <v>2581.9599999999996</v>
      </c>
      <c r="M473" s="23">
        <v>0</v>
      </c>
      <c r="N473" s="23">
        <v>0</v>
      </c>
      <c r="O473" s="23">
        <v>0</v>
      </c>
      <c r="P473" s="23">
        <f>Tabela1[[#This Row],[1QZ DE MARÇO 26]]-Tabela1[[#This Row],[SALDO PENDENTE COM CX REPR.]]-Tabela1[[#This Row],[SALDO CARTAO]]-Tabela1[[#This Row],[ADIANTAMENTO]]</f>
        <v>-7.25</v>
      </c>
      <c r="Q473" s="23">
        <f>Tabela1[[#This Row],[1QZ DE MARÇO 26]]-Tabela1[[#This Row],[SALDO PENDENTE SEM CX REPR.]]-Tabela1[[#This Row],[SALDO CARTAO]]-Tabela1[[#This Row],[ADIANTAMENTO]]</f>
        <v>-2581.9599999999996</v>
      </c>
      <c r="R473" s="23">
        <v>0</v>
      </c>
      <c r="S473" s="40">
        <f>IF(Tabela1[[#This Row],[CARGA PARCIAL]]&lt;0,0,Tabela1[[#This Row],[CARGA PARCIAL]]+Tabela1[[#This Row],[REEMBOLSO]])</f>
        <v>0</v>
      </c>
      <c r="T473" s="40">
        <f>IF(Tabela1[[#This Row],[CARGA PARCIAL SEM CX REPROV.]]&lt;0,0,Tabela1[[#This Row],[CARGA PARCIAL]]+Tabela1[[#This Row],[REEMBOLSO]])</f>
        <v>0</v>
      </c>
      <c r="U473" s="24" t="s">
        <v>22</v>
      </c>
      <c r="V473" s="24"/>
    </row>
    <row r="474" spans="2:22" hidden="1" x14ac:dyDescent="0.25">
      <c r="B474" s="33" t="s">
        <v>1147</v>
      </c>
      <c r="C474" s="33" t="s">
        <v>354</v>
      </c>
      <c r="D474" s="33" t="s">
        <v>18</v>
      </c>
      <c r="E474" s="33" t="s">
        <v>56</v>
      </c>
      <c r="F474" s="33">
        <v>11061770001</v>
      </c>
      <c r="G474" s="33" t="s">
        <v>54</v>
      </c>
      <c r="H474" s="33" t="s">
        <v>39</v>
      </c>
      <c r="I474" s="23">
        <v>0</v>
      </c>
      <c r="J474" s="23">
        <v>13.099999999998545</v>
      </c>
      <c r="K474" s="23">
        <v>0</v>
      </c>
      <c r="L474" s="23">
        <v>347.6</v>
      </c>
      <c r="M474" s="23">
        <v>200</v>
      </c>
      <c r="N474" s="23">
        <v>0</v>
      </c>
      <c r="O474" s="23">
        <v>0</v>
      </c>
      <c r="P474" s="23">
        <f>Tabela1[[#This Row],[1QZ DE MARÇO 26]]-Tabela1[[#This Row],[SALDO PENDENTE COM CX REPR.]]-Tabela1[[#This Row],[SALDO CARTAO]]-Tabela1[[#This Row],[ADIANTAMENTO]]</f>
        <v>186.90000000000146</v>
      </c>
      <c r="Q474" s="23">
        <f>Tabela1[[#This Row],[1QZ DE MARÇO 26]]-Tabela1[[#This Row],[SALDO PENDENTE SEM CX REPR.]]-Tabela1[[#This Row],[SALDO CARTAO]]-Tabela1[[#This Row],[ADIANTAMENTO]]</f>
        <v>-147.60000000000002</v>
      </c>
      <c r="R474" s="23">
        <v>0</v>
      </c>
      <c r="S474" s="40">
        <f>IF(Tabela1[[#This Row],[CARGA PARCIAL]]&lt;0,0,Tabela1[[#This Row],[CARGA PARCIAL]]+Tabela1[[#This Row],[REEMBOLSO]])</f>
        <v>186.90000000000146</v>
      </c>
      <c r="T474" s="40">
        <f>IF(Tabela1[[#This Row],[CARGA PARCIAL SEM CX REPROV.]]&lt;0,0,Tabela1[[#This Row],[CARGA PARCIAL]]+Tabela1[[#This Row],[REEMBOLSO]])</f>
        <v>0</v>
      </c>
      <c r="U474" s="24" t="s">
        <v>22</v>
      </c>
      <c r="V474" s="24"/>
    </row>
    <row r="475" spans="2:22" x14ac:dyDescent="0.25">
      <c r="B475" s="33" t="s">
        <v>1148</v>
      </c>
      <c r="C475" s="33" t="s">
        <v>246</v>
      </c>
      <c r="D475" s="33" t="s">
        <v>18</v>
      </c>
      <c r="E475" s="33" t="s">
        <v>247</v>
      </c>
      <c r="F475" s="33">
        <v>11061980001</v>
      </c>
      <c r="G475" s="33" t="s">
        <v>54</v>
      </c>
      <c r="H475" s="33" t="s">
        <v>39</v>
      </c>
      <c r="I475" s="23">
        <v>0</v>
      </c>
      <c r="J475" s="23">
        <v>379.09999999999991</v>
      </c>
      <c r="K475" s="23">
        <v>0</v>
      </c>
      <c r="L475" s="23">
        <v>185.92999999999975</v>
      </c>
      <c r="M475" s="23">
        <v>500</v>
      </c>
      <c r="N475" s="23">
        <v>9</v>
      </c>
      <c r="O475" s="23">
        <v>0</v>
      </c>
      <c r="P475" s="23">
        <f>Tabela1[[#This Row],[1QZ DE MARÇO 26]]-Tabela1[[#This Row],[SALDO PENDENTE COM CX REPR.]]-Tabela1[[#This Row],[SALDO CARTAO]]-Tabela1[[#This Row],[ADIANTAMENTO]]</f>
        <v>111.90000000000009</v>
      </c>
      <c r="Q475" s="23">
        <f>Tabela1[[#This Row],[1QZ DE MARÇO 26]]-Tabela1[[#This Row],[SALDO PENDENTE SEM CX REPR.]]-Tabela1[[#This Row],[SALDO CARTAO]]-Tabela1[[#This Row],[ADIANTAMENTO]]</f>
        <v>305.07000000000028</v>
      </c>
      <c r="R475" s="23">
        <v>0</v>
      </c>
      <c r="S475" s="40">
        <f>IF(Tabela1[[#This Row],[CARGA PARCIAL]]&lt;0,0,Tabela1[[#This Row],[CARGA PARCIAL]]+Tabela1[[#This Row],[REEMBOLSO]])</f>
        <v>111.90000000000009</v>
      </c>
      <c r="T475" s="40">
        <f>IF(Tabela1[[#This Row],[CARGA PARCIAL SEM CX REPROV.]]&lt;0,0,Tabela1[[#This Row],[CARGA PARCIAL]]+Tabela1[[#This Row],[REEMBOLSO]])</f>
        <v>111.90000000000009</v>
      </c>
      <c r="U475" s="24" t="s">
        <v>22</v>
      </c>
      <c r="V475" s="24"/>
    </row>
    <row r="476" spans="2:22" hidden="1" x14ac:dyDescent="0.25">
      <c r="B476" s="33" t="s">
        <v>1149</v>
      </c>
      <c r="C476" s="33" t="s">
        <v>642</v>
      </c>
      <c r="D476" s="33" t="s">
        <v>18</v>
      </c>
      <c r="E476" s="33" t="s">
        <v>643</v>
      </c>
      <c r="F476" s="33">
        <v>11061410001</v>
      </c>
      <c r="G476" s="33" t="s">
        <v>42</v>
      </c>
      <c r="H476" s="33" t="s">
        <v>39</v>
      </c>
      <c r="I476" s="23">
        <v>0</v>
      </c>
      <c r="J476" s="23">
        <v>0</v>
      </c>
      <c r="K476" s="23">
        <v>0</v>
      </c>
      <c r="L476" s="23">
        <v>328.10000000000014</v>
      </c>
      <c r="M476" s="23">
        <v>0</v>
      </c>
      <c r="N476" s="23">
        <v>112.08</v>
      </c>
      <c r="O476" s="23">
        <v>0</v>
      </c>
      <c r="P476" s="23">
        <f>Tabela1[[#This Row],[1QZ DE MARÇO 26]]-Tabela1[[#This Row],[SALDO PENDENTE COM CX REPR.]]-Tabela1[[#This Row],[SALDO CARTAO]]-Tabela1[[#This Row],[ADIANTAMENTO]]</f>
        <v>-112.08</v>
      </c>
      <c r="Q476" s="23">
        <f>Tabela1[[#This Row],[1QZ DE MARÇO 26]]-Tabela1[[#This Row],[SALDO PENDENTE SEM CX REPR.]]-Tabela1[[#This Row],[SALDO CARTAO]]-Tabela1[[#This Row],[ADIANTAMENTO]]</f>
        <v>-440.18000000000012</v>
      </c>
      <c r="R476" s="23">
        <v>0</v>
      </c>
      <c r="S476" s="40">
        <f>IF(Tabela1[[#This Row],[CARGA PARCIAL]]&lt;0,0,Tabela1[[#This Row],[CARGA PARCIAL]]+Tabela1[[#This Row],[REEMBOLSO]])</f>
        <v>0</v>
      </c>
      <c r="T476" s="40">
        <f>IF(Tabela1[[#This Row],[CARGA PARCIAL SEM CX REPROV.]]&lt;0,0,Tabela1[[#This Row],[CARGA PARCIAL]]+Tabela1[[#This Row],[REEMBOLSO]])</f>
        <v>0</v>
      </c>
      <c r="U476" s="24" t="s">
        <v>60</v>
      </c>
      <c r="V476" s="24"/>
    </row>
    <row r="477" spans="2:22" hidden="1" x14ac:dyDescent="0.25">
      <c r="B477" s="33" t="s">
        <v>1150</v>
      </c>
      <c r="C477" s="33" t="s">
        <v>644</v>
      </c>
      <c r="D477" s="33" t="s">
        <v>18</v>
      </c>
      <c r="E477" s="33" t="s">
        <v>88</v>
      </c>
      <c r="F477" s="33">
        <v>11040130001</v>
      </c>
      <c r="G477" s="33" t="s">
        <v>45</v>
      </c>
      <c r="H477" s="33" t="s">
        <v>39</v>
      </c>
      <c r="I477" s="23">
        <v>0</v>
      </c>
      <c r="J477" s="23">
        <v>1.0658141036401503E-13</v>
      </c>
      <c r="K477" s="23">
        <v>0</v>
      </c>
      <c r="L477" s="23">
        <v>0</v>
      </c>
      <c r="M477" s="23">
        <v>0</v>
      </c>
      <c r="N477" s="23">
        <v>0</v>
      </c>
      <c r="O477" s="23">
        <v>0</v>
      </c>
      <c r="P477" s="23">
        <f>Tabela1[[#This Row],[1QZ DE MARÇO 26]]-Tabela1[[#This Row],[SALDO PENDENTE COM CX REPR.]]-Tabela1[[#This Row],[SALDO CARTAO]]-Tabela1[[#This Row],[ADIANTAMENTO]]</f>
        <v>-1.0658141036401503E-13</v>
      </c>
      <c r="Q477" s="23">
        <f>Tabela1[[#This Row],[1QZ DE MARÇO 26]]-Tabela1[[#This Row],[SALDO PENDENTE SEM CX REPR.]]-Tabela1[[#This Row],[SALDO CARTAO]]-Tabela1[[#This Row],[ADIANTAMENTO]]</f>
        <v>0</v>
      </c>
      <c r="R477" s="23">
        <v>0</v>
      </c>
      <c r="S477" s="40">
        <f>IF(Tabela1[[#This Row],[CARGA PARCIAL]]&lt;0,0,Tabela1[[#This Row],[CARGA PARCIAL]]+Tabela1[[#This Row],[REEMBOLSO]])</f>
        <v>0</v>
      </c>
      <c r="T477" s="40">
        <f>IF(Tabela1[[#This Row],[CARGA PARCIAL SEM CX REPROV.]]&lt;0,0,Tabela1[[#This Row],[CARGA PARCIAL]]+Tabela1[[#This Row],[REEMBOLSO]])</f>
        <v>-1.0658141036401503E-13</v>
      </c>
      <c r="U477" s="24" t="s">
        <v>22</v>
      </c>
      <c r="V477" s="24"/>
    </row>
    <row r="478" spans="2:22" hidden="1" x14ac:dyDescent="0.25">
      <c r="B478" s="33" t="s">
        <v>1151</v>
      </c>
      <c r="C478" s="33" t="s">
        <v>645</v>
      </c>
      <c r="D478" s="33" t="s">
        <v>18</v>
      </c>
      <c r="E478" s="33" t="s">
        <v>646</v>
      </c>
      <c r="F478" s="33">
        <v>11010220001</v>
      </c>
      <c r="G478" s="33" t="s">
        <v>25</v>
      </c>
      <c r="H478" s="33" t="s">
        <v>21</v>
      </c>
      <c r="I478" s="23">
        <v>0</v>
      </c>
      <c r="J478" s="23">
        <v>0</v>
      </c>
      <c r="K478" s="23">
        <v>-2.2737367544323206E-13</v>
      </c>
      <c r="L478" s="23">
        <v>0</v>
      </c>
      <c r="M478" s="23">
        <v>0</v>
      </c>
      <c r="N478" s="23">
        <v>57</v>
      </c>
      <c r="O478" s="23">
        <v>0</v>
      </c>
      <c r="P478" s="23">
        <f>Tabela1[[#This Row],[1QZ DE MARÇO 26]]-Tabela1[[#This Row],[SALDO PENDENTE COM CX REPR.]]-Tabela1[[#This Row],[SALDO CARTAO]]-Tabela1[[#This Row],[ADIANTAMENTO]]</f>
        <v>-57</v>
      </c>
      <c r="Q478" s="23">
        <f>Tabela1[[#This Row],[1QZ DE MARÇO 26]]-Tabela1[[#This Row],[SALDO PENDENTE SEM CX REPR.]]-Tabela1[[#This Row],[SALDO CARTAO]]-Tabela1[[#This Row],[ADIANTAMENTO]]</f>
        <v>-57</v>
      </c>
      <c r="R478" s="23">
        <v>0</v>
      </c>
      <c r="S478" s="40">
        <f>IF(Tabela1[[#This Row],[CARGA PARCIAL]]&lt;0,0,Tabela1[[#This Row],[CARGA PARCIAL]]+Tabela1[[#This Row],[REEMBOLSO]])</f>
        <v>0</v>
      </c>
      <c r="T478" s="40">
        <f>IF(Tabela1[[#This Row],[CARGA PARCIAL SEM CX REPROV.]]&lt;0,0,Tabela1[[#This Row],[CARGA PARCIAL]]+Tabela1[[#This Row],[REEMBOLSO]])</f>
        <v>0</v>
      </c>
      <c r="U478" s="24" t="s">
        <v>22</v>
      </c>
      <c r="V478" s="24"/>
    </row>
    <row r="479" spans="2:22" hidden="1" x14ac:dyDescent="0.25">
      <c r="B479" s="33" t="s">
        <v>1152</v>
      </c>
      <c r="C479" s="33" t="s">
        <v>1153</v>
      </c>
      <c r="D479" s="33" t="s">
        <v>18</v>
      </c>
      <c r="E479" s="33" t="s">
        <v>532</v>
      </c>
      <c r="F479" s="33">
        <v>11063050001</v>
      </c>
      <c r="G479" s="33" t="s">
        <v>54</v>
      </c>
      <c r="H479" s="33" t="s">
        <v>39</v>
      </c>
      <c r="I479" s="23">
        <v>0</v>
      </c>
      <c r="J479" s="23">
        <v>0</v>
      </c>
      <c r="K479" s="23">
        <v>0</v>
      </c>
      <c r="L479" s="23">
        <v>2473.7500000000036</v>
      </c>
      <c r="M479" s="23">
        <v>0</v>
      </c>
      <c r="N479" s="23">
        <v>0</v>
      </c>
      <c r="O479" s="23">
        <v>0</v>
      </c>
      <c r="P479" s="23">
        <f>Tabela1[[#This Row],[1QZ DE MARÇO 26]]-Tabela1[[#This Row],[SALDO PENDENTE COM CX REPR.]]-Tabela1[[#This Row],[SALDO CARTAO]]-Tabela1[[#This Row],[ADIANTAMENTO]]</f>
        <v>0</v>
      </c>
      <c r="Q479" s="23">
        <f>Tabela1[[#This Row],[1QZ DE MARÇO 26]]-Tabela1[[#This Row],[SALDO PENDENTE SEM CX REPR.]]-Tabela1[[#This Row],[SALDO CARTAO]]-Tabela1[[#This Row],[ADIANTAMENTO]]</f>
        <v>-2473.7500000000036</v>
      </c>
      <c r="R479" s="23">
        <v>0</v>
      </c>
      <c r="S479" s="40">
        <f>IF(Tabela1[[#This Row],[CARGA PARCIAL]]&lt;0,0,Tabela1[[#This Row],[CARGA PARCIAL]]+Tabela1[[#This Row],[REEMBOLSO]])</f>
        <v>0</v>
      </c>
      <c r="T479" s="40">
        <f>IF(Tabela1[[#This Row],[CARGA PARCIAL SEM CX REPROV.]]&lt;0,0,Tabela1[[#This Row],[CARGA PARCIAL]]+Tabela1[[#This Row],[REEMBOLSO]])</f>
        <v>0</v>
      </c>
      <c r="U479" s="24" t="s">
        <v>22</v>
      </c>
      <c r="V479" s="24"/>
    </row>
    <row r="480" spans="2:22" hidden="1" x14ac:dyDescent="0.25">
      <c r="B480" s="33" t="s">
        <v>1154</v>
      </c>
      <c r="C480" s="33" t="s">
        <v>1155</v>
      </c>
      <c r="D480" s="33" t="s">
        <v>18</v>
      </c>
      <c r="E480" s="33" t="s">
        <v>532</v>
      </c>
      <c r="F480" s="33">
        <v>11063050001</v>
      </c>
      <c r="G480" s="33" t="s">
        <v>54</v>
      </c>
      <c r="H480" s="33" t="s">
        <v>39</v>
      </c>
      <c r="I480" s="23">
        <v>0</v>
      </c>
      <c r="J480" s="23">
        <v>0</v>
      </c>
      <c r="K480" s="23">
        <v>0</v>
      </c>
      <c r="L480" s="23">
        <v>9267.2599999999948</v>
      </c>
      <c r="M480" s="23">
        <v>0</v>
      </c>
      <c r="N480" s="23">
        <v>53.88</v>
      </c>
      <c r="O480" s="23">
        <v>0</v>
      </c>
      <c r="P480" s="23">
        <f>Tabela1[[#This Row],[1QZ DE MARÇO 26]]-Tabela1[[#This Row],[SALDO PENDENTE COM CX REPR.]]-Tabela1[[#This Row],[SALDO CARTAO]]-Tabela1[[#This Row],[ADIANTAMENTO]]</f>
        <v>-53.88</v>
      </c>
      <c r="Q480" s="23">
        <f>Tabela1[[#This Row],[1QZ DE MARÇO 26]]-Tabela1[[#This Row],[SALDO PENDENTE SEM CX REPR.]]-Tabela1[[#This Row],[SALDO CARTAO]]-Tabela1[[#This Row],[ADIANTAMENTO]]</f>
        <v>-9321.139999999994</v>
      </c>
      <c r="R480" s="23">
        <v>0</v>
      </c>
      <c r="S480" s="40">
        <f>IF(Tabela1[[#This Row],[CARGA PARCIAL]]&lt;0,0,Tabela1[[#This Row],[CARGA PARCIAL]]+Tabela1[[#This Row],[REEMBOLSO]])</f>
        <v>0</v>
      </c>
      <c r="T480" s="40">
        <f>IF(Tabela1[[#This Row],[CARGA PARCIAL SEM CX REPROV.]]&lt;0,0,Tabela1[[#This Row],[CARGA PARCIAL]]+Tabela1[[#This Row],[REEMBOLSO]])</f>
        <v>0</v>
      </c>
      <c r="U480" s="24" t="s">
        <v>22</v>
      </c>
      <c r="V480" s="24"/>
    </row>
    <row r="481" spans="2:22" x14ac:dyDescent="0.25">
      <c r="B481" s="33" t="s">
        <v>1156</v>
      </c>
      <c r="C481" s="33" t="s">
        <v>1157</v>
      </c>
      <c r="D481" s="33" t="s">
        <v>18</v>
      </c>
      <c r="E481" s="33" t="s">
        <v>319</v>
      </c>
      <c r="F481" s="33">
        <v>11061430001</v>
      </c>
      <c r="G481" s="33" t="s">
        <v>25</v>
      </c>
      <c r="H481" s="22" t="s">
        <v>21</v>
      </c>
      <c r="I481" s="23">
        <v>0</v>
      </c>
      <c r="J481" s="23">
        <v>0</v>
      </c>
      <c r="K481" s="23">
        <v>-72.200000000004636</v>
      </c>
      <c r="L481" s="23">
        <v>0</v>
      </c>
      <c r="M481" s="23">
        <v>1100</v>
      </c>
      <c r="N481" s="23">
        <v>0</v>
      </c>
      <c r="O481" s="23">
        <v>0</v>
      </c>
      <c r="P481" s="23">
        <f>Tabela1[[#This Row],[1QZ DE MARÇO 26]]-Tabela1[[#This Row],[SALDO PENDENTE COM CX REPR.]]-Tabela1[[#This Row],[SALDO CARTAO]]-Tabela1[[#This Row],[ADIANTAMENTO]]</f>
        <v>1100</v>
      </c>
      <c r="Q481" s="23">
        <f>Tabela1[[#This Row],[1QZ DE MARÇO 26]]-Tabela1[[#This Row],[SALDO PENDENTE SEM CX REPR.]]-Tabela1[[#This Row],[SALDO CARTAO]]-Tabela1[[#This Row],[ADIANTAMENTO]]</f>
        <v>1100</v>
      </c>
      <c r="R481" s="23">
        <v>0</v>
      </c>
      <c r="S481" s="40">
        <f>IF(Tabela1[[#This Row],[CARGA PARCIAL]]&lt;0,0,Tabela1[[#This Row],[CARGA PARCIAL]]+Tabela1[[#This Row],[REEMBOLSO]])</f>
        <v>1100</v>
      </c>
      <c r="T481" s="40">
        <f>IF(Tabela1[[#This Row],[CARGA PARCIAL SEM CX REPROV.]]&lt;0,0,Tabela1[[#This Row],[CARGA PARCIAL]]+Tabela1[[#This Row],[REEMBOLSO]])</f>
        <v>1100</v>
      </c>
      <c r="U481" s="24" t="s">
        <v>22</v>
      </c>
      <c r="V481" s="24"/>
    </row>
  </sheetData>
  <mergeCells count="1">
    <mergeCell ref="U4:V4"/>
  </mergeCells>
  <phoneticPr fontId="10" type="noConversion"/>
  <conditionalFormatting sqref="B6">
    <cfRule type="duplicateValues" dxfId="4" priority="3"/>
  </conditionalFormatting>
  <conditionalFormatting sqref="B203:B1048576 B1:B6">
    <cfRule type="duplicateValues" dxfId="3" priority="5"/>
  </conditionalFormatting>
  <conditionalFormatting sqref="B1:C6">
    <cfRule type="duplicateValues" dxfId="2" priority="4"/>
  </conditionalFormatting>
  <conditionalFormatting sqref="I7:L481">
    <cfRule type="containsText" dxfId="1" priority="1" operator="containsText" text="PROCESSADO">
      <formula>NOT(ISERROR(SEARCH("PROCESSADO",I7)))</formula>
    </cfRule>
    <cfRule type="containsText" dxfId="0" priority="2" operator="containsText" text="BLOQUEADO">
      <formula>NOT(ISERROR(SEARCH("BLOQUEADO",I7)))</formula>
    </cfRule>
  </conditionalFormatting>
  <pageMargins left="0.511811024" right="0.511811024" top="0.78740157499999996" bottom="0.78740157499999996" header="0.31496062000000002" footer="0.31496062000000002"/>
  <ignoredErrors>
    <ignoredError sqref="R6" calculatedColumn="1"/>
  </ignoredErrors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B42D-8C6B-49BD-8B5E-E3B645B22914}">
  <dimension ref="A1:I163"/>
  <sheetViews>
    <sheetView showGridLines="0" topLeftCell="A144" zoomScaleNormal="100" workbookViewId="0">
      <selection activeCell="C3" sqref="C3:C163"/>
    </sheetView>
  </sheetViews>
  <sheetFormatPr defaultRowHeight="15" x14ac:dyDescent="0.25"/>
  <cols>
    <col min="1" max="1" width="42.28515625" bestFit="1" customWidth="1"/>
    <col min="2" max="2" width="12" bestFit="1" customWidth="1"/>
    <col min="3" max="3" width="26.7109375" bestFit="1" customWidth="1"/>
    <col min="4" max="4" width="19" bestFit="1" customWidth="1"/>
    <col min="5" max="5" width="21.85546875" bestFit="1" customWidth="1"/>
    <col min="6" max="6" width="28.28515625" style="58" bestFit="1" customWidth="1"/>
    <col min="8" max="8" width="18" bestFit="1" customWidth="1"/>
    <col min="9" max="9" width="36.85546875" bestFit="1" customWidth="1"/>
  </cols>
  <sheetData>
    <row r="1" spans="1:9" x14ac:dyDescent="0.25">
      <c r="F1" s="58">
        <f>SUBTOTAL(9,F3:F163)</f>
        <v>250491.21000000046</v>
      </c>
    </row>
    <row r="2" spans="1:9" x14ac:dyDescent="0.25">
      <c r="A2" s="54" t="s">
        <v>3</v>
      </c>
      <c r="B2" s="54" t="s">
        <v>4</v>
      </c>
      <c r="C2" s="54" t="s">
        <v>6</v>
      </c>
      <c r="D2" s="54" t="s">
        <v>7</v>
      </c>
      <c r="E2" s="54" t="s">
        <v>8</v>
      </c>
      <c r="F2" s="56" t="s">
        <v>1160</v>
      </c>
      <c r="H2" s="59" t="s">
        <v>1167</v>
      </c>
      <c r="I2" t="s">
        <v>1169</v>
      </c>
    </row>
    <row r="3" spans="1:9" x14ac:dyDescent="0.25">
      <c r="A3" s="55" t="s">
        <v>680</v>
      </c>
      <c r="B3" s="55" t="s">
        <v>23</v>
      </c>
      <c r="C3" s="55" t="s">
        <v>24</v>
      </c>
      <c r="D3" s="55">
        <v>11030290001</v>
      </c>
      <c r="E3" s="55" t="s">
        <v>25</v>
      </c>
      <c r="F3" s="57">
        <v>9834.2800000000279</v>
      </c>
      <c r="H3" s="60">
        <v>1201071</v>
      </c>
      <c r="I3" s="58">
        <v>679.68</v>
      </c>
    </row>
    <row r="4" spans="1:9" x14ac:dyDescent="0.25">
      <c r="A4" s="55" t="s">
        <v>684</v>
      </c>
      <c r="B4" s="55" t="s">
        <v>217</v>
      </c>
      <c r="C4" s="55" t="s">
        <v>218</v>
      </c>
      <c r="D4" s="55">
        <v>11010140001</v>
      </c>
      <c r="E4" s="55" t="s">
        <v>54</v>
      </c>
      <c r="F4" s="57">
        <v>800</v>
      </c>
      <c r="H4" s="60">
        <v>1104150001</v>
      </c>
      <c r="I4" s="58">
        <v>5600</v>
      </c>
    </row>
    <row r="5" spans="1:9" x14ac:dyDescent="0.25">
      <c r="A5" s="55" t="s">
        <v>686</v>
      </c>
      <c r="B5" s="55" t="s">
        <v>72</v>
      </c>
      <c r="C5" s="55" t="s">
        <v>73</v>
      </c>
      <c r="D5" s="55">
        <v>11030690001</v>
      </c>
      <c r="E5" s="55" t="s">
        <v>42</v>
      </c>
      <c r="F5" s="57">
        <v>1643.56</v>
      </c>
      <c r="H5" s="60">
        <v>11010060001</v>
      </c>
      <c r="I5" s="58">
        <v>224.83000000000084</v>
      </c>
    </row>
    <row r="6" spans="1:9" x14ac:dyDescent="0.25">
      <c r="A6" s="55" t="s">
        <v>690</v>
      </c>
      <c r="B6" s="55" t="s">
        <v>126</v>
      </c>
      <c r="C6" s="55" t="s">
        <v>90</v>
      </c>
      <c r="D6" s="55">
        <v>11040170001</v>
      </c>
      <c r="E6" s="55" t="s">
        <v>91</v>
      </c>
      <c r="F6" s="57">
        <v>1600</v>
      </c>
      <c r="H6" s="60">
        <v>11010090001</v>
      </c>
      <c r="I6" s="58">
        <v>7.3399999999996908</v>
      </c>
    </row>
    <row r="7" spans="1:9" x14ac:dyDescent="0.25">
      <c r="A7" s="55" t="s">
        <v>691</v>
      </c>
      <c r="B7" s="55" t="s">
        <v>96</v>
      </c>
      <c r="C7" s="55" t="s">
        <v>97</v>
      </c>
      <c r="D7" s="55">
        <v>11061480001</v>
      </c>
      <c r="E7" s="55" t="s">
        <v>20</v>
      </c>
      <c r="F7" s="57">
        <v>857.66000000000008</v>
      </c>
      <c r="H7" s="60">
        <v>11010110001</v>
      </c>
      <c r="I7" s="58">
        <v>1000</v>
      </c>
    </row>
    <row r="8" spans="1:9" x14ac:dyDescent="0.25">
      <c r="A8" s="55" t="s">
        <v>1055</v>
      </c>
      <c r="B8" s="55" t="s">
        <v>248</v>
      </c>
      <c r="C8" s="55" t="s">
        <v>237</v>
      </c>
      <c r="D8" s="55">
        <v>1201071</v>
      </c>
      <c r="E8" s="55" t="s">
        <v>42</v>
      </c>
      <c r="F8" s="57">
        <v>679.68</v>
      </c>
      <c r="H8" s="60">
        <v>11010140001</v>
      </c>
      <c r="I8" s="58">
        <v>800</v>
      </c>
    </row>
    <row r="9" spans="1:9" x14ac:dyDescent="0.25">
      <c r="A9" s="55" t="s">
        <v>695</v>
      </c>
      <c r="B9" s="55" t="s">
        <v>292</v>
      </c>
      <c r="C9" s="55" t="s">
        <v>293</v>
      </c>
      <c r="D9" s="55">
        <v>11010060001</v>
      </c>
      <c r="E9" s="55" t="s">
        <v>20</v>
      </c>
      <c r="F9" s="57">
        <v>224.83000000000084</v>
      </c>
      <c r="H9" s="60">
        <v>11010150001</v>
      </c>
      <c r="I9" s="58">
        <v>500</v>
      </c>
    </row>
    <row r="10" spans="1:9" x14ac:dyDescent="0.25">
      <c r="A10" s="55" t="s">
        <v>706</v>
      </c>
      <c r="B10" s="55" t="s">
        <v>226</v>
      </c>
      <c r="C10" s="55" t="s">
        <v>227</v>
      </c>
      <c r="D10" s="55">
        <v>11061830001</v>
      </c>
      <c r="E10" s="55" t="s">
        <v>54</v>
      </c>
      <c r="F10" s="57">
        <v>500</v>
      </c>
      <c r="H10" s="60">
        <v>11010170001</v>
      </c>
      <c r="I10" s="58">
        <v>1506.0599999999995</v>
      </c>
    </row>
    <row r="11" spans="1:9" x14ac:dyDescent="0.25">
      <c r="A11" s="55" t="s">
        <v>713</v>
      </c>
      <c r="B11" s="55" t="s">
        <v>29</v>
      </c>
      <c r="C11" s="55" t="s">
        <v>24</v>
      </c>
      <c r="D11" s="55">
        <v>11030290001</v>
      </c>
      <c r="E11" s="55" t="s">
        <v>25</v>
      </c>
      <c r="F11" s="57">
        <v>8786.5600000000268</v>
      </c>
      <c r="H11" s="60">
        <v>11010180001</v>
      </c>
      <c r="I11" s="58">
        <v>798</v>
      </c>
    </row>
    <row r="12" spans="1:9" x14ac:dyDescent="0.25">
      <c r="A12" s="55" t="s">
        <v>717</v>
      </c>
      <c r="B12" s="55" t="s">
        <v>348</v>
      </c>
      <c r="C12" s="55" t="s">
        <v>202</v>
      </c>
      <c r="D12" s="55">
        <v>11010370001</v>
      </c>
      <c r="E12" s="55" t="s">
        <v>42</v>
      </c>
      <c r="F12" s="57">
        <v>189.19999999999939</v>
      </c>
      <c r="H12" s="60">
        <v>11010280001</v>
      </c>
      <c r="I12" s="58">
        <v>457.00000000000045</v>
      </c>
    </row>
    <row r="13" spans="1:9" x14ac:dyDescent="0.25">
      <c r="A13" s="55" t="s">
        <v>718</v>
      </c>
      <c r="B13" s="55" t="s">
        <v>50</v>
      </c>
      <c r="C13" s="55" t="s">
        <v>51</v>
      </c>
      <c r="D13" s="55">
        <v>11010400001</v>
      </c>
      <c r="E13" s="55" t="s">
        <v>25</v>
      </c>
      <c r="F13" s="57">
        <v>4500</v>
      </c>
      <c r="H13" s="60">
        <v>11010370001</v>
      </c>
      <c r="I13" s="58">
        <v>1418.1999999999994</v>
      </c>
    </row>
    <row r="14" spans="1:9" x14ac:dyDescent="0.25">
      <c r="A14" s="55" t="s">
        <v>720</v>
      </c>
      <c r="B14" s="55" t="s">
        <v>52</v>
      </c>
      <c r="C14" s="55" t="s">
        <v>53</v>
      </c>
      <c r="D14" s="55">
        <v>11030610001</v>
      </c>
      <c r="E14" s="55" t="s">
        <v>54</v>
      </c>
      <c r="F14" s="57">
        <v>2041.4900000000198</v>
      </c>
      <c r="H14" s="60">
        <v>11010400001</v>
      </c>
      <c r="I14" s="58">
        <v>4500</v>
      </c>
    </row>
    <row r="15" spans="1:9" x14ac:dyDescent="0.25">
      <c r="A15" s="55" t="s">
        <v>1063</v>
      </c>
      <c r="B15" s="55" t="s">
        <v>568</v>
      </c>
      <c r="C15" s="55" t="s">
        <v>143</v>
      </c>
      <c r="D15" s="55">
        <v>11030730001</v>
      </c>
      <c r="E15" s="55" t="s">
        <v>25</v>
      </c>
      <c r="F15" s="57">
        <v>640</v>
      </c>
      <c r="H15" s="60">
        <v>11010420001</v>
      </c>
      <c r="I15" s="58">
        <v>1572.7200000000003</v>
      </c>
    </row>
    <row r="16" spans="1:9" x14ac:dyDescent="0.25">
      <c r="A16" s="55" t="s">
        <v>728</v>
      </c>
      <c r="B16" s="55" t="s">
        <v>403</v>
      </c>
      <c r="C16" s="55" t="s">
        <v>404</v>
      </c>
      <c r="D16" s="55">
        <v>11061690001</v>
      </c>
      <c r="E16" s="55" t="s">
        <v>28</v>
      </c>
      <c r="F16" s="57">
        <v>2566.8800000000101</v>
      </c>
      <c r="H16" s="60">
        <v>11030260001</v>
      </c>
      <c r="I16" s="58">
        <v>13331.600000000064</v>
      </c>
    </row>
    <row r="17" spans="1:9" x14ac:dyDescent="0.25">
      <c r="A17" s="55" t="s">
        <v>730</v>
      </c>
      <c r="B17" s="55" t="s">
        <v>221</v>
      </c>
      <c r="C17" s="55" t="s">
        <v>134</v>
      </c>
      <c r="D17" s="55">
        <v>11061720001</v>
      </c>
      <c r="E17" s="55" t="s">
        <v>42</v>
      </c>
      <c r="F17" s="57">
        <v>800</v>
      </c>
      <c r="H17" s="60">
        <v>11030290001</v>
      </c>
      <c r="I17" s="58">
        <v>31096.950000000052</v>
      </c>
    </row>
    <row r="18" spans="1:9" x14ac:dyDescent="0.25">
      <c r="A18" s="55" t="s">
        <v>1009</v>
      </c>
      <c r="B18" s="55" t="s">
        <v>144</v>
      </c>
      <c r="C18" s="55" t="s">
        <v>145</v>
      </c>
      <c r="D18" s="55">
        <v>11062630001</v>
      </c>
      <c r="E18" s="55" t="s">
        <v>42</v>
      </c>
      <c r="F18" s="57">
        <v>1000</v>
      </c>
      <c r="H18" s="60">
        <v>11030580001</v>
      </c>
      <c r="I18" s="58">
        <v>421.15999999999985</v>
      </c>
    </row>
    <row r="19" spans="1:9" x14ac:dyDescent="0.25">
      <c r="A19" s="55" t="s">
        <v>697</v>
      </c>
      <c r="B19" s="55" t="s">
        <v>66</v>
      </c>
      <c r="C19" s="55" t="s">
        <v>67</v>
      </c>
      <c r="D19" s="55">
        <v>11030840001</v>
      </c>
      <c r="E19" s="55" t="s">
        <v>38</v>
      </c>
      <c r="F19" s="57">
        <v>2983.12</v>
      </c>
      <c r="H19" s="60">
        <v>11030590001</v>
      </c>
      <c r="I19" s="58">
        <v>1699.5199999999834</v>
      </c>
    </row>
    <row r="20" spans="1:9" x14ac:dyDescent="0.25">
      <c r="A20" s="55" t="s">
        <v>737</v>
      </c>
      <c r="B20" s="55" t="s">
        <v>421</v>
      </c>
      <c r="C20" s="55" t="s">
        <v>84</v>
      </c>
      <c r="D20" s="55">
        <v>11030750001</v>
      </c>
      <c r="E20" s="55" t="s">
        <v>38</v>
      </c>
      <c r="F20" s="57">
        <v>20.999999999985448</v>
      </c>
      <c r="H20" s="60">
        <v>11030600001</v>
      </c>
      <c r="I20" s="58">
        <v>1058.260000000075</v>
      </c>
    </row>
    <row r="21" spans="1:9" x14ac:dyDescent="0.25">
      <c r="A21" s="55" t="s">
        <v>742</v>
      </c>
      <c r="B21" s="55" t="s">
        <v>30</v>
      </c>
      <c r="C21" s="55" t="s">
        <v>31</v>
      </c>
      <c r="D21" s="55">
        <v>11061860001</v>
      </c>
      <c r="E21" s="55" t="s">
        <v>28</v>
      </c>
      <c r="F21" s="57">
        <v>4573.6399999999849</v>
      </c>
      <c r="H21" s="60">
        <v>11030610001</v>
      </c>
      <c r="I21" s="58">
        <v>2041.4900000000198</v>
      </c>
    </row>
    <row r="22" spans="1:9" x14ac:dyDescent="0.25">
      <c r="A22" s="55" t="s">
        <v>744</v>
      </c>
      <c r="B22" s="55" t="s">
        <v>399</v>
      </c>
      <c r="C22" s="55" t="s">
        <v>400</v>
      </c>
      <c r="D22" s="55">
        <v>11080220001</v>
      </c>
      <c r="E22" s="55" t="s">
        <v>34</v>
      </c>
      <c r="F22" s="57">
        <v>4943.170000000011</v>
      </c>
      <c r="H22" s="60">
        <v>11030620001</v>
      </c>
      <c r="I22" s="58">
        <v>2430.88</v>
      </c>
    </row>
    <row r="23" spans="1:9" x14ac:dyDescent="0.25">
      <c r="A23" s="55" t="s">
        <v>745</v>
      </c>
      <c r="B23" s="55" t="s">
        <v>413</v>
      </c>
      <c r="C23" s="55" t="s">
        <v>414</v>
      </c>
      <c r="D23" s="55">
        <v>11061940001</v>
      </c>
      <c r="E23" s="55" t="s">
        <v>42</v>
      </c>
      <c r="F23" s="57">
        <v>149.65999999999622</v>
      </c>
      <c r="H23" s="60">
        <v>11030630001</v>
      </c>
      <c r="I23" s="58">
        <v>2800</v>
      </c>
    </row>
    <row r="24" spans="1:9" x14ac:dyDescent="0.25">
      <c r="A24" s="55" t="s">
        <v>749</v>
      </c>
      <c r="B24" s="55" t="s">
        <v>343</v>
      </c>
      <c r="C24" s="55" t="s">
        <v>344</v>
      </c>
      <c r="D24" s="55">
        <v>11010090001</v>
      </c>
      <c r="E24" s="55" t="s">
        <v>38</v>
      </c>
      <c r="F24" s="57">
        <v>7.3399999999996908</v>
      </c>
      <c r="H24" s="60">
        <v>11030640001</v>
      </c>
      <c r="I24" s="58">
        <v>680.71999999999571</v>
      </c>
    </row>
    <row r="25" spans="1:9" x14ac:dyDescent="0.25">
      <c r="A25" s="55" t="s">
        <v>754</v>
      </c>
      <c r="B25" s="55" t="s">
        <v>78</v>
      </c>
      <c r="C25" s="55" t="s">
        <v>24</v>
      </c>
      <c r="D25" s="55">
        <v>11030290001</v>
      </c>
      <c r="E25" s="55" t="s">
        <v>25</v>
      </c>
      <c r="F25" s="57">
        <v>2394.6399999999994</v>
      </c>
      <c r="H25" s="60">
        <v>11030650001</v>
      </c>
      <c r="I25" s="58">
        <v>3000</v>
      </c>
    </row>
    <row r="26" spans="1:9" x14ac:dyDescent="0.25">
      <c r="A26" s="55" t="s">
        <v>755</v>
      </c>
      <c r="B26" s="55" t="s">
        <v>418</v>
      </c>
      <c r="C26" s="55" t="s">
        <v>419</v>
      </c>
      <c r="D26" s="55">
        <v>11030580001</v>
      </c>
      <c r="E26" s="55" t="s">
        <v>54</v>
      </c>
      <c r="F26" s="57">
        <v>421.15999999999985</v>
      </c>
      <c r="H26" s="60">
        <v>11030660001</v>
      </c>
      <c r="I26" s="58">
        <v>7347.5799999999936</v>
      </c>
    </row>
    <row r="27" spans="1:9" x14ac:dyDescent="0.25">
      <c r="A27" s="55" t="s">
        <v>759</v>
      </c>
      <c r="B27" s="55" t="s">
        <v>32</v>
      </c>
      <c r="C27" s="55" t="s">
        <v>33</v>
      </c>
      <c r="D27" s="55">
        <v>11061870001</v>
      </c>
      <c r="E27" s="55" t="s">
        <v>34</v>
      </c>
      <c r="F27" s="57">
        <v>1216.7300000000105</v>
      </c>
      <c r="H27" s="60">
        <v>11030690001</v>
      </c>
      <c r="I27" s="58">
        <v>2221.379999999996</v>
      </c>
    </row>
    <row r="28" spans="1:9" x14ac:dyDescent="0.25">
      <c r="A28" s="55" t="s">
        <v>761</v>
      </c>
      <c r="B28" s="55" t="s">
        <v>196</v>
      </c>
      <c r="C28" s="55" t="s">
        <v>134</v>
      </c>
      <c r="D28" s="55">
        <v>11061720001</v>
      </c>
      <c r="E28" s="55" t="s">
        <v>42</v>
      </c>
      <c r="F28" s="57">
        <v>510.00000000000125</v>
      </c>
      <c r="H28" s="60">
        <v>11030700001</v>
      </c>
      <c r="I28" s="58">
        <v>6568.9100000000144</v>
      </c>
    </row>
    <row r="29" spans="1:9" x14ac:dyDescent="0.25">
      <c r="A29" s="55" t="s">
        <v>763</v>
      </c>
      <c r="B29" s="55" t="s">
        <v>339</v>
      </c>
      <c r="C29" s="55" t="s">
        <v>149</v>
      </c>
      <c r="D29" s="55">
        <v>11062050001</v>
      </c>
      <c r="E29" s="55" t="s">
        <v>45</v>
      </c>
      <c r="F29" s="57">
        <v>119.6</v>
      </c>
      <c r="H29" s="60">
        <v>11030730001</v>
      </c>
      <c r="I29" s="58">
        <v>640</v>
      </c>
    </row>
    <row r="30" spans="1:9" x14ac:dyDescent="0.25">
      <c r="A30" s="55" t="s">
        <v>764</v>
      </c>
      <c r="B30" s="55" t="s">
        <v>263</v>
      </c>
      <c r="C30" s="55" t="s">
        <v>134</v>
      </c>
      <c r="D30" s="55">
        <v>11061720001</v>
      </c>
      <c r="E30" s="55" t="s">
        <v>42</v>
      </c>
      <c r="F30" s="57">
        <v>68.259999999997433</v>
      </c>
      <c r="H30" s="60">
        <v>11030750001</v>
      </c>
      <c r="I30" s="58">
        <v>5392.2600000000502</v>
      </c>
    </row>
    <row r="31" spans="1:9" x14ac:dyDescent="0.25">
      <c r="A31" s="55" t="s">
        <v>767</v>
      </c>
      <c r="B31" s="55" t="s">
        <v>316</v>
      </c>
      <c r="C31" s="55" t="s">
        <v>134</v>
      </c>
      <c r="D31" s="55">
        <v>11061720001</v>
      </c>
      <c r="E31" s="55" t="s">
        <v>42</v>
      </c>
      <c r="F31" s="57">
        <v>413.9899999999775</v>
      </c>
      <c r="H31" s="60">
        <v>11030760001</v>
      </c>
      <c r="I31" s="58">
        <v>708.68999999999915</v>
      </c>
    </row>
    <row r="32" spans="1:9" x14ac:dyDescent="0.25">
      <c r="A32" s="55" t="s">
        <v>769</v>
      </c>
      <c r="B32" s="55" t="s">
        <v>162</v>
      </c>
      <c r="C32" s="55" t="s">
        <v>163</v>
      </c>
      <c r="D32" s="55">
        <v>11062020001</v>
      </c>
      <c r="E32" s="55" t="s">
        <v>42</v>
      </c>
      <c r="F32" s="57">
        <v>2686.7100000000073</v>
      </c>
      <c r="H32" s="60">
        <v>11030770001</v>
      </c>
      <c r="I32" s="58">
        <v>1997.69</v>
      </c>
    </row>
    <row r="33" spans="1:9" x14ac:dyDescent="0.25">
      <c r="A33" s="55" t="s">
        <v>773</v>
      </c>
      <c r="B33" s="55" t="s">
        <v>203</v>
      </c>
      <c r="C33" s="55" t="s">
        <v>204</v>
      </c>
      <c r="D33" s="55">
        <v>11010110001</v>
      </c>
      <c r="E33" s="55" t="s">
        <v>54</v>
      </c>
      <c r="F33" s="57">
        <v>1000</v>
      </c>
      <c r="H33" s="60">
        <v>11030780001</v>
      </c>
      <c r="I33" s="58">
        <v>1987</v>
      </c>
    </row>
    <row r="34" spans="1:9" x14ac:dyDescent="0.25">
      <c r="A34" s="55" t="s">
        <v>775</v>
      </c>
      <c r="B34" s="55" t="s">
        <v>459</v>
      </c>
      <c r="C34" s="55" t="s">
        <v>460</v>
      </c>
      <c r="D34" s="55">
        <v>11010280001</v>
      </c>
      <c r="E34" s="55" t="s">
        <v>48</v>
      </c>
      <c r="F34" s="57">
        <v>457.00000000000045</v>
      </c>
      <c r="H34" s="60">
        <v>11030790001</v>
      </c>
      <c r="I34" s="58">
        <v>7496.4700000000885</v>
      </c>
    </row>
    <row r="35" spans="1:9" x14ac:dyDescent="0.25">
      <c r="A35" s="55" t="s">
        <v>776</v>
      </c>
      <c r="B35" s="55" t="s">
        <v>129</v>
      </c>
      <c r="C35" s="55" t="s">
        <v>130</v>
      </c>
      <c r="D35" s="55">
        <v>11061200001</v>
      </c>
      <c r="E35" s="55" t="s">
        <v>42</v>
      </c>
      <c r="F35" s="57">
        <v>2402.3299999999995</v>
      </c>
      <c r="H35" s="60">
        <v>11030820001</v>
      </c>
      <c r="I35" s="58">
        <v>6198.15</v>
      </c>
    </row>
    <row r="36" spans="1:9" x14ac:dyDescent="0.25">
      <c r="A36" s="55" t="s">
        <v>683</v>
      </c>
      <c r="B36" s="55" t="s">
        <v>197</v>
      </c>
      <c r="C36" s="55" t="s">
        <v>172</v>
      </c>
      <c r="D36" s="55">
        <v>11030860001</v>
      </c>
      <c r="E36" s="55" t="s">
        <v>42</v>
      </c>
      <c r="F36" s="57">
        <v>738.57</v>
      </c>
      <c r="H36" s="60">
        <v>11030830001</v>
      </c>
      <c r="I36" s="58">
        <v>10334.160000000016</v>
      </c>
    </row>
    <row r="37" spans="1:9" x14ac:dyDescent="0.25">
      <c r="A37" s="55" t="s">
        <v>779</v>
      </c>
      <c r="B37" s="55" t="s">
        <v>332</v>
      </c>
      <c r="C37" s="55" t="s">
        <v>88</v>
      </c>
      <c r="D37" s="55">
        <v>11040130001</v>
      </c>
      <c r="E37" s="55" t="s">
        <v>45</v>
      </c>
      <c r="F37" s="57">
        <v>23.000000000001393</v>
      </c>
      <c r="H37" s="60">
        <v>11030840001</v>
      </c>
      <c r="I37" s="58">
        <v>5161.8300000000036</v>
      </c>
    </row>
    <row r="38" spans="1:9" x14ac:dyDescent="0.25">
      <c r="A38" s="55" t="s">
        <v>781</v>
      </c>
      <c r="B38" s="55" t="s">
        <v>63</v>
      </c>
      <c r="C38" s="55" t="s">
        <v>41</v>
      </c>
      <c r="D38" s="55">
        <v>11030790001</v>
      </c>
      <c r="E38" s="55" t="s">
        <v>42</v>
      </c>
      <c r="F38" s="57">
        <v>1651.380000000001</v>
      </c>
      <c r="H38" s="60">
        <v>11030850001</v>
      </c>
      <c r="I38" s="58">
        <v>8611.2099999999991</v>
      </c>
    </row>
    <row r="39" spans="1:9" x14ac:dyDescent="0.25">
      <c r="A39" s="55" t="s">
        <v>782</v>
      </c>
      <c r="B39" s="55" t="s">
        <v>652</v>
      </c>
      <c r="C39" s="55" t="s">
        <v>675</v>
      </c>
      <c r="D39" s="55">
        <v>11030910001</v>
      </c>
      <c r="E39" s="55" t="s">
        <v>20</v>
      </c>
      <c r="F39" s="57">
        <v>2000</v>
      </c>
      <c r="H39" s="60">
        <v>11030860001</v>
      </c>
      <c r="I39" s="58">
        <v>1736.81</v>
      </c>
    </row>
    <row r="40" spans="1:9" x14ac:dyDescent="0.25">
      <c r="A40" s="55" t="s">
        <v>783</v>
      </c>
      <c r="B40" s="55" t="s">
        <v>209</v>
      </c>
      <c r="C40" s="55" t="s">
        <v>210</v>
      </c>
      <c r="D40" s="55">
        <v>11062660001</v>
      </c>
      <c r="E40" s="55" t="s">
        <v>54</v>
      </c>
      <c r="F40" s="57">
        <v>381.04999999999927</v>
      </c>
      <c r="H40" s="60">
        <v>11030870001</v>
      </c>
      <c r="I40" s="58">
        <v>4149.7799999999925</v>
      </c>
    </row>
    <row r="41" spans="1:9" x14ac:dyDescent="0.25">
      <c r="A41" s="55" t="s">
        <v>784</v>
      </c>
      <c r="B41" s="55" t="s">
        <v>357</v>
      </c>
      <c r="C41" s="55" t="s">
        <v>73</v>
      </c>
      <c r="D41" s="55">
        <v>11030690001</v>
      </c>
      <c r="E41" s="55" t="s">
        <v>42</v>
      </c>
      <c r="F41" s="57">
        <v>577.81999999999607</v>
      </c>
      <c r="H41" s="60">
        <v>11030890001</v>
      </c>
      <c r="I41" s="58">
        <v>5082.3000000000084</v>
      </c>
    </row>
    <row r="42" spans="1:9" x14ac:dyDescent="0.25">
      <c r="A42" s="55" t="s">
        <v>788</v>
      </c>
      <c r="B42" s="55" t="s">
        <v>480</v>
      </c>
      <c r="C42" s="55" t="s">
        <v>481</v>
      </c>
      <c r="D42" s="55">
        <v>11062610001</v>
      </c>
      <c r="E42" s="55" t="s">
        <v>20</v>
      </c>
      <c r="F42" s="57">
        <v>397.75</v>
      </c>
      <c r="H42" s="60">
        <v>11030910001</v>
      </c>
      <c r="I42" s="58">
        <v>2000</v>
      </c>
    </row>
    <row r="43" spans="1:9" x14ac:dyDescent="0.25">
      <c r="A43" s="55" t="s">
        <v>792</v>
      </c>
      <c r="B43" s="55" t="s">
        <v>461</v>
      </c>
      <c r="C43" s="55" t="s">
        <v>462</v>
      </c>
      <c r="D43" s="55">
        <v>11080460001</v>
      </c>
      <c r="E43" s="55" t="s">
        <v>20</v>
      </c>
      <c r="F43" s="57">
        <v>0.18999999999999773</v>
      </c>
      <c r="H43" s="60">
        <v>11040040001</v>
      </c>
      <c r="I43" s="58">
        <v>9113.6900000000205</v>
      </c>
    </row>
    <row r="44" spans="1:9" x14ac:dyDescent="0.25">
      <c r="A44" s="55" t="s">
        <v>800</v>
      </c>
      <c r="B44" s="55" t="s">
        <v>331</v>
      </c>
      <c r="C44" s="55" t="s">
        <v>212</v>
      </c>
      <c r="D44" s="55">
        <v>11061810001</v>
      </c>
      <c r="E44" s="55" t="s">
        <v>54</v>
      </c>
      <c r="F44" s="57">
        <v>109</v>
      </c>
      <c r="H44" s="60">
        <v>11040130001</v>
      </c>
      <c r="I44" s="58">
        <v>599.90000000000134</v>
      </c>
    </row>
    <row r="45" spans="1:9" x14ac:dyDescent="0.25">
      <c r="A45" s="55" t="s">
        <v>801</v>
      </c>
      <c r="B45" s="55" t="s">
        <v>216</v>
      </c>
      <c r="C45" s="55" t="s">
        <v>134</v>
      </c>
      <c r="D45" s="55">
        <v>11061720001</v>
      </c>
      <c r="E45" s="55" t="s">
        <v>42</v>
      </c>
      <c r="F45" s="57">
        <v>699.83999999999708</v>
      </c>
      <c r="H45" s="60">
        <v>11040140001</v>
      </c>
      <c r="I45" s="58">
        <v>630.34000000000026</v>
      </c>
    </row>
    <row r="46" spans="1:9" x14ac:dyDescent="0.25">
      <c r="A46" s="55" t="s">
        <v>988</v>
      </c>
      <c r="B46" s="55" t="s">
        <v>159</v>
      </c>
      <c r="C46" s="55" t="s">
        <v>134</v>
      </c>
      <c r="D46" s="55">
        <v>11061720001</v>
      </c>
      <c r="E46" s="55" t="s">
        <v>42</v>
      </c>
      <c r="F46" s="57">
        <v>800</v>
      </c>
      <c r="H46" s="60">
        <v>11040160001</v>
      </c>
      <c r="I46" s="58">
        <v>4073.9699999999966</v>
      </c>
    </row>
    <row r="47" spans="1:9" x14ac:dyDescent="0.25">
      <c r="A47" s="55" t="s">
        <v>821</v>
      </c>
      <c r="B47" s="55" t="s">
        <v>257</v>
      </c>
      <c r="C47" s="55" t="s">
        <v>134</v>
      </c>
      <c r="D47" s="55">
        <v>11061720001</v>
      </c>
      <c r="E47" s="55" t="s">
        <v>42</v>
      </c>
      <c r="F47" s="57">
        <v>790.16000000000076</v>
      </c>
      <c r="H47" s="60">
        <v>11040170001</v>
      </c>
      <c r="I47" s="58">
        <v>3458.1500000000146</v>
      </c>
    </row>
    <row r="48" spans="1:9" x14ac:dyDescent="0.25">
      <c r="A48" s="55" t="s">
        <v>823</v>
      </c>
      <c r="B48" s="55" t="s">
        <v>654</v>
      </c>
      <c r="C48" s="55" t="s">
        <v>156</v>
      </c>
      <c r="D48" s="55">
        <v>11062670001</v>
      </c>
      <c r="E48" s="55" t="s">
        <v>38</v>
      </c>
      <c r="F48" s="57">
        <v>800</v>
      </c>
      <c r="H48" s="60">
        <v>11060700001</v>
      </c>
      <c r="I48" s="58">
        <v>404.24000000000524</v>
      </c>
    </row>
    <row r="49" spans="1:9" x14ac:dyDescent="0.25">
      <c r="A49" s="55" t="s">
        <v>824</v>
      </c>
      <c r="B49" s="55" t="s">
        <v>190</v>
      </c>
      <c r="C49" s="55" t="s">
        <v>191</v>
      </c>
      <c r="D49" s="55">
        <v>11080170001</v>
      </c>
      <c r="E49" s="55" t="s">
        <v>38</v>
      </c>
      <c r="F49" s="57">
        <v>3000</v>
      </c>
      <c r="H49" s="60">
        <v>11060710001</v>
      </c>
      <c r="I49" s="58">
        <v>2860.2500000000437</v>
      </c>
    </row>
    <row r="50" spans="1:9" x14ac:dyDescent="0.25">
      <c r="A50" s="55" t="s">
        <v>826</v>
      </c>
      <c r="B50" s="55" t="s">
        <v>183</v>
      </c>
      <c r="C50" s="55" t="s">
        <v>97</v>
      </c>
      <c r="D50" s="55">
        <v>11061480001</v>
      </c>
      <c r="E50" s="55" t="s">
        <v>20</v>
      </c>
      <c r="F50" s="57">
        <v>666.52000000002272</v>
      </c>
      <c r="H50" s="60">
        <v>11061200001</v>
      </c>
      <c r="I50" s="58">
        <v>2402.3299999999995</v>
      </c>
    </row>
    <row r="51" spans="1:9" x14ac:dyDescent="0.25">
      <c r="A51" s="55" t="s">
        <v>829</v>
      </c>
      <c r="B51" s="55" t="s">
        <v>341</v>
      </c>
      <c r="C51" s="55" t="s">
        <v>342</v>
      </c>
      <c r="D51" s="55">
        <v>11030760001</v>
      </c>
      <c r="E51" s="55" t="s">
        <v>38</v>
      </c>
      <c r="F51" s="57">
        <v>708.68999999999915</v>
      </c>
      <c r="H51" s="60">
        <v>11061400001</v>
      </c>
      <c r="I51" s="58">
        <v>1409.7800000000111</v>
      </c>
    </row>
    <row r="52" spans="1:9" x14ac:dyDescent="0.25">
      <c r="A52" s="55" t="s">
        <v>833</v>
      </c>
      <c r="B52" s="55" t="s">
        <v>76</v>
      </c>
      <c r="C52" s="55" t="s">
        <v>77</v>
      </c>
      <c r="D52" s="55">
        <v>11030600001</v>
      </c>
      <c r="E52" s="55" t="s">
        <v>54</v>
      </c>
      <c r="F52" s="57">
        <v>1058.260000000075</v>
      </c>
      <c r="H52" s="60">
        <v>11061430001</v>
      </c>
      <c r="I52" s="58">
        <v>1100</v>
      </c>
    </row>
    <row r="53" spans="1:9" x14ac:dyDescent="0.25">
      <c r="A53" s="55" t="s">
        <v>734</v>
      </c>
      <c r="B53" s="55" t="s">
        <v>277</v>
      </c>
      <c r="C53" s="55" t="s">
        <v>95</v>
      </c>
      <c r="D53" s="55">
        <v>11040160001</v>
      </c>
      <c r="E53" s="55" t="s">
        <v>48</v>
      </c>
      <c r="F53" s="57">
        <v>700</v>
      </c>
      <c r="H53" s="60">
        <v>11061480001</v>
      </c>
      <c r="I53" s="58">
        <v>1524.1800000000228</v>
      </c>
    </row>
    <row r="54" spans="1:9" x14ac:dyDescent="0.25">
      <c r="A54" s="55" t="s">
        <v>840</v>
      </c>
      <c r="B54" s="55" t="s">
        <v>368</v>
      </c>
      <c r="C54" s="55" t="s">
        <v>163</v>
      </c>
      <c r="D54" s="55">
        <v>11062020001</v>
      </c>
      <c r="E54" s="55" t="s">
        <v>42</v>
      </c>
      <c r="F54" s="57">
        <v>197.06000000000074</v>
      </c>
      <c r="H54" s="60">
        <v>11061690001</v>
      </c>
      <c r="I54" s="58">
        <v>2566.8800000000101</v>
      </c>
    </row>
    <row r="55" spans="1:9" x14ac:dyDescent="0.25">
      <c r="A55" s="55" t="s">
        <v>843</v>
      </c>
      <c r="B55" s="55" t="s">
        <v>89</v>
      </c>
      <c r="C55" s="55" t="s">
        <v>90</v>
      </c>
      <c r="D55" s="55">
        <v>11040170001</v>
      </c>
      <c r="E55" s="55" t="s">
        <v>91</v>
      </c>
      <c r="F55" s="57">
        <v>692.91000000001804</v>
      </c>
      <c r="H55" s="60">
        <v>11061720001</v>
      </c>
      <c r="I55" s="58">
        <v>14150.349999999962</v>
      </c>
    </row>
    <row r="56" spans="1:9" x14ac:dyDescent="0.25">
      <c r="A56" s="55" t="s">
        <v>844</v>
      </c>
      <c r="B56" s="55" t="s">
        <v>251</v>
      </c>
      <c r="C56" s="55" t="s">
        <v>252</v>
      </c>
      <c r="D56" s="55">
        <v>11062740001</v>
      </c>
      <c r="E56" s="55" t="s">
        <v>25</v>
      </c>
      <c r="F56" s="57">
        <v>2069.6099999999983</v>
      </c>
      <c r="H56" s="60">
        <v>11061770001</v>
      </c>
      <c r="I56" s="58">
        <v>2455.89</v>
      </c>
    </row>
    <row r="57" spans="1:9" x14ac:dyDescent="0.25">
      <c r="A57" s="55" t="s">
        <v>845</v>
      </c>
      <c r="B57" s="55" t="s">
        <v>279</v>
      </c>
      <c r="C57" s="55" t="s">
        <v>99</v>
      </c>
      <c r="D57" s="55">
        <v>11040040001</v>
      </c>
      <c r="E57" s="55" t="s">
        <v>25</v>
      </c>
      <c r="F57" s="57">
        <v>2430.3300000000163</v>
      </c>
      <c r="H57" s="60">
        <v>11061810001</v>
      </c>
      <c r="I57" s="58">
        <v>486.89999999999964</v>
      </c>
    </row>
    <row r="58" spans="1:9" x14ac:dyDescent="0.25">
      <c r="A58" s="55" t="s">
        <v>715</v>
      </c>
      <c r="B58" s="55" t="s">
        <v>285</v>
      </c>
      <c r="C58" s="55" t="s">
        <v>283</v>
      </c>
      <c r="D58" s="55">
        <v>11040140001</v>
      </c>
      <c r="E58" s="55" t="s">
        <v>45</v>
      </c>
      <c r="F58" s="57">
        <v>353.6400000000001</v>
      </c>
      <c r="H58" s="60">
        <v>11061820001</v>
      </c>
      <c r="I58" s="58">
        <v>859.97000000000025</v>
      </c>
    </row>
    <row r="59" spans="1:9" x14ac:dyDescent="0.25">
      <c r="A59" s="55" t="s">
        <v>851</v>
      </c>
      <c r="B59" s="55" t="s">
        <v>178</v>
      </c>
      <c r="C59" s="55" t="s">
        <v>134</v>
      </c>
      <c r="D59" s="55">
        <v>11061720001</v>
      </c>
      <c r="E59" s="55" t="s">
        <v>42</v>
      </c>
      <c r="F59" s="57">
        <v>762.39999999999748</v>
      </c>
      <c r="H59" s="60">
        <v>11061830001</v>
      </c>
      <c r="I59" s="58">
        <v>500</v>
      </c>
    </row>
    <row r="60" spans="1:9" x14ac:dyDescent="0.25">
      <c r="A60" s="55" t="s">
        <v>1076</v>
      </c>
      <c r="B60" s="55" t="s">
        <v>307</v>
      </c>
      <c r="C60" s="55" t="s">
        <v>88</v>
      </c>
      <c r="D60" s="55">
        <v>11040130001</v>
      </c>
      <c r="E60" s="55" t="s">
        <v>45</v>
      </c>
      <c r="F60" s="57">
        <v>435.6</v>
      </c>
      <c r="H60" s="60">
        <v>11061860001</v>
      </c>
      <c r="I60" s="58">
        <v>4573.6399999999849</v>
      </c>
    </row>
    <row r="61" spans="1:9" x14ac:dyDescent="0.25">
      <c r="A61" s="55" t="s">
        <v>869</v>
      </c>
      <c r="B61" s="55" t="s">
        <v>467</v>
      </c>
      <c r="C61" s="55" t="s">
        <v>309</v>
      </c>
      <c r="D61" s="55">
        <v>11010420001</v>
      </c>
      <c r="E61" s="55" t="s">
        <v>38</v>
      </c>
      <c r="F61" s="57">
        <v>410.22</v>
      </c>
      <c r="H61" s="60">
        <v>11061870001</v>
      </c>
      <c r="I61" s="58">
        <v>1216.7300000000105</v>
      </c>
    </row>
    <row r="62" spans="1:9" x14ac:dyDescent="0.25">
      <c r="A62" s="55" t="s">
        <v>1026</v>
      </c>
      <c r="B62" s="55" t="s">
        <v>157</v>
      </c>
      <c r="C62" s="55" t="s">
        <v>158</v>
      </c>
      <c r="D62" s="55">
        <v>11062830001</v>
      </c>
      <c r="E62" s="55" t="s">
        <v>20</v>
      </c>
      <c r="F62" s="57">
        <v>1496.21</v>
      </c>
      <c r="H62" s="60">
        <v>11061880001</v>
      </c>
      <c r="I62" s="58">
        <v>1786.4399999999732</v>
      </c>
    </row>
    <row r="63" spans="1:9" x14ac:dyDescent="0.25">
      <c r="A63" s="55" t="s">
        <v>777</v>
      </c>
      <c r="B63" s="55" t="s">
        <v>108</v>
      </c>
      <c r="C63" s="55" t="s">
        <v>109</v>
      </c>
      <c r="D63" s="55">
        <v>11062270001</v>
      </c>
      <c r="E63" s="55" t="s">
        <v>20</v>
      </c>
      <c r="F63" s="57">
        <v>1500</v>
      </c>
      <c r="H63" s="60">
        <v>11061890001</v>
      </c>
      <c r="I63" s="58">
        <v>2494</v>
      </c>
    </row>
    <row r="64" spans="1:9" x14ac:dyDescent="0.25">
      <c r="A64" s="55" t="s">
        <v>878</v>
      </c>
      <c r="B64" s="55" t="s">
        <v>514</v>
      </c>
      <c r="C64" s="55" t="s">
        <v>212</v>
      </c>
      <c r="D64" s="55">
        <v>11061810001</v>
      </c>
      <c r="E64" s="55" t="s">
        <v>54</v>
      </c>
      <c r="F64" s="57">
        <v>200</v>
      </c>
      <c r="H64" s="60">
        <v>11061940001</v>
      </c>
      <c r="I64" s="58">
        <v>149.65999999999622</v>
      </c>
    </row>
    <row r="65" spans="1:9" x14ac:dyDescent="0.25">
      <c r="A65" s="55" t="s">
        <v>884</v>
      </c>
      <c r="B65" s="55" t="s">
        <v>249</v>
      </c>
      <c r="C65" s="55" t="s">
        <v>189</v>
      </c>
      <c r="D65" s="55">
        <v>11061400001</v>
      </c>
      <c r="E65" s="55" t="s">
        <v>42</v>
      </c>
      <c r="F65" s="57">
        <v>1200</v>
      </c>
      <c r="H65" s="60">
        <v>11061950001</v>
      </c>
      <c r="I65" s="58">
        <v>607</v>
      </c>
    </row>
    <row r="66" spans="1:9" x14ac:dyDescent="0.25">
      <c r="A66" s="55" t="s">
        <v>889</v>
      </c>
      <c r="B66" s="55" t="s">
        <v>350</v>
      </c>
      <c r="C66" s="55" t="s">
        <v>90</v>
      </c>
      <c r="D66" s="55">
        <v>11040170001</v>
      </c>
      <c r="E66" s="55" t="s">
        <v>91</v>
      </c>
      <c r="F66" s="57">
        <v>486</v>
      </c>
      <c r="H66" s="60">
        <v>11061980001</v>
      </c>
      <c r="I66" s="58">
        <v>243.24999999999986</v>
      </c>
    </row>
    <row r="67" spans="1:9" x14ac:dyDescent="0.25">
      <c r="A67" s="55" t="s">
        <v>894</v>
      </c>
      <c r="B67" s="55" t="s">
        <v>173</v>
      </c>
      <c r="C67" s="55" t="s">
        <v>134</v>
      </c>
      <c r="D67" s="55">
        <v>11061720001</v>
      </c>
      <c r="E67" s="55" t="s">
        <v>42</v>
      </c>
      <c r="F67" s="57">
        <v>736.97</v>
      </c>
      <c r="H67" s="60">
        <v>11062020001</v>
      </c>
      <c r="I67" s="58">
        <v>2883.7700000000082</v>
      </c>
    </row>
    <row r="68" spans="1:9" x14ac:dyDescent="0.25">
      <c r="A68" s="55" t="s">
        <v>897</v>
      </c>
      <c r="B68" s="55" t="s">
        <v>390</v>
      </c>
      <c r="C68" s="55" t="s">
        <v>391</v>
      </c>
      <c r="D68" s="55">
        <v>12010590001</v>
      </c>
      <c r="E68" s="55" t="s">
        <v>275</v>
      </c>
      <c r="F68" s="57">
        <v>170.60000000000014</v>
      </c>
      <c r="H68" s="60">
        <v>11062050001</v>
      </c>
      <c r="I68" s="58">
        <v>119.6</v>
      </c>
    </row>
    <row r="69" spans="1:9" x14ac:dyDescent="0.25">
      <c r="A69" s="55" t="s">
        <v>899</v>
      </c>
      <c r="B69" s="55" t="s">
        <v>299</v>
      </c>
      <c r="C69" s="55" t="s">
        <v>202</v>
      </c>
      <c r="D69" s="55">
        <v>11010370001</v>
      </c>
      <c r="E69" s="55" t="s">
        <v>42</v>
      </c>
      <c r="F69" s="57">
        <v>230</v>
      </c>
      <c r="H69" s="60">
        <v>11062160001</v>
      </c>
      <c r="I69" s="58">
        <v>415.75999999999681</v>
      </c>
    </row>
    <row r="70" spans="1:9" x14ac:dyDescent="0.25">
      <c r="A70" s="55" t="s">
        <v>978</v>
      </c>
      <c r="B70" s="55" t="s">
        <v>417</v>
      </c>
      <c r="C70" s="55" t="s">
        <v>75</v>
      </c>
      <c r="D70" s="55">
        <v>11030850001</v>
      </c>
      <c r="E70" s="55" t="s">
        <v>25</v>
      </c>
      <c r="F70" s="57">
        <v>2999.97</v>
      </c>
      <c r="H70" s="60">
        <v>11062270001</v>
      </c>
      <c r="I70" s="58">
        <v>1500</v>
      </c>
    </row>
    <row r="71" spans="1:9" x14ac:dyDescent="0.25">
      <c r="A71" s="55" t="s">
        <v>904</v>
      </c>
      <c r="B71" s="55" t="s">
        <v>405</v>
      </c>
      <c r="C71" s="55" t="s">
        <v>99</v>
      </c>
      <c r="D71" s="55">
        <v>11040040001</v>
      </c>
      <c r="E71" s="55" t="s">
        <v>25</v>
      </c>
      <c r="F71" s="57">
        <v>1169.4599999999955</v>
      </c>
      <c r="H71" s="60">
        <v>11062290001</v>
      </c>
      <c r="I71" s="58">
        <v>432.05999999998858</v>
      </c>
    </row>
    <row r="72" spans="1:9" x14ac:dyDescent="0.25">
      <c r="A72" s="55" t="s">
        <v>905</v>
      </c>
      <c r="B72" s="55" t="s">
        <v>394</v>
      </c>
      <c r="C72" s="55" t="s">
        <v>117</v>
      </c>
      <c r="D72" s="55">
        <v>11010180001</v>
      </c>
      <c r="E72" s="55" t="s">
        <v>42</v>
      </c>
      <c r="F72" s="57">
        <v>798</v>
      </c>
      <c r="H72" s="60">
        <v>11062350001</v>
      </c>
      <c r="I72" s="58">
        <v>1512.0900000000001</v>
      </c>
    </row>
    <row r="73" spans="1:9" x14ac:dyDescent="0.25">
      <c r="A73" s="55" t="s">
        <v>1070</v>
      </c>
      <c r="B73" s="55" t="s">
        <v>61</v>
      </c>
      <c r="C73" s="55" t="s">
        <v>62</v>
      </c>
      <c r="D73" s="55">
        <v>11030650001</v>
      </c>
      <c r="E73" s="55" t="s">
        <v>54</v>
      </c>
      <c r="F73" s="57">
        <v>3000</v>
      </c>
      <c r="H73" s="60">
        <v>11062610001</v>
      </c>
      <c r="I73" s="58">
        <v>397.75</v>
      </c>
    </row>
    <row r="74" spans="1:9" x14ac:dyDescent="0.25">
      <c r="A74" s="55" t="s">
        <v>912</v>
      </c>
      <c r="B74" s="55" t="s">
        <v>57</v>
      </c>
      <c r="C74" s="55" t="s">
        <v>37</v>
      </c>
      <c r="D74" s="55">
        <v>11030830001</v>
      </c>
      <c r="E74" s="55" t="s">
        <v>38</v>
      </c>
      <c r="F74" s="57">
        <v>2902.1099999999551</v>
      </c>
      <c r="H74" s="60">
        <v>11062630001</v>
      </c>
      <c r="I74" s="58">
        <v>1121.5600000000004</v>
      </c>
    </row>
    <row r="75" spans="1:9" x14ac:dyDescent="0.25">
      <c r="A75" s="55" t="s">
        <v>915</v>
      </c>
      <c r="B75" s="55" t="s">
        <v>171</v>
      </c>
      <c r="C75" s="55" t="s">
        <v>172</v>
      </c>
      <c r="D75" s="55">
        <v>11030860001</v>
      </c>
      <c r="E75" s="55" t="s">
        <v>42</v>
      </c>
      <c r="F75" s="57">
        <v>998.24</v>
      </c>
      <c r="H75" s="60">
        <v>11062640001</v>
      </c>
      <c r="I75" s="58">
        <v>1012.4100000000253</v>
      </c>
    </row>
    <row r="76" spans="1:9" x14ac:dyDescent="0.25">
      <c r="A76" s="55" t="s">
        <v>918</v>
      </c>
      <c r="B76" s="55" t="s">
        <v>114</v>
      </c>
      <c r="C76" s="55" t="s">
        <v>115</v>
      </c>
      <c r="D76" s="55">
        <v>11060700001</v>
      </c>
      <c r="E76" s="55" t="s">
        <v>48</v>
      </c>
      <c r="F76" s="57">
        <v>404.24000000000524</v>
      </c>
      <c r="H76" s="60">
        <v>11062650001</v>
      </c>
      <c r="I76" s="58">
        <v>1500</v>
      </c>
    </row>
    <row r="77" spans="1:9" x14ac:dyDescent="0.25">
      <c r="A77" s="55" t="s">
        <v>919</v>
      </c>
      <c r="B77" s="55" t="s">
        <v>168</v>
      </c>
      <c r="C77" s="55" t="s">
        <v>145</v>
      </c>
      <c r="D77" s="55">
        <v>11062630001</v>
      </c>
      <c r="E77" s="55" t="s">
        <v>42</v>
      </c>
      <c r="F77" s="57">
        <v>121.5600000000004</v>
      </c>
      <c r="H77" s="60">
        <v>11062660001</v>
      </c>
      <c r="I77" s="58">
        <v>381.04999999999927</v>
      </c>
    </row>
    <row r="78" spans="1:9" x14ac:dyDescent="0.25">
      <c r="A78" s="55" t="s">
        <v>920</v>
      </c>
      <c r="B78" s="55" t="s">
        <v>79</v>
      </c>
      <c r="C78" s="55" t="s">
        <v>80</v>
      </c>
      <c r="D78" s="55">
        <v>11062350001</v>
      </c>
      <c r="E78" s="55" t="s">
        <v>20</v>
      </c>
      <c r="F78" s="57">
        <v>1512.0900000000001</v>
      </c>
      <c r="H78" s="60">
        <v>11062670001</v>
      </c>
      <c r="I78" s="58">
        <v>2156.5499999999997</v>
      </c>
    </row>
    <row r="79" spans="1:9" x14ac:dyDescent="0.25">
      <c r="A79" s="55" t="s">
        <v>928</v>
      </c>
      <c r="B79" s="55" t="s">
        <v>124</v>
      </c>
      <c r="C79" s="55" t="s">
        <v>125</v>
      </c>
      <c r="D79" s="55">
        <v>11080150001</v>
      </c>
      <c r="E79" s="55" t="s">
        <v>20</v>
      </c>
      <c r="F79" s="57">
        <v>515.97000000000116</v>
      </c>
      <c r="H79" s="60">
        <v>11062740001</v>
      </c>
      <c r="I79" s="58">
        <v>2069.6099999999983</v>
      </c>
    </row>
    <row r="80" spans="1:9" x14ac:dyDescent="0.25">
      <c r="A80" s="55" t="s">
        <v>1038</v>
      </c>
      <c r="B80" s="55" t="s">
        <v>142</v>
      </c>
      <c r="C80" s="55" t="s">
        <v>134</v>
      </c>
      <c r="D80" s="55">
        <v>11061720001</v>
      </c>
      <c r="E80" s="55" t="s">
        <v>42</v>
      </c>
      <c r="F80" s="57">
        <v>800</v>
      </c>
      <c r="H80" s="60">
        <v>11062770001</v>
      </c>
      <c r="I80" s="58">
        <v>744.84999999999968</v>
      </c>
    </row>
    <row r="81" spans="1:9" x14ac:dyDescent="0.25">
      <c r="A81" s="55" t="s">
        <v>1037</v>
      </c>
      <c r="B81" s="55" t="s">
        <v>182</v>
      </c>
      <c r="C81" s="55" t="s">
        <v>134</v>
      </c>
      <c r="D81" s="55">
        <v>11061720001</v>
      </c>
      <c r="E81" s="55" t="s">
        <v>42</v>
      </c>
      <c r="F81" s="57">
        <v>941.149999999996</v>
      </c>
      <c r="H81" s="60">
        <v>11062830001</v>
      </c>
      <c r="I81" s="58">
        <v>1496.21</v>
      </c>
    </row>
    <row r="82" spans="1:9" x14ac:dyDescent="0.25">
      <c r="A82" s="55" t="s">
        <v>932</v>
      </c>
      <c r="B82" s="55" t="s">
        <v>420</v>
      </c>
      <c r="C82" s="55" t="s">
        <v>99</v>
      </c>
      <c r="D82" s="55">
        <v>11040040001</v>
      </c>
      <c r="E82" s="55" t="s">
        <v>25</v>
      </c>
      <c r="F82" s="57">
        <v>802.56000000000131</v>
      </c>
      <c r="H82" s="60">
        <v>11062900001</v>
      </c>
      <c r="I82" s="58">
        <v>971.66000000000713</v>
      </c>
    </row>
    <row r="83" spans="1:9" x14ac:dyDescent="0.25">
      <c r="A83" s="55" t="s">
        <v>933</v>
      </c>
      <c r="B83" s="55" t="s">
        <v>201</v>
      </c>
      <c r="C83" s="55" t="s">
        <v>202</v>
      </c>
      <c r="D83" s="55">
        <v>11010370001</v>
      </c>
      <c r="E83" s="55" t="s">
        <v>42</v>
      </c>
      <c r="F83" s="57">
        <v>999</v>
      </c>
      <c r="H83" s="60">
        <v>11063040001</v>
      </c>
      <c r="I83" s="58">
        <v>11.939999999999998</v>
      </c>
    </row>
    <row r="84" spans="1:9" x14ac:dyDescent="0.25">
      <c r="A84" s="55" t="s">
        <v>714</v>
      </c>
      <c r="B84" s="55" t="s">
        <v>493</v>
      </c>
      <c r="C84" s="55" t="s">
        <v>132</v>
      </c>
      <c r="D84" s="55">
        <v>11061820001</v>
      </c>
      <c r="E84" s="55" t="s">
        <v>54</v>
      </c>
      <c r="F84" s="57">
        <v>859.97000000000025</v>
      </c>
      <c r="H84" s="60">
        <v>11080150001</v>
      </c>
      <c r="I84" s="58">
        <v>515.97000000000116</v>
      </c>
    </row>
    <row r="85" spans="1:9" x14ac:dyDescent="0.25">
      <c r="A85" s="55" t="s">
        <v>946</v>
      </c>
      <c r="B85" s="55" t="s">
        <v>288</v>
      </c>
      <c r="C85" s="55" t="s">
        <v>47</v>
      </c>
      <c r="D85" s="55">
        <v>11030660001</v>
      </c>
      <c r="E85" s="55" t="s">
        <v>48</v>
      </c>
      <c r="F85" s="57">
        <v>392.83999999999941</v>
      </c>
      <c r="H85" s="60">
        <v>11080170001</v>
      </c>
      <c r="I85" s="58">
        <v>9000</v>
      </c>
    </row>
    <row r="86" spans="1:9" x14ac:dyDescent="0.25">
      <c r="A86" s="55" t="s">
        <v>947</v>
      </c>
      <c r="B86" s="55" t="s">
        <v>415</v>
      </c>
      <c r="C86" s="55" t="s">
        <v>59</v>
      </c>
      <c r="D86" s="55">
        <v>11080370001</v>
      </c>
      <c r="E86" s="55" t="s">
        <v>42</v>
      </c>
      <c r="F86" s="57">
        <v>626.71999999999935</v>
      </c>
      <c r="H86" s="60">
        <v>11080220001</v>
      </c>
      <c r="I86" s="58">
        <v>4943.170000000011</v>
      </c>
    </row>
    <row r="87" spans="1:9" x14ac:dyDescent="0.25">
      <c r="A87" s="55" t="s">
        <v>952</v>
      </c>
      <c r="B87" s="55" t="s">
        <v>519</v>
      </c>
      <c r="C87" s="55" t="s">
        <v>283</v>
      </c>
      <c r="D87" s="55">
        <v>11040140001</v>
      </c>
      <c r="E87" s="55" t="s">
        <v>45</v>
      </c>
      <c r="F87" s="57">
        <v>100</v>
      </c>
      <c r="H87" s="60">
        <v>11080370001</v>
      </c>
      <c r="I87" s="58">
        <v>626.71999999999935</v>
      </c>
    </row>
    <row r="88" spans="1:9" x14ac:dyDescent="0.25">
      <c r="A88" s="55" t="s">
        <v>955</v>
      </c>
      <c r="B88" s="55" t="s">
        <v>192</v>
      </c>
      <c r="C88" s="55" t="s">
        <v>95</v>
      </c>
      <c r="D88" s="55">
        <v>11040160001</v>
      </c>
      <c r="E88" s="55" t="s">
        <v>48</v>
      </c>
      <c r="F88" s="57">
        <v>602.19999999999902</v>
      </c>
      <c r="H88" s="60">
        <v>11080440001</v>
      </c>
      <c r="I88" s="58">
        <v>1581.5200000000004</v>
      </c>
    </row>
    <row r="89" spans="1:9" x14ac:dyDescent="0.25">
      <c r="A89" s="55" t="s">
        <v>961</v>
      </c>
      <c r="B89" s="55" t="s">
        <v>295</v>
      </c>
      <c r="C89" s="55" t="s">
        <v>272</v>
      </c>
      <c r="D89" s="55">
        <v>11080440001</v>
      </c>
      <c r="E89" s="55" t="s">
        <v>42</v>
      </c>
      <c r="F89" s="57">
        <v>1581.5200000000004</v>
      </c>
      <c r="H89" s="60">
        <v>11080460001</v>
      </c>
      <c r="I89" s="58">
        <v>0.18999999999999773</v>
      </c>
    </row>
    <row r="90" spans="1:9" x14ac:dyDescent="0.25">
      <c r="A90" s="55" t="s">
        <v>762</v>
      </c>
      <c r="B90" s="55" t="s">
        <v>133</v>
      </c>
      <c r="C90" s="55" t="s">
        <v>134</v>
      </c>
      <c r="D90" s="55">
        <v>11061720001</v>
      </c>
      <c r="E90" s="55" t="s">
        <v>42</v>
      </c>
      <c r="F90" s="57">
        <v>864</v>
      </c>
      <c r="H90" s="60">
        <v>12010590001</v>
      </c>
      <c r="I90" s="58">
        <v>170.60000000000014</v>
      </c>
    </row>
    <row r="91" spans="1:9" x14ac:dyDescent="0.25">
      <c r="A91" s="55" t="s">
        <v>963</v>
      </c>
      <c r="B91" s="55" t="s">
        <v>304</v>
      </c>
      <c r="C91" s="55" t="s">
        <v>90</v>
      </c>
      <c r="D91" s="55">
        <v>11040170001</v>
      </c>
      <c r="E91" s="55" t="s">
        <v>91</v>
      </c>
      <c r="F91" s="57">
        <v>219.99999999999636</v>
      </c>
      <c r="H91" s="60" t="s">
        <v>1168</v>
      </c>
      <c r="I91" s="58">
        <v>250491.21000000049</v>
      </c>
    </row>
    <row r="92" spans="1:9" x14ac:dyDescent="0.25">
      <c r="A92" s="55" t="s">
        <v>972</v>
      </c>
      <c r="B92" s="55" t="s">
        <v>314</v>
      </c>
      <c r="C92" s="55" t="s">
        <v>134</v>
      </c>
      <c r="D92" s="55">
        <v>11061720001</v>
      </c>
      <c r="E92" s="55" t="s">
        <v>42</v>
      </c>
      <c r="F92" s="57">
        <v>741.70000000000027</v>
      </c>
    </row>
    <row r="93" spans="1:9" x14ac:dyDescent="0.25">
      <c r="A93" s="55" t="s">
        <v>975</v>
      </c>
      <c r="B93" s="55" t="s">
        <v>333</v>
      </c>
      <c r="C93" s="55" t="s">
        <v>283</v>
      </c>
      <c r="D93" s="55">
        <v>11040140001</v>
      </c>
      <c r="E93" s="55" t="s">
        <v>45</v>
      </c>
      <c r="F93" s="57">
        <v>100</v>
      </c>
    </row>
    <row r="94" spans="1:9" x14ac:dyDescent="0.25">
      <c r="A94" s="55" t="s">
        <v>976</v>
      </c>
      <c r="B94" s="55" t="s">
        <v>402</v>
      </c>
      <c r="C94" s="55" t="s">
        <v>137</v>
      </c>
      <c r="D94" s="55">
        <v>11030890001</v>
      </c>
      <c r="E94" s="55" t="s">
        <v>20</v>
      </c>
      <c r="F94" s="57">
        <v>3492.0400000000059</v>
      </c>
    </row>
    <row r="95" spans="1:9" x14ac:dyDescent="0.25">
      <c r="A95" s="55" t="s">
        <v>1136</v>
      </c>
      <c r="B95" s="55" t="s">
        <v>43</v>
      </c>
      <c r="C95" s="55" t="s">
        <v>44</v>
      </c>
      <c r="D95" s="55">
        <v>1104150001</v>
      </c>
      <c r="E95" s="55" t="s">
        <v>45</v>
      </c>
      <c r="F95" s="57">
        <v>5600</v>
      </c>
    </row>
    <row r="96" spans="1:9" x14ac:dyDescent="0.25">
      <c r="A96" s="55" t="s">
        <v>981</v>
      </c>
      <c r="B96" s="55" t="s">
        <v>110</v>
      </c>
      <c r="C96" s="55" t="s">
        <v>111</v>
      </c>
      <c r="D96" s="55">
        <v>11060710001</v>
      </c>
      <c r="E96" s="55" t="s">
        <v>28</v>
      </c>
      <c r="F96" s="57">
        <v>2860.2500000000437</v>
      </c>
    </row>
    <row r="97" spans="1:6" x14ac:dyDescent="0.25">
      <c r="A97" s="55" t="s">
        <v>982</v>
      </c>
      <c r="B97" s="55" t="s">
        <v>40</v>
      </c>
      <c r="C97" s="55" t="s">
        <v>41</v>
      </c>
      <c r="D97" s="55">
        <v>11030790001</v>
      </c>
      <c r="E97" s="55" t="s">
        <v>42</v>
      </c>
      <c r="F97" s="57">
        <v>3869.8400000000838</v>
      </c>
    </row>
    <row r="98" spans="1:6" x14ac:dyDescent="0.25">
      <c r="A98" s="55" t="s">
        <v>911</v>
      </c>
      <c r="B98" s="55" t="s">
        <v>147</v>
      </c>
      <c r="C98" s="55" t="s">
        <v>27</v>
      </c>
      <c r="D98" s="55">
        <v>11030870001</v>
      </c>
      <c r="E98" s="55" t="s">
        <v>28</v>
      </c>
      <c r="F98" s="57">
        <v>1036.3199999999997</v>
      </c>
    </row>
    <row r="99" spans="1:6" x14ac:dyDescent="0.25">
      <c r="A99" s="55" t="s">
        <v>993</v>
      </c>
      <c r="B99" s="55" t="s">
        <v>296</v>
      </c>
      <c r="C99" s="55" t="s">
        <v>119</v>
      </c>
      <c r="D99" s="55">
        <v>11030640001</v>
      </c>
      <c r="E99" s="55" t="s">
        <v>38</v>
      </c>
      <c r="F99" s="57">
        <v>680.71999999999571</v>
      </c>
    </row>
    <row r="100" spans="1:6" x14ac:dyDescent="0.25">
      <c r="A100" s="55" t="s">
        <v>1092</v>
      </c>
      <c r="B100" s="55" t="s">
        <v>334</v>
      </c>
      <c r="C100" s="55" t="s">
        <v>95</v>
      </c>
      <c r="D100" s="55">
        <v>11040160001</v>
      </c>
      <c r="E100" s="55" t="s">
        <v>48</v>
      </c>
      <c r="F100" s="57">
        <v>1181.0199999999998</v>
      </c>
    </row>
    <row r="101" spans="1:6" x14ac:dyDescent="0.25">
      <c r="A101" s="55" t="s">
        <v>849</v>
      </c>
      <c r="B101" s="55" t="s">
        <v>356</v>
      </c>
      <c r="C101" s="55" t="s">
        <v>24</v>
      </c>
      <c r="D101" s="55">
        <v>11030290001</v>
      </c>
      <c r="E101" s="55" t="s">
        <v>25</v>
      </c>
      <c r="F101" s="57">
        <v>8000</v>
      </c>
    </row>
    <row r="102" spans="1:6" x14ac:dyDescent="0.25">
      <c r="A102" s="55" t="s">
        <v>1122</v>
      </c>
      <c r="B102" s="55" t="s">
        <v>160</v>
      </c>
      <c r="C102" s="55" t="s">
        <v>161</v>
      </c>
      <c r="D102" s="55">
        <v>11010170001</v>
      </c>
      <c r="E102" s="55" t="s">
        <v>48</v>
      </c>
      <c r="F102" s="57">
        <v>1506.0599999999995</v>
      </c>
    </row>
    <row r="103" spans="1:6" x14ac:dyDescent="0.25">
      <c r="A103" s="55" t="s">
        <v>1005</v>
      </c>
      <c r="B103" s="55" t="s">
        <v>444</v>
      </c>
      <c r="C103" s="55" t="s">
        <v>24</v>
      </c>
      <c r="D103" s="55">
        <v>11030290001</v>
      </c>
      <c r="E103" s="55" t="s">
        <v>25</v>
      </c>
      <c r="F103" s="57">
        <v>2081.4699999999975</v>
      </c>
    </row>
    <row r="104" spans="1:6" x14ac:dyDescent="0.25">
      <c r="A104" s="55" t="s">
        <v>1006</v>
      </c>
      <c r="B104" s="55" t="s">
        <v>81</v>
      </c>
      <c r="C104" s="55" t="s">
        <v>82</v>
      </c>
      <c r="D104" s="55">
        <v>11061880001</v>
      </c>
      <c r="E104" s="55" t="s">
        <v>48</v>
      </c>
      <c r="F104" s="57">
        <v>1786.4399999999732</v>
      </c>
    </row>
    <row r="105" spans="1:6" x14ac:dyDescent="0.25">
      <c r="A105" s="55" t="s">
        <v>1011</v>
      </c>
      <c r="B105" s="55" t="s">
        <v>85</v>
      </c>
      <c r="C105" s="55" t="s">
        <v>86</v>
      </c>
      <c r="D105" s="55">
        <v>11030700001</v>
      </c>
      <c r="E105" s="55" t="s">
        <v>42</v>
      </c>
      <c r="F105" s="57">
        <v>1611.88</v>
      </c>
    </row>
    <row r="106" spans="1:6" x14ac:dyDescent="0.25">
      <c r="A106" s="55" t="s">
        <v>1013</v>
      </c>
      <c r="B106" s="55" t="s">
        <v>442</v>
      </c>
      <c r="C106" s="55" t="s">
        <v>95</v>
      </c>
      <c r="D106" s="55">
        <v>11040160001</v>
      </c>
      <c r="E106" s="55" t="s">
        <v>48</v>
      </c>
      <c r="F106" s="57">
        <v>238.67000000000007</v>
      </c>
    </row>
    <row r="107" spans="1:6" x14ac:dyDescent="0.25">
      <c r="A107" s="55" t="s">
        <v>1015</v>
      </c>
      <c r="B107" s="55" t="s">
        <v>112</v>
      </c>
      <c r="C107" s="55" t="s">
        <v>41</v>
      </c>
      <c r="D107" s="55">
        <v>11030790001</v>
      </c>
      <c r="E107" s="55" t="s">
        <v>42</v>
      </c>
      <c r="F107" s="57">
        <v>1975.2500000000036</v>
      </c>
    </row>
    <row r="108" spans="1:6" x14ac:dyDescent="0.25">
      <c r="A108" s="55" t="s">
        <v>1016</v>
      </c>
      <c r="B108" s="55" t="s">
        <v>497</v>
      </c>
      <c r="C108" s="55" t="s">
        <v>247</v>
      </c>
      <c r="D108" s="55">
        <v>11061980001</v>
      </c>
      <c r="E108" s="55" t="s">
        <v>54</v>
      </c>
      <c r="F108" s="57">
        <v>131.34999999999977</v>
      </c>
    </row>
    <row r="109" spans="1:6" x14ac:dyDescent="0.25">
      <c r="A109" s="55" t="s">
        <v>1018</v>
      </c>
      <c r="B109" s="55" t="s">
        <v>498</v>
      </c>
      <c r="C109" s="55" t="s">
        <v>212</v>
      </c>
      <c r="D109" s="55">
        <v>11061810001</v>
      </c>
      <c r="E109" s="55" t="s">
        <v>54</v>
      </c>
      <c r="F109" s="57">
        <v>177.89999999999964</v>
      </c>
    </row>
    <row r="110" spans="1:6" x14ac:dyDescent="0.25">
      <c r="A110" s="55" t="s">
        <v>1022</v>
      </c>
      <c r="B110" s="55" t="s">
        <v>207</v>
      </c>
      <c r="C110" s="55" t="s">
        <v>84</v>
      </c>
      <c r="D110" s="55">
        <v>11030750001</v>
      </c>
      <c r="E110" s="55" t="s">
        <v>38</v>
      </c>
      <c r="F110" s="57">
        <v>1740.1200000000608</v>
      </c>
    </row>
    <row r="111" spans="1:6" x14ac:dyDescent="0.25">
      <c r="A111" s="55" t="s">
        <v>820</v>
      </c>
      <c r="B111" s="55" t="s">
        <v>55</v>
      </c>
      <c r="C111" s="55" t="s">
        <v>56</v>
      </c>
      <c r="D111" s="55">
        <v>11061770001</v>
      </c>
      <c r="E111" s="55" t="s">
        <v>54</v>
      </c>
      <c r="F111" s="57">
        <v>2455.89</v>
      </c>
    </row>
    <row r="112" spans="1:6" x14ac:dyDescent="0.25">
      <c r="A112" s="55" t="s">
        <v>1030</v>
      </c>
      <c r="B112" s="55" t="s">
        <v>425</v>
      </c>
      <c r="C112" s="55" t="s">
        <v>47</v>
      </c>
      <c r="D112" s="55">
        <v>11030660001</v>
      </c>
      <c r="E112" s="55" t="s">
        <v>48</v>
      </c>
      <c r="F112" s="57">
        <v>29.239999999994325</v>
      </c>
    </row>
    <row r="113" spans="1:6" x14ac:dyDescent="0.25">
      <c r="A113" s="55" t="s">
        <v>1036</v>
      </c>
      <c r="B113" s="55" t="s">
        <v>524</v>
      </c>
      <c r="C113" s="55" t="s">
        <v>283</v>
      </c>
      <c r="D113" s="55">
        <v>11040140001</v>
      </c>
      <c r="E113" s="55" t="s">
        <v>45</v>
      </c>
      <c r="F113" s="57">
        <v>76.700000000000159</v>
      </c>
    </row>
    <row r="114" spans="1:6" x14ac:dyDescent="0.25">
      <c r="A114" s="55" t="s">
        <v>874</v>
      </c>
      <c r="B114" s="55" t="s">
        <v>106</v>
      </c>
      <c r="C114" s="55" t="s">
        <v>107</v>
      </c>
      <c r="D114" s="55">
        <v>11030770001</v>
      </c>
      <c r="E114" s="55" t="s">
        <v>20</v>
      </c>
      <c r="F114" s="57">
        <v>1997.69</v>
      </c>
    </row>
    <row r="115" spans="1:6" x14ac:dyDescent="0.25">
      <c r="A115" s="55" t="s">
        <v>997</v>
      </c>
      <c r="B115" s="55" t="s">
        <v>92</v>
      </c>
      <c r="C115" s="55" t="s">
        <v>93</v>
      </c>
      <c r="D115" s="55">
        <v>11030780001</v>
      </c>
      <c r="E115" s="55" t="s">
        <v>38</v>
      </c>
      <c r="F115" s="57">
        <v>1987</v>
      </c>
    </row>
    <row r="116" spans="1:6" x14ac:dyDescent="0.25">
      <c r="A116" s="55" t="s">
        <v>1043</v>
      </c>
      <c r="B116" s="55" t="s">
        <v>135</v>
      </c>
      <c r="C116" s="55" t="s">
        <v>134</v>
      </c>
      <c r="D116" s="55">
        <v>11061720001</v>
      </c>
      <c r="E116" s="55" t="s">
        <v>42</v>
      </c>
      <c r="F116" s="57">
        <v>1400</v>
      </c>
    </row>
    <row r="117" spans="1:6" x14ac:dyDescent="0.25">
      <c r="A117" s="55" t="s">
        <v>1044</v>
      </c>
      <c r="B117" s="55" t="s">
        <v>436</v>
      </c>
      <c r="C117" s="55" t="s">
        <v>86</v>
      </c>
      <c r="D117" s="55">
        <v>11030700001</v>
      </c>
      <c r="E117" s="55" t="s">
        <v>42</v>
      </c>
      <c r="F117" s="57">
        <v>1197.1799999999985</v>
      </c>
    </row>
    <row r="118" spans="1:6" x14ac:dyDescent="0.25">
      <c r="A118" s="55" t="s">
        <v>1046</v>
      </c>
      <c r="B118" s="55" t="s">
        <v>313</v>
      </c>
      <c r="C118" s="55" t="s">
        <v>95</v>
      </c>
      <c r="D118" s="55">
        <v>11040160001</v>
      </c>
      <c r="E118" s="55" t="s">
        <v>48</v>
      </c>
      <c r="F118" s="57">
        <v>280.15000000000089</v>
      </c>
    </row>
    <row r="119" spans="1:6" x14ac:dyDescent="0.25">
      <c r="A119" s="55" t="s">
        <v>1049</v>
      </c>
      <c r="B119" s="55" t="s">
        <v>70</v>
      </c>
      <c r="C119" s="55" t="s">
        <v>71</v>
      </c>
      <c r="D119" s="55">
        <v>11030590001</v>
      </c>
      <c r="E119" s="55" t="s">
        <v>54</v>
      </c>
      <c r="F119" s="57">
        <v>1699.5199999999834</v>
      </c>
    </row>
    <row r="120" spans="1:6" x14ac:dyDescent="0.25">
      <c r="A120" s="55" t="s">
        <v>1053</v>
      </c>
      <c r="B120" s="55" t="s">
        <v>667</v>
      </c>
      <c r="C120" s="55" t="s">
        <v>676</v>
      </c>
      <c r="D120" s="55">
        <v>11063040001</v>
      </c>
      <c r="E120" s="55" t="s">
        <v>25</v>
      </c>
      <c r="F120" s="57">
        <v>11.939999999999998</v>
      </c>
    </row>
    <row r="121" spans="1:6" x14ac:dyDescent="0.25">
      <c r="A121" s="55" t="s">
        <v>902</v>
      </c>
      <c r="B121" s="55" t="s">
        <v>46</v>
      </c>
      <c r="C121" s="55" t="s">
        <v>47</v>
      </c>
      <c r="D121" s="55">
        <v>11030660001</v>
      </c>
      <c r="E121" s="55" t="s">
        <v>48</v>
      </c>
      <c r="F121" s="57">
        <v>6925.5</v>
      </c>
    </row>
    <row r="122" spans="1:6" x14ac:dyDescent="0.25">
      <c r="A122" s="55" t="s">
        <v>1056</v>
      </c>
      <c r="B122" s="55" t="s">
        <v>17</v>
      </c>
      <c r="C122" s="55" t="s">
        <v>19</v>
      </c>
      <c r="D122" s="55">
        <v>11030260001</v>
      </c>
      <c r="E122" s="55" t="s">
        <v>20</v>
      </c>
      <c r="F122" s="57">
        <v>13331.600000000064</v>
      </c>
    </row>
    <row r="123" spans="1:6" x14ac:dyDescent="0.25">
      <c r="A123" s="55" t="s">
        <v>1057</v>
      </c>
      <c r="B123" s="55" t="s">
        <v>270</v>
      </c>
      <c r="C123" s="55" t="s">
        <v>134</v>
      </c>
      <c r="D123" s="55">
        <v>11061720001</v>
      </c>
      <c r="E123" s="55" t="s">
        <v>42</v>
      </c>
      <c r="F123" s="57">
        <v>323.99999999999852</v>
      </c>
    </row>
    <row r="124" spans="1:6" x14ac:dyDescent="0.25">
      <c r="A124" s="55" t="s">
        <v>1058</v>
      </c>
      <c r="B124" s="55" t="s">
        <v>176</v>
      </c>
      <c r="C124" s="55" t="s">
        <v>134</v>
      </c>
      <c r="D124" s="55">
        <v>11061720001</v>
      </c>
      <c r="E124" s="55" t="s">
        <v>42</v>
      </c>
      <c r="F124" s="57">
        <v>537.79999999999688</v>
      </c>
    </row>
    <row r="125" spans="1:6" x14ac:dyDescent="0.25">
      <c r="A125" s="55" t="s">
        <v>1059</v>
      </c>
      <c r="B125" s="55" t="s">
        <v>448</v>
      </c>
      <c r="C125" s="55" t="s">
        <v>95</v>
      </c>
      <c r="D125" s="55">
        <v>11040160001</v>
      </c>
      <c r="E125" s="55" t="s">
        <v>48</v>
      </c>
      <c r="F125" s="57">
        <v>709.17999999999756</v>
      </c>
    </row>
    <row r="126" spans="1:6" x14ac:dyDescent="0.25">
      <c r="A126" s="55" t="s">
        <v>1061</v>
      </c>
      <c r="B126" s="55" t="s">
        <v>308</v>
      </c>
      <c r="C126" s="55" t="s">
        <v>309</v>
      </c>
      <c r="D126" s="55">
        <v>11010420001</v>
      </c>
      <c r="E126" s="55" t="s">
        <v>38</v>
      </c>
      <c r="F126" s="57">
        <v>1162.5000000000002</v>
      </c>
    </row>
    <row r="127" spans="1:6" x14ac:dyDescent="0.25">
      <c r="A127" s="55" t="s">
        <v>1064</v>
      </c>
      <c r="B127" s="55" t="s">
        <v>449</v>
      </c>
      <c r="C127" s="55" t="s">
        <v>134</v>
      </c>
      <c r="D127" s="55">
        <v>11061720001</v>
      </c>
      <c r="E127" s="55" t="s">
        <v>42</v>
      </c>
      <c r="F127" s="57">
        <v>613.04999999999723</v>
      </c>
    </row>
    <row r="128" spans="1:6" x14ac:dyDescent="0.25">
      <c r="A128" s="55" t="s">
        <v>1067</v>
      </c>
      <c r="B128" s="55" t="s">
        <v>193</v>
      </c>
      <c r="C128" s="55" t="s">
        <v>95</v>
      </c>
      <c r="D128" s="55">
        <v>11040160001</v>
      </c>
      <c r="E128" s="55" t="s">
        <v>48</v>
      </c>
      <c r="F128" s="57">
        <v>362.74999999999932</v>
      </c>
    </row>
    <row r="129" spans="1:6" x14ac:dyDescent="0.25">
      <c r="A129" s="55" t="s">
        <v>1088</v>
      </c>
      <c r="B129" s="55" t="s">
        <v>64</v>
      </c>
      <c r="C129" s="55" t="s">
        <v>65</v>
      </c>
      <c r="D129" s="55">
        <v>11030620001</v>
      </c>
      <c r="E129" s="55" t="s">
        <v>54</v>
      </c>
      <c r="F129" s="57">
        <v>2430.88</v>
      </c>
    </row>
    <row r="130" spans="1:6" x14ac:dyDescent="0.25">
      <c r="A130" s="55" t="s">
        <v>1039</v>
      </c>
      <c r="B130" s="55" t="s">
        <v>49</v>
      </c>
      <c r="C130" s="55" t="s">
        <v>37</v>
      </c>
      <c r="D130" s="55">
        <v>11030830001</v>
      </c>
      <c r="E130" s="55" t="s">
        <v>38</v>
      </c>
      <c r="F130" s="57">
        <v>4000</v>
      </c>
    </row>
    <row r="131" spans="1:6" x14ac:dyDescent="0.25">
      <c r="A131" s="55" t="s">
        <v>1074</v>
      </c>
      <c r="B131" s="55" t="s">
        <v>312</v>
      </c>
      <c r="C131" s="55" t="s">
        <v>189</v>
      </c>
      <c r="D131" s="55">
        <v>11061400001</v>
      </c>
      <c r="E131" s="55" t="s">
        <v>42</v>
      </c>
      <c r="F131" s="57">
        <v>209.780000000011</v>
      </c>
    </row>
    <row r="132" spans="1:6" x14ac:dyDescent="0.25">
      <c r="A132" s="55" t="s">
        <v>1079</v>
      </c>
      <c r="B132" s="55" t="s">
        <v>306</v>
      </c>
      <c r="C132" s="55" t="s">
        <v>88</v>
      </c>
      <c r="D132" s="55">
        <v>11040130001</v>
      </c>
      <c r="E132" s="55" t="s">
        <v>45</v>
      </c>
      <c r="F132" s="57">
        <v>124.4</v>
      </c>
    </row>
    <row r="133" spans="1:6" x14ac:dyDescent="0.25">
      <c r="A133" s="55" t="s">
        <v>1083</v>
      </c>
      <c r="B133" s="55" t="s">
        <v>254</v>
      </c>
      <c r="C133" s="55" t="s">
        <v>134</v>
      </c>
      <c r="D133" s="55">
        <v>11061720001</v>
      </c>
      <c r="E133" s="55" t="s">
        <v>42</v>
      </c>
      <c r="F133" s="57">
        <v>456.45000000000272</v>
      </c>
    </row>
    <row r="134" spans="1:6" x14ac:dyDescent="0.25">
      <c r="A134" s="55" t="s">
        <v>1087</v>
      </c>
      <c r="B134" s="55" t="s">
        <v>426</v>
      </c>
      <c r="C134" s="55" t="s">
        <v>427</v>
      </c>
      <c r="D134" s="55">
        <v>11062290001</v>
      </c>
      <c r="E134" s="55" t="s">
        <v>28</v>
      </c>
      <c r="F134" s="57">
        <v>432.05999999998858</v>
      </c>
    </row>
    <row r="135" spans="1:6" x14ac:dyDescent="0.25">
      <c r="A135" s="55" t="s">
        <v>992</v>
      </c>
      <c r="B135" s="55" t="s">
        <v>266</v>
      </c>
      <c r="C135" s="55" t="s">
        <v>267</v>
      </c>
      <c r="D135" s="55">
        <v>11062650001</v>
      </c>
      <c r="E135" s="55" t="s">
        <v>20</v>
      </c>
      <c r="F135" s="57">
        <v>1500</v>
      </c>
    </row>
    <row r="136" spans="1:6" x14ac:dyDescent="0.25">
      <c r="A136" s="55" t="s">
        <v>1101</v>
      </c>
      <c r="B136" s="55" t="s">
        <v>475</v>
      </c>
      <c r="C136" s="55" t="s">
        <v>476</v>
      </c>
      <c r="D136" s="55">
        <v>11061950001</v>
      </c>
      <c r="E136" s="55" t="s">
        <v>42</v>
      </c>
      <c r="F136" s="57">
        <v>607</v>
      </c>
    </row>
    <row r="137" spans="1:6" x14ac:dyDescent="0.25">
      <c r="A137" s="55" t="s">
        <v>929</v>
      </c>
      <c r="B137" s="55" t="s">
        <v>401</v>
      </c>
      <c r="C137" s="55" t="s">
        <v>191</v>
      </c>
      <c r="D137" s="55">
        <v>11080170001</v>
      </c>
      <c r="E137" s="55" t="s">
        <v>38</v>
      </c>
      <c r="F137" s="57">
        <v>6000</v>
      </c>
    </row>
    <row r="138" spans="1:6" x14ac:dyDescent="0.25">
      <c r="A138" s="55" t="s">
        <v>1093</v>
      </c>
      <c r="B138" s="55" t="s">
        <v>36</v>
      </c>
      <c r="C138" s="55" t="s">
        <v>37</v>
      </c>
      <c r="D138" s="55">
        <v>11030830001</v>
      </c>
      <c r="E138" s="55" t="s">
        <v>38</v>
      </c>
      <c r="F138" s="57">
        <v>3432.0500000000611</v>
      </c>
    </row>
    <row r="139" spans="1:6" x14ac:dyDescent="0.25">
      <c r="A139" s="55" t="s">
        <v>1095</v>
      </c>
      <c r="B139" s="55" t="s">
        <v>408</v>
      </c>
      <c r="C139" s="55" t="s">
        <v>86</v>
      </c>
      <c r="D139" s="55">
        <v>11030700001</v>
      </c>
      <c r="E139" s="55" t="s">
        <v>42</v>
      </c>
      <c r="F139" s="57">
        <v>3759.8500000000163</v>
      </c>
    </row>
    <row r="140" spans="1:6" x14ac:dyDescent="0.25">
      <c r="A140" s="55" t="s">
        <v>1096</v>
      </c>
      <c r="B140" s="55" t="s">
        <v>410</v>
      </c>
      <c r="C140" s="55" t="s">
        <v>67</v>
      </c>
      <c r="D140" s="55">
        <v>11030840001</v>
      </c>
      <c r="E140" s="55" t="s">
        <v>38</v>
      </c>
      <c r="F140" s="57">
        <v>2178.7100000000037</v>
      </c>
    </row>
    <row r="141" spans="1:6" x14ac:dyDescent="0.25">
      <c r="A141" s="55" t="s">
        <v>1098</v>
      </c>
      <c r="B141" s="55" t="s">
        <v>83</v>
      </c>
      <c r="C141" s="55" t="s">
        <v>84</v>
      </c>
      <c r="D141" s="55">
        <v>11030750001</v>
      </c>
      <c r="E141" s="55" t="s">
        <v>38</v>
      </c>
      <c r="F141" s="57">
        <v>3631.140000000004</v>
      </c>
    </row>
    <row r="142" spans="1:6" x14ac:dyDescent="0.25">
      <c r="A142" s="55" t="s">
        <v>1100</v>
      </c>
      <c r="B142" s="55" t="s">
        <v>213</v>
      </c>
      <c r="C142" s="55" t="s">
        <v>134</v>
      </c>
      <c r="D142" s="55">
        <v>11061720001</v>
      </c>
      <c r="E142" s="55" t="s">
        <v>42</v>
      </c>
      <c r="F142" s="57">
        <v>102.85000000000184</v>
      </c>
    </row>
    <row r="143" spans="1:6" x14ac:dyDescent="0.25">
      <c r="A143" s="55" t="s">
        <v>959</v>
      </c>
      <c r="B143" s="55" t="s">
        <v>26</v>
      </c>
      <c r="C143" s="55" t="s">
        <v>27</v>
      </c>
      <c r="D143" s="55">
        <v>11030870001</v>
      </c>
      <c r="E143" s="55" t="s">
        <v>28</v>
      </c>
      <c r="F143" s="57">
        <v>3113.4599999999928</v>
      </c>
    </row>
    <row r="144" spans="1:6" x14ac:dyDescent="0.25">
      <c r="A144" s="55" t="s">
        <v>1102</v>
      </c>
      <c r="B144" s="55" t="s">
        <v>317</v>
      </c>
      <c r="C144" s="55" t="s">
        <v>88</v>
      </c>
      <c r="D144" s="55">
        <v>11040130001</v>
      </c>
      <c r="E144" s="55" t="s">
        <v>45</v>
      </c>
      <c r="F144" s="57">
        <v>16.900000000000006</v>
      </c>
    </row>
    <row r="145" spans="1:6" x14ac:dyDescent="0.25">
      <c r="A145" s="55" t="s">
        <v>1103</v>
      </c>
      <c r="B145" s="55" t="s">
        <v>627</v>
      </c>
      <c r="C145" s="55" t="s">
        <v>99</v>
      </c>
      <c r="D145" s="55">
        <v>11040040001</v>
      </c>
      <c r="E145" s="55" t="s">
        <v>25</v>
      </c>
      <c r="F145" s="57">
        <v>4711.3400000000083</v>
      </c>
    </row>
    <row r="146" spans="1:6" x14ac:dyDescent="0.25">
      <c r="A146" s="55" t="s">
        <v>1106</v>
      </c>
      <c r="B146" s="55" t="s">
        <v>136</v>
      </c>
      <c r="C146" s="55" t="s">
        <v>137</v>
      </c>
      <c r="D146" s="55">
        <v>11030890001</v>
      </c>
      <c r="E146" s="55" t="s">
        <v>20</v>
      </c>
      <c r="F146" s="57">
        <v>1590.2600000000029</v>
      </c>
    </row>
    <row r="147" spans="1:6" x14ac:dyDescent="0.25">
      <c r="A147" s="55" t="s">
        <v>1107</v>
      </c>
      <c r="B147" s="55" t="s">
        <v>451</v>
      </c>
      <c r="C147" s="55" t="s">
        <v>156</v>
      </c>
      <c r="D147" s="55">
        <v>11062670001</v>
      </c>
      <c r="E147" s="55" t="s">
        <v>38</v>
      </c>
      <c r="F147" s="57">
        <v>556.54999999999961</v>
      </c>
    </row>
    <row r="148" spans="1:6" x14ac:dyDescent="0.25">
      <c r="A148" s="55" t="s">
        <v>839</v>
      </c>
      <c r="B148" s="55" t="s">
        <v>264</v>
      </c>
      <c r="C148" s="55" t="s">
        <v>265</v>
      </c>
      <c r="D148" s="55">
        <v>11030630001</v>
      </c>
      <c r="E148" s="55" t="s">
        <v>54</v>
      </c>
      <c r="F148" s="57">
        <v>2800</v>
      </c>
    </row>
    <row r="149" spans="1:6" x14ac:dyDescent="0.25">
      <c r="A149" s="55" t="s">
        <v>1110</v>
      </c>
      <c r="B149" s="55" t="s">
        <v>351</v>
      </c>
      <c r="C149" s="55" t="s">
        <v>90</v>
      </c>
      <c r="D149" s="55">
        <v>11040170001</v>
      </c>
      <c r="E149" s="55" t="s">
        <v>91</v>
      </c>
      <c r="F149" s="57">
        <v>459.24000000000035</v>
      </c>
    </row>
    <row r="150" spans="1:6" x14ac:dyDescent="0.25">
      <c r="A150" s="55" t="s">
        <v>1119</v>
      </c>
      <c r="B150" s="55" t="s">
        <v>255</v>
      </c>
      <c r="C150" s="55" t="s">
        <v>256</v>
      </c>
      <c r="D150" s="55">
        <v>11062160001</v>
      </c>
      <c r="E150" s="55" t="s">
        <v>20</v>
      </c>
      <c r="F150" s="57">
        <v>415.75999999999681</v>
      </c>
    </row>
    <row r="151" spans="1:6" x14ac:dyDescent="0.25">
      <c r="A151" s="55" t="s">
        <v>732</v>
      </c>
      <c r="B151" s="55" t="s">
        <v>74</v>
      </c>
      <c r="C151" s="55" t="s">
        <v>75</v>
      </c>
      <c r="D151" s="55">
        <v>11030850001</v>
      </c>
      <c r="E151" s="55" t="s">
        <v>25</v>
      </c>
      <c r="F151" s="57">
        <v>5611.24</v>
      </c>
    </row>
    <row r="152" spans="1:6" x14ac:dyDescent="0.25">
      <c r="A152" s="55" t="s">
        <v>1124</v>
      </c>
      <c r="B152" s="55" t="s">
        <v>325</v>
      </c>
      <c r="C152" s="55" t="s">
        <v>326</v>
      </c>
      <c r="D152" s="55">
        <v>11062770001</v>
      </c>
      <c r="E152" s="55" t="s">
        <v>48</v>
      </c>
      <c r="F152" s="57">
        <v>744.84999999999968</v>
      </c>
    </row>
    <row r="153" spans="1:6" x14ac:dyDescent="0.25">
      <c r="A153" s="55" t="s">
        <v>1130</v>
      </c>
      <c r="B153" s="55" t="s">
        <v>670</v>
      </c>
      <c r="C153" s="55" t="s">
        <v>156</v>
      </c>
      <c r="D153" s="55">
        <v>11062670001</v>
      </c>
      <c r="E153" s="55" t="s">
        <v>38</v>
      </c>
      <c r="F153" s="57">
        <v>800</v>
      </c>
    </row>
    <row r="154" spans="1:6" x14ac:dyDescent="0.25">
      <c r="A154" s="55" t="s">
        <v>1131</v>
      </c>
      <c r="B154" s="55" t="s">
        <v>215</v>
      </c>
      <c r="C154" s="55" t="s">
        <v>134</v>
      </c>
      <c r="D154" s="55">
        <v>11061720001</v>
      </c>
      <c r="E154" s="55" t="s">
        <v>42</v>
      </c>
      <c r="F154" s="57">
        <v>209.67999999999591</v>
      </c>
    </row>
    <row r="155" spans="1:6" x14ac:dyDescent="0.25">
      <c r="A155" s="55" t="s">
        <v>1132</v>
      </c>
      <c r="B155" s="55" t="s">
        <v>222</v>
      </c>
      <c r="C155" s="55" t="s">
        <v>223</v>
      </c>
      <c r="D155" s="55">
        <v>11062640001</v>
      </c>
      <c r="E155" s="55" t="s">
        <v>38</v>
      </c>
      <c r="F155" s="57">
        <v>1012.4100000000253</v>
      </c>
    </row>
    <row r="156" spans="1:6" x14ac:dyDescent="0.25">
      <c r="A156" s="55" t="s">
        <v>1134</v>
      </c>
      <c r="B156" s="55" t="s">
        <v>238</v>
      </c>
      <c r="C156" s="55" t="s">
        <v>239</v>
      </c>
      <c r="D156" s="55">
        <v>11010150001</v>
      </c>
      <c r="E156" s="55" t="s">
        <v>42</v>
      </c>
      <c r="F156" s="57">
        <v>500</v>
      </c>
    </row>
    <row r="157" spans="1:6" x14ac:dyDescent="0.25">
      <c r="A157" s="55" t="s">
        <v>875</v>
      </c>
      <c r="B157" s="55" t="s">
        <v>150</v>
      </c>
      <c r="C157" s="55" t="s">
        <v>151</v>
      </c>
      <c r="D157" s="55">
        <v>11030820001</v>
      </c>
      <c r="E157" s="55" t="s">
        <v>34</v>
      </c>
      <c r="F157" s="57">
        <v>6198.15</v>
      </c>
    </row>
    <row r="158" spans="1:6" x14ac:dyDescent="0.25">
      <c r="A158" s="55" t="s">
        <v>1138</v>
      </c>
      <c r="B158" s="55" t="s">
        <v>105</v>
      </c>
      <c r="C158" s="55" t="s">
        <v>677</v>
      </c>
      <c r="D158" s="55">
        <v>11062900001</v>
      </c>
      <c r="E158" s="55" t="s">
        <v>48</v>
      </c>
      <c r="F158" s="57">
        <v>971.66000000000713</v>
      </c>
    </row>
    <row r="159" spans="1:6" x14ac:dyDescent="0.25">
      <c r="A159" s="55" t="s">
        <v>1139</v>
      </c>
      <c r="B159" s="55" t="s">
        <v>294</v>
      </c>
      <c r="C159" s="55" t="s">
        <v>134</v>
      </c>
      <c r="D159" s="55">
        <v>11061720001</v>
      </c>
      <c r="E159" s="55" t="s">
        <v>42</v>
      </c>
      <c r="F159" s="57">
        <v>778.05000000000291</v>
      </c>
    </row>
    <row r="160" spans="1:6" x14ac:dyDescent="0.25">
      <c r="A160" s="55" t="s">
        <v>1141</v>
      </c>
      <c r="B160" s="55" t="s">
        <v>286</v>
      </c>
      <c r="C160" s="55" t="s">
        <v>134</v>
      </c>
      <c r="D160" s="55">
        <v>11061720001</v>
      </c>
      <c r="E160" s="55" t="s">
        <v>42</v>
      </c>
      <c r="F160" s="57">
        <v>799.99999999999693</v>
      </c>
    </row>
    <row r="161" spans="1:6" x14ac:dyDescent="0.25">
      <c r="A161" s="55" t="s">
        <v>1142</v>
      </c>
      <c r="B161" s="55" t="s">
        <v>639</v>
      </c>
      <c r="C161" s="55" t="s">
        <v>412</v>
      </c>
      <c r="D161" s="55">
        <v>11061890001</v>
      </c>
      <c r="E161" s="55" t="s">
        <v>39</v>
      </c>
      <c r="F161" s="57">
        <v>2494</v>
      </c>
    </row>
    <row r="162" spans="1:6" x14ac:dyDescent="0.25">
      <c r="A162" s="55" t="s">
        <v>1148</v>
      </c>
      <c r="B162" s="55" t="s">
        <v>246</v>
      </c>
      <c r="C162" s="55" t="s">
        <v>247</v>
      </c>
      <c r="D162" s="55">
        <v>11061980001</v>
      </c>
      <c r="E162" s="55" t="s">
        <v>54</v>
      </c>
      <c r="F162" s="57">
        <v>111.90000000000009</v>
      </c>
    </row>
    <row r="163" spans="1:6" x14ac:dyDescent="0.25">
      <c r="A163" s="55" t="s">
        <v>1156</v>
      </c>
      <c r="B163" s="55" t="s">
        <v>1157</v>
      </c>
      <c r="C163" s="55" t="s">
        <v>319</v>
      </c>
      <c r="D163" s="55">
        <v>11061430001</v>
      </c>
      <c r="E163" s="55" t="s">
        <v>25</v>
      </c>
      <c r="F163" s="57">
        <v>1100</v>
      </c>
    </row>
  </sheetData>
  <autoFilter ref="A2:F163" xr:uid="{F468B42D-8C6B-49BD-8B5E-E3B645B22914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AC4782-A92B-4BD1-BCE3-2A8A1E601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907c6-2b54-4b58-a47d-941b221e6233"/>
    <ds:schemaRef ds:uri="b1d6eb27-c974-4ca9-9eb5-035131d2e23b"/>
    <ds:schemaRef ds:uri="32ecf995-73db-46f9-a681-4562d1c02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436223-2B5B-42BA-9EA2-1901111F7C0D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b1d6eb27-c974-4ca9-9eb5-035131d2e23b"/>
    <ds:schemaRef ds:uri="403907c6-2b54-4b58-a47d-941b221e6233"/>
    <ds:schemaRef ds:uri="http://www.w3.org/XML/1998/namespace"/>
    <ds:schemaRef ds:uri="32ecf995-73db-46f9-a681-4562d1c02515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3CE9D51-4F5A-4EC6-8A3B-E1C1ABCC38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QUINZENA MARÇO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Dantas Miranda</dc:creator>
  <cp:lastModifiedBy>Leticia Angenita Scheimann Bauer</cp:lastModifiedBy>
  <dcterms:created xsi:type="dcterms:W3CDTF">2026-03-06T14:10:10Z</dcterms:created>
  <dcterms:modified xsi:type="dcterms:W3CDTF">2026-04-22T20:56:41Z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