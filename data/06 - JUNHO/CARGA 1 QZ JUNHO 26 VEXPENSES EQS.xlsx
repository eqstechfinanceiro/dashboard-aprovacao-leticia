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1" documentId="8_{481531CF-D116-4AE0-B0BB-A0F790E16E14}" xr6:coauthVersionLast="47" xr6:coauthVersionMax="47" xr10:uidLastSave="{5BA3FC67-5A49-4617-A962-EFF8D5745547}"/>
  <bookViews>
    <workbookView xWindow="-120" yWindow="-120" windowWidth="20730" windowHeight="11160" xr2:uid="{8FF55715-00B5-4B6C-A2AD-BDC13CC77C85}"/>
  </bookViews>
  <sheets>
    <sheet name="1 QZ JUNHO" sheetId="1" r:id="rId1"/>
    <sheet name="Planilha1" sheetId="4" r:id="rId2"/>
    <sheet name="RETIRAR" sheetId="3" r:id="rId3"/>
    <sheet name="STATUS CARTAO" sheetId="2" state="hidden" r:id="rId4"/>
  </sheets>
  <definedNames>
    <definedName name="_xlnm._FilterDatabase" localSheetId="1" hidden="1">Planilha1!$B$2:$I$215</definedName>
  </definedNames>
  <calcPr calcId="191028"/>
  <pivotCaches>
    <pivotCache cacheId="18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M349" i="1"/>
  <c r="M143" i="1"/>
  <c r="M381" i="1"/>
  <c r="M57" i="1"/>
  <c r="M197" i="1"/>
  <c r="M84" i="1"/>
  <c r="M300" i="1"/>
  <c r="M296" i="1"/>
  <c r="M146" i="1"/>
  <c r="M245" i="1"/>
  <c r="M119" i="1"/>
  <c r="M136" i="1"/>
  <c r="M141" i="1"/>
  <c r="M221" i="1"/>
  <c r="M330" i="1"/>
  <c r="M336" i="1"/>
  <c r="M359" i="1"/>
  <c r="M121" i="1"/>
  <c r="M69" i="1"/>
  <c r="M189" i="1"/>
  <c r="M178" i="1"/>
  <c r="M270" i="1"/>
  <c r="M51" i="1"/>
  <c r="M367" i="1"/>
  <c r="M127" i="1"/>
  <c r="M225" i="1"/>
  <c r="M74" i="1"/>
  <c r="M238" i="1"/>
  <c r="M378" i="1"/>
  <c r="M266" i="1"/>
  <c r="M105" i="1"/>
  <c r="M304" i="1"/>
  <c r="M272" i="1"/>
  <c r="M261" i="1"/>
  <c r="M369" i="1"/>
  <c r="M183" i="1"/>
  <c r="M323" i="1"/>
  <c r="M362" i="1"/>
  <c r="M176" i="1"/>
  <c r="M327" i="1"/>
  <c r="M252" i="1"/>
  <c r="M149" i="1"/>
  <c r="M213" i="1"/>
  <c r="M347" i="1"/>
  <c r="M385" i="1"/>
  <c r="N349" i="1"/>
  <c r="N143" i="1"/>
  <c r="N381" i="1"/>
  <c r="N57" i="1"/>
  <c r="N197" i="1"/>
  <c r="N84" i="1"/>
  <c r="N300" i="1"/>
  <c r="N296" i="1"/>
  <c r="N146" i="1"/>
  <c r="N245" i="1"/>
  <c r="N119" i="1"/>
  <c r="N136" i="1"/>
  <c r="N141" i="1"/>
  <c r="N221" i="1"/>
  <c r="N330" i="1"/>
  <c r="N336" i="1"/>
  <c r="N359" i="1"/>
  <c r="N121" i="1"/>
  <c r="N69" i="1"/>
  <c r="N189" i="1"/>
  <c r="N178" i="1"/>
  <c r="N270" i="1"/>
  <c r="N51" i="1"/>
  <c r="N367" i="1"/>
  <c r="N127" i="1"/>
  <c r="N225" i="1"/>
  <c r="N74" i="1"/>
  <c r="N238" i="1"/>
  <c r="N378" i="1"/>
  <c r="N266" i="1"/>
  <c r="N105" i="1"/>
  <c r="N304" i="1"/>
  <c r="N272" i="1"/>
  <c r="N261" i="1"/>
  <c r="N369" i="1"/>
  <c r="N183" i="1"/>
  <c r="N323" i="1"/>
  <c r="N362" i="1"/>
  <c r="N176" i="1"/>
  <c r="N327" i="1"/>
  <c r="N252" i="1"/>
  <c r="N149" i="1"/>
  <c r="N213" i="1"/>
  <c r="N347" i="1"/>
  <c r="N385" i="1"/>
  <c r="Q349" i="1"/>
  <c r="Q143" i="1"/>
  <c r="Q381" i="1"/>
  <c r="Q57" i="1"/>
  <c r="Q197" i="1"/>
  <c r="Q84" i="1"/>
  <c r="Q300" i="1"/>
  <c r="Q296" i="1"/>
  <c r="Q146" i="1"/>
  <c r="Q245" i="1"/>
  <c r="Q119" i="1"/>
  <c r="Q136" i="1"/>
  <c r="Q141" i="1"/>
  <c r="Q221" i="1"/>
  <c r="Q330" i="1"/>
  <c r="Q336" i="1"/>
  <c r="Q359" i="1"/>
  <c r="Q121" i="1"/>
  <c r="Q69" i="1"/>
  <c r="Q189" i="1"/>
  <c r="Q178" i="1"/>
  <c r="Q270" i="1"/>
  <c r="Q51" i="1"/>
  <c r="Q367" i="1"/>
  <c r="Q127" i="1"/>
  <c r="Q225" i="1"/>
  <c r="Q74" i="1"/>
  <c r="Q238" i="1"/>
  <c r="Q378" i="1"/>
  <c r="Q266" i="1"/>
  <c r="Q105" i="1"/>
  <c r="Q304" i="1"/>
  <c r="Q272" i="1"/>
  <c r="Q261" i="1"/>
  <c r="Q369" i="1"/>
  <c r="Q183" i="1"/>
  <c r="Q323" i="1"/>
  <c r="Q362" i="1"/>
  <c r="Q176" i="1"/>
  <c r="Q327" i="1"/>
  <c r="Q252" i="1"/>
  <c r="Q149" i="1"/>
  <c r="Q213" i="1"/>
  <c r="Q347" i="1"/>
  <c r="Q385" i="1"/>
  <c r="Q66" i="1" l="1"/>
  <c r="Q306" i="1"/>
  <c r="Q263" i="1"/>
  <c r="Q7" i="1"/>
  <c r="Q32" i="1"/>
  <c r="Q217" i="1"/>
  <c r="Q179" i="1"/>
  <c r="Q249" i="1"/>
  <c r="Q54" i="1"/>
  <c r="Q242" i="1"/>
  <c r="Q203" i="1"/>
  <c r="Q341" i="1"/>
  <c r="Q142" i="1"/>
  <c r="Q348" i="1"/>
  <c r="Q380" i="1"/>
  <c r="Q53" i="1"/>
  <c r="Q39" i="1"/>
  <c r="Q196" i="1"/>
  <c r="Q375" i="1"/>
  <c r="Q267" i="1"/>
  <c r="Q338" i="1"/>
  <c r="Q65" i="1"/>
  <c r="Q228" i="1"/>
  <c r="Q62" i="1"/>
  <c r="Q124" i="1"/>
  <c r="Q337" i="1"/>
  <c r="Q116" i="1"/>
  <c r="Q339" i="1"/>
  <c r="Q365" i="1"/>
  <c r="Q353" i="1"/>
  <c r="Q335" i="1"/>
  <c r="Q145" i="1"/>
  <c r="Q248" i="1"/>
  <c r="Q90" i="1"/>
  <c r="Q291" i="1"/>
  <c r="Q204" i="1"/>
  <c r="Q55" i="1"/>
  <c r="Q135" i="1"/>
  <c r="Q280" i="1"/>
  <c r="Q139" i="1"/>
  <c r="Q78" i="1"/>
  <c r="Q244" i="1"/>
  <c r="Q340" i="1"/>
  <c r="Q299" i="1"/>
  <c r="Q123" i="1"/>
  <c r="Q192" i="1"/>
  <c r="Q20" i="1"/>
  <c r="Q165" i="1"/>
  <c r="Q331" i="1"/>
  <c r="Q133" i="1"/>
  <c r="Q129" i="1"/>
  <c r="Q180" i="1"/>
  <c r="Q33" i="1"/>
  <c r="Q63" i="1"/>
  <c r="Q83" i="1"/>
  <c r="Q386" i="1"/>
  <c r="Q56" i="1"/>
  <c r="Q138" i="1"/>
  <c r="Q118" i="1"/>
  <c r="Q89" i="1"/>
  <c r="Q60" i="1"/>
  <c r="Q47" i="1"/>
  <c r="Q158" i="1"/>
  <c r="Q137" i="1"/>
  <c r="Q222" i="1"/>
  <c r="Q232" i="1"/>
  <c r="Q131" i="1"/>
  <c r="Q16" i="1"/>
  <c r="Q10" i="1"/>
  <c r="Q153" i="1"/>
  <c r="Q329" i="1"/>
  <c r="Q42" i="1"/>
  <c r="Q140" i="1"/>
  <c r="Q81" i="1"/>
  <c r="Q128" i="1"/>
  <c r="Q96" i="1"/>
  <c r="Q276" i="1"/>
  <c r="Q268" i="1"/>
  <c r="Q259" i="1"/>
  <c r="Q160" i="1"/>
  <c r="Q382" i="1"/>
  <c r="Q227" i="1"/>
  <c r="Q273" i="1"/>
  <c r="Q357" i="1"/>
  <c r="Q316" i="1"/>
  <c r="Q199" i="1"/>
  <c r="Q181" i="1"/>
  <c r="Q13" i="1"/>
  <c r="Q92" i="1"/>
  <c r="Q112" i="1"/>
  <c r="Q15" i="1"/>
  <c r="Q37" i="1"/>
  <c r="Q132" i="1"/>
  <c r="Q172" i="1"/>
  <c r="Q360" i="1"/>
  <c r="Q64" i="1"/>
  <c r="Q311" i="1"/>
  <c r="Q345" i="1"/>
  <c r="Q243" i="1"/>
  <c r="Q207" i="1"/>
  <c r="Q333" i="1"/>
  <c r="Q356" i="1"/>
  <c r="Q205" i="1"/>
  <c r="Q151" i="1"/>
  <c r="Q326" i="1"/>
  <c r="Q202" i="1"/>
  <c r="Q126" i="1"/>
  <c r="Q159" i="1"/>
  <c r="Q169" i="1"/>
  <c r="Q324" i="1"/>
  <c r="Q383" i="1"/>
  <c r="Q305" i="1"/>
  <c r="Q229" i="1"/>
  <c r="Q352" i="1"/>
  <c r="Q355" i="1"/>
  <c r="Q107" i="1"/>
  <c r="Q185" i="1"/>
  <c r="Q85" i="1"/>
  <c r="Q283" i="1"/>
  <c r="Q218" i="1"/>
  <c r="Q255" i="1"/>
  <c r="Q295" i="1"/>
  <c r="Q99" i="1"/>
  <c r="Q294" i="1"/>
  <c r="Q34" i="1"/>
  <c r="Q321" i="1"/>
  <c r="Q297" i="1"/>
  <c r="Q184" i="1"/>
  <c r="Q166" i="1"/>
  <c r="Q358" i="1"/>
  <c r="Q370" i="1"/>
  <c r="Q157" i="1"/>
  <c r="Q164" i="1"/>
  <c r="Q343" i="1"/>
  <c r="Q36" i="1"/>
  <c r="Q147" i="1"/>
  <c r="Q275" i="1"/>
  <c r="Q233" i="1"/>
  <c r="Q130" i="1"/>
  <c r="Q239" i="1"/>
  <c r="Q351" i="1"/>
  <c r="Q310" i="1"/>
  <c r="Q258" i="1"/>
  <c r="Q97" i="1"/>
  <c r="Q269" i="1"/>
  <c r="Q8" i="1"/>
  <c r="Q234" i="1"/>
  <c r="Q117" i="1"/>
  <c r="Q350" i="1"/>
  <c r="Q253" i="1"/>
  <c r="Q194" i="1"/>
  <c r="Q285" i="1"/>
  <c r="Q219" i="1"/>
  <c r="Q235" i="1"/>
  <c r="Q67" i="1"/>
  <c r="Q216" i="1"/>
  <c r="Q230" i="1"/>
  <c r="Q208" i="1"/>
  <c r="Q40" i="1"/>
  <c r="Q114" i="1"/>
  <c r="Q17" i="1"/>
  <c r="Q317" i="1"/>
  <c r="Q284" i="1"/>
  <c r="Q49" i="1"/>
  <c r="Q364" i="1"/>
  <c r="Q70" i="1"/>
  <c r="Q170" i="1"/>
  <c r="Q161" i="1"/>
  <c r="Q373" i="1"/>
  <c r="Q313" i="1"/>
  <c r="Q106" i="1"/>
  <c r="Q122" i="1"/>
  <c r="Q256" i="1"/>
  <c r="Q43" i="1"/>
  <c r="Q309" i="1"/>
  <c r="Q254" i="1"/>
  <c r="Q290" i="1"/>
  <c r="Q354" i="1"/>
  <c r="Q68" i="1"/>
  <c r="Q11" i="1"/>
  <c r="Q361" i="1"/>
  <c r="Q314" i="1"/>
  <c r="Q76" i="1"/>
  <c r="Q372" i="1"/>
  <c r="Q50" i="1"/>
  <c r="Q224" i="1"/>
  <c r="Q120" i="1"/>
  <c r="Q308" i="1"/>
  <c r="Q188" i="1"/>
  <c r="Q322" i="1"/>
  <c r="Q363" i="1"/>
  <c r="Q237" i="1"/>
  <c r="Q177" i="1"/>
  <c r="Q148" i="1"/>
  <c r="Q104" i="1"/>
  <c r="Q344" i="1"/>
  <c r="Q251" i="1"/>
  <c r="Q384" i="1"/>
  <c r="Q374" i="1"/>
  <c r="Q236" i="1"/>
  <c r="Q41" i="1"/>
  <c r="Q19" i="1"/>
  <c r="Q292" i="1"/>
  <c r="Q193" i="1"/>
  <c r="Q274" i="1"/>
  <c r="Q190" i="1"/>
  <c r="Q100" i="1"/>
  <c r="Q332" i="1"/>
  <c r="Q173" i="1"/>
  <c r="Q186" i="1"/>
  <c r="Q93" i="1"/>
  <c r="Q113" i="1"/>
  <c r="Q366" i="1"/>
  <c r="Q73" i="1"/>
  <c r="Q271" i="1"/>
  <c r="Q298" i="1"/>
  <c r="Q91" i="1"/>
  <c r="Q318" i="1"/>
  <c r="Q52" i="1"/>
  <c r="Q182" i="1"/>
  <c r="Q303" i="1"/>
  <c r="Q220" i="1"/>
  <c r="Q226" i="1"/>
  <c r="Q215" i="1"/>
  <c r="Q44" i="1"/>
  <c r="Q262" i="1"/>
  <c r="Q46" i="1"/>
  <c r="Q111" i="1"/>
  <c r="Q312" i="1"/>
  <c r="Q289" i="1"/>
  <c r="Q72" i="1"/>
  <c r="Q307" i="1"/>
  <c r="Q231" i="1"/>
  <c r="Q167" i="1"/>
  <c r="Q27" i="1"/>
  <c r="Q21" i="1"/>
  <c r="Q23" i="1"/>
  <c r="Q156" i="1"/>
  <c r="Q211" i="1"/>
  <c r="Q101" i="1"/>
  <c r="Q201" i="1"/>
  <c r="Q24" i="1"/>
  <c r="Q155" i="1"/>
  <c r="Q328" i="1"/>
  <c r="Q174" i="1"/>
  <c r="Q175" i="1"/>
  <c r="Q260" i="1"/>
  <c r="Q265" i="1"/>
  <c r="Q377" i="1"/>
  <c r="Q29" i="1"/>
  <c r="Q368" i="1"/>
  <c r="Q9" i="1"/>
  <c r="Q198" i="1"/>
  <c r="Q82" i="1"/>
  <c r="Q257" i="1"/>
  <c r="Q168" i="1"/>
  <c r="Q334" i="1"/>
  <c r="Q30" i="1"/>
  <c r="Q388" i="1"/>
  <c r="Q163" i="1"/>
  <c r="Q154" i="1"/>
  <c r="Q191" i="1"/>
  <c r="Q31" i="1"/>
  <c r="Q35" i="1"/>
  <c r="Q110" i="1"/>
  <c r="Q95" i="1"/>
  <c r="Q28" i="1"/>
  <c r="Q14" i="1"/>
  <c r="Q59" i="1"/>
  <c r="Q115" i="1"/>
  <c r="Q282" i="1"/>
  <c r="Q18" i="1"/>
  <c r="Q212" i="1"/>
  <c r="Q376" i="1"/>
  <c r="Q38" i="1"/>
  <c r="Q162" i="1"/>
  <c r="Q293" i="1"/>
  <c r="Q109" i="1"/>
  <c r="Q325" i="1"/>
  <c r="Q287" i="1"/>
  <c r="Q88" i="1"/>
  <c r="Q77" i="1"/>
  <c r="Q301" i="1"/>
  <c r="Q134" i="1"/>
  <c r="Q264" i="1"/>
  <c r="Q371" i="1"/>
  <c r="Q187" i="1"/>
  <c r="Q71" i="1"/>
  <c r="Q22" i="1"/>
  <c r="Q278" i="1"/>
  <c r="Q171" i="1"/>
  <c r="Q103" i="1"/>
  <c r="Q58" i="1"/>
  <c r="Q86" i="1"/>
  <c r="Q277" i="1"/>
  <c r="Q387" i="1"/>
  <c r="Q379" i="1"/>
  <c r="Q125" i="1"/>
  <c r="Q319" i="1"/>
  <c r="Q94" i="1"/>
  <c r="Q12" i="1"/>
  <c r="Q75" i="1"/>
  <c r="Q250" i="1"/>
  <c r="Q247" i="1"/>
  <c r="Q61" i="1"/>
  <c r="Q286" i="1"/>
  <c r="Q144" i="1"/>
  <c r="Q48" i="1"/>
  <c r="Q102" i="1"/>
  <c r="Q320" i="1"/>
  <c r="Q152" i="1"/>
  <c r="Q342" i="1"/>
  <c r="Q315" i="1"/>
  <c r="Q346" i="1"/>
  <c r="Q87" i="1"/>
  <c r="Q281" i="1"/>
  <c r="Q240" i="1"/>
  <c r="Q223" i="1"/>
  <c r="Q214" i="1"/>
  <c r="Q150" i="1"/>
  <c r="Q200" i="1"/>
  <c r="Q108" i="1"/>
  <c r="Q195" i="1"/>
  <c r="Q98" i="1"/>
  <c r="Q210" i="1"/>
  <c r="Q279" i="1"/>
  <c r="Q206" i="1"/>
  <c r="Q79" i="1"/>
  <c r="Q302" i="1"/>
  <c r="Q246" i="1"/>
  <c r="Q80" i="1"/>
  <c r="Q241" i="1"/>
  <c r="Q45" i="1"/>
  <c r="Q25" i="1"/>
  <c r="Q26" i="1"/>
  <c r="Q209" i="1"/>
  <c r="Q288" i="1"/>
  <c r="I341" i="1"/>
  <c r="I5" i="1" l="1"/>
  <c r="K5" i="1"/>
  <c r="L5" i="1"/>
  <c r="H5" i="1"/>
  <c r="J5" i="1"/>
  <c r="M66" i="1"/>
  <c r="N66" i="1"/>
  <c r="M205" i="1"/>
  <c r="N205" i="1"/>
  <c r="M387" i="1"/>
  <c r="M388" i="1"/>
  <c r="N387" i="1"/>
  <c r="N388" i="1"/>
  <c r="M386" i="1"/>
  <c r="N386" i="1"/>
  <c r="M384" i="1"/>
  <c r="N384" i="1"/>
  <c r="M382" i="1"/>
  <c r="M383" i="1"/>
  <c r="N382" i="1"/>
  <c r="N383" i="1"/>
  <c r="M379" i="1"/>
  <c r="M380" i="1"/>
  <c r="N379" i="1"/>
  <c r="N380" i="1"/>
  <c r="M377" i="1"/>
  <c r="N377" i="1"/>
  <c r="M376" i="1"/>
  <c r="N376" i="1"/>
  <c r="M374" i="1"/>
  <c r="M375" i="1"/>
  <c r="N374" i="1"/>
  <c r="N375" i="1"/>
  <c r="M372" i="1"/>
  <c r="M373" i="1"/>
  <c r="N372" i="1"/>
  <c r="N373" i="1"/>
  <c r="M371" i="1"/>
  <c r="N371" i="1"/>
  <c r="M370" i="1"/>
  <c r="N370" i="1"/>
  <c r="M364" i="1"/>
  <c r="M365" i="1"/>
  <c r="M366" i="1"/>
  <c r="M368" i="1"/>
  <c r="N364" i="1"/>
  <c r="N365" i="1"/>
  <c r="N366" i="1"/>
  <c r="N368" i="1"/>
  <c r="M363" i="1"/>
  <c r="N363" i="1"/>
  <c r="M361" i="1"/>
  <c r="N361" i="1"/>
  <c r="M357" i="1"/>
  <c r="M358" i="1"/>
  <c r="M360" i="1"/>
  <c r="N357" i="1"/>
  <c r="N358" i="1"/>
  <c r="N360" i="1"/>
  <c r="M356" i="1"/>
  <c r="N356" i="1"/>
  <c r="M355" i="1"/>
  <c r="N355" i="1"/>
  <c r="M346" i="1"/>
  <c r="M348" i="1"/>
  <c r="M350" i="1"/>
  <c r="M351" i="1"/>
  <c r="M352" i="1"/>
  <c r="M353" i="1"/>
  <c r="M354" i="1"/>
  <c r="N346" i="1"/>
  <c r="N348" i="1"/>
  <c r="N350" i="1"/>
  <c r="N351" i="1"/>
  <c r="N352" i="1"/>
  <c r="N353" i="1"/>
  <c r="N354" i="1"/>
  <c r="M343" i="1"/>
  <c r="M344" i="1"/>
  <c r="M345" i="1"/>
  <c r="N343" i="1"/>
  <c r="N344" i="1"/>
  <c r="N345" i="1"/>
  <c r="M340" i="1"/>
  <c r="M341" i="1"/>
  <c r="M342" i="1"/>
  <c r="N340" i="1"/>
  <c r="N341" i="1"/>
  <c r="N342" i="1"/>
  <c r="M338" i="1"/>
  <c r="M339" i="1"/>
  <c r="N338" i="1"/>
  <c r="N339" i="1"/>
  <c r="M337" i="1"/>
  <c r="N337" i="1"/>
  <c r="M335" i="1"/>
  <c r="N335" i="1"/>
  <c r="M334" i="1"/>
  <c r="N334" i="1"/>
  <c r="M332" i="1"/>
  <c r="M333" i="1"/>
  <c r="N332" i="1"/>
  <c r="N333" i="1"/>
  <c r="M326" i="1"/>
  <c r="M328" i="1"/>
  <c r="M329" i="1"/>
  <c r="M331" i="1"/>
  <c r="N326" i="1"/>
  <c r="N328" i="1"/>
  <c r="N329" i="1"/>
  <c r="N331" i="1"/>
  <c r="M322" i="1"/>
  <c r="M324" i="1"/>
  <c r="M325" i="1"/>
  <c r="N322" i="1"/>
  <c r="N324" i="1"/>
  <c r="N325" i="1"/>
  <c r="M321" i="1"/>
  <c r="N321" i="1"/>
  <c r="M319" i="1"/>
  <c r="M320" i="1"/>
  <c r="N319" i="1"/>
  <c r="N320" i="1"/>
  <c r="M318" i="1"/>
  <c r="N318" i="1"/>
  <c r="M317" i="1"/>
  <c r="N317" i="1"/>
  <c r="M315" i="1"/>
  <c r="M316" i="1"/>
  <c r="N315" i="1"/>
  <c r="N316" i="1"/>
  <c r="M314" i="1"/>
  <c r="N314" i="1"/>
  <c r="M312" i="1"/>
  <c r="M313" i="1"/>
  <c r="N312" i="1"/>
  <c r="N313" i="1"/>
  <c r="M311" i="1"/>
  <c r="N311" i="1"/>
  <c r="M308" i="1"/>
  <c r="M309" i="1"/>
  <c r="M310" i="1"/>
  <c r="N308" i="1"/>
  <c r="N309" i="1"/>
  <c r="N310" i="1"/>
  <c r="M306" i="1"/>
  <c r="M307" i="1"/>
  <c r="N306" i="1"/>
  <c r="N307" i="1"/>
  <c r="M302" i="1"/>
  <c r="M303" i="1"/>
  <c r="M305" i="1"/>
  <c r="N302" i="1"/>
  <c r="N303" i="1"/>
  <c r="N305" i="1"/>
  <c r="M301" i="1"/>
  <c r="N301" i="1"/>
  <c r="M299" i="1"/>
  <c r="N299" i="1"/>
  <c r="M298" i="1"/>
  <c r="N298" i="1"/>
  <c r="M297" i="1"/>
  <c r="N297" i="1"/>
  <c r="M293" i="1"/>
  <c r="M294" i="1"/>
  <c r="M295" i="1"/>
  <c r="N293" i="1"/>
  <c r="N294" i="1"/>
  <c r="N295" i="1"/>
  <c r="M287" i="1"/>
  <c r="M288" i="1"/>
  <c r="M289" i="1"/>
  <c r="M290" i="1"/>
  <c r="M291" i="1"/>
  <c r="M292" i="1"/>
  <c r="N287" i="1"/>
  <c r="N288" i="1"/>
  <c r="N289" i="1"/>
  <c r="N290" i="1"/>
  <c r="N291" i="1"/>
  <c r="N292" i="1"/>
  <c r="M286" i="1"/>
  <c r="N286" i="1"/>
  <c r="M285" i="1"/>
  <c r="N285" i="1"/>
  <c r="M284" i="1"/>
  <c r="N284" i="1"/>
  <c r="M283" i="1"/>
  <c r="N283" i="1"/>
  <c r="M282" i="1"/>
  <c r="N282" i="1"/>
  <c r="M280" i="1"/>
  <c r="M281" i="1"/>
  <c r="N280" i="1"/>
  <c r="N281" i="1"/>
  <c r="M279" i="1"/>
  <c r="N279" i="1"/>
  <c r="M278" i="1"/>
  <c r="N278" i="1"/>
  <c r="M277" i="1"/>
  <c r="N277" i="1"/>
  <c r="M276" i="1"/>
  <c r="N276" i="1"/>
  <c r="M274" i="1"/>
  <c r="M275" i="1"/>
  <c r="N274" i="1"/>
  <c r="N275" i="1"/>
  <c r="M273" i="1"/>
  <c r="N273" i="1"/>
  <c r="M269" i="1"/>
  <c r="M271" i="1"/>
  <c r="N269" i="1"/>
  <c r="N271" i="1"/>
  <c r="M267" i="1"/>
  <c r="M268" i="1"/>
  <c r="N267" i="1"/>
  <c r="N268" i="1"/>
  <c r="M262" i="1"/>
  <c r="M263" i="1"/>
  <c r="M264" i="1"/>
  <c r="M265" i="1"/>
  <c r="N262" i="1"/>
  <c r="N263" i="1"/>
  <c r="N264" i="1"/>
  <c r="N265" i="1"/>
  <c r="M260" i="1"/>
  <c r="N260" i="1"/>
  <c r="M259" i="1"/>
  <c r="N259" i="1"/>
  <c r="M257" i="1"/>
  <c r="M258" i="1"/>
  <c r="N257" i="1"/>
  <c r="N258" i="1"/>
  <c r="M255" i="1"/>
  <c r="M256" i="1"/>
  <c r="N255" i="1"/>
  <c r="N256" i="1"/>
  <c r="M254" i="1"/>
  <c r="N254" i="1"/>
  <c r="M251" i="1"/>
  <c r="M253" i="1"/>
  <c r="N251" i="1"/>
  <c r="N253" i="1"/>
  <c r="M250" i="1"/>
  <c r="N250" i="1"/>
  <c r="M246" i="1"/>
  <c r="M247" i="1"/>
  <c r="M248" i="1"/>
  <c r="M249" i="1"/>
  <c r="N246" i="1"/>
  <c r="N247" i="1"/>
  <c r="N248" i="1"/>
  <c r="N249" i="1"/>
  <c r="M239" i="1"/>
  <c r="M240" i="1"/>
  <c r="M241" i="1"/>
  <c r="M242" i="1"/>
  <c r="M243" i="1"/>
  <c r="M244" i="1"/>
  <c r="N239" i="1"/>
  <c r="N240" i="1"/>
  <c r="N241" i="1"/>
  <c r="N242" i="1"/>
  <c r="N243" i="1"/>
  <c r="N244" i="1"/>
  <c r="M237" i="1"/>
  <c r="N237" i="1"/>
  <c r="M236" i="1"/>
  <c r="N236" i="1"/>
  <c r="M235" i="1"/>
  <c r="N235" i="1"/>
  <c r="M233" i="1"/>
  <c r="M234" i="1"/>
  <c r="N233" i="1"/>
  <c r="N234" i="1"/>
  <c r="M228" i="1"/>
  <c r="M229" i="1"/>
  <c r="M230" i="1"/>
  <c r="M231" i="1"/>
  <c r="M232" i="1"/>
  <c r="N228" i="1"/>
  <c r="N229" i="1"/>
  <c r="N230" i="1"/>
  <c r="N231" i="1"/>
  <c r="N232" i="1"/>
  <c r="M227" i="1"/>
  <c r="N227" i="1"/>
  <c r="M226" i="1"/>
  <c r="N226" i="1"/>
  <c r="M223" i="1"/>
  <c r="M224" i="1"/>
  <c r="N223" i="1"/>
  <c r="N224" i="1"/>
  <c r="M222" i="1"/>
  <c r="N222" i="1"/>
  <c r="M220" i="1"/>
  <c r="N220" i="1"/>
  <c r="M219" i="1"/>
  <c r="N219" i="1"/>
  <c r="M215" i="1"/>
  <c r="M216" i="1"/>
  <c r="M217" i="1"/>
  <c r="M218" i="1"/>
  <c r="N215" i="1"/>
  <c r="N216" i="1"/>
  <c r="N217" i="1"/>
  <c r="N218" i="1"/>
  <c r="M214" i="1"/>
  <c r="N214" i="1"/>
  <c r="M211" i="1"/>
  <c r="M212" i="1"/>
  <c r="N211" i="1"/>
  <c r="N212" i="1"/>
  <c r="M209" i="1"/>
  <c r="M210" i="1"/>
  <c r="N209" i="1"/>
  <c r="N210" i="1"/>
  <c r="M204" i="1"/>
  <c r="M206" i="1"/>
  <c r="M207" i="1"/>
  <c r="M208" i="1"/>
  <c r="N204" i="1"/>
  <c r="N206" i="1"/>
  <c r="N207" i="1"/>
  <c r="N208" i="1"/>
  <c r="M202" i="1"/>
  <c r="M203" i="1"/>
  <c r="N202" i="1"/>
  <c r="N203" i="1"/>
  <c r="M201" i="1"/>
  <c r="N201" i="1"/>
  <c r="M196" i="1"/>
  <c r="M198" i="1"/>
  <c r="M199" i="1"/>
  <c r="M200" i="1"/>
  <c r="N196" i="1"/>
  <c r="N198" i="1"/>
  <c r="N199" i="1"/>
  <c r="N200" i="1"/>
  <c r="M195" i="1"/>
  <c r="N195" i="1"/>
  <c r="M194" i="1"/>
  <c r="N194" i="1"/>
  <c r="M191" i="1"/>
  <c r="M192" i="1"/>
  <c r="M193" i="1"/>
  <c r="N191" i="1"/>
  <c r="N192" i="1"/>
  <c r="N193" i="1"/>
  <c r="M190" i="1"/>
  <c r="N190" i="1"/>
  <c r="M188" i="1"/>
  <c r="N188" i="1"/>
  <c r="M179" i="1"/>
  <c r="M180" i="1"/>
  <c r="M181" i="1"/>
  <c r="M182" i="1"/>
  <c r="M184" i="1"/>
  <c r="M185" i="1"/>
  <c r="M186" i="1"/>
  <c r="M187" i="1"/>
  <c r="N179" i="1"/>
  <c r="N180" i="1"/>
  <c r="N181" i="1"/>
  <c r="N182" i="1"/>
  <c r="N184" i="1"/>
  <c r="N185" i="1"/>
  <c r="N186" i="1"/>
  <c r="N187" i="1"/>
  <c r="M175" i="1"/>
  <c r="M177" i="1"/>
  <c r="N175" i="1"/>
  <c r="N177" i="1"/>
  <c r="M174" i="1"/>
  <c r="N174" i="1"/>
  <c r="M173" i="1"/>
  <c r="N173" i="1"/>
  <c r="M166" i="1"/>
  <c r="M167" i="1"/>
  <c r="M168" i="1"/>
  <c r="M169" i="1"/>
  <c r="M170" i="1"/>
  <c r="M171" i="1"/>
  <c r="M172" i="1"/>
  <c r="N166" i="1"/>
  <c r="N167" i="1"/>
  <c r="N168" i="1"/>
  <c r="N169" i="1"/>
  <c r="N170" i="1"/>
  <c r="N171" i="1"/>
  <c r="N172" i="1"/>
  <c r="M165" i="1"/>
  <c r="N165" i="1"/>
  <c r="M163" i="1"/>
  <c r="M164" i="1"/>
  <c r="N163" i="1"/>
  <c r="N164" i="1"/>
  <c r="M161" i="1"/>
  <c r="M162" i="1"/>
  <c r="N161" i="1"/>
  <c r="N162" i="1"/>
  <c r="M159" i="1"/>
  <c r="M160" i="1"/>
  <c r="N159" i="1"/>
  <c r="N160" i="1"/>
  <c r="M158" i="1"/>
  <c r="N158" i="1"/>
  <c r="M157" i="1"/>
  <c r="N157" i="1"/>
  <c r="M156" i="1"/>
  <c r="N156" i="1"/>
  <c r="M155" i="1"/>
  <c r="N155" i="1"/>
  <c r="M154" i="1"/>
  <c r="N154" i="1"/>
  <c r="M153" i="1"/>
  <c r="N153" i="1"/>
  <c r="M152" i="1"/>
  <c r="N152" i="1"/>
  <c r="M151" i="1"/>
  <c r="N151" i="1"/>
  <c r="M150" i="1"/>
  <c r="N150" i="1"/>
  <c r="M147" i="1"/>
  <c r="M148" i="1"/>
  <c r="N147" i="1"/>
  <c r="N148" i="1"/>
  <c r="M145" i="1"/>
  <c r="N145" i="1"/>
  <c r="M142" i="1"/>
  <c r="M144" i="1"/>
  <c r="N142" i="1"/>
  <c r="N144" i="1"/>
  <c r="M139" i="1"/>
  <c r="M140" i="1"/>
  <c r="N139" i="1"/>
  <c r="N140" i="1"/>
  <c r="M138" i="1"/>
  <c r="N138" i="1"/>
  <c r="M137" i="1"/>
  <c r="N137" i="1"/>
  <c r="M135" i="1"/>
  <c r="N135" i="1"/>
  <c r="M131" i="1"/>
  <c r="M132" i="1"/>
  <c r="M133" i="1"/>
  <c r="M134" i="1"/>
  <c r="N131" i="1"/>
  <c r="N132" i="1"/>
  <c r="N133" i="1"/>
  <c r="N134" i="1"/>
  <c r="M130" i="1"/>
  <c r="N130" i="1"/>
  <c r="M128" i="1"/>
  <c r="M129" i="1"/>
  <c r="N128" i="1"/>
  <c r="N129" i="1"/>
  <c r="M125" i="1"/>
  <c r="M126" i="1"/>
  <c r="N125" i="1"/>
  <c r="N126" i="1"/>
  <c r="M124" i="1"/>
  <c r="N124" i="1"/>
  <c r="M122" i="1"/>
  <c r="M123" i="1"/>
  <c r="N122" i="1"/>
  <c r="N123" i="1"/>
  <c r="M118" i="1"/>
  <c r="M120" i="1"/>
  <c r="N118" i="1"/>
  <c r="N120" i="1"/>
  <c r="M116" i="1"/>
  <c r="M117" i="1"/>
  <c r="N116" i="1"/>
  <c r="N117" i="1"/>
  <c r="M115" i="1"/>
  <c r="N115" i="1"/>
  <c r="M114" i="1"/>
  <c r="N114" i="1"/>
  <c r="M113" i="1"/>
  <c r="N113" i="1"/>
  <c r="M112" i="1"/>
  <c r="N112" i="1"/>
  <c r="M110" i="1"/>
  <c r="M111" i="1"/>
  <c r="N110" i="1"/>
  <c r="N111" i="1"/>
  <c r="M109" i="1"/>
  <c r="N109" i="1"/>
  <c r="M107" i="1"/>
  <c r="M108" i="1"/>
  <c r="N107" i="1"/>
  <c r="N108" i="1"/>
  <c r="M106" i="1"/>
  <c r="N106" i="1"/>
  <c r="M103" i="1"/>
  <c r="M104" i="1"/>
  <c r="N103" i="1"/>
  <c r="N104" i="1"/>
  <c r="M101" i="1"/>
  <c r="M102" i="1"/>
  <c r="N101" i="1"/>
  <c r="N102" i="1"/>
  <c r="M100" i="1"/>
  <c r="N100" i="1"/>
  <c r="M98" i="1"/>
  <c r="M99" i="1"/>
  <c r="N98" i="1"/>
  <c r="N99" i="1"/>
  <c r="M96" i="1"/>
  <c r="M97" i="1"/>
  <c r="N96" i="1"/>
  <c r="N97" i="1"/>
  <c r="M95" i="1"/>
  <c r="N95" i="1"/>
  <c r="M94" i="1"/>
  <c r="N94" i="1"/>
  <c r="M88" i="1"/>
  <c r="M89" i="1"/>
  <c r="M90" i="1"/>
  <c r="M91" i="1"/>
  <c r="M92" i="1"/>
  <c r="M93" i="1"/>
  <c r="N88" i="1"/>
  <c r="N89" i="1"/>
  <c r="N90" i="1"/>
  <c r="N91" i="1"/>
  <c r="N92" i="1"/>
  <c r="N93" i="1"/>
  <c r="M85" i="1"/>
  <c r="M86" i="1"/>
  <c r="M87" i="1"/>
  <c r="N85" i="1"/>
  <c r="N86" i="1"/>
  <c r="N87" i="1"/>
  <c r="M83" i="1"/>
  <c r="N83" i="1"/>
  <c r="M81" i="1"/>
  <c r="M82" i="1"/>
  <c r="N81" i="1"/>
  <c r="N82" i="1"/>
  <c r="M80" i="1"/>
  <c r="N80" i="1"/>
  <c r="M78" i="1"/>
  <c r="M79" i="1"/>
  <c r="N78" i="1"/>
  <c r="N79" i="1"/>
  <c r="M76" i="1"/>
  <c r="M77" i="1"/>
  <c r="N76" i="1"/>
  <c r="N77" i="1"/>
  <c r="M73" i="1"/>
  <c r="M75" i="1"/>
  <c r="N73" i="1"/>
  <c r="N75" i="1"/>
  <c r="M67" i="1"/>
  <c r="M68" i="1"/>
  <c r="M70" i="1"/>
  <c r="M71" i="1"/>
  <c r="M72" i="1"/>
  <c r="N67" i="1"/>
  <c r="N68" i="1"/>
  <c r="N70" i="1"/>
  <c r="N71" i="1"/>
  <c r="N72" i="1"/>
  <c r="M65" i="1"/>
  <c r="N65" i="1"/>
  <c r="M62" i="1"/>
  <c r="M63" i="1"/>
  <c r="M64" i="1"/>
  <c r="N62" i="1"/>
  <c r="N63" i="1"/>
  <c r="N64" i="1"/>
  <c r="M61" i="1"/>
  <c r="N61" i="1"/>
  <c r="M59" i="1"/>
  <c r="M60" i="1"/>
  <c r="N59" i="1"/>
  <c r="N60" i="1"/>
  <c r="M58" i="1"/>
  <c r="N58" i="1"/>
  <c r="M54" i="1"/>
  <c r="M55" i="1"/>
  <c r="M56" i="1"/>
  <c r="N54" i="1"/>
  <c r="N55" i="1"/>
  <c r="N56" i="1"/>
  <c r="M53" i="1"/>
  <c r="N53" i="1"/>
  <c r="M46" i="1"/>
  <c r="M47" i="1"/>
  <c r="M48" i="1"/>
  <c r="M49" i="1"/>
  <c r="M50" i="1"/>
  <c r="M52" i="1"/>
  <c r="N46" i="1"/>
  <c r="N47" i="1"/>
  <c r="N48" i="1"/>
  <c r="N49" i="1"/>
  <c r="N50" i="1"/>
  <c r="N52" i="1"/>
  <c r="M45" i="1"/>
  <c r="N45" i="1"/>
  <c r="M44" i="1"/>
  <c r="N44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7" i="1"/>
  <c r="N10" i="1"/>
  <c r="N7" i="1"/>
  <c r="N8" i="1"/>
  <c r="N9" i="1"/>
  <c r="N11" i="1"/>
  <c r="N21" i="1"/>
  <c r="N12" i="1"/>
  <c r="N13" i="1"/>
  <c r="N14" i="1"/>
  <c r="N15" i="1"/>
  <c r="N16" i="1"/>
  <c r="N17" i="1"/>
  <c r="N18" i="1"/>
  <c r="N19" i="1"/>
  <c r="N20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5" i="1" l="1"/>
  <c r="M5" i="1"/>
</calcChain>
</file>

<file path=xl/sharedStrings.xml><?xml version="1.0" encoding="utf-8"?>
<sst xmlns="http://schemas.openxmlformats.org/spreadsheetml/2006/main" count="7806" uniqueCount="1742">
  <si>
    <t>COLABORADOR</t>
  </si>
  <si>
    <t>CPF</t>
  </si>
  <si>
    <t>SITUAÇÃO</t>
  </si>
  <si>
    <t>REGIONAL</t>
  </si>
  <si>
    <t>CENTRO DE CUSTO</t>
  </si>
  <si>
    <t>GESTOR</t>
  </si>
  <si>
    <t>DIRETOR</t>
  </si>
  <si>
    <t>SALDO REEMBOLSAR</t>
  </si>
  <si>
    <t>SALDO FINAL</t>
  </si>
  <si>
    <t>1ª QZ</t>
  </si>
  <si>
    <t>SALDO CARTAO</t>
  </si>
  <si>
    <t xml:space="preserve">Adiantamento </t>
  </si>
  <si>
    <t>CARGA PARCIAL</t>
  </si>
  <si>
    <t>REEMBOLSO</t>
  </si>
  <si>
    <t xml:space="preserve">Carga Final </t>
  </si>
  <si>
    <t>obs</t>
  </si>
  <si>
    <t>STATUS DO CARTÃO</t>
  </si>
  <si>
    <t>ABNER ANDRADE CAVALCANTE</t>
  </si>
  <si>
    <t>02027745203</t>
  </si>
  <si>
    <t>ATIVO</t>
  </si>
  <si>
    <t>REGIONAL CO</t>
  </si>
  <si>
    <t>CEF AM AC RR</t>
  </si>
  <si>
    <t>ANGELICA SOARES</t>
  </si>
  <si>
    <t>ROGERIO SCATAMBULO</t>
  </si>
  <si>
    <t>ADAN LEONARDO SOUZA BATISTA</t>
  </si>
  <si>
    <t>01932662537</t>
  </si>
  <si>
    <t>REGIONAL NE</t>
  </si>
  <si>
    <t>TELEFONICA BA</t>
  </si>
  <si>
    <t>GERSON OLIVEIRA</t>
  </si>
  <si>
    <t>ADAUTO JOSE PEREIRA</t>
  </si>
  <si>
    <t>85087572634</t>
  </si>
  <si>
    <t>REGIONAL MG</t>
  </si>
  <si>
    <t>CEF FACILITIES BH</t>
  </si>
  <si>
    <t>HUGO ALEXANDRE</t>
  </si>
  <si>
    <t>MARCOS CARIAS</t>
  </si>
  <si>
    <t>ADEMARCIO DUARTE LOPES</t>
  </si>
  <si>
    <t>06223031980</t>
  </si>
  <si>
    <t>REGIONAL SC</t>
  </si>
  <si>
    <t>CEF FACILITIES CURITIBA PR</t>
  </si>
  <si>
    <t>LEANDRO MARCUSSO</t>
  </si>
  <si>
    <t>EVERSON GAIDSTIECHI</t>
  </si>
  <si>
    <t>ADILSON MELLO DE CAMARGO</t>
  </si>
  <si>
    <t>67324398049</t>
  </si>
  <si>
    <t>REGIONAL RS</t>
  </si>
  <si>
    <t>BB SERET RS</t>
  </si>
  <si>
    <t>ALEXANDRE GROSS</t>
  </si>
  <si>
    <t>ADIVAR ANTONIO DA SILVA JUNIOR</t>
  </si>
  <si>
    <t>28604876898</t>
  </si>
  <si>
    <t>REGIONAL CLARO INFRA SUL</t>
  </si>
  <si>
    <t>CLARO INFRA SC</t>
  </si>
  <si>
    <t>BRUNO EDUARDO</t>
  </si>
  <si>
    <t>ADMILSON DOS SANTOS GALAN</t>
  </si>
  <si>
    <t>04769973993</t>
  </si>
  <si>
    <t>CEF NORTE SC</t>
  </si>
  <si>
    <t>ADRIANO FRANCISCO DE PAULA</t>
  </si>
  <si>
    <t>08813588607</t>
  </si>
  <si>
    <t>CLARO INFRA MG</t>
  </si>
  <si>
    <t>ADSON ARAUJO DA SILVA</t>
  </si>
  <si>
    <t>94551804304</t>
  </si>
  <si>
    <t>REGIONAL CLARO INFRA NORDESTE</t>
  </si>
  <si>
    <t>CLARO INFRA NORDESTE</t>
  </si>
  <si>
    <t>FELIPE JOSE</t>
  </si>
  <si>
    <t>ADSON SANTOS DA SILVA</t>
  </si>
  <si>
    <t>83058133553</t>
  </si>
  <si>
    <t>AGNO CHRISTIAN DE LIMA TELES</t>
  </si>
  <si>
    <t>06911519624</t>
  </si>
  <si>
    <t>ALAERTE JACINTO JUNIOR</t>
  </si>
  <si>
    <t>03071605994</t>
  </si>
  <si>
    <t>PTB AREAS VERDES SC</t>
  </si>
  <si>
    <t>ALAN RODRIGO SILVA ANDRADE</t>
  </si>
  <si>
    <t>07722232469</t>
  </si>
  <si>
    <t>BB ALAGOAS</t>
  </si>
  <si>
    <t>ALESSANDRO DE OLIVEIRA AZEVEDO</t>
  </si>
  <si>
    <t>27494577858</t>
  </si>
  <si>
    <t>REGIONAL SP</t>
  </si>
  <si>
    <t>CEF BAURU SP</t>
  </si>
  <si>
    <t>LEANDRO NUNES</t>
  </si>
  <si>
    <t>ALESSANDRO RODRIGO PASTRELLI</t>
  </si>
  <si>
    <t>02474960902</t>
  </si>
  <si>
    <t>NET APOIO PR</t>
  </si>
  <si>
    <t>ALEX SANDRO PEREIRA MARQUES</t>
  </si>
  <si>
    <t>82877904091</t>
  </si>
  <si>
    <t>NET CENTRO RS</t>
  </si>
  <si>
    <t>ALEXANDRE DA SILVEIRA GROSS</t>
  </si>
  <si>
    <t>63194252020</t>
  </si>
  <si>
    <t>ADM FILIAL RS</t>
  </si>
  <si>
    <t>ALIRIO THOMAZ VALENTIM</t>
  </si>
  <si>
    <t>99335220000</t>
  </si>
  <si>
    <t>NET LITORAL RS</t>
  </si>
  <si>
    <t>ALISSON RODRIGO RAMBO</t>
  </si>
  <si>
    <t>07338782962</t>
  </si>
  <si>
    <t>ALLAN CRISTIAN DA CUNHA</t>
  </si>
  <si>
    <t>10132301911</t>
  </si>
  <si>
    <t>CLARO INFRA PR</t>
  </si>
  <si>
    <t>ALLAN JEFFERSON BRANCO RODRIGUES</t>
  </si>
  <si>
    <t>09688866717</t>
  </si>
  <si>
    <t>REGIONAL RJ</t>
  </si>
  <si>
    <t>ADM FILIAL RJ</t>
  </si>
  <si>
    <t>ALLAN JEFFERSON</t>
  </si>
  <si>
    <t>ALTAIR BERTOL</t>
  </si>
  <si>
    <t>01969938900</t>
  </si>
  <si>
    <t>ENGIE FLORIANOPOLIS SC</t>
  </si>
  <si>
    <t>AMANDA CRISTINA DA SILVA</t>
  </si>
  <si>
    <t>07809466690</t>
  </si>
  <si>
    <t>ANDERSON BICA PEREZ</t>
  </si>
  <si>
    <t>00053957040</t>
  </si>
  <si>
    <t>NET PORTO ALEGRE RS</t>
  </si>
  <si>
    <t>ANDERSON RICARDO VIEIRA</t>
  </si>
  <si>
    <t>07822591975</t>
  </si>
  <si>
    <t>BB NORTE OESTE PR</t>
  </si>
  <si>
    <t>ANDRE ARANHA MEISTER</t>
  </si>
  <si>
    <t>03032275326</t>
  </si>
  <si>
    <t>BB MARANHAO MA</t>
  </si>
  <si>
    <t>ANDRE LUIZ SANTANA</t>
  </si>
  <si>
    <t>11897381638</t>
  </si>
  <si>
    <t>CEF SERRA GAUCHA RS</t>
  </si>
  <si>
    <t>ANDRE PINHEIRO BALOTIN</t>
  </si>
  <si>
    <t>98603566020</t>
  </si>
  <si>
    <t>CELESC NORTE SC</t>
  </si>
  <si>
    <t>ANDRE VALERIO DE PAIVA</t>
  </si>
  <si>
    <t>12682517633</t>
  </si>
  <si>
    <t>ANDRESA INDIRA SANTANA AGGIO</t>
  </si>
  <si>
    <t>33162718805</t>
  </si>
  <si>
    <t>ADM FILIAL SC</t>
  </si>
  <si>
    <t>ANGELICA SOARES AMARANTE SILVA</t>
  </si>
  <si>
    <t>07643300712</t>
  </si>
  <si>
    <t>ADM FILIAL CO</t>
  </si>
  <si>
    <t>ANTONIO DE PADUA LEITE</t>
  </si>
  <si>
    <t>26992280600</t>
  </si>
  <si>
    <t>VTAL CYBER MG</t>
  </si>
  <si>
    <t>ANTONIO FERREIRA DE MENDONCA NETO</t>
  </si>
  <si>
    <t>05766838760</t>
  </si>
  <si>
    <t>TRIBUNAL DE JUSTICA RJ</t>
  </si>
  <si>
    <t>ANTONIO JOSE PEREIRA DA SILVA</t>
  </si>
  <si>
    <t>08326260401</t>
  </si>
  <si>
    <t>TELEFONICA NE</t>
  </si>
  <si>
    <t>ANTONIO MARCOS CAMARGO</t>
  </si>
  <si>
    <t>04836584990</t>
  </si>
  <si>
    <t>TRIBUNAL DE JUSTICA PR</t>
  </si>
  <si>
    <t>ARLEY HENRIQUE DE SOUZA LUZ</t>
  </si>
  <si>
    <t>01170402232</t>
  </si>
  <si>
    <t>CEF GOIANIA CO</t>
  </si>
  <si>
    <t>ARTHUR GOMES DE PAULO</t>
  </si>
  <si>
    <t>12877857603</t>
  </si>
  <si>
    <t>ARTHUR SANTOS DE OLIVEIRA</t>
  </si>
  <si>
    <t>13921847621</t>
  </si>
  <si>
    <t>ARTUR JACO PAGANI DE SOUZA</t>
  </si>
  <si>
    <t>07105914971</t>
  </si>
  <si>
    <t>AURO MOREIRA PEDROSO</t>
  </si>
  <si>
    <t>32060157900</t>
  </si>
  <si>
    <t>BEATRIZ SILVA DE SIQUEIRA</t>
  </si>
  <si>
    <t>35575473880</t>
  </si>
  <si>
    <t>CEF SP SUL</t>
  </si>
  <si>
    <t>BEN HUR MENDES OLIVEIRA</t>
  </si>
  <si>
    <t>00046347054</t>
  </si>
  <si>
    <t>BRUNA LAIS AZEVEDO CUNHA</t>
  </si>
  <si>
    <t>07747008406</t>
  </si>
  <si>
    <t>BRUNA LAIS DOS SANTOS PESSOA</t>
  </si>
  <si>
    <t>13459423625</t>
  </si>
  <si>
    <t>ASSEMBLEIA LEGISLATIVA MG</t>
  </si>
  <si>
    <t>BRUNO EDUARDO DE SOUZA</t>
  </si>
  <si>
    <t>82341478972</t>
  </si>
  <si>
    <t>BRUNO FERREIRA DE SOUZA RODRIGUES</t>
  </si>
  <si>
    <t>16306431730</t>
  </si>
  <si>
    <t>TELEFONICA RJ</t>
  </si>
  <si>
    <t>BRUNO OLIVEIRA DIAS</t>
  </si>
  <si>
    <t>11992259755</t>
  </si>
  <si>
    <t>REGIONAL ES</t>
  </si>
  <si>
    <t>PTB TIC INFRA</t>
  </si>
  <si>
    <t>VINICIUS LOCATELLY</t>
  </si>
  <si>
    <t>CAIO FRANCESCONI RIBEIRO</t>
  </si>
  <si>
    <t>08924586904</t>
  </si>
  <si>
    <t>TJ APOIO PR</t>
  </si>
  <si>
    <t>CAIOS VINICIUS NUNES BROERING</t>
  </si>
  <si>
    <t>07053418952</t>
  </si>
  <si>
    <t>CAMILA DE OLIVEIRA VELOSO</t>
  </si>
  <si>
    <t>85076538553</t>
  </si>
  <si>
    <t>BANCO CENTRAL SALVADOR BA</t>
  </si>
  <si>
    <t>CARLOS ALEXANDRE GIGI</t>
  </si>
  <si>
    <t>20005473896</t>
  </si>
  <si>
    <t>BB SP</t>
  </si>
  <si>
    <t>CARLOS EDUARDO SCATAMBULO</t>
  </si>
  <si>
    <t>22730778829</t>
  </si>
  <si>
    <t>CEF LESTE SP</t>
  </si>
  <si>
    <t>CARLOS FRANCISCO GODOY</t>
  </si>
  <si>
    <t>82741980004</t>
  </si>
  <si>
    <t>CEF LESTE GAUCHO RS</t>
  </si>
  <si>
    <t>CARLOS NASCIMENTO NONATO JUNIOR</t>
  </si>
  <si>
    <t>65973500225</t>
  </si>
  <si>
    <t>CARLOS RENATO PACHECO DA SILVA</t>
  </si>
  <si>
    <t>90443306087</t>
  </si>
  <si>
    <t>CARLOS ROBERTO DE CARVALHO PERES</t>
  </si>
  <si>
    <t>09867858816</t>
  </si>
  <si>
    <t>CLARO CO</t>
  </si>
  <si>
    <t>CHARLES NEVES MATTIUZZI</t>
  </si>
  <si>
    <t>12547938790</t>
  </si>
  <si>
    <t>TELEFONICA ES</t>
  </si>
  <si>
    <t>CHARLYTON COSTA ANDRADE</t>
  </si>
  <si>
    <t>01050938232</t>
  </si>
  <si>
    <t>CLAUDEMIR GREGOSKI RODRIGUES</t>
  </si>
  <si>
    <t>05144026958</t>
  </si>
  <si>
    <t>CLAUDEMIR MOREIRA</t>
  </si>
  <si>
    <t>75609444004</t>
  </si>
  <si>
    <t>CLAUDINEI AMARAL</t>
  </si>
  <si>
    <t>10433881844</t>
  </si>
  <si>
    <t>CLAUDINEI VICENTE DE LIMA</t>
  </si>
  <si>
    <t>91920795987</t>
  </si>
  <si>
    <t>CLAUDIO DONIZETE DA SILVA</t>
  </si>
  <si>
    <t>93457235953</t>
  </si>
  <si>
    <t>CLAUDIO RENALDI NUNES</t>
  </si>
  <si>
    <t>02705722955</t>
  </si>
  <si>
    <t>CLAYTON DE OLIVEIRA</t>
  </si>
  <si>
    <t>02928835954</t>
  </si>
  <si>
    <t>CLEBERSON APARECIDO BORGES DOS SANTOS</t>
  </si>
  <si>
    <t>05864921947</t>
  </si>
  <si>
    <t>CLEITON DA SILVA MONTALVAO</t>
  </si>
  <si>
    <t>01929647638</t>
  </si>
  <si>
    <t>CLERITON BACILA DOS SANTOS</t>
  </si>
  <si>
    <t>05456615959</t>
  </si>
  <si>
    <t>NET CTA PR</t>
  </si>
  <si>
    <t>CLEVERSON PAULOUSKI</t>
  </si>
  <si>
    <t>08609699919</t>
  </si>
  <si>
    <t>CREOL APARECIDO DOS SANTOS</t>
  </si>
  <si>
    <t>03363725906</t>
  </si>
  <si>
    <t>CRISTIANO ANESIO GOMES DO NASCIMENTO</t>
  </si>
  <si>
    <t>02862032786</t>
  </si>
  <si>
    <t>CEF INTERIOR RJ</t>
  </si>
  <si>
    <t>CRISTIANO DA SILVA VALADARES</t>
  </si>
  <si>
    <t>99062208649</t>
  </si>
  <si>
    <t>CCBB BH MINAS</t>
  </si>
  <si>
    <t>DANIEL DA SILVA LOPES</t>
  </si>
  <si>
    <t>94288259053</t>
  </si>
  <si>
    <t>NET APOIO SC</t>
  </si>
  <si>
    <t>DANIEL SANTOS DE ASSUNCAO</t>
  </si>
  <si>
    <t>97592439549</t>
  </si>
  <si>
    <t>BANCO ITAU BA</t>
  </si>
  <si>
    <t>DANIELA CARVALHO STAHLER</t>
  </si>
  <si>
    <t>01066881030</t>
  </si>
  <si>
    <t>NET APOIO RS</t>
  </si>
  <si>
    <t>DANILO ZANATTA LUCIANO</t>
  </si>
  <si>
    <t>06285125970</t>
  </si>
  <si>
    <t>DAVID DA SILVA PEREIRA</t>
  </si>
  <si>
    <t>02344854002</t>
  </si>
  <si>
    <t>DEFENSORIA PUBLICA RS</t>
  </si>
  <si>
    <t>DAVID DE OLIVEIRA FRIGERIO</t>
  </si>
  <si>
    <t>04817177900</t>
  </si>
  <si>
    <t>CEF NORTE PR</t>
  </si>
  <si>
    <t>DAVID VICHI DE BRITO</t>
  </si>
  <si>
    <t>21641472863</t>
  </si>
  <si>
    <t>CEF FACILITIES PE</t>
  </si>
  <si>
    <t>DEBORA ARAUJO FIGUEIREDO</t>
  </si>
  <si>
    <t>85225720030</t>
  </si>
  <si>
    <t>DRF NOVO HAMBURGO RS</t>
  </si>
  <si>
    <t>DEISE SOARES DE CAMPOS</t>
  </si>
  <si>
    <t>69116709004</t>
  </si>
  <si>
    <t>DELVANO AILTON DA SILVA</t>
  </si>
  <si>
    <t>05289382666</t>
  </si>
  <si>
    <t>NET LESTE MG</t>
  </si>
  <si>
    <t>DENILSO DIDONE</t>
  </si>
  <si>
    <t>04859818903</t>
  </si>
  <si>
    <t>DENIS FERREIRA DA SILVA</t>
  </si>
  <si>
    <t>06637541435</t>
  </si>
  <si>
    <t>ORIGEM ENERGIA AL</t>
  </si>
  <si>
    <t>DHIEGO RIBEIRO DINIZ</t>
  </si>
  <si>
    <t>00049250256</t>
  </si>
  <si>
    <t>DIEGO DE ALCANTARA MOTA MENDES</t>
  </si>
  <si>
    <t>09407167631</t>
  </si>
  <si>
    <t>DIEGO GRIME DE MELO</t>
  </si>
  <si>
    <t>05597823906</t>
  </si>
  <si>
    <t>DIEGO JOSE DE PAULO</t>
  </si>
  <si>
    <t>01553544692</t>
  </si>
  <si>
    <t>DIVAN ALVES DE AMORIM</t>
  </si>
  <si>
    <t>11422891844</t>
  </si>
  <si>
    <t>DMITRI MORAIS DA SILVA</t>
  </si>
  <si>
    <t>11454991631</t>
  </si>
  <si>
    <t>BB TAMOIOS MG</t>
  </si>
  <si>
    <t>DOMINIQUE SILVA DE SOUZA</t>
  </si>
  <si>
    <t>00851999077</t>
  </si>
  <si>
    <t>DOUGLAS BRUCK MACHADO</t>
  </si>
  <si>
    <t>03241621030</t>
  </si>
  <si>
    <t>DOUGLAS TIAGO DE OLIVEIRA</t>
  </si>
  <si>
    <t>08492402989</t>
  </si>
  <si>
    <t>DOUGLAS WESLEN CARDOSO DOS SANTOS</t>
  </si>
  <si>
    <t>08784554932</t>
  </si>
  <si>
    <t>EDER AUGUSTO DE ARAUJO CARVALHO</t>
  </si>
  <si>
    <t>03985382638</t>
  </si>
  <si>
    <t>EDER MEDICI</t>
  </si>
  <si>
    <t>03040370952</t>
  </si>
  <si>
    <t>EDERSON LUIS BARROS DA ROSA</t>
  </si>
  <si>
    <t>04614285988</t>
  </si>
  <si>
    <t>EDEVALDO DUTRA GONCALVES</t>
  </si>
  <si>
    <t>00312735057</t>
  </si>
  <si>
    <t>NET LITORAL PR</t>
  </si>
  <si>
    <t>EDIBERTO GEORGE RELIQUIAS</t>
  </si>
  <si>
    <t>34596010862</t>
  </si>
  <si>
    <t>CEF FACILITIES SP</t>
  </si>
  <si>
    <t>EDIPO SANTOS BARRETO</t>
  </si>
  <si>
    <t>37896893860</t>
  </si>
  <si>
    <t>TRIBUNAL DE JUSTICA SP</t>
  </si>
  <si>
    <t>EDMAR FERREIRA CARDOSO</t>
  </si>
  <si>
    <t>06311884607</t>
  </si>
  <si>
    <t>NET METROPOLITANA MG</t>
  </si>
  <si>
    <t>EDSON CALIXTO THOMAZ</t>
  </si>
  <si>
    <t>05765681719</t>
  </si>
  <si>
    <t>EDSON VEIGA SILVEIRA</t>
  </si>
  <si>
    <t>62063774072</t>
  </si>
  <si>
    <t>EDUARDO ANDREY VENSON SILVA</t>
  </si>
  <si>
    <t>02960685946</t>
  </si>
  <si>
    <t>CEF OESTE SC</t>
  </si>
  <si>
    <t>EDUARDO FRAGA DOS REIS</t>
  </si>
  <si>
    <t>04050867095</t>
  </si>
  <si>
    <t>EDUARDO SANTOS</t>
  </si>
  <si>
    <t>91270529072</t>
  </si>
  <si>
    <t>ELIANDRO BRUNING</t>
  </si>
  <si>
    <t>00461757923</t>
  </si>
  <si>
    <t>EMERSON CHOUBI PRADO</t>
  </si>
  <si>
    <t>29722576852</t>
  </si>
  <si>
    <t>EMERSON LEITE DE BARROS</t>
  </si>
  <si>
    <t>34168918807</t>
  </si>
  <si>
    <t>PTB INFRA SUDESTE</t>
  </si>
  <si>
    <t>ENZIO CARVALHO DA MOTA</t>
  </si>
  <si>
    <t>38548259515</t>
  </si>
  <si>
    <t>ERICO BRUNO DA SILVA MATOS</t>
  </si>
  <si>
    <t>00011945265</t>
  </si>
  <si>
    <t>ERICSON PINHEIRO DOS SANTOS</t>
  </si>
  <si>
    <t>29157549850</t>
  </si>
  <si>
    <t>EVERSON ESTEVES DOS SANTOS</t>
  </si>
  <si>
    <t>01755089090</t>
  </si>
  <si>
    <t>CEF CENTRO NORTE SUL RJ</t>
  </si>
  <si>
    <t>EVERTON CAMARGO DE LOURETO</t>
  </si>
  <si>
    <t>91688205004</t>
  </si>
  <si>
    <t>CEF VALE SINOS RS</t>
  </si>
  <si>
    <t>FABIANA CAMILA BARBOSA DE MORAES LIMA</t>
  </si>
  <si>
    <t>38880279858</t>
  </si>
  <si>
    <t>ADM FILIAL SP</t>
  </si>
  <si>
    <t>FABIO APARECIDO DE SOUSA PEREIRA</t>
  </si>
  <si>
    <t>02679643909</t>
  </si>
  <si>
    <t>FABIO DA CONCEICAO LIMA</t>
  </si>
  <si>
    <t>31275798888</t>
  </si>
  <si>
    <t>PTB UTGCA SP</t>
  </si>
  <si>
    <t>FABIO DIOGO BITTENCOURT</t>
  </si>
  <si>
    <t>00526143959</t>
  </si>
  <si>
    <t>CEF CENTRO GAUCHO RS</t>
  </si>
  <si>
    <t>FABIO MARTINS BORGES</t>
  </si>
  <si>
    <t>05492458981</t>
  </si>
  <si>
    <t>FABIO PROVESI</t>
  </si>
  <si>
    <t>05731312958</t>
  </si>
  <si>
    <t>BB SERET SC</t>
  </si>
  <si>
    <t>FELIPE JOSE DE ALBUQUERQUE OLIVEIRA</t>
  </si>
  <si>
    <t>73574031491</t>
  </si>
  <si>
    <t>FELIPE MORAES COSTA DE BRITTO</t>
  </si>
  <si>
    <t>04347084102</t>
  </si>
  <si>
    <t>INSS MT</t>
  </si>
  <si>
    <t>FERNANDO RODRIGUES DUARTE</t>
  </si>
  <si>
    <t>03377983112</t>
  </si>
  <si>
    <t>FILIPE MENEZES KLING</t>
  </si>
  <si>
    <t>10664298710</t>
  </si>
  <si>
    <t>PTB CENPES RJ</t>
  </si>
  <si>
    <t>FLAVIO FERNANDES DOS REIS LIMA</t>
  </si>
  <si>
    <t>01767960107</t>
  </si>
  <si>
    <t>TELEFONICA CO</t>
  </si>
  <si>
    <t>FLAVIO HENRIQUE ALVES ROMERO</t>
  </si>
  <si>
    <t>82871396000</t>
  </si>
  <si>
    <t>FRANCIELLY FELIX CAVALCANTE DE ANDRADE</t>
  </si>
  <si>
    <t>09276240446</t>
  </si>
  <si>
    <t>FRANCINILDO JACKSON DE ALMEIDA ARAUJO</t>
  </si>
  <si>
    <t>07021071400</t>
  </si>
  <si>
    <t>FRANCIONE DE SOUZA LUCENA</t>
  </si>
  <si>
    <t>47331178253</t>
  </si>
  <si>
    <t>FRANCISCO VALDENIR DE SOUSA</t>
  </si>
  <si>
    <t>79248160387</t>
  </si>
  <si>
    <t>FRANCO CARLOS DALLACQUA</t>
  </si>
  <si>
    <t>34757123850</t>
  </si>
  <si>
    <t>TELEFONICA SP</t>
  </si>
  <si>
    <t>GABRIEL HENRIQUE DALL AGNOL</t>
  </si>
  <si>
    <t>09983432935</t>
  </si>
  <si>
    <t>GENISSON DE PAIVA FERREIRA</t>
  </si>
  <si>
    <t>00714806501</t>
  </si>
  <si>
    <t>BB ARACAJU SE</t>
  </si>
  <si>
    <t>GERSON PEREIRA</t>
  </si>
  <si>
    <t>38950693291</t>
  </si>
  <si>
    <t>GILMAR DUARTE LACERDA</t>
  </si>
  <si>
    <t>05290622675</t>
  </si>
  <si>
    <t>BB RUA BAHIA MG</t>
  </si>
  <si>
    <t>GIOVANI DONNANTUONI</t>
  </si>
  <si>
    <t>15226997833</t>
  </si>
  <si>
    <t>BB EDIFICIOS SP</t>
  </si>
  <si>
    <t>GLEIDE CONCEICAO NASCIMENTO ALVES</t>
  </si>
  <si>
    <t>00799913510</t>
  </si>
  <si>
    <t>ADM FILIAL NE</t>
  </si>
  <si>
    <t>GUILHERME FERREIRA DA SILVA</t>
  </si>
  <si>
    <t>41997553813</t>
  </si>
  <si>
    <t>CEF RECIFE PE</t>
  </si>
  <si>
    <t>GUILHERME MATEUS VAZ DOS SANTOS</t>
  </si>
  <si>
    <t>44519188806</t>
  </si>
  <si>
    <t>GUILHERME MOTTA RIBEIRO SILVA</t>
  </si>
  <si>
    <t>11178519740</t>
  </si>
  <si>
    <t>CEF ES</t>
  </si>
  <si>
    <t>GUSTAVO RODRIGUES FARIA</t>
  </si>
  <si>
    <t>10531222926</t>
  </si>
  <si>
    <t>HEDER SILVA CAMPODONICO</t>
  </si>
  <si>
    <t>03066906086</t>
  </si>
  <si>
    <t>HELDER ARCHANJO FERREIRA</t>
  </si>
  <si>
    <t>06439531670</t>
  </si>
  <si>
    <t>HELDER USTULIN</t>
  </si>
  <si>
    <t>37562230862</t>
  </si>
  <si>
    <t>HERICA CRISTINY MESQUITA SANTOS FERNANDES</t>
  </si>
  <si>
    <t>02158033029</t>
  </si>
  <si>
    <t>GESTAO DE PESSOAS</t>
  </si>
  <si>
    <t>CAROLINE SILVA</t>
  </si>
  <si>
    <t>THIAGO NEVES</t>
  </si>
  <si>
    <t>HIGOR KELVYN SILVA AMORIM</t>
  </si>
  <si>
    <t>09199781930</t>
  </si>
  <si>
    <t>TELEFONICA SC</t>
  </si>
  <si>
    <t>HIGOR LUIZ CERQUEIRA</t>
  </si>
  <si>
    <t>33832720871</t>
  </si>
  <si>
    <t>BANCO CENTRAL PREDIAL SP</t>
  </si>
  <si>
    <t>HUGO ALEXANDRE DE SOUSA</t>
  </si>
  <si>
    <t>07646535630</t>
  </si>
  <si>
    <t>ADM FILIAL MG</t>
  </si>
  <si>
    <t>HUGO AZEVEDO SANTOS</t>
  </si>
  <si>
    <t>13514820686</t>
  </si>
  <si>
    <t>HUGO DELLA JUSTINA</t>
  </si>
  <si>
    <t>03031202902</t>
  </si>
  <si>
    <t>FROTA</t>
  </si>
  <si>
    <t>GUILHERME FORTKAMP</t>
  </si>
  <si>
    <t>HUGO NUNES DA SILVA</t>
  </si>
  <si>
    <t>04370282918</t>
  </si>
  <si>
    <t>ICARO MEDEIROS SILVA</t>
  </si>
  <si>
    <t>01565661338</t>
  </si>
  <si>
    <t>ISAIAS DA SILVA</t>
  </si>
  <si>
    <t>04083479965</t>
  </si>
  <si>
    <t>IVO LUCIANO DA SILVA WAGNER JUNIOR</t>
  </si>
  <si>
    <t>12068745976</t>
  </si>
  <si>
    <t>PATRIMONIO</t>
  </si>
  <si>
    <t>JACKSON NATAN RODRIGUES DA SILVA</t>
  </si>
  <si>
    <t>01456786288</t>
  </si>
  <si>
    <t>JACSSON MAYLON CASTRO CORREA</t>
  </si>
  <si>
    <t>10206563957</t>
  </si>
  <si>
    <t>JAEDER RODRIGUES JUNIOR</t>
  </si>
  <si>
    <t>07505987607</t>
  </si>
  <si>
    <t>CEF NORDESTE MG</t>
  </si>
  <si>
    <t>JAFER DA FONTOURA AHMAD</t>
  </si>
  <si>
    <t>00041171071</t>
  </si>
  <si>
    <t>CEF PORTO ALEGRE RS</t>
  </si>
  <si>
    <t>JAIME ALVES DE ABREU SILVA</t>
  </si>
  <si>
    <t>00965306186</t>
  </si>
  <si>
    <t>JAIR ASSIS DA SILVA</t>
  </si>
  <si>
    <t>60377348953</t>
  </si>
  <si>
    <t>JAQUELINE LEVATI PEREIRA</t>
  </si>
  <si>
    <t>01310014264</t>
  </si>
  <si>
    <t>CEF MANAUS AM</t>
  </si>
  <si>
    <t>JAQUELINE ONORIO DOS SANTOS ALVES</t>
  </si>
  <si>
    <t>37258325875</t>
  </si>
  <si>
    <t>JAZEMIR DE SANTANA MARQUES</t>
  </si>
  <si>
    <t>44012861549</t>
  </si>
  <si>
    <t>PTB TRANSMISSAO BA</t>
  </si>
  <si>
    <t>JEAN FABIO OLIVERIO</t>
  </si>
  <si>
    <t>00645883948</t>
  </si>
  <si>
    <t>JEFERSON ADRIANO WERNER</t>
  </si>
  <si>
    <t>08935547905</t>
  </si>
  <si>
    <t>JEFERSON ZAMPRONIO DA SILVA</t>
  </si>
  <si>
    <t>07060404902</t>
  </si>
  <si>
    <t>JEFFERSON NAZARENO SILVA FREITAS</t>
  </si>
  <si>
    <t>08103183776</t>
  </si>
  <si>
    <t>JESSICA DE MIRANDA MEDEIROS FELICIANO</t>
  </si>
  <si>
    <t>10137575483</t>
  </si>
  <si>
    <t>CEF PIRACICABA SP</t>
  </si>
  <si>
    <t>JHEFERSON DIASSIS</t>
  </si>
  <si>
    <t>07972796955</t>
  </si>
  <si>
    <t>JOAO ALEXANDRE LIMA</t>
  </si>
  <si>
    <t>10588522996</t>
  </si>
  <si>
    <t>JOAO DA SILVA VIANA</t>
  </si>
  <si>
    <t>88367550978</t>
  </si>
  <si>
    <t>JOELSON FERREIRA DOS SANTOS</t>
  </si>
  <si>
    <t>07690263623</t>
  </si>
  <si>
    <t>CEF SUDESTE MG</t>
  </si>
  <si>
    <t>JOELSON JUNIOR MARTINS DE GOES</t>
  </si>
  <si>
    <t>03528389907</t>
  </si>
  <si>
    <t>UFPR APOIO PR</t>
  </si>
  <si>
    <t>JONAS CAVALCANTI DE OLIVEIRA</t>
  </si>
  <si>
    <t>01696239478</t>
  </si>
  <si>
    <t>3R PETROLEUM NE</t>
  </si>
  <si>
    <t>JONAS PAULO DE MATOS</t>
  </si>
  <si>
    <t>69010544915</t>
  </si>
  <si>
    <t>JORGE ANTONIO VARGAS DA SILVA</t>
  </si>
  <si>
    <t>01063690080</t>
  </si>
  <si>
    <t>JORGE NEGRI NETO</t>
  </si>
  <si>
    <t>44997574600</t>
  </si>
  <si>
    <t>PTB TIC NORDESTE</t>
  </si>
  <si>
    <t>JOSE CARLOS BATISTA</t>
  </si>
  <si>
    <t>26652452804</t>
  </si>
  <si>
    <t>JOSE CLAUDIO RIBEIRO</t>
  </si>
  <si>
    <t>61158852649</t>
  </si>
  <si>
    <t>JOSE CLEBER BECKMAN CORDEIRO</t>
  </si>
  <si>
    <t>52431541215</t>
  </si>
  <si>
    <t>INSS AP PA</t>
  </si>
  <si>
    <t>JOSE DO PRADO ROSA</t>
  </si>
  <si>
    <t>78296277972</t>
  </si>
  <si>
    <t>JOSE EUSTAQUIO DE SOUZA</t>
  </si>
  <si>
    <t>27335364191</t>
  </si>
  <si>
    <t>JOSE JONAS FURLANETTO</t>
  </si>
  <si>
    <t>55889913115</t>
  </si>
  <si>
    <t>JOSE NEI DOS SANTOS DUTRA</t>
  </si>
  <si>
    <t>55278612053</t>
  </si>
  <si>
    <t>JOSE NILDA DA CUNHA</t>
  </si>
  <si>
    <t>69808112900</t>
  </si>
  <si>
    <t>JOSE WILKESON OLIVEIRA SILVA</t>
  </si>
  <si>
    <t>03393455354</t>
  </si>
  <si>
    <t>PTB LUBNOR CE</t>
  </si>
  <si>
    <t>JOSEANE DA SILVA SOUZA</t>
  </si>
  <si>
    <t>71944885234</t>
  </si>
  <si>
    <t>JULIANO MESSIAS MOREIRA DE LIMA</t>
  </si>
  <si>
    <t>10649064941</t>
  </si>
  <si>
    <t>JULIO CESAR DE SOUZA</t>
  </si>
  <si>
    <t>05430536954</t>
  </si>
  <si>
    <t>JUNIO VICENTE BARBOSA</t>
  </si>
  <si>
    <t>10054353670</t>
  </si>
  <si>
    <t>JUSTINO NOGUEIRA PEIXOTO JUNIOR</t>
  </si>
  <si>
    <t>09246793790</t>
  </si>
  <si>
    <t>PTB EDISE RJ</t>
  </si>
  <si>
    <t>KATIA RESENDE DA SILVA</t>
  </si>
  <si>
    <t>45154701836</t>
  </si>
  <si>
    <t>KLEBER SILVA DA SILVA</t>
  </si>
  <si>
    <t>48210811053</t>
  </si>
  <si>
    <t>BB POA RS</t>
  </si>
  <si>
    <t>LAERCIO SOARES CANABARRO</t>
  </si>
  <si>
    <t>58763376091</t>
  </si>
  <si>
    <t>LARISSA SANTOS DA SILVA</t>
  </si>
  <si>
    <t>45120065830</t>
  </si>
  <si>
    <t>BANCO ITAU SP</t>
  </si>
  <si>
    <t>LEANDRO APARECIDO JAQUES</t>
  </si>
  <si>
    <t>02586212908</t>
  </si>
  <si>
    <t>LEANDRO APARECIDO PEREIRA DA SILVA STEFANINI</t>
  </si>
  <si>
    <t>36020922839</t>
  </si>
  <si>
    <t>LEANDRO DE MENEZES ASSUNCAO</t>
  </si>
  <si>
    <t>09072032640</t>
  </si>
  <si>
    <t>LEANDRO DE QUADROS</t>
  </si>
  <si>
    <t>03461295914</t>
  </si>
  <si>
    <t>LEANDRO FIGUEREDO BELCHIOR</t>
  </si>
  <si>
    <t>26513583802</t>
  </si>
  <si>
    <t>LEANDRO GUSMAO MUNIZ</t>
  </si>
  <si>
    <t>13126691790</t>
  </si>
  <si>
    <t>01857561902</t>
  </si>
  <si>
    <t>LEANDRO PINTO NUNES</t>
  </si>
  <si>
    <t>08325368730</t>
  </si>
  <si>
    <t>LEANDRO SOUSA</t>
  </si>
  <si>
    <t>00584427905</t>
  </si>
  <si>
    <t>LEONARDO MURATORI ATHAYDE</t>
  </si>
  <si>
    <t>03374811647</t>
  </si>
  <si>
    <t>CEF FACILITIES CE</t>
  </si>
  <si>
    <t>LEONARDO ORESTES SOARES</t>
  </si>
  <si>
    <t>05892698440</t>
  </si>
  <si>
    <t>LUAN THIAGO DA SILVA</t>
  </si>
  <si>
    <t>08030478437</t>
  </si>
  <si>
    <t>LUCAS CARVALHO DE SOUZA</t>
  </si>
  <si>
    <t>08781221924</t>
  </si>
  <si>
    <t>LUCAS DE PAULA SILVA</t>
  </si>
  <si>
    <t>08204909977</t>
  </si>
  <si>
    <t>LUCAS HENRIQUE ALVES DE OLIVEIRA</t>
  </si>
  <si>
    <t>10977673618</t>
  </si>
  <si>
    <t>LUCAS HENRIQUE CORREA DOS SANTOS</t>
  </si>
  <si>
    <t>10652119964</t>
  </si>
  <si>
    <t>LUCAS HENRIQUE PINHO</t>
  </si>
  <si>
    <t>45211709861</t>
  </si>
  <si>
    <t>LUCAS MARTINS MACAN</t>
  </si>
  <si>
    <t>00975748998</t>
  </si>
  <si>
    <t>CEF CEARA</t>
  </si>
  <si>
    <t>LUCAS PEREIRA GONCALVES</t>
  </si>
  <si>
    <t>11128978601</t>
  </si>
  <si>
    <t>LUCAS RODRIGUES DE MOURA GALVAO</t>
  </si>
  <si>
    <t>04013986175</t>
  </si>
  <si>
    <t>LUCIANO DA SILVA DE PAULA</t>
  </si>
  <si>
    <t>11489828923</t>
  </si>
  <si>
    <t>LUCIANO JOSE DA CUNHA</t>
  </si>
  <si>
    <t>03443300952</t>
  </si>
  <si>
    <t>LUCIANO JOSE DO AMARAL PEREIRA</t>
  </si>
  <si>
    <t>04434355708</t>
  </si>
  <si>
    <t>LUDGERO HORACIO DE OLIVEIRA</t>
  </si>
  <si>
    <t>06576198922</t>
  </si>
  <si>
    <t>LUIS FELIPE RAYMUNDO GARCIA</t>
  </si>
  <si>
    <t>06837861999</t>
  </si>
  <si>
    <t>LUIZ FERNANDO CAVALHEIRO</t>
  </si>
  <si>
    <t>03898579980</t>
  </si>
  <si>
    <t>LUIZ GUSTAVO DI GIORGIO</t>
  </si>
  <si>
    <t>29856268893</t>
  </si>
  <si>
    <t>LUIZ PAULO SILVA SOUSA JUNIOR</t>
  </si>
  <si>
    <t>02678045129</t>
  </si>
  <si>
    <t>MARCEL DA HORA CARVALHO</t>
  </si>
  <si>
    <t>01730674500</t>
  </si>
  <si>
    <t>POLICIA FEDERAL BA</t>
  </si>
  <si>
    <t>MARCEL GOMES DE OLIVEIRA</t>
  </si>
  <si>
    <t>29011288823</t>
  </si>
  <si>
    <t>MARCELO DE ANDRADE CALVETTI</t>
  </si>
  <si>
    <t>02587708052</t>
  </si>
  <si>
    <t>MARCELO DE SOUZA DALA VEDOVA</t>
  </si>
  <si>
    <t>05375810654</t>
  </si>
  <si>
    <t>MARCELO GIMENEZ ARGEMON</t>
  </si>
  <si>
    <t>95073272153</t>
  </si>
  <si>
    <t>CEF FACILITIES CAMPINAS SP</t>
  </si>
  <si>
    <t>MARCELO PEREIRA LIMA</t>
  </si>
  <si>
    <t>10254434894</t>
  </si>
  <si>
    <t>BB CAMPINAS SP</t>
  </si>
  <si>
    <t>MARCIO BOUZAS FERREIRA</t>
  </si>
  <si>
    <t>07318362780</t>
  </si>
  <si>
    <t>VTAL CYBER RJ</t>
  </si>
  <si>
    <t>MARCIO CAMPOS RIBEIRO</t>
  </si>
  <si>
    <t>17427326822</t>
  </si>
  <si>
    <t>MARCIO CORREA DA SILVA</t>
  </si>
  <si>
    <t>98717251087</t>
  </si>
  <si>
    <t>MARCIO DA COSTA JOAO</t>
  </si>
  <si>
    <t>02524841936</t>
  </si>
  <si>
    <t>BB CENOP CURITIBA PR</t>
  </si>
  <si>
    <t>MARCO AURELIO DE ANDRADE MORAES</t>
  </si>
  <si>
    <t>72756284220</t>
  </si>
  <si>
    <t>MARCO AURELIO DE LIMA</t>
  </si>
  <si>
    <t>01356318665</t>
  </si>
  <si>
    <t>TELEFONICA MG</t>
  </si>
  <si>
    <t>MARCOS SEGER</t>
  </si>
  <si>
    <t>97135631900</t>
  </si>
  <si>
    <t>MARCOS VINICIUS DE SOUZA ALVES</t>
  </si>
  <si>
    <t>11823866603</t>
  </si>
  <si>
    <t>MARIA EDUARDA ARAGAO</t>
  </si>
  <si>
    <t>10363402950</t>
  </si>
  <si>
    <t>CEF SUL SC</t>
  </si>
  <si>
    <t>MARLON ARAUJO</t>
  </si>
  <si>
    <t>07774700986</t>
  </si>
  <si>
    <t>REGIONAL PR</t>
  </si>
  <si>
    <t>MATEUS DE CARVALHO BERTOL</t>
  </si>
  <si>
    <t>01304856674</t>
  </si>
  <si>
    <t>MATHEUS FERNANDES GUIMARAES</t>
  </si>
  <si>
    <t>17996820724</t>
  </si>
  <si>
    <t>MAURICIO JOSE CARDOSO</t>
  </si>
  <si>
    <t>98394282091</t>
  </si>
  <si>
    <t>GHC ARCON RS</t>
  </si>
  <si>
    <t>MAURICIO TRINDADE DE CAMARGO</t>
  </si>
  <si>
    <t>01816236098</t>
  </si>
  <si>
    <t>MAURO PEDRO SAUGO</t>
  </si>
  <si>
    <t>90573625972</t>
  </si>
  <si>
    <t>MICHAEL RODRIGUES SANTOS</t>
  </si>
  <si>
    <t>37425574837</t>
  </si>
  <si>
    <t>MICHEL DOS SANTOS VENANCIO</t>
  </si>
  <si>
    <t>06271222994</t>
  </si>
  <si>
    <t>MICHEL VINHORTE DE SOUZA</t>
  </si>
  <si>
    <t>70457883200</t>
  </si>
  <si>
    <t>BB MANAUS FACILITIES AM</t>
  </si>
  <si>
    <t>MILTON FERREIRA DAS NEVES JUNIOR</t>
  </si>
  <si>
    <t>05100355581</t>
  </si>
  <si>
    <t>ACELEN AR</t>
  </si>
  <si>
    <t>MOISES DOS SANTOS CABRAL</t>
  </si>
  <si>
    <t>68746458204</t>
  </si>
  <si>
    <t>CEF FAC RO</t>
  </si>
  <si>
    <t>MURILO DE ALMEIDA</t>
  </si>
  <si>
    <t>10521167957</t>
  </si>
  <si>
    <t>BB LESTE PR</t>
  </si>
  <si>
    <t>NEUDO SAMPIETRO</t>
  </si>
  <si>
    <t>04885659957</t>
  </si>
  <si>
    <t>NILTON SANTOS DA SILVA</t>
  </si>
  <si>
    <t>63424770000</t>
  </si>
  <si>
    <t>CLARO INFRA RS</t>
  </si>
  <si>
    <t>NIVALDO THIAGO DA CRUZ SANTOS</t>
  </si>
  <si>
    <t>04442316929</t>
  </si>
  <si>
    <t>NORMAN CRANI PORTELLA</t>
  </si>
  <si>
    <t>79794157953</t>
  </si>
  <si>
    <t>ODAIR CIRCO SOARES</t>
  </si>
  <si>
    <t>84219122915</t>
  </si>
  <si>
    <t>ORESTE BARBOSA DA SILVA JUNIOR</t>
  </si>
  <si>
    <t>25075562850</t>
  </si>
  <si>
    <t>OSCAR DOMINGO PALARO</t>
  </si>
  <si>
    <t>03067535960</t>
  </si>
  <si>
    <t>PALOMA CARLOS SPINOLA</t>
  </si>
  <si>
    <t>11340265796</t>
  </si>
  <si>
    <t>PAOLA CAROLINI BARBOSA</t>
  </si>
  <si>
    <t>03445951969</t>
  </si>
  <si>
    <t>PTB PREDIAL REPAR PR</t>
  </si>
  <si>
    <t>PATRICK ANTONIEVICZ ALVES</t>
  </si>
  <si>
    <t>06456801923</t>
  </si>
  <si>
    <t>PAULO ALEXANDRE DE AMORIM</t>
  </si>
  <si>
    <t>04179369907</t>
  </si>
  <si>
    <t>PAULO DE FREITAS PEREIRA</t>
  </si>
  <si>
    <t>11634696611</t>
  </si>
  <si>
    <t>PAULO NILTON COSTA MOREIRA</t>
  </si>
  <si>
    <t>45159599053</t>
  </si>
  <si>
    <t>CEF EXTREMO SUL RS</t>
  </si>
  <si>
    <t>PEDRO DO NASCIMENTO FARO</t>
  </si>
  <si>
    <t>42694515215</t>
  </si>
  <si>
    <t>CENSIPAM PA</t>
  </si>
  <si>
    <t>PITER ROBSON DA SILVA</t>
  </si>
  <si>
    <t>91388686953</t>
  </si>
  <si>
    <t>PRISCILA GOTARDO PEREIRA</t>
  </si>
  <si>
    <t>05168980945</t>
  </si>
  <si>
    <t>RAFAEL ALMEIDA LOPES</t>
  </si>
  <si>
    <t>46850229800</t>
  </si>
  <si>
    <t>RAFAEL AMORIM VELLO</t>
  </si>
  <si>
    <t>01677920599</t>
  </si>
  <si>
    <t>CEF NORTE OESTE BA</t>
  </si>
  <si>
    <t>RAFAEL CARNIEL DA SILVA</t>
  </si>
  <si>
    <t>05337927973</t>
  </si>
  <si>
    <t>RAFAEL NATAL LACHI</t>
  </si>
  <si>
    <t>03710085900</t>
  </si>
  <si>
    <t>RAFAEL PORTO ALVES DA CRUZ</t>
  </si>
  <si>
    <t>11914988671</t>
  </si>
  <si>
    <t>RAFAEL RAMOS DAS NEVES</t>
  </si>
  <si>
    <t>06149576485</t>
  </si>
  <si>
    <t>RAMON GOMES TEIXEIRA</t>
  </si>
  <si>
    <t>83978054515</t>
  </si>
  <si>
    <t>RAQUEL PANTOJA SANTOS</t>
  </si>
  <si>
    <t>89395140259</t>
  </si>
  <si>
    <t>CEF BELEM FACILITIES PA</t>
  </si>
  <si>
    <t>RAUL ADRIANO DOS SANTOS</t>
  </si>
  <si>
    <t>03288831902</t>
  </si>
  <si>
    <t>RENATO PARREIRAS</t>
  </si>
  <si>
    <t>97162485634</t>
  </si>
  <si>
    <t>RICARDO DORNELES NEITZKE</t>
  </si>
  <si>
    <t>09353381959</t>
  </si>
  <si>
    <t>RICARDO MURCIA GARCIA FILHO</t>
  </si>
  <si>
    <t>27668763830</t>
  </si>
  <si>
    <t>RICARDO ZORZETTO</t>
  </si>
  <si>
    <t>00539580040</t>
  </si>
  <si>
    <t>CEF QUERENCIA RS</t>
  </si>
  <si>
    <t>ROBERTO DOMINGUES PEREIRA</t>
  </si>
  <si>
    <t>81480261068</t>
  </si>
  <si>
    <t>ROBSON DOS SANTOS GUEDES</t>
  </si>
  <si>
    <t>08418392983</t>
  </si>
  <si>
    <t>ROBSON FURTADO</t>
  </si>
  <si>
    <t>05236669936</t>
  </si>
  <si>
    <t>RODRIGO BOLDO</t>
  </si>
  <si>
    <t>27104988807</t>
  </si>
  <si>
    <t>RODRIGO FRANCISCO CORREA</t>
  </si>
  <si>
    <t>03059202940</t>
  </si>
  <si>
    <t>RODRIGO FRANCISCO DE SOUSA</t>
  </si>
  <si>
    <t>34459886847</t>
  </si>
  <si>
    <t>RODRIGO JOSE DE PAULA</t>
  </si>
  <si>
    <t>03348917956</t>
  </si>
  <si>
    <t>RODRIGO ROBERTO DE SOUZA</t>
  </si>
  <si>
    <t>05664820969</t>
  </si>
  <si>
    <t>BB GRANDE FLORIANOPOLIS SC</t>
  </si>
  <si>
    <t>RODRIGO ROQUE</t>
  </si>
  <si>
    <t>02062513941</t>
  </si>
  <si>
    <t xml:space="preserve">CORREIOS SAO JOSE SC   </t>
  </si>
  <si>
    <t>RODRIGO SANTOS DA SILVA</t>
  </si>
  <si>
    <t>05504962706</t>
  </si>
  <si>
    <t>BANCO ITAU RJ</t>
  </si>
  <si>
    <t>RODRIGO VANZETTA</t>
  </si>
  <si>
    <t>99532344004</t>
  </si>
  <si>
    <t>CEF NORTE GAUCHO RS</t>
  </si>
  <si>
    <t>ROGERIO GOMES DE OLIVEIRA</t>
  </si>
  <si>
    <t>89591640030</t>
  </si>
  <si>
    <t>ROGERIO MACARIO PINTO</t>
  </si>
  <si>
    <t>14355734803</t>
  </si>
  <si>
    <t>RONALDO DE MATOS LELIS</t>
  </si>
  <si>
    <t>47502843604</t>
  </si>
  <si>
    <t>RONALDO RUFINO SANTANA</t>
  </si>
  <si>
    <t>29758827855</t>
  </si>
  <si>
    <t>RUBENS BELO HERBSTER</t>
  </si>
  <si>
    <t>02701688345</t>
  </si>
  <si>
    <t>SANDRO BARRETO DE SOUZA</t>
  </si>
  <si>
    <t>78021324953</t>
  </si>
  <si>
    <t>SANDRO CAPISTRANO</t>
  </si>
  <si>
    <t>16996346886</t>
  </si>
  <si>
    <t>SARA ARAGAO DA SILVA BARBOSA</t>
  </si>
  <si>
    <t>49637513809</t>
  </si>
  <si>
    <t>SAULO ARAUJO DE PAULA</t>
  </si>
  <si>
    <t>31040091806</t>
  </si>
  <si>
    <t>SERGIO ESTEVAM DEBIAZI</t>
  </si>
  <si>
    <t>02063139342</t>
  </si>
  <si>
    <t>CONTRATO SUSPENSO</t>
  </si>
  <si>
    <t>SIDNEI FRANCISCO DA SILVA</t>
  </si>
  <si>
    <t>02224415931</t>
  </si>
  <si>
    <t>SIDNEI MACHADO</t>
  </si>
  <si>
    <t>02710155940</t>
  </si>
  <si>
    <t>SILMARA CHAVES</t>
  </si>
  <si>
    <t>02706762950</t>
  </si>
  <si>
    <t>BB TIRADENTES PR</t>
  </si>
  <si>
    <t>SILVIO ODELI FILHO</t>
  </si>
  <si>
    <t>07634898910</t>
  </si>
  <si>
    <t>SILVIO VINICIUS PINHEIRO GOES</t>
  </si>
  <si>
    <t>51182084168</t>
  </si>
  <si>
    <t>STEPHANIE THAINARA DE OLIVEIRA ROCHA DA COSTA</t>
  </si>
  <si>
    <t>14084321613</t>
  </si>
  <si>
    <t>TANDARA MARIA DO VALES PEREIRA ALVES</t>
  </si>
  <si>
    <t>17074849707</t>
  </si>
  <si>
    <t>TEOFILO TOLLENDAL PACHECO</t>
  </si>
  <si>
    <t>26687333836</t>
  </si>
  <si>
    <t>TERCILA DA SILVA LOPES</t>
  </si>
  <si>
    <t>67752721387</t>
  </si>
  <si>
    <t>THALITA MANCILIO DIAS GONDIM</t>
  </si>
  <si>
    <t>30941372880</t>
  </si>
  <si>
    <t>THIAGO DE MEDEIROS VANZELER</t>
  </si>
  <si>
    <t>11590627733</t>
  </si>
  <si>
    <t>THIAGO LEANDRO DOS SANTOS</t>
  </si>
  <si>
    <t>33927651800</t>
  </si>
  <si>
    <t>PROSEGUR SP</t>
  </si>
  <si>
    <t>THIAGO PEREIRA DE LIMA</t>
  </si>
  <si>
    <t>06478105490</t>
  </si>
  <si>
    <t>THIAGO SEPULVEDA CUNHA</t>
  </si>
  <si>
    <t>47111830865</t>
  </si>
  <si>
    <t>BB SUDESTE MG</t>
  </si>
  <si>
    <t>THIEGO LEANDRO ALVES DE OLIVEIRA</t>
  </si>
  <si>
    <t>07198282440</t>
  </si>
  <si>
    <t>TIAGO DE JESUS ARAUJO</t>
  </si>
  <si>
    <t>04661413199</t>
  </si>
  <si>
    <t>TIAGO FERNANDES SANTOS DE OLIVEIRA</t>
  </si>
  <si>
    <t>00849381533</t>
  </si>
  <si>
    <t>CARMO ENERGY</t>
  </si>
  <si>
    <t>TULIO VELOSO HONORATO</t>
  </si>
  <si>
    <t>12609931670</t>
  </si>
  <si>
    <t>UBIRAJARA DE ARAUJO TEIXEIRA</t>
  </si>
  <si>
    <t>74548565949</t>
  </si>
  <si>
    <t>BB APOIO PR</t>
  </si>
  <si>
    <t>UELITON CANDIDO</t>
  </si>
  <si>
    <t>10354623621</t>
  </si>
  <si>
    <t>NET SUL MG</t>
  </si>
  <si>
    <t>UELITON SANTANA SANTOS</t>
  </si>
  <si>
    <t>03686605597</t>
  </si>
  <si>
    <t>TRANSPETRO BA</t>
  </si>
  <si>
    <t>ULISSES FERREIRA DE OLIVEIRA</t>
  </si>
  <si>
    <t>01595939644</t>
  </si>
  <si>
    <t>VALDIR LEONARDO VOIGT</t>
  </si>
  <si>
    <t>48089869904</t>
  </si>
  <si>
    <t>VANDERLEI DE SOUZA NORONHA JUNIOR</t>
  </si>
  <si>
    <t>37695259810</t>
  </si>
  <si>
    <t>VANDERLEI DOS SANTOS</t>
  </si>
  <si>
    <t>21262405840</t>
  </si>
  <si>
    <t>VICTOR MIGUEL PALARO</t>
  </si>
  <si>
    <t>09265596996</t>
  </si>
  <si>
    <t>VICTOR SIGOLO PINHEIRO PIMENTA</t>
  </si>
  <si>
    <t>12237490619</t>
  </si>
  <si>
    <t>INSS SP</t>
  </si>
  <si>
    <t>VINICIUS PEIXOTO BONETTI</t>
  </si>
  <si>
    <t>09785002969</t>
  </si>
  <si>
    <t>ARTERIS LITORAL SUL SC</t>
  </si>
  <si>
    <t>WAGNER DOS SANTOS PEREIRA</t>
  </si>
  <si>
    <t>94512043004</t>
  </si>
  <si>
    <t>BB SHOPPING ESTACAO PR</t>
  </si>
  <si>
    <t>WAGNER RAFAEL GERHARDT</t>
  </si>
  <si>
    <t>00413687031</t>
  </si>
  <si>
    <t>WALTER DE CAMPOS NUNES NETO</t>
  </si>
  <si>
    <t>99114160030</t>
  </si>
  <si>
    <t>WEDER MARTINS</t>
  </si>
  <si>
    <t>91415586691</t>
  </si>
  <si>
    <t>WELERSON PUFF RODRIGUES</t>
  </si>
  <si>
    <t>04352219657</t>
  </si>
  <si>
    <t>WELTON GERALDO WROBLEWSKI</t>
  </si>
  <si>
    <t>91443130982</t>
  </si>
  <si>
    <t>WESLLEY GABRIEL DA SILVA CARDOSO</t>
  </si>
  <si>
    <t>87813416015</t>
  </si>
  <si>
    <t>TELEFONICA RS</t>
  </si>
  <si>
    <t>WILLIAM NORONHA TEIXEIRA</t>
  </si>
  <si>
    <t>02013700008</t>
  </si>
  <si>
    <t>WILLIAM SANTANA NUNES</t>
  </si>
  <si>
    <t>95417400068</t>
  </si>
  <si>
    <t>COD. CENTRO DE CUSTO</t>
  </si>
  <si>
    <t>Rótulos de Linha</t>
  </si>
  <si>
    <t xml:space="preserve">Soma de Carga Final </t>
  </si>
  <si>
    <t>Total Geral</t>
  </si>
  <si>
    <t>REEMBOLSO FEITO</t>
  </si>
  <si>
    <t>REEMBOLSO CORRETO</t>
  </si>
  <si>
    <t>RETIRAR</t>
  </si>
  <si>
    <t>Cobrança</t>
  </si>
  <si>
    <t>Nome</t>
  </si>
  <si>
    <t>E-mail</t>
  </si>
  <si>
    <t>Tipo de usuário</t>
  </si>
  <si>
    <t>Status do Cartão</t>
  </si>
  <si>
    <t>Permissão de Uso</t>
  </si>
  <si>
    <t>Permissão de Gestão</t>
  </si>
  <si>
    <t>Ações</t>
  </si>
  <si>
    <t>abner.cavalcante@eqsengenharia.com.br</t>
  </si>
  <si>
    <t>Normal</t>
  </si>
  <si>
    <t>Cartão ativo</t>
  </si>
  <si>
    <t>Portador de Cartão</t>
  </si>
  <si>
    <t>Sem permissão</t>
  </si>
  <si>
    <t>adan.batista@eqsengenharia.com.br</t>
  </si>
  <si>
    <t>adautojosepereira@yahoo.com.br</t>
  </si>
  <si>
    <t>ctba_projetos@hotmail.com</t>
  </si>
  <si>
    <t>ADILSON ANTONIO JACINTO</t>
  </si>
  <si>
    <t>dirson4867@yahoo.com</t>
  </si>
  <si>
    <t>adilsoncamargo@eqseng.com.br</t>
  </si>
  <si>
    <t>ADILSON RODRIGUES FERREIRA</t>
  </si>
  <si>
    <t>adilson.ferreira@eqsengenharia.com.br</t>
  </si>
  <si>
    <t>Intermediário</t>
  </si>
  <si>
    <t>Cadastro pendente</t>
  </si>
  <si>
    <t>adivarjunior@gmail.com</t>
  </si>
  <si>
    <t>ADMILSON DA SILVA FARIAS</t>
  </si>
  <si>
    <t>admilsonfarias2016@gmail.com</t>
  </si>
  <si>
    <t>admilsongalan@gmail.com</t>
  </si>
  <si>
    <t>ADRIANA DA CONCEICAO PEREIRA DE MELO</t>
  </si>
  <si>
    <t>adriana.melo@eqsengenharia.com.br</t>
  </si>
  <si>
    <t>ADRIANE CARON</t>
  </si>
  <si>
    <t>adriane.caron@eqseng.com.br</t>
  </si>
  <si>
    <t>ADRIANO BORGES TEIXEIRA</t>
  </si>
  <si>
    <t>adrianoteixeiraeletricista@gmail.com</t>
  </si>
  <si>
    <t>Cartão não vinculado</t>
  </si>
  <si>
    <t>adriano.paula@eqsengenharia.com.br</t>
  </si>
  <si>
    <t>adson.silva@eqsengenharia.com.br</t>
  </si>
  <si>
    <t>adson.santos@eqsengenharia.com.br</t>
  </si>
  <si>
    <t>AFONSO FIORELLO CARVALHO</t>
  </si>
  <si>
    <t>afonso.fiorello@eqsengenharia.com.br</t>
  </si>
  <si>
    <t>agno.teles@eqsengenharia.com.br</t>
  </si>
  <si>
    <t>AILTON MENDES AGUILAR</t>
  </si>
  <si>
    <t>ailtonaguilarmg@gmail.com</t>
  </si>
  <si>
    <t>alaerte.junior@eqsengenharia.com.br</t>
  </si>
  <si>
    <t>alan.andrade@eqseng.com.br</t>
  </si>
  <si>
    <t>ALAN WAGNER MEDEIROS DE SOUZA</t>
  </si>
  <si>
    <t>alan.peacv@gmail.com</t>
  </si>
  <si>
    <t>ALEKSANDER GONCALVES DE ALMEIDA</t>
  </si>
  <si>
    <t>aleksalmeida1988@gmail.com</t>
  </si>
  <si>
    <t>alessandrooa@bol.com.br</t>
  </si>
  <si>
    <t>pastrellia044@gmail.com</t>
  </si>
  <si>
    <t>ALEX CARVALHO DOS SANTOS</t>
  </si>
  <si>
    <t>alexcarvalhosantos05@gmail.com</t>
  </si>
  <si>
    <t>ALEX DOS SANTOS</t>
  </si>
  <si>
    <t>alex.dos.santos@hotmail.com</t>
  </si>
  <si>
    <t>alex.marques@eqsengenharia.com.br</t>
  </si>
  <si>
    <t>ALEX SANDRO RAMBO</t>
  </si>
  <si>
    <t>alexrambo88@gmail.com</t>
  </si>
  <si>
    <t>alexandre.gross@eqsengenharia.com.br</t>
  </si>
  <si>
    <t>ALEXANDRE PIRES DE JESUS</t>
  </si>
  <si>
    <t>pireseqs@gmail.com</t>
  </si>
  <si>
    <t>ALEXSANDRO RAULINO DOS SANTOS</t>
  </si>
  <si>
    <t>alexsandroraulino843@gmail.com</t>
  </si>
  <si>
    <t>ALEXSANDRO SANTOS DA CONCEICAO</t>
  </si>
  <si>
    <t>alexsandro.conceicao@eqsengenharia.com.br</t>
  </si>
  <si>
    <t>alirio.valentim@eqseng.com.br</t>
  </si>
  <si>
    <t>ALISON FERREIRA DA SILVA</t>
  </si>
  <si>
    <t>alisonsilva-artur@hotmail.com</t>
  </si>
  <si>
    <t>alisson.rambo@eqseng.com.br</t>
  </si>
  <si>
    <t>ALLANCRISTIAN20@HOTMAIL.COM</t>
  </si>
  <si>
    <t>allan.rodrigues@eqsengenharia.com.br</t>
  </si>
  <si>
    <t>ALMIR DA SILVA SOARES</t>
  </si>
  <si>
    <t>almirdasilvasoares@gmail.com</t>
  </si>
  <si>
    <t>jocabertol@gmail.com</t>
  </si>
  <si>
    <t>ALVARO RAMON PRIMERA CASTILLO</t>
  </si>
  <si>
    <t>primeraalvaro51@gmail.com</t>
  </si>
  <si>
    <t>amanda.cristina@eqsengenharia.com.br</t>
  </si>
  <si>
    <t>AMARAL RODRIGUES NUNES</t>
  </si>
  <si>
    <t>AMARALNUNES2012@HOTMAIL.COM</t>
  </si>
  <si>
    <t>anderson.perez@eqsengenharia.com.br</t>
  </si>
  <si>
    <t>ANDERSON FERNANDES DE ALMEIDA</t>
  </si>
  <si>
    <t>dyttofernandesalmeida1@gmail.com</t>
  </si>
  <si>
    <t>ANDERSON GOMES</t>
  </si>
  <si>
    <t>eqsengenharia.jlle@gmail.com</t>
  </si>
  <si>
    <t>ANDERSON LUIS GONCALVES</t>
  </si>
  <si>
    <t>andygoncalves011@gmail.com</t>
  </si>
  <si>
    <t>ANDERSON MARTINS ELIZEU</t>
  </si>
  <si>
    <t>elizeuandersonmartins@gmail.com</t>
  </si>
  <si>
    <t>anderson.vieira@eqsengenharia.com.br</t>
  </si>
  <si>
    <t>andre.meister@eqsengenharia.com.br</t>
  </si>
  <si>
    <t>ANDRE DE MOURA ESCOBAR</t>
  </si>
  <si>
    <t>andre.escobar@eqseng.com.br</t>
  </si>
  <si>
    <t>ANDRE LUIZ DOS SANTOS OLIVEIRA</t>
  </si>
  <si>
    <t>andre.oliveira.supervisor.telecom@gmail.com</t>
  </si>
  <si>
    <t>andre.santana@eqsengenharia.com.br</t>
  </si>
  <si>
    <t>andre.balotin@eqsengenharia.com.br</t>
  </si>
  <si>
    <t>toxcroen@gmail.com</t>
  </si>
  <si>
    <t>ANDREA ANTUNES GOMES</t>
  </si>
  <si>
    <t>andrea.antunes@eqsengenharia.com.br</t>
  </si>
  <si>
    <t>andresa.aggio@eqsengenharia.com.br</t>
  </si>
  <si>
    <t>ANDREY CARDOSO REGINALDO</t>
  </si>
  <si>
    <t>andrey.reginaldo@eqsengenharia.com.br</t>
  </si>
  <si>
    <t>Administrador</t>
  </si>
  <si>
    <t>Gestor de Contas</t>
  </si>
  <si>
    <t>ANELISE MENDONCA DE AVILA</t>
  </si>
  <si>
    <t>anelise@eqsengenharia.com.br</t>
  </si>
  <si>
    <t>Angelica Sampaio Sousa</t>
  </si>
  <si>
    <t>angelica.sousa@eqsengenharia.com.br</t>
  </si>
  <si>
    <t>angelica.amarante@eqsengenharia.com.br</t>
  </si>
  <si>
    <t>antonio@eqseng.com.br</t>
  </si>
  <si>
    <t>adimendonca@gmail.com</t>
  </si>
  <si>
    <t>antonio.j1.silva26@gmail.com</t>
  </si>
  <si>
    <t>camargo0713@hotmail.com</t>
  </si>
  <si>
    <t>ANTONIO MARCOS DE SOUZA</t>
  </si>
  <si>
    <t>amssouzaeqs@hotmail.com</t>
  </si>
  <si>
    <t>arley.luz@eqsengenharia.com.br</t>
  </si>
  <si>
    <t>ARNALDO VARGAS NETO</t>
  </si>
  <si>
    <t>arnaldo211vargas@gmail.com</t>
  </si>
  <si>
    <t>arthur.gomes@eqsengenharia.com.br</t>
  </si>
  <si>
    <t>arthursantos58@live.com</t>
  </si>
  <si>
    <t>arturpagani@gmail.com</t>
  </si>
  <si>
    <t>ATILA LOPES DE MOURA</t>
  </si>
  <si>
    <t>atila_moura@hotmail.com</t>
  </si>
  <si>
    <t>auro.pedroso@eqsengenharia.com.br</t>
  </si>
  <si>
    <t>beatriz.siqueira@eqseng.com.br</t>
  </si>
  <si>
    <t>mmcanoas@hotmail.com</t>
  </si>
  <si>
    <t>brunalais_ac@hotmail.com</t>
  </si>
  <si>
    <t>bruna.pessoa@eqsengenharia.com.br</t>
  </si>
  <si>
    <t>BRUNO DE SOUZA PACHECO</t>
  </si>
  <si>
    <t>bruninhopacheco44@gmail.com</t>
  </si>
  <si>
    <t>bruno@eqsengenharia.com.br</t>
  </si>
  <si>
    <t>BRUNO EDUARDO SOLANO</t>
  </si>
  <si>
    <t>bruno.solano@eqsengenharia.com.br</t>
  </si>
  <si>
    <t>brunoenf02@icloud.com</t>
  </si>
  <si>
    <t>BRUNO LOPES DE CAMARGO</t>
  </si>
  <si>
    <t>brunolopes15061991@gmail.com</t>
  </si>
  <si>
    <t>bruno.dias@eqsengenharia.com.br</t>
  </si>
  <si>
    <t>caio.ribeiro@eqsengenharia.com.br</t>
  </si>
  <si>
    <t>caios.nunes@eqsengenharia.com.br</t>
  </si>
  <si>
    <t>CAMILA DE FRANCA FARIA</t>
  </si>
  <si>
    <t>camila.faria@eqsengenharia.com.br</t>
  </si>
  <si>
    <t>camila.veloso@bcb.gov.br</t>
  </si>
  <si>
    <t>CAMILA DOS SANTOS DO LIVRAMENTO</t>
  </si>
  <si>
    <t>camila@eqsengenharia.com.br</t>
  </si>
  <si>
    <t>carlos.gigi@eqseng.com.br</t>
  </si>
  <si>
    <t>carlos.eduardo@eqsengenharia.com.br</t>
  </si>
  <si>
    <t>godoy.equisul@gmail.com</t>
  </si>
  <si>
    <t>CARLOS GONZAGA ARAGAO</t>
  </si>
  <si>
    <t>caixa@eqsengenharia.com.br</t>
  </si>
  <si>
    <t>CARLOS HENRIQUE VARGAS DOS SANTOS</t>
  </si>
  <si>
    <t>carlos.santos@eqseng.com.br</t>
  </si>
  <si>
    <t>carlosengenheiro33@gmail.com</t>
  </si>
  <si>
    <t>crenps@gmail.com</t>
  </si>
  <si>
    <t>carlos.peres@eqsengenharia.com.br</t>
  </si>
  <si>
    <t>CAROLINE DA SILVA</t>
  </si>
  <si>
    <t>caroline@eqsengenharia.com.br</t>
  </si>
  <si>
    <t>CASSIANO DOS SANTOS LYRA</t>
  </si>
  <si>
    <t>ecaslyra@gmail.com</t>
  </si>
  <si>
    <t>CELSO ROGERIO DE OLIVEIRA</t>
  </si>
  <si>
    <t>celso.rogerio@eqsengenharia.com.br</t>
  </si>
  <si>
    <t>cmattyuzzy@gmail.com</t>
  </si>
  <si>
    <t>charlyton.andrade@eqsengenharia.com.br</t>
  </si>
  <si>
    <t>CINTIA DOS SANTOS RABELO</t>
  </si>
  <si>
    <t>cintia.rabelo@eqsengenharia.com.br</t>
  </si>
  <si>
    <t>claudemir.rodrigues@eqsengenharia.com.br</t>
  </si>
  <si>
    <t>claudemir.moreura054@gmail.com</t>
  </si>
  <si>
    <t>amaralclaudinei@hotmail.com</t>
  </si>
  <si>
    <t>claudinei.lima@eqsengenharia.com.br</t>
  </si>
  <si>
    <t>claudiodonizete8321@gmail.com</t>
  </si>
  <si>
    <t>clrenaldinunes@gmail.com</t>
  </si>
  <si>
    <t>claytonpr@gmail.com</t>
  </si>
  <si>
    <t>binhoclebersonsantos@gmail.com</t>
  </si>
  <si>
    <t>CLEDIVALDO DINIZ BERNARDO</t>
  </si>
  <si>
    <t>DINIZCLEDIVALDO@GMAIL.COM</t>
  </si>
  <si>
    <t>Cartão não habilitado</t>
  </si>
  <si>
    <t>cleiton.montalvao@eqsengenharia.com.br</t>
  </si>
  <si>
    <t>CLEOMIRIO FERREIRA DOS SANTOS</t>
  </si>
  <si>
    <t>cleomirio.santos@eqsengenharia.com.br</t>
  </si>
  <si>
    <t>cleriton.santos@hotmail.com</t>
  </si>
  <si>
    <t>bmx_sdr@hotmail.com</t>
  </si>
  <si>
    <t>CLOVIS RICARDO PALHARES E CORDEIRO</t>
  </si>
  <si>
    <t>clovisricardo@hotmail.com</t>
  </si>
  <si>
    <t>conf</t>
  </si>
  <si>
    <t>conf@eqsengenharia.com.br</t>
  </si>
  <si>
    <t>creol.santos@gmail.com</t>
  </si>
  <si>
    <t>cristiano.anesio@gmail.com</t>
  </si>
  <si>
    <t>cristianovaladares4@gmail.com</t>
  </si>
  <si>
    <t>DANIEL CANTUARIO DA SILVEIRA</t>
  </si>
  <si>
    <t>silveirad139@gmail.com</t>
  </si>
  <si>
    <t>daniel.lopes@eqsengenharia.com.br</t>
  </si>
  <si>
    <t>DANIEL DUARTE ALVES</t>
  </si>
  <si>
    <t>daniel.duarte@eqsengenharia.com.br</t>
  </si>
  <si>
    <t>dsassuncao@hotmail.com</t>
  </si>
  <si>
    <t>daniela.carvalho@eqsengenharia.com.br</t>
  </si>
  <si>
    <t>danilo.zanatta@eqseng.com.br</t>
  </si>
  <si>
    <t>DARLAN SPIER PAZ</t>
  </si>
  <si>
    <t>darlan@eqsengenharia.com.br</t>
  </si>
  <si>
    <t>davidspereira92@gmail.com</t>
  </si>
  <si>
    <t>david.frigerio@eqsengenharia.com.br</t>
  </si>
  <si>
    <t>david.brito@eqsengenharia.com.br</t>
  </si>
  <si>
    <t>deboraaf2017@gmail.com</t>
  </si>
  <si>
    <t>deise@eqsengenharia.com.br</t>
  </si>
  <si>
    <t>delvano.silva@eqsengenharia.com.br</t>
  </si>
  <si>
    <t>DEMETRIUS LOPES GIANGROSSI</t>
  </si>
  <si>
    <t>demetriusgiangrossi@gmail.com</t>
  </si>
  <si>
    <t>denilsodidone@gmail.com</t>
  </si>
  <si>
    <t>DENILSON PERRIM NAVARRO</t>
  </si>
  <si>
    <t>denilson.navarro@eqsengenharia.com.br</t>
  </si>
  <si>
    <t>denis.silva@eqsengenharia.com.br</t>
  </si>
  <si>
    <t>DENIVALDO GONCALVES MIRANDA</t>
  </si>
  <si>
    <t>denisvzp@gmail.com</t>
  </si>
  <si>
    <t>dhiego.diniz@eqsengenharia.com.br</t>
  </si>
  <si>
    <t>diegoalcan@hotmail.com</t>
  </si>
  <si>
    <t>DIEGO DOS SANTOS DE JESUS</t>
  </si>
  <si>
    <t>diego.jesus_92@hotmail.com</t>
  </si>
  <si>
    <t>diego.grime@gmail.com</t>
  </si>
  <si>
    <t>diegojpudi@hotmail.com</t>
  </si>
  <si>
    <t>DIONATAN PATRICK SOUZA DIAS</t>
  </si>
  <si>
    <t>dionatan.conceito@gmail.com</t>
  </si>
  <si>
    <t>divanmiroma@gmail.com</t>
  </si>
  <si>
    <t>DIVANIA RITA DE SOUSA ASSIS FREITAS</t>
  </si>
  <si>
    <t>divaniarita@yahoo.com.br</t>
  </si>
  <si>
    <t>DJONATAN JULIO GORGES VENTURI</t>
  </si>
  <si>
    <t>djony254@gmail.com</t>
  </si>
  <si>
    <t>dmitri92silva@gmail.com</t>
  </si>
  <si>
    <t>dominique.souza@eqseng.com.br</t>
  </si>
  <si>
    <t>bruckdoug@gmail.com</t>
  </si>
  <si>
    <t>odouglastiago@gmail.com</t>
  </si>
  <si>
    <t>DOUGLAS VENTURA SILVEIRA</t>
  </si>
  <si>
    <t>douglas.silveira@eqseng.com.br</t>
  </si>
  <si>
    <t>drywtop@outlook.com</t>
  </si>
  <si>
    <t>DYONES ONOFRE HORACIO DE OLIVEIRA</t>
  </si>
  <si>
    <t>mdmargoso@yahoo.com.br</t>
  </si>
  <si>
    <t>edercarvalho@eqsengenharia.com.br</t>
  </si>
  <si>
    <t>eder.medici@gmail.com</t>
  </si>
  <si>
    <t>EDERSON GUIZOLFI PEREIRA</t>
  </si>
  <si>
    <t>ederson.pereira@eqseng.com.br</t>
  </si>
  <si>
    <t>Ederson_tjmsn@hotmail.com</t>
  </si>
  <si>
    <t>EDERSON STRELOW</t>
  </si>
  <si>
    <t>strelowederson@gmail.com</t>
  </si>
  <si>
    <t>ede_dutra@hotmail.com</t>
  </si>
  <si>
    <t>ediberto@eqseng.com.br</t>
  </si>
  <si>
    <t>EDILENE CRISTIANA DA SILVA ZIMMERMANN</t>
  </si>
  <si>
    <t>cristiana.zimmermann@eqsengenharia.com.br</t>
  </si>
  <si>
    <t>edipo.barreto@eqsengenharia.com.br</t>
  </si>
  <si>
    <t>EDISON FERREIRA GONCALVES</t>
  </si>
  <si>
    <t>edisonfgoncalves@gmail.com</t>
  </si>
  <si>
    <t>EDJUNIO FERNANDES DE SANTANA</t>
  </si>
  <si>
    <t>juniof66.jf@gmail.com</t>
  </si>
  <si>
    <t>edmar.cardoso@eqsengenharia.com.br</t>
  </si>
  <si>
    <t>EDMAR RODRIGUES MOTA</t>
  </si>
  <si>
    <t>edmar@eqsengenharia.com.br</t>
  </si>
  <si>
    <t>EDNALDO DE ALMEIDA SANTOS</t>
  </si>
  <si>
    <t>EDNALDOALMEIDA.NI@GMAIL.COM</t>
  </si>
  <si>
    <t>EDNEI SANTOS SANTANA</t>
  </si>
  <si>
    <t>ednei.santana@eqsengenharia.com.br</t>
  </si>
  <si>
    <t>CALITHOMAZ.EDSON@HOTMAIL.COM</t>
  </si>
  <si>
    <t>EDSON DA SILVA DELLINGHAUSEN</t>
  </si>
  <si>
    <t>edsondellin@yahoo.com.br</t>
  </si>
  <si>
    <t>edson.silveira@eqsengenharia.com.br</t>
  </si>
  <si>
    <t>EDUARDA CONCEICAO DE ALMEIDA</t>
  </si>
  <si>
    <t>eduarda.almeida@eqsengenharia.com.br</t>
  </si>
  <si>
    <t>eduardo.silva@eqsengenharia.com.br</t>
  </si>
  <si>
    <t>eduardo.reis@eqsengenharia.com.br</t>
  </si>
  <si>
    <t>eduardo.santos@eqsengenharia.com.br</t>
  </si>
  <si>
    <t>eliandrobruning@hotmail.com</t>
  </si>
  <si>
    <t>ELIANDRO CUNHA DO NASCIMENTO</t>
  </si>
  <si>
    <t>eliandrocunha2017@hotmail.com</t>
  </si>
  <si>
    <t>ELIO PEREIRA NETO</t>
  </si>
  <si>
    <t>elio@eqsengenharia.com.br</t>
  </si>
  <si>
    <t>ELISA SILVA SCHNEIDER</t>
  </si>
  <si>
    <t>elisa.schneider@eqsengenharia.com.br</t>
  </si>
  <si>
    <t>ELOI JOSE DE FIGUEIREDO NETO</t>
  </si>
  <si>
    <t>eloi@eqsengenharia.com.br</t>
  </si>
  <si>
    <t>emerson.prado@eqseng.com.br</t>
  </si>
  <si>
    <t>emerson1002barros@gmail.com</t>
  </si>
  <si>
    <t>ENIOIR NOGUEIRA ANTUNES</t>
  </si>
  <si>
    <t>mannykantunes@gmail.com</t>
  </si>
  <si>
    <t>enzio.mota@eqsengenharia.com.br</t>
  </si>
  <si>
    <t>ERASMO PEREIRA MONTEIRO</t>
  </si>
  <si>
    <t>erasmopemo@gmail.com</t>
  </si>
  <si>
    <t>matosbrunomatos89@gmail.com</t>
  </si>
  <si>
    <t>ericsonjucap@gmail.com</t>
  </si>
  <si>
    <t>ERIVAN RODRIGUES GOMES</t>
  </si>
  <si>
    <t>erivan.gomes@eqseng.com.br</t>
  </si>
  <si>
    <t>EVERSON CESAR GAIDSTIECHI</t>
  </si>
  <si>
    <t>everson@eqsengenharia.com.br</t>
  </si>
  <si>
    <t>eversonesteves7@gmail.com</t>
  </si>
  <si>
    <t>everton.loureto@eqsengenharia.com.br</t>
  </si>
  <si>
    <t>EVERTON REIS DO NASCIMENTO</t>
  </si>
  <si>
    <t>ereisdonascimento@gmail.com</t>
  </si>
  <si>
    <t>fabiana.lima@eqsengenharia.com.br</t>
  </si>
  <si>
    <t>FABIANO LITTER</t>
  </si>
  <si>
    <t>fabianolitter@gmail.com</t>
  </si>
  <si>
    <t>fabio.pereira@eqsengenharia.com.br</t>
  </si>
  <si>
    <t>FABIOLIMA01@YAHOO.COM.BR</t>
  </si>
  <si>
    <t>fabio.hidelma@gmail.com</t>
  </si>
  <si>
    <t>FABIO HENRIQUE PECORARI CRUZ</t>
  </si>
  <si>
    <t>fabiohenriquepcruz@gmail.com</t>
  </si>
  <si>
    <t>fabinhomborges0304@gmail.com</t>
  </si>
  <si>
    <t>provesi85@gmail.com</t>
  </si>
  <si>
    <t>FABIO RAFAEL RIBEIRO</t>
  </si>
  <si>
    <t>fabiorafael.email@gmail.com</t>
  </si>
  <si>
    <t>FABIO RODRIGUES JUREVICZ</t>
  </si>
  <si>
    <t>frj3455@gmail.com</t>
  </si>
  <si>
    <t>FABRICIO SANTOS DA COSTA</t>
  </si>
  <si>
    <t>fscsantos82@yahoo.com.br</t>
  </si>
  <si>
    <t>felipe.albuquerque@eqsengenharia.com.br</t>
  </si>
  <si>
    <t>FELIPE MELILLO FONTAN</t>
  </si>
  <si>
    <t>felipe.fontan@eqsengenharia.com.br</t>
  </si>
  <si>
    <t>FELIPE-BRITTO@HOTMAIL.COM</t>
  </si>
  <si>
    <t>FERNANDA ARAGAO</t>
  </si>
  <si>
    <t>fernanda@eqsengenharia.com.br</t>
  </si>
  <si>
    <t>Gestor Financeiro</t>
  </si>
  <si>
    <t>FERNANDO DE MELO</t>
  </si>
  <si>
    <t>ffernandinhodmelo@gmail.com</t>
  </si>
  <si>
    <t>fernando.duarte@eqsengenharia.com.br</t>
  </si>
  <si>
    <t>filipekling.eqs@petrobras.com.br</t>
  </si>
  <si>
    <t>flavio.fernandes@eqsengenharia.com.br</t>
  </si>
  <si>
    <t>flavio.romero@eqsengenharia.com.br</t>
  </si>
  <si>
    <t>FLAVIO PATRICIO DA LUZ</t>
  </si>
  <si>
    <t>flaviopatrono77@gmail.com</t>
  </si>
  <si>
    <t>FLAVIO PEREIRA DE SOUZA</t>
  </si>
  <si>
    <t>flavio.p.souza.prestserv@petrobras.com.br</t>
  </si>
  <si>
    <t>francielly.andrade@outlook.com</t>
  </si>
  <si>
    <t>FRANCIMARIO BEZERRA DA SILVA</t>
  </si>
  <si>
    <t>b.francimario@yahoo.com</t>
  </si>
  <si>
    <t>francinildo.araujo@eqsengenharia.com.br</t>
  </si>
  <si>
    <t>francione.souza.lucena@gmail.com</t>
  </si>
  <si>
    <t>FRANCISCA VALERIA LIMA PORTELA</t>
  </si>
  <si>
    <t>francisca.portela@eqsengenharia.com.br</t>
  </si>
  <si>
    <t>FRANCISCO MICHAEL CASTRO FERNANDES</t>
  </si>
  <si>
    <t>MICHAEL_CFERNANDES@HOTMAIL.COM</t>
  </si>
  <si>
    <t>FRANCISCO RICARDO DOS SANTOS</t>
  </si>
  <si>
    <t>francisco.ricardosantos@gmail.com</t>
  </si>
  <si>
    <t>franvalsousafv@gmail.com</t>
  </si>
  <si>
    <t>franco_dallacqua@hotmail.com</t>
  </si>
  <si>
    <t>FREDERICO PEDROSO FERNANDES</t>
  </si>
  <si>
    <t>frederico.pedroso@eqsengenharia.com.br</t>
  </si>
  <si>
    <t>GABRIEL CABRAL DA SILVA</t>
  </si>
  <si>
    <t>Gaelcabral0@outlook.com</t>
  </si>
  <si>
    <t>GABRIEL EGGER</t>
  </si>
  <si>
    <t>gabriel.egger@eqseng.com.br</t>
  </si>
  <si>
    <t>gabriel.agnol@eqseng.com.br</t>
  </si>
  <si>
    <t>GABRIELA DALLA VECHIA MONTEIRO</t>
  </si>
  <si>
    <t>adm.claro.pr@eqsengenharia.com.br</t>
  </si>
  <si>
    <t>GEFERSON FLORIANO PRICHULA</t>
  </si>
  <si>
    <t>gefersonprichula@gmail.com</t>
  </si>
  <si>
    <t>genisson.ferreira@eqseng.com.br</t>
  </si>
  <si>
    <t>GERRY ARYAGUINO FERNANDES DE SOUSA</t>
  </si>
  <si>
    <t>gerryfernandes33@gmail.com</t>
  </si>
  <si>
    <t>GERSON ALMEIDA DE ANDRADE</t>
  </si>
  <si>
    <t>gerson.andrade@eqsengenharia.com.br</t>
  </si>
  <si>
    <t>gerson.pereira.gerson@gmail.com</t>
  </si>
  <si>
    <t>GILBERTO DE ALMEIDA</t>
  </si>
  <si>
    <t>gibaalfa@gmail.com</t>
  </si>
  <si>
    <t>gilmar.lacerda@eqsengenharia.com.br</t>
  </si>
  <si>
    <t>GILSON CRISTIANO FLORES BRUM</t>
  </si>
  <si>
    <t>gilsoncbr@hotmail.com</t>
  </si>
  <si>
    <t>GILSON DOS SANTOS PIAUILINO</t>
  </si>
  <si>
    <t>quimbagilson@gmail.com</t>
  </si>
  <si>
    <t>giovani.dunnantuoni@eqsengenharia.com.br</t>
  </si>
  <si>
    <t>GISELE CRISTINE DE SOUZA</t>
  </si>
  <si>
    <t>gisele.souza@eqsengenharia.com.br</t>
  </si>
  <si>
    <t>Giulliano filipe de almeida</t>
  </si>
  <si>
    <t>giulliano.almeida@eqsengenharia.com.br</t>
  </si>
  <si>
    <t>GLAUBER RODRIGUES DA SILVA</t>
  </si>
  <si>
    <t>glauber.silva@eqseng.com.br</t>
  </si>
  <si>
    <t>GLAUBERTY CANDIDO COELHO</t>
  </si>
  <si>
    <t>GLAUBERTYJOGLAU@HOTMAIL.COM</t>
  </si>
  <si>
    <t>GLAUCIO GONCALVES DE OLIVEIRA</t>
  </si>
  <si>
    <t>glaucio@eqsengenharia.com.br</t>
  </si>
  <si>
    <t>gleide.alves@eqsengenharia.com.br</t>
  </si>
  <si>
    <t>GUILHERME DE MATTOS NASCIMENTO ROSA</t>
  </si>
  <si>
    <t>aureliomattos127@gmail.com</t>
  </si>
  <si>
    <t>GUILHERME FELIPPE DE MEDEIROS</t>
  </si>
  <si>
    <t>guilherme.medeiros@eqsengenharia.com.br</t>
  </si>
  <si>
    <t>g.ferreira3093@gmail.com</t>
  </si>
  <si>
    <t>GUILHERME FORTKAMP PROENCA</t>
  </si>
  <si>
    <t>guilherme.proenca@eqsengenharia.com.br</t>
  </si>
  <si>
    <t>guilhermemateus31@outlook.com</t>
  </si>
  <si>
    <t>guilherme.silva@eqsengenharia.com.br</t>
  </si>
  <si>
    <t>GUSTAVO GONCALVES DA SILVA</t>
  </si>
  <si>
    <t>gustavodeosorio@hotmail.com</t>
  </si>
  <si>
    <t>gustavorfaria1000@gmail.com</t>
  </si>
  <si>
    <t>hedersilva22@hotmail.com</t>
  </si>
  <si>
    <t>HEITOR MAURMANN LEITAO</t>
  </si>
  <si>
    <t>heitormaurmann@gmail.com</t>
  </si>
  <si>
    <t>helder.ferreira@eqsengenharia.com.br</t>
  </si>
  <si>
    <t>helder.ustulin@eqsengenharia.com.br</t>
  </si>
  <si>
    <t>HENRIQUE ALMEIDA LAIGNIER</t>
  </si>
  <si>
    <t>henrique.laignier@eqsengenharia.com.br</t>
  </si>
  <si>
    <t>herica.fernandes@eqsengenharia.com.br</t>
  </si>
  <si>
    <t>HERLANDSON BRUNO CARNEIRO MATIAS</t>
  </si>
  <si>
    <t>herlandson.matias@eqsengenharia.com.br</t>
  </si>
  <si>
    <t>SILVAHIGOR356@GMAIL.COM</t>
  </si>
  <si>
    <t>higorlcerqueira@gmail.com</t>
  </si>
  <si>
    <t>hugo.alexandre@eqsengenharia.com.br</t>
  </si>
  <si>
    <t>hugo.santos@eqsengenharia.com.br</t>
  </si>
  <si>
    <t>hugo@eqsengenharia.com.br</t>
  </si>
  <si>
    <t>hugoeletric@gmail.com</t>
  </si>
  <si>
    <t>icaro.medeiros5532@gmail.com</t>
  </si>
  <si>
    <t>IGOR LOPES VARGAS</t>
  </si>
  <si>
    <t>igorvargas51@gmail.com</t>
  </si>
  <si>
    <t>ILMAR FONTES VIEIRA</t>
  </si>
  <si>
    <t>ilmarfontesvieira@gmail.com</t>
  </si>
  <si>
    <t>INEBAM RODRIGUES PORTO NETO</t>
  </si>
  <si>
    <t>inebamporto@yahoo.com.br</t>
  </si>
  <si>
    <t>ISABELA FERNANDA DA SILVA SOUZA</t>
  </si>
  <si>
    <t>isabela.silva@eqsengenharia.com.br</t>
  </si>
  <si>
    <t>ISABELE CRISTINE OLIVEIRA DA SILVA</t>
  </si>
  <si>
    <t>isabele.silva@eqsengenharia.com.br</t>
  </si>
  <si>
    <t>isaiasnego4@gmail.com</t>
  </si>
  <si>
    <t>ISAQUE HENRIQUE BARPP TITONI</t>
  </si>
  <si>
    <t>isaquehenrique_@hotmail.com</t>
  </si>
  <si>
    <t>Ismael</t>
  </si>
  <si>
    <t>ismael@maistisolucoes.com.br</t>
  </si>
  <si>
    <t>ISMAEL WEBER</t>
  </si>
  <si>
    <t>ismael.weber85@gmail.com</t>
  </si>
  <si>
    <t>ITAMAR SOUZA LOPES</t>
  </si>
  <si>
    <t>ITAMARLOPES@GMAIL.COM</t>
  </si>
  <si>
    <t>IURI ANDERSON PORTO</t>
  </si>
  <si>
    <t>eng.iurianderson@ymail.com</t>
  </si>
  <si>
    <t>LOGISTICA@EQSENGENHARIA.COM.BR</t>
  </si>
  <si>
    <t>IVON RAMOS MIRANDA</t>
  </si>
  <si>
    <t>ivonr.m.325@gmail.com</t>
  </si>
  <si>
    <t>jackson.silva@eqsengenharia.com.br</t>
  </si>
  <si>
    <t>jacssonmaylon693@gmail.com</t>
  </si>
  <si>
    <t>JADERSON ARAUJO FERREIRA</t>
  </si>
  <si>
    <t>jaderson.ferreira@eqsengenharia.com.br</t>
  </si>
  <si>
    <t>jaeder.junior@gmail.com</t>
  </si>
  <si>
    <t>jafer.ahmad@eqsengenharia.com.br</t>
  </si>
  <si>
    <t>jaime.silva@eqsengenharia.com.br</t>
  </si>
  <si>
    <t>JAIRASSIS@HOTMAIL.COM</t>
  </si>
  <si>
    <t>Jaqueline.pereira@eqsengenharia.com.br</t>
  </si>
  <si>
    <t>jaquelineonorioa@hotmail.com</t>
  </si>
  <si>
    <t>jazemir.marques@eqsengenharia.com.br</t>
  </si>
  <si>
    <t>jeanfabiooliverio@gmail.com</t>
  </si>
  <si>
    <t>JEAN LUCAS DA LUZ FERREIRA</t>
  </si>
  <si>
    <t>jeanlucasdaluzboletos@gmail.com</t>
  </si>
  <si>
    <t>JWERNER95@OUTLOOK.COM</t>
  </si>
  <si>
    <t>JEFERSON MELO BOPSIN</t>
  </si>
  <si>
    <t>jebopsin@hotmail.com</t>
  </si>
  <si>
    <t>Cadastro reprovado</t>
  </si>
  <si>
    <t>zamproniodasilva@gmail.com</t>
  </si>
  <si>
    <t>JEFFERSON DA SILVA</t>
  </si>
  <si>
    <t>Jefferson.silva@eqseng.com.br</t>
  </si>
  <si>
    <t>jeffersonnfreitas.36@gmail.com</t>
  </si>
  <si>
    <t>jessicamirandamedeiros@outlook.com</t>
  </si>
  <si>
    <t>jhefersondiassis@hotmail.com</t>
  </si>
  <si>
    <t>JOAO AGOSTINHO DA COSTA REIS</t>
  </si>
  <si>
    <t>agostinho.eletronica@gmail.com</t>
  </si>
  <si>
    <t>ALEXANDRELIMASJBV@OUTLOOK.COM</t>
  </si>
  <si>
    <t>joaoviana631@gmail.com</t>
  </si>
  <si>
    <t>JOAO ELIAS ESTOCHER LEAL</t>
  </si>
  <si>
    <t>jonestockler@gmail.com</t>
  </si>
  <si>
    <t>JOAO MARCELO MARTINS DA SILVA BARBOSA</t>
  </si>
  <si>
    <t>joao.barbosa@eqsengenharia.com.br</t>
  </si>
  <si>
    <t>joelson.santos@eqsengenharia.com.br</t>
  </si>
  <si>
    <t>joelson001@gmail.com</t>
  </si>
  <si>
    <t>Jcavalcanti2412@gmail.com</t>
  </si>
  <si>
    <t>desplanchesjonas@gmail.com</t>
  </si>
  <si>
    <t>JONATA OLIVEIRA DA SILVA</t>
  </si>
  <si>
    <t>jonatafilhomiguel@gmail.com</t>
  </si>
  <si>
    <t>JONES ALEXANDRE DIAS CARVALHO</t>
  </si>
  <si>
    <t>carvalhojon7@gmail.com</t>
  </si>
  <si>
    <t>JORDAN DA SILVA ROCHA VIDAL</t>
  </si>
  <si>
    <t>cefmanaus@eqsengenharia.com.br</t>
  </si>
  <si>
    <t>jorge.vargas@eqsengenharia.com.br</t>
  </si>
  <si>
    <t>JORGE LUIZ MOREIRA CARDOSO</t>
  </si>
  <si>
    <t>jorge.cardoso@eqsengenharia.com.br</t>
  </si>
  <si>
    <t>jorge.neto@eqsengenharia.com.br</t>
  </si>
  <si>
    <t>jose.batista@eqsengenharia.com.br</t>
  </si>
  <si>
    <t>avnribeiro@hotmail.com</t>
  </si>
  <si>
    <t>jbeckmancordeiro@gmail.com</t>
  </si>
  <si>
    <t>zepradoeqs@gmail.com</t>
  </si>
  <si>
    <t>jose.eustaquio@eqsengenharia.com.br</t>
  </si>
  <si>
    <t>jose.furlanetto@eqsengenharia.com.br</t>
  </si>
  <si>
    <t>JOSE MARCOS PEREIRA VAZ</t>
  </si>
  <si>
    <t>josevazcsl.53@gmail.com</t>
  </si>
  <si>
    <t>nei.engeman@gmail.com</t>
  </si>
  <si>
    <t>josenildodacunha@hotmail.com</t>
  </si>
  <si>
    <t>JOSE VALDOIR LEITE</t>
  </si>
  <si>
    <t>valdoir@eqseng.com.br</t>
  </si>
  <si>
    <t>jose.oliveira@eqsengenharia.com.br</t>
  </si>
  <si>
    <t>joseane.souza@eqsengenharia.com.br</t>
  </si>
  <si>
    <t>JUAN CARLOS PANTOJA AMANAJAS</t>
  </si>
  <si>
    <t>juan.amanajas@gmail.com</t>
  </si>
  <si>
    <t>JUAN FANGIO LUCAS DOS SANTOS</t>
  </si>
  <si>
    <t>juan.santos@eqsengenharia.com.br</t>
  </si>
  <si>
    <t>JULIA FIGUEIREDO NECHEL</t>
  </si>
  <si>
    <t>julia.nechel@eqsengenharia.com.br</t>
  </si>
  <si>
    <t>JULIA SCHURHAUS PERETTI</t>
  </si>
  <si>
    <t>julia.peretti@eqsengenharia.com.br</t>
  </si>
  <si>
    <t>JULIANA RIBEIRO RAMOS</t>
  </si>
  <si>
    <t>qualidade@eqsengenharia.com.br</t>
  </si>
  <si>
    <t>JULIANO MACHADO DE MIRANDA</t>
  </si>
  <si>
    <t>julianomachdodemiranda5@gmail.com</t>
  </si>
  <si>
    <t>JULIANO MACIEL MELGARE</t>
  </si>
  <si>
    <t>juliano.melgare@eqsengenharia.com.br</t>
  </si>
  <si>
    <t>Julianomessiassk8@gmail.com</t>
  </si>
  <si>
    <t>JULIANO SALBEGO ROSBACK</t>
  </si>
  <si>
    <t>rosbackj@hotmail.com</t>
  </si>
  <si>
    <t>JULIO CESAR ARAUJO VIEIRA</t>
  </si>
  <si>
    <t>juliocav0801@gmail.com</t>
  </si>
  <si>
    <t>JULIOCS62@LIVE.COM</t>
  </si>
  <si>
    <t>juniovb7@hotmail.com</t>
  </si>
  <si>
    <t>justino.nogueira@eqsengenharia.com.br</t>
  </si>
  <si>
    <t>katiaaclf98@gmail.com</t>
  </si>
  <si>
    <t>KEVIN WILLIAMS COUTINHO BEZERRA PENA</t>
  </si>
  <si>
    <t>marketing@eqsengenharia.com.br</t>
  </si>
  <si>
    <t>kleber4766@gmail.com</t>
  </si>
  <si>
    <t>KLEITON DE ALMEIDA TORRES</t>
  </si>
  <si>
    <t>kleitontorres@gmail.com</t>
  </si>
  <si>
    <t>lscanabarro@yahoo.com.br</t>
  </si>
  <si>
    <t>LARISSA MOTA GAIA ALBUQUERQUE</t>
  </si>
  <si>
    <t>larissa.gaia@eqsengenharia.com.br</t>
  </si>
  <si>
    <t>larissa.silva@eqseng.com.br</t>
  </si>
  <si>
    <t>LAURO FURTADO NETO</t>
  </si>
  <si>
    <t>lauro.neto@eqsengenharia.com.br</t>
  </si>
  <si>
    <t>leandjaques@gmail.com</t>
  </si>
  <si>
    <t>LEANDROAPSTEFANINI@GMAIL.COM</t>
  </si>
  <si>
    <t>LEANDRO AUGUSTO KOHL</t>
  </si>
  <si>
    <t>leandroaugustokohl@gmail.com</t>
  </si>
  <si>
    <t>leandrodemenezesassuncao@gmail.com</t>
  </si>
  <si>
    <t>leandro@eqsengenharia.com.br</t>
  </si>
  <si>
    <t>LEANDRO EGAS</t>
  </si>
  <si>
    <t>leandro.egas@eqseng.com.br</t>
  </si>
  <si>
    <t>leandro.figueredo@eqsengenharia.com.br</t>
  </si>
  <si>
    <t>LEANDRO.GMUNIZ@OUTLOOK.COM</t>
  </si>
  <si>
    <t>leandro.marcusso@eqsengenharia.com.br</t>
  </si>
  <si>
    <t>leandro.nunes@eqsengenharia.com.br</t>
  </si>
  <si>
    <t>souza@eqsengenharia.com.br</t>
  </si>
  <si>
    <t>LEANDRO TONANI</t>
  </si>
  <si>
    <t>leandro.tonani@gmail.com</t>
  </si>
  <si>
    <t>LEONARDO ALVES JACINTO</t>
  </si>
  <si>
    <t>leonardoperacionalstte@gmail.com</t>
  </si>
  <si>
    <t>leonardo.athayde@eqsengenharia.com.br</t>
  </si>
  <si>
    <t>leonardo_orestes@hotmail.com</t>
  </si>
  <si>
    <t>LEONARDO SCHNEIDER AVILA</t>
  </si>
  <si>
    <t>leuavila@hotmail.com</t>
  </si>
  <si>
    <t>LEONARDO SIMOES DA SILVA</t>
  </si>
  <si>
    <t>leonardosimoeslgae@gmail.com</t>
  </si>
  <si>
    <t>LETICIA ANGENITA SCHEIMANN BAUER</t>
  </si>
  <si>
    <t>leticia@eqsengenharia.com.br</t>
  </si>
  <si>
    <t>LISANDRO DA SILVA LOURENCO</t>
  </si>
  <si>
    <t>lisandro.123silva@gmail.com</t>
  </si>
  <si>
    <t>LOI BATISTA ANTUNES SARAIVA</t>
  </si>
  <si>
    <t>loibatistaantunessaraiva@gmail.com</t>
  </si>
  <si>
    <t>LUAN DOS SANTOS LACERDA</t>
  </si>
  <si>
    <t>luansapphire@gmail.com</t>
  </si>
  <si>
    <t>luan.silva@eqseng.com.br</t>
  </si>
  <si>
    <t>LUCAS ALECSANDER RIBEIRO</t>
  </si>
  <si>
    <t>lucas.ribeiro@eqsengenharia.com.br</t>
  </si>
  <si>
    <t>luucascarvalho@outlook.com</t>
  </si>
  <si>
    <t>lucasdepaulasilva2411@gmail.com</t>
  </si>
  <si>
    <t>LUCAS DIOVANI CASTRO BERNARDO</t>
  </si>
  <si>
    <t>lucas.bernado@eqseng.com.br</t>
  </si>
  <si>
    <t>lucas.alves@eqsengenharia.com.br</t>
  </si>
  <si>
    <t>lucas.santos@eqsengenharia.com.br</t>
  </si>
  <si>
    <t>lucas1.cta1@gmail.com</t>
  </si>
  <si>
    <t>lucas.macan@eqsengenharia.com.br</t>
  </si>
  <si>
    <t>lucas_pe18@hotmail.com</t>
  </si>
  <si>
    <t>lucas.galvao@eqsengenharia.com.br</t>
  </si>
  <si>
    <t>LUCIANA APARECIDA SIMAO DA SILVA</t>
  </si>
  <si>
    <t>luciana.silva@eqsengenharia.com.br</t>
  </si>
  <si>
    <t>lucianoreal13@gmail.com</t>
  </si>
  <si>
    <t>lucianoljc@hotmail.com</t>
  </si>
  <si>
    <t>luciano.pereira@eqseng.com.br</t>
  </si>
  <si>
    <t>ludgeroh@gmail.com</t>
  </si>
  <si>
    <t>LUIS CARLOS BROERING</t>
  </si>
  <si>
    <t>luis.broering@eqsengenharia.com.br</t>
  </si>
  <si>
    <t>LUIS CARLOS GARCIA SANTOS</t>
  </si>
  <si>
    <t>lgsanttt@hotmail.com</t>
  </si>
  <si>
    <t>LUIS FELIPE COSTA</t>
  </si>
  <si>
    <t>luis.costa@eqsengenharia.com.br</t>
  </si>
  <si>
    <t>luis.felipe.1992@gmail.com</t>
  </si>
  <si>
    <t>LUIS HENRIQUE DA SILVA BUHL</t>
  </si>
  <si>
    <t>luisbuhll@gmail.com</t>
  </si>
  <si>
    <t>LUIZ ANTONIO DE SOUZA JUNIOR</t>
  </si>
  <si>
    <t>luiz.junior@eqsengenharia.com.br</t>
  </si>
  <si>
    <t>LUIZ CLAUDIO DOS SANTOS</t>
  </si>
  <si>
    <t>luizclaudior7@hotmail.com</t>
  </si>
  <si>
    <t>fernandolwt@gmail.com</t>
  </si>
  <si>
    <t>luiz.giorgio@eqseng.com.br</t>
  </si>
  <si>
    <t>LUIZ HUMBERTO LEMES</t>
  </si>
  <si>
    <t>luizhumbertolemes@outlook.com</t>
  </si>
  <si>
    <t>luiz.silva@eqsengenharia.com.br</t>
  </si>
  <si>
    <t>MANOEL QUIRINO NETO</t>
  </si>
  <si>
    <t>eletricmano@gmail.com</t>
  </si>
  <si>
    <t>marcel.hcssa@gmail.com</t>
  </si>
  <si>
    <t>eng.marcelgomes@gmail.com</t>
  </si>
  <si>
    <t>MARCELA CARVALHO LEITAO</t>
  </si>
  <si>
    <t>marcela.carvalho@eqsengenharia.com.br</t>
  </si>
  <si>
    <t>MARCELO BRIG CAMPINA</t>
  </si>
  <si>
    <t>marcelocampina77@gmail.com</t>
  </si>
  <si>
    <t>MARCELO CARVALHO DA SILVA</t>
  </si>
  <si>
    <t>marcelo.silva@eqsengenharia.com.br</t>
  </si>
  <si>
    <t>marcelo.calvertti@eqsengenharia.com.br</t>
  </si>
  <si>
    <t>marcelo.vedova@yahoo.com.br</t>
  </si>
  <si>
    <t>marcelo.argemon@eqseng.com.br</t>
  </si>
  <si>
    <t>MARCELO JUNIOR DE AZEVEDO TEIXEIRA</t>
  </si>
  <si>
    <t>marcelo.teixeira@eqseng.com.br</t>
  </si>
  <si>
    <t>MARCELO MARCHI DURIGON JUNIOR</t>
  </si>
  <si>
    <t>marcelo.junior@eqsengenharia.com.br</t>
  </si>
  <si>
    <t>mpllima13@gmail.com</t>
  </si>
  <si>
    <t>MARCELO WELTER</t>
  </si>
  <si>
    <t>welter1377@gmail.com</t>
  </si>
  <si>
    <t>MARCIA CRISTINA DA CUNHA SCATAMBULO</t>
  </si>
  <si>
    <t>marcia.s@eqsengenharia.com.br</t>
  </si>
  <si>
    <t>marcio.ferreira@eqseng.com.br</t>
  </si>
  <si>
    <t>marcio.ribeiro@eqsengenharia.com.br</t>
  </si>
  <si>
    <t>marcio.correa@eqsengenharia.com.br</t>
  </si>
  <si>
    <t>marcio.joao@eqsengenharia.com.br</t>
  </si>
  <si>
    <t>MARCIO FERNANDES DE ARAUJO</t>
  </si>
  <si>
    <t>mkmanutencao10@gmail.com</t>
  </si>
  <si>
    <t>MARCIO ROBERTO DA SILVA</t>
  </si>
  <si>
    <t>051998306818m@gmail.com</t>
  </si>
  <si>
    <t>marco.moraes@eqsengenharia.com.br</t>
  </si>
  <si>
    <t>marco.lima@eqsengenharia.com.br</t>
  </si>
  <si>
    <t>MARCOS ALESSANDRO SILVA GOMES</t>
  </si>
  <si>
    <t>marcosalessandro870@gmail.com</t>
  </si>
  <si>
    <t>MARCOS AURELIO CARIAS ASSIS</t>
  </si>
  <si>
    <t>marcos@eqsengenharia.com.br</t>
  </si>
  <si>
    <t>MARCOS LUIZ SCHULTZ</t>
  </si>
  <si>
    <t>schultzmarcos@yahoo.com.br</t>
  </si>
  <si>
    <t>seger@eqsengenharia.com.br</t>
  </si>
  <si>
    <t>marcosvinicius@eqsengenharia.com.br</t>
  </si>
  <si>
    <t>MARIA CRISTINA DE OLIVEIRA NEVES</t>
  </si>
  <si>
    <t>maria.neves@eqsengenharia.com.br</t>
  </si>
  <si>
    <t>maria.aragao@eqsengenharia.com.br</t>
  </si>
  <si>
    <t>marlonaraujo1991@hotmail.com</t>
  </si>
  <si>
    <t>MATEUS DANTAS MIRANDA</t>
  </si>
  <si>
    <t>mateus.miranda@eqsengenharia.com.br</t>
  </si>
  <si>
    <t>mateus.bertol@yahoo.com.br</t>
  </si>
  <si>
    <t>MATEUS FLOR GUESSER</t>
  </si>
  <si>
    <t>mateus.guesser@eqsengenharia.com.br</t>
  </si>
  <si>
    <t>matheus.guimaraes@eqseng.com.br</t>
  </si>
  <si>
    <t>MAURICIO DA SILVEIRA GUIMARAES</t>
  </si>
  <si>
    <t>mauricio.guimaraes@eqsengenharia.com.br</t>
  </si>
  <si>
    <t>mauricio.jose@eqseng.com.br</t>
  </si>
  <si>
    <t>MAURICIO SIMOES FARIAS JUNIOR</t>
  </si>
  <si>
    <t>mauricio.junior@eqseng.com.br</t>
  </si>
  <si>
    <t>mauricio.camargo@eqseng.com.br</t>
  </si>
  <si>
    <t>MAURO DE OLIVEIRA CERINO</t>
  </si>
  <si>
    <t>maurocerino2013@hotmail.com</t>
  </si>
  <si>
    <t>MAURO FERREIRA DIAS</t>
  </si>
  <si>
    <t>maurokombi2022@gmail.com</t>
  </si>
  <si>
    <t>mauro.saugo@gmail.com</t>
  </si>
  <si>
    <t>MAYKON JEAN RIBEIRO FERREIRA</t>
  </si>
  <si>
    <t>maykon1.bnu@gmail.com</t>
  </si>
  <si>
    <t>MELSO CEZAR DA SILVA NETO</t>
  </si>
  <si>
    <t>melsocezar@gmail.com</t>
  </si>
  <si>
    <t>michael.santos@eqseng.com.br</t>
  </si>
  <si>
    <t>michel.venancio29@gmail.com</t>
  </si>
  <si>
    <t>michellmvs@gmail.com</t>
  </si>
  <si>
    <t>MIGUEL JOAO DINIS MOTA</t>
  </si>
  <si>
    <t>mjdmota@gmail.com</t>
  </si>
  <si>
    <t>milton.neves@eqsengenharia.com.br</t>
  </si>
  <si>
    <t>MILTON FLECK PITROWSKI</t>
  </si>
  <si>
    <t>milton.pitrowski@eqseng.com.br</t>
  </si>
  <si>
    <t>moises.cabral@eqsengenharia.com.br</t>
  </si>
  <si>
    <t>murilo.almeida@eqsengenharia.com.br</t>
  </si>
  <si>
    <t>NELSON FILIPE MARTINS DA SILVA</t>
  </si>
  <si>
    <t>nelsonfilipe316@gmail.com</t>
  </si>
  <si>
    <t>NERTAN DE CASTRO MAIA</t>
  </si>
  <si>
    <t>nertancastromaia@gmail.com</t>
  </si>
  <si>
    <t>neudoengeman@gmail.com</t>
  </si>
  <si>
    <t>NILSON SILVA DOS SANTOS JUNIOR</t>
  </si>
  <si>
    <t>nilsonjuniooor@gmail.com</t>
  </si>
  <si>
    <t>NILTON FARIAS JUNIOR</t>
  </si>
  <si>
    <t>nilton.farias@eqseng.com.br</t>
  </si>
  <si>
    <t>niltondepaoli@gmail.com</t>
  </si>
  <si>
    <t>thiagonival@hotmail.com</t>
  </si>
  <si>
    <t>NORMAMCP2012@GMAIL.COM</t>
  </si>
  <si>
    <t>odairsoares.eqsengenharia@gmail.com</t>
  </si>
  <si>
    <t>oreste.junior@eqseng.com.br</t>
  </si>
  <si>
    <t>ORIELSON CORREA</t>
  </si>
  <si>
    <t>orieslon.eqs@gmail.com</t>
  </si>
  <si>
    <t>oscar.palaro22@gmail.com</t>
  </si>
  <si>
    <t>OSMAN DOS SANTOS MORAIS JUNIOR</t>
  </si>
  <si>
    <t>osmanjunior@hotmail.com</t>
  </si>
  <si>
    <t>paloma.spinola@eqsengenharia.com.br</t>
  </si>
  <si>
    <t>paolacarolini@hotmail.com</t>
  </si>
  <si>
    <t>patrickantonievicz@gmail.com</t>
  </si>
  <si>
    <t>pamorim22@gmail.com</t>
  </si>
  <si>
    <t>PAULO AUGUSTO OLIVEIRA LIMA</t>
  </si>
  <si>
    <t>1991paulinho03@gmail.com</t>
  </si>
  <si>
    <t>paulo92freitas@gmail.com</t>
  </si>
  <si>
    <t>PAULO HENRIQUE SOARES BAZZO</t>
  </si>
  <si>
    <t>boenosoares3@gmail.com</t>
  </si>
  <si>
    <t>PAULO MARQUES TAVARES</t>
  </si>
  <si>
    <t>paulomarquestavares2019@gmail.com</t>
  </si>
  <si>
    <t>paulonilton.costa@gmail.com</t>
  </si>
  <si>
    <t>PAULO OLDAIR CUNHA PINTO</t>
  </si>
  <si>
    <t>paulo.oldair.cunha@gmail.com</t>
  </si>
  <si>
    <t>PAULO TIAGO SANTOS DA SILVA</t>
  </si>
  <si>
    <t>tiagoomoi@gmail.com</t>
  </si>
  <si>
    <t>PEDRO ALBERTO AMBROSIO ROCHA</t>
  </si>
  <si>
    <t>pedroalbertor19@gmail.com</t>
  </si>
  <si>
    <t>penfaro02@gmail.com</t>
  </si>
  <si>
    <t>PEDRO HENRIQUE MARTINS BOTELHO</t>
  </si>
  <si>
    <t>pedro.botelho@eqsengenharia.com.br</t>
  </si>
  <si>
    <t>PEDRO LUIS PIRES DOS SANTOS</t>
  </si>
  <si>
    <t>pedropires.luis@gmail.com</t>
  </si>
  <si>
    <t>terpiprs@hotmail.com</t>
  </si>
  <si>
    <t>priscila.pereira@eqsengenharia.com.br</t>
  </si>
  <si>
    <t>Rafael Almeida Lopes</t>
  </si>
  <si>
    <t>rafael.lopes@eqseng.com.br</t>
  </si>
  <si>
    <t>rafael.vello@eqsengenharia.com.br</t>
  </si>
  <si>
    <t>carnielrafael3@gmail.com</t>
  </si>
  <si>
    <t>RAFAEL DORNELLES</t>
  </si>
  <si>
    <t>rafael.dornelles@eqseng.com.br</t>
  </si>
  <si>
    <t>RAFAEL MENESES</t>
  </si>
  <si>
    <t>rafael.meneses@eqsengenharia.com.br</t>
  </si>
  <si>
    <t>rafael_natal_lachi@hotmail.com</t>
  </si>
  <si>
    <t>rafael.cruz@eqsengenharia.com.br</t>
  </si>
  <si>
    <t>rafael.ramos@eqsengenharia.com.br</t>
  </si>
  <si>
    <t>RAFAEL ROCHA MOURA</t>
  </si>
  <si>
    <t>rafael.moura@eqsengenharia.com.br</t>
  </si>
  <si>
    <t>RAFAEL SAMPAIO DE SA</t>
  </si>
  <si>
    <t>rafael.sa@eqsengenharia.com.br</t>
  </si>
  <si>
    <t>RGTSSA@GMAIL.COM</t>
  </si>
  <si>
    <t>RAMONY AVYSSON GOMES DA SILVA</t>
  </si>
  <si>
    <t>ramony.silva@eqsengenharia.com.br</t>
  </si>
  <si>
    <t>RANIERI HIKARU YAMASHITA RAMOS</t>
  </si>
  <si>
    <t>ranieri.ramos@eqsengenharia.com.br</t>
  </si>
  <si>
    <t>raquel.pantoja@eqsengenharia.com.br</t>
  </si>
  <si>
    <t>adriano_rsraul@outlook.com</t>
  </si>
  <si>
    <t>RAYMUNDO FABIO PINHEIRO DE SOUZA</t>
  </si>
  <si>
    <t>raymundo.souza.prestserv@petrobras.com.br</t>
  </si>
  <si>
    <t>RENAN VICTORIO DE LIMA</t>
  </si>
  <si>
    <t>renan.lima@eqseng.com.br</t>
  </si>
  <si>
    <t>renato.parreiras@eqsengenharia.com.br</t>
  </si>
  <si>
    <t>ricardo.dorneles@eqseng.com.br</t>
  </si>
  <si>
    <t>ricardo.filho@eqseng.com.br</t>
  </si>
  <si>
    <t>RICARDO NASCIMENTO LUIZ</t>
  </si>
  <si>
    <t>ricardo.luiz@eqseng.com.br</t>
  </si>
  <si>
    <t>ricazorzetto@gmail.com</t>
  </si>
  <si>
    <t>RIQUELME DE OLIVEIRA E SILVA</t>
  </si>
  <si>
    <t>riquelmepoa@gmail.com</t>
  </si>
  <si>
    <t>ROBERT RUFINO DE SOUZA CAETANO</t>
  </si>
  <si>
    <t>robert.caetano@eqsengenharia.com.br</t>
  </si>
  <si>
    <t>ROBERTO ALIAGA</t>
  </si>
  <si>
    <t>roberto.aliaga@eqsengenharia.com.br</t>
  </si>
  <si>
    <t>robertodominguespereira@outlook.com</t>
  </si>
  <si>
    <t>ROBSON DA LUZ DA SILVA</t>
  </si>
  <si>
    <t>robsondaluzdasilva@hotmail.com</t>
  </si>
  <si>
    <t>robson.guedes@eqseng.com.br</t>
  </si>
  <si>
    <t>robsonfurtado3284@gmail.com</t>
  </si>
  <si>
    <t>RODRIGO ALFAMA FURTADO</t>
  </si>
  <si>
    <t>rodrigo.furtado@eqsengenharia.com.br</t>
  </si>
  <si>
    <t>rodrigo.boldo@eqsengenharia.com.br</t>
  </si>
  <si>
    <t>RODRIGO DE SOUZA ROSA</t>
  </si>
  <si>
    <t>rodrigo.equisul@hotmail.com</t>
  </si>
  <si>
    <t>rodrigo.fran.correa@gmail.com</t>
  </si>
  <si>
    <t>rodrigo.sousa25@outlook.com</t>
  </si>
  <si>
    <t>rodrigo@eqsengenharia.com.br</t>
  </si>
  <si>
    <t>RODRIGO PIMENTEL FARIA</t>
  </si>
  <si>
    <t>rodrigo.faria@eqsengenharia.com.br</t>
  </si>
  <si>
    <t>RODRIGO RIOS VELOSO</t>
  </si>
  <si>
    <t>RODRIGORIOSVELOSO@HOTMAIL.COM</t>
  </si>
  <si>
    <t>rodrigo.roberto@eqseng.com.br</t>
  </si>
  <si>
    <t>rodrigosc@eqseng.com.br</t>
  </si>
  <si>
    <t>rodrigo.santosdasilva@gmail.com</t>
  </si>
  <si>
    <t>rodrigo.vanzetta@eqsengenharia.com.br</t>
  </si>
  <si>
    <t>rogerio.oliveira@eqsengenharia.com.br</t>
  </si>
  <si>
    <t>rogeriomacariopinto@gmail.com</t>
  </si>
  <si>
    <t>Rogério Rodrigues Araujo</t>
  </si>
  <si>
    <t>rogeriorodriguesaraujo1969@gmail.com</t>
  </si>
  <si>
    <t>rogerio.s@eqsengenharia.com.br</t>
  </si>
  <si>
    <t>RONALDO DE CARVALHO</t>
  </si>
  <si>
    <t>ronaldo.carvalho@eqsengenharia.com.br</t>
  </si>
  <si>
    <t>ronaldo.lelis@eqsengenharia.com.br</t>
  </si>
  <si>
    <t>ronaldorsantana@gmail.com</t>
  </si>
  <si>
    <t>RONIO JOSE ROSA</t>
  </si>
  <si>
    <t>roniojoserosa@gmail.com</t>
  </si>
  <si>
    <t>rubens.herbester@eqsengenharia.com.br</t>
  </si>
  <si>
    <t>RUDINEI MACHADO RODRIGUES</t>
  </si>
  <si>
    <t>rudinho3108@gmail.com</t>
  </si>
  <si>
    <t>Samuel Alves Pinto</t>
  </si>
  <si>
    <t>samuelalvespinto82@gmail.com</t>
  </si>
  <si>
    <t>SANDRO ADRIANO PRIMO</t>
  </si>
  <si>
    <t>sandrogorete2022@gmail.com</t>
  </si>
  <si>
    <t>sandro.barreto@eqsengenharia.com.br</t>
  </si>
  <si>
    <t>capistrano@eqseng.com.br</t>
  </si>
  <si>
    <t>SANDRO QUITERIO LOPES DOS SANTOS</t>
  </si>
  <si>
    <t>sandroquiteriolopes@gmail.com</t>
  </si>
  <si>
    <t>sara.barbosa@eqseng.com.br</t>
  </si>
  <si>
    <t>sauloap30@gmail.com</t>
  </si>
  <si>
    <t>sergio.debiazi@eqseng.com.br</t>
  </si>
  <si>
    <t>SHELDA CRISTINE LIMA TRINDADE</t>
  </si>
  <si>
    <t>shelda.trindade@eqsengenharia.com.br</t>
  </si>
  <si>
    <t>sidney010409@gmail.com</t>
  </si>
  <si>
    <t>sidneimachado1979@gmail.com</t>
  </si>
  <si>
    <t>silmara@eqsengenharia.com.br</t>
  </si>
  <si>
    <t>silvio.odeli.filho@gmail.com</t>
  </si>
  <si>
    <t>silvio.goes@eqsengenharia.com.br</t>
  </si>
  <si>
    <t>STEFANI OLIVEIRA ALVES</t>
  </si>
  <si>
    <t>stefani.alves@eqsengenharia.com.br</t>
  </si>
  <si>
    <t>rh.mg@eqsengenharia.com.br</t>
  </si>
  <si>
    <t>tandara.alves@eqsengenharia.com.br</t>
  </si>
  <si>
    <t>teofilo.pacheco@eqseng.com.br</t>
  </si>
  <si>
    <t>TERCILA.lopes@eqsengenharia.com.br</t>
  </si>
  <si>
    <t>thalita.gondim@eqseng.com.br</t>
  </si>
  <si>
    <t>thiago_vanzeler@hotmail.com</t>
  </si>
  <si>
    <t>THIAGO DUARTE VARGAS</t>
  </si>
  <si>
    <t>duarte@eqsengenharia.com.br</t>
  </si>
  <si>
    <t>thiago.santos@eqseng.com.br</t>
  </si>
  <si>
    <t>THIAGO NEVES DE FREITAS</t>
  </si>
  <si>
    <t>thiago@eqsengenharia.com.br</t>
  </si>
  <si>
    <t>thiagolima.benco@gmail.com</t>
  </si>
  <si>
    <t>thiago.sepulveda@eqsengenharia.com.br</t>
  </si>
  <si>
    <t>thiego.oliveira@eqseng.com.br</t>
  </si>
  <si>
    <t>THUANE DE OLIVEIRA MILSONI</t>
  </si>
  <si>
    <t>milsonithuane@gmail.com</t>
  </si>
  <si>
    <t>TIAGO ALVES PINTO</t>
  </si>
  <si>
    <t>tiago.alves@eqseng.com.br</t>
  </si>
  <si>
    <t>TIAGO BEZERRA CAMARGO</t>
  </si>
  <si>
    <t>tiagobcamargo8985@gmail.com</t>
  </si>
  <si>
    <t>TIAGO BRANCO DE BARROS</t>
  </si>
  <si>
    <t>tiago.branco@eqsengenharia.com.br</t>
  </si>
  <si>
    <t>TIAGO DE FREITAS KAISER</t>
  </si>
  <si>
    <t>kaiserclimatizacao@gmail.com</t>
  </si>
  <si>
    <t>TIAGO_JESUS_ARAUJO@HOTMAIL.COM</t>
  </si>
  <si>
    <t>TIAGO DE OLIVEIRA PAIVA</t>
  </si>
  <si>
    <t>tiagopaiva@eqsengenharia.com.br</t>
  </si>
  <si>
    <t>tiago.oliveira.afe@gmail.com</t>
  </si>
  <si>
    <t>TIAGO LUIZ MARTINS</t>
  </si>
  <si>
    <t>tiago@eqseng.com.br</t>
  </si>
  <si>
    <t>TOBIAS DA CRUZ</t>
  </si>
  <si>
    <t>tobiasdc@universo.univates.br</t>
  </si>
  <si>
    <t>TONY RAMOS VENANCIO</t>
  </si>
  <si>
    <t>tony.ramoscv.123@gmail.com</t>
  </si>
  <si>
    <t>velosoengenhariaeletrica@gmail.com</t>
  </si>
  <si>
    <t>birateixeira@gmail.com</t>
  </si>
  <si>
    <t>ueliton.candido@eqsengenharia.com.br</t>
  </si>
  <si>
    <t>ueliton.santos@eqsengenharia.com.br</t>
  </si>
  <si>
    <t>UESIO DA SILVA SIMOES</t>
  </si>
  <si>
    <t>uesiosimoes@gmail.com</t>
  </si>
  <si>
    <t>ulisses.oliveira@eqsengenharia.com.br</t>
  </si>
  <si>
    <t>VALDEMIR ANTONIO CORREA JUNIOR</t>
  </si>
  <si>
    <t>valdemir@eqsengenharia.com.br</t>
  </si>
  <si>
    <t>valdir.voigt@eqsengenharia.com.br</t>
  </si>
  <si>
    <t>VALDOIR NOGUEIRA ANTUNES</t>
  </si>
  <si>
    <t>valdoir.nogueira.antunes@gmail.com</t>
  </si>
  <si>
    <t>JUNNIORNORONHA9@GMAIL.COM</t>
  </si>
  <si>
    <t>vanderleid1@yahoo.com.br</t>
  </si>
  <si>
    <t>VICTOR HUGO MONTEIRO FREIRE</t>
  </si>
  <si>
    <t>victorhugo_mf@outlook.com</t>
  </si>
  <si>
    <t>VICTOR LEONARDO LIMA DA CRUZ</t>
  </si>
  <si>
    <t>victorcruz2201@gmail.com</t>
  </si>
  <si>
    <t>victor23pb@gmail.com</t>
  </si>
  <si>
    <t>victor@eqseng.com.br</t>
  </si>
  <si>
    <t>viniciuspeixotobonetti@gmail.com</t>
  </si>
  <si>
    <t>wagner.pereira@eqsengenharia.com.br</t>
  </si>
  <si>
    <t>WAGNER FERNANDES DA SILVA</t>
  </si>
  <si>
    <t>wagner.fsilva99@gmail.com</t>
  </si>
  <si>
    <t>wagner.gerhardt@eqsengenharia.com.br</t>
  </si>
  <si>
    <t>walternn79@gmail.com</t>
  </si>
  <si>
    <t>WANDEILSON EMIDIO MARTINS PEREIRA</t>
  </si>
  <si>
    <t>wanmartinss10@gmail.com</t>
  </si>
  <si>
    <t>weder.martins@eqsengenharia.com.br</t>
  </si>
  <si>
    <t>welerson.rodrigues@eqsengenharia.com.br</t>
  </si>
  <si>
    <t>WELLINGTON ARION TAVARES</t>
  </si>
  <si>
    <t>welltadaniela@bol.com.br</t>
  </si>
  <si>
    <t>WELLINGTON SILVA DE AGUIAR</t>
  </si>
  <si>
    <t>wellingtonaguiar205@gmail.com</t>
  </si>
  <si>
    <t>geraldowelton1@gmail.com</t>
  </si>
  <si>
    <t>WERYKSON ISRAEL DE BEM PIRES</t>
  </si>
  <si>
    <t>werykson.pires@eqsengenharia.com.br</t>
  </si>
  <si>
    <t>WESLEY CARLOS AUGUSTO</t>
  </si>
  <si>
    <t>wesley.daiane@hotmail.com</t>
  </si>
  <si>
    <t>wesleygabriel30@hotmail.com</t>
  </si>
  <si>
    <t>WILKINSON KECIO SILVA BARBOSA</t>
  </si>
  <si>
    <t>wilkinson.barbosa@gmail.com</t>
  </si>
  <si>
    <t>teixeira.will@gmail.com</t>
  </si>
  <si>
    <t>william.nunes@eqsengenharia.com.br</t>
  </si>
  <si>
    <t>WILLIAN CARLOS RODRIGUES VIEIRA</t>
  </si>
  <si>
    <t>willy_1604@yahoo.com.br</t>
  </si>
  <si>
    <t>WILSON JOAQUIM CAMPOS</t>
  </si>
  <si>
    <t>wilson.campos@eqseng.com.br</t>
  </si>
  <si>
    <t>WILSON LUIZ CABRAL</t>
  </si>
  <si>
    <t>wilson.cabral@eqsengenharia.com.br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</si>
</sst>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Arial"/>
      <family val="2"/>
    </font>
    <font>
      <sz val="7"/>
      <color rgb="FF008C1F"/>
      <name val="Arial"/>
      <family val="2"/>
    </font>
    <font>
      <sz val="7"/>
      <color rgb="FFCD7F09"/>
      <name val="Arial"/>
      <family val="2"/>
    </font>
    <font>
      <sz val="7"/>
      <color rgb="FF3FA1FF"/>
      <name val="Arial"/>
      <family val="2"/>
    </font>
    <font>
      <sz val="7"/>
      <color rgb="FF444444"/>
      <name val="Arial"/>
      <family val="2"/>
    </font>
    <font>
      <sz val="7"/>
      <color rgb="FF9D0505"/>
      <name val="Arial"/>
      <family val="2"/>
    </font>
    <font>
      <sz val="7"/>
      <color rgb="FFFCFCFC"/>
      <name val="Poppins"/>
      <family val="2"/>
    </font>
  </fonts>
  <fills count="1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theme="6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ECF6FF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7">
    <xf numFmtId="0" fontId="0" fillId="0" borderId="0" xfId="0"/>
    <xf numFmtId="1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9" borderId="0" xfId="0" applyFont="1" applyFill="1"/>
    <xf numFmtId="0" fontId="3" fillId="10" borderId="1" xfId="0" applyFont="1" applyFill="1" applyBorder="1" applyAlignment="1">
      <alignment horizontal="center" vertical="center"/>
    </xf>
    <xf numFmtId="49" fontId="3" fillId="10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3" fillId="4" borderId="1" xfId="0" applyNumberFormat="1" applyFont="1" applyFill="1" applyBorder="1" applyAlignment="1">
      <alignment horizontal="center" vertical="center"/>
    </xf>
    <xf numFmtId="164" fontId="3" fillId="2" borderId="1" xfId="0" quotePrefix="1" applyNumberFormat="1" applyFont="1" applyFill="1" applyBorder="1" applyAlignment="1">
      <alignment horizontal="center" vertical="center"/>
    </xf>
    <xf numFmtId="164" fontId="2" fillId="6" borderId="0" xfId="0" applyNumberFormat="1" applyFont="1" applyFill="1"/>
    <xf numFmtId="164" fontId="2" fillId="7" borderId="0" xfId="0" applyNumberFormat="1" applyFont="1" applyFill="1"/>
    <xf numFmtId="164" fontId="2" fillId="8" borderId="0" xfId="0" applyNumberFormat="1" applyFont="1" applyFill="1"/>
    <xf numFmtId="164" fontId="3" fillId="11" borderId="1" xfId="0" applyNumberFormat="1" applyFont="1" applyFill="1" applyBorder="1" applyAlignment="1">
      <alignment horizontal="center" vertical="center"/>
    </xf>
    <xf numFmtId="164" fontId="1" fillId="5" borderId="0" xfId="0" applyNumberFormat="1" applyFont="1" applyFill="1"/>
    <xf numFmtId="0" fontId="5" fillId="0" borderId="0" xfId="0" applyFont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9" fontId="2" fillId="13" borderId="0" xfId="0" applyNumberFormat="1" applyFont="1" applyFill="1" applyAlignment="1">
      <alignment horizontal="center"/>
    </xf>
    <xf numFmtId="44" fontId="4" fillId="0" borderId="0" xfId="0" applyNumberFormat="1" applyFont="1"/>
    <xf numFmtId="49" fontId="4" fillId="0" borderId="0" xfId="0" applyNumberFormat="1" applyFont="1"/>
    <xf numFmtId="0" fontId="7" fillId="14" borderId="0" xfId="0" applyFont="1" applyFill="1" applyAlignment="1">
      <alignment horizontal="left" vertical="center"/>
    </xf>
    <xf numFmtId="0" fontId="6" fillId="15" borderId="0" xfId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9" fillId="15" borderId="0" xfId="0" applyFont="1" applyFill="1" applyAlignment="1">
      <alignment vertical="center"/>
    </xf>
    <xf numFmtId="0" fontId="10" fillId="15" borderId="0" xfId="0" applyFont="1" applyFill="1" applyAlignment="1">
      <alignment vertical="center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11" fillId="15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  <xf numFmtId="0" fontId="12" fillId="15" borderId="0" xfId="0" applyFont="1" applyFill="1" applyAlignment="1">
      <alignment vertical="center"/>
    </xf>
    <xf numFmtId="0" fontId="13" fillId="16" borderId="0" xfId="0" applyFont="1" applyFill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5" fillId="8" borderId="0" xfId="0" applyNumberFormat="1" applyFont="1" applyFill="1" applyAlignment="1">
      <alignment horizontal="center" vertical="center"/>
    </xf>
    <xf numFmtId="164" fontId="2" fillId="7" borderId="3" xfId="0" applyNumberFormat="1" applyFont="1" applyFill="1" applyBorder="1"/>
    <xf numFmtId="0" fontId="4" fillId="17" borderId="0" xfId="0" applyFont="1" applyFill="1"/>
    <xf numFmtId="0" fontId="4" fillId="17" borderId="0" xfId="0" applyFont="1" applyFill="1" applyAlignment="1">
      <alignment horizontal="center"/>
    </xf>
    <xf numFmtId="44" fontId="4" fillId="17" borderId="0" xfId="0" applyNumberFormat="1" applyFont="1" applyFill="1"/>
    <xf numFmtId="0" fontId="4" fillId="17" borderId="4" xfId="0" applyFont="1" applyFill="1" applyBorder="1"/>
    <xf numFmtId="0" fontId="4" fillId="17" borderId="4" xfId="0" applyFont="1" applyFill="1" applyBorder="1" applyAlignment="1">
      <alignment horizontal="center"/>
    </xf>
    <xf numFmtId="44" fontId="4" fillId="17" borderId="4" xfId="0" applyNumberFormat="1" applyFont="1" applyFill="1" applyBorder="1"/>
    <xf numFmtId="0" fontId="3" fillId="12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/>
    </xf>
    <xf numFmtId="44" fontId="0" fillId="0" borderId="0" xfId="0" applyNumberFormat="1"/>
    <xf numFmtId="49" fontId="4" fillId="17" borderId="0" xfId="0" applyNumberFormat="1" applyFont="1" applyFill="1"/>
    <xf numFmtId="164" fontId="2" fillId="8" borderId="3" xfId="0" applyNumberFormat="1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6" fillId="16" borderId="0" xfId="1" applyFill="1" applyAlignment="1">
      <alignment horizontal="center" vertical="center"/>
    </xf>
    <xf numFmtId="0" fontId="8" fillId="16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7" fillId="15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vertical="center"/>
    </xf>
    <xf numFmtId="0" fontId="7" fillId="16" borderId="0" xfId="0" applyFont="1" applyFill="1" applyAlignment="1">
      <alignment horizontal="center" vertical="center"/>
    </xf>
  </cellXfs>
  <cellStyles count="2">
    <cellStyle name="Hiperlink" xfId="1" builtinId="8"/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sz val="10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0.753714120372" createdVersion="8" refreshedVersion="8" minRefreshableVersion="3" recordCount="213" xr:uid="{07024AB5-8C69-41DE-BDBA-070E1F4FB39B}">
  <cacheSource type="worksheet">
    <worksheetSource ref="B2:I215" sheet="Planilha1"/>
  </cacheSource>
  <cacheFields count="8">
    <cacheField name="COLABORADOR" numFmtId="0">
      <sharedItems/>
    </cacheField>
    <cacheField name="CPF" numFmtId="0">
      <sharedItems/>
    </cacheField>
    <cacheField name="SITUAÇÃO" numFmtId="0">
      <sharedItems containsBlank="1"/>
    </cacheField>
    <cacheField name="REGIONAL" numFmtId="0">
      <sharedItems/>
    </cacheField>
    <cacheField name="CENTRO DE CUSTO" numFmtId="0">
      <sharedItems/>
    </cacheField>
    <cacheField name="COD. CENTRO DE CUSTO" numFmtId="0">
      <sharedItems containsSemiMixedTypes="0" containsString="0" containsNumber="1" containsInteger="1" minValue="1201014" maxValue="11110340001" count="90">
        <n v="11030290001"/>
        <n v="11030260001"/>
        <n v="11030580001"/>
        <n v="11030700001"/>
        <n v="11030860001"/>
        <n v="11030870001"/>
        <n v="11030890001"/>
        <n v="11080170001"/>
        <n v="11030750001"/>
        <n v="11062640001"/>
        <n v="11030780001"/>
        <n v="11061870001"/>
        <n v="11030840001"/>
        <n v="11010410001"/>
        <n v="11030830001"/>
        <n v="11060710001"/>
        <n v="11030910001"/>
        <n v="11030820001"/>
        <n v="11061940001"/>
        <n v="11010180001"/>
        <n v="11061420001"/>
        <n v="11040040001"/>
        <n v="11030590001"/>
        <n v="11030660001"/>
        <n v="1201020"/>
        <n v="11030630001"/>
        <n v="11030600001"/>
        <n v="11030570001"/>
        <n v="11030610001"/>
        <n v="11061200001"/>
        <n v="11061390001"/>
        <n v="11061770001"/>
        <n v="11030790001"/>
        <n v="11030640001"/>
        <n v="11061480001"/>
        <n v="11010360001"/>
        <n v="11030850001"/>
        <n v="11061880001"/>
        <n v="11061820001"/>
        <n v="1201071"/>
        <n v="11061400001"/>
        <n v="11010370001"/>
        <n v="11040170001"/>
        <n v="11030690001"/>
        <n v="11062670001"/>
        <n v="11061490001"/>
        <n v="11080150001"/>
        <n v="11040160001"/>
        <n v="11062850001"/>
        <n v="1201017"/>
        <n v="11030730001"/>
        <n v="11062660001"/>
        <n v="11061720001"/>
        <n v="11030720001"/>
        <n v="11010170001"/>
        <n v="11030800001"/>
        <n v="11010080001"/>
        <n v="11010110001"/>
        <n v="11030650001"/>
        <n v="11110340001"/>
        <n v="11062270001"/>
        <n v="11030810001"/>
        <n v="11062160001"/>
        <n v="11010060001"/>
        <n v="11061980001"/>
        <n v="11062760001"/>
        <n v="11062450001"/>
        <n v="1201014"/>
        <n v="11040140001"/>
        <n v="11080500001"/>
        <n v="11062720001"/>
        <n v="11010280001"/>
        <n v="11062830001"/>
        <n v="11062650001"/>
        <n v="1104150001"/>
        <n v="11062020001"/>
        <n v="11062050001"/>
        <n v="11030620001"/>
        <n v="11040130001"/>
        <n v="11061430001"/>
        <n v="11060700001"/>
        <n v="11080180001"/>
        <n v="11062290001"/>
        <n v="11062770001"/>
        <n v="11030760001"/>
        <n v="11010150001"/>
        <n v="11010270001"/>
        <n v="11010330001"/>
        <n v="11010300001"/>
        <n v="11080440001"/>
      </sharedItems>
    </cacheField>
    <cacheField name="GESTOR" numFmtId="0">
      <sharedItems containsBlank="1"/>
    </cacheField>
    <cacheField name="Carga Final " numFmtId="44">
      <sharedItems containsSemiMixedTypes="0" containsString="0" containsNumber="1" minValue="9.7299999999952007" maxValue="13690.5700000000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CHARLYTON COSTA ANDRADE"/>
    <s v="01050938232"/>
    <s v="ATIVO"/>
    <s v="REGIONAL CO"/>
    <s v="CEF AM AC RR"/>
    <x v="0"/>
    <s v="ANGELICA SOARES"/>
    <n v="13149.289999999999"/>
  </r>
  <r>
    <s v="RAFAEL AMORIM VELLO"/>
    <s v="01677920599"/>
    <s v="ATIVO"/>
    <s v="REGIONAL NE"/>
    <s v="CEF NORTE OESTE BA"/>
    <x v="1"/>
    <s v="GERSON OLIVEIRA"/>
    <n v="13690.570000000011"/>
  </r>
  <r>
    <s v="CARLOS RENATO PACHECO DA SILVA"/>
    <s v="90443306087"/>
    <s v="ATIVO"/>
    <s v="REGIONAL RS"/>
    <s v="CEF LESTE GAUCHO RS"/>
    <x v="2"/>
    <s v="ALEXANDRE GROSS"/>
    <n v="3830.5450000000001"/>
  </r>
  <r>
    <s v="SANDRO BARRETO DE SOUZA"/>
    <s v="78021324953"/>
    <s v="ATIVO"/>
    <s v="REGIONAL SC"/>
    <s v="CEF SUL SC"/>
    <x v="3"/>
    <s v="LEANDRO MARCUSSO"/>
    <n v="5250.4400000000151"/>
  </r>
  <r>
    <s v="CLAUDEMIR GREGOSKI RODRIGUES"/>
    <s v="05144026958"/>
    <s v="ATIVO"/>
    <s v="REGIONAL SC"/>
    <s v="CEF FACILITIES CURITIBA PR"/>
    <x v="4"/>
    <s v="LEANDRO MARCUSSO"/>
    <n v="1950"/>
  </r>
  <r>
    <s v="LEANDRO GUSMAO MUNIZ"/>
    <s v="13126691790"/>
    <s v="ATIVO"/>
    <s v="REGIONAL RJ"/>
    <s v="CEF INTERIOR RJ"/>
    <x v="5"/>
    <s v="ALLAN JEFFERSON"/>
    <n v="2272.4499999999998"/>
  </r>
  <r>
    <s v="LUCAS MARTINS MACAN"/>
    <s v="00975748998"/>
    <s v="ATIVO"/>
    <s v="REGIONAL NE"/>
    <s v="CEF CEARA"/>
    <x v="6"/>
    <s v="GERSON OLIVEIRA"/>
    <n v="3920.3400000000101"/>
  </r>
  <r>
    <s v="JOSE CARLOS BATISTA"/>
    <s v="26652452804"/>
    <s v="ATIVO"/>
    <s v="REGIONAL SP"/>
    <s v="PTB INFRA SUDESTE"/>
    <x v="7"/>
    <s v="LEANDRO NUNES"/>
    <n v="5586.1800000000221"/>
  </r>
  <r>
    <s v="SAULO ARAUJO DE PAULA"/>
    <s v="31040091806"/>
    <s v="ATIVO"/>
    <s v="REGIONAL SP"/>
    <s v="CEF SP SUL"/>
    <x v="8"/>
    <s v="LEANDRO NUNES"/>
    <n v="3319.260000000002"/>
  </r>
  <r>
    <s v="VICTOR SIGOLO PINHEIRO PIMENTA"/>
    <s v="12237490619"/>
    <s v="ATIVO"/>
    <s v="REGIONAL SP"/>
    <s v="INSS SP"/>
    <x v="9"/>
    <s v="LEANDRO NUNES"/>
    <n v="1856.6900000000542"/>
  </r>
  <r>
    <s v="MARCO AURELIO DE ANDRADE MORAES"/>
    <s v="72756284220"/>
    <s v="ATIVO"/>
    <s v="REGIONAL CO"/>
    <s v="CEF AM AC RR"/>
    <x v="0"/>
    <s v="ANGELICA SOARES"/>
    <n v="4685.9200000000046"/>
  </r>
  <r>
    <s v="MARCELO GIMENEZ ARGEMON"/>
    <s v="95073272153"/>
    <s v="ATIVO"/>
    <s v="REGIONAL SP"/>
    <s v="CEF FACILITIES CAMPINAS SP"/>
    <x v="10"/>
    <s v="LEANDRO NUNES"/>
    <n v="2622"/>
  </r>
  <r>
    <s v="CHARLES NEVES MATTIUZZI"/>
    <s v="12547938790"/>
    <s v="ATIVO"/>
    <s v="REGIONAL ES"/>
    <s v="TELEFONICA ES"/>
    <x v="11"/>
    <s v="VINICIUS LOCATELLY"/>
    <n v="2421.4500000000121"/>
  </r>
  <r>
    <s v="SANDRO CAPISTRANO"/>
    <s v="16996346886"/>
    <s v="ATIVO"/>
    <s v="REGIONAL SP"/>
    <s v="CEF BAURU SP"/>
    <x v="12"/>
    <s v="LEANDRO NUNES"/>
    <n v="312.2800000000035"/>
  </r>
  <r>
    <s v="UBIRAJARA DE ARAUJO TEIXEIRA"/>
    <s v="74548565949"/>
    <s v="ATIVO"/>
    <s v="REGIONAL SC"/>
    <s v="BB APOIO PR"/>
    <x v="13"/>
    <s v="LEANDRO MARCUSSO"/>
    <n v="53.679999999998131"/>
  </r>
  <r>
    <s v="TERCILA DA SILVA LOPES"/>
    <s v="67752721387"/>
    <s v="ATIVO"/>
    <s v="REGIONAL NE"/>
    <s v="CEF CEARA"/>
    <x v="6"/>
    <s v="GERSON OLIVEIRA"/>
    <n v="1115.6600000000021"/>
  </r>
  <r>
    <s v="RONALDO RUFINO SANTANA"/>
    <s v="29758827855"/>
    <s v="ATIVO"/>
    <s v="REGIONAL SP"/>
    <s v="CEF PIRACICABA SP"/>
    <x v="14"/>
    <s v="LEANDRO NUNES"/>
    <n v="1295.1900000000464"/>
  </r>
  <r>
    <s v="FRANCIELLY FELIX CAVALCANTE DE ANDRADE"/>
    <s v="09276240446"/>
    <s v="ATIVO"/>
    <s v="REGIONAL CO"/>
    <s v="CEF AM AC RR"/>
    <x v="0"/>
    <s v="ANGELICA SOARES"/>
    <n v="2609.5600000000049"/>
  </r>
  <r>
    <s v="LUCIANO JOSE DO AMARAL PEREIRA"/>
    <s v="04434355708"/>
    <s v="ATIVO"/>
    <s v="REGIONAL RJ"/>
    <s v="CEF CENTRO NORTE SUL RJ"/>
    <x v="15"/>
    <s v="ALLAN JEFFERSON"/>
    <n v="2936.5800000001113"/>
  </r>
  <r>
    <s v="DAVID VICHI DE BRITO"/>
    <s v="21641472863"/>
    <s v="ATIVO"/>
    <s v="REGIONAL NE"/>
    <s v="CEF FACILITIES PE"/>
    <x v="16"/>
    <s v="GERSON OLIVEIRA"/>
    <n v="3055.7899999999995"/>
  </r>
  <r>
    <s v="MARIA EDUARDA ARAGAO"/>
    <s v="10363402950"/>
    <s v="ATIVO"/>
    <s v="REGIONAL SC"/>
    <s v="CEF SUL SC"/>
    <x v="3"/>
    <s v="LEANDRO MARCUSSO"/>
    <n v="2219.0250000000101"/>
  </r>
  <r>
    <s v="GUILHERME MOTTA RIBEIRO SILVA"/>
    <s v="11178519740"/>
    <s v="ATIVO"/>
    <s v="REGIONAL ES"/>
    <s v="CEF ES"/>
    <x v="17"/>
    <s v="VINICIUS LOCATELLY"/>
    <n v="2444.5300000000243"/>
  </r>
  <r>
    <s v="CAIO FRANCESCONI RIBEIRO"/>
    <s v="08924586904"/>
    <s v="ATIVO"/>
    <s v="REGIONAL SC"/>
    <s v="TJ APOIO PR"/>
    <x v="18"/>
    <s v="LEANDRO MARCUSSO"/>
    <n v="729.03999999999508"/>
  </r>
  <r>
    <s v="FABIO PROVESI"/>
    <s v="05731312958"/>
    <s v="ATIVO"/>
    <s v="REGIONAL SC"/>
    <s v="BB SERET SC"/>
    <x v="19"/>
    <s v="LEANDRO MARCUSSO"/>
    <n v="1375.1699999999842"/>
  </r>
  <r>
    <s v="MICHAEL RODRIGUES SANTOS"/>
    <s v="37425574837"/>
    <s v="ATIVO"/>
    <s v="REGIONAL SP"/>
    <s v="TELEFONICA SP"/>
    <x v="20"/>
    <s v="LEANDRO NUNES"/>
    <n v="1446.9199999999851"/>
  </r>
  <r>
    <s v="EDSON VEIGA SILVEIRA"/>
    <s v="62063774072"/>
    <s v="ATIVO"/>
    <s v="REGIONAL CO"/>
    <s v="CLARO CO"/>
    <x v="21"/>
    <s v="ANGELICA SOARES"/>
    <n v="642.13499999999294"/>
  </r>
  <r>
    <s v="PAULO NILTON COSTA MOREIRA"/>
    <s v="45159599053"/>
    <s v="ATIVO"/>
    <s v="REGIONAL RS"/>
    <s v="CEF EXTREMO SUL RS"/>
    <x v="22"/>
    <s v="ALEXANDRE GROSS"/>
    <n v="1081.760000000027"/>
  </r>
  <r>
    <s v="EMERSON LEITE DE BARROS"/>
    <s v="34168918807"/>
    <s v="ATIVO"/>
    <s v="REGIONAL SP"/>
    <s v="PTB INFRA SUDESTE"/>
    <x v="7"/>
    <s v="LEANDRO NUNES"/>
    <n v="2147.51999999994"/>
  </r>
  <r>
    <s v="JESSICA DE MIRANDA MEDEIROS FELICIANO"/>
    <s v="10137575483"/>
    <s v="ATIVO"/>
    <s v="REGIONAL SP"/>
    <s v="CEF PIRACICABA SP"/>
    <x v="14"/>
    <s v="LEANDRO NUNES"/>
    <n v="2507.6699999999678"/>
  </r>
  <r>
    <s v="JUNIO VICENTE BARBOSA"/>
    <s v="10054353670"/>
    <s v="ATIVO"/>
    <s v="REGIONAL MG"/>
    <s v="CEF NORDESTE MG"/>
    <x v="23"/>
    <s v="HUGO ALEXANDRE"/>
    <n v="1421.7249999999999"/>
  </r>
  <r>
    <s v="HERICA CRISTINY MESQUITA SANTOS FERNANDES"/>
    <s v="02158033029"/>
    <s v="ATIVO"/>
    <s v="GESTAO DE PESSOAS"/>
    <s v="GESTAO DE PESSOAS"/>
    <x v="24"/>
    <s v="CAROLINE SILVA"/>
    <n v="3000"/>
  </r>
  <r>
    <s v="FABIO DIOGO BITTENCOURT"/>
    <s v="00526143959"/>
    <s v="ATIVO"/>
    <s v="REGIONAL RS"/>
    <s v="CEF CENTRO GAUCHO RS"/>
    <x v="25"/>
    <s v="ALEXANDRE GROSS"/>
    <n v="1026.0500000000611"/>
  </r>
  <r>
    <s v="EVERTON CAMARGO DE LOURETO"/>
    <s v="91688205004"/>
    <s v="ATIVO"/>
    <s v="REGIONAL RS"/>
    <s v="CEF VALE SINOS RS"/>
    <x v="26"/>
    <s v="ALEXANDRE GROSS"/>
    <n v="1288.5400000001027"/>
  </r>
  <r>
    <s v="JAFER DA FONTOURA AHMAD"/>
    <s v="00041171071"/>
    <s v="ATIVO"/>
    <s v="REGIONAL RS"/>
    <s v="CEF PORTO ALEGRE RS"/>
    <x v="27"/>
    <s v="ALEXANDRE GROSS"/>
    <n v="2608.3800000000497"/>
  </r>
  <r>
    <s v="ANDRE LUIZ SANTANA"/>
    <s v="11897381638"/>
    <s v="ATIVO"/>
    <s v="REGIONAL RS"/>
    <s v="CEF SERRA GAUCHA RS"/>
    <x v="28"/>
    <s v="ALEXANDRE GROSS"/>
    <n v="2798.25"/>
  </r>
  <r>
    <s v="TEOFILO TOLLENDAL PACHECO"/>
    <s v="26687333836"/>
    <s v="ATIVO"/>
    <s v="REGIONAL SP"/>
    <s v="TELEFONICA SP"/>
    <x v="20"/>
    <s v="LEANDRO NUNES"/>
    <n v="1900.395"/>
  </r>
  <r>
    <s v="DANIEL DA SILVA LOPES"/>
    <s v="94288259053"/>
    <s v="ATIVO"/>
    <s v="REGIONAL SC"/>
    <s v="NET APOIO SC"/>
    <x v="29"/>
    <s v="LEANDRO MARCUSSO"/>
    <n v="648.00000000000182"/>
  </r>
  <r>
    <s v="WESLLEY GABRIEL DA SILVA CARDOSO"/>
    <s v="87813416015"/>
    <s v="ATIVO"/>
    <s v="REGIONAL RS"/>
    <s v="TELEFONICA RS"/>
    <x v="30"/>
    <s v="ALEXANDRE GROSS"/>
    <n v="2045.3100000000113"/>
  </r>
  <r>
    <s v="EDUARDO SANTOS"/>
    <s v="91270529072"/>
    <s v="ATIVO"/>
    <s v="REGIONAL RS"/>
    <s v="NET APOIO RS"/>
    <x v="31"/>
    <s v="ALEXANDRE GROSS"/>
    <n v="428.7599999999893"/>
  </r>
  <r>
    <s v="DAVID DE OLIVEIRA FRIGERIO"/>
    <s v="04817177900"/>
    <s v="ATIVO"/>
    <s v="REGIONAL SC"/>
    <s v="CEF NORTE PR"/>
    <x v="32"/>
    <s v="LEANDRO MARCUSSO"/>
    <n v="1855.8900000000067"/>
  </r>
  <r>
    <s v="CARLOS EDUARDO SCATAMBULO"/>
    <s v="22730778829"/>
    <s v="ATIVO"/>
    <s v="REGIONAL SP"/>
    <s v="CEF LESTE SP"/>
    <x v="33"/>
    <s v="LEANDRO NUNES"/>
    <n v="1850.6300000001359"/>
  </r>
  <r>
    <s v="BEATRIZ SILVA DE SIQUEIRA"/>
    <s v="35575473880"/>
    <s v="ATIVO"/>
    <s v="REGIONAL SP"/>
    <s v="CEF SP SUL"/>
    <x v="8"/>
    <s v="LEANDRO NUNES"/>
    <n v="391.85999999999245"/>
  </r>
  <r>
    <s v="ADSON SANTOS DA SILVA"/>
    <s v="83058133553"/>
    <s v="ATIVO"/>
    <s v="REGIONAL NE"/>
    <s v="TELEFONICA BA"/>
    <x v="34"/>
    <s v="GERSON OLIVEIRA"/>
    <n v="16.490000000000911"/>
  </r>
  <r>
    <s v="GENISSON DE PAIVA FERREIRA"/>
    <s v="00714806501"/>
    <s v="ATIVO"/>
    <s v="REGIONAL NE"/>
    <s v="BB ARACAJU SE"/>
    <x v="35"/>
    <s v="GERSON OLIVEIRA"/>
    <n v="452.04999999999893"/>
  </r>
  <r>
    <s v="ARLEY HENRIQUE DE SOUZA LUZ"/>
    <s v="01170402232"/>
    <s v="ATIVO"/>
    <s v="REGIONAL CO"/>
    <s v="CEF GOIANIA CO"/>
    <x v="36"/>
    <s v="ANGELICA SOARES"/>
    <n v="510.98000000001775"/>
  </r>
  <r>
    <s v="CRISTIANO ANESIO GOMES DO NASCIMENTO"/>
    <s v="02862032786"/>
    <s v="ATIVO"/>
    <s v="REGIONAL RJ"/>
    <s v="CEF INTERIOR RJ"/>
    <x v="5"/>
    <s v="ALLAN JEFFERSON"/>
    <n v="722.93999999999323"/>
  </r>
  <r>
    <s v="DHIEGO RIBEIRO DINIZ"/>
    <s v="00049250256"/>
    <s v="ATIVO"/>
    <s v="REGIONAL CO"/>
    <s v="CEF GOIANIA CO"/>
    <x v="36"/>
    <s v="ANGELICA SOARES"/>
    <n v="1734.2399999999971"/>
  </r>
  <r>
    <s v="MATHEUS FERNANDES GUIMARAES"/>
    <s v="17996820724"/>
    <s v="ATIVO"/>
    <s v="REGIONAL SC"/>
    <s v="CEF NORTE PR"/>
    <x v="32"/>
    <s v="LEANDRO MARCUSSO"/>
    <n v="1865.1400000000212"/>
  </r>
  <r>
    <s v="MARCO AURELIO DE LIMA"/>
    <s v="01356318665"/>
    <s v="ATIVO"/>
    <s v="REGIONAL MG"/>
    <s v="TELEFONICA MG"/>
    <x v="37"/>
    <s v="HUGO ALEXANDRE"/>
    <n v="1906.1199999999399"/>
  </r>
  <r>
    <s v="MARCELO DE ANDRADE CALVETTI"/>
    <s v="02587708052"/>
    <s v="ATIVO"/>
    <s v="REGIONAL RS"/>
    <s v="NET PORTO ALEGRE RS"/>
    <x v="38"/>
    <s v="ALEXANDRE GROSS"/>
    <n v="897.91000000000008"/>
  </r>
  <r>
    <s v="LEANDRO MARCUSSO"/>
    <s v="01857561902"/>
    <s v="ATIVO"/>
    <s v="REGIONAL SC"/>
    <s v="ADM FILIAL SC"/>
    <x v="39"/>
    <s v="LEANDRO MARCUSSO"/>
    <n v="1403.0450000000001"/>
  </r>
  <r>
    <s v="WEDER MARTINS"/>
    <s v="91415586691"/>
    <s v="ATIVO"/>
    <s v="REGIONAL MG"/>
    <s v="TELEFONICA MG"/>
    <x v="37"/>
    <s v="HUGO ALEXANDRE"/>
    <n v="2000"/>
  </r>
  <r>
    <s v="LEANDRO DE QUADROS"/>
    <s v="03461295914"/>
    <s v="ATIVO"/>
    <s v="REGIONAL SC"/>
    <s v="TELEFONICA SC"/>
    <x v="40"/>
    <s v="LEANDRO MARCUSSO"/>
    <n v="1520"/>
  </r>
  <r>
    <s v="JOSE JONAS FURLANETTO"/>
    <s v="55889913115"/>
    <s v="ATIVO"/>
    <s v="REGIONAL SC"/>
    <s v="BB NORTE OESTE PR"/>
    <x v="41"/>
    <s v="LEANDRO MARCUSSO"/>
    <n v="1358.6100000000006"/>
  </r>
  <r>
    <s v="THIAGO PEREIRA DE LIMA"/>
    <s v="06478105490"/>
    <s v="ATIVO"/>
    <s v="REGIONAL CLARO INFRA NORDESTE"/>
    <s v="CLARO INFRA NORDESTE"/>
    <x v="42"/>
    <s v="FELIPE JOSE"/>
    <n v="943.2899999999994"/>
  </r>
  <r>
    <s v="ADSON ARAUJO DA SILVA"/>
    <s v="94551804304"/>
    <s v="ATIVO"/>
    <s v="REGIONAL CLARO INFRA NORDESTE"/>
    <s v="CLARO INFRA NORDESTE"/>
    <x v="42"/>
    <s v="FELIPE JOSE"/>
    <n v="1992.0600000000049"/>
  </r>
  <r>
    <s v="FERNANDO RODRIGUES DUARTE"/>
    <s v="03377983112"/>
    <s v="ATIVO"/>
    <s v="REGIONAL CO"/>
    <s v="CLARO CO"/>
    <x v="21"/>
    <s v="ANGELICA SOARES"/>
    <n v="2196.5500000000056"/>
  </r>
  <r>
    <s v="ADMILSON DOS SANTOS GALAN"/>
    <s v="04769973993"/>
    <s v="ATIVO"/>
    <s v="REGIONAL SC"/>
    <s v="CEF NORTE SC"/>
    <x v="43"/>
    <s v="LEANDRO MARCUSSO"/>
    <n v="1054.0700000000306"/>
  </r>
  <r>
    <s v="EDIPO SANTOS BARRETO"/>
    <s v="37896893860"/>
    <s v="ATIVO"/>
    <s v="REGIONAL SP"/>
    <s v="TRIBUNAL DE JUSTICA SP"/>
    <x v="44"/>
    <s v="LEANDRO NUNES"/>
    <n v="1197.739999999993"/>
  </r>
  <r>
    <s v="ANTONIO JOSE PEREIRA DA SILVA"/>
    <s v="08326260401"/>
    <s v="ATIVO"/>
    <s v="REGIONAL NE"/>
    <s v="TELEFONICA NE"/>
    <x v="45"/>
    <s v="GERSON OLIVEIRA"/>
    <n v="1391.2500000000055"/>
  </r>
  <r>
    <s v="JAIME ALVES DE ABREU SILVA"/>
    <s v="00965306186"/>
    <s v="ATIVO"/>
    <s v="REGIONAL CO"/>
    <s v="CLARO CO"/>
    <x v="21"/>
    <s v="ANGELICA SOARES"/>
    <n v="9.7299999999952007"/>
  </r>
  <r>
    <s v="FRANCO CARLOS DALLACQUA"/>
    <s v="34757123850"/>
    <s v="ATIVO"/>
    <s v="REGIONAL SP"/>
    <s v="TELEFONICA SP"/>
    <x v="20"/>
    <s v="LEANDRO NUNES"/>
    <n v="65.01000000000073"/>
  </r>
  <r>
    <s v="JORGE NEGRI NETO"/>
    <s v="44997574600"/>
    <s v="ATIVO"/>
    <s v="REGIONAL NE"/>
    <s v="PTB TIC NORDESTE"/>
    <x v="46"/>
    <s v="GERSON OLIVEIRA"/>
    <n v="162.75999999999112"/>
  </r>
  <r>
    <s v="GUILHERME MATEUS VAZ DOS SANTOS"/>
    <s v="44519188806"/>
    <s v="ATIVO"/>
    <s v="REGIONAL SP"/>
    <s v="TELEFONICA SP"/>
    <x v="20"/>
    <s v="LEANDRO NUNES"/>
    <n v="723.38000000000034"/>
  </r>
  <r>
    <s v="HUGO AZEVEDO SANTOS"/>
    <s v="13514820686"/>
    <s v="ATIVO"/>
    <s v="REGIONAL MG"/>
    <s v="CLARO INFRA MG"/>
    <x v="47"/>
    <s v="HUGO ALEXANDRE"/>
    <n v="966.15000000000202"/>
  </r>
  <r>
    <s v="RODRIGO FRANCISCO DE SOUSA"/>
    <s v="34459886847"/>
    <s v="ATIVO"/>
    <s v="REGIONAL SP"/>
    <s v="TELEFONICA SP"/>
    <x v="20"/>
    <s v="LEANDRO NUNES"/>
    <n v="1243.0300000000002"/>
  </r>
  <r>
    <s v="WELERSON PUFF RODRIGUES"/>
    <s v="04352219657"/>
    <s v="ATIVO"/>
    <s v="REGIONAL MG"/>
    <s v="ASSEMBLEIA LEGISLATIVA MG"/>
    <x v="48"/>
    <s v="HUGO ALEXANDRE"/>
    <n v="1442.5700000000143"/>
  </r>
  <r>
    <s v="RAFAEL ALMEIDA LOPES"/>
    <s v="46850229800"/>
    <s v="ATIVO"/>
    <s v="REGIONAL SP"/>
    <s v="TELEFONICA SP"/>
    <x v="20"/>
    <s v="LEANDRO NUNES"/>
    <n v="1485.2200000000005"/>
  </r>
  <r>
    <s v="HUGO ALEXANDRE DE SOUSA"/>
    <s v="07646535630"/>
    <s v="ATIVO"/>
    <s v="REGIONAL MG"/>
    <s v="ADM FILIAL MG"/>
    <x v="49"/>
    <s v="HUGO ALEXANDRE"/>
    <n v="388.93"/>
  </r>
  <r>
    <s v="EDSON CALIXTO THOMAZ"/>
    <s v="05765681719"/>
    <s v="ATIVO"/>
    <s v="REGIONAL RJ"/>
    <s v="CEF INTERIOR RJ"/>
    <x v="5"/>
    <s v="ALLAN JEFFERSON"/>
    <n v="1382.790000000005"/>
  </r>
  <r>
    <s v="RICARDO MURCIA GARCIA FILHO"/>
    <s v="27668763830"/>
    <s v="ATIVO"/>
    <s v="REGIONAL SP"/>
    <s v="CEF BAURU SP"/>
    <x v="12"/>
    <s v="LEANDRO NUNES"/>
    <n v="2168.3250000000153"/>
  </r>
  <r>
    <s v="THIAGO DE MEDEIROS VANZELER"/>
    <s v="11590627733"/>
    <s v="ATIVO"/>
    <s v="REGIONAL RJ"/>
    <s v="CEF INTERIOR RJ"/>
    <x v="5"/>
    <s v="ALLAN JEFFERSON"/>
    <n v="1865.7899999999972"/>
  </r>
  <r>
    <s v="RAQUEL PANTOJA SANTOS"/>
    <s v="89395140259"/>
    <s v="ATIVO"/>
    <s v="REGIONAL CO"/>
    <s v="CEF BELEM FACILITIES PA"/>
    <x v="50"/>
    <s v="ANGELICA SOARES"/>
    <n v="982.19999999999982"/>
  </r>
  <r>
    <s v="ORESTE BARBOSA DA SILVA JUNIOR"/>
    <s v="25075562850"/>
    <s v="ATIVO"/>
    <s v="REGIONAL SP"/>
    <s v="CEF PIRACICABA SP"/>
    <x v="14"/>
    <s v="LEANDRO NUNES"/>
    <n v="4362.3150000000996"/>
  </r>
  <r>
    <s v="EDER AUGUSTO DE ARAUJO CARVALHO"/>
    <s v="03985382638"/>
    <s v="ATIVO"/>
    <s v="REGIONAL MG"/>
    <s v="CLARO INFRA MG"/>
    <x v="47"/>
    <s v="HUGO ALEXANDRE"/>
    <n v="1820.55"/>
  </r>
  <r>
    <s v="AGNO CHRISTIAN DE LIMA TELES"/>
    <s v="06911519624"/>
    <s v="ATIVO"/>
    <s v="REGIONAL MG"/>
    <s v="CLARO INFRA MG"/>
    <x v="47"/>
    <s v="HUGO ALEXANDRE"/>
    <n v="1336.6649999999991"/>
  </r>
  <r>
    <s v="DEBORA ARAUJO FIGUEIREDO"/>
    <s v="85225720030"/>
    <s v="ATIVO"/>
    <s v="REGIONAL RS"/>
    <s v="DRF NOVO HAMBURGO RS"/>
    <x v="51"/>
    <s v="ALEXANDRE GROSS"/>
    <n v="1081.9650000000011"/>
  </r>
  <r>
    <s v="PATRICK ANTONIEVICZ ALVES"/>
    <s v="06456801923"/>
    <s v="ATIVO"/>
    <s v="REGIONAL SC"/>
    <s v="TRIBUNAL DE JUSTICA PR"/>
    <x v="52"/>
    <s v="LEANDRO MARCUSSO"/>
    <n v="20.999999999996362"/>
  </r>
  <r>
    <s v="LUDGERO HORACIO DE OLIVEIRA"/>
    <s v="06576198922"/>
    <s v="ATIVO"/>
    <s v="REGIONAL SC"/>
    <s v="CEF NORTE PR"/>
    <x v="32"/>
    <s v="LEANDRO MARCUSSO"/>
    <n v="6426.2050000000299"/>
  </r>
  <r>
    <s v="JAQUELINE LEVATI PEREIRA"/>
    <s v="01310014264"/>
    <s v="ATIVO"/>
    <s v="REGIONAL CO"/>
    <s v="CEF MANAUS AM"/>
    <x v="53"/>
    <s v="ANGELICA SOARES"/>
    <n v="191.77999999998764"/>
  </r>
  <r>
    <s v="THIAGO SEPULVEDA CUNHA"/>
    <s v="47111830865"/>
    <s v="ATIVO"/>
    <s v="REGIONAL MG"/>
    <s v="BB SUDESTE MG"/>
    <x v="54"/>
    <s v="HUGO ALEXANDRE"/>
    <n v="307.16000000000003"/>
  </r>
  <r>
    <s v="MARCELO DE SOUZA DALA VEDOVA"/>
    <s v="05375810654"/>
    <s v="ATIVO"/>
    <s v="REGIONAL MG"/>
    <s v="CEF FACILITIES BH"/>
    <x v="55"/>
    <s v="HUGO ALEXANDRE"/>
    <n v="74.329999999998222"/>
  </r>
  <r>
    <s v="DIEGO DE ALCANTARA MOTA MENDES"/>
    <s v="09407167631"/>
    <s v="ATIVO"/>
    <s v="REGIONAL MG"/>
    <s v="CEF FACILITIES BH"/>
    <x v="55"/>
    <s v="HUGO ALEXANDRE"/>
    <n v="86.419999999998652"/>
  </r>
  <r>
    <s v="ADAN LEONARDO SOUZA BATISTA"/>
    <s v="01932662537"/>
    <s v="ATIVO"/>
    <s v="REGIONAL NE"/>
    <s v="TELEFONICA BA"/>
    <x v="34"/>
    <s v="GERSON OLIVEIRA"/>
    <n v="395.59000000000196"/>
  </r>
  <r>
    <s v="LEONARDO ORESTES SOARES"/>
    <s v="05892698440"/>
    <s v="ATIVO"/>
    <s v="REGIONAL CLARO INFRA NORDESTE"/>
    <s v="CLARO INFRA NORDESTE"/>
    <x v="42"/>
    <s v="FELIPE JOSE"/>
    <n v="443.68999999999636"/>
  </r>
  <r>
    <s v="LUIZ GUSTAVO DI GIORGIO"/>
    <s v="29856268893"/>
    <s v="ATIVO"/>
    <s v="REGIONAL SP"/>
    <s v="CEF LESTE SP"/>
    <x v="33"/>
    <s v="LEANDRO NUNES"/>
    <n v="694.30000000000109"/>
  </r>
  <r>
    <s v="JOAO ALEXANDRE LIMA"/>
    <s v="10588522996"/>
    <s v="ATIVO"/>
    <s v="REGIONAL SC"/>
    <s v="CEF FACILITIES CURITIBA PR"/>
    <x v="4"/>
    <s v="LEANDRO MARCUSSO"/>
    <n v="794.14999999999827"/>
  </r>
  <r>
    <s v="MURILO DE ALMEIDA"/>
    <s v="10521167957"/>
    <s v="ATIVO"/>
    <s v="REGIONAL SC"/>
    <s v="BB LESTE PR"/>
    <x v="56"/>
    <s v="LEANDRO MARCUSSO"/>
    <n v="751.50000000000091"/>
  </r>
  <r>
    <s v="KLEBER SILVA DA SILVA"/>
    <s v="48210811053"/>
    <s v="ATIVO"/>
    <s v="REGIONAL RS"/>
    <s v="BB POA RS"/>
    <x v="57"/>
    <s v="ALEXANDRE GROSS"/>
    <n v="843.82000000000016"/>
  </r>
  <r>
    <s v="LUAN THIAGO DA SILVA"/>
    <s v="08030478437"/>
    <s v="ATIVO"/>
    <s v="REGIONAL CLARO INFRA NORDESTE"/>
    <s v="CLARO INFRA NORDESTE"/>
    <x v="42"/>
    <s v="FELIPE JOSE"/>
    <n v="916.48000000000013"/>
  </r>
  <r>
    <s v="RICARDO ZORZETTO"/>
    <s v="00539580040"/>
    <s v="ATIVO"/>
    <s v="REGIONAL RS"/>
    <s v="CEF QUERENCIA RS"/>
    <x v="58"/>
    <s v="ALEXANDRE GROSS"/>
    <n v="1305.0249999999967"/>
  </r>
  <r>
    <s v="WILLIAM NORONHA TEIXEIRA"/>
    <s v="02013700008"/>
    <s v="ATIVO"/>
    <s v="REGIONAL RS"/>
    <s v="NET APOIO RS"/>
    <x v="31"/>
    <s v="ALEXANDRE GROSS"/>
    <n v="499.67500000000001"/>
  </r>
  <r>
    <s v="RONALDO DE MATOS LELIS"/>
    <s v="47502843604"/>
    <s v="ATIVO"/>
    <s v="REGIONAL MG"/>
    <s v="CLARO INFRA MG"/>
    <x v="47"/>
    <s v="HUGO ALEXANDRE"/>
    <n v="766.12499999999818"/>
  </r>
  <r>
    <s v="JAEDER RODRIGUES JUNIOR"/>
    <s v="07505987607"/>
    <s v="ATIVO"/>
    <s v="REGIONAL MG"/>
    <s v="CEF NORDESTE MG"/>
    <x v="23"/>
    <s v="HUGO ALEXANDRE"/>
    <n v="7264.1349999999393"/>
  </r>
  <r>
    <s v="SILVIO VINICIUS PINHEIRO GOES"/>
    <s v="51182084168"/>
    <s v="ATIVO"/>
    <s v="REGIONAL CO"/>
    <s v="CLARO CO"/>
    <x v="21"/>
    <s v="ANGELICA SOARES"/>
    <n v="298.08000000000175"/>
  </r>
  <r>
    <s v="MARCIO BOUZAS FERREIRA"/>
    <s v="07318362780"/>
    <s v="ATIVO"/>
    <s v="REGIONAL RJ"/>
    <s v="VTAL CYBER RJ"/>
    <x v="59"/>
    <s v="ALLAN JEFFERSON"/>
    <n v="920.17999999999847"/>
  </r>
  <r>
    <s v="CLAUDINEI AMARAL"/>
    <s v="10433881844"/>
    <s v="ATIVO"/>
    <s v="REGIONAL SC"/>
    <s v="TRIBUNAL DE JUSTICA PR"/>
    <x v="52"/>
    <s v="LEANDRO MARCUSSO"/>
    <n v="1095.2850000000017"/>
  </r>
  <r>
    <s v="DIEGO JOSE DE PAULO"/>
    <s v="01553544692"/>
    <s v="ATIVO"/>
    <s v="REGIONAL MG"/>
    <s v="CLARO INFRA MG"/>
    <x v="47"/>
    <s v="HUGO ALEXANDRE"/>
    <n v="1590.325"/>
  </r>
  <r>
    <s v="ANDERSON BICA PEREZ"/>
    <s v="00053957040"/>
    <s v="ATIVO"/>
    <s v="REGIONAL RS"/>
    <s v="NET PORTO ALEGRE RS"/>
    <x v="38"/>
    <s v="ALEXANDRE GROSS"/>
    <n v="678.79500000000098"/>
  </r>
  <r>
    <s v="JAQUELINE ONORIO DOS SANTOS ALVES"/>
    <s v="37258325875"/>
    <s v="ATIVO"/>
    <s v="REGIONAL SP"/>
    <s v="TELEFONICA SP"/>
    <x v="20"/>
    <s v="LEANDRO NUNES"/>
    <n v="1685.2150000000006"/>
  </r>
  <r>
    <s v="AURO MOREIRA PEDROSO"/>
    <s v="32060157900"/>
    <s v="ATIVO"/>
    <s v="REGIONAL SC"/>
    <s v="BB NORTE OESTE PR"/>
    <x v="41"/>
    <s v="LEANDRO MARCUSSO"/>
    <n v="740.30499999999995"/>
  </r>
  <r>
    <s v="DANIEL SANTOS DE ASSUNCAO"/>
    <s v="97592439549"/>
    <s v="ATIVO"/>
    <s v="REGIONAL NE"/>
    <s v="BANCO ITAU BA"/>
    <x v="60"/>
    <s v="GERSON OLIVEIRA"/>
    <n v="1661.21000000001"/>
  </r>
  <r>
    <s v="MOISES DOS SANTOS CABRAL"/>
    <s v="68746458204"/>
    <s v="ATIVO"/>
    <s v="REGIONAL CO"/>
    <s v="CEF FAC RO"/>
    <x v="61"/>
    <s v="ANGELICA SOARES"/>
    <n v="541.35000000000127"/>
  </r>
  <r>
    <s v="RENATO PARREIRAS"/>
    <s v="97162485634"/>
    <s v="ATIVO"/>
    <s v="REGIONAL MG"/>
    <s v="CLARO INFRA MG"/>
    <x v="47"/>
    <s v="HUGO ALEXANDRE"/>
    <n v="59.18999999999869"/>
  </r>
  <r>
    <s v="VANDERLEI DE SOUZA NORONHA JUNIOR"/>
    <s v="37695259810"/>
    <s v="ATIVO"/>
    <s v="REGIONAL SP"/>
    <s v="TRIBUNAL DE JUSTICA SP"/>
    <x v="44"/>
    <s v="LEANDRO NUNES"/>
    <n v="122.50000000000091"/>
  </r>
  <r>
    <s v="RAFAEL NATAL LACHI"/>
    <s v="03710085900"/>
    <s v="ATIVO"/>
    <s v="REGIONAL SC"/>
    <s v="TRIBUNAL DE JUSTICA PR"/>
    <x v="52"/>
    <s v="LEANDRO MARCUSSO"/>
    <n v="304.07999999999515"/>
  </r>
  <r>
    <s v="RODRIGO FRANCISCO CORREA"/>
    <s v="03059202940"/>
    <s v="ATIVO"/>
    <s v="REGIONAL SC"/>
    <s v="TRIBUNAL DE JUSTICA PR"/>
    <x v="52"/>
    <s v="LEANDRO MARCUSSO"/>
    <n v="163.96000000000285"/>
  </r>
  <r>
    <s v="TIAGO FERNANDES SANTOS DE OLIVEIRA"/>
    <s v="00849381533"/>
    <s v="ATIVO"/>
    <s v="REGIONAL NE"/>
    <s v="CARMO ENERGY"/>
    <x v="62"/>
    <s v="GERSON OLIVEIRA"/>
    <n v="413.2699999999968"/>
  </r>
  <r>
    <s v="LUCAS DE PAULA SILVA"/>
    <s v="08204909977"/>
    <s v="ATIVO"/>
    <s v="REGIONAL SC"/>
    <s v="TRIBUNAL DE JUSTICA PR"/>
    <x v="52"/>
    <s v="LEANDRO MARCUSSO"/>
    <n v="240.79999999999708"/>
  </r>
  <r>
    <s v="JACSSON MAYLON CASTRO CORREA"/>
    <s v="10206563957"/>
    <s v="ATIVO"/>
    <s v="REGIONAL SC"/>
    <s v="TRIBUNAL DE JUSTICA PR"/>
    <x v="52"/>
    <s v="LEANDRO MARCUSSO"/>
    <n v="198.71999999999514"/>
  </r>
  <r>
    <s v="FRANCIONE DE SOUZA LUCENA"/>
    <s v="47331178253"/>
    <s v="ATIVO"/>
    <s v="REGIONAL SC"/>
    <s v="TRIBUNAL DE JUSTICA PR"/>
    <x v="52"/>
    <s v="LEANDRO MARCUSSO"/>
    <n v="386.08999999999662"/>
  </r>
  <r>
    <s v="DOUGLAS TIAGO DE OLIVEIRA"/>
    <s v="08492402989"/>
    <s v="ATIVO"/>
    <s v="REGIONAL SC"/>
    <s v="TRIBUNAL DE JUSTICA PR"/>
    <x v="52"/>
    <s v="LEANDRO MARCUSSO"/>
    <n v="442.73999999999535"/>
  </r>
  <r>
    <s v="SIDNEI MACHADO"/>
    <s v="02710155940"/>
    <s v="ATIVO"/>
    <s v="REGIONAL SC"/>
    <s v="TRIBUNAL DE JUSTICA PR"/>
    <x v="52"/>
    <s v="LEANDRO MARCUSSO"/>
    <n v="635.98000000000707"/>
  </r>
  <r>
    <s v="LUIZ FERNANDO CAVALHEIRO"/>
    <s v="03898579980"/>
    <s v="ATIVO"/>
    <s v="REGIONAL SC"/>
    <s v="TRIBUNAL DE JUSTICA PR"/>
    <x v="52"/>
    <s v="LEANDRO MARCUSSO"/>
    <n v="556.61999999999034"/>
  </r>
  <r>
    <s v="WELTON GERALDO WROBLEWSKI"/>
    <s v="91443130982"/>
    <s v="ATIVO"/>
    <s v="REGIONAL SC"/>
    <s v="TRIBUNAL DE JUSTICA PR"/>
    <x v="52"/>
    <s v="LEANDRO MARCUSSO"/>
    <n v="596.29999999999052"/>
  </r>
  <r>
    <s v="VICTOR MIGUEL PALARO"/>
    <s v="09265596996"/>
    <s v="ATIVO"/>
    <s v="REGIONAL SC"/>
    <s v="TRIBUNAL DE JUSTICA PR"/>
    <x v="52"/>
    <s v="LEANDRO MARCUSSO"/>
    <n v="671.08999999999276"/>
  </r>
  <r>
    <s v="LUCAS CARVALHO DE SOUZA"/>
    <s v="08781221924"/>
    <s v="ATIVO"/>
    <s v="REGIONAL SC"/>
    <s v="TRIBUNAL DE JUSTICA PR"/>
    <x v="52"/>
    <s v="LEANDRO MARCUSSO"/>
    <n v="693.16000000000008"/>
  </r>
  <r>
    <s v="ANTONIO MARCOS CAMARGO"/>
    <s v="04836584990"/>
    <s v="ATIVO"/>
    <s v="REGIONAL SC"/>
    <s v="TRIBUNAL DE JUSTICA PR"/>
    <x v="52"/>
    <s v="LEANDRO MARCUSSO"/>
    <n v="642.12999999999181"/>
  </r>
  <r>
    <s v="ALAN RODRIGO SILVA ANDRADE"/>
    <s v="07722232469"/>
    <s v="ATIVO"/>
    <s v="REGIONAL NE"/>
    <s v="BB ALAGOAS"/>
    <x v="63"/>
    <s v="GERSON OLIVEIRA"/>
    <n v="738.48000000000116"/>
  </r>
  <r>
    <s v="OSCAR DOMINGO PALARO"/>
    <s v="03067535960"/>
    <s v="ATIVO"/>
    <s v="REGIONAL SC"/>
    <s v="TRIBUNAL DE JUSTICA PR"/>
    <x v="52"/>
    <s v="LEANDRO MARCUSSO"/>
    <n v="736.43999999999028"/>
  </r>
  <r>
    <s v="JHEFERSON DIASSIS"/>
    <s v="07972796955"/>
    <s v="ATIVO"/>
    <s v="REGIONAL SC"/>
    <s v="TRIBUNAL DE JUSTICA PR"/>
    <x v="52"/>
    <s v="LEANDRO MARCUSSO"/>
    <n v="767.83999999999457"/>
  </r>
  <r>
    <s v="MARLON ARAUJO"/>
    <s v="07774700986"/>
    <s v="ATIVO"/>
    <s v="REGIONAL PR"/>
    <s v="TRIBUNAL DE JUSTICA PR"/>
    <x v="52"/>
    <s v="LEANDRO MARCUSSO"/>
    <n v="783.2399999999999"/>
  </r>
  <r>
    <s v="JEFERSON ZAMPRONIO DA SILVA"/>
    <s v="07060404902"/>
    <s v="ATIVO"/>
    <s v="REGIONAL SC"/>
    <s v="TRIBUNAL DE JUSTICA PR"/>
    <x v="52"/>
    <s v="LEANDRO MARCUSSO"/>
    <n v="795.81999999999618"/>
  </r>
  <r>
    <s v="DIVAN ALVES DE AMORIM"/>
    <s v="11422891844"/>
    <s v="ATIVO"/>
    <s v="REGIONAL SC"/>
    <s v="TRIBUNAL DE JUSTICA PR"/>
    <x v="52"/>
    <s v="LEANDRO MARCUSSO"/>
    <n v="734.60000000000286"/>
  </r>
  <r>
    <s v="WILLIAM SANTANA NUNES"/>
    <s v="95417400068"/>
    <s v="ATIVO"/>
    <s v="REGIONAL RS"/>
    <s v="GHC ARCON RS"/>
    <x v="64"/>
    <s v="ALEXANDRE GROSS"/>
    <n v="243.7600000000001"/>
  </r>
  <r>
    <s v="ABNER ANDRADE CAVALCANTE"/>
    <s v="02027745203"/>
    <s v="ATIVO"/>
    <s v="REGIONAL CO"/>
    <s v="CEF AM AC RR"/>
    <x v="0"/>
    <s v="ANGELICA SOARES"/>
    <n v="9948.7750000000669"/>
  </r>
  <r>
    <s v="EDMAR FERREIRA CARDOSO"/>
    <s v="06311884607"/>
    <s v="ATIVO"/>
    <s v="REGIONAL MG"/>
    <s v="NET METROPOLITANA MG"/>
    <x v="65"/>
    <s v="HUGO ALEXANDRE"/>
    <n v="159.73999999999887"/>
  </r>
  <r>
    <s v="CLAUDIO RENALDI NUNES"/>
    <s v="02705722955"/>
    <s v="ATIVO"/>
    <s v="REGIONAL SC"/>
    <s v="TRIBUNAL DE JUSTICA PR"/>
    <x v="52"/>
    <s v="LEANDRO MARCUSSO"/>
    <n v="247.35999999999484"/>
  </r>
  <r>
    <s v="MARCOS VINICIUS DE SOUZA ALVES"/>
    <s v="11823866603"/>
    <s v="ATIVO"/>
    <s v="REGIONAL MG"/>
    <s v="NET LESTE MG"/>
    <x v="66"/>
    <s v="HUGO ALEXANDRE"/>
    <n v="335.32000000000005"/>
  </r>
  <r>
    <s v="PAULO DE FREITAS PEREIRA"/>
    <s v="11634696611"/>
    <s v="ATIVO"/>
    <s v="REGIONAL MG"/>
    <s v="CLARO INFRA MG"/>
    <x v="47"/>
    <s v="HUGO ALEXANDRE"/>
    <n v="527.68000000000177"/>
  </r>
  <r>
    <s v="HUGO DELLA JUSTINA"/>
    <s v="03031202902"/>
    <s v="ATIVO"/>
    <s v="FROTA"/>
    <s v="FROTA"/>
    <x v="67"/>
    <s v="GUILHERME FORTKAMP"/>
    <n v="926.51499999999965"/>
  </r>
  <r>
    <s v="LEANDRO DE MENEZES ASSUNCAO"/>
    <s v="09072032640"/>
    <s v="ATIVO"/>
    <s v="REGIONAL MG"/>
    <s v="CLARO INFRA MG"/>
    <x v="47"/>
    <s v="HUGO ALEXANDRE"/>
    <n v="344.48000000000036"/>
  </r>
  <r>
    <s v="JULIO CESAR DE SOUZA"/>
    <s v="05430536954"/>
    <s v="ATIVO"/>
    <s v="REGIONAL SC"/>
    <s v="BB SERET SC"/>
    <x v="19"/>
    <s v="LEANDRO MARCUSSO"/>
    <n v="634.78"/>
  </r>
  <r>
    <s v="ARTHUR SANTOS DE OLIVEIRA"/>
    <s v="13921847621"/>
    <s v="ATIVO"/>
    <s v="REGIONAL MG"/>
    <s v="CLARO INFRA MG"/>
    <x v="47"/>
    <s v="HUGO ALEXANDRE"/>
    <n v="661.44000000000051"/>
  </r>
  <r>
    <s v="EDERSON LUIS BARROS DA ROSA"/>
    <s v="04614285988"/>
    <s v="ATIVO"/>
    <s v="REGIONAL CLARO INFRA SUL"/>
    <s v="CLARO INFRA PR"/>
    <x v="68"/>
    <s v="BRUNO EDUARDO"/>
    <n v="354.94500000000261"/>
  </r>
  <r>
    <s v="MARCIO CAMPOS RIBEIRO"/>
    <s v="17427326822"/>
    <s v="ATIVO"/>
    <s v="REGIONAL SP"/>
    <s v="TELEFONICA SP"/>
    <x v="20"/>
    <s v="LEANDRO NUNES"/>
    <n v="2339.579999999999"/>
  </r>
  <r>
    <s v="JOSE CLAUDIO RIBEIRO"/>
    <s v="61158852649"/>
    <s v="ATIVO"/>
    <s v="REGIONAL SP"/>
    <s v="CEF SP SUL"/>
    <x v="8"/>
    <s v="LEANDRO NUNES"/>
    <n v="4051.7000000000116"/>
  </r>
  <r>
    <s v="CLAUDIO DONIZETE DA SILVA"/>
    <s v="93457235953"/>
    <s v="ATIVO"/>
    <s v="REGIONAL SC"/>
    <s v="TRIBUNAL DE JUSTICA PR"/>
    <x v="52"/>
    <s v="LEANDRO MARCUSSO"/>
    <n v="435.65999999999667"/>
  </r>
  <r>
    <s v="RAFAEL CARNIEL DA SILVA"/>
    <s v="05337927973"/>
    <s v="ATIVO"/>
    <s v="REGIONAL SC"/>
    <s v="TRIBUNAL DE JUSTICA PR"/>
    <x v="52"/>
    <s v="LEANDRO MARCUSSO"/>
    <n v="409.49999999999818"/>
  </r>
  <r>
    <s v="AMANDA CRISTINA DA SILVA"/>
    <s v="07809466690"/>
    <s v="ATIVO"/>
    <s v="REGIONAL MG"/>
    <s v="CEF FACILITIES BH"/>
    <x v="55"/>
    <s v="HUGO ALEXANDRE"/>
    <n v="217.05000000000095"/>
  </r>
  <r>
    <s v="UELITON SANTANA SANTOS"/>
    <s v="03686605597"/>
    <s v="ATIVO"/>
    <s v="REGIONAL NE"/>
    <s v="TRANSPETRO BA"/>
    <x v="69"/>
    <s v="GERSON OLIVEIRA"/>
    <n v="151.59999999999809"/>
  </r>
  <r>
    <s v="ADAUTO JOSE PEREIRA"/>
    <s v="85087572634"/>
    <s v="ATIVO"/>
    <s v="REGIONAL MG"/>
    <s v="CEF FACILITIES BH"/>
    <x v="55"/>
    <s v="HUGO ALEXANDRE"/>
    <n v="382.06999999999982"/>
  </r>
  <r>
    <s v="JOELSON JUNIOR MARTINS DE GOES"/>
    <s v="03528389907"/>
    <s v="ATIVO"/>
    <s v="REGIONAL SC"/>
    <s v="UFPR APOIO PR"/>
    <x v="70"/>
    <s v="LEANDRO MARCUSSO"/>
    <n v="384.34999999999849"/>
  </r>
  <r>
    <s v="CRISTIANO DA SILVA VALADARES"/>
    <s v="99062208649"/>
    <s v="ATIVO"/>
    <s v="REGIONAL MG"/>
    <s v="CCBB BH MINAS"/>
    <x v="71"/>
    <s v="HUGO ALEXANDRE"/>
    <n v="470.10000000000036"/>
  </r>
  <r>
    <s v="BRUNA LAIS AZEVEDO CUNHA"/>
    <s v="07747008406"/>
    <s v="ATIVO"/>
    <s v="REGIONAL CLARO INFRA NORDESTE"/>
    <s v="CLARO INFRA NORDESTE"/>
    <x v="42"/>
    <s v="FELIPE JOSE"/>
    <n v="1012.3950000000003"/>
  </r>
  <r>
    <s v="RODRIGO JOSE DE PAULA"/>
    <s v="03348917956"/>
    <s v="ATIVO"/>
    <s v="REGIONAL CLARO INFRA SUL"/>
    <s v="CLARO INFRA PR"/>
    <x v="68"/>
    <s v="BRUNO EDUARDO"/>
    <n v="271.03000000000014"/>
  </r>
  <r>
    <s v="TULIO VELOSO HONORATO"/>
    <s v="12609931670"/>
    <s v="ATIVO"/>
    <s v="REGIONAL MG"/>
    <s v="BB SUDESTE MG"/>
    <x v="54"/>
    <s v="HUGO ALEXANDRE"/>
    <n v="1051.9749999999967"/>
  </r>
  <r>
    <s v="ALESSANDRO DE OLIVEIRA AZEVEDO"/>
    <s v="27494577858"/>
    <s v="ATIVO"/>
    <s v="REGIONAL SP"/>
    <s v="CEF BAURU SP"/>
    <x v="12"/>
    <s v="LEANDRO NUNES"/>
    <n v="3015.735000000001"/>
  </r>
  <r>
    <s v="HELDER ARCHANJO FERREIRA"/>
    <s v="06439531670"/>
    <s v="ATIVO"/>
    <s v="REGIONAL MG"/>
    <s v="CLARO INFRA MG"/>
    <x v="47"/>
    <s v="HUGO ALEXANDRE"/>
    <n v="540.01500000000033"/>
  </r>
  <r>
    <s v="MILTON FERREIRA DAS NEVES JUNIOR"/>
    <s v="05100355581"/>
    <s v="ATIVO"/>
    <s v="REGIONAL NE"/>
    <s v="ACELEN AR"/>
    <x v="72"/>
    <s v="GERSON OLIVEIRA"/>
    <n v="1522.8399999999979"/>
  </r>
  <r>
    <s v="GERSON PEREIRA"/>
    <s v="38950693291"/>
    <s v="ATIVO"/>
    <s v="REGIONAL RS"/>
    <s v="NET PORTO ALEGRE RS"/>
    <x v="38"/>
    <s v="ALEXANDRE GROSS"/>
    <n v="531.70000000000005"/>
  </r>
  <r>
    <s v="NIVALDO THIAGO DA CRUZ SANTOS"/>
    <s v="04442316929"/>
    <s v="ATIVO"/>
    <s v="REGIONAL CLARO INFRA SUL"/>
    <s v="CLARO INFRA PR"/>
    <x v="68"/>
    <s v="BRUNO EDUARDO"/>
    <n v="72.875000000000114"/>
  </r>
  <r>
    <s v="ANDERSON RICARDO VIEIRA"/>
    <s v="07822591975"/>
    <s v="ATIVO"/>
    <s v="REGIONAL SC"/>
    <s v="BB NORTE OESTE PR"/>
    <x v="41"/>
    <s v="LEANDRO MARCUSSO"/>
    <n v="500"/>
  </r>
  <r>
    <s v="KATIA RESENDE DA SILVA"/>
    <s v="45154701836"/>
    <s v="ATIVO"/>
    <s v="REGIONAL SP"/>
    <s v="TELEFONICA SP"/>
    <x v="20"/>
    <s v="LEANDRO NUNES"/>
    <n v="1523.43"/>
  </r>
  <r>
    <s v="MARCEL DA HORA CARVALHO"/>
    <s v="01730674500"/>
    <s v="ATIVO"/>
    <s v="REGIONAL NE"/>
    <s v="POLICIA FEDERAL BA"/>
    <x v="73"/>
    <s v="GERSON OLIVEIRA"/>
    <n v="1515.1300000000169"/>
  </r>
  <r>
    <s v="JEFFERSON NAZARENO SILVA FREITAS"/>
    <s v="08103183776"/>
    <s v="ATIVO"/>
    <s v="REGIONAL RJ"/>
    <s v="CEF INTERIOR RJ"/>
    <x v="5"/>
    <s v="ALLAN JEFFERSON"/>
    <n v="510.96999999999662"/>
  </r>
  <r>
    <s v="NILTON SANTOS DA SILVA"/>
    <s v="63424770000"/>
    <s v="ATIVO"/>
    <s v="REGIONAL CLARO INFRA SUL"/>
    <s v="CLARO INFRA RS"/>
    <x v="74"/>
    <s v="BRUNO EDUARDO"/>
    <n v="300"/>
  </r>
  <r>
    <s v="MARCIO CORREA DA SILVA"/>
    <s v="98717251087"/>
    <s v="ATIVO"/>
    <s v="REGIONAL SC"/>
    <s v="NET CTA PR"/>
    <x v="75"/>
    <s v="LEANDRO MARCUSSO"/>
    <n v="161.19000000000165"/>
  </r>
  <r>
    <s v="CLAUDINEI VICENTE DE LIMA"/>
    <s v="91920795987"/>
    <s v="ATIVO"/>
    <s v="REGIONAL CLARO INFRA SUL"/>
    <s v="CELESC NORTE SC"/>
    <x v="76"/>
    <s v="BRUNO EDUARDO"/>
    <n v="56.899999999998911"/>
  </r>
  <r>
    <s v="MAURICIO JOSE CARDOSO"/>
    <s v="98394282091"/>
    <s v="ATIVO"/>
    <s v="REGIONAL RS"/>
    <s v="GHC ARCON RS"/>
    <x v="64"/>
    <s v="ALEXANDRE GROSS"/>
    <n v="195.67999999999992"/>
  </r>
  <r>
    <s v="ROGERIO GOMES DE OLIVEIRA"/>
    <s v="89591640030"/>
    <s v="ATIVO"/>
    <s v="REGIONAL RS"/>
    <s v="CEF NORTE GAUCHO RS"/>
    <x v="77"/>
    <s v="ALEXANDRE GROSS"/>
    <n v="769.80999999999949"/>
  </r>
  <r>
    <s v="CARLOS FRANCISCO GODOY"/>
    <s v="82741980004"/>
    <s v="ATIVO"/>
    <s v="REGIONAL RS"/>
    <s v="CEF LESTE GAUCHO RS"/>
    <x v="2"/>
    <s v="ALEXANDRE GROSS"/>
    <n v="60.720000000000063"/>
  </r>
  <r>
    <s v="LUCAS HENRIQUE CORREA DOS SANTOS"/>
    <s v="10652119964"/>
    <s v="ATIVO"/>
    <s v="REGIONAL CLARO INFRA SUL"/>
    <s v="CLARO INFRA SC"/>
    <x v="78"/>
    <s v="BRUNO EDUARDO"/>
    <n v="24.040000000000191"/>
  </r>
  <r>
    <s v="PITER ROBSON DA SILVA"/>
    <s v="91388686953"/>
    <s v="ATIVO"/>
    <s v="REGIONAL CLARO INFRA SUL"/>
    <s v="CLARO INFRA PR"/>
    <x v="68"/>
    <s v="BRUNO EDUARDO"/>
    <n v="58"/>
  </r>
  <r>
    <s v="LUCIANO DA SILVA DE PAULA"/>
    <s v="11489828923"/>
    <s v="ATIVO"/>
    <s v="REGIONAL CLARO INFRA SUL"/>
    <s v="CLARO INFRA PR"/>
    <x v="68"/>
    <s v="BRUNO EDUARDO"/>
    <n v="83.400000000000091"/>
  </r>
  <r>
    <s v="CREOL APARECIDO DOS SANTOS"/>
    <s v="03363725906"/>
    <s v="ATIVO"/>
    <s v="REGIONAL CLARO INFRA SUL"/>
    <s v="CLARO INFRA PR"/>
    <x v="68"/>
    <s v="BRUNO EDUARDO"/>
    <n v="82.539999999999964"/>
  </r>
  <r>
    <s v="LUCAS HENRIQUE PINHO"/>
    <s v="45211709861"/>
    <s v="ATIVO"/>
    <s v="REGIONAL CLARO INFRA SUL"/>
    <s v="CLARO INFRA PR"/>
    <x v="68"/>
    <s v="BRUNO EDUARDO"/>
    <n v="91.684999999999931"/>
  </r>
  <r>
    <s v="ISAIAS DA SILVA"/>
    <s v="04083479965"/>
    <s v="ATIVO"/>
    <s v="REGIONAL SC"/>
    <s v="TRIBUNAL DE JUSTICA PR"/>
    <x v="52"/>
    <s v="LEANDRO MARCUSSO"/>
    <n v="804.90000000000111"/>
  </r>
  <r>
    <s v="SILVIO VINICIUS PINHEIRO GOES"/>
    <s v="51182084168"/>
    <m/>
    <s v="REGIONAL CO"/>
    <s v="CLARO CO"/>
    <x v="21"/>
    <m/>
    <n v="5401.9199999999983"/>
  </r>
  <r>
    <s v="FLAVIO FERNANDES DOS REIS LIMA"/>
    <s v="01767960107"/>
    <m/>
    <s v="REGIONAL CO"/>
    <s v="TELEFONICA CO"/>
    <x v="79"/>
    <m/>
    <n v="3436.7700000000332"/>
  </r>
  <r>
    <s v="WALTER DE CAMPOS NUNES NETO"/>
    <s v="99114160030"/>
    <m/>
    <s v="REGIONAL CLARO INFRA SUL"/>
    <s v="CLARO INFRA RS"/>
    <x v="74"/>
    <m/>
    <n v="2810.3"/>
  </r>
  <r>
    <s v="CAIOS VINICIUS NUNES BROERING"/>
    <s v="07053418952"/>
    <m/>
    <s v="REGIONAL CLARO INFRA SUL"/>
    <s v="CLARO INFRA SC"/>
    <x v="78"/>
    <m/>
    <n v="2165.739999999993"/>
  </r>
  <r>
    <s v="JOELSON FERREIRA DOS SANTOS"/>
    <s v="07690263623"/>
    <m/>
    <s v="REGIONAL MG"/>
    <s v="CEF SUDESTE MG"/>
    <x v="80"/>
    <m/>
    <n v="1816.7500000000146"/>
  </r>
  <r>
    <s v="DANIEL DA SILVA LOPES"/>
    <s v="94288259053"/>
    <m/>
    <s v="REGIONAL SC"/>
    <s v="NET APOIO SC"/>
    <x v="29"/>
    <m/>
    <n v="1741.5499999999993"/>
  </r>
  <r>
    <s v="PAULO NILTON COSTA MOREIRA"/>
    <s v="45159599053"/>
    <m/>
    <s v="REGIONAL RS"/>
    <s v="CEF EXTREMO SUL RS"/>
    <x v="22"/>
    <m/>
    <n v="1525.98"/>
  </r>
  <r>
    <s v="PATRICK ANTONIEVICZ ALVES"/>
    <s v="06456801923"/>
    <m/>
    <s v="REGIONAL SC"/>
    <s v="TRIBUNAL DE JUSTICA PR"/>
    <x v="52"/>
    <m/>
    <n v="1379.0000000000036"/>
  </r>
  <r>
    <s v="FRANCIELLY FELIX CAVALCANTE DE ANDRADE"/>
    <s v="09276240446"/>
    <m/>
    <s v="REGIONAL CO"/>
    <s v="CEF AM AC RR"/>
    <x v="0"/>
    <m/>
    <n v="1000"/>
  </r>
  <r>
    <s v="LUCAS RODRIGUES DE MOURA GALVAO"/>
    <s v="04013986175"/>
    <m/>
    <s v="REGIONAL CO"/>
    <s v="CEF GOIANIA CO"/>
    <x v="36"/>
    <m/>
    <n v="998.97999999999956"/>
  </r>
  <r>
    <s v="EDUARDO SANTOS"/>
    <s v="91270529072"/>
    <m/>
    <s v="REGIONAL RS"/>
    <s v="NET APOIO RS"/>
    <x v="31"/>
    <m/>
    <n v="964.9900000000107"/>
  </r>
  <r>
    <s v="FABIO PROVESI"/>
    <s v="05731312958"/>
    <m/>
    <s v="REGIONAL SC"/>
    <s v="BB SERET SC"/>
    <x v="19"/>
    <m/>
    <n v="668.02"/>
  </r>
  <r>
    <s v="FILIPE MENEZES KLING"/>
    <s v="10664298710"/>
    <m/>
    <s v="REGIONAL RJ"/>
    <s v="PTB CENPES RJ"/>
    <x v="81"/>
    <m/>
    <n v="520"/>
  </r>
  <r>
    <s v="LAERCIO SOARES CANABARRO"/>
    <s v="58763376091"/>
    <m/>
    <s v="REGIONAL SC"/>
    <s v="BB SERET SC"/>
    <x v="19"/>
    <m/>
    <n v="479.99999999999994"/>
  </r>
  <r>
    <s v="RODRIGO SANTOS DA SILVA"/>
    <s v="05504962706"/>
    <m/>
    <s v="REGIONAL RJ"/>
    <s v="BANCO ITAU RJ"/>
    <x v="82"/>
    <m/>
    <n v="470.20999999999185"/>
  </r>
  <r>
    <s v="RONALDO RUFINO SANTANA"/>
    <s v="29758827855"/>
    <m/>
    <s v="REGIONAL SP"/>
    <s v="CEF PIRACICABA SP"/>
    <x v="14"/>
    <m/>
    <n v="466.86000000000013"/>
  </r>
  <r>
    <s v="THIAGO SEPULVEDA CUNHA"/>
    <s v="47111830865"/>
    <m/>
    <s v="REGIONAL MG"/>
    <s v="BB SUDESTE MG"/>
    <x v="54"/>
    <m/>
    <n v="428.57"/>
  </r>
  <r>
    <s v="ELIANDRO BRUNING"/>
    <s v="00461757923"/>
    <m/>
    <s v="REGIONAL SC"/>
    <s v="TRIBUNAL DE JUSTICA PR"/>
    <x v="52"/>
    <m/>
    <n v="362.21"/>
  </r>
  <r>
    <s v="CLAUDEMIR MOREIRA"/>
    <s v="75609444004"/>
    <m/>
    <s v="REGIONAL SC"/>
    <s v="TRIBUNAL DE JUSTICA PR"/>
    <x v="52"/>
    <m/>
    <n v="325.48000000000229"/>
  </r>
  <r>
    <s v="JEFERSON ADRIANO WERNER"/>
    <s v="08935547905"/>
    <m/>
    <s v="REGIONAL SC"/>
    <s v="TRIBUNAL DE JUSTICA PR"/>
    <x v="52"/>
    <m/>
    <n v="316.18999999999693"/>
  </r>
  <r>
    <s v="JACSSON MAYLON CASTRO CORREA"/>
    <s v="10206563957"/>
    <m/>
    <s v="REGIONAL SC"/>
    <s v="TRIBUNAL DE JUSTICA PR"/>
    <x v="52"/>
    <m/>
    <n v="300.64"/>
  </r>
  <r>
    <s v="MARCOS SEGER"/>
    <s v="97135631900"/>
    <m/>
    <s v="REGIONAL SC"/>
    <s v="UFPR APOIO PR"/>
    <x v="70"/>
    <m/>
    <n v="296"/>
  </r>
  <r>
    <s v="BRUNA LAIS DOS SANTOS PESSOA"/>
    <s v="13459423625"/>
    <m/>
    <s v="REGIONAL MG"/>
    <s v="ASSEMBLEIA LEGISLATIVA MG"/>
    <x v="48"/>
    <m/>
    <n v="288.11999999999983"/>
  </r>
  <r>
    <s v="UELITON CANDIDO"/>
    <s v="10354623621"/>
    <m/>
    <s v="REGIONAL MG"/>
    <s v="NET SUL MG"/>
    <x v="83"/>
    <m/>
    <n v="278.08000000000061"/>
  </r>
  <r>
    <s v="ERICSON PINHEIRO DOS SANTOS"/>
    <s v="29157549850"/>
    <m/>
    <s v="REGIONAL SP"/>
    <s v="CEF FACILITIES SP"/>
    <x v="84"/>
    <m/>
    <n v="262.45999999999913"/>
  </r>
  <r>
    <s v="LEANDRO APARECIDO PEREIRA DA SILVA STEFANINI"/>
    <s v="36020922839"/>
    <m/>
    <s v="REGIONAL SP"/>
    <s v="TRIBUNAL DE JUSTICA SP"/>
    <x v="44"/>
    <m/>
    <n v="257.70000000000005"/>
  </r>
  <r>
    <s v="CLAUDIO RENALDI NUNES"/>
    <s v="02705722955"/>
    <m/>
    <s v="REGIONAL SC"/>
    <s v="TRIBUNAL DE JUSTICA PR"/>
    <x v="52"/>
    <m/>
    <n v="251.31999999999994"/>
  </r>
  <r>
    <s v="LUCAS DE PAULA SILVA"/>
    <s v="08204909977"/>
    <m/>
    <s v="REGIONAL SC"/>
    <s v="TRIBUNAL DE JUSTICA PR"/>
    <x v="52"/>
    <m/>
    <n v="242.9"/>
  </r>
  <r>
    <s v="WAGNER DOS SANTOS PEREIRA"/>
    <s v="94512043004"/>
    <m/>
    <s v="REGIONAL SC"/>
    <s v="BB SHOPPING ESTACAO PR"/>
    <x v="85"/>
    <m/>
    <n v="219.99999999999909"/>
  </r>
  <r>
    <s v="MARCIO DA COSTA JOAO"/>
    <s v="02524841936"/>
    <m/>
    <s v="REGIONAL SC"/>
    <s v="BB CENOP CURITIBA PR"/>
    <x v="86"/>
    <m/>
    <n v="199.89999999999986"/>
  </r>
  <r>
    <s v="DOUGLAS TIAGO DE OLIVEIRA"/>
    <s v="08492402989"/>
    <m/>
    <s v="REGIONAL SC"/>
    <s v="TRIBUNAL DE JUSTICA PR"/>
    <x v="52"/>
    <m/>
    <n v="194.63"/>
  </r>
  <r>
    <s v="PRISCILA GOTARDO PEREIRA"/>
    <s v="05168980945"/>
    <m/>
    <s v="REGIONAL SC"/>
    <s v="ADM FILIAL SC"/>
    <x v="39"/>
    <m/>
    <n v="185.38000000000102"/>
  </r>
  <r>
    <s v="MARCOS VINICIUS DE SOUZA ALVES"/>
    <s v="11823866603"/>
    <m/>
    <s v="REGIONAL MG"/>
    <s v="NET LESTE MG"/>
    <x v="66"/>
    <m/>
    <n v="183.39"/>
  </r>
  <r>
    <s v="MARCELO PEREIRA LIMA"/>
    <s v="10254434894"/>
    <m/>
    <s v="REGIONAL SP"/>
    <s v="BB CAMPINAS SP"/>
    <x v="87"/>
    <m/>
    <n v="181.61999999999989"/>
  </r>
  <r>
    <s v="UELITON SANTANA SANTOS"/>
    <s v="03686605597"/>
    <m/>
    <s v="REGIONAL NE"/>
    <s v="TRANSPETRO BA"/>
    <x v="69"/>
    <m/>
    <n v="166.5"/>
  </r>
  <r>
    <s v="JAIR ASSIS DA SILVA"/>
    <s v="60377348953"/>
    <m/>
    <s v="REGIONAL SC"/>
    <s v="BB SERET SC"/>
    <x v="19"/>
    <m/>
    <n v="157.14999999999776"/>
  </r>
  <r>
    <s v="RODRIGO FRANCISCO CORREA"/>
    <s v="03059202940"/>
    <m/>
    <s v="REGIONAL SC"/>
    <s v="TRIBUNAL DE JUSTICA PR"/>
    <x v="52"/>
    <m/>
    <n v="155.66999999999999"/>
  </r>
  <r>
    <s v="TIAGO DE JESUS ARAUJO"/>
    <s v="04661413199"/>
    <m/>
    <s v="REGIONAL SP"/>
    <s v="TRIBUNAL DE JUSTICA SP"/>
    <x v="44"/>
    <m/>
    <n v="147.00000000000045"/>
  </r>
  <r>
    <s v="JACKSON NATAN RODRIGUES DA SILVA"/>
    <s v="01456786288"/>
    <m/>
    <s v="REGIONAL SC"/>
    <s v="BB NORTE OESTE PR"/>
    <x v="41"/>
    <m/>
    <n v="146"/>
  </r>
  <r>
    <s v="RODRIGO ROBERTO DE SOUZA"/>
    <s v="05664820969"/>
    <m/>
    <s v="REGIONAL SC"/>
    <s v="BB GRANDE FLORIANOPOLIS SC"/>
    <x v="88"/>
    <m/>
    <n v="138.7300000000032"/>
  </r>
  <r>
    <s v="LUIZ FERNANDO CAVALHEIRO"/>
    <s v="03898579980"/>
    <m/>
    <s v="REGIONAL SC"/>
    <s v="TRIBUNAL DE JUSTICA PR"/>
    <x v="52"/>
    <m/>
    <n v="134.4400000000096"/>
  </r>
  <r>
    <s v="FRANCIONE DE SOUZA LUCENA"/>
    <s v="47331178253"/>
    <m/>
    <s v="REGIONAL SC"/>
    <s v="TRIBUNAL DE JUSTICA PR"/>
    <x v="52"/>
    <m/>
    <n v="131.09000000000003"/>
  </r>
  <r>
    <s v="JOSEANE DA SILVA SOUZA"/>
    <s v="71944885234"/>
    <m/>
    <s v="REGIONAL SC"/>
    <s v="PTB AREAS VERDES SC"/>
    <x v="89"/>
    <m/>
    <n v="120"/>
  </r>
  <r>
    <s v="SILVIO ODELI FILHO"/>
    <s v="07634898910"/>
    <m/>
    <s v="REGIONAL CLARO INFRA SUL"/>
    <s v="CLARO INFRA SC"/>
    <x v="78"/>
    <m/>
    <n v="120"/>
  </r>
  <r>
    <s v="WELTON GERALDO WROBLEWSKI"/>
    <s v="91443130982"/>
    <m/>
    <s v="REGIONAL SC"/>
    <s v="TRIBUNAL DE JUSTICA PR"/>
    <x v="52"/>
    <m/>
    <n v="101.850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685CE-CF9D-4E1A-A3E8-AFACEF1EBB25}" name="Tabela dinâmica1" cacheId="18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2:L93" firstHeaderRow="1" firstDataRow="1" firstDataCol="1"/>
  <pivotFields count="8">
    <pivotField showAll="0"/>
    <pivotField showAll="0"/>
    <pivotField showAll="0"/>
    <pivotField showAll="0"/>
    <pivotField showAll="0"/>
    <pivotField axis="axisRow" showAll="0">
      <items count="91">
        <item x="67"/>
        <item x="49"/>
        <item x="24"/>
        <item x="39"/>
        <item x="74"/>
        <item x="63"/>
        <item x="56"/>
        <item x="57"/>
        <item x="85"/>
        <item x="54"/>
        <item x="19"/>
        <item x="86"/>
        <item x="71"/>
        <item x="88"/>
        <item x="87"/>
        <item x="35"/>
        <item x="41"/>
        <item x="13"/>
        <item x="1"/>
        <item x="0"/>
        <item x="27"/>
        <item x="2"/>
        <item x="22"/>
        <item x="26"/>
        <item x="28"/>
        <item x="77"/>
        <item x="25"/>
        <item x="33"/>
        <item x="58"/>
        <item x="23"/>
        <item x="43"/>
        <item x="3"/>
        <item x="53"/>
        <item x="50"/>
        <item x="8"/>
        <item x="84"/>
        <item x="10"/>
        <item x="32"/>
        <item x="55"/>
        <item x="61"/>
        <item x="17"/>
        <item x="14"/>
        <item x="12"/>
        <item x="36"/>
        <item x="4"/>
        <item x="5"/>
        <item x="6"/>
        <item x="16"/>
        <item x="21"/>
        <item x="78"/>
        <item x="68"/>
        <item x="47"/>
        <item x="42"/>
        <item x="80"/>
        <item x="15"/>
        <item x="29"/>
        <item x="30"/>
        <item x="40"/>
        <item x="20"/>
        <item x="79"/>
        <item x="34"/>
        <item x="45"/>
        <item x="52"/>
        <item x="31"/>
        <item x="38"/>
        <item x="11"/>
        <item x="37"/>
        <item x="18"/>
        <item x="64"/>
        <item x="75"/>
        <item x="76"/>
        <item x="62"/>
        <item x="60"/>
        <item x="82"/>
        <item x="66"/>
        <item x="9"/>
        <item x="73"/>
        <item x="51"/>
        <item x="44"/>
        <item x="70"/>
        <item x="65"/>
        <item x="83"/>
        <item x="72"/>
        <item x="48"/>
        <item x="46"/>
        <item x="7"/>
        <item x="81"/>
        <item x="89"/>
        <item x="69"/>
        <item x="59"/>
        <item t="default"/>
      </items>
    </pivotField>
    <pivotField showAll="0"/>
    <pivotField dataField="1" numFmtId="44" showAll="0"/>
  </pivotFields>
  <rowFields count="1">
    <field x="5"/>
  </rowFields>
  <rowItems count="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t="grand">
      <x/>
    </i>
  </rowItems>
  <colItems count="1">
    <i/>
  </colItems>
  <dataFields count="1">
    <dataField name="Soma de Carga Final " fld="7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0557B-1E5B-4287-97E4-ECB692DC023A}" name="Tabela1" displayName="Tabela1" ref="A6:Q388" totalsRowShown="0">
  <autoFilter ref="A6:Q388" xr:uid="{9890557B-1E5B-4287-97E4-ECB692DC023A}">
    <filterColumn colId="0">
      <filters>
        <filter val="ANGELICA SOARES AMARANTE SILVA"/>
      </filters>
    </filterColumn>
  </autoFilter>
  <sortState xmlns:xlrd2="http://schemas.microsoft.com/office/spreadsheetml/2017/richdata2" ref="A7:Q388">
    <sortCondition ref="A6:A388"/>
  </sortState>
  <tableColumns count="17">
    <tableColumn id="1" xr3:uid="{E3E1C849-4424-44C7-BF22-59B0969BCBBE}" name="COLABORADOR" dataDxfId="23"/>
    <tableColumn id="2" xr3:uid="{F019196E-ED01-46F7-B85F-399BFBE8A744}" name="CPF" dataDxfId="22"/>
    <tableColumn id="3" xr3:uid="{F0D7A5E5-A9F5-4A33-920C-B59D0F579725}" name="SITUAÇÃO" dataDxfId="21"/>
    <tableColumn id="4" xr3:uid="{3F40BFB8-4856-4A03-ACBE-DF9E375A1230}" name="REGIONAL" dataDxfId="20"/>
    <tableColumn id="5" xr3:uid="{FE5E8E8A-9B97-4401-AAF4-07288DE09887}" name="CENTRO DE CUSTO" dataDxfId="19"/>
    <tableColumn id="6" xr3:uid="{476BF7D4-C3A8-462E-976E-71E163B32A8B}" name="GESTOR" dataDxfId="18"/>
    <tableColumn id="7" xr3:uid="{BA5EB00F-0211-4192-9E5E-3662FDFF35E5}" name="DIRETOR" dataDxfId="17"/>
    <tableColumn id="18" xr3:uid="{800167E7-DD06-47C9-9A40-4D84F9BFF24A}" name="SALDO REEMBOLSAR" dataDxfId="16"/>
    <tableColumn id="8" xr3:uid="{BE96F36A-843F-4A6E-B422-B4357D51B036}" name="SALDO FINAL" dataDxfId="15"/>
    <tableColumn id="9" xr3:uid="{72674CD5-D091-4666-A818-460DB9468231}" name="1ª QZ" dataDxfId="14"/>
    <tableColumn id="10" xr3:uid="{122598D4-90DA-4EC3-9882-19AC58D7D7DA}" name="SALDO CARTAO" dataDxfId="13"/>
    <tableColumn id="11" xr3:uid="{E771A5F2-117A-427E-A393-4FBB4FED7DE8}" name="Adiantamento " dataDxfId="12"/>
    <tableColumn id="12" xr3:uid="{00E331BC-C625-4958-B44F-95F071C26F22}" name="CARGA PARCIAL" dataDxfId="11">
      <calculatedColumnFormula>Tabela1[[#This Row],[1ª QZ]]-Tabela1[[#This Row],[SALDO FINAL]]-Tabela1[[#This Row],[SALDO CARTAO]]-Tabela1[[#This Row],[Adiantamento ]]</calculatedColumnFormula>
    </tableColumn>
    <tableColumn id="13" xr3:uid="{CC6C7D48-72DE-40F9-BBDA-1CDE7CFEC6B7}" name="REEMBOLSO" dataDxfId="10">
      <calculatedColumnFormula>Tabela1[[#This Row],[SALDO REEMBOLSAR]]*$N$4</calculatedColumnFormula>
    </tableColumn>
    <tableColumn id="14" xr3:uid="{598CADA8-4B1A-4121-8111-A6DF679CED04}" name="Carga Final " dataDxfId="9">
      <calculatedColumnFormula>IF(Tabela1[[#This Row],[CARGA PARCIAL]]&lt;0,0,Tabela1[[#This Row],[CARGA PARCIAL]])+Tabela1[[#This Row],[REEMBOLSO]]</calculatedColumnFormula>
    </tableColumn>
    <tableColumn id="15" xr3:uid="{2E964194-F9B8-4462-837B-9454C0019787}" name="obs"/>
    <tableColumn id="16" xr3:uid="{38FE18B0-EB87-467E-8D33-14AAAC754EDC}" name="STATUS DO CARTÃO" dataDxfId="8">
      <calculatedColumnFormula>_xlfn.XLOOKUP(Tabela1[[#This Row],[COLABORADOR]],'STATUS CARTAO'!D:D,'STATUS CARTAO'!G:G)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amp.vexpenses.com/settings/membros-de-equipe/890792" TargetMode="External"/><Relationship Id="rId21" Type="http://schemas.openxmlformats.org/officeDocument/2006/relationships/hyperlink" Target="https://amp.vexpenses.com/settings/membros-de-equipe/895961" TargetMode="External"/><Relationship Id="rId324" Type="http://schemas.openxmlformats.org/officeDocument/2006/relationships/hyperlink" Target="https://amp.vexpenses.com/settings/membros-de-equipe/896196" TargetMode="External"/><Relationship Id="rId531" Type="http://schemas.openxmlformats.org/officeDocument/2006/relationships/hyperlink" Target="https://amp.vexpenses.com/settings/membros-de-equipe/896340" TargetMode="External"/><Relationship Id="rId170" Type="http://schemas.openxmlformats.org/officeDocument/2006/relationships/hyperlink" Target="https://amp.vexpenses.com/settings/membros-de-equipe/961468" TargetMode="External"/><Relationship Id="rId268" Type="http://schemas.openxmlformats.org/officeDocument/2006/relationships/hyperlink" Target="https://amp.vexpenses.com/settings/membros-de-equipe/896152" TargetMode="External"/><Relationship Id="rId475" Type="http://schemas.openxmlformats.org/officeDocument/2006/relationships/hyperlink" Target="https://amp.vexpenses.com/settings/membros-de-equipe/918849" TargetMode="External"/><Relationship Id="rId32" Type="http://schemas.openxmlformats.org/officeDocument/2006/relationships/hyperlink" Target="https://amp.vexpenses.com/settings/membros-de-equipe/1133255" TargetMode="External"/><Relationship Id="rId128" Type="http://schemas.openxmlformats.org/officeDocument/2006/relationships/hyperlink" Target="https://amp.vexpenses.com/settings/membros-de-equipe/896048" TargetMode="External"/><Relationship Id="rId335" Type="http://schemas.openxmlformats.org/officeDocument/2006/relationships/hyperlink" Target="https://amp.vexpenses.com/settings/membros-de-equipe/896205" TargetMode="External"/><Relationship Id="rId542" Type="http://schemas.openxmlformats.org/officeDocument/2006/relationships/hyperlink" Target="https://amp.vexpenses.com/settings/membros-de-equipe/891979" TargetMode="External"/><Relationship Id="rId181" Type="http://schemas.openxmlformats.org/officeDocument/2006/relationships/hyperlink" Target="https://amp.vexpenses.com/settings/membros-de-equipe/896088" TargetMode="External"/><Relationship Id="rId402" Type="http://schemas.openxmlformats.org/officeDocument/2006/relationships/hyperlink" Target="https://amp.vexpenses.com/settings/membros-de-equipe/917365" TargetMode="External"/><Relationship Id="rId279" Type="http://schemas.openxmlformats.org/officeDocument/2006/relationships/hyperlink" Target="https://amp.vexpenses.com/settings/membros-de-equipe/978694" TargetMode="External"/><Relationship Id="rId486" Type="http://schemas.openxmlformats.org/officeDocument/2006/relationships/hyperlink" Target="https://amp.vexpenses.com/settings/membros-de-equipe/1147698" TargetMode="External"/><Relationship Id="rId43" Type="http://schemas.openxmlformats.org/officeDocument/2006/relationships/hyperlink" Target="https://amp.vexpenses.com/settings/membros-de-equipe/929757" TargetMode="External"/><Relationship Id="rId139" Type="http://schemas.openxmlformats.org/officeDocument/2006/relationships/hyperlink" Target="https://amp.vexpenses.com/settings/membros-de-equipe/896053" TargetMode="External"/><Relationship Id="rId346" Type="http://schemas.openxmlformats.org/officeDocument/2006/relationships/hyperlink" Target="https://amp.vexpenses.com/settings/membros-de-equipe/1023033" TargetMode="External"/><Relationship Id="rId553" Type="http://schemas.openxmlformats.org/officeDocument/2006/relationships/hyperlink" Target="https://amp.vexpenses.com/settings/membros-de-equipe/1100082" TargetMode="External"/><Relationship Id="rId192" Type="http://schemas.openxmlformats.org/officeDocument/2006/relationships/hyperlink" Target="https://amp.vexpenses.com/settings/membros-de-equipe/896096" TargetMode="External"/><Relationship Id="rId206" Type="http://schemas.openxmlformats.org/officeDocument/2006/relationships/hyperlink" Target="https://amp.vexpenses.com/settings/membros-de-equipe/896111" TargetMode="External"/><Relationship Id="rId413" Type="http://schemas.openxmlformats.org/officeDocument/2006/relationships/hyperlink" Target="https://amp.vexpenses.com/settings/membros-de-equipe/896425" TargetMode="External"/><Relationship Id="rId497" Type="http://schemas.openxmlformats.org/officeDocument/2006/relationships/hyperlink" Target="https://amp.vexpenses.com/settings/membros-de-equipe/917081" TargetMode="External"/><Relationship Id="rId357" Type="http://schemas.openxmlformats.org/officeDocument/2006/relationships/hyperlink" Target="https://amp.vexpenses.com/settings/membros-de-equipe/896216" TargetMode="External"/><Relationship Id="rId54" Type="http://schemas.openxmlformats.org/officeDocument/2006/relationships/hyperlink" Target="https://amp.vexpenses.com/settings/membros-de-equipe/895984" TargetMode="External"/><Relationship Id="rId217" Type="http://schemas.openxmlformats.org/officeDocument/2006/relationships/hyperlink" Target="https://amp.vexpenses.com/settings/membros-de-equipe/929756" TargetMode="External"/><Relationship Id="rId564" Type="http://schemas.openxmlformats.org/officeDocument/2006/relationships/hyperlink" Target="https://amp.vexpenses.com/settings/membros-de-equipe/896365" TargetMode="External"/><Relationship Id="rId424" Type="http://schemas.openxmlformats.org/officeDocument/2006/relationships/hyperlink" Target="https://amp.vexpenses.com/settings/membros-de-equipe/896259" TargetMode="External"/><Relationship Id="rId270" Type="http://schemas.openxmlformats.org/officeDocument/2006/relationships/hyperlink" Target="https://amp.vexpenses.com/settings/membros-de-equipe/896154" TargetMode="External"/><Relationship Id="rId65" Type="http://schemas.openxmlformats.org/officeDocument/2006/relationships/hyperlink" Target="https://amp.vexpenses.com/settings/membros-de-equipe/895994" TargetMode="External"/><Relationship Id="rId130" Type="http://schemas.openxmlformats.org/officeDocument/2006/relationships/hyperlink" Target="https://amp.vexpenses.com/settings/membros-de-equipe/1066365" TargetMode="External"/><Relationship Id="rId368" Type="http://schemas.openxmlformats.org/officeDocument/2006/relationships/hyperlink" Target="https://amp.vexpenses.com/settings/membros-de-equipe/1114308" TargetMode="External"/><Relationship Id="rId575" Type="http://schemas.openxmlformats.org/officeDocument/2006/relationships/hyperlink" Target="https://amp.vexpenses.com/settings/membros-de-equipe/920868" TargetMode="External"/><Relationship Id="rId228" Type="http://schemas.openxmlformats.org/officeDocument/2006/relationships/hyperlink" Target="https://amp.vexpenses.com/settings/membros-de-equipe/896128" TargetMode="External"/><Relationship Id="rId435" Type="http://schemas.openxmlformats.org/officeDocument/2006/relationships/hyperlink" Target="https://amp.vexpenses.com/settings/membros-de-equipe/896268" TargetMode="External"/><Relationship Id="rId281" Type="http://schemas.openxmlformats.org/officeDocument/2006/relationships/hyperlink" Target="https://amp.vexpenses.com/settings/membros-de-equipe/930413" TargetMode="External"/><Relationship Id="rId502" Type="http://schemas.openxmlformats.org/officeDocument/2006/relationships/hyperlink" Target="https://amp.vexpenses.com/settings/membros-de-equipe/896316" TargetMode="External"/><Relationship Id="rId76" Type="http://schemas.openxmlformats.org/officeDocument/2006/relationships/hyperlink" Target="https://amp.vexpenses.com/settings/membros-de-equipe/896001" TargetMode="External"/><Relationship Id="rId141" Type="http://schemas.openxmlformats.org/officeDocument/2006/relationships/hyperlink" Target="https://amp.vexpenses.com/settings/membros-de-equipe/896055" TargetMode="External"/><Relationship Id="rId379" Type="http://schemas.openxmlformats.org/officeDocument/2006/relationships/hyperlink" Target="https://amp.vexpenses.com/settings/membros-de-equipe/896226" TargetMode="External"/><Relationship Id="rId586" Type="http://schemas.openxmlformats.org/officeDocument/2006/relationships/hyperlink" Target="https://amp.vexpenses.com/settings/membros-de-equipe/896384" TargetMode="External"/><Relationship Id="rId7" Type="http://schemas.openxmlformats.org/officeDocument/2006/relationships/hyperlink" Target="https://amp.vexpenses.com/settings/membros-de-equipe/895948" TargetMode="External"/><Relationship Id="rId239" Type="http://schemas.openxmlformats.org/officeDocument/2006/relationships/hyperlink" Target="https://amp.vexpenses.com/settings/membros-de-equipe/997009" TargetMode="External"/><Relationship Id="rId446" Type="http://schemas.openxmlformats.org/officeDocument/2006/relationships/hyperlink" Target="https://amp.vexpenses.com/settings/membros-de-equipe/896279" TargetMode="External"/><Relationship Id="rId292" Type="http://schemas.openxmlformats.org/officeDocument/2006/relationships/hyperlink" Target="https://amp.vexpenses.com/settings/membros-de-equipe/1114315" TargetMode="External"/><Relationship Id="rId306" Type="http://schemas.openxmlformats.org/officeDocument/2006/relationships/hyperlink" Target="https://amp.vexpenses.com/settings/membros-de-equipe/896179" TargetMode="External"/><Relationship Id="rId87" Type="http://schemas.openxmlformats.org/officeDocument/2006/relationships/hyperlink" Target="https://amp.vexpenses.com/settings/membros-de-equipe/896009" TargetMode="External"/><Relationship Id="rId513" Type="http://schemas.openxmlformats.org/officeDocument/2006/relationships/hyperlink" Target="https://amp.vexpenses.com/settings/membros-de-equipe/917069" TargetMode="External"/><Relationship Id="rId597" Type="http://schemas.openxmlformats.org/officeDocument/2006/relationships/hyperlink" Target="https://amp.vexpenses.com/settings/membros-de-equipe/916366" TargetMode="External"/><Relationship Id="rId152" Type="http://schemas.openxmlformats.org/officeDocument/2006/relationships/hyperlink" Target="https://amp.vexpenses.com/settings/membros-de-equipe/896068" TargetMode="External"/><Relationship Id="rId457" Type="http://schemas.openxmlformats.org/officeDocument/2006/relationships/hyperlink" Target="https://amp.vexpenses.com/settings/membros-de-equipe/1127608" TargetMode="External"/><Relationship Id="rId261" Type="http://schemas.openxmlformats.org/officeDocument/2006/relationships/hyperlink" Target="https://amp.vexpenses.com/settings/membros-de-equipe/969231" TargetMode="External"/><Relationship Id="rId499" Type="http://schemas.openxmlformats.org/officeDocument/2006/relationships/hyperlink" Target="https://amp.vexpenses.com/settings/membros-de-equipe/1072510" TargetMode="External"/><Relationship Id="rId14" Type="http://schemas.openxmlformats.org/officeDocument/2006/relationships/hyperlink" Target="https://amp.vexpenses.com/settings/membros-de-equipe/895955" TargetMode="External"/><Relationship Id="rId56" Type="http://schemas.openxmlformats.org/officeDocument/2006/relationships/hyperlink" Target="https://amp.vexpenses.com/settings/membros-de-equipe/916889" TargetMode="External"/><Relationship Id="rId317" Type="http://schemas.openxmlformats.org/officeDocument/2006/relationships/hyperlink" Target="https://amp.vexpenses.com/settings/membros-de-equipe/1148946" TargetMode="External"/><Relationship Id="rId359" Type="http://schemas.openxmlformats.org/officeDocument/2006/relationships/hyperlink" Target="https://amp.vexpenses.com/settings/membros-de-equipe/896218" TargetMode="External"/><Relationship Id="rId524" Type="http://schemas.openxmlformats.org/officeDocument/2006/relationships/hyperlink" Target="https://amp.vexpenses.com/settings/membros-de-equipe/896336" TargetMode="External"/><Relationship Id="rId566" Type="http://schemas.openxmlformats.org/officeDocument/2006/relationships/hyperlink" Target="https://amp.vexpenses.com/settings/membros-de-equipe/896366" TargetMode="External"/><Relationship Id="rId98" Type="http://schemas.openxmlformats.org/officeDocument/2006/relationships/hyperlink" Target="https://amp.vexpenses.com/settings/membros-de-equipe/896021" TargetMode="External"/><Relationship Id="rId121" Type="http://schemas.openxmlformats.org/officeDocument/2006/relationships/hyperlink" Target="https://amp.vexpenses.com/settings/membros-de-equipe/923635" TargetMode="External"/><Relationship Id="rId163" Type="http://schemas.openxmlformats.org/officeDocument/2006/relationships/hyperlink" Target="https://amp.vexpenses.com/settings/membros-de-equipe/920845" TargetMode="External"/><Relationship Id="rId219" Type="http://schemas.openxmlformats.org/officeDocument/2006/relationships/hyperlink" Target="https://amp.vexpenses.com/settings/membros-de-equipe/896121" TargetMode="External"/><Relationship Id="rId370" Type="http://schemas.openxmlformats.org/officeDocument/2006/relationships/hyperlink" Target="https://amp.vexpenses.com/settings/membros-de-equipe/1061873" TargetMode="External"/><Relationship Id="rId426" Type="http://schemas.openxmlformats.org/officeDocument/2006/relationships/hyperlink" Target="https://amp.vexpenses.com/settings/membros-de-equipe/891980" TargetMode="External"/><Relationship Id="rId230" Type="http://schemas.openxmlformats.org/officeDocument/2006/relationships/hyperlink" Target="https://amp.vexpenses.com/settings/membros-de-equipe/896131" TargetMode="External"/><Relationship Id="rId468" Type="http://schemas.openxmlformats.org/officeDocument/2006/relationships/hyperlink" Target="https://amp.vexpenses.com/settings/membros-de-equipe/896297" TargetMode="External"/><Relationship Id="rId25" Type="http://schemas.openxmlformats.org/officeDocument/2006/relationships/hyperlink" Target="https://amp.vexpenses.com/settings/membros-de-equipe/895964" TargetMode="External"/><Relationship Id="rId67" Type="http://schemas.openxmlformats.org/officeDocument/2006/relationships/hyperlink" Target="https://amp.vexpenses.com/settings/membros-de-equipe/920071" TargetMode="External"/><Relationship Id="rId272" Type="http://schemas.openxmlformats.org/officeDocument/2006/relationships/hyperlink" Target="https://amp.vexpenses.com/settings/membros-de-equipe/896156" TargetMode="External"/><Relationship Id="rId328" Type="http://schemas.openxmlformats.org/officeDocument/2006/relationships/hyperlink" Target="https://amp.vexpenses.com/settings/membros-de-equipe/1109992" TargetMode="External"/><Relationship Id="rId535" Type="http://schemas.openxmlformats.org/officeDocument/2006/relationships/hyperlink" Target="https://amp.vexpenses.com/settings/membros-de-equipe/896346" TargetMode="External"/><Relationship Id="rId577" Type="http://schemas.openxmlformats.org/officeDocument/2006/relationships/hyperlink" Target="https://amp.vexpenses.com/settings/membros-de-equipe/985833" TargetMode="External"/><Relationship Id="rId132" Type="http://schemas.openxmlformats.org/officeDocument/2006/relationships/hyperlink" Target="https://amp.vexpenses.com/settings/membros-de-equipe/896049" TargetMode="External"/><Relationship Id="rId174" Type="http://schemas.openxmlformats.org/officeDocument/2006/relationships/hyperlink" Target="https://amp.vexpenses.com/settings/membros-de-equipe/896083" TargetMode="External"/><Relationship Id="rId381" Type="http://schemas.openxmlformats.org/officeDocument/2006/relationships/hyperlink" Target="https://amp.vexpenses.com/settings/membros-de-equipe/896227" TargetMode="External"/><Relationship Id="rId241" Type="http://schemas.openxmlformats.org/officeDocument/2006/relationships/hyperlink" Target="https://amp.vexpenses.com/settings/membros-de-equipe/1148704" TargetMode="External"/><Relationship Id="rId437" Type="http://schemas.openxmlformats.org/officeDocument/2006/relationships/hyperlink" Target="https://amp.vexpenses.com/settings/membros-de-equipe/967438" TargetMode="External"/><Relationship Id="rId479" Type="http://schemas.openxmlformats.org/officeDocument/2006/relationships/hyperlink" Target="https://amp.vexpenses.com/settings/membros-de-equipe/896301" TargetMode="External"/><Relationship Id="rId36" Type="http://schemas.openxmlformats.org/officeDocument/2006/relationships/hyperlink" Target="https://amp.vexpenses.com/settings/membros-de-equipe/895969" TargetMode="External"/><Relationship Id="rId283" Type="http://schemas.openxmlformats.org/officeDocument/2006/relationships/hyperlink" Target="https://amp.vexpenses.com/settings/membros-de-equipe/896162" TargetMode="External"/><Relationship Id="rId339" Type="http://schemas.openxmlformats.org/officeDocument/2006/relationships/hyperlink" Target="https://amp.vexpenses.com/settings/membros-de-equipe/896206" TargetMode="External"/><Relationship Id="rId490" Type="http://schemas.openxmlformats.org/officeDocument/2006/relationships/hyperlink" Target="https://amp.vexpenses.com/settings/membros-de-equipe/896306" TargetMode="External"/><Relationship Id="rId504" Type="http://schemas.openxmlformats.org/officeDocument/2006/relationships/hyperlink" Target="https://amp.vexpenses.com/settings/membros-de-equipe/896318" TargetMode="External"/><Relationship Id="rId546" Type="http://schemas.openxmlformats.org/officeDocument/2006/relationships/hyperlink" Target="https://amp.vexpenses.com/settings/membros-de-equipe/1010644" TargetMode="External"/><Relationship Id="rId78" Type="http://schemas.openxmlformats.org/officeDocument/2006/relationships/hyperlink" Target="https://amp.vexpenses.com/settings/membros-de-equipe/896002" TargetMode="External"/><Relationship Id="rId101" Type="http://schemas.openxmlformats.org/officeDocument/2006/relationships/hyperlink" Target="https://amp.vexpenses.com/settings/membros-de-equipe/1129756" TargetMode="External"/><Relationship Id="rId143" Type="http://schemas.openxmlformats.org/officeDocument/2006/relationships/hyperlink" Target="https://amp.vexpenses.com/settings/membros-de-equipe/896058" TargetMode="External"/><Relationship Id="rId185" Type="http://schemas.openxmlformats.org/officeDocument/2006/relationships/hyperlink" Target="https://amp.vexpenses.com/settings/membros-de-equipe/944251" TargetMode="External"/><Relationship Id="rId350" Type="http://schemas.openxmlformats.org/officeDocument/2006/relationships/hyperlink" Target="https://amp.vexpenses.com/settings/membros-de-equipe/896212" TargetMode="External"/><Relationship Id="rId406" Type="http://schemas.openxmlformats.org/officeDocument/2006/relationships/hyperlink" Target="https://amp.vexpenses.com/settings/membros-de-equipe/929759" TargetMode="External"/><Relationship Id="rId588" Type="http://schemas.openxmlformats.org/officeDocument/2006/relationships/hyperlink" Target="https://amp.vexpenses.com/settings/membros-de-equipe/896385" TargetMode="External"/><Relationship Id="rId9" Type="http://schemas.openxmlformats.org/officeDocument/2006/relationships/hyperlink" Target="https://amp.vexpenses.com/settings/membros-de-equipe/978182" TargetMode="External"/><Relationship Id="rId210" Type="http://schemas.openxmlformats.org/officeDocument/2006/relationships/hyperlink" Target="https://amp.vexpenses.com/settings/membros-de-equipe/896115" TargetMode="External"/><Relationship Id="rId392" Type="http://schemas.openxmlformats.org/officeDocument/2006/relationships/hyperlink" Target="https://amp.vexpenses.com/settings/membros-de-equipe/896236" TargetMode="External"/><Relationship Id="rId448" Type="http://schemas.openxmlformats.org/officeDocument/2006/relationships/hyperlink" Target="https://amp.vexpenses.com/settings/membros-de-equipe/896281" TargetMode="External"/><Relationship Id="rId252" Type="http://schemas.openxmlformats.org/officeDocument/2006/relationships/hyperlink" Target="https://amp.vexpenses.com/settings/membros-de-equipe/896141" TargetMode="External"/><Relationship Id="rId294" Type="http://schemas.openxmlformats.org/officeDocument/2006/relationships/hyperlink" Target="https://amp.vexpenses.com/settings/membros-de-equipe/1079549" TargetMode="External"/><Relationship Id="rId308" Type="http://schemas.openxmlformats.org/officeDocument/2006/relationships/hyperlink" Target="https://amp.vexpenses.com/settings/membros-de-equipe/896181" TargetMode="External"/><Relationship Id="rId515" Type="http://schemas.openxmlformats.org/officeDocument/2006/relationships/hyperlink" Target="https://amp.vexpenses.com/settings/membros-de-equipe/896330" TargetMode="External"/><Relationship Id="rId47" Type="http://schemas.openxmlformats.org/officeDocument/2006/relationships/hyperlink" Target="https://amp.vexpenses.com/settings/membros-de-equipe/1114311" TargetMode="External"/><Relationship Id="rId89" Type="http://schemas.openxmlformats.org/officeDocument/2006/relationships/hyperlink" Target="https://amp.vexpenses.com/settings/membros-de-equipe/896011" TargetMode="External"/><Relationship Id="rId112" Type="http://schemas.openxmlformats.org/officeDocument/2006/relationships/hyperlink" Target="https://amp.vexpenses.com/settings/membros-de-equipe/935041" TargetMode="External"/><Relationship Id="rId154" Type="http://schemas.openxmlformats.org/officeDocument/2006/relationships/hyperlink" Target="https://amp.vexpenses.com/settings/membros-de-equipe/930406" TargetMode="External"/><Relationship Id="rId361" Type="http://schemas.openxmlformats.org/officeDocument/2006/relationships/hyperlink" Target="https://amp.vexpenses.com/settings/membros-de-equipe/1011271" TargetMode="External"/><Relationship Id="rId557" Type="http://schemas.openxmlformats.org/officeDocument/2006/relationships/hyperlink" Target="https://amp.vexpenses.com/settings/membros-de-equipe/896359" TargetMode="External"/><Relationship Id="rId599" Type="http://schemas.openxmlformats.org/officeDocument/2006/relationships/hyperlink" Target="https://amp.vexpenses.com/settings/membros-de-equipe/921921" TargetMode="External"/><Relationship Id="rId196" Type="http://schemas.openxmlformats.org/officeDocument/2006/relationships/hyperlink" Target="https://amp.vexpenses.com/settings/membros-de-equipe/896101" TargetMode="External"/><Relationship Id="rId417" Type="http://schemas.openxmlformats.org/officeDocument/2006/relationships/hyperlink" Target="https://amp.vexpenses.com/settings/membros-de-equipe/896254" TargetMode="External"/><Relationship Id="rId459" Type="http://schemas.openxmlformats.org/officeDocument/2006/relationships/hyperlink" Target="https://amp.vexpenses.com/settings/membros-de-equipe/896290" TargetMode="External"/><Relationship Id="rId16" Type="http://schemas.openxmlformats.org/officeDocument/2006/relationships/hyperlink" Target="https://amp.vexpenses.com/settings/membros-de-equipe/985870" TargetMode="External"/><Relationship Id="rId221" Type="http://schemas.openxmlformats.org/officeDocument/2006/relationships/hyperlink" Target="https://amp.vexpenses.com/settings/membros-de-equipe/929761" TargetMode="External"/><Relationship Id="rId263" Type="http://schemas.openxmlformats.org/officeDocument/2006/relationships/hyperlink" Target="https://amp.vexpenses.com/settings/membros-de-equipe/896149" TargetMode="External"/><Relationship Id="rId319" Type="http://schemas.openxmlformats.org/officeDocument/2006/relationships/hyperlink" Target="https://amp.vexpenses.com/settings/membros-de-equipe/1008337" TargetMode="External"/><Relationship Id="rId470" Type="http://schemas.openxmlformats.org/officeDocument/2006/relationships/hyperlink" Target="https://amp.vexpenses.com/settings/membros-de-equipe/896298" TargetMode="External"/><Relationship Id="rId526" Type="http://schemas.openxmlformats.org/officeDocument/2006/relationships/hyperlink" Target="https://amp.vexpenses.com/settings/membros-de-equipe/1088596" TargetMode="External"/><Relationship Id="rId58" Type="http://schemas.openxmlformats.org/officeDocument/2006/relationships/hyperlink" Target="https://amp.vexpenses.com/settings/membros-de-equipe/891977" TargetMode="External"/><Relationship Id="rId123" Type="http://schemas.openxmlformats.org/officeDocument/2006/relationships/hyperlink" Target="https://amp.vexpenses.com/settings/membros-de-equipe/896041" TargetMode="External"/><Relationship Id="rId330" Type="http://schemas.openxmlformats.org/officeDocument/2006/relationships/hyperlink" Target="https://amp.vexpenses.com/settings/membros-de-equipe/896203" TargetMode="External"/><Relationship Id="rId568" Type="http://schemas.openxmlformats.org/officeDocument/2006/relationships/hyperlink" Target="https://amp.vexpenses.com/settings/membros-de-equipe/968562" TargetMode="External"/><Relationship Id="rId165" Type="http://schemas.openxmlformats.org/officeDocument/2006/relationships/hyperlink" Target="https://amp.vexpenses.com/settings/membros-de-equipe/1063498" TargetMode="External"/><Relationship Id="rId372" Type="http://schemas.openxmlformats.org/officeDocument/2006/relationships/hyperlink" Target="https://amp.vexpenses.com/settings/membros-de-equipe/896423" TargetMode="External"/><Relationship Id="rId428" Type="http://schemas.openxmlformats.org/officeDocument/2006/relationships/hyperlink" Target="https://amp.vexpenses.com/settings/membros-de-equipe/1026117" TargetMode="External"/><Relationship Id="rId232" Type="http://schemas.openxmlformats.org/officeDocument/2006/relationships/hyperlink" Target="https://amp.vexpenses.com/settings/membros-de-equipe/1077949" TargetMode="External"/><Relationship Id="rId274" Type="http://schemas.openxmlformats.org/officeDocument/2006/relationships/hyperlink" Target="https://amp.vexpenses.com/settings/membros-de-equipe/896158" TargetMode="External"/><Relationship Id="rId481" Type="http://schemas.openxmlformats.org/officeDocument/2006/relationships/hyperlink" Target="https://amp.vexpenses.com/settings/membros-de-equipe/1065237" TargetMode="External"/><Relationship Id="rId27" Type="http://schemas.openxmlformats.org/officeDocument/2006/relationships/hyperlink" Target="https://amp.vexpenses.com/settings/membros-de-equipe/895965" TargetMode="External"/><Relationship Id="rId69" Type="http://schemas.openxmlformats.org/officeDocument/2006/relationships/hyperlink" Target="https://amp.vexpenses.com/settings/membros-de-equipe/895996" TargetMode="External"/><Relationship Id="rId134" Type="http://schemas.openxmlformats.org/officeDocument/2006/relationships/hyperlink" Target="https://amp.vexpenses.com/settings/membros-de-equipe/896050" TargetMode="External"/><Relationship Id="rId537" Type="http://schemas.openxmlformats.org/officeDocument/2006/relationships/hyperlink" Target="https://amp.vexpenses.com/settings/membros-de-equipe/1109493" TargetMode="External"/><Relationship Id="rId579" Type="http://schemas.openxmlformats.org/officeDocument/2006/relationships/hyperlink" Target="https://amp.vexpenses.com/settings/membros-de-equipe/896424" TargetMode="External"/><Relationship Id="rId80" Type="http://schemas.openxmlformats.org/officeDocument/2006/relationships/hyperlink" Target="https://amp.vexpenses.com/settings/membros-de-equipe/1129186" TargetMode="External"/><Relationship Id="rId176" Type="http://schemas.openxmlformats.org/officeDocument/2006/relationships/hyperlink" Target="https://amp.vexpenses.com/settings/membros-de-equipe/896084" TargetMode="External"/><Relationship Id="rId341" Type="http://schemas.openxmlformats.org/officeDocument/2006/relationships/hyperlink" Target="https://amp.vexpenses.com/settings/membros-de-equipe/896207" TargetMode="External"/><Relationship Id="rId383" Type="http://schemas.openxmlformats.org/officeDocument/2006/relationships/hyperlink" Target="https://amp.vexpenses.com/settings/membros-de-equipe/896229" TargetMode="External"/><Relationship Id="rId439" Type="http://schemas.openxmlformats.org/officeDocument/2006/relationships/hyperlink" Target="https://amp.vexpenses.com/settings/membros-de-equipe/896271" TargetMode="External"/><Relationship Id="rId590" Type="http://schemas.openxmlformats.org/officeDocument/2006/relationships/hyperlink" Target="https://amp.vexpenses.com/settings/membros-de-equipe/896388" TargetMode="External"/><Relationship Id="rId201" Type="http://schemas.openxmlformats.org/officeDocument/2006/relationships/hyperlink" Target="https://amp.vexpenses.com/settings/membros-de-equipe/896106" TargetMode="External"/><Relationship Id="rId243" Type="http://schemas.openxmlformats.org/officeDocument/2006/relationships/hyperlink" Target="https://amp.vexpenses.com/settings/membros-de-equipe/916921" TargetMode="External"/><Relationship Id="rId285" Type="http://schemas.openxmlformats.org/officeDocument/2006/relationships/hyperlink" Target="https://amp.vexpenses.com/settings/membros-de-equipe/916884" TargetMode="External"/><Relationship Id="rId450" Type="http://schemas.openxmlformats.org/officeDocument/2006/relationships/hyperlink" Target="https://amp.vexpenses.com/settings/membros-de-equipe/1079585" TargetMode="External"/><Relationship Id="rId506" Type="http://schemas.openxmlformats.org/officeDocument/2006/relationships/hyperlink" Target="https://amp.vexpenses.com/settings/membros-de-equipe/1033729" TargetMode="External"/><Relationship Id="rId38" Type="http://schemas.openxmlformats.org/officeDocument/2006/relationships/hyperlink" Target="https://amp.vexpenses.com/settings/membros-de-equipe/895970" TargetMode="External"/><Relationship Id="rId103" Type="http://schemas.openxmlformats.org/officeDocument/2006/relationships/hyperlink" Target="https://amp.vexpenses.com/settings/membros-de-equipe/896024" TargetMode="External"/><Relationship Id="rId310" Type="http://schemas.openxmlformats.org/officeDocument/2006/relationships/hyperlink" Target="https://amp.vexpenses.com/settings/membros-de-equipe/1072503" TargetMode="External"/><Relationship Id="rId492" Type="http://schemas.openxmlformats.org/officeDocument/2006/relationships/hyperlink" Target="https://amp.vexpenses.com/settings/membros-de-equipe/1035869" TargetMode="External"/><Relationship Id="rId548" Type="http://schemas.openxmlformats.org/officeDocument/2006/relationships/hyperlink" Target="https://amp.vexpenses.com/settings/membros-de-equipe/896355" TargetMode="External"/><Relationship Id="rId91" Type="http://schemas.openxmlformats.org/officeDocument/2006/relationships/hyperlink" Target="https://amp.vexpenses.com/settings/membros-de-equipe/896015" TargetMode="External"/><Relationship Id="rId145" Type="http://schemas.openxmlformats.org/officeDocument/2006/relationships/hyperlink" Target="https://amp.vexpenses.com/settings/membros-de-equipe/896061" TargetMode="External"/><Relationship Id="rId187" Type="http://schemas.openxmlformats.org/officeDocument/2006/relationships/hyperlink" Target="https://amp.vexpenses.com/settings/membros-de-equipe/896091" TargetMode="External"/><Relationship Id="rId352" Type="http://schemas.openxmlformats.org/officeDocument/2006/relationships/hyperlink" Target="https://amp.vexpenses.com/settings/membros-de-equipe/896214" TargetMode="External"/><Relationship Id="rId394" Type="http://schemas.openxmlformats.org/officeDocument/2006/relationships/hyperlink" Target="https://amp.vexpenses.com/settings/membros-de-equipe/916912" TargetMode="External"/><Relationship Id="rId408" Type="http://schemas.openxmlformats.org/officeDocument/2006/relationships/hyperlink" Target="https://amp.vexpenses.com/settings/membros-de-equipe/1059425" TargetMode="External"/><Relationship Id="rId212" Type="http://schemas.openxmlformats.org/officeDocument/2006/relationships/hyperlink" Target="https://amp.vexpenses.com/settings/membros-de-equipe/896117" TargetMode="External"/><Relationship Id="rId254" Type="http://schemas.openxmlformats.org/officeDocument/2006/relationships/hyperlink" Target="https://amp.vexpenses.com/settings/membros-de-equipe/896143" TargetMode="External"/><Relationship Id="rId49" Type="http://schemas.openxmlformats.org/officeDocument/2006/relationships/hyperlink" Target="https://amp.vexpenses.com/settings/membros-de-equipe/934784" TargetMode="External"/><Relationship Id="rId114" Type="http://schemas.openxmlformats.org/officeDocument/2006/relationships/hyperlink" Target="https://amp.vexpenses.com/settings/membros-de-equipe/896035" TargetMode="External"/><Relationship Id="rId296" Type="http://schemas.openxmlformats.org/officeDocument/2006/relationships/hyperlink" Target="https://amp.vexpenses.com/settings/membros-de-equipe/896170" TargetMode="External"/><Relationship Id="rId461" Type="http://schemas.openxmlformats.org/officeDocument/2006/relationships/hyperlink" Target="https://amp.vexpenses.com/settings/membros-de-equipe/896292" TargetMode="External"/><Relationship Id="rId517" Type="http://schemas.openxmlformats.org/officeDocument/2006/relationships/hyperlink" Target="https://amp.vexpenses.com/settings/membros-de-equipe/896331" TargetMode="External"/><Relationship Id="rId559" Type="http://schemas.openxmlformats.org/officeDocument/2006/relationships/hyperlink" Target="https://amp.vexpenses.com/settings/membros-de-equipe/896361" TargetMode="External"/><Relationship Id="rId60" Type="http://schemas.openxmlformats.org/officeDocument/2006/relationships/hyperlink" Target="https://amp.vexpenses.com/settings/membros-de-equipe/1115604" TargetMode="External"/><Relationship Id="rId156" Type="http://schemas.openxmlformats.org/officeDocument/2006/relationships/hyperlink" Target="https://amp.vexpenses.com/settings/membros-de-equipe/896071" TargetMode="External"/><Relationship Id="rId198" Type="http://schemas.openxmlformats.org/officeDocument/2006/relationships/hyperlink" Target="https://amp.vexpenses.com/settings/membros-de-equipe/896102" TargetMode="External"/><Relationship Id="rId321" Type="http://schemas.openxmlformats.org/officeDocument/2006/relationships/hyperlink" Target="https://amp.vexpenses.com/settings/membros-de-equipe/896191" TargetMode="External"/><Relationship Id="rId363" Type="http://schemas.openxmlformats.org/officeDocument/2006/relationships/hyperlink" Target="https://amp.vexpenses.com/settings/membros-de-equipe/896220" TargetMode="External"/><Relationship Id="rId419" Type="http://schemas.openxmlformats.org/officeDocument/2006/relationships/hyperlink" Target="https://amp.vexpenses.com/settings/membros-de-equipe/896333" TargetMode="External"/><Relationship Id="rId570" Type="http://schemas.openxmlformats.org/officeDocument/2006/relationships/hyperlink" Target="https://amp.vexpenses.com/settings/membros-de-equipe/1077951" TargetMode="External"/><Relationship Id="rId223" Type="http://schemas.openxmlformats.org/officeDocument/2006/relationships/hyperlink" Target="https://amp.vexpenses.com/settings/membros-de-equipe/896124" TargetMode="External"/><Relationship Id="rId430" Type="http://schemas.openxmlformats.org/officeDocument/2006/relationships/hyperlink" Target="https://amp.vexpenses.com/settings/membros-de-equipe/1128510" TargetMode="External"/><Relationship Id="rId18" Type="http://schemas.openxmlformats.org/officeDocument/2006/relationships/hyperlink" Target="https://amp.vexpenses.com/settings/membros-de-equipe/895957" TargetMode="External"/><Relationship Id="rId265" Type="http://schemas.openxmlformats.org/officeDocument/2006/relationships/hyperlink" Target="https://amp.vexpenses.com/settings/membros-de-equipe/896150" TargetMode="External"/><Relationship Id="rId472" Type="http://schemas.openxmlformats.org/officeDocument/2006/relationships/hyperlink" Target="https://amp.vexpenses.com/settings/membros-de-equipe/1056032" TargetMode="External"/><Relationship Id="rId528" Type="http://schemas.openxmlformats.org/officeDocument/2006/relationships/hyperlink" Target="https://amp.vexpenses.com/settings/membros-de-equipe/1142278" TargetMode="External"/><Relationship Id="rId125" Type="http://schemas.openxmlformats.org/officeDocument/2006/relationships/hyperlink" Target="https://amp.vexpenses.com/settings/membros-de-equipe/917345" TargetMode="External"/><Relationship Id="rId167" Type="http://schemas.openxmlformats.org/officeDocument/2006/relationships/hyperlink" Target="https://amp.vexpenses.com/settings/membros-de-equipe/896079" TargetMode="External"/><Relationship Id="rId332" Type="http://schemas.openxmlformats.org/officeDocument/2006/relationships/hyperlink" Target="https://amp.vexpenses.com/settings/membros-de-equipe/1068601" TargetMode="External"/><Relationship Id="rId374" Type="http://schemas.openxmlformats.org/officeDocument/2006/relationships/hyperlink" Target="https://amp.vexpenses.com/settings/membros-de-equipe/1040939" TargetMode="External"/><Relationship Id="rId581" Type="http://schemas.openxmlformats.org/officeDocument/2006/relationships/hyperlink" Target="https://amp.vexpenses.com/settings/membros-de-equipe/896378" TargetMode="External"/><Relationship Id="rId71" Type="http://schemas.openxmlformats.org/officeDocument/2006/relationships/hyperlink" Target="https://amp.vexpenses.com/settings/membros-de-equipe/895997" TargetMode="External"/><Relationship Id="rId234" Type="http://schemas.openxmlformats.org/officeDocument/2006/relationships/hyperlink" Target="https://amp.vexpenses.com/settings/membros-de-equipe/917353" TargetMode="External"/><Relationship Id="rId2" Type="http://schemas.openxmlformats.org/officeDocument/2006/relationships/hyperlink" Target="https://amp.vexpenses.com/settings/membros-de-equipe/923558" TargetMode="External"/><Relationship Id="rId29" Type="http://schemas.openxmlformats.org/officeDocument/2006/relationships/hyperlink" Target="https://amp.vexpenses.com/settings/membros-de-equipe/895966" TargetMode="External"/><Relationship Id="rId276" Type="http://schemas.openxmlformats.org/officeDocument/2006/relationships/hyperlink" Target="https://amp.vexpenses.com/settings/membros-de-equipe/896159" TargetMode="External"/><Relationship Id="rId441" Type="http://schemas.openxmlformats.org/officeDocument/2006/relationships/hyperlink" Target="https://amp.vexpenses.com/settings/membros-de-equipe/896274" TargetMode="External"/><Relationship Id="rId483" Type="http://schemas.openxmlformats.org/officeDocument/2006/relationships/hyperlink" Target="https://amp.vexpenses.com/settings/membros-de-equipe/896304" TargetMode="External"/><Relationship Id="rId539" Type="http://schemas.openxmlformats.org/officeDocument/2006/relationships/hyperlink" Target="https://amp.vexpenses.com/settings/membros-de-equipe/896349" TargetMode="External"/><Relationship Id="rId40" Type="http://schemas.openxmlformats.org/officeDocument/2006/relationships/hyperlink" Target="https://amp.vexpenses.com/settings/membros-de-equipe/895972" TargetMode="External"/><Relationship Id="rId136" Type="http://schemas.openxmlformats.org/officeDocument/2006/relationships/hyperlink" Target="https://amp.vexpenses.com/settings/membros-de-equipe/1088600" TargetMode="External"/><Relationship Id="rId178" Type="http://schemas.openxmlformats.org/officeDocument/2006/relationships/hyperlink" Target="https://amp.vexpenses.com/settings/membros-de-equipe/1077948" TargetMode="External"/><Relationship Id="rId301" Type="http://schemas.openxmlformats.org/officeDocument/2006/relationships/hyperlink" Target="https://amp.vexpenses.com/settings/membros-de-equipe/957803" TargetMode="External"/><Relationship Id="rId343" Type="http://schemas.openxmlformats.org/officeDocument/2006/relationships/hyperlink" Target="https://amp.vexpenses.com/settings/membros-de-equipe/916936" TargetMode="External"/><Relationship Id="rId550" Type="http://schemas.openxmlformats.org/officeDocument/2006/relationships/hyperlink" Target="https://amp.vexpenses.com/settings/membros-de-equipe/896356" TargetMode="External"/><Relationship Id="rId82" Type="http://schemas.openxmlformats.org/officeDocument/2006/relationships/hyperlink" Target="https://amp.vexpenses.com/settings/membros-de-equipe/1068617" TargetMode="External"/><Relationship Id="rId203" Type="http://schemas.openxmlformats.org/officeDocument/2006/relationships/hyperlink" Target="https://amp.vexpenses.com/settings/membros-de-equipe/896107" TargetMode="External"/><Relationship Id="rId385" Type="http://schemas.openxmlformats.org/officeDocument/2006/relationships/hyperlink" Target="https://amp.vexpenses.com/settings/membros-de-equipe/896231" TargetMode="External"/><Relationship Id="rId592" Type="http://schemas.openxmlformats.org/officeDocument/2006/relationships/hyperlink" Target="https://amp.vexpenses.com/settings/membros-de-equipe/1061896" TargetMode="External"/><Relationship Id="rId245" Type="http://schemas.openxmlformats.org/officeDocument/2006/relationships/hyperlink" Target="https://amp.vexpenses.com/settings/membros-de-equipe/1033558" TargetMode="External"/><Relationship Id="rId287" Type="http://schemas.openxmlformats.org/officeDocument/2006/relationships/hyperlink" Target="https://amp.vexpenses.com/settings/membros-de-equipe/1008341" TargetMode="External"/><Relationship Id="rId410" Type="http://schemas.openxmlformats.org/officeDocument/2006/relationships/hyperlink" Target="https://amp.vexpenses.com/settings/membros-de-equipe/896250" TargetMode="External"/><Relationship Id="rId452" Type="http://schemas.openxmlformats.org/officeDocument/2006/relationships/hyperlink" Target="https://amp.vexpenses.com/settings/membros-de-equipe/896285" TargetMode="External"/><Relationship Id="rId494" Type="http://schemas.openxmlformats.org/officeDocument/2006/relationships/hyperlink" Target="https://amp.vexpenses.com/settings/membros-de-equipe/896311" TargetMode="External"/><Relationship Id="rId508" Type="http://schemas.openxmlformats.org/officeDocument/2006/relationships/hyperlink" Target="https://amp.vexpenses.com/settings/membros-de-equipe/896325" TargetMode="External"/><Relationship Id="rId105" Type="http://schemas.openxmlformats.org/officeDocument/2006/relationships/hyperlink" Target="https://amp.vexpenses.com/settings/membros-de-equipe/896026" TargetMode="External"/><Relationship Id="rId147" Type="http://schemas.openxmlformats.org/officeDocument/2006/relationships/hyperlink" Target="https://amp.vexpenses.com/settings/membros-de-equipe/927175" TargetMode="External"/><Relationship Id="rId312" Type="http://schemas.openxmlformats.org/officeDocument/2006/relationships/hyperlink" Target="https://amp.vexpenses.com/settings/membros-de-equipe/896184" TargetMode="External"/><Relationship Id="rId354" Type="http://schemas.openxmlformats.org/officeDocument/2006/relationships/hyperlink" Target="https://amp.vexpenses.com/settings/membros-de-equipe/896215" TargetMode="External"/><Relationship Id="rId51" Type="http://schemas.openxmlformats.org/officeDocument/2006/relationships/hyperlink" Target="https://amp.vexpenses.com/settings/membros-de-equipe/917324" TargetMode="External"/><Relationship Id="rId93" Type="http://schemas.openxmlformats.org/officeDocument/2006/relationships/hyperlink" Target="https://amp.vexpenses.com/settings/membros-de-equipe/896017" TargetMode="External"/><Relationship Id="rId189" Type="http://schemas.openxmlformats.org/officeDocument/2006/relationships/hyperlink" Target="https://amp.vexpenses.com/settings/membros-de-equipe/896093" TargetMode="External"/><Relationship Id="rId396" Type="http://schemas.openxmlformats.org/officeDocument/2006/relationships/hyperlink" Target="https://amp.vexpenses.com/settings/membros-de-equipe/896240" TargetMode="External"/><Relationship Id="rId561" Type="http://schemas.openxmlformats.org/officeDocument/2006/relationships/hyperlink" Target="https://amp.vexpenses.com/settings/membros-de-equipe/896362" TargetMode="External"/><Relationship Id="rId214" Type="http://schemas.openxmlformats.org/officeDocument/2006/relationships/hyperlink" Target="https://amp.vexpenses.com/settings/membros-de-equipe/896118" TargetMode="External"/><Relationship Id="rId256" Type="http://schemas.openxmlformats.org/officeDocument/2006/relationships/hyperlink" Target="https://amp.vexpenses.com/settings/membros-de-equipe/896144" TargetMode="External"/><Relationship Id="rId298" Type="http://schemas.openxmlformats.org/officeDocument/2006/relationships/hyperlink" Target="https://amp.vexpenses.com/settings/membros-de-equipe/896172" TargetMode="External"/><Relationship Id="rId421" Type="http://schemas.openxmlformats.org/officeDocument/2006/relationships/hyperlink" Target="https://amp.vexpenses.com/settings/membros-de-equipe/896257" TargetMode="External"/><Relationship Id="rId463" Type="http://schemas.openxmlformats.org/officeDocument/2006/relationships/hyperlink" Target="https://amp.vexpenses.com/settings/membros-de-equipe/896295" TargetMode="External"/><Relationship Id="rId519" Type="http://schemas.openxmlformats.org/officeDocument/2006/relationships/hyperlink" Target="https://amp.vexpenses.com/settings/membros-de-equipe/1106577" TargetMode="External"/><Relationship Id="rId116" Type="http://schemas.openxmlformats.org/officeDocument/2006/relationships/hyperlink" Target="https://amp.vexpenses.com/settings/membros-de-equipe/1077041" TargetMode="External"/><Relationship Id="rId158" Type="http://schemas.openxmlformats.org/officeDocument/2006/relationships/hyperlink" Target="https://amp.vexpenses.com/settings/membros-de-equipe/896072" TargetMode="External"/><Relationship Id="rId323" Type="http://schemas.openxmlformats.org/officeDocument/2006/relationships/hyperlink" Target="https://amp.vexpenses.com/settings/membros-de-equipe/896193" TargetMode="External"/><Relationship Id="rId530" Type="http://schemas.openxmlformats.org/officeDocument/2006/relationships/hyperlink" Target="https://amp.vexpenses.com/settings/membros-de-equipe/896339" TargetMode="External"/><Relationship Id="rId20" Type="http://schemas.openxmlformats.org/officeDocument/2006/relationships/hyperlink" Target="https://amp.vexpenses.com/settings/membros-de-equipe/895959" TargetMode="External"/><Relationship Id="rId62" Type="http://schemas.openxmlformats.org/officeDocument/2006/relationships/hyperlink" Target="https://amp.vexpenses.com/settings/membros-de-equipe/895991" TargetMode="External"/><Relationship Id="rId365" Type="http://schemas.openxmlformats.org/officeDocument/2006/relationships/hyperlink" Target="https://amp.vexpenses.com/settings/membros-de-equipe/891904" TargetMode="External"/><Relationship Id="rId572" Type="http://schemas.openxmlformats.org/officeDocument/2006/relationships/hyperlink" Target="https://amp.vexpenses.com/settings/membros-de-equipe/931255" TargetMode="External"/><Relationship Id="rId225" Type="http://schemas.openxmlformats.org/officeDocument/2006/relationships/hyperlink" Target="https://amp.vexpenses.com/settings/membros-de-equipe/916374" TargetMode="External"/><Relationship Id="rId267" Type="http://schemas.openxmlformats.org/officeDocument/2006/relationships/hyperlink" Target="https://amp.vexpenses.com/settings/membros-de-equipe/896151" TargetMode="External"/><Relationship Id="rId432" Type="http://schemas.openxmlformats.org/officeDocument/2006/relationships/hyperlink" Target="https://amp.vexpenses.com/settings/membros-de-equipe/1007813" TargetMode="External"/><Relationship Id="rId474" Type="http://schemas.openxmlformats.org/officeDocument/2006/relationships/hyperlink" Target="https://amp.vexpenses.com/settings/membros-de-equipe/1087712" TargetMode="External"/><Relationship Id="rId127" Type="http://schemas.openxmlformats.org/officeDocument/2006/relationships/hyperlink" Target="https://amp.vexpenses.com/settings/membros-de-equipe/896047" TargetMode="External"/><Relationship Id="rId31" Type="http://schemas.openxmlformats.org/officeDocument/2006/relationships/hyperlink" Target="https://amp.vexpenses.com/settings/membros-de-equipe/895968" TargetMode="External"/><Relationship Id="rId73" Type="http://schemas.openxmlformats.org/officeDocument/2006/relationships/hyperlink" Target="https://amp.vexpenses.com/settings/membros-de-equipe/930416" TargetMode="External"/><Relationship Id="rId169" Type="http://schemas.openxmlformats.org/officeDocument/2006/relationships/hyperlink" Target="https://amp.vexpenses.com/settings/membros-de-equipe/896080" TargetMode="External"/><Relationship Id="rId334" Type="http://schemas.openxmlformats.org/officeDocument/2006/relationships/hyperlink" Target="https://amp.vexpenses.com/settings/membros-de-equipe/923628" TargetMode="External"/><Relationship Id="rId376" Type="http://schemas.openxmlformats.org/officeDocument/2006/relationships/hyperlink" Target="https://amp.vexpenses.com/settings/membros-de-equipe/896224" TargetMode="External"/><Relationship Id="rId541" Type="http://schemas.openxmlformats.org/officeDocument/2006/relationships/hyperlink" Target="https://amp.vexpenses.com/settings/membros-de-equipe/896352" TargetMode="External"/><Relationship Id="rId583" Type="http://schemas.openxmlformats.org/officeDocument/2006/relationships/hyperlink" Target="https://amp.vexpenses.com/settings/membros-de-equipe/1077047" TargetMode="External"/><Relationship Id="rId4" Type="http://schemas.openxmlformats.org/officeDocument/2006/relationships/hyperlink" Target="https://amp.vexpenses.com/settings/membros-de-equipe/895946" TargetMode="External"/><Relationship Id="rId180" Type="http://schemas.openxmlformats.org/officeDocument/2006/relationships/hyperlink" Target="https://amp.vexpenses.com/settings/membros-de-equipe/896087" TargetMode="External"/><Relationship Id="rId236" Type="http://schemas.openxmlformats.org/officeDocument/2006/relationships/hyperlink" Target="https://amp.vexpenses.com/settings/membros-de-equipe/896133" TargetMode="External"/><Relationship Id="rId278" Type="http://schemas.openxmlformats.org/officeDocument/2006/relationships/hyperlink" Target="https://amp.vexpenses.com/settings/membros-de-equipe/1148953" TargetMode="External"/><Relationship Id="rId401" Type="http://schemas.openxmlformats.org/officeDocument/2006/relationships/hyperlink" Target="https://amp.vexpenses.com/settings/membros-de-equipe/917057" TargetMode="External"/><Relationship Id="rId443" Type="http://schemas.openxmlformats.org/officeDocument/2006/relationships/hyperlink" Target="https://amp.vexpenses.com/settings/membros-de-equipe/1042864" TargetMode="External"/><Relationship Id="rId303" Type="http://schemas.openxmlformats.org/officeDocument/2006/relationships/hyperlink" Target="https://amp.vexpenses.com/settings/membros-de-equipe/1088602" TargetMode="External"/><Relationship Id="rId485" Type="http://schemas.openxmlformats.org/officeDocument/2006/relationships/hyperlink" Target="https://amp.vexpenses.com/settings/membros-de-equipe/921795" TargetMode="External"/><Relationship Id="rId42" Type="http://schemas.openxmlformats.org/officeDocument/2006/relationships/hyperlink" Target="https://amp.vexpenses.com/settings/membros-de-equipe/895974" TargetMode="External"/><Relationship Id="rId84" Type="http://schemas.openxmlformats.org/officeDocument/2006/relationships/hyperlink" Target="https://amp.vexpenses.com/settings/membros-de-equipe/896007" TargetMode="External"/><Relationship Id="rId138" Type="http://schemas.openxmlformats.org/officeDocument/2006/relationships/hyperlink" Target="https://amp.vexpenses.com/settings/membros-de-equipe/1077048" TargetMode="External"/><Relationship Id="rId345" Type="http://schemas.openxmlformats.org/officeDocument/2006/relationships/hyperlink" Target="https://amp.vexpenses.com/settings/membros-de-equipe/1010665" TargetMode="External"/><Relationship Id="rId387" Type="http://schemas.openxmlformats.org/officeDocument/2006/relationships/hyperlink" Target="https://amp.vexpenses.com/settings/membros-de-equipe/970758" TargetMode="External"/><Relationship Id="rId510" Type="http://schemas.openxmlformats.org/officeDocument/2006/relationships/hyperlink" Target="https://amp.vexpenses.com/settings/membros-de-equipe/1106584" TargetMode="External"/><Relationship Id="rId552" Type="http://schemas.openxmlformats.org/officeDocument/2006/relationships/hyperlink" Target="https://amp.vexpenses.com/settings/membros-de-equipe/896358" TargetMode="External"/><Relationship Id="rId594" Type="http://schemas.openxmlformats.org/officeDocument/2006/relationships/hyperlink" Target="https://amp.vexpenses.com/settings/membros-de-equipe/896391" TargetMode="External"/><Relationship Id="rId191" Type="http://schemas.openxmlformats.org/officeDocument/2006/relationships/hyperlink" Target="https://amp.vexpenses.com/settings/membros-de-equipe/896095" TargetMode="External"/><Relationship Id="rId205" Type="http://schemas.openxmlformats.org/officeDocument/2006/relationships/hyperlink" Target="https://amp.vexpenses.com/settings/membros-de-equipe/917058" TargetMode="External"/><Relationship Id="rId247" Type="http://schemas.openxmlformats.org/officeDocument/2006/relationships/hyperlink" Target="https://amp.vexpenses.com/settings/membros-de-equipe/896137" TargetMode="External"/><Relationship Id="rId412" Type="http://schemas.openxmlformats.org/officeDocument/2006/relationships/hyperlink" Target="https://amp.vexpenses.com/settings/membros-de-equipe/896251" TargetMode="External"/><Relationship Id="rId107" Type="http://schemas.openxmlformats.org/officeDocument/2006/relationships/hyperlink" Target="https://amp.vexpenses.com/settings/membros-de-equipe/896028" TargetMode="External"/><Relationship Id="rId289" Type="http://schemas.openxmlformats.org/officeDocument/2006/relationships/hyperlink" Target="https://amp.vexpenses.com/settings/membros-de-equipe/1106549" TargetMode="External"/><Relationship Id="rId454" Type="http://schemas.openxmlformats.org/officeDocument/2006/relationships/hyperlink" Target="https://amp.vexpenses.com/settings/membros-de-equipe/921927" TargetMode="External"/><Relationship Id="rId496" Type="http://schemas.openxmlformats.org/officeDocument/2006/relationships/hyperlink" Target="https://amp.vexpenses.com/settings/membros-de-equipe/896314" TargetMode="External"/><Relationship Id="rId11" Type="http://schemas.openxmlformats.org/officeDocument/2006/relationships/hyperlink" Target="https://amp.vexpenses.com/settings/membros-de-equipe/895951" TargetMode="External"/><Relationship Id="rId53" Type="http://schemas.openxmlformats.org/officeDocument/2006/relationships/hyperlink" Target="https://amp.vexpenses.com/settings/membros-de-equipe/895983" TargetMode="External"/><Relationship Id="rId149" Type="http://schemas.openxmlformats.org/officeDocument/2006/relationships/hyperlink" Target="https://amp.vexpenses.com/settings/membros-de-equipe/896064" TargetMode="External"/><Relationship Id="rId314" Type="http://schemas.openxmlformats.org/officeDocument/2006/relationships/hyperlink" Target="https://amp.vexpenses.com/settings/membros-de-equipe/896185" TargetMode="External"/><Relationship Id="rId356" Type="http://schemas.openxmlformats.org/officeDocument/2006/relationships/hyperlink" Target="https://amp.vexpenses.com/settings/membros-de-equipe/1091438" TargetMode="External"/><Relationship Id="rId398" Type="http://schemas.openxmlformats.org/officeDocument/2006/relationships/hyperlink" Target="https://amp.vexpenses.com/settings/membros-de-equipe/896242" TargetMode="External"/><Relationship Id="rId521" Type="http://schemas.openxmlformats.org/officeDocument/2006/relationships/hyperlink" Target="https://amp.vexpenses.com/settings/membros-de-equipe/896357" TargetMode="External"/><Relationship Id="rId563" Type="http://schemas.openxmlformats.org/officeDocument/2006/relationships/hyperlink" Target="https://amp.vexpenses.com/settings/membros-de-equipe/896364" TargetMode="External"/><Relationship Id="rId95" Type="http://schemas.openxmlformats.org/officeDocument/2006/relationships/hyperlink" Target="https://amp.vexpenses.com/settings/membros-de-equipe/896019" TargetMode="External"/><Relationship Id="rId160" Type="http://schemas.openxmlformats.org/officeDocument/2006/relationships/hyperlink" Target="https://amp.vexpenses.com/settings/membros-de-equipe/896074" TargetMode="External"/><Relationship Id="rId216" Type="http://schemas.openxmlformats.org/officeDocument/2006/relationships/hyperlink" Target="https://amp.vexpenses.com/settings/membros-de-equipe/896119" TargetMode="External"/><Relationship Id="rId423" Type="http://schemas.openxmlformats.org/officeDocument/2006/relationships/hyperlink" Target="https://amp.vexpenses.com/settings/membros-de-equipe/896258" TargetMode="External"/><Relationship Id="rId258" Type="http://schemas.openxmlformats.org/officeDocument/2006/relationships/hyperlink" Target="https://amp.vexpenses.com/settings/membros-de-equipe/1055662" TargetMode="External"/><Relationship Id="rId465" Type="http://schemas.openxmlformats.org/officeDocument/2006/relationships/hyperlink" Target="https://amp.vexpenses.com/settings/membros-de-equipe/973950" TargetMode="External"/><Relationship Id="rId22" Type="http://schemas.openxmlformats.org/officeDocument/2006/relationships/hyperlink" Target="https://amp.vexpenses.com/settings/membros-de-equipe/895962" TargetMode="External"/><Relationship Id="rId64" Type="http://schemas.openxmlformats.org/officeDocument/2006/relationships/hyperlink" Target="https://amp.vexpenses.com/settings/membros-de-equipe/895993" TargetMode="External"/><Relationship Id="rId118" Type="http://schemas.openxmlformats.org/officeDocument/2006/relationships/hyperlink" Target="https://amp.vexpenses.com/settings/membros-de-equipe/896037" TargetMode="External"/><Relationship Id="rId325" Type="http://schemas.openxmlformats.org/officeDocument/2006/relationships/hyperlink" Target="https://amp.vexpenses.com/settings/membros-de-equipe/896198" TargetMode="External"/><Relationship Id="rId367" Type="http://schemas.openxmlformats.org/officeDocument/2006/relationships/hyperlink" Target="https://amp.vexpenses.com/settings/membros-de-equipe/923895" TargetMode="External"/><Relationship Id="rId532" Type="http://schemas.openxmlformats.org/officeDocument/2006/relationships/hyperlink" Target="https://amp.vexpenses.com/settings/membros-de-equipe/896342" TargetMode="External"/><Relationship Id="rId574" Type="http://schemas.openxmlformats.org/officeDocument/2006/relationships/hyperlink" Target="https://amp.vexpenses.com/settings/membros-de-equipe/1068619" TargetMode="External"/><Relationship Id="rId171" Type="http://schemas.openxmlformats.org/officeDocument/2006/relationships/hyperlink" Target="https://amp.vexpenses.com/settings/membros-de-equipe/896081" TargetMode="External"/><Relationship Id="rId227" Type="http://schemas.openxmlformats.org/officeDocument/2006/relationships/hyperlink" Target="https://amp.vexpenses.com/settings/membros-de-equipe/896127" TargetMode="External"/><Relationship Id="rId269" Type="http://schemas.openxmlformats.org/officeDocument/2006/relationships/hyperlink" Target="https://amp.vexpenses.com/settings/membros-de-equipe/896153" TargetMode="External"/><Relationship Id="rId434" Type="http://schemas.openxmlformats.org/officeDocument/2006/relationships/hyperlink" Target="https://amp.vexpenses.com/settings/membros-de-equipe/896267" TargetMode="External"/><Relationship Id="rId476" Type="http://schemas.openxmlformats.org/officeDocument/2006/relationships/hyperlink" Target="https://amp.vexpenses.com/settings/membros-de-equipe/896299" TargetMode="External"/><Relationship Id="rId33" Type="http://schemas.openxmlformats.org/officeDocument/2006/relationships/hyperlink" Target="https://amp.vexpenses.com/settings/membros-de-equipe/917318" TargetMode="External"/><Relationship Id="rId129" Type="http://schemas.openxmlformats.org/officeDocument/2006/relationships/hyperlink" Target="https://amp.vexpenses.com/settings/membros-de-equipe/966214" TargetMode="External"/><Relationship Id="rId280" Type="http://schemas.openxmlformats.org/officeDocument/2006/relationships/hyperlink" Target="https://amp.vexpenses.com/settings/membros-de-equipe/1072283" TargetMode="External"/><Relationship Id="rId336" Type="http://schemas.openxmlformats.org/officeDocument/2006/relationships/hyperlink" Target="https://amp.vexpenses.com/settings/membros-de-equipe/1079553" TargetMode="External"/><Relationship Id="rId501" Type="http://schemas.openxmlformats.org/officeDocument/2006/relationships/hyperlink" Target="https://amp.vexpenses.com/settings/membros-de-equipe/950558" TargetMode="External"/><Relationship Id="rId543" Type="http://schemas.openxmlformats.org/officeDocument/2006/relationships/hyperlink" Target="https://amp.vexpenses.com/settings/membros-de-equipe/896353" TargetMode="External"/><Relationship Id="rId75" Type="http://schemas.openxmlformats.org/officeDocument/2006/relationships/hyperlink" Target="https://amp.vexpenses.com/settings/membros-de-equipe/896000" TargetMode="External"/><Relationship Id="rId140" Type="http://schemas.openxmlformats.org/officeDocument/2006/relationships/hyperlink" Target="https://amp.vexpenses.com/settings/membros-de-equipe/896054" TargetMode="External"/><Relationship Id="rId182" Type="http://schemas.openxmlformats.org/officeDocument/2006/relationships/hyperlink" Target="https://amp.vexpenses.com/settings/membros-de-equipe/1072512" TargetMode="External"/><Relationship Id="rId378" Type="http://schemas.openxmlformats.org/officeDocument/2006/relationships/hyperlink" Target="https://amp.vexpenses.com/settings/membros-de-equipe/896225" TargetMode="External"/><Relationship Id="rId403" Type="http://schemas.openxmlformats.org/officeDocument/2006/relationships/hyperlink" Target="https://amp.vexpenses.com/settings/membros-de-equipe/896244" TargetMode="External"/><Relationship Id="rId585" Type="http://schemas.openxmlformats.org/officeDocument/2006/relationships/hyperlink" Target="https://amp.vexpenses.com/settings/membros-de-equipe/896381" TargetMode="External"/><Relationship Id="rId6" Type="http://schemas.openxmlformats.org/officeDocument/2006/relationships/hyperlink" Target="https://amp.vexpenses.com/settings/membros-de-equipe/895947" TargetMode="External"/><Relationship Id="rId238" Type="http://schemas.openxmlformats.org/officeDocument/2006/relationships/hyperlink" Target="https://amp.vexpenses.com/settings/membros-de-equipe/1133218" TargetMode="External"/><Relationship Id="rId445" Type="http://schemas.openxmlformats.org/officeDocument/2006/relationships/hyperlink" Target="https://amp.vexpenses.com/settings/membros-de-equipe/896277" TargetMode="External"/><Relationship Id="rId487" Type="http://schemas.openxmlformats.org/officeDocument/2006/relationships/hyperlink" Target="https://amp.vexpenses.com/settings/membros-de-equipe/996627" TargetMode="External"/><Relationship Id="rId291" Type="http://schemas.openxmlformats.org/officeDocument/2006/relationships/hyperlink" Target="https://amp.vexpenses.com/settings/membros-de-equipe/896166" TargetMode="External"/><Relationship Id="rId305" Type="http://schemas.openxmlformats.org/officeDocument/2006/relationships/hyperlink" Target="https://amp.vexpenses.com/settings/membros-de-equipe/896178" TargetMode="External"/><Relationship Id="rId347" Type="http://schemas.openxmlformats.org/officeDocument/2006/relationships/hyperlink" Target="https://amp.vexpenses.com/settings/membros-de-equipe/896210" TargetMode="External"/><Relationship Id="rId512" Type="http://schemas.openxmlformats.org/officeDocument/2006/relationships/hyperlink" Target="https://amp.vexpenses.com/settings/membros-de-equipe/1110286" TargetMode="External"/><Relationship Id="rId44" Type="http://schemas.openxmlformats.org/officeDocument/2006/relationships/hyperlink" Target="https://amp.vexpenses.com/settings/membros-de-equipe/895977" TargetMode="External"/><Relationship Id="rId86" Type="http://schemas.openxmlformats.org/officeDocument/2006/relationships/hyperlink" Target="https://amp.vexpenses.com/settings/membros-de-equipe/1010642" TargetMode="External"/><Relationship Id="rId151" Type="http://schemas.openxmlformats.org/officeDocument/2006/relationships/hyperlink" Target="https://amp.vexpenses.com/settings/membros-de-equipe/896067" TargetMode="External"/><Relationship Id="rId389" Type="http://schemas.openxmlformats.org/officeDocument/2006/relationships/hyperlink" Target="https://amp.vexpenses.com/settings/membros-de-equipe/896233" TargetMode="External"/><Relationship Id="rId554" Type="http://schemas.openxmlformats.org/officeDocument/2006/relationships/hyperlink" Target="https://amp.vexpenses.com/settings/membros-de-equipe/930440" TargetMode="External"/><Relationship Id="rId596" Type="http://schemas.openxmlformats.org/officeDocument/2006/relationships/hyperlink" Target="https://amp.vexpenses.com/settings/membros-de-equipe/896394" TargetMode="External"/><Relationship Id="rId193" Type="http://schemas.openxmlformats.org/officeDocument/2006/relationships/hyperlink" Target="https://amp.vexpenses.com/settings/membros-de-equipe/1068618" TargetMode="External"/><Relationship Id="rId207" Type="http://schemas.openxmlformats.org/officeDocument/2006/relationships/hyperlink" Target="https://amp.vexpenses.com/settings/membros-de-equipe/927567" TargetMode="External"/><Relationship Id="rId249" Type="http://schemas.openxmlformats.org/officeDocument/2006/relationships/hyperlink" Target="https://amp.vexpenses.com/settings/membros-de-equipe/896138" TargetMode="External"/><Relationship Id="rId414" Type="http://schemas.openxmlformats.org/officeDocument/2006/relationships/hyperlink" Target="https://amp.vexpenses.com/settings/membros-de-equipe/896252" TargetMode="External"/><Relationship Id="rId456" Type="http://schemas.openxmlformats.org/officeDocument/2006/relationships/hyperlink" Target="https://amp.vexpenses.com/settings/membros-de-equipe/896288" TargetMode="External"/><Relationship Id="rId498" Type="http://schemas.openxmlformats.org/officeDocument/2006/relationships/hyperlink" Target="https://amp.vexpenses.com/settings/membros-de-equipe/896315" TargetMode="External"/><Relationship Id="rId13" Type="http://schemas.openxmlformats.org/officeDocument/2006/relationships/hyperlink" Target="https://amp.vexpenses.com/settings/membros-de-equipe/895954" TargetMode="External"/><Relationship Id="rId109" Type="http://schemas.openxmlformats.org/officeDocument/2006/relationships/hyperlink" Target="https://amp.vexpenses.com/settings/membros-de-equipe/896031" TargetMode="External"/><Relationship Id="rId260" Type="http://schemas.openxmlformats.org/officeDocument/2006/relationships/hyperlink" Target="https://amp.vexpenses.com/settings/membros-de-equipe/958951" TargetMode="External"/><Relationship Id="rId316" Type="http://schemas.openxmlformats.org/officeDocument/2006/relationships/hyperlink" Target="https://amp.vexpenses.com/settings/membros-de-equipe/896188" TargetMode="External"/><Relationship Id="rId523" Type="http://schemas.openxmlformats.org/officeDocument/2006/relationships/hyperlink" Target="https://amp.vexpenses.com/settings/membros-de-equipe/928097" TargetMode="External"/><Relationship Id="rId55" Type="http://schemas.openxmlformats.org/officeDocument/2006/relationships/hyperlink" Target="https://amp.vexpenses.com/settings/membros-de-equipe/895985" TargetMode="External"/><Relationship Id="rId97" Type="http://schemas.openxmlformats.org/officeDocument/2006/relationships/hyperlink" Target="https://amp.vexpenses.com/settings/membros-de-equipe/896020" TargetMode="External"/><Relationship Id="rId120" Type="http://schemas.openxmlformats.org/officeDocument/2006/relationships/hyperlink" Target="https://amp.vexpenses.com/settings/membros-de-equipe/896040" TargetMode="External"/><Relationship Id="rId358" Type="http://schemas.openxmlformats.org/officeDocument/2006/relationships/hyperlink" Target="https://amp.vexpenses.com/settings/membros-de-equipe/896217" TargetMode="External"/><Relationship Id="rId565" Type="http://schemas.openxmlformats.org/officeDocument/2006/relationships/hyperlink" Target="https://amp.vexpenses.com/settings/membros-de-equipe/917052" TargetMode="External"/><Relationship Id="rId162" Type="http://schemas.openxmlformats.org/officeDocument/2006/relationships/hyperlink" Target="https://amp.vexpenses.com/settings/membros-de-equipe/915374" TargetMode="External"/><Relationship Id="rId218" Type="http://schemas.openxmlformats.org/officeDocument/2006/relationships/hyperlink" Target="https://amp.vexpenses.com/settings/membros-de-equipe/896120" TargetMode="External"/><Relationship Id="rId425" Type="http://schemas.openxmlformats.org/officeDocument/2006/relationships/hyperlink" Target="https://amp.vexpenses.com/settings/membros-de-equipe/1109482" TargetMode="External"/><Relationship Id="rId467" Type="http://schemas.openxmlformats.org/officeDocument/2006/relationships/hyperlink" Target="https://amp.vexpenses.com/settings/membros-de-equipe/896296" TargetMode="External"/><Relationship Id="rId271" Type="http://schemas.openxmlformats.org/officeDocument/2006/relationships/hyperlink" Target="https://amp.vexpenses.com/settings/membros-de-equipe/1119271" TargetMode="External"/><Relationship Id="rId24" Type="http://schemas.openxmlformats.org/officeDocument/2006/relationships/hyperlink" Target="https://amp.vexpenses.com/settings/membros-de-equipe/895963" TargetMode="External"/><Relationship Id="rId66" Type="http://schemas.openxmlformats.org/officeDocument/2006/relationships/hyperlink" Target="https://amp.vexpenses.com/settings/membros-de-equipe/982780" TargetMode="External"/><Relationship Id="rId131" Type="http://schemas.openxmlformats.org/officeDocument/2006/relationships/hyperlink" Target="https://amp.vexpenses.com/settings/membros-de-equipe/985850" TargetMode="External"/><Relationship Id="rId327" Type="http://schemas.openxmlformats.org/officeDocument/2006/relationships/hyperlink" Target="https://amp.vexpenses.com/settings/membros-de-equipe/896200" TargetMode="External"/><Relationship Id="rId369" Type="http://schemas.openxmlformats.org/officeDocument/2006/relationships/hyperlink" Target="https://amp.vexpenses.com/settings/membros-de-equipe/896222" TargetMode="External"/><Relationship Id="rId534" Type="http://schemas.openxmlformats.org/officeDocument/2006/relationships/hyperlink" Target="https://amp.vexpenses.com/settings/membros-de-equipe/896344" TargetMode="External"/><Relationship Id="rId576" Type="http://schemas.openxmlformats.org/officeDocument/2006/relationships/hyperlink" Target="https://amp.vexpenses.com/settings/membros-de-equipe/1073268" TargetMode="External"/><Relationship Id="rId173" Type="http://schemas.openxmlformats.org/officeDocument/2006/relationships/hyperlink" Target="https://amp.vexpenses.com/settings/membros-de-equipe/1079003" TargetMode="External"/><Relationship Id="rId229" Type="http://schemas.openxmlformats.org/officeDocument/2006/relationships/hyperlink" Target="https://amp.vexpenses.com/settings/membros-de-equipe/1033564" TargetMode="External"/><Relationship Id="rId380" Type="http://schemas.openxmlformats.org/officeDocument/2006/relationships/hyperlink" Target="https://amp.vexpenses.com/settings/membros-de-equipe/925993" TargetMode="External"/><Relationship Id="rId436" Type="http://schemas.openxmlformats.org/officeDocument/2006/relationships/hyperlink" Target="https://amp.vexpenses.com/settings/membros-de-equipe/896269" TargetMode="External"/><Relationship Id="rId240" Type="http://schemas.openxmlformats.org/officeDocument/2006/relationships/hyperlink" Target="https://amp.vexpenses.com/settings/membros-de-equipe/922784" TargetMode="External"/><Relationship Id="rId478" Type="http://schemas.openxmlformats.org/officeDocument/2006/relationships/hyperlink" Target="https://amp.vexpenses.com/settings/membros-de-equipe/896300" TargetMode="External"/><Relationship Id="rId35" Type="http://schemas.openxmlformats.org/officeDocument/2006/relationships/hyperlink" Target="https://amp.vexpenses.com/settings/membros-de-equipe/1106575" TargetMode="External"/><Relationship Id="rId77" Type="http://schemas.openxmlformats.org/officeDocument/2006/relationships/hyperlink" Target="https://amp.vexpenses.com/settings/membros-de-equipe/1017677" TargetMode="External"/><Relationship Id="rId100" Type="http://schemas.openxmlformats.org/officeDocument/2006/relationships/hyperlink" Target="https://amp.vexpenses.com/settings/membros-de-equipe/896023" TargetMode="External"/><Relationship Id="rId282" Type="http://schemas.openxmlformats.org/officeDocument/2006/relationships/hyperlink" Target="https://amp.vexpenses.com/settings/membros-de-equipe/896161" TargetMode="External"/><Relationship Id="rId338" Type="http://schemas.openxmlformats.org/officeDocument/2006/relationships/hyperlink" Target="https://amp.vexpenses.com/settings/membros-de-equipe/998959" TargetMode="External"/><Relationship Id="rId503" Type="http://schemas.openxmlformats.org/officeDocument/2006/relationships/hyperlink" Target="https://amp.vexpenses.com/settings/membros-de-equipe/896317" TargetMode="External"/><Relationship Id="rId545" Type="http://schemas.openxmlformats.org/officeDocument/2006/relationships/hyperlink" Target="https://amp.vexpenses.com/settings/membros-de-equipe/1117262" TargetMode="External"/><Relationship Id="rId587" Type="http://schemas.openxmlformats.org/officeDocument/2006/relationships/hyperlink" Target="https://amp.vexpenses.com/settings/membros-de-equipe/1149023" TargetMode="External"/><Relationship Id="rId8" Type="http://schemas.openxmlformats.org/officeDocument/2006/relationships/hyperlink" Target="https://amp.vexpenses.com/settings/membros-de-equipe/895949" TargetMode="External"/><Relationship Id="rId142" Type="http://schemas.openxmlformats.org/officeDocument/2006/relationships/hyperlink" Target="https://amp.vexpenses.com/settings/membros-de-equipe/896057" TargetMode="External"/><Relationship Id="rId184" Type="http://schemas.openxmlformats.org/officeDocument/2006/relationships/hyperlink" Target="https://amp.vexpenses.com/settings/membros-de-equipe/1071875" TargetMode="External"/><Relationship Id="rId391" Type="http://schemas.openxmlformats.org/officeDocument/2006/relationships/hyperlink" Target="https://amp.vexpenses.com/settings/membros-de-equipe/896235" TargetMode="External"/><Relationship Id="rId405" Type="http://schemas.openxmlformats.org/officeDocument/2006/relationships/hyperlink" Target="https://amp.vexpenses.com/settings/membros-de-equipe/948926" TargetMode="External"/><Relationship Id="rId447" Type="http://schemas.openxmlformats.org/officeDocument/2006/relationships/hyperlink" Target="https://amp.vexpenses.com/settings/membros-de-equipe/1063494" TargetMode="External"/><Relationship Id="rId251" Type="http://schemas.openxmlformats.org/officeDocument/2006/relationships/hyperlink" Target="https://amp.vexpenses.com/settings/membros-de-equipe/896140" TargetMode="External"/><Relationship Id="rId489" Type="http://schemas.openxmlformats.org/officeDocument/2006/relationships/hyperlink" Target="https://amp.vexpenses.com/settings/membros-de-equipe/1100042" TargetMode="External"/><Relationship Id="rId46" Type="http://schemas.openxmlformats.org/officeDocument/2006/relationships/hyperlink" Target="https://amp.vexpenses.com/settings/membros-de-equipe/1054492" TargetMode="External"/><Relationship Id="rId293" Type="http://schemas.openxmlformats.org/officeDocument/2006/relationships/hyperlink" Target="https://amp.vexpenses.com/settings/membros-de-equipe/999216" TargetMode="External"/><Relationship Id="rId307" Type="http://schemas.openxmlformats.org/officeDocument/2006/relationships/hyperlink" Target="https://amp.vexpenses.com/settings/membros-de-equipe/896180" TargetMode="External"/><Relationship Id="rId349" Type="http://schemas.openxmlformats.org/officeDocument/2006/relationships/hyperlink" Target="https://amp.vexpenses.com/settings/membros-de-equipe/922276" TargetMode="External"/><Relationship Id="rId514" Type="http://schemas.openxmlformats.org/officeDocument/2006/relationships/hyperlink" Target="https://amp.vexpenses.com/settings/membros-de-equipe/896329" TargetMode="External"/><Relationship Id="rId556" Type="http://schemas.openxmlformats.org/officeDocument/2006/relationships/hyperlink" Target="https://amp.vexpenses.com/settings/membros-de-equipe/1060225" TargetMode="External"/><Relationship Id="rId88" Type="http://schemas.openxmlformats.org/officeDocument/2006/relationships/hyperlink" Target="https://amp.vexpenses.com/settings/membros-de-equipe/896010" TargetMode="External"/><Relationship Id="rId111" Type="http://schemas.openxmlformats.org/officeDocument/2006/relationships/hyperlink" Target="https://amp.vexpenses.com/settings/membros-de-equipe/930403" TargetMode="External"/><Relationship Id="rId153" Type="http://schemas.openxmlformats.org/officeDocument/2006/relationships/hyperlink" Target="https://amp.vexpenses.com/settings/membros-de-equipe/896069" TargetMode="External"/><Relationship Id="rId195" Type="http://schemas.openxmlformats.org/officeDocument/2006/relationships/hyperlink" Target="https://amp.vexpenses.com/settings/membros-de-equipe/896099" TargetMode="External"/><Relationship Id="rId209" Type="http://schemas.openxmlformats.org/officeDocument/2006/relationships/hyperlink" Target="https://amp.vexpenses.com/settings/membros-de-equipe/930400" TargetMode="External"/><Relationship Id="rId360" Type="http://schemas.openxmlformats.org/officeDocument/2006/relationships/hyperlink" Target="https://amp.vexpenses.com/settings/membros-de-equipe/916906" TargetMode="External"/><Relationship Id="rId416" Type="http://schemas.openxmlformats.org/officeDocument/2006/relationships/hyperlink" Target="https://amp.vexpenses.com/settings/membros-de-equipe/1001913" TargetMode="External"/><Relationship Id="rId598" Type="http://schemas.openxmlformats.org/officeDocument/2006/relationships/hyperlink" Target="https://amp.vexpenses.com/settings/membros-de-equipe/1056326" TargetMode="External"/><Relationship Id="rId220" Type="http://schemas.openxmlformats.org/officeDocument/2006/relationships/hyperlink" Target="https://amp.vexpenses.com/settings/membros-de-equipe/916905" TargetMode="External"/><Relationship Id="rId458" Type="http://schemas.openxmlformats.org/officeDocument/2006/relationships/hyperlink" Target="https://amp.vexpenses.com/settings/membros-de-equipe/896289" TargetMode="External"/><Relationship Id="rId15" Type="http://schemas.openxmlformats.org/officeDocument/2006/relationships/hyperlink" Target="https://amp.vexpenses.com/settings/membros-de-equipe/895956" TargetMode="External"/><Relationship Id="rId57" Type="http://schemas.openxmlformats.org/officeDocument/2006/relationships/hyperlink" Target="https://amp.vexpenses.com/settings/membros-de-equipe/895986" TargetMode="External"/><Relationship Id="rId262" Type="http://schemas.openxmlformats.org/officeDocument/2006/relationships/hyperlink" Target="https://amp.vexpenses.com/settings/membros-de-equipe/896148" TargetMode="External"/><Relationship Id="rId318" Type="http://schemas.openxmlformats.org/officeDocument/2006/relationships/hyperlink" Target="https://amp.vexpenses.com/settings/membros-de-equipe/896189" TargetMode="External"/><Relationship Id="rId525" Type="http://schemas.openxmlformats.org/officeDocument/2006/relationships/hyperlink" Target="https://amp.vexpenses.com/settings/membros-de-equipe/917059" TargetMode="External"/><Relationship Id="rId567" Type="http://schemas.openxmlformats.org/officeDocument/2006/relationships/hyperlink" Target="https://amp.vexpenses.com/settings/membros-de-equipe/896367" TargetMode="External"/><Relationship Id="rId99" Type="http://schemas.openxmlformats.org/officeDocument/2006/relationships/hyperlink" Target="https://amp.vexpenses.com/settings/membros-de-equipe/999640" TargetMode="External"/><Relationship Id="rId122" Type="http://schemas.openxmlformats.org/officeDocument/2006/relationships/hyperlink" Target="https://amp.vexpenses.com/settings/membros-de-equipe/896419" TargetMode="External"/><Relationship Id="rId164" Type="http://schemas.openxmlformats.org/officeDocument/2006/relationships/hyperlink" Target="https://amp.vexpenses.com/settings/membros-de-equipe/896077" TargetMode="External"/><Relationship Id="rId371" Type="http://schemas.openxmlformats.org/officeDocument/2006/relationships/hyperlink" Target="https://amp.vexpenses.com/settings/membros-de-equipe/979939" TargetMode="External"/><Relationship Id="rId427" Type="http://schemas.openxmlformats.org/officeDocument/2006/relationships/hyperlink" Target="https://amp.vexpenses.com/settings/membros-de-equipe/896262" TargetMode="External"/><Relationship Id="rId469" Type="http://schemas.openxmlformats.org/officeDocument/2006/relationships/hyperlink" Target="https://amp.vexpenses.com/settings/membros-de-equipe/1063495" TargetMode="External"/><Relationship Id="rId26" Type="http://schemas.openxmlformats.org/officeDocument/2006/relationships/hyperlink" Target="https://amp.vexpenses.com/settings/membros-de-equipe/1071873" TargetMode="External"/><Relationship Id="rId231" Type="http://schemas.openxmlformats.org/officeDocument/2006/relationships/hyperlink" Target="https://amp.vexpenses.com/settings/membros-de-equipe/896132" TargetMode="External"/><Relationship Id="rId273" Type="http://schemas.openxmlformats.org/officeDocument/2006/relationships/hyperlink" Target="https://amp.vexpenses.com/settings/membros-de-equipe/896157" TargetMode="External"/><Relationship Id="rId329" Type="http://schemas.openxmlformats.org/officeDocument/2006/relationships/hyperlink" Target="https://amp.vexpenses.com/settings/membros-de-equipe/946419" TargetMode="External"/><Relationship Id="rId480" Type="http://schemas.openxmlformats.org/officeDocument/2006/relationships/hyperlink" Target="https://amp.vexpenses.com/settings/membros-de-equipe/896302" TargetMode="External"/><Relationship Id="rId536" Type="http://schemas.openxmlformats.org/officeDocument/2006/relationships/hyperlink" Target="https://amp.vexpenses.com/settings/membros-de-equipe/1100086" TargetMode="External"/><Relationship Id="rId68" Type="http://schemas.openxmlformats.org/officeDocument/2006/relationships/hyperlink" Target="https://amp.vexpenses.com/settings/membros-de-equipe/1083302" TargetMode="External"/><Relationship Id="rId133" Type="http://schemas.openxmlformats.org/officeDocument/2006/relationships/hyperlink" Target="https://amp.vexpenses.com/settings/membros-de-equipe/1033724" TargetMode="External"/><Relationship Id="rId175" Type="http://schemas.openxmlformats.org/officeDocument/2006/relationships/hyperlink" Target="https://amp.vexpenses.com/settings/membros-de-equipe/1109486" TargetMode="External"/><Relationship Id="rId340" Type="http://schemas.openxmlformats.org/officeDocument/2006/relationships/hyperlink" Target="https://amp.vexpenses.com/settings/membros-de-equipe/1106567" TargetMode="External"/><Relationship Id="rId578" Type="http://schemas.openxmlformats.org/officeDocument/2006/relationships/hyperlink" Target="https://amp.vexpenses.com/settings/membros-de-equipe/917368" TargetMode="External"/><Relationship Id="rId200" Type="http://schemas.openxmlformats.org/officeDocument/2006/relationships/hyperlink" Target="https://amp.vexpenses.com/settings/membros-de-equipe/896104" TargetMode="External"/><Relationship Id="rId382" Type="http://schemas.openxmlformats.org/officeDocument/2006/relationships/hyperlink" Target="https://amp.vexpenses.com/settings/membros-de-equipe/896228" TargetMode="External"/><Relationship Id="rId438" Type="http://schemas.openxmlformats.org/officeDocument/2006/relationships/hyperlink" Target="https://amp.vexpenses.com/settings/membros-de-equipe/896270" TargetMode="External"/><Relationship Id="rId242" Type="http://schemas.openxmlformats.org/officeDocument/2006/relationships/hyperlink" Target="https://amp.vexpenses.com/settings/membros-de-equipe/1147591" TargetMode="External"/><Relationship Id="rId284" Type="http://schemas.openxmlformats.org/officeDocument/2006/relationships/hyperlink" Target="https://amp.vexpenses.com/settings/membros-de-equipe/896163" TargetMode="External"/><Relationship Id="rId491" Type="http://schemas.openxmlformats.org/officeDocument/2006/relationships/hyperlink" Target="https://amp.vexpenses.com/settings/membros-de-equipe/896308" TargetMode="External"/><Relationship Id="rId505" Type="http://schemas.openxmlformats.org/officeDocument/2006/relationships/hyperlink" Target="https://amp.vexpenses.com/settings/membros-de-equipe/896319" TargetMode="External"/><Relationship Id="rId37" Type="http://schemas.openxmlformats.org/officeDocument/2006/relationships/hyperlink" Target="https://amp.vexpenses.com/settings/membros-de-equipe/918852" TargetMode="External"/><Relationship Id="rId79" Type="http://schemas.openxmlformats.org/officeDocument/2006/relationships/hyperlink" Target="https://amp.vexpenses.com/settings/membros-de-equipe/896003" TargetMode="External"/><Relationship Id="rId102" Type="http://schemas.openxmlformats.org/officeDocument/2006/relationships/hyperlink" Target="https://amp.vexpenses.com/settings/membros-de-equipe/1079004" TargetMode="External"/><Relationship Id="rId144" Type="http://schemas.openxmlformats.org/officeDocument/2006/relationships/hyperlink" Target="https://amp.vexpenses.com/settings/membros-de-equipe/896059" TargetMode="External"/><Relationship Id="rId547" Type="http://schemas.openxmlformats.org/officeDocument/2006/relationships/hyperlink" Target="https://amp.vexpenses.com/settings/membros-de-equipe/920862" TargetMode="External"/><Relationship Id="rId589" Type="http://schemas.openxmlformats.org/officeDocument/2006/relationships/hyperlink" Target="https://amp.vexpenses.com/settings/membros-de-equipe/896387" TargetMode="External"/><Relationship Id="rId90" Type="http://schemas.openxmlformats.org/officeDocument/2006/relationships/hyperlink" Target="https://amp.vexpenses.com/settings/membros-de-equipe/896012" TargetMode="External"/><Relationship Id="rId186" Type="http://schemas.openxmlformats.org/officeDocument/2006/relationships/hyperlink" Target="https://amp.vexpenses.com/settings/membros-de-equipe/917078" TargetMode="External"/><Relationship Id="rId351" Type="http://schemas.openxmlformats.org/officeDocument/2006/relationships/hyperlink" Target="https://amp.vexpenses.com/settings/membros-de-equipe/896213" TargetMode="External"/><Relationship Id="rId393" Type="http://schemas.openxmlformats.org/officeDocument/2006/relationships/hyperlink" Target="https://amp.vexpenses.com/settings/membros-de-equipe/896237" TargetMode="External"/><Relationship Id="rId407" Type="http://schemas.openxmlformats.org/officeDocument/2006/relationships/hyperlink" Target="https://amp.vexpenses.com/settings/membros-de-equipe/896246" TargetMode="External"/><Relationship Id="rId449" Type="http://schemas.openxmlformats.org/officeDocument/2006/relationships/hyperlink" Target="https://amp.vexpenses.com/settings/membros-de-equipe/896282" TargetMode="External"/><Relationship Id="rId211" Type="http://schemas.openxmlformats.org/officeDocument/2006/relationships/hyperlink" Target="https://amp.vexpenses.com/settings/membros-de-equipe/1064227" TargetMode="External"/><Relationship Id="rId253" Type="http://schemas.openxmlformats.org/officeDocument/2006/relationships/hyperlink" Target="https://amp.vexpenses.com/settings/membros-de-equipe/896142" TargetMode="External"/><Relationship Id="rId295" Type="http://schemas.openxmlformats.org/officeDocument/2006/relationships/hyperlink" Target="https://amp.vexpenses.com/settings/membros-de-equipe/896168" TargetMode="External"/><Relationship Id="rId309" Type="http://schemas.openxmlformats.org/officeDocument/2006/relationships/hyperlink" Target="https://amp.vexpenses.com/settings/membros-de-equipe/1063490" TargetMode="External"/><Relationship Id="rId460" Type="http://schemas.openxmlformats.org/officeDocument/2006/relationships/hyperlink" Target="https://amp.vexpenses.com/settings/membros-de-equipe/896291" TargetMode="External"/><Relationship Id="rId516" Type="http://schemas.openxmlformats.org/officeDocument/2006/relationships/hyperlink" Target="https://amp.vexpenses.com/settings/membros-de-equipe/963612" TargetMode="External"/><Relationship Id="rId48" Type="http://schemas.openxmlformats.org/officeDocument/2006/relationships/hyperlink" Target="https://amp.vexpenses.com/settings/membros-de-equipe/1040950" TargetMode="External"/><Relationship Id="rId113" Type="http://schemas.openxmlformats.org/officeDocument/2006/relationships/hyperlink" Target="https://amp.vexpenses.com/settings/membros-de-equipe/1147652" TargetMode="External"/><Relationship Id="rId320" Type="http://schemas.openxmlformats.org/officeDocument/2006/relationships/hyperlink" Target="https://amp.vexpenses.com/settings/membros-de-equipe/958523" TargetMode="External"/><Relationship Id="rId558" Type="http://schemas.openxmlformats.org/officeDocument/2006/relationships/hyperlink" Target="https://amp.vexpenses.com/settings/membros-de-equipe/896360" TargetMode="External"/><Relationship Id="rId155" Type="http://schemas.openxmlformats.org/officeDocument/2006/relationships/hyperlink" Target="https://amp.vexpenses.com/settings/membros-de-equipe/896070" TargetMode="External"/><Relationship Id="rId197" Type="http://schemas.openxmlformats.org/officeDocument/2006/relationships/hyperlink" Target="https://amp.vexpenses.com/settings/membros-de-equipe/961342" TargetMode="External"/><Relationship Id="rId362" Type="http://schemas.openxmlformats.org/officeDocument/2006/relationships/hyperlink" Target="https://amp.vexpenses.com/settings/membros-de-equipe/896219" TargetMode="External"/><Relationship Id="rId418" Type="http://schemas.openxmlformats.org/officeDocument/2006/relationships/hyperlink" Target="https://amp.vexpenses.com/settings/membros-de-equipe/1068608" TargetMode="External"/><Relationship Id="rId222" Type="http://schemas.openxmlformats.org/officeDocument/2006/relationships/hyperlink" Target="https://amp.vexpenses.com/settings/membros-de-equipe/896123" TargetMode="External"/><Relationship Id="rId264" Type="http://schemas.openxmlformats.org/officeDocument/2006/relationships/hyperlink" Target="https://amp.vexpenses.com/settings/membros-de-equipe/1090880" TargetMode="External"/><Relationship Id="rId471" Type="http://schemas.openxmlformats.org/officeDocument/2006/relationships/hyperlink" Target="https://amp.vexpenses.com/settings/membros-de-equipe/1054503" TargetMode="External"/><Relationship Id="rId17" Type="http://schemas.openxmlformats.org/officeDocument/2006/relationships/hyperlink" Target="https://amp.vexpenses.com/settings/membros-de-equipe/916910" TargetMode="External"/><Relationship Id="rId59" Type="http://schemas.openxmlformats.org/officeDocument/2006/relationships/hyperlink" Target="https://amp.vexpenses.com/settings/membros-de-equipe/895988" TargetMode="External"/><Relationship Id="rId124" Type="http://schemas.openxmlformats.org/officeDocument/2006/relationships/hyperlink" Target="https://amp.vexpenses.com/settings/membros-de-equipe/896044" TargetMode="External"/><Relationship Id="rId527" Type="http://schemas.openxmlformats.org/officeDocument/2006/relationships/hyperlink" Target="https://amp.vexpenses.com/settings/membros-de-equipe/1083299" TargetMode="External"/><Relationship Id="rId569" Type="http://schemas.openxmlformats.org/officeDocument/2006/relationships/hyperlink" Target="https://amp.vexpenses.com/settings/membros-de-equipe/1023079" TargetMode="External"/><Relationship Id="rId70" Type="http://schemas.openxmlformats.org/officeDocument/2006/relationships/hyperlink" Target="https://amp.vexpenses.com/settings/membros-de-equipe/973987" TargetMode="External"/><Relationship Id="rId166" Type="http://schemas.openxmlformats.org/officeDocument/2006/relationships/hyperlink" Target="https://amp.vexpenses.com/settings/membros-de-equipe/946535" TargetMode="External"/><Relationship Id="rId331" Type="http://schemas.openxmlformats.org/officeDocument/2006/relationships/hyperlink" Target="https://amp.vexpenses.com/settings/membros-de-equipe/896204" TargetMode="External"/><Relationship Id="rId373" Type="http://schemas.openxmlformats.org/officeDocument/2006/relationships/hyperlink" Target="https://amp.vexpenses.com/settings/membros-de-equipe/917361" TargetMode="External"/><Relationship Id="rId429" Type="http://schemas.openxmlformats.org/officeDocument/2006/relationships/hyperlink" Target="https://amp.vexpenses.com/settings/membros-de-equipe/896264" TargetMode="External"/><Relationship Id="rId580" Type="http://schemas.openxmlformats.org/officeDocument/2006/relationships/hyperlink" Target="https://amp.vexpenses.com/settings/membros-de-equipe/896376" TargetMode="External"/><Relationship Id="rId1" Type="http://schemas.openxmlformats.org/officeDocument/2006/relationships/hyperlink" Target="https://amp.vexpenses.com/settings/membros-de-equipe/895944" TargetMode="External"/><Relationship Id="rId233" Type="http://schemas.openxmlformats.org/officeDocument/2006/relationships/hyperlink" Target="https://amp.vexpenses.com/settings/membros-de-equipe/1116216" TargetMode="External"/><Relationship Id="rId440" Type="http://schemas.openxmlformats.org/officeDocument/2006/relationships/hyperlink" Target="https://amp.vexpenses.com/settings/membros-de-equipe/896272" TargetMode="External"/><Relationship Id="rId28" Type="http://schemas.openxmlformats.org/officeDocument/2006/relationships/hyperlink" Target="https://amp.vexpenses.com/settings/membros-de-equipe/917314" TargetMode="External"/><Relationship Id="rId275" Type="http://schemas.openxmlformats.org/officeDocument/2006/relationships/hyperlink" Target="https://amp.vexpenses.com/settings/membros-de-equipe/931414" TargetMode="External"/><Relationship Id="rId300" Type="http://schemas.openxmlformats.org/officeDocument/2006/relationships/hyperlink" Target="https://amp.vexpenses.com/settings/membros-de-equipe/896174" TargetMode="External"/><Relationship Id="rId482" Type="http://schemas.openxmlformats.org/officeDocument/2006/relationships/hyperlink" Target="https://amp.vexpenses.com/settings/membros-de-equipe/896303" TargetMode="External"/><Relationship Id="rId538" Type="http://schemas.openxmlformats.org/officeDocument/2006/relationships/hyperlink" Target="https://amp.vexpenses.com/settings/membros-de-equipe/896348" TargetMode="External"/><Relationship Id="rId81" Type="http://schemas.openxmlformats.org/officeDocument/2006/relationships/hyperlink" Target="https://amp.vexpenses.com/settings/membros-de-equipe/896004" TargetMode="External"/><Relationship Id="rId135" Type="http://schemas.openxmlformats.org/officeDocument/2006/relationships/hyperlink" Target="https://amp.vexpenses.com/settings/membros-de-equipe/896051" TargetMode="External"/><Relationship Id="rId177" Type="http://schemas.openxmlformats.org/officeDocument/2006/relationships/hyperlink" Target="https://amp.vexpenses.com/settings/membros-de-equipe/896085" TargetMode="External"/><Relationship Id="rId342" Type="http://schemas.openxmlformats.org/officeDocument/2006/relationships/hyperlink" Target="https://amp.vexpenses.com/settings/membros-de-equipe/1117250" TargetMode="External"/><Relationship Id="rId384" Type="http://schemas.openxmlformats.org/officeDocument/2006/relationships/hyperlink" Target="https://amp.vexpenses.com/settings/membros-de-equipe/896230" TargetMode="External"/><Relationship Id="rId591" Type="http://schemas.openxmlformats.org/officeDocument/2006/relationships/hyperlink" Target="https://amp.vexpenses.com/settings/membros-de-equipe/896389" TargetMode="External"/><Relationship Id="rId202" Type="http://schemas.openxmlformats.org/officeDocument/2006/relationships/hyperlink" Target="https://amp.vexpenses.com/settings/membros-de-equipe/1142235" TargetMode="External"/><Relationship Id="rId244" Type="http://schemas.openxmlformats.org/officeDocument/2006/relationships/hyperlink" Target="https://amp.vexpenses.com/settings/membros-de-equipe/896135" TargetMode="External"/><Relationship Id="rId39" Type="http://schemas.openxmlformats.org/officeDocument/2006/relationships/hyperlink" Target="https://amp.vexpenses.com/settings/membros-de-equipe/1063505" TargetMode="External"/><Relationship Id="rId286" Type="http://schemas.openxmlformats.org/officeDocument/2006/relationships/hyperlink" Target="https://amp.vexpenses.com/settings/membros-de-equipe/986346" TargetMode="External"/><Relationship Id="rId451" Type="http://schemas.openxmlformats.org/officeDocument/2006/relationships/hyperlink" Target="https://amp.vexpenses.com/settings/membros-de-equipe/896284" TargetMode="External"/><Relationship Id="rId493" Type="http://schemas.openxmlformats.org/officeDocument/2006/relationships/hyperlink" Target="https://amp.vexpenses.com/settings/membros-de-equipe/1025223" TargetMode="External"/><Relationship Id="rId507" Type="http://schemas.openxmlformats.org/officeDocument/2006/relationships/hyperlink" Target="https://amp.vexpenses.com/settings/membros-de-equipe/896322" TargetMode="External"/><Relationship Id="rId549" Type="http://schemas.openxmlformats.org/officeDocument/2006/relationships/hyperlink" Target="https://amp.vexpenses.com/settings/membros-de-equipe/917051" TargetMode="External"/><Relationship Id="rId50" Type="http://schemas.openxmlformats.org/officeDocument/2006/relationships/hyperlink" Target="https://amp.vexpenses.com/settings/membros-de-equipe/1059840" TargetMode="External"/><Relationship Id="rId104" Type="http://schemas.openxmlformats.org/officeDocument/2006/relationships/hyperlink" Target="https://amp.vexpenses.com/settings/membros-de-equipe/896025" TargetMode="External"/><Relationship Id="rId146" Type="http://schemas.openxmlformats.org/officeDocument/2006/relationships/hyperlink" Target="https://amp.vexpenses.com/settings/membros-de-equipe/974110" TargetMode="External"/><Relationship Id="rId188" Type="http://schemas.openxmlformats.org/officeDocument/2006/relationships/hyperlink" Target="https://amp.vexpenses.com/settings/membros-de-equipe/896092" TargetMode="External"/><Relationship Id="rId311" Type="http://schemas.openxmlformats.org/officeDocument/2006/relationships/hyperlink" Target="https://amp.vexpenses.com/settings/membros-de-equipe/896183" TargetMode="External"/><Relationship Id="rId353" Type="http://schemas.openxmlformats.org/officeDocument/2006/relationships/hyperlink" Target="https://amp.vexpenses.com/settings/membros-de-equipe/917049" TargetMode="External"/><Relationship Id="rId395" Type="http://schemas.openxmlformats.org/officeDocument/2006/relationships/hyperlink" Target="https://amp.vexpenses.com/settings/membros-de-equipe/896238" TargetMode="External"/><Relationship Id="rId409" Type="http://schemas.openxmlformats.org/officeDocument/2006/relationships/hyperlink" Target="https://amp.vexpenses.com/settings/membros-de-equipe/896249" TargetMode="External"/><Relationship Id="rId560" Type="http://schemas.openxmlformats.org/officeDocument/2006/relationships/hyperlink" Target="https://amp.vexpenses.com/settings/membros-de-equipe/920855" TargetMode="External"/><Relationship Id="rId92" Type="http://schemas.openxmlformats.org/officeDocument/2006/relationships/hyperlink" Target="https://amp.vexpenses.com/settings/membros-de-equipe/930924" TargetMode="External"/><Relationship Id="rId213" Type="http://schemas.openxmlformats.org/officeDocument/2006/relationships/hyperlink" Target="https://amp.vexpenses.com/settings/membros-de-equipe/896421" TargetMode="External"/><Relationship Id="rId420" Type="http://schemas.openxmlformats.org/officeDocument/2006/relationships/hyperlink" Target="https://amp.vexpenses.com/settings/membros-de-equipe/896255" TargetMode="External"/><Relationship Id="rId255" Type="http://schemas.openxmlformats.org/officeDocument/2006/relationships/hyperlink" Target="https://amp.vexpenses.com/settings/membros-de-equipe/923893" TargetMode="External"/><Relationship Id="rId297" Type="http://schemas.openxmlformats.org/officeDocument/2006/relationships/hyperlink" Target="https://amp.vexpenses.com/settings/membros-de-equipe/896171" TargetMode="External"/><Relationship Id="rId462" Type="http://schemas.openxmlformats.org/officeDocument/2006/relationships/hyperlink" Target="https://amp.vexpenses.com/settings/membros-de-equipe/896293" TargetMode="External"/><Relationship Id="rId518" Type="http://schemas.openxmlformats.org/officeDocument/2006/relationships/hyperlink" Target="https://amp.vexpenses.com/settings/membros-de-equipe/896332" TargetMode="External"/><Relationship Id="rId115" Type="http://schemas.openxmlformats.org/officeDocument/2006/relationships/hyperlink" Target="https://amp.vexpenses.com/settings/membros-de-equipe/896036" TargetMode="External"/><Relationship Id="rId157" Type="http://schemas.openxmlformats.org/officeDocument/2006/relationships/hyperlink" Target="https://amp.vexpenses.com/settings/membros-de-equipe/972167" TargetMode="External"/><Relationship Id="rId322" Type="http://schemas.openxmlformats.org/officeDocument/2006/relationships/hyperlink" Target="https://amp.vexpenses.com/settings/membros-de-equipe/896192" TargetMode="External"/><Relationship Id="rId364" Type="http://schemas.openxmlformats.org/officeDocument/2006/relationships/hyperlink" Target="https://amp.vexpenses.com/settings/membros-de-equipe/1109481" TargetMode="External"/><Relationship Id="rId61" Type="http://schemas.openxmlformats.org/officeDocument/2006/relationships/hyperlink" Target="https://amp.vexpenses.com/settings/membros-de-equipe/1047085" TargetMode="External"/><Relationship Id="rId199" Type="http://schemas.openxmlformats.org/officeDocument/2006/relationships/hyperlink" Target="https://amp.vexpenses.com/settings/membros-de-equipe/896103" TargetMode="External"/><Relationship Id="rId571" Type="http://schemas.openxmlformats.org/officeDocument/2006/relationships/hyperlink" Target="https://amp.vexpenses.com/settings/membros-de-equipe/896369" TargetMode="External"/><Relationship Id="rId19" Type="http://schemas.openxmlformats.org/officeDocument/2006/relationships/hyperlink" Target="https://amp.vexpenses.com/settings/membros-de-equipe/929763" TargetMode="External"/><Relationship Id="rId224" Type="http://schemas.openxmlformats.org/officeDocument/2006/relationships/hyperlink" Target="https://amp.vexpenses.com/settings/membros-de-equipe/1106565" TargetMode="External"/><Relationship Id="rId266" Type="http://schemas.openxmlformats.org/officeDocument/2006/relationships/hyperlink" Target="https://amp.vexpenses.com/settings/membros-de-equipe/923651" TargetMode="External"/><Relationship Id="rId431" Type="http://schemas.openxmlformats.org/officeDocument/2006/relationships/hyperlink" Target="https://amp.vexpenses.com/settings/membros-de-equipe/924050" TargetMode="External"/><Relationship Id="rId473" Type="http://schemas.openxmlformats.org/officeDocument/2006/relationships/hyperlink" Target="https://amp.vexpenses.com/settings/membros-de-equipe/891978" TargetMode="External"/><Relationship Id="rId529" Type="http://schemas.openxmlformats.org/officeDocument/2006/relationships/hyperlink" Target="https://amp.vexpenses.com/settings/membros-de-equipe/1137282" TargetMode="External"/><Relationship Id="rId30" Type="http://schemas.openxmlformats.org/officeDocument/2006/relationships/hyperlink" Target="https://amp.vexpenses.com/settings/membros-de-equipe/895967" TargetMode="External"/><Relationship Id="rId126" Type="http://schemas.openxmlformats.org/officeDocument/2006/relationships/hyperlink" Target="https://amp.vexpenses.com/settings/membros-de-equipe/896045" TargetMode="External"/><Relationship Id="rId168" Type="http://schemas.openxmlformats.org/officeDocument/2006/relationships/hyperlink" Target="https://amp.vexpenses.com/settings/membros-de-equipe/922738" TargetMode="External"/><Relationship Id="rId333" Type="http://schemas.openxmlformats.org/officeDocument/2006/relationships/hyperlink" Target="https://amp.vexpenses.com/settings/membros-de-equipe/1109484" TargetMode="External"/><Relationship Id="rId540" Type="http://schemas.openxmlformats.org/officeDocument/2006/relationships/hyperlink" Target="https://amp.vexpenses.com/settings/membros-de-equipe/896351" TargetMode="External"/><Relationship Id="rId72" Type="http://schemas.openxmlformats.org/officeDocument/2006/relationships/hyperlink" Target="https://amp.vexpenses.com/settings/membros-de-equipe/917085" TargetMode="External"/><Relationship Id="rId375" Type="http://schemas.openxmlformats.org/officeDocument/2006/relationships/hyperlink" Target="https://amp.vexpenses.com/settings/membros-de-equipe/896223" TargetMode="External"/><Relationship Id="rId582" Type="http://schemas.openxmlformats.org/officeDocument/2006/relationships/hyperlink" Target="https://amp.vexpenses.com/settings/membros-de-equipe/923842" TargetMode="External"/><Relationship Id="rId3" Type="http://schemas.openxmlformats.org/officeDocument/2006/relationships/hyperlink" Target="https://amp.vexpenses.com/settings/membros-de-equipe/895945" TargetMode="External"/><Relationship Id="rId235" Type="http://schemas.openxmlformats.org/officeDocument/2006/relationships/hyperlink" Target="https://amp.vexpenses.com/settings/membros-de-equipe/1063503" TargetMode="External"/><Relationship Id="rId277" Type="http://schemas.openxmlformats.org/officeDocument/2006/relationships/hyperlink" Target="https://amp.vexpenses.com/settings/membros-de-equipe/978440" TargetMode="External"/><Relationship Id="rId400" Type="http://schemas.openxmlformats.org/officeDocument/2006/relationships/hyperlink" Target="https://amp.vexpenses.com/settings/membros-de-equipe/1130776" TargetMode="External"/><Relationship Id="rId442" Type="http://schemas.openxmlformats.org/officeDocument/2006/relationships/hyperlink" Target="https://amp.vexpenses.com/settings/membros-de-equipe/896275" TargetMode="External"/><Relationship Id="rId484" Type="http://schemas.openxmlformats.org/officeDocument/2006/relationships/hyperlink" Target="https://amp.vexpenses.com/settings/membros-de-equipe/1109495" TargetMode="External"/><Relationship Id="rId137" Type="http://schemas.openxmlformats.org/officeDocument/2006/relationships/hyperlink" Target="https://amp.vexpenses.com/settings/membros-de-equipe/896052" TargetMode="External"/><Relationship Id="rId302" Type="http://schemas.openxmlformats.org/officeDocument/2006/relationships/hyperlink" Target="https://amp.vexpenses.com/settings/membros-de-equipe/896175" TargetMode="External"/><Relationship Id="rId344" Type="http://schemas.openxmlformats.org/officeDocument/2006/relationships/hyperlink" Target="https://amp.vexpenses.com/settings/membros-de-equipe/896208" TargetMode="External"/><Relationship Id="rId41" Type="http://schemas.openxmlformats.org/officeDocument/2006/relationships/hyperlink" Target="https://amp.vexpenses.com/settings/membros-de-equipe/966263" TargetMode="External"/><Relationship Id="rId83" Type="http://schemas.openxmlformats.org/officeDocument/2006/relationships/hyperlink" Target="https://amp.vexpenses.com/settings/membros-de-equipe/896006" TargetMode="External"/><Relationship Id="rId179" Type="http://schemas.openxmlformats.org/officeDocument/2006/relationships/hyperlink" Target="https://amp.vexpenses.com/settings/membros-de-equipe/946138" TargetMode="External"/><Relationship Id="rId386" Type="http://schemas.openxmlformats.org/officeDocument/2006/relationships/hyperlink" Target="https://amp.vexpenses.com/settings/membros-de-equipe/916932" TargetMode="External"/><Relationship Id="rId551" Type="http://schemas.openxmlformats.org/officeDocument/2006/relationships/hyperlink" Target="https://amp.vexpenses.com/settings/membros-de-equipe/896397" TargetMode="External"/><Relationship Id="rId593" Type="http://schemas.openxmlformats.org/officeDocument/2006/relationships/hyperlink" Target="https://amp.vexpenses.com/settings/membros-de-equipe/896390" TargetMode="External"/><Relationship Id="rId190" Type="http://schemas.openxmlformats.org/officeDocument/2006/relationships/hyperlink" Target="https://amp.vexpenses.com/settings/membros-de-equipe/896094" TargetMode="External"/><Relationship Id="rId204" Type="http://schemas.openxmlformats.org/officeDocument/2006/relationships/hyperlink" Target="https://amp.vexpenses.com/settings/membros-de-equipe/917075" TargetMode="External"/><Relationship Id="rId246" Type="http://schemas.openxmlformats.org/officeDocument/2006/relationships/hyperlink" Target="https://amp.vexpenses.com/settings/membros-de-equipe/1068611" TargetMode="External"/><Relationship Id="rId288" Type="http://schemas.openxmlformats.org/officeDocument/2006/relationships/hyperlink" Target="https://amp.vexpenses.com/settings/membros-de-equipe/896164" TargetMode="External"/><Relationship Id="rId411" Type="http://schemas.openxmlformats.org/officeDocument/2006/relationships/hyperlink" Target="https://amp.vexpenses.com/settings/membros-de-equipe/913936" TargetMode="External"/><Relationship Id="rId453" Type="http://schemas.openxmlformats.org/officeDocument/2006/relationships/hyperlink" Target="https://amp.vexpenses.com/settings/membros-de-equipe/896286" TargetMode="External"/><Relationship Id="rId509" Type="http://schemas.openxmlformats.org/officeDocument/2006/relationships/hyperlink" Target="https://amp.vexpenses.com/settings/membros-de-equipe/896326" TargetMode="External"/><Relationship Id="rId106" Type="http://schemas.openxmlformats.org/officeDocument/2006/relationships/hyperlink" Target="https://amp.vexpenses.com/settings/membros-de-equipe/896027" TargetMode="External"/><Relationship Id="rId313" Type="http://schemas.openxmlformats.org/officeDocument/2006/relationships/hyperlink" Target="https://amp.vexpenses.com/settings/membros-de-equipe/921535" TargetMode="External"/><Relationship Id="rId495" Type="http://schemas.openxmlformats.org/officeDocument/2006/relationships/hyperlink" Target="https://amp.vexpenses.com/settings/membros-de-equipe/896313" TargetMode="External"/><Relationship Id="rId10" Type="http://schemas.openxmlformats.org/officeDocument/2006/relationships/hyperlink" Target="https://amp.vexpenses.com/settings/membros-de-equipe/895950" TargetMode="External"/><Relationship Id="rId52" Type="http://schemas.openxmlformats.org/officeDocument/2006/relationships/hyperlink" Target="https://amp.vexpenses.com/settings/membros-de-equipe/895982" TargetMode="External"/><Relationship Id="rId94" Type="http://schemas.openxmlformats.org/officeDocument/2006/relationships/hyperlink" Target="https://amp.vexpenses.com/settings/membros-de-equipe/896018" TargetMode="External"/><Relationship Id="rId148" Type="http://schemas.openxmlformats.org/officeDocument/2006/relationships/hyperlink" Target="https://amp.vexpenses.com/settings/membros-de-equipe/896063" TargetMode="External"/><Relationship Id="rId355" Type="http://schemas.openxmlformats.org/officeDocument/2006/relationships/hyperlink" Target="https://amp.vexpenses.com/settings/membros-de-equipe/961469" TargetMode="External"/><Relationship Id="rId397" Type="http://schemas.openxmlformats.org/officeDocument/2006/relationships/hyperlink" Target="https://amp.vexpenses.com/settings/membros-de-equipe/896241" TargetMode="External"/><Relationship Id="rId520" Type="http://schemas.openxmlformats.org/officeDocument/2006/relationships/hyperlink" Target="https://amp.vexpenses.com/settings/membros-de-equipe/1148495" TargetMode="External"/><Relationship Id="rId562" Type="http://schemas.openxmlformats.org/officeDocument/2006/relationships/hyperlink" Target="https://amp.vexpenses.com/settings/membros-de-equipe/896363" TargetMode="External"/><Relationship Id="rId215" Type="http://schemas.openxmlformats.org/officeDocument/2006/relationships/hyperlink" Target="https://amp.vexpenses.com/settings/membros-de-equipe/1001575" TargetMode="External"/><Relationship Id="rId257" Type="http://schemas.openxmlformats.org/officeDocument/2006/relationships/hyperlink" Target="https://amp.vexpenses.com/settings/membros-de-equipe/896145" TargetMode="External"/><Relationship Id="rId422" Type="http://schemas.openxmlformats.org/officeDocument/2006/relationships/hyperlink" Target="https://amp.vexpenses.com/settings/membros-de-equipe/1100052" TargetMode="External"/><Relationship Id="rId464" Type="http://schemas.openxmlformats.org/officeDocument/2006/relationships/hyperlink" Target="https://amp.vexpenses.com/settings/membros-de-equipe/1071871" TargetMode="External"/><Relationship Id="rId299" Type="http://schemas.openxmlformats.org/officeDocument/2006/relationships/hyperlink" Target="https://amp.vexpenses.com/settings/membros-de-equipe/896173" TargetMode="External"/><Relationship Id="rId63" Type="http://schemas.openxmlformats.org/officeDocument/2006/relationships/hyperlink" Target="https://amp.vexpenses.com/settings/membros-de-equipe/895992" TargetMode="External"/><Relationship Id="rId159" Type="http://schemas.openxmlformats.org/officeDocument/2006/relationships/hyperlink" Target="https://amp.vexpenses.com/settings/membros-de-equipe/896073" TargetMode="External"/><Relationship Id="rId366" Type="http://schemas.openxmlformats.org/officeDocument/2006/relationships/hyperlink" Target="https://amp.vexpenses.com/settings/membros-de-equipe/896221" TargetMode="External"/><Relationship Id="rId573" Type="http://schemas.openxmlformats.org/officeDocument/2006/relationships/hyperlink" Target="https://amp.vexpenses.com/settings/membros-de-equipe/896373" TargetMode="External"/><Relationship Id="rId226" Type="http://schemas.openxmlformats.org/officeDocument/2006/relationships/hyperlink" Target="https://amp.vexpenses.com/settings/membros-de-equipe/978280" TargetMode="External"/><Relationship Id="rId433" Type="http://schemas.openxmlformats.org/officeDocument/2006/relationships/hyperlink" Target="https://amp.vexpenses.com/settings/membros-de-equipe/917363" TargetMode="External"/><Relationship Id="rId74" Type="http://schemas.openxmlformats.org/officeDocument/2006/relationships/hyperlink" Target="https://amp.vexpenses.com/settings/membros-de-equipe/895999" TargetMode="External"/><Relationship Id="rId377" Type="http://schemas.openxmlformats.org/officeDocument/2006/relationships/hyperlink" Target="https://amp.vexpenses.com/settings/membros-de-equipe/1010647" TargetMode="External"/><Relationship Id="rId500" Type="http://schemas.openxmlformats.org/officeDocument/2006/relationships/hyperlink" Target="https://amp.vexpenses.com/settings/membros-de-equipe/922275" TargetMode="External"/><Relationship Id="rId584" Type="http://schemas.openxmlformats.org/officeDocument/2006/relationships/hyperlink" Target="https://amp.vexpenses.com/settings/membros-de-equipe/896380" TargetMode="External"/><Relationship Id="rId5" Type="http://schemas.openxmlformats.org/officeDocument/2006/relationships/hyperlink" Target="https://amp.vexpenses.com/settings/membros-de-equipe/1071869" TargetMode="External"/><Relationship Id="rId237" Type="http://schemas.openxmlformats.org/officeDocument/2006/relationships/hyperlink" Target="https://amp.vexpenses.com/settings/membros-de-equipe/1073274" TargetMode="External"/><Relationship Id="rId444" Type="http://schemas.openxmlformats.org/officeDocument/2006/relationships/hyperlink" Target="https://amp.vexpenses.com/settings/membros-de-equipe/896276" TargetMode="External"/><Relationship Id="rId290" Type="http://schemas.openxmlformats.org/officeDocument/2006/relationships/hyperlink" Target="https://amp.vexpenses.com/settings/membros-de-equipe/896165" TargetMode="External"/><Relationship Id="rId304" Type="http://schemas.openxmlformats.org/officeDocument/2006/relationships/hyperlink" Target="https://amp.vexpenses.com/settings/membros-de-equipe/896177" TargetMode="External"/><Relationship Id="rId388" Type="http://schemas.openxmlformats.org/officeDocument/2006/relationships/hyperlink" Target="https://amp.vexpenses.com/settings/membros-de-equipe/896232" TargetMode="External"/><Relationship Id="rId511" Type="http://schemas.openxmlformats.org/officeDocument/2006/relationships/hyperlink" Target="https://amp.vexpenses.com/settings/membros-de-equipe/896327" TargetMode="External"/><Relationship Id="rId85" Type="http://schemas.openxmlformats.org/officeDocument/2006/relationships/hyperlink" Target="https://amp.vexpenses.com/settings/membros-de-equipe/896008" TargetMode="External"/><Relationship Id="rId150" Type="http://schemas.openxmlformats.org/officeDocument/2006/relationships/hyperlink" Target="https://amp.vexpenses.com/settings/membros-de-equipe/896066" TargetMode="External"/><Relationship Id="rId595" Type="http://schemas.openxmlformats.org/officeDocument/2006/relationships/hyperlink" Target="https://amp.vexpenses.com/settings/membros-de-equipe/896392" TargetMode="External"/><Relationship Id="rId248" Type="http://schemas.openxmlformats.org/officeDocument/2006/relationships/hyperlink" Target="https://amp.vexpenses.com/settings/membros-de-equipe/954733" TargetMode="External"/><Relationship Id="rId455" Type="http://schemas.openxmlformats.org/officeDocument/2006/relationships/hyperlink" Target="https://amp.vexpenses.com/settings/membros-de-equipe/896287" TargetMode="External"/><Relationship Id="rId12" Type="http://schemas.openxmlformats.org/officeDocument/2006/relationships/hyperlink" Target="https://amp.vexpenses.com/settings/membros-de-equipe/895952" TargetMode="External"/><Relationship Id="rId108" Type="http://schemas.openxmlformats.org/officeDocument/2006/relationships/hyperlink" Target="https://amp.vexpenses.com/settings/membros-de-equipe/896030" TargetMode="External"/><Relationship Id="rId315" Type="http://schemas.openxmlformats.org/officeDocument/2006/relationships/hyperlink" Target="https://amp.vexpenses.com/settings/membros-de-equipe/896186" TargetMode="External"/><Relationship Id="rId522" Type="http://schemas.openxmlformats.org/officeDocument/2006/relationships/hyperlink" Target="https://amp.vexpenses.com/settings/membros-de-equipe/896335" TargetMode="External"/><Relationship Id="rId96" Type="http://schemas.openxmlformats.org/officeDocument/2006/relationships/hyperlink" Target="https://amp.vexpenses.com/settings/membros-de-equipe/952397" TargetMode="External"/><Relationship Id="rId161" Type="http://schemas.openxmlformats.org/officeDocument/2006/relationships/hyperlink" Target="https://amp.vexpenses.com/settings/membros-de-equipe/896075" TargetMode="External"/><Relationship Id="rId399" Type="http://schemas.openxmlformats.org/officeDocument/2006/relationships/hyperlink" Target="https://amp.vexpenses.com/settings/membros-de-equipe/896243" TargetMode="External"/><Relationship Id="rId259" Type="http://schemas.openxmlformats.org/officeDocument/2006/relationships/hyperlink" Target="https://amp.vexpenses.com/settings/membros-de-equipe/1149595" TargetMode="External"/><Relationship Id="rId466" Type="http://schemas.openxmlformats.org/officeDocument/2006/relationships/hyperlink" Target="https://amp.vexpenses.com/settings/membros-de-equipe/1117098" TargetMode="External"/><Relationship Id="rId23" Type="http://schemas.openxmlformats.org/officeDocument/2006/relationships/hyperlink" Target="https://amp.vexpenses.com/settings/membros-de-equipe/1063501" TargetMode="External"/><Relationship Id="rId119" Type="http://schemas.openxmlformats.org/officeDocument/2006/relationships/hyperlink" Target="https://amp.vexpenses.com/settings/membros-de-equipe/916919" TargetMode="External"/><Relationship Id="rId326" Type="http://schemas.openxmlformats.org/officeDocument/2006/relationships/hyperlink" Target="https://amp.vexpenses.com/settings/membros-de-equipe/896199" TargetMode="External"/><Relationship Id="rId533" Type="http://schemas.openxmlformats.org/officeDocument/2006/relationships/hyperlink" Target="https://amp.vexpenses.com/settings/membros-de-equipe/896343" TargetMode="External"/><Relationship Id="rId172" Type="http://schemas.openxmlformats.org/officeDocument/2006/relationships/hyperlink" Target="https://amp.vexpenses.com/settings/membros-de-equipe/896082" TargetMode="External"/><Relationship Id="rId477" Type="http://schemas.openxmlformats.org/officeDocument/2006/relationships/hyperlink" Target="https://amp.vexpenses.com/settings/membros-de-equipe/1116911" TargetMode="External"/><Relationship Id="rId600" Type="http://schemas.openxmlformats.org/officeDocument/2006/relationships/hyperlink" Target="https://amp.vexpenses.com/settings/membros-de-equipe/896395" TargetMode="External"/><Relationship Id="rId337" Type="http://schemas.openxmlformats.org/officeDocument/2006/relationships/hyperlink" Target="https://amp.vexpenses.com/settings/membros-de-equipe/1008342" TargetMode="External"/><Relationship Id="rId34" Type="http://schemas.openxmlformats.org/officeDocument/2006/relationships/hyperlink" Target="https://amp.vexpenses.com/settings/membros-de-equipe/1033749" TargetMode="External"/><Relationship Id="rId544" Type="http://schemas.openxmlformats.org/officeDocument/2006/relationships/hyperlink" Target="https://amp.vexpenses.com/settings/membros-de-equipe/1023020" TargetMode="External"/><Relationship Id="rId183" Type="http://schemas.openxmlformats.org/officeDocument/2006/relationships/hyperlink" Target="https://amp.vexpenses.com/settings/membros-de-equipe/896090" TargetMode="External"/><Relationship Id="rId390" Type="http://schemas.openxmlformats.org/officeDocument/2006/relationships/hyperlink" Target="https://amp.vexpenses.com/settings/membros-de-equipe/1087695" TargetMode="External"/><Relationship Id="rId404" Type="http://schemas.openxmlformats.org/officeDocument/2006/relationships/hyperlink" Target="https://amp.vexpenses.com/settings/membros-de-equipe/896245" TargetMode="External"/><Relationship Id="rId250" Type="http://schemas.openxmlformats.org/officeDocument/2006/relationships/hyperlink" Target="https://amp.vexpenses.com/settings/membros-de-equipe/1106552" TargetMode="External"/><Relationship Id="rId488" Type="http://schemas.openxmlformats.org/officeDocument/2006/relationships/hyperlink" Target="https://amp.vexpenses.com/settings/membros-de-equipe/928994" TargetMode="External"/><Relationship Id="rId45" Type="http://schemas.openxmlformats.org/officeDocument/2006/relationships/hyperlink" Target="https://amp.vexpenses.com/settings/membros-de-equipe/895978" TargetMode="External"/><Relationship Id="rId110" Type="http://schemas.openxmlformats.org/officeDocument/2006/relationships/hyperlink" Target="https://amp.vexpenses.com/settings/membros-de-equipe/896033" TargetMode="External"/><Relationship Id="rId348" Type="http://schemas.openxmlformats.org/officeDocument/2006/relationships/hyperlink" Target="https://amp.vexpenses.com/settings/membros-de-equipe/896211" TargetMode="External"/><Relationship Id="rId555" Type="http://schemas.openxmlformats.org/officeDocument/2006/relationships/hyperlink" Target="https://amp.vexpenses.com/settings/membros-de-equipe/1063497" TargetMode="External"/><Relationship Id="rId194" Type="http://schemas.openxmlformats.org/officeDocument/2006/relationships/hyperlink" Target="https://amp.vexpenses.com/settings/membros-de-equipe/940437" TargetMode="External"/><Relationship Id="rId208" Type="http://schemas.openxmlformats.org/officeDocument/2006/relationships/hyperlink" Target="https://amp.vexpenses.com/settings/membros-de-equipe/896113" TargetMode="External"/><Relationship Id="rId415" Type="http://schemas.openxmlformats.org/officeDocument/2006/relationships/hyperlink" Target="https://amp.vexpenses.com/settings/membros-de-equipe/8962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95D1-D260-4900-8163-2E4187F4AF4D}">
  <dimension ref="A4:Q388"/>
  <sheetViews>
    <sheetView showGridLines="0" tabSelected="1" workbookViewId="0">
      <selection activeCell="O11" sqref="O11"/>
    </sheetView>
  </sheetViews>
  <sheetFormatPr defaultColWidth="41" defaultRowHeight="15"/>
  <cols>
    <col min="1" max="1" width="42.28515625" bestFit="1" customWidth="1"/>
    <col min="2" max="2" width="12" customWidth="1"/>
    <col min="3" max="3" width="13.28515625" style="4" customWidth="1"/>
    <col min="4" max="4" width="15.5703125" customWidth="1"/>
    <col min="5" max="5" width="10.28515625" customWidth="1"/>
    <col min="6" max="8" width="19.28515625" customWidth="1"/>
    <col min="9" max="9" width="17.140625" style="9" customWidth="1"/>
    <col min="10" max="10" width="14.42578125" style="9" bestFit="1" customWidth="1"/>
    <col min="11" max="11" width="15.7109375" style="9" customWidth="1"/>
    <col min="12" max="12" width="22" style="9" customWidth="1"/>
    <col min="13" max="13" width="16.7109375" style="9" customWidth="1"/>
    <col min="14" max="14" width="17.5703125" style="9" customWidth="1"/>
    <col min="15" max="15" width="16.7109375" style="9" customWidth="1"/>
    <col min="16" max="16" width="19.85546875" customWidth="1"/>
    <col min="17" max="17" width="19.7109375" bestFit="1" customWidth="1"/>
  </cols>
  <sheetData>
    <row r="4" spans="1:17">
      <c r="N4" s="19">
        <v>0.6</v>
      </c>
    </row>
    <row r="5" spans="1:17" s="17" customFormat="1" ht="36.75" customHeight="1" thickBot="1">
      <c r="H5" s="33">
        <f t="shared" ref="H5:O5" si="0">SUBTOTAL(9,H7:H343)</f>
        <v>0</v>
      </c>
      <c r="I5" s="33">
        <f t="shared" si="0"/>
        <v>9122.9500000000062</v>
      </c>
      <c r="J5" s="33">
        <f t="shared" si="0"/>
        <v>1500</v>
      </c>
      <c r="K5" s="33">
        <f t="shared" si="0"/>
        <v>17.100000000000001</v>
      </c>
      <c r="L5" s="33">
        <f t="shared" si="0"/>
        <v>0</v>
      </c>
      <c r="M5" s="33">
        <f t="shared" si="0"/>
        <v>-7640.0500000000065</v>
      </c>
      <c r="N5" s="33">
        <f t="shared" si="0"/>
        <v>0</v>
      </c>
      <c r="O5" s="34">
        <f>SUBTOTAL(9,O7:O393)</f>
        <v>0</v>
      </c>
    </row>
    <row r="6" spans="1:17" ht="15.75" thickBot="1">
      <c r="A6" s="7" t="s">
        <v>0</v>
      </c>
      <c r="B6" s="8" t="s">
        <v>1</v>
      </c>
      <c r="C6" s="7" t="s">
        <v>2</v>
      </c>
      <c r="D6" s="7" t="s">
        <v>3</v>
      </c>
      <c r="E6" s="2" t="s">
        <v>4</v>
      </c>
      <c r="F6" s="2" t="s">
        <v>5</v>
      </c>
      <c r="G6" s="2" t="s">
        <v>6</v>
      </c>
      <c r="H6" s="18" t="s">
        <v>7</v>
      </c>
      <c r="I6" s="10" t="s">
        <v>8</v>
      </c>
      <c r="J6" s="15" t="s">
        <v>9</v>
      </c>
      <c r="K6" s="11" t="s">
        <v>10</v>
      </c>
      <c r="L6" s="16" t="s">
        <v>11</v>
      </c>
      <c r="M6" s="12" t="s">
        <v>12</v>
      </c>
      <c r="N6" s="13" t="s">
        <v>13</v>
      </c>
      <c r="O6" s="14" t="s">
        <v>14</v>
      </c>
      <c r="P6" s="6" t="s">
        <v>15</v>
      </c>
      <c r="Q6" s="1" t="s">
        <v>16</v>
      </c>
    </row>
    <row r="7" spans="1:17" hidden="1">
      <c r="A7" s="3" t="s">
        <v>17</v>
      </c>
      <c r="B7" s="3" t="s">
        <v>18</v>
      </c>
      <c r="C7" s="5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20">
        <v>227.55000000013388</v>
      </c>
      <c r="I7" s="20">
        <v>0</v>
      </c>
      <c r="J7" s="20">
        <v>9840</v>
      </c>
      <c r="K7" s="20">
        <v>5</v>
      </c>
      <c r="L7" s="20"/>
      <c r="M7" s="20">
        <f>Tabela1[[#This Row],[1ª QZ]]-Tabela1[[#This Row],[SALDO FINAL]]-Tabela1[[#This Row],[SALDO CARTAO]]-Tabela1[[#This Row],[Adiantamento ]]</f>
        <v>9835</v>
      </c>
      <c r="N7" s="20">
        <f>Tabela1[[#This Row],[SALDO REEMBOLSAR]]*$N$4</f>
        <v>136.53000000008032</v>
      </c>
      <c r="O7" s="20">
        <v>9948.7750000000669</v>
      </c>
      <c r="Q7" t="str">
        <f>_xlfn.XLOOKUP(Tabela1[[#This Row],[COLABORADOR]],'STATUS CARTAO'!D:D,'STATUS CARTAO'!G:G)</f>
        <v>Cartão ativo</v>
      </c>
    </row>
    <row r="8" spans="1:17" hidden="1">
      <c r="A8" s="3" t="s">
        <v>24</v>
      </c>
      <c r="B8" s="3" t="s">
        <v>25</v>
      </c>
      <c r="C8" s="5" t="s">
        <v>19</v>
      </c>
      <c r="D8" s="3" t="s">
        <v>26</v>
      </c>
      <c r="E8" s="3" t="s">
        <v>27</v>
      </c>
      <c r="F8" s="3" t="s">
        <v>28</v>
      </c>
      <c r="G8" s="3" t="s">
        <v>23</v>
      </c>
      <c r="H8" s="20">
        <v>0</v>
      </c>
      <c r="I8" s="20">
        <v>601.40999999999804</v>
      </c>
      <c r="J8" s="20">
        <v>1000</v>
      </c>
      <c r="K8" s="20">
        <v>3</v>
      </c>
      <c r="L8" s="20"/>
      <c r="M8" s="20">
        <f>Tabela1[[#This Row],[1ª QZ]]-Tabela1[[#This Row],[SALDO FINAL]]-Tabela1[[#This Row],[SALDO CARTAO]]-Tabela1[[#This Row],[Adiantamento ]]</f>
        <v>395.59000000000196</v>
      </c>
      <c r="N8" s="20">
        <f>Tabela1[[#This Row],[SALDO REEMBOLSAR]]*$N$4</f>
        <v>0</v>
      </c>
      <c r="O8" s="20">
        <v>395.59000000000196</v>
      </c>
      <c r="Q8" t="str">
        <f>_xlfn.XLOOKUP(Tabela1[[#This Row],[COLABORADOR]],'STATUS CARTAO'!D:D,'STATUS CARTAO'!G:G)</f>
        <v>Cartão ativo</v>
      </c>
    </row>
    <row r="9" spans="1:17" hidden="1">
      <c r="A9" s="3" t="s">
        <v>29</v>
      </c>
      <c r="B9" s="3" t="s">
        <v>30</v>
      </c>
      <c r="C9" s="5" t="s">
        <v>19</v>
      </c>
      <c r="D9" s="3" t="s">
        <v>31</v>
      </c>
      <c r="E9" s="3" t="s">
        <v>32</v>
      </c>
      <c r="F9" s="3" t="s">
        <v>33</v>
      </c>
      <c r="G9" s="3" t="s">
        <v>34</v>
      </c>
      <c r="H9" s="20">
        <v>0</v>
      </c>
      <c r="I9" s="20">
        <v>116.83000000000015</v>
      </c>
      <c r="J9" s="20">
        <v>500</v>
      </c>
      <c r="K9" s="20">
        <v>1.1000000000000001</v>
      </c>
      <c r="L9" s="20"/>
      <c r="M9" s="20">
        <f>Tabela1[[#This Row],[1ª QZ]]-Tabela1[[#This Row],[SALDO FINAL]]-Tabela1[[#This Row],[SALDO CARTAO]]-Tabela1[[#This Row],[Adiantamento ]]</f>
        <v>382.06999999999982</v>
      </c>
      <c r="N9" s="20">
        <f>Tabela1[[#This Row],[SALDO REEMBOLSAR]]*$N$4</f>
        <v>0</v>
      </c>
      <c r="O9" s="20">
        <v>382.06999999999982</v>
      </c>
      <c r="Q9" t="str">
        <f>_xlfn.XLOOKUP(Tabela1[[#This Row],[COLABORADOR]],'STATUS CARTAO'!D:D,'STATUS CARTAO'!G:G)</f>
        <v>Cartão ativo</v>
      </c>
    </row>
    <row r="10" spans="1:17" hidden="1">
      <c r="A10" s="3" t="s">
        <v>35</v>
      </c>
      <c r="B10" s="3" t="s">
        <v>36</v>
      </c>
      <c r="C10" s="5" t="s">
        <v>19</v>
      </c>
      <c r="D10" s="3" t="s">
        <v>37</v>
      </c>
      <c r="E10" s="3" t="s">
        <v>38</v>
      </c>
      <c r="F10" s="3" t="s">
        <v>39</v>
      </c>
      <c r="G10" s="3" t="s">
        <v>40</v>
      </c>
      <c r="H10" s="20">
        <v>0</v>
      </c>
      <c r="I10" s="20">
        <v>1963.0800000000017</v>
      </c>
      <c r="J10" s="20">
        <v>2000</v>
      </c>
      <c r="K10" s="20">
        <v>2567.13</v>
      </c>
      <c r="L10" s="20"/>
      <c r="M10" s="20">
        <f>Tabela1[[#This Row],[1ª QZ]]-Tabela1[[#This Row],[SALDO FINAL]]-Tabela1[[#This Row],[SALDO CARTAO]]-Tabela1[[#This Row],[Adiantamento ]]</f>
        <v>-2530.2100000000019</v>
      </c>
      <c r="N10" s="20">
        <f>Tabela1[[#This Row],[SALDO REEMBOLSAR]]*$N$4</f>
        <v>0</v>
      </c>
      <c r="O10" s="20">
        <v>0</v>
      </c>
      <c r="Q10" t="str">
        <f>_xlfn.XLOOKUP(Tabela1[[#This Row],[COLABORADOR]],'STATUS CARTAO'!D:D,'STATUS CARTAO'!G:G)</f>
        <v>Cartão ativo</v>
      </c>
    </row>
    <row r="11" spans="1:17" hidden="1">
      <c r="A11" s="3" t="s">
        <v>41</v>
      </c>
      <c r="B11" s="3" t="s">
        <v>42</v>
      </c>
      <c r="C11" s="5" t="s">
        <v>19</v>
      </c>
      <c r="D11" s="3" t="s">
        <v>43</v>
      </c>
      <c r="E11" s="3" t="s">
        <v>44</v>
      </c>
      <c r="F11" s="3" t="s">
        <v>45</v>
      </c>
      <c r="G11" s="3" t="s">
        <v>40</v>
      </c>
      <c r="H11" s="20">
        <v>0</v>
      </c>
      <c r="I11" s="20">
        <v>759.36999999999989</v>
      </c>
      <c r="J11" s="20">
        <v>800</v>
      </c>
      <c r="K11" s="20">
        <v>43</v>
      </c>
      <c r="L11" s="20"/>
      <c r="M11" s="20">
        <f>Tabela1[[#This Row],[1ª QZ]]-Tabela1[[#This Row],[SALDO FINAL]]-Tabela1[[#This Row],[SALDO CARTAO]]-Tabela1[[#This Row],[Adiantamento ]]</f>
        <v>-2.3699999999998909</v>
      </c>
      <c r="N11" s="20">
        <f>Tabela1[[#This Row],[SALDO REEMBOLSAR]]*$N$4</f>
        <v>0</v>
      </c>
      <c r="O11" s="20">
        <v>0</v>
      </c>
      <c r="Q11" t="str">
        <f>_xlfn.XLOOKUP(Tabela1[[#This Row],[COLABORADOR]],'STATUS CARTAO'!D:D,'STATUS CARTAO'!G:G)</f>
        <v>Cartão ativo</v>
      </c>
    </row>
    <row r="12" spans="1:17" hidden="1">
      <c r="A12" s="3" t="s">
        <v>46</v>
      </c>
      <c r="B12" s="3" t="s">
        <v>47</v>
      </c>
      <c r="C12" s="5" t="s">
        <v>19</v>
      </c>
      <c r="D12" s="3" t="s">
        <v>48</v>
      </c>
      <c r="E12" s="3" t="s">
        <v>49</v>
      </c>
      <c r="F12" s="3" t="s">
        <v>50</v>
      </c>
      <c r="G12" s="3" t="s">
        <v>40</v>
      </c>
      <c r="H12" s="20">
        <v>0</v>
      </c>
      <c r="I12" s="20">
        <v>342.62999999999988</v>
      </c>
      <c r="J12" s="20">
        <v>160</v>
      </c>
      <c r="K12" s="20">
        <v>48.2</v>
      </c>
      <c r="L12" s="20"/>
      <c r="M12" s="20">
        <f>Tabela1[[#This Row],[1ª QZ]]-Tabela1[[#This Row],[SALDO FINAL]]-Tabela1[[#This Row],[SALDO CARTAO]]-Tabela1[[#This Row],[Adiantamento ]]</f>
        <v>-230.82999999999987</v>
      </c>
      <c r="N12" s="20">
        <f>Tabela1[[#This Row],[SALDO REEMBOLSAR]]*$N$4</f>
        <v>0</v>
      </c>
      <c r="O12" s="20">
        <v>0</v>
      </c>
      <c r="Q12" t="str">
        <f>_xlfn.XLOOKUP(Tabela1[[#This Row],[COLABORADOR]],'STATUS CARTAO'!D:D,'STATUS CARTAO'!G:G)</f>
        <v>Cartão ativo</v>
      </c>
    </row>
    <row r="13" spans="1:17" hidden="1">
      <c r="A13" s="3" t="s">
        <v>51</v>
      </c>
      <c r="B13" s="3" t="s">
        <v>52</v>
      </c>
      <c r="C13" s="5" t="s">
        <v>19</v>
      </c>
      <c r="D13" s="3" t="s">
        <v>37</v>
      </c>
      <c r="E13" s="3" t="s">
        <v>53</v>
      </c>
      <c r="F13" s="3" t="s">
        <v>39</v>
      </c>
      <c r="G13" s="3" t="s">
        <v>40</v>
      </c>
      <c r="H13" s="20">
        <v>0</v>
      </c>
      <c r="I13" s="20">
        <v>617.34999999996944</v>
      </c>
      <c r="J13" s="20">
        <v>1680</v>
      </c>
      <c r="K13" s="20">
        <v>8.58</v>
      </c>
      <c r="L13" s="20"/>
      <c r="M13" s="20">
        <f>Tabela1[[#This Row],[1ª QZ]]-Tabela1[[#This Row],[SALDO FINAL]]-Tabela1[[#This Row],[SALDO CARTAO]]-Tabela1[[#This Row],[Adiantamento ]]</f>
        <v>1054.0700000000306</v>
      </c>
      <c r="N13" s="20">
        <f>Tabela1[[#This Row],[SALDO REEMBOLSAR]]*$N$4</f>
        <v>0</v>
      </c>
      <c r="O13" s="20">
        <v>1054.0700000000306</v>
      </c>
      <c r="Q13" t="str">
        <f>_xlfn.XLOOKUP(Tabela1[[#This Row],[COLABORADOR]],'STATUS CARTAO'!D:D,'STATUS CARTAO'!G:G)</f>
        <v>Cartão ativo</v>
      </c>
    </row>
    <row r="14" spans="1:17" hidden="1">
      <c r="A14" s="3" t="s">
        <v>54</v>
      </c>
      <c r="B14" s="3" t="s">
        <v>55</v>
      </c>
      <c r="C14" s="5" t="s">
        <v>19</v>
      </c>
      <c r="D14" s="3" t="s">
        <v>31</v>
      </c>
      <c r="E14" s="3" t="s">
        <v>56</v>
      </c>
      <c r="F14" s="3" t="s">
        <v>33</v>
      </c>
      <c r="G14" s="3" t="s">
        <v>34</v>
      </c>
      <c r="H14" s="20">
        <v>0</v>
      </c>
      <c r="I14" s="20">
        <v>480.58</v>
      </c>
      <c r="J14" s="20">
        <v>400</v>
      </c>
      <c r="K14" s="20">
        <v>90.58</v>
      </c>
      <c r="L14" s="20"/>
      <c r="M14" s="20">
        <f>Tabela1[[#This Row],[1ª QZ]]-Tabela1[[#This Row],[SALDO FINAL]]-Tabela1[[#This Row],[SALDO CARTAO]]-Tabela1[[#This Row],[Adiantamento ]]</f>
        <v>-171.15999999999997</v>
      </c>
      <c r="N14" s="20">
        <f>Tabela1[[#This Row],[SALDO REEMBOLSAR]]*$N$4</f>
        <v>0</v>
      </c>
      <c r="O14" s="20">
        <v>0</v>
      </c>
      <c r="Q14" t="str">
        <f>_xlfn.XLOOKUP(Tabela1[[#This Row],[COLABORADOR]],'STATUS CARTAO'!D:D,'STATUS CARTAO'!G:G)</f>
        <v>Cartão ativo</v>
      </c>
    </row>
    <row r="15" spans="1:17" hidden="1">
      <c r="A15" s="3" t="s">
        <v>57</v>
      </c>
      <c r="B15" s="3" t="s">
        <v>58</v>
      </c>
      <c r="C15" s="5" t="s">
        <v>19</v>
      </c>
      <c r="D15" s="3" t="s">
        <v>59</v>
      </c>
      <c r="E15" s="3" t="s">
        <v>60</v>
      </c>
      <c r="F15" s="3" t="s">
        <v>61</v>
      </c>
      <c r="G15" s="3" t="s">
        <v>23</v>
      </c>
      <c r="H15" s="20">
        <v>796.12000000001001</v>
      </c>
      <c r="I15" s="20">
        <v>0</v>
      </c>
      <c r="J15" s="20">
        <v>1600</v>
      </c>
      <c r="K15" s="20">
        <v>6</v>
      </c>
      <c r="L15" s="20"/>
      <c r="M15" s="20">
        <f>Tabela1[[#This Row],[1ª QZ]]-Tabela1[[#This Row],[SALDO FINAL]]-Tabela1[[#This Row],[SALDO CARTAO]]-Tabela1[[#This Row],[Adiantamento ]]</f>
        <v>1594</v>
      </c>
      <c r="N15" s="20">
        <f>Tabela1[[#This Row],[SALDO REEMBOLSAR]]*$N$4</f>
        <v>477.67200000000599</v>
      </c>
      <c r="O15" s="20">
        <v>1992.0600000000049</v>
      </c>
      <c r="Q15" t="str">
        <f>_xlfn.XLOOKUP(Tabela1[[#This Row],[COLABORADOR]],'STATUS CARTAO'!D:D,'STATUS CARTAO'!G:G)</f>
        <v>Cartão ativo</v>
      </c>
    </row>
    <row r="16" spans="1:17" hidden="1">
      <c r="A16" s="3" t="s">
        <v>62</v>
      </c>
      <c r="B16" s="3" t="s">
        <v>63</v>
      </c>
      <c r="C16" s="5" t="s">
        <v>19</v>
      </c>
      <c r="D16" s="3" t="s">
        <v>26</v>
      </c>
      <c r="E16" s="3" t="s">
        <v>27</v>
      </c>
      <c r="F16" s="3" t="s">
        <v>28</v>
      </c>
      <c r="G16" s="3" t="s">
        <v>23</v>
      </c>
      <c r="H16" s="20">
        <v>0</v>
      </c>
      <c r="I16" s="20">
        <v>1977.9999999999991</v>
      </c>
      <c r="J16" s="20">
        <v>2000</v>
      </c>
      <c r="K16" s="20">
        <v>5.51</v>
      </c>
      <c r="L16" s="20"/>
      <c r="M16" s="20">
        <f>Tabela1[[#This Row],[1ª QZ]]-Tabela1[[#This Row],[SALDO FINAL]]-Tabela1[[#This Row],[SALDO CARTAO]]-Tabela1[[#This Row],[Adiantamento ]]</f>
        <v>16.490000000000911</v>
      </c>
      <c r="N16" s="20">
        <f>Tabela1[[#This Row],[SALDO REEMBOLSAR]]*$N$4</f>
        <v>0</v>
      </c>
      <c r="O16" s="20">
        <v>16.490000000000911</v>
      </c>
      <c r="Q16" t="str">
        <f>_xlfn.XLOOKUP(Tabela1[[#This Row],[COLABORADOR]],'STATUS CARTAO'!D:D,'STATUS CARTAO'!G:G)</f>
        <v>Cartão ativo</v>
      </c>
    </row>
    <row r="17" spans="1:17" hidden="1">
      <c r="A17" s="3" t="s">
        <v>64</v>
      </c>
      <c r="B17" s="3" t="s">
        <v>65</v>
      </c>
      <c r="C17" s="5" t="s">
        <v>19</v>
      </c>
      <c r="D17" s="3" t="s">
        <v>31</v>
      </c>
      <c r="E17" s="3" t="s">
        <v>56</v>
      </c>
      <c r="F17" s="3" t="s">
        <v>33</v>
      </c>
      <c r="G17" s="3" t="s">
        <v>34</v>
      </c>
      <c r="H17" s="20">
        <v>686.32999999999811</v>
      </c>
      <c r="I17" s="20">
        <v>0</v>
      </c>
      <c r="J17" s="20">
        <v>1000</v>
      </c>
      <c r="K17" s="20">
        <v>6.5</v>
      </c>
      <c r="L17" s="20"/>
      <c r="M17" s="20">
        <f>Tabela1[[#This Row],[1ª QZ]]-Tabela1[[#This Row],[SALDO FINAL]]-Tabela1[[#This Row],[SALDO CARTAO]]-Tabela1[[#This Row],[Adiantamento ]]</f>
        <v>993.5</v>
      </c>
      <c r="N17" s="20">
        <f>Tabela1[[#This Row],[SALDO REEMBOLSAR]]*$N$4</f>
        <v>411.79799999999886</v>
      </c>
      <c r="O17" s="20">
        <v>1336.6649999999991</v>
      </c>
      <c r="Q17" t="str">
        <f>_xlfn.XLOOKUP(Tabela1[[#This Row],[COLABORADOR]],'STATUS CARTAO'!D:D,'STATUS CARTAO'!G:G)</f>
        <v>Cartão ativo</v>
      </c>
    </row>
    <row r="18" spans="1:17" hidden="1">
      <c r="A18" s="3" t="s">
        <v>66</v>
      </c>
      <c r="B18" s="3" t="s">
        <v>67</v>
      </c>
      <c r="C18" s="5" t="s">
        <v>19</v>
      </c>
      <c r="D18" s="3" t="s">
        <v>37</v>
      </c>
      <c r="E18" s="3" t="s">
        <v>68</v>
      </c>
      <c r="F18" s="3" t="s">
        <v>39</v>
      </c>
      <c r="G18" s="3" t="s">
        <v>40</v>
      </c>
      <c r="H18" s="20">
        <v>0</v>
      </c>
      <c r="I18" s="20">
        <v>351.32000000000107</v>
      </c>
      <c r="J18" s="20">
        <v>350</v>
      </c>
      <c r="K18" s="20">
        <v>31.32</v>
      </c>
      <c r="L18" s="20"/>
      <c r="M18" s="20">
        <f>Tabela1[[#This Row],[1ª QZ]]-Tabela1[[#This Row],[SALDO FINAL]]-Tabela1[[#This Row],[SALDO CARTAO]]-Tabela1[[#This Row],[Adiantamento ]]</f>
        <v>-32.640000000001073</v>
      </c>
      <c r="N18" s="20">
        <f>Tabela1[[#This Row],[SALDO REEMBOLSAR]]*$N$4</f>
        <v>0</v>
      </c>
      <c r="O18" s="20">
        <v>0</v>
      </c>
      <c r="Q18" t="str">
        <f>_xlfn.XLOOKUP(Tabela1[[#This Row],[COLABORADOR]],'STATUS CARTAO'!D:D,'STATUS CARTAO'!G:G)</f>
        <v>Cartão ativo</v>
      </c>
    </row>
    <row r="19" spans="1:17" hidden="1">
      <c r="A19" s="3" t="s">
        <v>69</v>
      </c>
      <c r="B19" s="3" t="s">
        <v>70</v>
      </c>
      <c r="C19" s="5" t="s">
        <v>19</v>
      </c>
      <c r="D19" s="3" t="s">
        <v>26</v>
      </c>
      <c r="E19" s="3" t="s">
        <v>71</v>
      </c>
      <c r="F19" s="3" t="s">
        <v>28</v>
      </c>
      <c r="G19" s="3" t="s">
        <v>23</v>
      </c>
      <c r="H19" s="20">
        <v>0</v>
      </c>
      <c r="I19" s="20">
        <v>52.489999999998872</v>
      </c>
      <c r="J19" s="20">
        <v>800</v>
      </c>
      <c r="K19" s="20">
        <v>9.0299999999999994</v>
      </c>
      <c r="L19" s="20"/>
      <c r="M19" s="20">
        <f>Tabela1[[#This Row],[1ª QZ]]-Tabela1[[#This Row],[SALDO FINAL]]-Tabela1[[#This Row],[SALDO CARTAO]]-Tabela1[[#This Row],[Adiantamento ]]</f>
        <v>738.48000000000116</v>
      </c>
      <c r="N19" s="20">
        <f>Tabela1[[#This Row],[SALDO REEMBOLSAR]]*$N$4</f>
        <v>0</v>
      </c>
      <c r="O19" s="20">
        <v>738.48000000000116</v>
      </c>
      <c r="Q19" t="str">
        <f>_xlfn.XLOOKUP(Tabela1[[#This Row],[COLABORADOR]],'STATUS CARTAO'!D:D,'STATUS CARTAO'!G:G)</f>
        <v>Cartão ativo</v>
      </c>
    </row>
    <row r="20" spans="1:17" hidden="1">
      <c r="A20" s="3" t="s">
        <v>72</v>
      </c>
      <c r="B20" s="3" t="s">
        <v>73</v>
      </c>
      <c r="C20" s="5" t="s">
        <v>19</v>
      </c>
      <c r="D20" s="3" t="s">
        <v>74</v>
      </c>
      <c r="E20" s="3" t="s">
        <v>75</v>
      </c>
      <c r="F20" s="3" t="s">
        <v>76</v>
      </c>
      <c r="G20" s="3" t="s">
        <v>40</v>
      </c>
      <c r="H20" s="20">
        <v>85.690000000002328</v>
      </c>
      <c r="I20" s="20">
        <v>0</v>
      </c>
      <c r="J20" s="20">
        <v>3000</v>
      </c>
      <c r="K20" s="20">
        <v>27.11</v>
      </c>
      <c r="L20" s="20"/>
      <c r="M20" s="20">
        <f>Tabela1[[#This Row],[1ª QZ]]-Tabela1[[#This Row],[SALDO FINAL]]-Tabela1[[#This Row],[SALDO CARTAO]]-Tabela1[[#This Row],[Adiantamento ]]</f>
        <v>2972.89</v>
      </c>
      <c r="N20" s="20">
        <f>Tabela1[[#This Row],[SALDO REEMBOLSAR]]*$N$4</f>
        <v>51.414000000001394</v>
      </c>
      <c r="O20" s="20">
        <v>3015.735000000001</v>
      </c>
      <c r="Q20" t="str">
        <f>_xlfn.XLOOKUP(Tabela1[[#This Row],[COLABORADOR]],'STATUS CARTAO'!D:D,'STATUS CARTAO'!G:G)</f>
        <v>Cartão ativo</v>
      </c>
    </row>
    <row r="21" spans="1:17" hidden="1">
      <c r="A21" s="3" t="s">
        <v>77</v>
      </c>
      <c r="B21" s="3" t="s">
        <v>78</v>
      </c>
      <c r="C21" s="5" t="s">
        <v>19</v>
      </c>
      <c r="D21" s="3" t="s">
        <v>37</v>
      </c>
      <c r="E21" s="3" t="s">
        <v>79</v>
      </c>
      <c r="F21" s="3" t="s">
        <v>39</v>
      </c>
      <c r="G21" s="3" t="s">
        <v>40</v>
      </c>
      <c r="H21" s="20">
        <v>0</v>
      </c>
      <c r="I21" s="20">
        <v>1272.3200000000033</v>
      </c>
      <c r="J21" s="20">
        <v>500</v>
      </c>
      <c r="K21" s="20">
        <v>394.57</v>
      </c>
      <c r="L21" s="20"/>
      <c r="M21" s="20">
        <f>Tabela1[[#This Row],[1ª QZ]]-Tabela1[[#This Row],[SALDO FINAL]]-Tabela1[[#This Row],[SALDO CARTAO]]-Tabela1[[#This Row],[Adiantamento ]]</f>
        <v>-1166.8900000000033</v>
      </c>
      <c r="N21" s="20">
        <f>Tabela1[[#This Row],[SALDO REEMBOLSAR]]*$N$4</f>
        <v>0</v>
      </c>
      <c r="O21" s="20">
        <v>0</v>
      </c>
      <c r="Q21" t="str">
        <f>_xlfn.XLOOKUP(Tabela1[[#This Row],[COLABORADOR]],'STATUS CARTAO'!D:D,'STATUS CARTAO'!G:G)</f>
        <v>Cartão ativo</v>
      </c>
    </row>
    <row r="22" spans="1:17" hidden="1">
      <c r="A22" s="3" t="s">
        <v>80</v>
      </c>
      <c r="B22" s="3" t="s">
        <v>81</v>
      </c>
      <c r="C22" s="5" t="s">
        <v>19</v>
      </c>
      <c r="D22" s="3" t="s">
        <v>43</v>
      </c>
      <c r="E22" s="3" t="s">
        <v>82</v>
      </c>
      <c r="F22" s="3" t="s">
        <v>45</v>
      </c>
      <c r="G22" s="3" t="s">
        <v>40</v>
      </c>
      <c r="H22" s="20">
        <v>0</v>
      </c>
      <c r="I22" s="20">
        <v>638.81000000000267</v>
      </c>
      <c r="J22" s="20">
        <v>200</v>
      </c>
      <c r="K22" s="20">
        <v>47.61</v>
      </c>
      <c r="L22" s="20"/>
      <c r="M22" s="20">
        <f>Tabela1[[#This Row],[1ª QZ]]-Tabela1[[#This Row],[SALDO FINAL]]-Tabela1[[#This Row],[SALDO CARTAO]]-Tabela1[[#This Row],[Adiantamento ]]</f>
        <v>-486.42000000000269</v>
      </c>
      <c r="N22" s="20">
        <f>Tabela1[[#This Row],[SALDO REEMBOLSAR]]*$N$4</f>
        <v>0</v>
      </c>
      <c r="O22" s="20">
        <v>0</v>
      </c>
      <c r="Q22" t="str">
        <f>_xlfn.XLOOKUP(Tabela1[[#This Row],[COLABORADOR]],'STATUS CARTAO'!D:D,'STATUS CARTAO'!G:G)</f>
        <v>Cartão ativo</v>
      </c>
    </row>
    <row r="23" spans="1:17" hidden="1">
      <c r="A23" s="3" t="s">
        <v>83</v>
      </c>
      <c r="B23" s="3" t="s">
        <v>84</v>
      </c>
      <c r="C23" s="5" t="s">
        <v>19</v>
      </c>
      <c r="D23" s="3" t="s">
        <v>43</v>
      </c>
      <c r="E23" s="3" t="s">
        <v>85</v>
      </c>
      <c r="F23" s="3" t="s">
        <v>45</v>
      </c>
      <c r="G23" s="3" t="s">
        <v>40</v>
      </c>
      <c r="H23" s="20">
        <v>0</v>
      </c>
      <c r="I23" s="20">
        <v>1181.5199999999995</v>
      </c>
      <c r="J23" s="20">
        <v>500</v>
      </c>
      <c r="K23" s="20">
        <v>988.52</v>
      </c>
      <c r="L23" s="20"/>
      <c r="M23" s="20">
        <f>Tabela1[[#This Row],[1ª QZ]]-Tabela1[[#This Row],[SALDO FINAL]]-Tabela1[[#This Row],[SALDO CARTAO]]-Tabela1[[#This Row],[Adiantamento ]]</f>
        <v>-1670.0399999999995</v>
      </c>
      <c r="N23" s="20">
        <f>Tabela1[[#This Row],[SALDO REEMBOLSAR]]*$N$4</f>
        <v>0</v>
      </c>
      <c r="O23" s="20">
        <v>0</v>
      </c>
      <c r="Q23" t="str">
        <f>_xlfn.XLOOKUP(Tabela1[[#This Row],[COLABORADOR]],'STATUS CARTAO'!D:D,'STATUS CARTAO'!G:G)</f>
        <v>Cartão ativo</v>
      </c>
    </row>
    <row r="24" spans="1:17" hidden="1">
      <c r="A24" s="3" t="s">
        <v>86</v>
      </c>
      <c r="B24" s="3" t="s">
        <v>87</v>
      </c>
      <c r="C24" s="5" t="s">
        <v>19</v>
      </c>
      <c r="D24" s="3" t="s">
        <v>43</v>
      </c>
      <c r="E24" s="3" t="s">
        <v>88</v>
      </c>
      <c r="F24" s="3" t="s">
        <v>45</v>
      </c>
      <c r="G24" s="3" t="s">
        <v>40</v>
      </c>
      <c r="H24" s="20">
        <v>0</v>
      </c>
      <c r="I24" s="20">
        <v>500</v>
      </c>
      <c r="J24" s="20">
        <v>500</v>
      </c>
      <c r="K24" s="20">
        <v>500</v>
      </c>
      <c r="L24" s="20"/>
      <c r="M24" s="20">
        <f>Tabela1[[#This Row],[1ª QZ]]-Tabela1[[#This Row],[SALDO FINAL]]-Tabela1[[#This Row],[SALDO CARTAO]]-Tabela1[[#This Row],[Adiantamento ]]</f>
        <v>-500</v>
      </c>
      <c r="N24" s="20">
        <f>Tabela1[[#This Row],[SALDO REEMBOLSAR]]*$N$4</f>
        <v>0</v>
      </c>
      <c r="O24" s="20">
        <v>0</v>
      </c>
      <c r="Q24" t="str">
        <f>_xlfn.XLOOKUP(Tabela1[[#This Row],[COLABORADOR]],'STATUS CARTAO'!D:D,'STATUS CARTAO'!G:G)</f>
        <v>Cartão não vinculado</v>
      </c>
    </row>
    <row r="25" spans="1:17" hidden="1">
      <c r="A25" s="3" t="s">
        <v>89</v>
      </c>
      <c r="B25" s="3" t="s">
        <v>90</v>
      </c>
      <c r="C25" s="5" t="s">
        <v>19</v>
      </c>
      <c r="D25" s="3" t="s">
        <v>48</v>
      </c>
      <c r="E25" s="3" t="s">
        <v>49</v>
      </c>
      <c r="F25" s="3" t="s">
        <v>50</v>
      </c>
      <c r="G25" s="3" t="s">
        <v>40</v>
      </c>
      <c r="H25" s="20">
        <v>0</v>
      </c>
      <c r="I25" s="20">
        <v>150</v>
      </c>
      <c r="J25" s="20">
        <v>80</v>
      </c>
      <c r="K25" s="20">
        <v>0</v>
      </c>
      <c r="L25" s="20"/>
      <c r="M25" s="20">
        <f>Tabela1[[#This Row],[1ª QZ]]-Tabela1[[#This Row],[SALDO FINAL]]-Tabela1[[#This Row],[SALDO CARTAO]]-Tabela1[[#This Row],[Adiantamento ]]</f>
        <v>-70</v>
      </c>
      <c r="N25" s="20">
        <f>Tabela1[[#This Row],[SALDO REEMBOLSAR]]*$N$4</f>
        <v>0</v>
      </c>
      <c r="O25" s="20">
        <v>0</v>
      </c>
      <c r="Q25" t="str">
        <f>_xlfn.XLOOKUP(Tabela1[[#This Row],[COLABORADOR]],'STATUS CARTAO'!D:D,'STATUS CARTAO'!G:G)</f>
        <v>Cartão ativo</v>
      </c>
    </row>
    <row r="26" spans="1:17" hidden="1">
      <c r="A26" s="3" t="s">
        <v>91</v>
      </c>
      <c r="B26" s="3" t="s">
        <v>92</v>
      </c>
      <c r="C26" s="5" t="s">
        <v>19</v>
      </c>
      <c r="D26" s="3" t="s">
        <v>48</v>
      </c>
      <c r="E26" s="3" t="s">
        <v>93</v>
      </c>
      <c r="F26" s="3" t="s">
        <v>50</v>
      </c>
      <c r="G26" s="3" t="s">
        <v>40</v>
      </c>
      <c r="H26" s="20">
        <v>0</v>
      </c>
      <c r="I26" s="20">
        <v>50</v>
      </c>
      <c r="J26" s="20">
        <v>50</v>
      </c>
      <c r="K26" s="20">
        <v>47.42</v>
      </c>
      <c r="L26" s="20"/>
      <c r="M26" s="20">
        <f>Tabela1[[#This Row],[1ª QZ]]-Tabela1[[#This Row],[SALDO FINAL]]-Tabela1[[#This Row],[SALDO CARTAO]]-Tabela1[[#This Row],[Adiantamento ]]</f>
        <v>-47.42</v>
      </c>
      <c r="N26" s="20">
        <f>Tabela1[[#This Row],[SALDO REEMBOLSAR]]*$N$4</f>
        <v>0</v>
      </c>
      <c r="O26" s="20">
        <v>0</v>
      </c>
      <c r="Q26" t="str">
        <f>_xlfn.XLOOKUP(Tabela1[[#This Row],[COLABORADOR]],'STATUS CARTAO'!D:D,'STATUS CARTAO'!G:G)</f>
        <v>Cartão ativo</v>
      </c>
    </row>
    <row r="27" spans="1:17" hidden="1">
      <c r="A27" s="3" t="s">
        <v>94</v>
      </c>
      <c r="B27" s="3" t="s">
        <v>95</v>
      </c>
      <c r="C27" s="5" t="s">
        <v>19</v>
      </c>
      <c r="D27" s="3" t="s">
        <v>96</v>
      </c>
      <c r="E27" s="3" t="s">
        <v>97</v>
      </c>
      <c r="F27" s="3" t="s">
        <v>98</v>
      </c>
      <c r="G27" s="3" t="s">
        <v>23</v>
      </c>
      <c r="H27" s="20">
        <v>0</v>
      </c>
      <c r="I27" s="20">
        <v>2224.7199999999989</v>
      </c>
      <c r="J27" s="20">
        <v>500</v>
      </c>
      <c r="K27" s="20">
        <v>2525.39</v>
      </c>
      <c r="L27" s="20"/>
      <c r="M27" s="20">
        <f>Tabela1[[#This Row],[1ª QZ]]-Tabela1[[#This Row],[SALDO FINAL]]-Tabela1[[#This Row],[SALDO CARTAO]]-Tabela1[[#This Row],[Adiantamento ]]</f>
        <v>-4250.1099999999988</v>
      </c>
      <c r="N27" s="20">
        <f>Tabela1[[#This Row],[SALDO REEMBOLSAR]]*$N$4</f>
        <v>0</v>
      </c>
      <c r="O27" s="20">
        <v>0</v>
      </c>
      <c r="Q27" t="str">
        <f>_xlfn.XLOOKUP(Tabela1[[#This Row],[COLABORADOR]],'STATUS CARTAO'!D:D,'STATUS CARTAO'!G:G)</f>
        <v>Cartão ativo</v>
      </c>
    </row>
    <row r="28" spans="1:17" hidden="1">
      <c r="A28" s="3" t="s">
        <v>99</v>
      </c>
      <c r="B28" s="3" t="s">
        <v>100</v>
      </c>
      <c r="C28" s="5" t="s">
        <v>19</v>
      </c>
      <c r="D28" s="3" t="s">
        <v>37</v>
      </c>
      <c r="E28" s="3" t="s">
        <v>101</v>
      </c>
      <c r="F28" s="3" t="s">
        <v>39</v>
      </c>
      <c r="G28" s="3" t="s">
        <v>40</v>
      </c>
      <c r="H28" s="20">
        <v>0</v>
      </c>
      <c r="I28" s="20">
        <v>567.3900000000001</v>
      </c>
      <c r="J28" s="20">
        <v>400</v>
      </c>
      <c r="K28" s="20">
        <v>24.4</v>
      </c>
      <c r="L28" s="20"/>
      <c r="M28" s="20">
        <f>Tabela1[[#This Row],[1ª QZ]]-Tabela1[[#This Row],[SALDO FINAL]]-Tabela1[[#This Row],[SALDO CARTAO]]-Tabela1[[#This Row],[Adiantamento ]]</f>
        <v>-191.79000000000011</v>
      </c>
      <c r="N28" s="20">
        <f>Tabela1[[#This Row],[SALDO REEMBOLSAR]]*$N$4</f>
        <v>0</v>
      </c>
      <c r="O28" s="20">
        <v>0</v>
      </c>
      <c r="Q28" t="str">
        <f>_xlfn.XLOOKUP(Tabela1[[#This Row],[COLABORADOR]],'STATUS CARTAO'!D:D,'STATUS CARTAO'!G:G)</f>
        <v>Cartão ativo</v>
      </c>
    </row>
    <row r="29" spans="1:17" hidden="1">
      <c r="A29" s="3" t="s">
        <v>102</v>
      </c>
      <c r="B29" s="3" t="s">
        <v>103</v>
      </c>
      <c r="C29" s="5" t="s">
        <v>19</v>
      </c>
      <c r="D29" s="3" t="s">
        <v>31</v>
      </c>
      <c r="E29" s="3" t="s">
        <v>32</v>
      </c>
      <c r="F29" s="3" t="s">
        <v>33</v>
      </c>
      <c r="G29" s="3" t="s">
        <v>34</v>
      </c>
      <c r="H29" s="20">
        <v>0</v>
      </c>
      <c r="I29" s="20">
        <v>273.03999999999905</v>
      </c>
      <c r="J29" s="20">
        <v>500</v>
      </c>
      <c r="K29" s="20">
        <v>9.91</v>
      </c>
      <c r="L29" s="20"/>
      <c r="M29" s="20">
        <f>Tabela1[[#This Row],[1ª QZ]]-Tabela1[[#This Row],[SALDO FINAL]]-Tabela1[[#This Row],[SALDO CARTAO]]-Tabela1[[#This Row],[Adiantamento ]]</f>
        <v>217.05000000000095</v>
      </c>
      <c r="N29" s="20">
        <f>Tabela1[[#This Row],[SALDO REEMBOLSAR]]*$N$4</f>
        <v>0</v>
      </c>
      <c r="O29" s="20">
        <v>217.05000000000095</v>
      </c>
      <c r="Q29" t="str">
        <f>_xlfn.XLOOKUP(Tabela1[[#This Row],[COLABORADOR]],'STATUS CARTAO'!D:D,'STATUS CARTAO'!G:G)</f>
        <v>Cartão ativo</v>
      </c>
    </row>
    <row r="30" spans="1:17" hidden="1">
      <c r="A30" s="3" t="s">
        <v>104</v>
      </c>
      <c r="B30" s="3" t="s">
        <v>105</v>
      </c>
      <c r="C30" s="5" t="s">
        <v>19</v>
      </c>
      <c r="D30" s="3" t="s">
        <v>43</v>
      </c>
      <c r="E30" s="3" t="s">
        <v>106</v>
      </c>
      <c r="F30" s="3" t="s">
        <v>45</v>
      </c>
      <c r="G30" s="3" t="s">
        <v>40</v>
      </c>
      <c r="H30" s="20">
        <v>377.25000000000182</v>
      </c>
      <c r="I30" s="20">
        <v>0</v>
      </c>
      <c r="J30" s="20">
        <v>500</v>
      </c>
      <c r="K30" s="20">
        <v>9.83</v>
      </c>
      <c r="L30" s="20"/>
      <c r="M30" s="20">
        <f>Tabela1[[#This Row],[1ª QZ]]-Tabela1[[#This Row],[SALDO FINAL]]-Tabela1[[#This Row],[SALDO CARTAO]]-Tabela1[[#This Row],[Adiantamento ]]</f>
        <v>490.17</v>
      </c>
      <c r="N30" s="20">
        <f>Tabela1[[#This Row],[SALDO REEMBOLSAR]]*$N$4</f>
        <v>226.35000000000107</v>
      </c>
      <c r="O30" s="20">
        <v>678.79500000000098</v>
      </c>
      <c r="Q30" t="str">
        <f>_xlfn.XLOOKUP(Tabela1[[#This Row],[COLABORADOR]],'STATUS CARTAO'!D:D,'STATUS CARTAO'!G:G)</f>
        <v>Cartão ativo</v>
      </c>
    </row>
    <row r="31" spans="1:17" hidden="1">
      <c r="A31" s="3" t="s">
        <v>107</v>
      </c>
      <c r="B31" s="3" t="s">
        <v>108</v>
      </c>
      <c r="C31" s="5" t="s">
        <v>19</v>
      </c>
      <c r="D31" s="3" t="s">
        <v>37</v>
      </c>
      <c r="E31" s="3" t="s">
        <v>109</v>
      </c>
      <c r="F31" s="3" t="s">
        <v>39</v>
      </c>
      <c r="G31" s="3" t="s">
        <v>40</v>
      </c>
      <c r="H31" s="20">
        <v>0</v>
      </c>
      <c r="I31" s="20">
        <v>0</v>
      </c>
      <c r="J31" s="20">
        <v>500</v>
      </c>
      <c r="K31" s="20">
        <v>0</v>
      </c>
      <c r="L31" s="20"/>
      <c r="M31" s="20">
        <f>Tabela1[[#This Row],[1ª QZ]]-Tabela1[[#This Row],[SALDO FINAL]]-Tabela1[[#This Row],[SALDO CARTAO]]-Tabela1[[#This Row],[Adiantamento ]]</f>
        <v>500</v>
      </c>
      <c r="N31" s="20">
        <f>Tabela1[[#This Row],[SALDO REEMBOLSAR]]*$N$4</f>
        <v>0</v>
      </c>
      <c r="O31" s="20">
        <v>500</v>
      </c>
      <c r="Q31" t="str">
        <f>_xlfn.XLOOKUP(Tabela1[[#This Row],[COLABORADOR]],'STATUS CARTAO'!D:D,'STATUS CARTAO'!G:G)</f>
        <v>Cartão ativo</v>
      </c>
    </row>
    <row r="32" spans="1:17" hidden="1">
      <c r="A32" s="3" t="s">
        <v>110</v>
      </c>
      <c r="B32" s="3" t="s">
        <v>111</v>
      </c>
      <c r="C32" s="5" t="s">
        <v>19</v>
      </c>
      <c r="D32" s="3" t="s">
        <v>20</v>
      </c>
      <c r="E32" s="3" t="s">
        <v>112</v>
      </c>
      <c r="F32" s="3" t="s">
        <v>22</v>
      </c>
      <c r="G32" s="3" t="s">
        <v>23</v>
      </c>
      <c r="H32" s="20">
        <v>0</v>
      </c>
      <c r="I32" s="20">
        <v>35614.06</v>
      </c>
      <c r="J32" s="20">
        <v>9000</v>
      </c>
      <c r="K32" s="20">
        <v>4.57</v>
      </c>
      <c r="L32" s="20">
        <v>4000</v>
      </c>
      <c r="M32" s="20">
        <f>Tabela1[[#This Row],[1ª QZ]]-Tabela1[[#This Row],[SALDO FINAL]]-Tabela1[[#This Row],[SALDO CARTAO]]-Tabela1[[#This Row],[Adiantamento ]]</f>
        <v>-30618.629999999997</v>
      </c>
      <c r="N32" s="20">
        <f>Tabela1[[#This Row],[SALDO REEMBOLSAR]]*$N$4</f>
        <v>0</v>
      </c>
      <c r="O32" s="20">
        <v>0</v>
      </c>
      <c r="Q32" t="str">
        <f>_xlfn.XLOOKUP(Tabela1[[#This Row],[COLABORADOR]],'STATUS CARTAO'!D:D,'STATUS CARTAO'!G:G)</f>
        <v>Cartão ativo</v>
      </c>
    </row>
    <row r="33" spans="1:17" hidden="1">
      <c r="A33" s="3" t="s">
        <v>113</v>
      </c>
      <c r="B33" s="3" t="s">
        <v>114</v>
      </c>
      <c r="C33" s="5" t="s">
        <v>19</v>
      </c>
      <c r="D33" s="3" t="s">
        <v>43</v>
      </c>
      <c r="E33" s="3" t="s">
        <v>115</v>
      </c>
      <c r="F33" s="3" t="s">
        <v>45</v>
      </c>
      <c r="G33" s="3" t="s">
        <v>40</v>
      </c>
      <c r="H33" s="20">
        <v>0</v>
      </c>
      <c r="I33" s="20">
        <v>0</v>
      </c>
      <c r="J33" s="20">
        <v>2800</v>
      </c>
      <c r="K33" s="20">
        <v>1.75</v>
      </c>
      <c r="L33" s="20"/>
      <c r="M33" s="20">
        <f>Tabela1[[#This Row],[1ª QZ]]-Tabela1[[#This Row],[SALDO FINAL]]-Tabela1[[#This Row],[SALDO CARTAO]]-Tabela1[[#This Row],[Adiantamento ]]</f>
        <v>2798.25</v>
      </c>
      <c r="N33" s="20">
        <f>Tabela1[[#This Row],[SALDO REEMBOLSAR]]*$N$4</f>
        <v>0</v>
      </c>
      <c r="O33" s="20">
        <v>2798.25</v>
      </c>
      <c r="Q33" t="str">
        <f>_xlfn.XLOOKUP(Tabela1[[#This Row],[COLABORADOR]],'STATUS CARTAO'!D:D,'STATUS CARTAO'!G:G)</f>
        <v>Cartão ativo</v>
      </c>
    </row>
    <row r="34" spans="1:17" hidden="1">
      <c r="A34" s="3" t="s">
        <v>116</v>
      </c>
      <c r="B34" s="3" t="s">
        <v>117</v>
      </c>
      <c r="C34" s="5" t="s">
        <v>19</v>
      </c>
      <c r="D34" s="3" t="s">
        <v>48</v>
      </c>
      <c r="E34" s="3" t="s">
        <v>118</v>
      </c>
      <c r="F34" s="3" t="s">
        <v>50</v>
      </c>
      <c r="G34" s="3" t="s">
        <v>40</v>
      </c>
      <c r="H34" s="20">
        <v>0</v>
      </c>
      <c r="I34" s="20">
        <v>2450.9800000000014</v>
      </c>
      <c r="J34" s="20">
        <v>1200</v>
      </c>
      <c r="K34" s="20">
        <v>1708.41</v>
      </c>
      <c r="L34" s="20"/>
      <c r="M34" s="20">
        <f>Tabela1[[#This Row],[1ª QZ]]-Tabela1[[#This Row],[SALDO FINAL]]-Tabela1[[#This Row],[SALDO CARTAO]]-Tabela1[[#This Row],[Adiantamento ]]</f>
        <v>-2959.3900000000012</v>
      </c>
      <c r="N34" s="20">
        <f>Tabela1[[#This Row],[SALDO REEMBOLSAR]]*$N$4</f>
        <v>0</v>
      </c>
      <c r="O34" s="20">
        <v>0</v>
      </c>
      <c r="Q34" t="str">
        <f>_xlfn.XLOOKUP(Tabela1[[#This Row],[COLABORADOR]],'STATUS CARTAO'!D:D,'STATUS CARTAO'!G:G)</f>
        <v>Cartão ativo</v>
      </c>
    </row>
    <row r="35" spans="1:17" hidden="1">
      <c r="A35" s="3" t="s">
        <v>119</v>
      </c>
      <c r="B35" s="3" t="s">
        <v>120</v>
      </c>
      <c r="C35" s="5" t="s">
        <v>19</v>
      </c>
      <c r="D35" s="3" t="s">
        <v>31</v>
      </c>
      <c r="E35" s="3" t="s">
        <v>56</v>
      </c>
      <c r="F35" s="3" t="s">
        <v>33</v>
      </c>
      <c r="G35" s="3" t="s">
        <v>34</v>
      </c>
      <c r="H35" s="20">
        <v>0</v>
      </c>
      <c r="I35" s="20">
        <v>1012.2199999999998</v>
      </c>
      <c r="J35" s="20">
        <v>400</v>
      </c>
      <c r="K35" s="20">
        <v>4.12</v>
      </c>
      <c r="L35" s="20"/>
      <c r="M35" s="20">
        <f>Tabela1[[#This Row],[1ª QZ]]-Tabela1[[#This Row],[SALDO FINAL]]-Tabela1[[#This Row],[SALDO CARTAO]]-Tabela1[[#This Row],[Adiantamento ]]</f>
        <v>-616.3399999999998</v>
      </c>
      <c r="N35" s="20">
        <f>Tabela1[[#This Row],[SALDO REEMBOLSAR]]*$N$4</f>
        <v>0</v>
      </c>
      <c r="O35" s="20">
        <v>0</v>
      </c>
      <c r="Q35" t="str">
        <f>_xlfn.XLOOKUP(Tabela1[[#This Row],[COLABORADOR]],'STATUS CARTAO'!D:D,'STATUS CARTAO'!G:G)</f>
        <v>Cartão ativo</v>
      </c>
    </row>
    <row r="36" spans="1:17" hidden="1">
      <c r="A36" s="3" t="s">
        <v>121</v>
      </c>
      <c r="B36" s="3" t="s">
        <v>122</v>
      </c>
      <c r="C36" s="5" t="s">
        <v>19</v>
      </c>
      <c r="D36" s="3" t="s">
        <v>37</v>
      </c>
      <c r="E36" s="3" t="s">
        <v>123</v>
      </c>
      <c r="F36" s="3" t="s">
        <v>39</v>
      </c>
      <c r="G36" s="3" t="s">
        <v>40</v>
      </c>
      <c r="H36" s="20">
        <v>0</v>
      </c>
      <c r="I36" s="20">
        <v>1506.2999999999993</v>
      </c>
      <c r="J36" s="20">
        <v>1000</v>
      </c>
      <c r="K36" s="20">
        <v>969.8</v>
      </c>
      <c r="L36" s="20">
        <v>341.7</v>
      </c>
      <c r="M36" s="20">
        <f>Tabela1[[#This Row],[1ª QZ]]-Tabela1[[#This Row],[SALDO FINAL]]-Tabela1[[#This Row],[SALDO CARTAO]]-Tabela1[[#This Row],[Adiantamento ]]</f>
        <v>-1817.7999999999993</v>
      </c>
      <c r="N36" s="20">
        <f>Tabela1[[#This Row],[SALDO REEMBOLSAR]]*$N$4</f>
        <v>0</v>
      </c>
      <c r="O36" s="20">
        <v>0</v>
      </c>
      <c r="Q36" t="str">
        <f>_xlfn.XLOOKUP(Tabela1[[#This Row],[COLABORADOR]],'STATUS CARTAO'!D:D,'STATUS CARTAO'!G:G)</f>
        <v>Cartão ativo</v>
      </c>
    </row>
    <row r="37" spans="1:17">
      <c r="A37" s="3" t="s">
        <v>124</v>
      </c>
      <c r="B37" s="3" t="s">
        <v>125</v>
      </c>
      <c r="C37" s="5" t="s">
        <v>19</v>
      </c>
      <c r="D37" s="3" t="s">
        <v>20</v>
      </c>
      <c r="E37" s="3" t="s">
        <v>126</v>
      </c>
      <c r="F37" s="3" t="s">
        <v>22</v>
      </c>
      <c r="G37" s="3" t="s">
        <v>23</v>
      </c>
      <c r="H37" s="20">
        <v>0</v>
      </c>
      <c r="I37" s="20">
        <v>9122.9500000000062</v>
      </c>
      <c r="J37" s="20">
        <v>1500</v>
      </c>
      <c r="K37" s="20">
        <v>17.100000000000001</v>
      </c>
      <c r="L37" s="20">
        <v>0</v>
      </c>
      <c r="M37" s="20">
        <f>Tabela1[[#This Row],[1ª QZ]]-Tabela1[[#This Row],[SALDO FINAL]]-Tabela1[[#This Row],[SALDO CARTAO]]-Tabela1[[#This Row],[Adiantamento ]]</f>
        <v>-7640.0500000000065</v>
      </c>
      <c r="N37" s="20">
        <f>Tabela1[[#This Row],[SALDO REEMBOLSAR]]*$N$4</f>
        <v>0</v>
      </c>
      <c r="O37" s="20">
        <v>0</v>
      </c>
      <c r="Q37" t="str">
        <f>_xlfn.XLOOKUP(Tabela1[[#This Row],[COLABORADOR]],'STATUS CARTAO'!D:D,'STATUS CARTAO'!G:G)</f>
        <v>Cartão ativo</v>
      </c>
    </row>
    <row r="38" spans="1:17" hidden="1">
      <c r="A38" s="3" t="s">
        <v>127</v>
      </c>
      <c r="B38" s="3" t="s">
        <v>128</v>
      </c>
      <c r="C38" s="5" t="s">
        <v>19</v>
      </c>
      <c r="D38" s="3" t="s">
        <v>31</v>
      </c>
      <c r="E38" s="3" t="s">
        <v>129</v>
      </c>
      <c r="F38" s="3" t="s">
        <v>33</v>
      </c>
      <c r="G38" s="3" t="s">
        <v>34</v>
      </c>
      <c r="H38" s="20">
        <v>0</v>
      </c>
      <c r="I38" s="20">
        <v>367.32999999999993</v>
      </c>
      <c r="J38" s="20">
        <v>300</v>
      </c>
      <c r="K38" s="20">
        <v>4.82</v>
      </c>
      <c r="L38" s="20"/>
      <c r="M38" s="20">
        <f>Tabela1[[#This Row],[1ª QZ]]-Tabela1[[#This Row],[SALDO FINAL]]-Tabela1[[#This Row],[SALDO CARTAO]]-Tabela1[[#This Row],[Adiantamento ]]</f>
        <v>-72.14999999999992</v>
      </c>
      <c r="N38" s="20">
        <f>Tabela1[[#This Row],[SALDO REEMBOLSAR]]*$N$4</f>
        <v>0</v>
      </c>
      <c r="O38" s="20">
        <v>0</v>
      </c>
      <c r="Q38" t="str">
        <f>_xlfn.XLOOKUP(Tabela1[[#This Row],[COLABORADOR]],'STATUS CARTAO'!D:D,'STATUS CARTAO'!G:G)</f>
        <v>Cartão ativo</v>
      </c>
    </row>
    <row r="39" spans="1:17" hidden="1">
      <c r="A39" s="3" t="s">
        <v>130</v>
      </c>
      <c r="B39" s="3" t="s">
        <v>131</v>
      </c>
      <c r="C39" s="5" t="s">
        <v>19</v>
      </c>
      <c r="D39" s="3" t="s">
        <v>96</v>
      </c>
      <c r="E39" s="3" t="s">
        <v>132</v>
      </c>
      <c r="F39" s="3" t="s">
        <v>98</v>
      </c>
      <c r="G39" s="3" t="s">
        <v>23</v>
      </c>
      <c r="H39" s="20">
        <v>0</v>
      </c>
      <c r="I39" s="20">
        <v>4790.7699999999895</v>
      </c>
      <c r="J39" s="20">
        <v>5000</v>
      </c>
      <c r="K39" s="20">
        <v>2666</v>
      </c>
      <c r="L39" s="20"/>
      <c r="M39" s="20">
        <f>Tabela1[[#This Row],[1ª QZ]]-Tabela1[[#This Row],[SALDO FINAL]]-Tabela1[[#This Row],[SALDO CARTAO]]-Tabela1[[#This Row],[Adiantamento ]]</f>
        <v>-2456.7699999999895</v>
      </c>
      <c r="N39" s="20">
        <f>Tabela1[[#This Row],[SALDO REEMBOLSAR]]*$N$4</f>
        <v>0</v>
      </c>
      <c r="O39" s="20">
        <v>0</v>
      </c>
      <c r="Q39" t="str">
        <f>_xlfn.XLOOKUP(Tabela1[[#This Row],[COLABORADOR]],'STATUS CARTAO'!D:D,'STATUS CARTAO'!G:G)</f>
        <v>Cartão ativo</v>
      </c>
    </row>
    <row r="40" spans="1:17" hidden="1">
      <c r="A40" s="3" t="s">
        <v>133</v>
      </c>
      <c r="B40" s="3" t="s">
        <v>134</v>
      </c>
      <c r="C40" s="5" t="s">
        <v>19</v>
      </c>
      <c r="D40" s="3" t="s">
        <v>26</v>
      </c>
      <c r="E40" s="3" t="s">
        <v>135</v>
      </c>
      <c r="F40" s="3" t="s">
        <v>28</v>
      </c>
      <c r="G40" s="3" t="s">
        <v>23</v>
      </c>
      <c r="H40" s="20">
        <v>788.50000000001091</v>
      </c>
      <c r="I40" s="20">
        <v>0</v>
      </c>
      <c r="J40" s="20">
        <v>1000</v>
      </c>
      <c r="K40" s="20">
        <v>3</v>
      </c>
      <c r="L40" s="20"/>
      <c r="M40" s="20">
        <f>Tabela1[[#This Row],[1ª QZ]]-Tabela1[[#This Row],[SALDO FINAL]]-Tabela1[[#This Row],[SALDO CARTAO]]-Tabela1[[#This Row],[Adiantamento ]]</f>
        <v>997</v>
      </c>
      <c r="N40" s="20">
        <f>Tabela1[[#This Row],[SALDO REEMBOLSAR]]*$N$4</f>
        <v>473.1000000000065</v>
      </c>
      <c r="O40" s="20">
        <v>1391.2500000000055</v>
      </c>
      <c r="Q40" t="str">
        <f>_xlfn.XLOOKUP(Tabela1[[#This Row],[COLABORADOR]],'STATUS CARTAO'!D:D,'STATUS CARTAO'!G:G)</f>
        <v>Cartão ativo</v>
      </c>
    </row>
    <row r="41" spans="1:17" hidden="1">
      <c r="A41" s="3" t="s">
        <v>136</v>
      </c>
      <c r="B41" s="3" t="s">
        <v>137</v>
      </c>
      <c r="C41" s="5" t="s">
        <v>19</v>
      </c>
      <c r="D41" s="3" t="s">
        <v>37</v>
      </c>
      <c r="E41" s="3" t="s">
        <v>138</v>
      </c>
      <c r="F41" s="3" t="s">
        <v>39</v>
      </c>
      <c r="G41" s="3" t="s">
        <v>40</v>
      </c>
      <c r="H41" s="20">
        <v>0</v>
      </c>
      <c r="I41" s="20">
        <v>68.460000000008222</v>
      </c>
      <c r="J41" s="20">
        <v>800</v>
      </c>
      <c r="K41" s="20">
        <v>89.41</v>
      </c>
      <c r="L41" s="20"/>
      <c r="M41" s="20">
        <f>Tabela1[[#This Row],[1ª QZ]]-Tabela1[[#This Row],[SALDO FINAL]]-Tabela1[[#This Row],[SALDO CARTAO]]-Tabela1[[#This Row],[Adiantamento ]]</f>
        <v>642.12999999999181</v>
      </c>
      <c r="N41" s="20">
        <f>Tabela1[[#This Row],[SALDO REEMBOLSAR]]*$N$4</f>
        <v>0</v>
      </c>
      <c r="O41" s="20">
        <v>642.12999999999181</v>
      </c>
      <c r="Q41" t="str">
        <f>_xlfn.XLOOKUP(Tabela1[[#This Row],[COLABORADOR]],'STATUS CARTAO'!D:D,'STATUS CARTAO'!G:G)</f>
        <v>Cartão ativo</v>
      </c>
    </row>
    <row r="42" spans="1:17" hidden="1">
      <c r="A42" s="3" t="s">
        <v>139</v>
      </c>
      <c r="B42" s="3" t="s">
        <v>140</v>
      </c>
      <c r="C42" s="5" t="s">
        <v>19</v>
      </c>
      <c r="D42" s="3" t="s">
        <v>20</v>
      </c>
      <c r="E42" s="3" t="s">
        <v>141</v>
      </c>
      <c r="F42" s="3" t="s">
        <v>22</v>
      </c>
      <c r="G42" s="3" t="s">
        <v>23</v>
      </c>
      <c r="H42" s="20">
        <v>0</v>
      </c>
      <c r="I42" s="20">
        <v>1453.0199999999822</v>
      </c>
      <c r="J42" s="20">
        <v>2000</v>
      </c>
      <c r="K42" s="20">
        <v>36</v>
      </c>
      <c r="L42" s="20"/>
      <c r="M42" s="20">
        <f>Tabela1[[#This Row],[1ª QZ]]-Tabela1[[#This Row],[SALDO FINAL]]-Tabela1[[#This Row],[SALDO CARTAO]]-Tabela1[[#This Row],[Adiantamento ]]</f>
        <v>510.98000000001775</v>
      </c>
      <c r="N42" s="20">
        <f>Tabela1[[#This Row],[SALDO REEMBOLSAR]]*$N$4</f>
        <v>0</v>
      </c>
      <c r="O42" s="20">
        <v>510.98000000001775</v>
      </c>
      <c r="Q42" t="str">
        <f>_xlfn.XLOOKUP(Tabela1[[#This Row],[COLABORADOR]],'STATUS CARTAO'!D:D,'STATUS CARTAO'!G:G)</f>
        <v>Cartão ativo</v>
      </c>
    </row>
    <row r="43" spans="1:17" hidden="1">
      <c r="A43" s="3" t="s">
        <v>142</v>
      </c>
      <c r="B43" s="3" t="s">
        <v>143</v>
      </c>
      <c r="C43" s="5" t="s">
        <v>19</v>
      </c>
      <c r="D43" s="3" t="s">
        <v>31</v>
      </c>
      <c r="E43" s="3" t="s">
        <v>56</v>
      </c>
      <c r="F43" s="3" t="s">
        <v>33</v>
      </c>
      <c r="G43" s="3" t="s">
        <v>34</v>
      </c>
      <c r="H43" s="20">
        <v>0</v>
      </c>
      <c r="I43" s="20">
        <v>854.02000000000226</v>
      </c>
      <c r="J43" s="20">
        <v>800</v>
      </c>
      <c r="K43" s="20">
        <v>110.64</v>
      </c>
      <c r="L43" s="20"/>
      <c r="M43" s="20">
        <f>Tabela1[[#This Row],[1ª QZ]]-Tabela1[[#This Row],[SALDO FINAL]]-Tabela1[[#This Row],[SALDO CARTAO]]-Tabela1[[#This Row],[Adiantamento ]]</f>
        <v>-164.66000000000224</v>
      </c>
      <c r="N43" s="20">
        <f>Tabela1[[#This Row],[SALDO REEMBOLSAR]]*$N$4</f>
        <v>0</v>
      </c>
      <c r="O43" s="20">
        <v>0</v>
      </c>
      <c r="Q43" t="str">
        <f>_xlfn.XLOOKUP(Tabela1[[#This Row],[COLABORADOR]],'STATUS CARTAO'!D:D,'STATUS CARTAO'!G:G)</f>
        <v>Cartão ativo</v>
      </c>
    </row>
    <row r="44" spans="1:17" hidden="1">
      <c r="A44" s="3" t="s">
        <v>144</v>
      </c>
      <c r="B44" s="3" t="s">
        <v>145</v>
      </c>
      <c r="C44" s="5" t="s">
        <v>19</v>
      </c>
      <c r="D44" s="3" t="s">
        <v>31</v>
      </c>
      <c r="E44" s="3" t="s">
        <v>56</v>
      </c>
      <c r="F44" s="3" t="s">
        <v>33</v>
      </c>
      <c r="G44" s="3" t="s">
        <v>34</v>
      </c>
      <c r="H44" s="20">
        <v>0</v>
      </c>
      <c r="I44" s="20">
        <v>35.559999999999491</v>
      </c>
      <c r="J44" s="20">
        <v>700</v>
      </c>
      <c r="K44" s="20">
        <v>3</v>
      </c>
      <c r="L44" s="20"/>
      <c r="M44" s="20">
        <f>Tabela1[[#This Row],[1ª QZ]]-Tabela1[[#This Row],[SALDO FINAL]]-Tabela1[[#This Row],[SALDO CARTAO]]-Tabela1[[#This Row],[Adiantamento ]]</f>
        <v>661.44000000000051</v>
      </c>
      <c r="N44" s="20">
        <f>Tabela1[[#This Row],[SALDO REEMBOLSAR]]*$N$4</f>
        <v>0</v>
      </c>
      <c r="O44" s="20">
        <v>661.44000000000051</v>
      </c>
      <c r="Q44" t="str">
        <f>_xlfn.XLOOKUP(Tabela1[[#This Row],[COLABORADOR]],'STATUS CARTAO'!D:D,'STATUS CARTAO'!G:G)</f>
        <v>Cartão ativo</v>
      </c>
    </row>
    <row r="45" spans="1:17" hidden="1">
      <c r="A45" s="3" t="s">
        <v>146</v>
      </c>
      <c r="B45" s="3" t="s">
        <v>147</v>
      </c>
      <c r="C45" s="5" t="s">
        <v>19</v>
      </c>
      <c r="D45" s="3" t="s">
        <v>48</v>
      </c>
      <c r="E45" s="3" t="s">
        <v>49</v>
      </c>
      <c r="F45" s="3" t="s">
        <v>50</v>
      </c>
      <c r="G45" s="3" t="s">
        <v>40</v>
      </c>
      <c r="H45" s="20">
        <v>0</v>
      </c>
      <c r="I45" s="20">
        <v>932.3799999999992</v>
      </c>
      <c r="J45" s="20">
        <v>80</v>
      </c>
      <c r="K45" s="20">
        <v>0.3</v>
      </c>
      <c r="L45" s="20"/>
      <c r="M45" s="20">
        <f>Tabela1[[#This Row],[1ª QZ]]-Tabela1[[#This Row],[SALDO FINAL]]-Tabela1[[#This Row],[SALDO CARTAO]]-Tabela1[[#This Row],[Adiantamento ]]</f>
        <v>-852.67999999999915</v>
      </c>
      <c r="N45" s="20">
        <f>Tabela1[[#This Row],[SALDO REEMBOLSAR]]*$N$4</f>
        <v>0</v>
      </c>
      <c r="O45" s="20">
        <v>0</v>
      </c>
      <c r="Q45" t="str">
        <f>_xlfn.XLOOKUP(Tabela1[[#This Row],[COLABORADOR]],'STATUS CARTAO'!D:D,'STATUS CARTAO'!G:G)</f>
        <v>Cartão ativo</v>
      </c>
    </row>
    <row r="46" spans="1:17" hidden="1">
      <c r="A46" s="3" t="s">
        <v>148</v>
      </c>
      <c r="B46" s="3" t="s">
        <v>149</v>
      </c>
      <c r="C46" s="5" t="s">
        <v>19</v>
      </c>
      <c r="D46" s="3" t="s">
        <v>37</v>
      </c>
      <c r="E46" s="3" t="s">
        <v>109</v>
      </c>
      <c r="F46" s="3" t="s">
        <v>39</v>
      </c>
      <c r="G46" s="3" t="s">
        <v>40</v>
      </c>
      <c r="H46" s="20">
        <v>368.82999999999993</v>
      </c>
      <c r="I46" s="20">
        <v>0</v>
      </c>
      <c r="J46" s="20">
        <v>700</v>
      </c>
      <c r="K46" s="20">
        <v>144.11000000000001</v>
      </c>
      <c r="L46" s="20"/>
      <c r="M46" s="20">
        <f>Tabela1[[#This Row],[1ª QZ]]-Tabela1[[#This Row],[SALDO FINAL]]-Tabela1[[#This Row],[SALDO CARTAO]]-Tabela1[[#This Row],[Adiantamento ]]</f>
        <v>555.89</v>
      </c>
      <c r="N46" s="20">
        <f>Tabela1[[#This Row],[SALDO REEMBOLSAR]]*$N$4</f>
        <v>221.29799999999994</v>
      </c>
      <c r="O46" s="20">
        <v>740.30499999999995</v>
      </c>
      <c r="Q46" t="str">
        <f>_xlfn.XLOOKUP(Tabela1[[#This Row],[COLABORADOR]],'STATUS CARTAO'!D:D,'STATUS CARTAO'!G:G)</f>
        <v>Cartão ativo</v>
      </c>
    </row>
    <row r="47" spans="1:17" hidden="1">
      <c r="A47" s="3" t="s">
        <v>150</v>
      </c>
      <c r="B47" s="3" t="s">
        <v>151</v>
      </c>
      <c r="C47" s="5" t="s">
        <v>19</v>
      </c>
      <c r="D47" s="3" t="s">
        <v>74</v>
      </c>
      <c r="E47" s="3" t="s">
        <v>152</v>
      </c>
      <c r="F47" s="3" t="s">
        <v>76</v>
      </c>
      <c r="G47" s="3" t="s">
        <v>40</v>
      </c>
      <c r="H47" s="20">
        <v>0</v>
      </c>
      <c r="I47" s="20">
        <v>1798.9300000000076</v>
      </c>
      <c r="J47" s="20">
        <v>2200</v>
      </c>
      <c r="K47" s="20">
        <v>9.2100000000000009</v>
      </c>
      <c r="L47" s="20"/>
      <c r="M47" s="20">
        <f>Tabela1[[#This Row],[1ª QZ]]-Tabela1[[#This Row],[SALDO FINAL]]-Tabela1[[#This Row],[SALDO CARTAO]]-Tabela1[[#This Row],[Adiantamento ]]</f>
        <v>391.85999999999245</v>
      </c>
      <c r="N47" s="20">
        <f>Tabela1[[#This Row],[SALDO REEMBOLSAR]]*$N$4</f>
        <v>0</v>
      </c>
      <c r="O47" s="20">
        <v>391.85999999999245</v>
      </c>
      <c r="Q47" t="str">
        <f>_xlfn.XLOOKUP(Tabela1[[#This Row],[COLABORADOR]],'STATUS CARTAO'!D:D,'STATUS CARTAO'!G:G)</f>
        <v>Cartão ativo</v>
      </c>
    </row>
    <row r="48" spans="1:17" hidden="1">
      <c r="A48" s="3" t="s">
        <v>153</v>
      </c>
      <c r="B48" s="3" t="s">
        <v>154</v>
      </c>
      <c r="C48" s="5" t="s">
        <v>19</v>
      </c>
      <c r="D48" s="3" t="s">
        <v>48</v>
      </c>
      <c r="E48" s="3" t="s">
        <v>49</v>
      </c>
      <c r="F48" s="3" t="s">
        <v>50</v>
      </c>
      <c r="G48" s="3" t="s">
        <v>40</v>
      </c>
      <c r="H48" s="20">
        <v>0</v>
      </c>
      <c r="I48" s="20">
        <v>662.74999999999989</v>
      </c>
      <c r="J48" s="20">
        <v>120</v>
      </c>
      <c r="K48" s="20">
        <v>0</v>
      </c>
      <c r="L48" s="20"/>
      <c r="M48" s="20">
        <f>Tabela1[[#This Row],[1ª QZ]]-Tabela1[[#This Row],[SALDO FINAL]]-Tabela1[[#This Row],[SALDO CARTAO]]-Tabela1[[#This Row],[Adiantamento ]]</f>
        <v>-542.74999999999989</v>
      </c>
      <c r="N48" s="20">
        <f>Tabela1[[#This Row],[SALDO REEMBOLSAR]]*$N$4</f>
        <v>0</v>
      </c>
      <c r="O48" s="20">
        <v>0</v>
      </c>
      <c r="Q48" t="str">
        <f>_xlfn.XLOOKUP(Tabela1[[#This Row],[COLABORADOR]],'STATUS CARTAO'!D:D,'STATUS CARTAO'!G:G)</f>
        <v>Cartão ativo</v>
      </c>
    </row>
    <row r="49" spans="1:17" hidden="1">
      <c r="A49" s="3" t="s">
        <v>155</v>
      </c>
      <c r="B49" s="3" t="s">
        <v>156</v>
      </c>
      <c r="C49" s="5" t="s">
        <v>19</v>
      </c>
      <c r="D49" s="3" t="s">
        <v>59</v>
      </c>
      <c r="E49" s="3" t="s">
        <v>60</v>
      </c>
      <c r="F49" s="3" t="s">
        <v>61</v>
      </c>
      <c r="G49" s="3" t="s">
        <v>23</v>
      </c>
      <c r="H49" s="20">
        <v>138.11000000000058</v>
      </c>
      <c r="I49" s="20">
        <v>0</v>
      </c>
      <c r="J49" s="20">
        <v>1000</v>
      </c>
      <c r="K49" s="20">
        <v>56.66</v>
      </c>
      <c r="L49" s="20"/>
      <c r="M49" s="20">
        <f>Tabela1[[#This Row],[1ª QZ]]-Tabela1[[#This Row],[SALDO FINAL]]-Tabela1[[#This Row],[SALDO CARTAO]]-Tabela1[[#This Row],[Adiantamento ]]</f>
        <v>943.34</v>
      </c>
      <c r="N49" s="20">
        <f>Tabela1[[#This Row],[SALDO REEMBOLSAR]]*$N$4</f>
        <v>82.866000000000341</v>
      </c>
      <c r="O49" s="20">
        <v>1012.3950000000003</v>
      </c>
      <c r="Q49" t="str">
        <f>_xlfn.XLOOKUP(Tabela1[[#This Row],[COLABORADOR]],'STATUS CARTAO'!D:D,'STATUS CARTAO'!G:G)</f>
        <v>Cartão ativo</v>
      </c>
    </row>
    <row r="50" spans="1:17" hidden="1">
      <c r="A50" s="3" t="s">
        <v>157</v>
      </c>
      <c r="B50" s="3" t="s">
        <v>158</v>
      </c>
      <c r="C50" s="5" t="s">
        <v>19</v>
      </c>
      <c r="D50" s="3" t="s">
        <v>31</v>
      </c>
      <c r="E50" s="3" t="s">
        <v>159</v>
      </c>
      <c r="F50" s="3" t="s">
        <v>33</v>
      </c>
      <c r="G50" s="3" t="s">
        <v>34</v>
      </c>
      <c r="H50" s="20">
        <v>0</v>
      </c>
      <c r="I50" s="20">
        <v>661.88000000000011</v>
      </c>
      <c r="J50" s="20">
        <v>800</v>
      </c>
      <c r="K50" s="20">
        <v>327.29000000000002</v>
      </c>
      <c r="L50" s="20"/>
      <c r="M50" s="20">
        <f>Tabela1[[#This Row],[1ª QZ]]-Tabela1[[#This Row],[SALDO FINAL]]-Tabela1[[#This Row],[SALDO CARTAO]]-Tabela1[[#This Row],[Adiantamento ]]</f>
        <v>-189.17000000000013</v>
      </c>
      <c r="N50" s="20">
        <f>Tabela1[[#This Row],[SALDO REEMBOLSAR]]*$N$4</f>
        <v>0</v>
      </c>
      <c r="O50" s="20">
        <v>0</v>
      </c>
      <c r="Q50" t="str">
        <f>_xlfn.XLOOKUP(Tabela1[[#This Row],[COLABORADOR]],'STATUS CARTAO'!D:D,'STATUS CARTAO'!G:G)</f>
        <v>Cartão ativo</v>
      </c>
    </row>
    <row r="51" spans="1:17" hidden="1">
      <c r="A51" s="3" t="s">
        <v>157</v>
      </c>
      <c r="B51" s="3" t="s">
        <v>158</v>
      </c>
      <c r="C51" s="5"/>
      <c r="D51" s="3" t="s">
        <v>31</v>
      </c>
      <c r="E51" s="3" t="s">
        <v>159</v>
      </c>
      <c r="F51" s="3"/>
      <c r="G51" s="3"/>
      <c r="H51" s="20"/>
      <c r="I51" s="20"/>
      <c r="J51" s="20"/>
      <c r="K51" s="20"/>
      <c r="L51" s="20"/>
      <c r="M51" s="20">
        <f>Tabela1[[#This Row],[1ª QZ]]-Tabela1[[#This Row],[SALDO FINAL]]-Tabela1[[#This Row],[SALDO CARTAO]]-Tabela1[[#This Row],[Adiantamento ]]</f>
        <v>0</v>
      </c>
      <c r="N51" s="20">
        <f>Tabela1[[#This Row],[SALDO REEMBOLSAR]]*$N$4</f>
        <v>0</v>
      </c>
      <c r="O51" s="20">
        <v>288.11999999999983</v>
      </c>
      <c r="Q51" t="str">
        <f>_xlfn.XLOOKUP(Tabela1[[#This Row],[COLABORADOR]],'STATUS CARTAO'!D:D,'STATUS CARTAO'!G:G)</f>
        <v>Cartão ativo</v>
      </c>
    </row>
    <row r="52" spans="1:17" hidden="1">
      <c r="A52" s="3" t="s">
        <v>160</v>
      </c>
      <c r="B52" s="3" t="s">
        <v>161</v>
      </c>
      <c r="C52" s="5" t="s">
        <v>19</v>
      </c>
      <c r="D52" s="3" t="s">
        <v>37</v>
      </c>
      <c r="E52" s="3" t="s">
        <v>49</v>
      </c>
      <c r="F52" s="3" t="s">
        <v>39</v>
      </c>
      <c r="G52" s="3" t="s">
        <v>40</v>
      </c>
      <c r="H52" s="20">
        <v>0</v>
      </c>
      <c r="I52" s="20">
        <v>692.7999999999995</v>
      </c>
      <c r="J52" s="20">
        <v>700</v>
      </c>
      <c r="K52" s="20">
        <v>900</v>
      </c>
      <c r="L52" s="20"/>
      <c r="M52" s="20">
        <f>Tabela1[[#This Row],[1ª QZ]]-Tabela1[[#This Row],[SALDO FINAL]]-Tabela1[[#This Row],[SALDO CARTAO]]-Tabela1[[#This Row],[Adiantamento ]]</f>
        <v>-892.7999999999995</v>
      </c>
      <c r="N52" s="20">
        <f>Tabela1[[#This Row],[SALDO REEMBOLSAR]]*$N$4</f>
        <v>0</v>
      </c>
      <c r="O52" s="20">
        <v>0</v>
      </c>
      <c r="Q52" t="str">
        <f>_xlfn.XLOOKUP(Tabela1[[#This Row],[COLABORADOR]],'STATUS CARTAO'!D:D,'STATUS CARTAO'!G:G)</f>
        <v>Cartão ativo</v>
      </c>
    </row>
    <row r="53" spans="1:17" hidden="1">
      <c r="A53" s="3" t="s">
        <v>162</v>
      </c>
      <c r="B53" s="3" t="s">
        <v>163</v>
      </c>
      <c r="C53" s="5" t="s">
        <v>19</v>
      </c>
      <c r="D53" s="3" t="s">
        <v>96</v>
      </c>
      <c r="E53" s="3" t="s">
        <v>164</v>
      </c>
      <c r="F53" s="3" t="s">
        <v>98</v>
      </c>
      <c r="G53" s="3" t="s">
        <v>23</v>
      </c>
      <c r="H53" s="20">
        <v>0</v>
      </c>
      <c r="I53" s="20">
        <v>32541</v>
      </c>
      <c r="J53" s="20">
        <v>5000</v>
      </c>
      <c r="K53" s="20">
        <v>0.73</v>
      </c>
      <c r="L53" s="20"/>
      <c r="M53" s="20">
        <f>Tabela1[[#This Row],[1ª QZ]]-Tabela1[[#This Row],[SALDO FINAL]]-Tabela1[[#This Row],[SALDO CARTAO]]-Tabela1[[#This Row],[Adiantamento ]]</f>
        <v>-27541.73</v>
      </c>
      <c r="N53" s="20">
        <f>Tabela1[[#This Row],[SALDO REEMBOLSAR]]*$N$4</f>
        <v>0</v>
      </c>
      <c r="O53" s="20">
        <v>0</v>
      </c>
      <c r="Q53" t="str">
        <f>_xlfn.XLOOKUP(Tabela1[[#This Row],[COLABORADOR]],'STATUS CARTAO'!D:D,'STATUS CARTAO'!G:G)</f>
        <v>Cartão ativo</v>
      </c>
    </row>
    <row r="54" spans="1:17" hidden="1">
      <c r="A54" s="3" t="s">
        <v>165</v>
      </c>
      <c r="B54" s="3" t="s">
        <v>166</v>
      </c>
      <c r="C54" s="5" t="s">
        <v>19</v>
      </c>
      <c r="D54" s="3" t="s">
        <v>167</v>
      </c>
      <c r="E54" s="3" t="s">
        <v>168</v>
      </c>
      <c r="F54" s="3" t="s">
        <v>169</v>
      </c>
      <c r="G54" s="3" t="s">
        <v>34</v>
      </c>
      <c r="H54" s="20">
        <v>0</v>
      </c>
      <c r="I54" s="20">
        <v>7221.1399999999812</v>
      </c>
      <c r="J54" s="20">
        <v>6200</v>
      </c>
      <c r="K54" s="20">
        <v>2463.33</v>
      </c>
      <c r="L54" s="20"/>
      <c r="M54" s="20">
        <f>Tabela1[[#This Row],[1ª QZ]]-Tabela1[[#This Row],[SALDO FINAL]]-Tabela1[[#This Row],[SALDO CARTAO]]-Tabela1[[#This Row],[Adiantamento ]]</f>
        <v>-3484.4699999999812</v>
      </c>
      <c r="N54" s="20">
        <f>Tabela1[[#This Row],[SALDO REEMBOLSAR]]*$N$4</f>
        <v>0</v>
      </c>
      <c r="O54" s="20">
        <v>0</v>
      </c>
      <c r="Q54" t="str">
        <f>_xlfn.XLOOKUP(Tabela1[[#This Row],[COLABORADOR]],'STATUS CARTAO'!D:D,'STATUS CARTAO'!G:G)</f>
        <v>Cartão ativo</v>
      </c>
    </row>
    <row r="55" spans="1:17" hidden="1">
      <c r="A55" s="3" t="s">
        <v>170</v>
      </c>
      <c r="B55" s="3" t="s">
        <v>171</v>
      </c>
      <c r="C55" s="5" t="s">
        <v>19</v>
      </c>
      <c r="D55" s="3" t="s">
        <v>37</v>
      </c>
      <c r="E55" s="3" t="s">
        <v>172</v>
      </c>
      <c r="F55" s="3" t="s">
        <v>39</v>
      </c>
      <c r="G55" s="3" t="s">
        <v>40</v>
      </c>
      <c r="H55" s="20">
        <v>0</v>
      </c>
      <c r="I55" s="20">
        <v>3166.1400000000049</v>
      </c>
      <c r="J55" s="20">
        <v>3900</v>
      </c>
      <c r="K55" s="20">
        <v>4.82</v>
      </c>
      <c r="L55" s="20"/>
      <c r="M55" s="20">
        <f>Tabela1[[#This Row],[1ª QZ]]-Tabela1[[#This Row],[SALDO FINAL]]-Tabela1[[#This Row],[SALDO CARTAO]]-Tabela1[[#This Row],[Adiantamento ]]</f>
        <v>729.03999999999508</v>
      </c>
      <c r="N55" s="20">
        <f>Tabela1[[#This Row],[SALDO REEMBOLSAR]]*$N$4</f>
        <v>0</v>
      </c>
      <c r="O55" s="20">
        <v>729.03999999999508</v>
      </c>
      <c r="Q55" t="str">
        <f>_xlfn.XLOOKUP(Tabela1[[#This Row],[COLABORADOR]],'STATUS CARTAO'!D:D,'STATUS CARTAO'!G:G)</f>
        <v>Cartão ativo</v>
      </c>
    </row>
    <row r="56" spans="1:17" hidden="1">
      <c r="A56" s="3" t="s">
        <v>173</v>
      </c>
      <c r="B56" s="3" t="s">
        <v>174</v>
      </c>
      <c r="C56" s="5" t="s">
        <v>19</v>
      </c>
      <c r="D56" s="3" t="s">
        <v>48</v>
      </c>
      <c r="E56" s="3" t="s">
        <v>49</v>
      </c>
      <c r="F56" s="3" t="s">
        <v>50</v>
      </c>
      <c r="G56" s="3" t="s">
        <v>40</v>
      </c>
      <c r="H56" s="20">
        <v>0</v>
      </c>
      <c r="I56" s="20">
        <v>2956.2600000000066</v>
      </c>
      <c r="J56" s="20">
        <v>2520</v>
      </c>
      <c r="K56" s="20">
        <v>90.56</v>
      </c>
      <c r="L56" s="20"/>
      <c r="M56" s="20">
        <f>Tabela1[[#This Row],[1ª QZ]]-Tabela1[[#This Row],[SALDO FINAL]]-Tabela1[[#This Row],[SALDO CARTAO]]-Tabela1[[#This Row],[Adiantamento ]]</f>
        <v>-526.82000000000653</v>
      </c>
      <c r="N56" s="20">
        <f>Tabela1[[#This Row],[SALDO REEMBOLSAR]]*$N$4</f>
        <v>0</v>
      </c>
      <c r="O56" s="20">
        <v>0</v>
      </c>
      <c r="Q56" t="str">
        <f>_xlfn.XLOOKUP(Tabela1[[#This Row],[COLABORADOR]],'STATUS CARTAO'!D:D,'STATUS CARTAO'!G:G)</f>
        <v>Cartão ativo</v>
      </c>
    </row>
    <row r="57" spans="1:17" hidden="1">
      <c r="A57" s="3" t="s">
        <v>173</v>
      </c>
      <c r="B57" s="3" t="s">
        <v>174</v>
      </c>
      <c r="C57" s="5"/>
      <c r="D57" s="3" t="s">
        <v>48</v>
      </c>
      <c r="E57" s="3" t="s">
        <v>49</v>
      </c>
      <c r="F57" s="3"/>
      <c r="G57" s="3"/>
      <c r="H57" s="20"/>
      <c r="I57" s="20"/>
      <c r="J57" s="20"/>
      <c r="K57" s="20"/>
      <c r="L57" s="20"/>
      <c r="M57" s="20">
        <f>Tabela1[[#This Row],[1ª QZ]]-Tabela1[[#This Row],[SALDO FINAL]]-Tabela1[[#This Row],[SALDO CARTAO]]-Tabela1[[#This Row],[Adiantamento ]]</f>
        <v>0</v>
      </c>
      <c r="N57" s="20">
        <f>Tabela1[[#This Row],[SALDO REEMBOLSAR]]*$N$4</f>
        <v>0</v>
      </c>
      <c r="O57" s="20">
        <v>2165.739999999993</v>
      </c>
      <c r="Q57" t="str">
        <f>_xlfn.XLOOKUP(Tabela1[[#This Row],[COLABORADOR]],'STATUS CARTAO'!D:D,'STATUS CARTAO'!G:G)</f>
        <v>Cartão ativo</v>
      </c>
    </row>
    <row r="58" spans="1:17" hidden="1">
      <c r="A58" s="3" t="s">
        <v>175</v>
      </c>
      <c r="B58" s="3" t="s">
        <v>176</v>
      </c>
      <c r="C58" s="5" t="s">
        <v>19</v>
      </c>
      <c r="D58" s="3" t="s">
        <v>26</v>
      </c>
      <c r="E58" s="3" t="s">
        <v>177</v>
      </c>
      <c r="F58" s="3" t="s">
        <v>28</v>
      </c>
      <c r="G58" s="3" t="s">
        <v>23</v>
      </c>
      <c r="H58" s="20">
        <v>0</v>
      </c>
      <c r="I58" s="20">
        <v>169.16000000000008</v>
      </c>
      <c r="J58" s="20">
        <v>200</v>
      </c>
      <c r="K58" s="20">
        <v>90.66</v>
      </c>
      <c r="L58" s="20"/>
      <c r="M58" s="20">
        <f>Tabela1[[#This Row],[1ª QZ]]-Tabela1[[#This Row],[SALDO FINAL]]-Tabela1[[#This Row],[SALDO CARTAO]]-Tabela1[[#This Row],[Adiantamento ]]</f>
        <v>-59.820000000000078</v>
      </c>
      <c r="N58" s="20">
        <f>Tabela1[[#This Row],[SALDO REEMBOLSAR]]*$N$4</f>
        <v>0</v>
      </c>
      <c r="O58" s="20">
        <v>0</v>
      </c>
      <c r="Q58" t="str">
        <f>_xlfn.XLOOKUP(Tabela1[[#This Row],[COLABORADOR]],'STATUS CARTAO'!D:D,'STATUS CARTAO'!G:G)</f>
        <v>Cartão ativo</v>
      </c>
    </row>
    <row r="59" spans="1:17" hidden="1">
      <c r="A59" s="3" t="s">
        <v>178</v>
      </c>
      <c r="B59" s="3" t="s">
        <v>179</v>
      </c>
      <c r="C59" s="5" t="s">
        <v>19</v>
      </c>
      <c r="D59" s="3" t="s">
        <v>74</v>
      </c>
      <c r="E59" s="3" t="s">
        <v>180</v>
      </c>
      <c r="F59" s="3" t="s">
        <v>76</v>
      </c>
      <c r="G59" s="3" t="s">
        <v>40</v>
      </c>
      <c r="H59" s="20">
        <v>0</v>
      </c>
      <c r="I59" s="20">
        <v>342.75999999999976</v>
      </c>
      <c r="J59" s="20">
        <v>400</v>
      </c>
      <c r="K59" s="20">
        <v>364.2</v>
      </c>
      <c r="L59" s="20"/>
      <c r="M59" s="20">
        <f>Tabela1[[#This Row],[1ª QZ]]-Tabela1[[#This Row],[SALDO FINAL]]-Tabela1[[#This Row],[SALDO CARTAO]]-Tabela1[[#This Row],[Adiantamento ]]</f>
        <v>-306.95999999999975</v>
      </c>
      <c r="N59" s="20">
        <f>Tabela1[[#This Row],[SALDO REEMBOLSAR]]*$N$4</f>
        <v>0</v>
      </c>
      <c r="O59" s="20">
        <v>0</v>
      </c>
      <c r="Q59" t="str">
        <f>_xlfn.XLOOKUP(Tabela1[[#This Row],[COLABORADOR]],'STATUS CARTAO'!D:D,'STATUS CARTAO'!G:G)</f>
        <v>Cartão ativo</v>
      </c>
    </row>
    <row r="60" spans="1:17" hidden="1">
      <c r="A60" s="3" t="s">
        <v>181</v>
      </c>
      <c r="B60" s="3" t="s">
        <v>182</v>
      </c>
      <c r="C60" s="5" t="s">
        <v>19</v>
      </c>
      <c r="D60" s="3" t="s">
        <v>74</v>
      </c>
      <c r="E60" s="3" t="s">
        <v>183</v>
      </c>
      <c r="F60" s="3" t="s">
        <v>76</v>
      </c>
      <c r="G60" s="3" t="s">
        <v>40</v>
      </c>
      <c r="H60" s="20">
        <v>0</v>
      </c>
      <c r="I60" s="20">
        <v>447.68999999986409</v>
      </c>
      <c r="J60" s="20">
        <v>2300</v>
      </c>
      <c r="K60" s="20">
        <v>1.68</v>
      </c>
      <c r="L60" s="20"/>
      <c r="M60" s="20">
        <f>Tabela1[[#This Row],[1ª QZ]]-Tabela1[[#This Row],[SALDO FINAL]]-Tabela1[[#This Row],[SALDO CARTAO]]-Tabela1[[#This Row],[Adiantamento ]]</f>
        <v>1850.6300000001359</v>
      </c>
      <c r="N60" s="20">
        <f>Tabela1[[#This Row],[SALDO REEMBOLSAR]]*$N$4</f>
        <v>0</v>
      </c>
      <c r="O60" s="20">
        <v>1850.6300000001359</v>
      </c>
      <c r="Q60" t="str">
        <f>_xlfn.XLOOKUP(Tabela1[[#This Row],[COLABORADOR]],'STATUS CARTAO'!D:D,'STATUS CARTAO'!G:G)</f>
        <v>Cartão ativo</v>
      </c>
    </row>
    <row r="61" spans="1:17" hidden="1">
      <c r="A61" s="3" t="s">
        <v>184</v>
      </c>
      <c r="B61" s="3" t="s">
        <v>185</v>
      </c>
      <c r="C61" s="5" t="s">
        <v>19</v>
      </c>
      <c r="D61" s="3" t="s">
        <v>43</v>
      </c>
      <c r="E61" s="3" t="s">
        <v>186</v>
      </c>
      <c r="F61" s="3" t="s">
        <v>45</v>
      </c>
      <c r="G61" s="3" t="s">
        <v>40</v>
      </c>
      <c r="H61" s="20">
        <v>0</v>
      </c>
      <c r="I61" s="20">
        <v>45.819999999999936</v>
      </c>
      <c r="J61" s="20">
        <v>125</v>
      </c>
      <c r="K61" s="20">
        <v>18.46</v>
      </c>
      <c r="L61" s="20"/>
      <c r="M61" s="20">
        <f>Tabela1[[#This Row],[1ª QZ]]-Tabela1[[#This Row],[SALDO FINAL]]-Tabela1[[#This Row],[SALDO CARTAO]]-Tabela1[[#This Row],[Adiantamento ]]</f>
        <v>60.720000000000063</v>
      </c>
      <c r="N61" s="20">
        <f>Tabela1[[#This Row],[SALDO REEMBOLSAR]]*$N$4</f>
        <v>0</v>
      </c>
      <c r="O61" s="20">
        <v>60.720000000000063</v>
      </c>
      <c r="Q61" t="str">
        <f>_xlfn.XLOOKUP(Tabela1[[#This Row],[COLABORADOR]],'STATUS CARTAO'!D:D,'STATUS CARTAO'!G:G)</f>
        <v>Cartão ativo</v>
      </c>
    </row>
    <row r="62" spans="1:17" hidden="1">
      <c r="A62" s="3" t="s">
        <v>187</v>
      </c>
      <c r="B62" s="3" t="s">
        <v>188</v>
      </c>
      <c r="C62" s="5" t="s">
        <v>19</v>
      </c>
      <c r="D62" s="3" t="s">
        <v>20</v>
      </c>
      <c r="E62" s="3" t="s">
        <v>21</v>
      </c>
      <c r="F62" s="3" t="s">
        <v>22</v>
      </c>
      <c r="G62" s="3" t="s">
        <v>23</v>
      </c>
      <c r="H62" s="20">
        <v>0</v>
      </c>
      <c r="I62" s="20">
        <v>9334.0099999999802</v>
      </c>
      <c r="J62" s="20">
        <v>4000</v>
      </c>
      <c r="K62" s="20">
        <v>2</v>
      </c>
      <c r="L62" s="20"/>
      <c r="M62" s="20">
        <f>Tabela1[[#This Row],[1ª QZ]]-Tabela1[[#This Row],[SALDO FINAL]]-Tabela1[[#This Row],[SALDO CARTAO]]-Tabela1[[#This Row],[Adiantamento ]]</f>
        <v>-5336.0099999999802</v>
      </c>
      <c r="N62" s="20">
        <f>Tabela1[[#This Row],[SALDO REEMBOLSAR]]*$N$4</f>
        <v>0</v>
      </c>
      <c r="O62" s="20">
        <v>0</v>
      </c>
      <c r="Q62" t="str">
        <f>_xlfn.XLOOKUP(Tabela1[[#This Row],[COLABORADOR]],'STATUS CARTAO'!D:D,'STATUS CARTAO'!G:G)</f>
        <v>Cartão ativo</v>
      </c>
    </row>
    <row r="63" spans="1:17" hidden="1">
      <c r="A63" s="3" t="s">
        <v>189</v>
      </c>
      <c r="B63" s="3" t="s">
        <v>190</v>
      </c>
      <c r="C63" s="5" t="s">
        <v>19</v>
      </c>
      <c r="D63" s="3" t="s">
        <v>43</v>
      </c>
      <c r="E63" s="3" t="s">
        <v>186</v>
      </c>
      <c r="F63" s="3" t="s">
        <v>45</v>
      </c>
      <c r="G63" s="3" t="s">
        <v>40</v>
      </c>
      <c r="H63" s="20">
        <v>2222.63</v>
      </c>
      <c r="I63" s="20">
        <v>0</v>
      </c>
      <c r="J63" s="20">
        <v>2800</v>
      </c>
      <c r="K63" s="20">
        <v>80.77</v>
      </c>
      <c r="L63" s="20"/>
      <c r="M63" s="20">
        <f>Tabela1[[#This Row],[1ª QZ]]-Tabela1[[#This Row],[SALDO FINAL]]-Tabela1[[#This Row],[SALDO CARTAO]]-Tabela1[[#This Row],[Adiantamento ]]</f>
        <v>2719.23</v>
      </c>
      <c r="N63" s="20">
        <f>Tabela1[[#This Row],[SALDO REEMBOLSAR]]*$N$4</f>
        <v>1333.578</v>
      </c>
      <c r="O63" s="20">
        <v>3830.5450000000001</v>
      </c>
      <c r="Q63" t="str">
        <f>_xlfn.XLOOKUP(Tabela1[[#This Row],[COLABORADOR]],'STATUS CARTAO'!D:D,'STATUS CARTAO'!G:G)</f>
        <v>Cartão ativo</v>
      </c>
    </row>
    <row r="64" spans="1:17" hidden="1">
      <c r="A64" s="3" t="s">
        <v>191</v>
      </c>
      <c r="B64" s="3" t="s">
        <v>192</v>
      </c>
      <c r="C64" s="5" t="s">
        <v>19</v>
      </c>
      <c r="D64" s="3" t="s">
        <v>20</v>
      </c>
      <c r="E64" s="3" t="s">
        <v>193</v>
      </c>
      <c r="F64" s="3" t="s">
        <v>22</v>
      </c>
      <c r="G64" s="3" t="s">
        <v>23</v>
      </c>
      <c r="H64" s="20">
        <v>0</v>
      </c>
      <c r="I64" s="20">
        <v>2002.630000000001</v>
      </c>
      <c r="J64" s="20">
        <v>1500</v>
      </c>
      <c r="K64" s="20">
        <v>3.51</v>
      </c>
      <c r="L64" s="20"/>
      <c r="M64" s="20">
        <f>Tabela1[[#This Row],[1ª QZ]]-Tabela1[[#This Row],[SALDO FINAL]]-Tabela1[[#This Row],[SALDO CARTAO]]-Tabela1[[#This Row],[Adiantamento ]]</f>
        <v>-506.14000000000101</v>
      </c>
      <c r="N64" s="20">
        <f>Tabela1[[#This Row],[SALDO REEMBOLSAR]]*$N$4</f>
        <v>0</v>
      </c>
      <c r="O64" s="20">
        <v>0</v>
      </c>
      <c r="Q64" t="str">
        <f>_xlfn.XLOOKUP(Tabela1[[#This Row],[COLABORADOR]],'STATUS CARTAO'!D:D,'STATUS CARTAO'!G:G)</f>
        <v>Cartão ativo</v>
      </c>
    </row>
    <row r="65" spans="1:17" hidden="1">
      <c r="A65" s="3" t="s">
        <v>194</v>
      </c>
      <c r="B65" s="3" t="s">
        <v>195</v>
      </c>
      <c r="C65" s="5" t="s">
        <v>19</v>
      </c>
      <c r="D65" s="3" t="s">
        <v>167</v>
      </c>
      <c r="E65" s="3" t="s">
        <v>196</v>
      </c>
      <c r="F65" s="3" t="s">
        <v>169</v>
      </c>
      <c r="G65" s="3" t="s">
        <v>34</v>
      </c>
      <c r="H65" s="20">
        <v>0</v>
      </c>
      <c r="I65" s="20">
        <v>1769.1199999999881</v>
      </c>
      <c r="J65" s="20">
        <v>4200</v>
      </c>
      <c r="K65" s="20">
        <v>9.43</v>
      </c>
      <c r="L65" s="20"/>
      <c r="M65" s="20">
        <f>Tabela1[[#This Row],[1ª QZ]]-Tabela1[[#This Row],[SALDO FINAL]]-Tabela1[[#This Row],[SALDO CARTAO]]-Tabela1[[#This Row],[Adiantamento ]]</f>
        <v>2421.4500000000121</v>
      </c>
      <c r="N65" s="20">
        <f>Tabela1[[#This Row],[SALDO REEMBOLSAR]]*$N$4</f>
        <v>0</v>
      </c>
      <c r="O65" s="20">
        <v>2421.4500000000121</v>
      </c>
      <c r="Q65" t="str">
        <f>_xlfn.XLOOKUP(Tabela1[[#This Row],[COLABORADOR]],'STATUS CARTAO'!D:D,'STATUS CARTAO'!G:G)</f>
        <v>Cartão ativo</v>
      </c>
    </row>
    <row r="66" spans="1:17" hidden="1">
      <c r="A66" s="3" t="s">
        <v>197</v>
      </c>
      <c r="B66" s="21" t="s">
        <v>198</v>
      </c>
      <c r="C66" s="5" t="s">
        <v>19</v>
      </c>
      <c r="D66" s="3" t="s">
        <v>20</v>
      </c>
      <c r="E66" s="3" t="s">
        <v>21</v>
      </c>
      <c r="F66" s="3" t="s">
        <v>22</v>
      </c>
      <c r="G66" s="3" t="s">
        <v>23</v>
      </c>
      <c r="H66" s="20">
        <v>0</v>
      </c>
      <c r="I66" s="20">
        <v>3931.78</v>
      </c>
      <c r="J66" s="20">
        <v>17100</v>
      </c>
      <c r="K66" s="20">
        <v>18.93</v>
      </c>
      <c r="L66" s="20"/>
      <c r="M66" s="20">
        <f>Tabela1[[#This Row],[1ª QZ]]-Tabela1[[#This Row],[SALDO FINAL]]-Tabela1[[#This Row],[SALDO CARTAO]]-Tabela1[[#This Row],[Adiantamento ]]</f>
        <v>13149.289999999999</v>
      </c>
      <c r="N66" s="20">
        <f>Tabela1[[#This Row],[SALDO REEMBOLSAR]]*$N$4</f>
        <v>0</v>
      </c>
      <c r="O66" s="20">
        <v>13149.289999999999</v>
      </c>
      <c r="Q66" t="str">
        <f>_xlfn.XLOOKUP(Tabela1[[#This Row],[COLABORADOR]],'STATUS CARTAO'!D:D,'STATUS CARTAO'!G:G)</f>
        <v>Cartão ativo</v>
      </c>
    </row>
    <row r="67" spans="1:17" hidden="1">
      <c r="A67" s="3" t="s">
        <v>199</v>
      </c>
      <c r="B67" s="3" t="s">
        <v>200</v>
      </c>
      <c r="C67" s="5" t="s">
        <v>19</v>
      </c>
      <c r="D67" s="3" t="s">
        <v>37</v>
      </c>
      <c r="E67" s="3" t="s">
        <v>38</v>
      </c>
      <c r="F67" s="3" t="s">
        <v>39</v>
      </c>
      <c r="G67" s="3" t="s">
        <v>40</v>
      </c>
      <c r="H67" s="20">
        <v>1900</v>
      </c>
      <c r="I67" s="20">
        <v>0</v>
      </c>
      <c r="J67" s="20">
        <v>1000</v>
      </c>
      <c r="K67" s="20">
        <v>0</v>
      </c>
      <c r="L67" s="20"/>
      <c r="M67" s="20">
        <f>Tabela1[[#This Row],[1ª QZ]]-Tabela1[[#This Row],[SALDO FINAL]]-Tabela1[[#This Row],[SALDO CARTAO]]-Tabela1[[#This Row],[Adiantamento ]]</f>
        <v>1000</v>
      </c>
      <c r="N67" s="20">
        <f>Tabela1[[#This Row],[SALDO REEMBOLSAR]]*$N$4</f>
        <v>1140</v>
      </c>
      <c r="O67" s="20">
        <v>1950</v>
      </c>
      <c r="Q67" t="str">
        <f>_xlfn.XLOOKUP(Tabela1[[#This Row],[COLABORADOR]],'STATUS CARTAO'!D:D,'STATUS CARTAO'!G:G)</f>
        <v>Cartão ativo</v>
      </c>
    </row>
    <row r="68" spans="1:17" hidden="1">
      <c r="A68" s="3" t="s">
        <v>201</v>
      </c>
      <c r="B68" s="3" t="s">
        <v>202</v>
      </c>
      <c r="C68" s="5" t="s">
        <v>19</v>
      </c>
      <c r="D68" s="3" t="s">
        <v>37</v>
      </c>
      <c r="E68" s="3" t="s">
        <v>138</v>
      </c>
      <c r="F68" s="3" t="s">
        <v>39</v>
      </c>
      <c r="G68" s="3" t="s">
        <v>40</v>
      </c>
      <c r="H68" s="20">
        <v>0</v>
      </c>
      <c r="I68" s="20">
        <v>774.51999999999771</v>
      </c>
      <c r="J68" s="20">
        <v>800</v>
      </c>
      <c r="K68" s="20">
        <v>166.62</v>
      </c>
      <c r="L68" s="20"/>
      <c r="M68" s="20">
        <f>Tabela1[[#This Row],[1ª QZ]]-Tabela1[[#This Row],[SALDO FINAL]]-Tabela1[[#This Row],[SALDO CARTAO]]-Tabela1[[#This Row],[Adiantamento ]]</f>
        <v>-141.13999999999771</v>
      </c>
      <c r="N68" s="20">
        <f>Tabela1[[#This Row],[SALDO REEMBOLSAR]]*$N$4</f>
        <v>0</v>
      </c>
      <c r="O68" s="20">
        <v>0</v>
      </c>
      <c r="Q68" t="str">
        <f>_xlfn.XLOOKUP(Tabela1[[#This Row],[COLABORADOR]],'STATUS CARTAO'!D:D,'STATUS CARTAO'!G:G)</f>
        <v>Cartão ativo</v>
      </c>
    </row>
    <row r="69" spans="1:17" hidden="1">
      <c r="A69" s="3" t="s">
        <v>201</v>
      </c>
      <c r="B69" s="3" t="s">
        <v>202</v>
      </c>
      <c r="C69" s="5"/>
      <c r="D69" s="3" t="s">
        <v>37</v>
      </c>
      <c r="E69" s="3" t="s">
        <v>138</v>
      </c>
      <c r="F69" s="3"/>
      <c r="G69" s="3"/>
      <c r="H69" s="20"/>
      <c r="I69" s="20"/>
      <c r="J69" s="20"/>
      <c r="K69" s="20"/>
      <c r="L69" s="20"/>
      <c r="M69" s="20">
        <f>Tabela1[[#This Row],[1ª QZ]]-Tabela1[[#This Row],[SALDO FINAL]]-Tabela1[[#This Row],[SALDO CARTAO]]-Tabela1[[#This Row],[Adiantamento ]]</f>
        <v>0</v>
      </c>
      <c r="N69" s="20">
        <f>Tabela1[[#This Row],[SALDO REEMBOLSAR]]*$N$4</f>
        <v>0</v>
      </c>
      <c r="O69" s="20">
        <v>325.48000000000229</v>
      </c>
      <c r="Q69" t="str">
        <f>_xlfn.XLOOKUP(Tabela1[[#This Row],[COLABORADOR]],'STATUS CARTAO'!D:D,'STATUS CARTAO'!G:G)</f>
        <v>Cartão ativo</v>
      </c>
    </row>
    <row r="70" spans="1:17" hidden="1">
      <c r="A70" s="3" t="s">
        <v>203</v>
      </c>
      <c r="B70" s="3" t="s">
        <v>204</v>
      </c>
      <c r="C70" s="5" t="s">
        <v>19</v>
      </c>
      <c r="D70" s="3" t="s">
        <v>37</v>
      </c>
      <c r="E70" s="3" t="s">
        <v>138</v>
      </c>
      <c r="F70" s="3" t="s">
        <v>39</v>
      </c>
      <c r="G70" s="3" t="s">
        <v>40</v>
      </c>
      <c r="H70" s="20">
        <v>419.41000000000349</v>
      </c>
      <c r="I70" s="20">
        <v>0</v>
      </c>
      <c r="J70" s="20">
        <v>900</v>
      </c>
      <c r="K70" s="20">
        <v>14.42</v>
      </c>
      <c r="L70" s="20"/>
      <c r="M70" s="20">
        <f>Tabela1[[#This Row],[1ª QZ]]-Tabela1[[#This Row],[SALDO FINAL]]-Tabela1[[#This Row],[SALDO CARTAO]]-Tabela1[[#This Row],[Adiantamento ]]</f>
        <v>885.58</v>
      </c>
      <c r="N70" s="20">
        <f>Tabela1[[#This Row],[SALDO REEMBOLSAR]]*$N$4</f>
        <v>251.64600000000209</v>
      </c>
      <c r="O70" s="20">
        <v>1095.2850000000017</v>
      </c>
      <c r="Q70" t="str">
        <f>_xlfn.XLOOKUP(Tabela1[[#This Row],[COLABORADOR]],'STATUS CARTAO'!D:D,'STATUS CARTAO'!G:G)</f>
        <v>Cartão ativo</v>
      </c>
    </row>
    <row r="71" spans="1:17" hidden="1">
      <c r="A71" s="3" t="s">
        <v>205</v>
      </c>
      <c r="B71" s="3" t="s">
        <v>206</v>
      </c>
      <c r="C71" s="5" t="s">
        <v>19</v>
      </c>
      <c r="D71" s="3" t="s">
        <v>48</v>
      </c>
      <c r="E71" s="3" t="s">
        <v>118</v>
      </c>
      <c r="F71" s="3" t="s">
        <v>50</v>
      </c>
      <c r="G71" s="3" t="s">
        <v>40</v>
      </c>
      <c r="H71" s="20">
        <v>0</v>
      </c>
      <c r="I71" s="20">
        <v>165.30000000000109</v>
      </c>
      <c r="J71" s="20">
        <v>240</v>
      </c>
      <c r="K71" s="20">
        <v>17.8</v>
      </c>
      <c r="L71" s="20"/>
      <c r="M71" s="20">
        <f>Tabela1[[#This Row],[1ª QZ]]-Tabela1[[#This Row],[SALDO FINAL]]-Tabela1[[#This Row],[SALDO CARTAO]]-Tabela1[[#This Row],[Adiantamento ]]</f>
        <v>56.899999999998911</v>
      </c>
      <c r="N71" s="20">
        <f>Tabela1[[#This Row],[SALDO REEMBOLSAR]]*$N$4</f>
        <v>0</v>
      </c>
      <c r="O71" s="20">
        <v>56.899999999998911</v>
      </c>
      <c r="Q71" t="str">
        <f>_xlfn.XLOOKUP(Tabela1[[#This Row],[COLABORADOR]],'STATUS CARTAO'!D:D,'STATUS CARTAO'!G:G)</f>
        <v>Cartão ativo</v>
      </c>
    </row>
    <row r="72" spans="1:17" hidden="1">
      <c r="A72" s="3" t="s">
        <v>207</v>
      </c>
      <c r="B72" s="3" t="s">
        <v>208</v>
      </c>
      <c r="C72" s="5" t="s">
        <v>19</v>
      </c>
      <c r="D72" s="3" t="s">
        <v>37</v>
      </c>
      <c r="E72" s="3" t="s">
        <v>138</v>
      </c>
      <c r="F72" s="3" t="s">
        <v>39</v>
      </c>
      <c r="G72" s="3" t="s">
        <v>40</v>
      </c>
      <c r="H72" s="20">
        <v>0</v>
      </c>
      <c r="I72" s="20">
        <v>164.32000000000335</v>
      </c>
      <c r="J72" s="20">
        <v>600</v>
      </c>
      <c r="K72" s="20">
        <v>0.02</v>
      </c>
      <c r="L72" s="20"/>
      <c r="M72" s="20">
        <f>Tabela1[[#This Row],[1ª QZ]]-Tabela1[[#This Row],[SALDO FINAL]]-Tabela1[[#This Row],[SALDO CARTAO]]-Tabela1[[#This Row],[Adiantamento ]]</f>
        <v>435.65999999999667</v>
      </c>
      <c r="N72" s="20">
        <f>Tabela1[[#This Row],[SALDO REEMBOLSAR]]*$N$4</f>
        <v>0</v>
      </c>
      <c r="O72" s="20">
        <v>435.65999999999667</v>
      </c>
      <c r="Q72" t="str">
        <f>_xlfn.XLOOKUP(Tabela1[[#This Row],[COLABORADOR]],'STATUS CARTAO'!D:D,'STATUS CARTAO'!G:G)</f>
        <v>Cartão ativo</v>
      </c>
    </row>
    <row r="73" spans="1:17" hidden="1">
      <c r="A73" s="3" t="s">
        <v>209</v>
      </c>
      <c r="B73" s="3" t="s">
        <v>210</v>
      </c>
      <c r="C73" s="5" t="s">
        <v>19</v>
      </c>
      <c r="D73" s="3" t="s">
        <v>37</v>
      </c>
      <c r="E73" s="3" t="s">
        <v>138</v>
      </c>
      <c r="F73" s="3" t="s">
        <v>39</v>
      </c>
      <c r="G73" s="3" t="s">
        <v>40</v>
      </c>
      <c r="H73" s="20">
        <v>0</v>
      </c>
      <c r="I73" s="20">
        <v>251.32000000000517</v>
      </c>
      <c r="J73" s="20">
        <v>750</v>
      </c>
      <c r="K73" s="20">
        <v>251.32</v>
      </c>
      <c r="L73" s="20"/>
      <c r="M73" s="20">
        <f>Tabela1[[#This Row],[1ª QZ]]-Tabela1[[#This Row],[SALDO FINAL]]-Tabela1[[#This Row],[SALDO CARTAO]]-Tabela1[[#This Row],[Adiantamento ]]</f>
        <v>247.35999999999484</v>
      </c>
      <c r="N73" s="20">
        <f>Tabela1[[#This Row],[SALDO REEMBOLSAR]]*$N$4</f>
        <v>0</v>
      </c>
      <c r="O73" s="20">
        <v>247.35999999999484</v>
      </c>
      <c r="Q73" t="str">
        <f>_xlfn.XLOOKUP(Tabela1[[#This Row],[COLABORADOR]],'STATUS CARTAO'!D:D,'STATUS CARTAO'!G:G)</f>
        <v>Cartão ativo</v>
      </c>
    </row>
    <row r="74" spans="1:17" hidden="1">
      <c r="A74" s="3" t="s">
        <v>209</v>
      </c>
      <c r="B74" s="3" t="s">
        <v>210</v>
      </c>
      <c r="C74" s="5"/>
      <c r="D74" s="3" t="s">
        <v>37</v>
      </c>
      <c r="E74" s="3" t="s">
        <v>138</v>
      </c>
      <c r="F74" s="3"/>
      <c r="G74" s="3"/>
      <c r="H74" s="20"/>
      <c r="I74" s="20"/>
      <c r="J74" s="20"/>
      <c r="K74" s="20"/>
      <c r="L74" s="20"/>
      <c r="M74" s="20">
        <f>Tabela1[[#This Row],[1ª QZ]]-Tabela1[[#This Row],[SALDO FINAL]]-Tabela1[[#This Row],[SALDO CARTAO]]-Tabela1[[#This Row],[Adiantamento ]]</f>
        <v>0</v>
      </c>
      <c r="N74" s="20">
        <f>Tabela1[[#This Row],[SALDO REEMBOLSAR]]*$N$4</f>
        <v>0</v>
      </c>
      <c r="O74" s="20">
        <v>251.31999999999994</v>
      </c>
      <c r="Q74" t="str">
        <f>_xlfn.XLOOKUP(Tabela1[[#This Row],[COLABORADOR]],'STATUS CARTAO'!D:D,'STATUS CARTAO'!G:G)</f>
        <v>Cartão ativo</v>
      </c>
    </row>
    <row r="75" spans="1:17" hidden="1">
      <c r="A75" s="3" t="s">
        <v>211</v>
      </c>
      <c r="B75" s="3" t="s">
        <v>212</v>
      </c>
      <c r="C75" s="5" t="s">
        <v>19</v>
      </c>
      <c r="D75" s="3" t="s">
        <v>48</v>
      </c>
      <c r="E75" s="3" t="s">
        <v>93</v>
      </c>
      <c r="F75" s="3" t="s">
        <v>50</v>
      </c>
      <c r="G75" s="3" t="s">
        <v>40</v>
      </c>
      <c r="H75" s="20">
        <v>0</v>
      </c>
      <c r="I75" s="20">
        <v>243.75</v>
      </c>
      <c r="J75" s="20">
        <v>150</v>
      </c>
      <c r="K75" s="20">
        <v>0.3</v>
      </c>
      <c r="L75" s="20"/>
      <c r="M75" s="20">
        <f>Tabela1[[#This Row],[1ª QZ]]-Tabela1[[#This Row],[SALDO FINAL]]-Tabela1[[#This Row],[SALDO CARTAO]]-Tabela1[[#This Row],[Adiantamento ]]</f>
        <v>-94.05</v>
      </c>
      <c r="N75" s="20">
        <f>Tabela1[[#This Row],[SALDO REEMBOLSAR]]*$N$4</f>
        <v>0</v>
      </c>
      <c r="O75" s="20">
        <v>0</v>
      </c>
      <c r="Q75" t="str">
        <f>_xlfn.XLOOKUP(Tabela1[[#This Row],[COLABORADOR]],'STATUS CARTAO'!D:D,'STATUS CARTAO'!G:G)</f>
        <v>Cartão ativo</v>
      </c>
    </row>
    <row r="76" spans="1:17" hidden="1">
      <c r="A76" s="3" t="s">
        <v>213</v>
      </c>
      <c r="B76" s="3" t="s">
        <v>214</v>
      </c>
      <c r="C76" s="5" t="s">
        <v>19</v>
      </c>
      <c r="D76" s="3" t="s">
        <v>37</v>
      </c>
      <c r="E76" s="3" t="s">
        <v>138</v>
      </c>
      <c r="F76" s="3" t="s">
        <v>39</v>
      </c>
      <c r="G76" s="3" t="s">
        <v>40</v>
      </c>
      <c r="H76" s="20">
        <v>0</v>
      </c>
      <c r="I76" s="20">
        <v>729.26000000003296</v>
      </c>
      <c r="J76" s="20">
        <v>800</v>
      </c>
      <c r="K76" s="20">
        <v>94.75</v>
      </c>
      <c r="L76" s="20"/>
      <c r="M76" s="20">
        <f>Tabela1[[#This Row],[1ª QZ]]-Tabela1[[#This Row],[SALDO FINAL]]-Tabela1[[#This Row],[SALDO CARTAO]]-Tabela1[[#This Row],[Adiantamento ]]</f>
        <v>-24.01000000003296</v>
      </c>
      <c r="N76" s="20">
        <f>Tabela1[[#This Row],[SALDO REEMBOLSAR]]*$N$4</f>
        <v>0</v>
      </c>
      <c r="O76" s="20">
        <v>0</v>
      </c>
      <c r="Q76" t="str">
        <f>_xlfn.XLOOKUP(Tabela1[[#This Row],[COLABORADOR]],'STATUS CARTAO'!D:D,'STATUS CARTAO'!G:G)</f>
        <v>Cartão ativo</v>
      </c>
    </row>
    <row r="77" spans="1:17" hidden="1">
      <c r="A77" s="3" t="s">
        <v>215</v>
      </c>
      <c r="B77" s="3" t="s">
        <v>216</v>
      </c>
      <c r="C77" s="5" t="s">
        <v>19</v>
      </c>
      <c r="D77" s="3" t="s">
        <v>31</v>
      </c>
      <c r="E77" s="3" t="s">
        <v>56</v>
      </c>
      <c r="F77" s="3" t="s">
        <v>33</v>
      </c>
      <c r="G77" s="3" t="s">
        <v>34</v>
      </c>
      <c r="H77" s="20">
        <v>0</v>
      </c>
      <c r="I77" s="20">
        <v>759.69000000000051</v>
      </c>
      <c r="J77" s="20">
        <v>250</v>
      </c>
      <c r="K77" s="20">
        <v>462.19</v>
      </c>
      <c r="L77" s="20"/>
      <c r="M77" s="20">
        <f>Tabela1[[#This Row],[1ª QZ]]-Tabela1[[#This Row],[SALDO FINAL]]-Tabela1[[#This Row],[SALDO CARTAO]]-Tabela1[[#This Row],[Adiantamento ]]</f>
        <v>-971.88000000000056</v>
      </c>
      <c r="N77" s="20">
        <f>Tabela1[[#This Row],[SALDO REEMBOLSAR]]*$N$4</f>
        <v>0</v>
      </c>
      <c r="O77" s="20">
        <v>0</v>
      </c>
      <c r="Q77" t="str">
        <f>_xlfn.XLOOKUP(Tabela1[[#This Row],[COLABORADOR]],'STATUS CARTAO'!D:D,'STATUS CARTAO'!G:G)</f>
        <v>Cartão ativo</v>
      </c>
    </row>
    <row r="78" spans="1:17" hidden="1">
      <c r="A78" s="3" t="s">
        <v>217</v>
      </c>
      <c r="B78" s="3" t="s">
        <v>218</v>
      </c>
      <c r="C78" s="5" t="s">
        <v>19</v>
      </c>
      <c r="D78" s="3" t="s">
        <v>37</v>
      </c>
      <c r="E78" s="3" t="s">
        <v>219</v>
      </c>
      <c r="F78" s="3" t="s">
        <v>39</v>
      </c>
      <c r="G78" s="3" t="s">
        <v>40</v>
      </c>
      <c r="H78" s="20">
        <v>0</v>
      </c>
      <c r="I78" s="20">
        <v>4960.2899999999881</v>
      </c>
      <c r="J78" s="20">
        <v>3000</v>
      </c>
      <c r="K78" s="20">
        <v>77.900000000000006</v>
      </c>
      <c r="L78" s="20"/>
      <c r="M78" s="20">
        <f>Tabela1[[#This Row],[1ª QZ]]-Tabela1[[#This Row],[SALDO FINAL]]-Tabela1[[#This Row],[SALDO CARTAO]]-Tabela1[[#This Row],[Adiantamento ]]</f>
        <v>-2038.1899999999882</v>
      </c>
      <c r="N78" s="20">
        <f>Tabela1[[#This Row],[SALDO REEMBOLSAR]]*$N$4</f>
        <v>0</v>
      </c>
      <c r="O78" s="20">
        <v>0</v>
      </c>
      <c r="Q78" t="str">
        <f>_xlfn.XLOOKUP(Tabela1[[#This Row],[COLABORADOR]],'STATUS CARTAO'!D:D,'STATUS CARTAO'!G:G)</f>
        <v>Cartão ativo</v>
      </c>
    </row>
    <row r="79" spans="1:17" hidden="1">
      <c r="A79" s="3" t="s">
        <v>220</v>
      </c>
      <c r="B79" s="3" t="s">
        <v>221</v>
      </c>
      <c r="C79" s="5" t="s">
        <v>19</v>
      </c>
      <c r="D79" s="3" t="s">
        <v>48</v>
      </c>
      <c r="E79" s="3" t="s">
        <v>93</v>
      </c>
      <c r="F79" s="3" t="s">
        <v>50</v>
      </c>
      <c r="G79" s="3" t="s">
        <v>40</v>
      </c>
      <c r="H79" s="20">
        <v>0</v>
      </c>
      <c r="I79" s="20">
        <v>65.000000000000114</v>
      </c>
      <c r="J79" s="20">
        <v>100</v>
      </c>
      <c r="K79" s="20">
        <v>65</v>
      </c>
      <c r="L79" s="20"/>
      <c r="M79" s="20">
        <f>Tabela1[[#This Row],[1ª QZ]]-Tabela1[[#This Row],[SALDO FINAL]]-Tabela1[[#This Row],[SALDO CARTAO]]-Tabela1[[#This Row],[Adiantamento ]]</f>
        <v>-30.000000000000114</v>
      </c>
      <c r="N79" s="20">
        <f>Tabela1[[#This Row],[SALDO REEMBOLSAR]]*$N$4</f>
        <v>0</v>
      </c>
      <c r="O79" s="20">
        <v>0</v>
      </c>
      <c r="Q79" t="str">
        <f>_xlfn.XLOOKUP(Tabela1[[#This Row],[COLABORADOR]],'STATUS CARTAO'!D:D,'STATUS CARTAO'!G:G)</f>
        <v>Cartão ativo</v>
      </c>
    </row>
    <row r="80" spans="1:17" hidden="1">
      <c r="A80" s="3" t="s">
        <v>222</v>
      </c>
      <c r="B80" s="3" t="s">
        <v>223</v>
      </c>
      <c r="C80" s="5" t="s">
        <v>19</v>
      </c>
      <c r="D80" s="3" t="s">
        <v>48</v>
      </c>
      <c r="E80" s="3" t="s">
        <v>93</v>
      </c>
      <c r="F80" s="3" t="s">
        <v>50</v>
      </c>
      <c r="G80" s="3" t="s">
        <v>40</v>
      </c>
      <c r="H80" s="20">
        <v>0</v>
      </c>
      <c r="I80" s="20">
        <v>14.580000000000041</v>
      </c>
      <c r="J80" s="20">
        <v>100</v>
      </c>
      <c r="K80" s="20">
        <v>2.88</v>
      </c>
      <c r="L80" s="20"/>
      <c r="M80" s="20">
        <f>Tabela1[[#This Row],[1ª QZ]]-Tabela1[[#This Row],[SALDO FINAL]]-Tabela1[[#This Row],[SALDO CARTAO]]-Tabela1[[#This Row],[Adiantamento ]]</f>
        <v>82.539999999999964</v>
      </c>
      <c r="N80" s="20">
        <f>Tabela1[[#This Row],[SALDO REEMBOLSAR]]*$N$4</f>
        <v>0</v>
      </c>
      <c r="O80" s="20">
        <v>82.539999999999964</v>
      </c>
      <c r="Q80" t="str">
        <f>_xlfn.XLOOKUP(Tabela1[[#This Row],[COLABORADOR]],'STATUS CARTAO'!D:D,'STATUS CARTAO'!G:G)</f>
        <v>Cartão ativo</v>
      </c>
    </row>
    <row r="81" spans="1:17" hidden="1">
      <c r="A81" s="3" t="s">
        <v>224</v>
      </c>
      <c r="B81" s="3" t="s">
        <v>225</v>
      </c>
      <c r="C81" s="5" t="s">
        <v>19</v>
      </c>
      <c r="D81" s="3" t="s">
        <v>96</v>
      </c>
      <c r="E81" s="3" t="s">
        <v>226</v>
      </c>
      <c r="F81" s="3" t="s">
        <v>98</v>
      </c>
      <c r="G81" s="3" t="s">
        <v>23</v>
      </c>
      <c r="H81" s="20">
        <v>0</v>
      </c>
      <c r="I81" s="20">
        <v>1271.0600000000068</v>
      </c>
      <c r="J81" s="20">
        <v>2000</v>
      </c>
      <c r="K81" s="20">
        <v>6</v>
      </c>
      <c r="L81" s="20"/>
      <c r="M81" s="20">
        <f>Tabela1[[#This Row],[1ª QZ]]-Tabela1[[#This Row],[SALDO FINAL]]-Tabela1[[#This Row],[SALDO CARTAO]]-Tabela1[[#This Row],[Adiantamento ]]</f>
        <v>722.93999999999323</v>
      </c>
      <c r="N81" s="20">
        <f>Tabela1[[#This Row],[SALDO REEMBOLSAR]]*$N$4</f>
        <v>0</v>
      </c>
      <c r="O81" s="20">
        <v>722.93999999999323</v>
      </c>
      <c r="Q81" t="str">
        <f>_xlfn.XLOOKUP(Tabela1[[#This Row],[COLABORADOR]],'STATUS CARTAO'!D:D,'STATUS CARTAO'!G:G)</f>
        <v>Cartão ativo</v>
      </c>
    </row>
    <row r="82" spans="1:17" hidden="1">
      <c r="A82" s="3" t="s">
        <v>227</v>
      </c>
      <c r="B82" s="3" t="s">
        <v>228</v>
      </c>
      <c r="C82" s="5" t="s">
        <v>19</v>
      </c>
      <c r="D82" s="3" t="s">
        <v>31</v>
      </c>
      <c r="E82" s="3" t="s">
        <v>229</v>
      </c>
      <c r="F82" s="3" t="s">
        <v>33</v>
      </c>
      <c r="G82" s="3" t="s">
        <v>34</v>
      </c>
      <c r="H82" s="20">
        <v>0</v>
      </c>
      <c r="I82" s="20">
        <v>29.899999999999636</v>
      </c>
      <c r="J82" s="20">
        <v>500</v>
      </c>
      <c r="K82" s="20">
        <v>0</v>
      </c>
      <c r="L82" s="20"/>
      <c r="M82" s="20">
        <f>Tabela1[[#This Row],[1ª QZ]]-Tabela1[[#This Row],[SALDO FINAL]]-Tabela1[[#This Row],[SALDO CARTAO]]-Tabela1[[#This Row],[Adiantamento ]]</f>
        <v>470.10000000000036</v>
      </c>
      <c r="N82" s="20">
        <f>Tabela1[[#This Row],[SALDO REEMBOLSAR]]*$N$4</f>
        <v>0</v>
      </c>
      <c r="O82" s="20">
        <v>470.10000000000036</v>
      </c>
      <c r="Q82" t="str">
        <f>_xlfn.XLOOKUP(Tabela1[[#This Row],[COLABORADOR]],'STATUS CARTAO'!D:D,'STATUS CARTAO'!G:G)</f>
        <v>Cartão ativo</v>
      </c>
    </row>
    <row r="83" spans="1:17" hidden="1">
      <c r="A83" s="3" t="s">
        <v>230</v>
      </c>
      <c r="B83" s="3" t="s">
        <v>231</v>
      </c>
      <c r="C83" s="5" t="s">
        <v>19</v>
      </c>
      <c r="D83" s="3" t="s">
        <v>37</v>
      </c>
      <c r="E83" s="3" t="s">
        <v>232</v>
      </c>
      <c r="F83" s="3" t="s">
        <v>39</v>
      </c>
      <c r="G83" s="3" t="s">
        <v>40</v>
      </c>
      <c r="H83" s="20">
        <v>0</v>
      </c>
      <c r="I83" s="20">
        <v>2061.9999999999982</v>
      </c>
      <c r="J83" s="20">
        <v>2710</v>
      </c>
      <c r="K83" s="20">
        <v>0</v>
      </c>
      <c r="L83" s="20"/>
      <c r="M83" s="20">
        <f>Tabela1[[#This Row],[1ª QZ]]-Tabela1[[#This Row],[SALDO FINAL]]-Tabela1[[#This Row],[SALDO CARTAO]]-Tabela1[[#This Row],[Adiantamento ]]</f>
        <v>648.00000000000182</v>
      </c>
      <c r="N83" s="20">
        <f>Tabela1[[#This Row],[SALDO REEMBOLSAR]]*$N$4</f>
        <v>0</v>
      </c>
      <c r="O83" s="20">
        <v>648.00000000000182</v>
      </c>
      <c r="Q83" t="str">
        <f>_xlfn.XLOOKUP(Tabela1[[#This Row],[COLABORADOR]],'STATUS CARTAO'!D:D,'STATUS CARTAO'!G:G)</f>
        <v>Cartão ativo</v>
      </c>
    </row>
    <row r="84" spans="1:17" hidden="1">
      <c r="A84" s="3" t="s">
        <v>230</v>
      </c>
      <c r="B84" s="3" t="s">
        <v>231</v>
      </c>
      <c r="C84" s="5"/>
      <c r="D84" s="3" t="s">
        <v>37</v>
      </c>
      <c r="E84" s="3" t="s">
        <v>232</v>
      </c>
      <c r="F84" s="3"/>
      <c r="G84" s="3"/>
      <c r="H84" s="20"/>
      <c r="I84" s="20"/>
      <c r="J84" s="20"/>
      <c r="K84" s="20"/>
      <c r="L84" s="20"/>
      <c r="M84" s="20">
        <f>Tabela1[[#This Row],[1ª QZ]]-Tabela1[[#This Row],[SALDO FINAL]]-Tabela1[[#This Row],[SALDO CARTAO]]-Tabela1[[#This Row],[Adiantamento ]]</f>
        <v>0</v>
      </c>
      <c r="N84" s="20">
        <f>Tabela1[[#This Row],[SALDO REEMBOLSAR]]*$N$4</f>
        <v>0</v>
      </c>
      <c r="O84" s="20">
        <v>1741.5499999999993</v>
      </c>
      <c r="Q84" t="str">
        <f>_xlfn.XLOOKUP(Tabela1[[#This Row],[COLABORADOR]],'STATUS CARTAO'!D:D,'STATUS CARTAO'!G:G)</f>
        <v>Cartão ativo</v>
      </c>
    </row>
    <row r="85" spans="1:17" hidden="1">
      <c r="A85" s="3" t="s">
        <v>233</v>
      </c>
      <c r="B85" s="3" t="s">
        <v>234</v>
      </c>
      <c r="C85" s="5" t="s">
        <v>19</v>
      </c>
      <c r="D85" s="3" t="s">
        <v>26</v>
      </c>
      <c r="E85" s="3" t="s">
        <v>235</v>
      </c>
      <c r="F85" s="3" t="s">
        <v>28</v>
      </c>
      <c r="G85" s="3" t="s">
        <v>23</v>
      </c>
      <c r="H85" s="20">
        <v>354.42000000002008</v>
      </c>
      <c r="I85" s="20">
        <v>0</v>
      </c>
      <c r="J85" s="20">
        <v>1500</v>
      </c>
      <c r="K85" s="20">
        <v>16</v>
      </c>
      <c r="L85" s="20"/>
      <c r="M85" s="20">
        <f>Tabela1[[#This Row],[1ª QZ]]-Tabela1[[#This Row],[SALDO FINAL]]-Tabela1[[#This Row],[SALDO CARTAO]]-Tabela1[[#This Row],[Adiantamento ]]</f>
        <v>1484</v>
      </c>
      <c r="N85" s="20">
        <f>Tabela1[[#This Row],[SALDO REEMBOLSAR]]*$N$4</f>
        <v>212.65200000001204</v>
      </c>
      <c r="O85" s="20">
        <v>1661.21000000001</v>
      </c>
      <c r="Q85" t="str">
        <f>_xlfn.XLOOKUP(Tabela1[[#This Row],[COLABORADOR]],'STATUS CARTAO'!D:D,'STATUS CARTAO'!G:G)</f>
        <v>Cartão ativo</v>
      </c>
    </row>
    <row r="86" spans="1:17" hidden="1">
      <c r="A86" s="3" t="s">
        <v>236</v>
      </c>
      <c r="B86" s="3" t="s">
        <v>237</v>
      </c>
      <c r="C86" s="5" t="s">
        <v>19</v>
      </c>
      <c r="D86" s="3" t="s">
        <v>43</v>
      </c>
      <c r="E86" s="3" t="s">
        <v>238</v>
      </c>
      <c r="F86" s="3" t="s">
        <v>45</v>
      </c>
      <c r="G86" s="3" t="s">
        <v>40</v>
      </c>
      <c r="H86" s="20">
        <v>0</v>
      </c>
      <c r="I86" s="20">
        <v>102.49999999999909</v>
      </c>
      <c r="J86" s="20">
        <v>200</v>
      </c>
      <c r="K86" s="20">
        <v>102.5</v>
      </c>
      <c r="L86" s="20"/>
      <c r="M86" s="20">
        <f>Tabela1[[#This Row],[1ª QZ]]-Tabela1[[#This Row],[SALDO FINAL]]-Tabela1[[#This Row],[SALDO CARTAO]]-Tabela1[[#This Row],[Adiantamento ]]</f>
        <v>-4.9999999999990905</v>
      </c>
      <c r="N86" s="20">
        <f>Tabela1[[#This Row],[SALDO REEMBOLSAR]]*$N$4</f>
        <v>0</v>
      </c>
      <c r="O86" s="20">
        <v>0</v>
      </c>
      <c r="Q86" t="str">
        <f>_xlfn.XLOOKUP(Tabela1[[#This Row],[COLABORADOR]],'STATUS CARTAO'!D:D,'STATUS CARTAO'!G:G)</f>
        <v>Cartão ativo</v>
      </c>
    </row>
    <row r="87" spans="1:17" hidden="1">
      <c r="A87" s="3" t="s">
        <v>239</v>
      </c>
      <c r="B87" s="3" t="s">
        <v>240</v>
      </c>
      <c r="C87" s="5" t="s">
        <v>19</v>
      </c>
      <c r="D87" s="3" t="s">
        <v>48</v>
      </c>
      <c r="E87" s="3" t="s">
        <v>49</v>
      </c>
      <c r="F87" s="3" t="s">
        <v>50</v>
      </c>
      <c r="G87" s="3" t="s">
        <v>40</v>
      </c>
      <c r="H87" s="20">
        <v>0</v>
      </c>
      <c r="I87" s="20">
        <v>131.39999999999714</v>
      </c>
      <c r="J87" s="20">
        <v>120</v>
      </c>
      <c r="K87" s="20">
        <v>50</v>
      </c>
      <c r="L87" s="20"/>
      <c r="M87" s="20">
        <f>Tabela1[[#This Row],[1ª QZ]]-Tabela1[[#This Row],[SALDO FINAL]]-Tabela1[[#This Row],[SALDO CARTAO]]-Tabela1[[#This Row],[Adiantamento ]]</f>
        <v>-61.399999999997135</v>
      </c>
      <c r="N87" s="20">
        <f>Tabela1[[#This Row],[SALDO REEMBOLSAR]]*$N$4</f>
        <v>0</v>
      </c>
      <c r="O87" s="20">
        <v>0</v>
      </c>
      <c r="Q87" t="str">
        <f>_xlfn.XLOOKUP(Tabela1[[#This Row],[COLABORADOR]],'STATUS CARTAO'!D:D,'STATUS CARTAO'!G:G)</f>
        <v>Cartão ativo</v>
      </c>
    </row>
    <row r="88" spans="1:17" hidden="1">
      <c r="A88" s="3" t="s">
        <v>241</v>
      </c>
      <c r="B88" s="3" t="s">
        <v>242</v>
      </c>
      <c r="C88" s="5" t="s">
        <v>19</v>
      </c>
      <c r="D88" s="3" t="s">
        <v>43</v>
      </c>
      <c r="E88" s="3" t="s">
        <v>243</v>
      </c>
      <c r="F88" s="3" t="s">
        <v>45</v>
      </c>
      <c r="G88" s="3" t="s">
        <v>40</v>
      </c>
      <c r="H88" s="20">
        <v>0</v>
      </c>
      <c r="I88" s="20">
        <v>3493.3999999999996</v>
      </c>
      <c r="J88" s="20">
        <v>250</v>
      </c>
      <c r="K88" s="20">
        <v>12.92</v>
      </c>
      <c r="L88" s="20"/>
      <c r="M88" s="20">
        <f>Tabela1[[#This Row],[1ª QZ]]-Tabela1[[#This Row],[SALDO FINAL]]-Tabela1[[#This Row],[SALDO CARTAO]]-Tabela1[[#This Row],[Adiantamento ]]</f>
        <v>-3256.3199999999997</v>
      </c>
      <c r="N88" s="20">
        <f>Tabela1[[#This Row],[SALDO REEMBOLSAR]]*$N$4</f>
        <v>0</v>
      </c>
      <c r="O88" s="20">
        <v>0</v>
      </c>
      <c r="Q88" t="str">
        <f>_xlfn.XLOOKUP(Tabela1[[#This Row],[COLABORADOR]],'STATUS CARTAO'!D:D,'STATUS CARTAO'!G:G)</f>
        <v>Cartão ativo</v>
      </c>
    </row>
    <row r="89" spans="1:17" hidden="1">
      <c r="A89" s="3" t="s">
        <v>244</v>
      </c>
      <c r="B89" s="3" t="s">
        <v>245</v>
      </c>
      <c r="C89" s="5" t="s">
        <v>19</v>
      </c>
      <c r="D89" s="3" t="s">
        <v>37</v>
      </c>
      <c r="E89" s="3" t="s">
        <v>246</v>
      </c>
      <c r="F89" s="3" t="s">
        <v>39</v>
      </c>
      <c r="G89" s="3" t="s">
        <v>40</v>
      </c>
      <c r="H89" s="20">
        <v>0</v>
      </c>
      <c r="I89" s="20">
        <v>635.10999999999331</v>
      </c>
      <c r="J89" s="20">
        <v>2500</v>
      </c>
      <c r="K89" s="20">
        <v>9</v>
      </c>
      <c r="L89" s="20"/>
      <c r="M89" s="20">
        <f>Tabela1[[#This Row],[1ª QZ]]-Tabela1[[#This Row],[SALDO FINAL]]-Tabela1[[#This Row],[SALDO CARTAO]]-Tabela1[[#This Row],[Adiantamento ]]</f>
        <v>1855.8900000000067</v>
      </c>
      <c r="N89" s="20">
        <f>Tabela1[[#This Row],[SALDO REEMBOLSAR]]*$N$4</f>
        <v>0</v>
      </c>
      <c r="O89" s="20">
        <v>1855.8900000000067</v>
      </c>
      <c r="Q89" t="str">
        <f>_xlfn.XLOOKUP(Tabela1[[#This Row],[COLABORADOR]],'STATUS CARTAO'!D:D,'STATUS CARTAO'!G:G)</f>
        <v>Cartão ativo</v>
      </c>
    </row>
    <row r="90" spans="1:17" hidden="1">
      <c r="A90" s="3" t="s">
        <v>247</v>
      </c>
      <c r="B90" s="3" t="s">
        <v>248</v>
      </c>
      <c r="C90" s="5" t="s">
        <v>19</v>
      </c>
      <c r="D90" s="3" t="s">
        <v>26</v>
      </c>
      <c r="E90" s="3" t="s">
        <v>249</v>
      </c>
      <c r="F90" s="3" t="s">
        <v>28</v>
      </c>
      <c r="G90" s="3" t="s">
        <v>23</v>
      </c>
      <c r="H90" s="20">
        <v>0</v>
      </c>
      <c r="I90" s="20">
        <v>502.78000000000065</v>
      </c>
      <c r="J90" s="20">
        <v>4000</v>
      </c>
      <c r="K90" s="20">
        <v>441.43</v>
      </c>
      <c r="L90" s="20"/>
      <c r="M90" s="20">
        <f>Tabela1[[#This Row],[1ª QZ]]-Tabela1[[#This Row],[SALDO FINAL]]-Tabela1[[#This Row],[SALDO CARTAO]]-Tabela1[[#This Row],[Adiantamento ]]</f>
        <v>3055.7899999999995</v>
      </c>
      <c r="N90" s="20">
        <f>Tabela1[[#This Row],[SALDO REEMBOLSAR]]*$N$4</f>
        <v>0</v>
      </c>
      <c r="O90" s="20">
        <v>3055.7899999999995</v>
      </c>
      <c r="Q90" t="str">
        <f>_xlfn.XLOOKUP(Tabela1[[#This Row],[COLABORADOR]],'STATUS CARTAO'!D:D,'STATUS CARTAO'!G:G)</f>
        <v>Cartão ativo</v>
      </c>
    </row>
    <row r="91" spans="1:17" hidden="1">
      <c r="A91" s="3" t="s">
        <v>250</v>
      </c>
      <c r="B91" s="3" t="s">
        <v>251</v>
      </c>
      <c r="C91" s="5" t="s">
        <v>19</v>
      </c>
      <c r="D91" s="3" t="s">
        <v>43</v>
      </c>
      <c r="E91" s="3" t="s">
        <v>252</v>
      </c>
      <c r="F91" s="3" t="s">
        <v>45</v>
      </c>
      <c r="G91" s="3" t="s">
        <v>40</v>
      </c>
      <c r="H91" s="20">
        <v>669.93000000000211</v>
      </c>
      <c r="I91" s="20">
        <v>0</v>
      </c>
      <c r="J91" s="20">
        <v>750</v>
      </c>
      <c r="K91" s="20">
        <v>3</v>
      </c>
      <c r="L91" s="20"/>
      <c r="M91" s="20">
        <f>Tabela1[[#This Row],[1ª QZ]]-Tabela1[[#This Row],[SALDO FINAL]]-Tabela1[[#This Row],[SALDO CARTAO]]-Tabela1[[#This Row],[Adiantamento ]]</f>
        <v>747</v>
      </c>
      <c r="N91" s="20">
        <f>Tabela1[[#This Row],[SALDO REEMBOLSAR]]*$N$4</f>
        <v>401.95800000000128</v>
      </c>
      <c r="O91" s="20">
        <v>1081.9650000000011</v>
      </c>
      <c r="Q91" t="str">
        <f>_xlfn.XLOOKUP(Tabela1[[#This Row],[COLABORADOR]],'STATUS CARTAO'!D:D,'STATUS CARTAO'!G:G)</f>
        <v>Cartão ativo</v>
      </c>
    </row>
    <row r="92" spans="1:17" hidden="1">
      <c r="A92" s="3" t="s">
        <v>253</v>
      </c>
      <c r="B92" s="3" t="s">
        <v>254</v>
      </c>
      <c r="C92" s="5" t="s">
        <v>19</v>
      </c>
      <c r="D92" s="3" t="s">
        <v>37</v>
      </c>
      <c r="E92" s="3" t="s">
        <v>53</v>
      </c>
      <c r="F92" s="3" t="s">
        <v>39</v>
      </c>
      <c r="G92" s="3" t="s">
        <v>40</v>
      </c>
      <c r="H92" s="20">
        <v>0</v>
      </c>
      <c r="I92" s="20">
        <v>4948.2499999999991</v>
      </c>
      <c r="J92" s="20">
        <v>1600</v>
      </c>
      <c r="K92" s="20">
        <v>4054.99</v>
      </c>
      <c r="L92" s="20"/>
      <c r="M92" s="20">
        <f>Tabela1[[#This Row],[1ª QZ]]-Tabela1[[#This Row],[SALDO FINAL]]-Tabela1[[#This Row],[SALDO CARTAO]]-Tabela1[[#This Row],[Adiantamento ]]</f>
        <v>-7403.2399999999989</v>
      </c>
      <c r="N92" s="20">
        <f>Tabela1[[#This Row],[SALDO REEMBOLSAR]]*$N$4</f>
        <v>0</v>
      </c>
      <c r="O92" s="20">
        <v>0</v>
      </c>
      <c r="Q92" t="str">
        <f>_xlfn.XLOOKUP(Tabela1[[#This Row],[COLABORADOR]],'STATUS CARTAO'!D:D,'STATUS CARTAO'!G:G)</f>
        <v>Cartão ativo</v>
      </c>
    </row>
    <row r="93" spans="1:17" hidden="1">
      <c r="A93" s="3" t="s">
        <v>255</v>
      </c>
      <c r="B93" s="3" t="s">
        <v>256</v>
      </c>
      <c r="C93" s="5" t="s">
        <v>19</v>
      </c>
      <c r="D93" s="3" t="s">
        <v>31</v>
      </c>
      <c r="E93" s="3" t="s">
        <v>257</v>
      </c>
      <c r="F93" s="3" t="s">
        <v>33</v>
      </c>
      <c r="G93" s="3" t="s">
        <v>34</v>
      </c>
      <c r="H93" s="20">
        <v>0</v>
      </c>
      <c r="I93" s="20">
        <v>1043.0499999999997</v>
      </c>
      <c r="J93" s="20">
        <v>750</v>
      </c>
      <c r="K93" s="20">
        <v>602.09</v>
      </c>
      <c r="L93" s="20"/>
      <c r="M93" s="20">
        <f>Tabela1[[#This Row],[1ª QZ]]-Tabela1[[#This Row],[SALDO FINAL]]-Tabela1[[#This Row],[SALDO CARTAO]]-Tabela1[[#This Row],[Adiantamento ]]</f>
        <v>-895.13999999999976</v>
      </c>
      <c r="N93" s="20">
        <f>Tabela1[[#This Row],[SALDO REEMBOLSAR]]*$N$4</f>
        <v>0</v>
      </c>
      <c r="O93" s="20">
        <v>0</v>
      </c>
      <c r="Q93" t="str">
        <f>_xlfn.XLOOKUP(Tabela1[[#This Row],[COLABORADOR]],'STATUS CARTAO'!D:D,'STATUS CARTAO'!G:G)</f>
        <v>Cartão ativo</v>
      </c>
    </row>
    <row r="94" spans="1:17" hidden="1">
      <c r="A94" s="3" t="s">
        <v>258</v>
      </c>
      <c r="B94" s="3" t="s">
        <v>259</v>
      </c>
      <c r="C94" s="5" t="s">
        <v>19</v>
      </c>
      <c r="D94" s="3" t="s">
        <v>48</v>
      </c>
      <c r="E94" s="3" t="s">
        <v>49</v>
      </c>
      <c r="F94" s="3" t="s">
        <v>50</v>
      </c>
      <c r="G94" s="3" t="s">
        <v>40</v>
      </c>
      <c r="H94" s="20">
        <v>0</v>
      </c>
      <c r="I94" s="20">
        <v>368.79999999999973</v>
      </c>
      <c r="J94" s="20">
        <v>160</v>
      </c>
      <c r="K94" s="20">
        <v>0</v>
      </c>
      <c r="L94" s="20"/>
      <c r="M94" s="20">
        <f>Tabela1[[#This Row],[1ª QZ]]-Tabela1[[#This Row],[SALDO FINAL]]-Tabela1[[#This Row],[SALDO CARTAO]]-Tabela1[[#This Row],[Adiantamento ]]</f>
        <v>-208.79999999999973</v>
      </c>
      <c r="N94" s="20">
        <f>Tabela1[[#This Row],[SALDO REEMBOLSAR]]*$N$4</f>
        <v>0</v>
      </c>
      <c r="O94" s="20">
        <v>0</v>
      </c>
      <c r="Q94" t="str">
        <f>_xlfn.XLOOKUP(Tabela1[[#This Row],[COLABORADOR]],'STATUS CARTAO'!D:D,'STATUS CARTAO'!G:G)</f>
        <v>Cartão ativo</v>
      </c>
    </row>
    <row r="95" spans="1:17" hidden="1">
      <c r="A95" s="3" t="s">
        <v>260</v>
      </c>
      <c r="B95" s="3" t="s">
        <v>261</v>
      </c>
      <c r="C95" s="5" t="s">
        <v>19</v>
      </c>
      <c r="D95" s="3" t="s">
        <v>26</v>
      </c>
      <c r="E95" s="3" t="s">
        <v>262</v>
      </c>
      <c r="F95" s="3" t="s">
        <v>28</v>
      </c>
      <c r="G95" s="3" t="s">
        <v>23</v>
      </c>
      <c r="H95" s="20">
        <v>0</v>
      </c>
      <c r="I95" s="20">
        <v>711</v>
      </c>
      <c r="J95" s="20">
        <v>400</v>
      </c>
      <c r="K95" s="20">
        <v>0</v>
      </c>
      <c r="L95" s="20"/>
      <c r="M95" s="20">
        <f>Tabela1[[#This Row],[1ª QZ]]-Tabela1[[#This Row],[SALDO FINAL]]-Tabela1[[#This Row],[SALDO CARTAO]]-Tabela1[[#This Row],[Adiantamento ]]</f>
        <v>-311</v>
      </c>
      <c r="N95" s="20">
        <f>Tabela1[[#This Row],[SALDO REEMBOLSAR]]*$N$4</f>
        <v>0</v>
      </c>
      <c r="O95" s="20">
        <v>0</v>
      </c>
      <c r="Q95" t="str">
        <f>_xlfn.XLOOKUP(Tabela1[[#This Row],[COLABORADOR]],'STATUS CARTAO'!D:D,'STATUS CARTAO'!G:G)</f>
        <v>Cartão ativo</v>
      </c>
    </row>
    <row r="96" spans="1:17" hidden="1">
      <c r="A96" s="3" t="s">
        <v>263</v>
      </c>
      <c r="B96" s="3" t="s">
        <v>264</v>
      </c>
      <c r="C96" s="5" t="s">
        <v>19</v>
      </c>
      <c r="D96" s="3" t="s">
        <v>20</v>
      </c>
      <c r="E96" s="3" t="s">
        <v>141</v>
      </c>
      <c r="F96" s="3" t="s">
        <v>22</v>
      </c>
      <c r="G96" s="3" t="s">
        <v>23</v>
      </c>
      <c r="H96" s="20">
        <v>0</v>
      </c>
      <c r="I96" s="20">
        <v>256.39000000000306</v>
      </c>
      <c r="J96" s="20">
        <v>2000</v>
      </c>
      <c r="K96" s="20">
        <v>9.3699999999999992</v>
      </c>
      <c r="L96" s="20"/>
      <c r="M96" s="20">
        <f>Tabela1[[#This Row],[1ª QZ]]-Tabela1[[#This Row],[SALDO FINAL]]-Tabela1[[#This Row],[SALDO CARTAO]]-Tabela1[[#This Row],[Adiantamento ]]</f>
        <v>1734.2399999999971</v>
      </c>
      <c r="N96" s="20">
        <f>Tabela1[[#This Row],[SALDO REEMBOLSAR]]*$N$4</f>
        <v>0</v>
      </c>
      <c r="O96" s="20">
        <v>1734.2399999999971</v>
      </c>
      <c r="Q96" t="str">
        <f>_xlfn.XLOOKUP(Tabela1[[#This Row],[COLABORADOR]],'STATUS CARTAO'!D:D,'STATUS CARTAO'!G:G)</f>
        <v>Cartão ativo</v>
      </c>
    </row>
    <row r="97" spans="1:17" hidden="1">
      <c r="A97" s="3" t="s">
        <v>265</v>
      </c>
      <c r="B97" s="3" t="s">
        <v>266</v>
      </c>
      <c r="C97" s="5" t="s">
        <v>19</v>
      </c>
      <c r="D97" s="3" t="s">
        <v>31</v>
      </c>
      <c r="E97" s="3" t="s">
        <v>32</v>
      </c>
      <c r="F97" s="3" t="s">
        <v>33</v>
      </c>
      <c r="G97" s="3" t="s">
        <v>34</v>
      </c>
      <c r="H97" s="20">
        <v>0</v>
      </c>
      <c r="I97" s="20">
        <v>904.52000000000135</v>
      </c>
      <c r="J97" s="20">
        <v>1000</v>
      </c>
      <c r="K97" s="20">
        <v>9.06</v>
      </c>
      <c r="L97" s="20"/>
      <c r="M97" s="20">
        <f>Tabela1[[#This Row],[1ª QZ]]-Tabela1[[#This Row],[SALDO FINAL]]-Tabela1[[#This Row],[SALDO CARTAO]]-Tabela1[[#This Row],[Adiantamento ]]</f>
        <v>86.419999999998652</v>
      </c>
      <c r="N97" s="20">
        <f>Tabela1[[#This Row],[SALDO REEMBOLSAR]]*$N$4</f>
        <v>0</v>
      </c>
      <c r="O97" s="20">
        <v>86.419999999998652</v>
      </c>
      <c r="Q97" t="str">
        <f>_xlfn.XLOOKUP(Tabela1[[#This Row],[COLABORADOR]],'STATUS CARTAO'!D:D,'STATUS CARTAO'!G:G)</f>
        <v>Cartão ativo</v>
      </c>
    </row>
    <row r="98" spans="1:17" hidden="1">
      <c r="A98" s="3" t="s">
        <v>267</v>
      </c>
      <c r="B98" s="3" t="s">
        <v>268</v>
      </c>
      <c r="C98" s="5" t="s">
        <v>19</v>
      </c>
      <c r="D98" s="3" t="s">
        <v>48</v>
      </c>
      <c r="E98" s="3" t="s">
        <v>93</v>
      </c>
      <c r="F98" s="3" t="s">
        <v>50</v>
      </c>
      <c r="G98" s="3" t="s">
        <v>40</v>
      </c>
      <c r="H98" s="20">
        <v>0</v>
      </c>
      <c r="I98" s="20">
        <v>109.20000000000016</v>
      </c>
      <c r="J98" s="20">
        <v>100</v>
      </c>
      <c r="K98" s="20">
        <v>30.17</v>
      </c>
      <c r="L98" s="20"/>
      <c r="M98" s="20">
        <f>Tabela1[[#This Row],[1ª QZ]]-Tabela1[[#This Row],[SALDO FINAL]]-Tabela1[[#This Row],[SALDO CARTAO]]-Tabela1[[#This Row],[Adiantamento ]]</f>
        <v>-39.370000000000161</v>
      </c>
      <c r="N98" s="20">
        <f>Tabela1[[#This Row],[SALDO REEMBOLSAR]]*$N$4</f>
        <v>0</v>
      </c>
      <c r="O98" s="20">
        <v>0</v>
      </c>
      <c r="Q98" t="str">
        <f>_xlfn.XLOOKUP(Tabela1[[#This Row],[COLABORADOR]],'STATUS CARTAO'!D:D,'STATUS CARTAO'!G:G)</f>
        <v>Cartão ativo</v>
      </c>
    </row>
    <row r="99" spans="1:17" hidden="1">
      <c r="A99" s="3" t="s">
        <v>269</v>
      </c>
      <c r="B99" s="3" t="s">
        <v>270</v>
      </c>
      <c r="C99" s="5" t="s">
        <v>19</v>
      </c>
      <c r="D99" s="3" t="s">
        <v>31</v>
      </c>
      <c r="E99" s="3" t="s">
        <v>56</v>
      </c>
      <c r="F99" s="3" t="s">
        <v>33</v>
      </c>
      <c r="G99" s="3" t="s">
        <v>34</v>
      </c>
      <c r="H99" s="20">
        <v>392.67000000000007</v>
      </c>
      <c r="I99" s="20">
        <v>0</v>
      </c>
      <c r="J99" s="20">
        <v>1400</v>
      </c>
      <c r="K99" s="20">
        <v>6.01</v>
      </c>
      <c r="L99" s="20"/>
      <c r="M99" s="20">
        <f>Tabela1[[#This Row],[1ª QZ]]-Tabela1[[#This Row],[SALDO FINAL]]-Tabela1[[#This Row],[SALDO CARTAO]]-Tabela1[[#This Row],[Adiantamento ]]</f>
        <v>1393.99</v>
      </c>
      <c r="N99" s="20">
        <f>Tabela1[[#This Row],[SALDO REEMBOLSAR]]*$N$4</f>
        <v>235.60200000000003</v>
      </c>
      <c r="O99" s="20">
        <v>1590.325</v>
      </c>
      <c r="Q99" t="str">
        <f>_xlfn.XLOOKUP(Tabela1[[#This Row],[COLABORADOR]],'STATUS CARTAO'!D:D,'STATUS CARTAO'!G:G)</f>
        <v>Cartão ativo</v>
      </c>
    </row>
    <row r="100" spans="1:17" hidden="1">
      <c r="A100" s="3" t="s">
        <v>271</v>
      </c>
      <c r="B100" s="3" t="s">
        <v>272</v>
      </c>
      <c r="C100" s="5" t="s">
        <v>19</v>
      </c>
      <c r="D100" s="3" t="s">
        <v>37</v>
      </c>
      <c r="E100" s="3" t="s">
        <v>138</v>
      </c>
      <c r="F100" s="3" t="s">
        <v>39</v>
      </c>
      <c r="G100" s="3" t="s">
        <v>40</v>
      </c>
      <c r="H100" s="20">
        <v>0</v>
      </c>
      <c r="I100" s="20">
        <v>0.19999999999708962</v>
      </c>
      <c r="J100" s="20">
        <v>800</v>
      </c>
      <c r="K100" s="20">
        <v>65.2</v>
      </c>
      <c r="L100" s="20"/>
      <c r="M100" s="20">
        <f>Tabela1[[#This Row],[1ª QZ]]-Tabela1[[#This Row],[SALDO FINAL]]-Tabela1[[#This Row],[SALDO CARTAO]]-Tabela1[[#This Row],[Adiantamento ]]</f>
        <v>734.60000000000286</v>
      </c>
      <c r="N100" s="20">
        <f>Tabela1[[#This Row],[SALDO REEMBOLSAR]]*$N$4</f>
        <v>0</v>
      </c>
      <c r="O100" s="20">
        <v>734.60000000000286</v>
      </c>
      <c r="Q100" t="str">
        <f>_xlfn.XLOOKUP(Tabela1[[#This Row],[COLABORADOR]],'STATUS CARTAO'!D:D,'STATUS CARTAO'!G:G)</f>
        <v>Cartão ativo</v>
      </c>
    </row>
    <row r="101" spans="1:17" hidden="1">
      <c r="A101" s="3" t="s">
        <v>273</v>
      </c>
      <c r="B101" s="3" t="s">
        <v>274</v>
      </c>
      <c r="C101" s="5" t="s">
        <v>19</v>
      </c>
      <c r="D101" s="3" t="s">
        <v>31</v>
      </c>
      <c r="E101" s="3" t="s">
        <v>275</v>
      </c>
      <c r="F101" s="3" t="s">
        <v>33</v>
      </c>
      <c r="G101" s="3" t="s">
        <v>34</v>
      </c>
      <c r="H101" s="20">
        <v>0</v>
      </c>
      <c r="I101" s="20">
        <v>558.87999999999988</v>
      </c>
      <c r="J101" s="20">
        <v>500</v>
      </c>
      <c r="K101" s="20">
        <v>0</v>
      </c>
      <c r="L101" s="20"/>
      <c r="M101" s="20">
        <f>Tabela1[[#This Row],[1ª QZ]]-Tabela1[[#This Row],[SALDO FINAL]]-Tabela1[[#This Row],[SALDO CARTAO]]-Tabela1[[#This Row],[Adiantamento ]]</f>
        <v>-58.879999999999882</v>
      </c>
      <c r="N101" s="20">
        <f>Tabela1[[#This Row],[SALDO REEMBOLSAR]]*$N$4</f>
        <v>0</v>
      </c>
      <c r="O101" s="20">
        <v>0</v>
      </c>
      <c r="Q101" t="str">
        <f>_xlfn.XLOOKUP(Tabela1[[#This Row],[COLABORADOR]],'STATUS CARTAO'!D:D,'STATUS CARTAO'!G:G)</f>
        <v>Cartão ativo</v>
      </c>
    </row>
    <row r="102" spans="1:17" hidden="1">
      <c r="A102" s="3" t="s">
        <v>276</v>
      </c>
      <c r="B102" s="3" t="s">
        <v>277</v>
      </c>
      <c r="C102" s="5" t="s">
        <v>19</v>
      </c>
      <c r="D102" s="3" t="s">
        <v>48</v>
      </c>
      <c r="E102" s="3" t="s">
        <v>49</v>
      </c>
      <c r="F102" s="3" t="s">
        <v>50</v>
      </c>
      <c r="G102" s="3" t="s">
        <v>40</v>
      </c>
      <c r="H102" s="20">
        <v>0</v>
      </c>
      <c r="I102" s="20">
        <v>598.16000000000008</v>
      </c>
      <c r="J102" s="20">
        <v>120</v>
      </c>
      <c r="K102" s="20">
        <v>0</v>
      </c>
      <c r="L102" s="20"/>
      <c r="M102" s="20">
        <f>Tabela1[[#This Row],[1ª QZ]]-Tabela1[[#This Row],[SALDO FINAL]]-Tabela1[[#This Row],[SALDO CARTAO]]-Tabela1[[#This Row],[Adiantamento ]]</f>
        <v>-478.16000000000008</v>
      </c>
      <c r="N102" s="20">
        <f>Tabela1[[#This Row],[SALDO REEMBOLSAR]]*$N$4</f>
        <v>0</v>
      </c>
      <c r="O102" s="20">
        <v>0</v>
      </c>
      <c r="Q102" t="str">
        <f>_xlfn.XLOOKUP(Tabela1[[#This Row],[COLABORADOR]],'STATUS CARTAO'!D:D,'STATUS CARTAO'!G:G)</f>
        <v>Cartão ativo</v>
      </c>
    </row>
    <row r="103" spans="1:17" hidden="1">
      <c r="A103" s="3" t="s">
        <v>278</v>
      </c>
      <c r="B103" s="3" t="s">
        <v>279</v>
      </c>
      <c r="C103" s="5" t="s">
        <v>19</v>
      </c>
      <c r="D103" s="3" t="s">
        <v>43</v>
      </c>
      <c r="E103" s="3" t="s">
        <v>82</v>
      </c>
      <c r="F103" s="3" t="s">
        <v>45</v>
      </c>
      <c r="G103" s="3" t="s">
        <v>40</v>
      </c>
      <c r="H103" s="20">
        <v>0</v>
      </c>
      <c r="I103" s="20">
        <v>233.29999999999995</v>
      </c>
      <c r="J103" s="20">
        <v>200</v>
      </c>
      <c r="K103" s="20">
        <v>200</v>
      </c>
      <c r="L103" s="20"/>
      <c r="M103" s="20">
        <f>Tabela1[[#This Row],[1ª QZ]]-Tabela1[[#This Row],[SALDO FINAL]]-Tabela1[[#This Row],[SALDO CARTAO]]-Tabela1[[#This Row],[Adiantamento ]]</f>
        <v>-233.29999999999995</v>
      </c>
      <c r="N103" s="20">
        <f>Tabela1[[#This Row],[SALDO REEMBOLSAR]]*$N$4</f>
        <v>0</v>
      </c>
      <c r="O103" s="20">
        <v>0</v>
      </c>
      <c r="Q103" t="str">
        <f>_xlfn.XLOOKUP(Tabela1[[#This Row],[COLABORADOR]],'STATUS CARTAO'!D:D,'STATUS CARTAO'!G:G)</f>
        <v>Cartão ativo</v>
      </c>
    </row>
    <row r="104" spans="1:17" hidden="1">
      <c r="A104" s="3" t="s">
        <v>280</v>
      </c>
      <c r="B104" s="3" t="s">
        <v>281</v>
      </c>
      <c r="C104" s="5" t="s">
        <v>19</v>
      </c>
      <c r="D104" s="3" t="s">
        <v>37</v>
      </c>
      <c r="E104" s="3" t="s">
        <v>138</v>
      </c>
      <c r="F104" s="3" t="s">
        <v>39</v>
      </c>
      <c r="G104" s="3" t="s">
        <v>40</v>
      </c>
      <c r="H104" s="20">
        <v>0</v>
      </c>
      <c r="I104" s="20">
        <v>194.63000000000466</v>
      </c>
      <c r="J104" s="20">
        <v>800</v>
      </c>
      <c r="K104" s="20">
        <v>162.63</v>
      </c>
      <c r="L104" s="20"/>
      <c r="M104" s="20">
        <f>Tabela1[[#This Row],[1ª QZ]]-Tabela1[[#This Row],[SALDO FINAL]]-Tabela1[[#This Row],[SALDO CARTAO]]-Tabela1[[#This Row],[Adiantamento ]]</f>
        <v>442.73999999999535</v>
      </c>
      <c r="N104" s="20">
        <f>Tabela1[[#This Row],[SALDO REEMBOLSAR]]*$N$4</f>
        <v>0</v>
      </c>
      <c r="O104" s="20">
        <v>442.73999999999535</v>
      </c>
      <c r="Q104" t="str">
        <f>_xlfn.XLOOKUP(Tabela1[[#This Row],[COLABORADOR]],'STATUS CARTAO'!D:D,'STATUS CARTAO'!G:G)</f>
        <v>Cartão ativo</v>
      </c>
    </row>
    <row r="105" spans="1:17" hidden="1">
      <c r="A105" s="3" t="s">
        <v>280</v>
      </c>
      <c r="B105" s="3" t="s">
        <v>281</v>
      </c>
      <c r="C105" s="5"/>
      <c r="D105" s="3" t="s">
        <v>37</v>
      </c>
      <c r="E105" s="3" t="s">
        <v>138</v>
      </c>
      <c r="F105" s="3"/>
      <c r="G105" s="3"/>
      <c r="H105" s="20"/>
      <c r="I105" s="20"/>
      <c r="J105" s="20"/>
      <c r="K105" s="20"/>
      <c r="L105" s="20"/>
      <c r="M105" s="20">
        <f>Tabela1[[#This Row],[1ª QZ]]-Tabela1[[#This Row],[SALDO FINAL]]-Tabela1[[#This Row],[SALDO CARTAO]]-Tabela1[[#This Row],[Adiantamento ]]</f>
        <v>0</v>
      </c>
      <c r="N105" s="20">
        <f>Tabela1[[#This Row],[SALDO REEMBOLSAR]]*$N$4</f>
        <v>0</v>
      </c>
      <c r="O105" s="20">
        <v>194.63</v>
      </c>
      <c r="Q105" t="str">
        <f>_xlfn.XLOOKUP(Tabela1[[#This Row],[COLABORADOR]],'STATUS CARTAO'!D:D,'STATUS CARTAO'!G:G)</f>
        <v>Cartão ativo</v>
      </c>
    </row>
    <row r="106" spans="1:17" hidden="1">
      <c r="A106" s="3" t="s">
        <v>282</v>
      </c>
      <c r="B106" s="3" t="s">
        <v>283</v>
      </c>
      <c r="C106" s="5" t="s">
        <v>19</v>
      </c>
      <c r="D106" s="3" t="s">
        <v>37</v>
      </c>
      <c r="E106" s="3" t="s">
        <v>138</v>
      </c>
      <c r="F106" s="3" t="s">
        <v>39</v>
      </c>
      <c r="G106" s="3" t="s">
        <v>40</v>
      </c>
      <c r="H106" s="20">
        <v>0</v>
      </c>
      <c r="I106" s="20">
        <v>1079.8999999999996</v>
      </c>
      <c r="J106" s="20">
        <v>800</v>
      </c>
      <c r="K106" s="20">
        <v>0.3</v>
      </c>
      <c r="L106" s="20"/>
      <c r="M106" s="20">
        <f>Tabela1[[#This Row],[1ª QZ]]-Tabela1[[#This Row],[SALDO FINAL]]-Tabela1[[#This Row],[SALDO CARTAO]]-Tabela1[[#This Row],[Adiantamento ]]</f>
        <v>-280.19999999999965</v>
      </c>
      <c r="N106" s="20">
        <f>Tabela1[[#This Row],[SALDO REEMBOLSAR]]*$N$4</f>
        <v>0</v>
      </c>
      <c r="O106" s="20">
        <v>0</v>
      </c>
      <c r="Q106" t="str">
        <f>_xlfn.XLOOKUP(Tabela1[[#This Row],[COLABORADOR]],'STATUS CARTAO'!D:D,'STATUS CARTAO'!G:G)</f>
        <v>Cartão ativo</v>
      </c>
    </row>
    <row r="107" spans="1:17" hidden="1">
      <c r="A107" s="3" t="s">
        <v>284</v>
      </c>
      <c r="B107" s="3" t="s">
        <v>285</v>
      </c>
      <c r="C107" s="5" t="s">
        <v>19</v>
      </c>
      <c r="D107" s="3" t="s">
        <v>31</v>
      </c>
      <c r="E107" s="3" t="s">
        <v>56</v>
      </c>
      <c r="F107" s="3" t="s">
        <v>33</v>
      </c>
      <c r="G107" s="3" t="s">
        <v>34</v>
      </c>
      <c r="H107" s="20">
        <v>713.4</v>
      </c>
      <c r="I107" s="20">
        <v>0</v>
      </c>
      <c r="J107" s="20">
        <v>1500</v>
      </c>
      <c r="K107" s="20">
        <v>36.15</v>
      </c>
      <c r="L107" s="20"/>
      <c r="M107" s="20">
        <f>Tabela1[[#This Row],[1ª QZ]]-Tabela1[[#This Row],[SALDO FINAL]]-Tabela1[[#This Row],[SALDO CARTAO]]-Tabela1[[#This Row],[Adiantamento ]]</f>
        <v>1463.85</v>
      </c>
      <c r="N107" s="20">
        <f>Tabela1[[#This Row],[SALDO REEMBOLSAR]]*$N$4</f>
        <v>428.03999999999996</v>
      </c>
      <c r="O107" s="20">
        <v>1820.55</v>
      </c>
      <c r="Q107" t="str">
        <f>_xlfn.XLOOKUP(Tabela1[[#This Row],[COLABORADOR]],'STATUS CARTAO'!D:D,'STATUS CARTAO'!G:G)</f>
        <v>Cartão ativo</v>
      </c>
    </row>
    <row r="108" spans="1:17" hidden="1">
      <c r="A108" s="3" t="s">
        <v>286</v>
      </c>
      <c r="B108" s="3" t="s">
        <v>287</v>
      </c>
      <c r="C108" s="5" t="s">
        <v>19</v>
      </c>
      <c r="D108" s="3" t="s">
        <v>48</v>
      </c>
      <c r="E108" s="3" t="s">
        <v>93</v>
      </c>
      <c r="F108" s="3" t="s">
        <v>50</v>
      </c>
      <c r="G108" s="3" t="s">
        <v>40</v>
      </c>
      <c r="H108" s="20">
        <v>0</v>
      </c>
      <c r="I108" s="20">
        <v>130</v>
      </c>
      <c r="J108" s="20">
        <v>100</v>
      </c>
      <c r="K108" s="20">
        <v>45</v>
      </c>
      <c r="L108" s="20"/>
      <c r="M108" s="20">
        <f>Tabela1[[#This Row],[1ª QZ]]-Tabela1[[#This Row],[SALDO FINAL]]-Tabela1[[#This Row],[SALDO CARTAO]]-Tabela1[[#This Row],[Adiantamento ]]</f>
        <v>-75</v>
      </c>
      <c r="N108" s="20">
        <f>Tabela1[[#This Row],[SALDO REEMBOLSAR]]*$N$4</f>
        <v>0</v>
      </c>
      <c r="O108" s="20">
        <v>0</v>
      </c>
      <c r="Q108" t="str">
        <f>_xlfn.XLOOKUP(Tabela1[[#This Row],[COLABORADOR]],'STATUS CARTAO'!D:D,'STATUS CARTAO'!G:G)</f>
        <v>Cartão ativo</v>
      </c>
    </row>
    <row r="109" spans="1:17" hidden="1">
      <c r="A109" s="3" t="s">
        <v>288</v>
      </c>
      <c r="B109" s="3" t="s">
        <v>289</v>
      </c>
      <c r="C109" s="5" t="s">
        <v>19</v>
      </c>
      <c r="D109" s="3" t="s">
        <v>48</v>
      </c>
      <c r="E109" s="3" t="s">
        <v>93</v>
      </c>
      <c r="F109" s="3" t="s">
        <v>50</v>
      </c>
      <c r="G109" s="3" t="s">
        <v>40</v>
      </c>
      <c r="H109" s="20">
        <v>212.01000000000522</v>
      </c>
      <c r="I109" s="20">
        <v>0</v>
      </c>
      <c r="J109" s="20">
        <v>300</v>
      </c>
      <c r="K109" s="20">
        <v>51.06</v>
      </c>
      <c r="L109" s="20"/>
      <c r="M109" s="20">
        <f>Tabela1[[#This Row],[1ª QZ]]-Tabela1[[#This Row],[SALDO FINAL]]-Tabela1[[#This Row],[SALDO CARTAO]]-Tabela1[[#This Row],[Adiantamento ]]</f>
        <v>248.94</v>
      </c>
      <c r="N109" s="20">
        <f>Tabela1[[#This Row],[SALDO REEMBOLSAR]]*$N$4</f>
        <v>127.20600000000313</v>
      </c>
      <c r="O109" s="20">
        <v>354.94500000000261</v>
      </c>
      <c r="Q109" t="str">
        <f>_xlfn.XLOOKUP(Tabela1[[#This Row],[COLABORADOR]],'STATUS CARTAO'!D:D,'STATUS CARTAO'!G:G)</f>
        <v>Cartão ativo</v>
      </c>
    </row>
    <row r="110" spans="1:17" hidden="1">
      <c r="A110" s="3" t="s">
        <v>290</v>
      </c>
      <c r="B110" s="3" t="s">
        <v>291</v>
      </c>
      <c r="C110" s="5" t="s">
        <v>19</v>
      </c>
      <c r="D110" s="3" t="s">
        <v>37</v>
      </c>
      <c r="E110" s="3" t="s">
        <v>292</v>
      </c>
      <c r="F110" s="3" t="s">
        <v>39</v>
      </c>
      <c r="G110" s="3" t="s">
        <v>40</v>
      </c>
      <c r="H110" s="20">
        <v>0</v>
      </c>
      <c r="I110" s="20">
        <v>915.29999999999154</v>
      </c>
      <c r="J110" s="20">
        <v>400</v>
      </c>
      <c r="K110" s="20">
        <v>19</v>
      </c>
      <c r="L110" s="20"/>
      <c r="M110" s="20">
        <f>Tabela1[[#This Row],[1ª QZ]]-Tabela1[[#This Row],[SALDO FINAL]]-Tabela1[[#This Row],[SALDO CARTAO]]-Tabela1[[#This Row],[Adiantamento ]]</f>
        <v>-534.29999999999154</v>
      </c>
      <c r="N110" s="20">
        <f>Tabela1[[#This Row],[SALDO REEMBOLSAR]]*$N$4</f>
        <v>0</v>
      </c>
      <c r="O110" s="20">
        <v>0</v>
      </c>
      <c r="Q110" t="str">
        <f>_xlfn.XLOOKUP(Tabela1[[#This Row],[COLABORADOR]],'STATUS CARTAO'!D:D,'STATUS CARTAO'!G:G)</f>
        <v>Cartão ativo</v>
      </c>
    </row>
    <row r="111" spans="1:17" hidden="1">
      <c r="A111" s="3" t="s">
        <v>293</v>
      </c>
      <c r="B111" s="3" t="s">
        <v>294</v>
      </c>
      <c r="C111" s="5" t="s">
        <v>19</v>
      </c>
      <c r="D111" s="3" t="s">
        <v>74</v>
      </c>
      <c r="E111" s="3" t="s">
        <v>295</v>
      </c>
      <c r="F111" s="3" t="s">
        <v>76</v>
      </c>
      <c r="G111" s="3" t="s">
        <v>40</v>
      </c>
      <c r="H111" s="20">
        <v>0</v>
      </c>
      <c r="I111" s="20">
        <v>702.30000000000041</v>
      </c>
      <c r="J111" s="20">
        <v>675</v>
      </c>
      <c r="K111" s="20">
        <v>168</v>
      </c>
      <c r="L111" s="20"/>
      <c r="M111" s="20">
        <f>Tabela1[[#This Row],[1ª QZ]]-Tabela1[[#This Row],[SALDO FINAL]]-Tabela1[[#This Row],[SALDO CARTAO]]-Tabela1[[#This Row],[Adiantamento ]]</f>
        <v>-195.30000000000041</v>
      </c>
      <c r="N111" s="20">
        <f>Tabela1[[#This Row],[SALDO REEMBOLSAR]]*$N$4</f>
        <v>0</v>
      </c>
      <c r="O111" s="20">
        <v>0</v>
      </c>
      <c r="Q111" t="str">
        <f>_xlfn.XLOOKUP(Tabela1[[#This Row],[COLABORADOR]],'STATUS CARTAO'!D:D,'STATUS CARTAO'!G:G)</f>
        <v>Cartão ativo</v>
      </c>
    </row>
    <row r="112" spans="1:17" hidden="1">
      <c r="A112" s="3" t="s">
        <v>296</v>
      </c>
      <c r="B112" s="3" t="s">
        <v>297</v>
      </c>
      <c r="C112" s="5" t="s">
        <v>19</v>
      </c>
      <c r="D112" s="3" t="s">
        <v>74</v>
      </c>
      <c r="E112" s="3" t="s">
        <v>298</v>
      </c>
      <c r="F112" s="3" t="s">
        <v>76</v>
      </c>
      <c r="G112" s="3" t="s">
        <v>40</v>
      </c>
      <c r="H112" s="20">
        <v>0</v>
      </c>
      <c r="I112" s="20">
        <v>385.99000000000706</v>
      </c>
      <c r="J112" s="20">
        <v>1600</v>
      </c>
      <c r="K112" s="20">
        <v>16.27</v>
      </c>
      <c r="L112" s="20"/>
      <c r="M112" s="20">
        <f>Tabela1[[#This Row],[1ª QZ]]-Tabela1[[#This Row],[SALDO FINAL]]-Tabela1[[#This Row],[SALDO CARTAO]]-Tabela1[[#This Row],[Adiantamento ]]</f>
        <v>1197.739999999993</v>
      </c>
      <c r="N112" s="20">
        <f>Tabela1[[#This Row],[SALDO REEMBOLSAR]]*$N$4</f>
        <v>0</v>
      </c>
      <c r="O112" s="20">
        <v>1197.739999999993</v>
      </c>
      <c r="Q112" t="str">
        <f>_xlfn.XLOOKUP(Tabela1[[#This Row],[COLABORADOR]],'STATUS CARTAO'!D:D,'STATUS CARTAO'!G:G)</f>
        <v>Cartão ativo</v>
      </c>
    </row>
    <row r="113" spans="1:17" hidden="1">
      <c r="A113" s="3" t="s">
        <v>299</v>
      </c>
      <c r="B113" s="3" t="s">
        <v>300</v>
      </c>
      <c r="C113" s="5" t="s">
        <v>19</v>
      </c>
      <c r="D113" s="3" t="s">
        <v>31</v>
      </c>
      <c r="E113" s="3" t="s">
        <v>301</v>
      </c>
      <c r="F113" s="3" t="s">
        <v>33</v>
      </c>
      <c r="G113" s="3" t="s">
        <v>34</v>
      </c>
      <c r="H113" s="20">
        <v>0</v>
      </c>
      <c r="I113" s="20">
        <v>590.26000000000113</v>
      </c>
      <c r="J113" s="20">
        <v>750</v>
      </c>
      <c r="K113" s="20">
        <v>0</v>
      </c>
      <c r="L113" s="20"/>
      <c r="M113" s="20">
        <f>Tabela1[[#This Row],[1ª QZ]]-Tabela1[[#This Row],[SALDO FINAL]]-Tabela1[[#This Row],[SALDO CARTAO]]-Tabela1[[#This Row],[Adiantamento ]]</f>
        <v>159.73999999999887</v>
      </c>
      <c r="N113" s="20">
        <f>Tabela1[[#This Row],[SALDO REEMBOLSAR]]*$N$4</f>
        <v>0</v>
      </c>
      <c r="O113" s="20">
        <v>159.73999999999887</v>
      </c>
      <c r="Q113" t="str">
        <f>_xlfn.XLOOKUP(Tabela1[[#This Row],[COLABORADOR]],'STATUS CARTAO'!D:D,'STATUS CARTAO'!G:G)</f>
        <v>Cartão ativo</v>
      </c>
    </row>
    <row r="114" spans="1:17" hidden="1">
      <c r="A114" s="3" t="s">
        <v>302</v>
      </c>
      <c r="B114" s="3" t="s">
        <v>303</v>
      </c>
      <c r="C114" s="5" t="s">
        <v>19</v>
      </c>
      <c r="D114" s="3" t="s">
        <v>96</v>
      </c>
      <c r="E114" s="3" t="s">
        <v>226</v>
      </c>
      <c r="F114" s="3" t="s">
        <v>98</v>
      </c>
      <c r="G114" s="3" t="s">
        <v>23</v>
      </c>
      <c r="H114" s="20">
        <v>771.58000000001005</v>
      </c>
      <c r="I114" s="20">
        <v>0</v>
      </c>
      <c r="J114" s="20">
        <v>1000</v>
      </c>
      <c r="K114" s="20">
        <v>3</v>
      </c>
      <c r="L114" s="20"/>
      <c r="M114" s="20">
        <f>Tabela1[[#This Row],[1ª QZ]]-Tabela1[[#This Row],[SALDO FINAL]]-Tabela1[[#This Row],[SALDO CARTAO]]-Tabela1[[#This Row],[Adiantamento ]]</f>
        <v>997</v>
      </c>
      <c r="N114" s="20">
        <f>Tabela1[[#This Row],[SALDO REEMBOLSAR]]*$N$4</f>
        <v>462.948000000006</v>
      </c>
      <c r="O114" s="20">
        <v>1382.790000000005</v>
      </c>
      <c r="Q114" t="str">
        <f>_xlfn.XLOOKUP(Tabela1[[#This Row],[COLABORADOR]],'STATUS CARTAO'!D:D,'STATUS CARTAO'!G:G)</f>
        <v>Cartão ativo</v>
      </c>
    </row>
    <row r="115" spans="1:17" hidden="1">
      <c r="A115" s="3" t="s">
        <v>304</v>
      </c>
      <c r="B115" s="3" t="s">
        <v>305</v>
      </c>
      <c r="C115" s="5" t="s">
        <v>19</v>
      </c>
      <c r="D115" s="3" t="s">
        <v>20</v>
      </c>
      <c r="E115" s="3" t="s">
        <v>193</v>
      </c>
      <c r="F115" s="3" t="s">
        <v>22</v>
      </c>
      <c r="G115" s="3" t="s">
        <v>23</v>
      </c>
      <c r="H115" s="20">
        <v>514.26999999998588</v>
      </c>
      <c r="I115" s="20">
        <v>0</v>
      </c>
      <c r="J115" s="20">
        <v>400</v>
      </c>
      <c r="K115" s="20">
        <v>15</v>
      </c>
      <c r="L115" s="20"/>
      <c r="M115" s="20">
        <f>Tabela1[[#This Row],[1ª QZ]]-Tabela1[[#This Row],[SALDO FINAL]]-Tabela1[[#This Row],[SALDO CARTAO]]-Tabela1[[#This Row],[Adiantamento ]]</f>
        <v>385</v>
      </c>
      <c r="N115" s="20">
        <f>Tabela1[[#This Row],[SALDO REEMBOLSAR]]*$N$4</f>
        <v>308.56199999999154</v>
      </c>
      <c r="O115" s="20">
        <v>642.13499999999294</v>
      </c>
      <c r="Q115" t="str">
        <f>_xlfn.XLOOKUP(Tabela1[[#This Row],[COLABORADOR]],'STATUS CARTAO'!D:D,'STATUS CARTAO'!G:G)</f>
        <v>Cartão ativo</v>
      </c>
    </row>
    <row r="116" spans="1:17" hidden="1">
      <c r="A116" s="3" t="s">
        <v>306</v>
      </c>
      <c r="B116" s="3" t="s">
        <v>307</v>
      </c>
      <c r="C116" s="5" t="s">
        <v>19</v>
      </c>
      <c r="D116" s="3" t="s">
        <v>37</v>
      </c>
      <c r="E116" s="3" t="s">
        <v>308</v>
      </c>
      <c r="F116" s="3" t="s">
        <v>39</v>
      </c>
      <c r="G116" s="3" t="s">
        <v>40</v>
      </c>
      <c r="H116" s="20">
        <v>0</v>
      </c>
      <c r="I116" s="20">
        <v>4470.4499999999462</v>
      </c>
      <c r="J116" s="20">
        <v>4000</v>
      </c>
      <c r="K116" s="20">
        <v>3.3</v>
      </c>
      <c r="L116" s="20"/>
      <c r="M116" s="20">
        <f>Tabela1[[#This Row],[1ª QZ]]-Tabela1[[#This Row],[SALDO FINAL]]-Tabela1[[#This Row],[SALDO CARTAO]]-Tabela1[[#This Row],[Adiantamento ]]</f>
        <v>-473.74999999994617</v>
      </c>
      <c r="N116" s="20">
        <f>Tabela1[[#This Row],[SALDO REEMBOLSAR]]*$N$4</f>
        <v>0</v>
      </c>
      <c r="O116" s="20">
        <v>0</v>
      </c>
      <c r="Q116" t="str">
        <f>_xlfn.XLOOKUP(Tabela1[[#This Row],[COLABORADOR]],'STATUS CARTAO'!D:D,'STATUS CARTAO'!G:G)</f>
        <v>Cartão ativo</v>
      </c>
    </row>
    <row r="117" spans="1:17" hidden="1">
      <c r="A117" s="3" t="s">
        <v>309</v>
      </c>
      <c r="B117" s="3" t="s">
        <v>310</v>
      </c>
      <c r="C117" s="5" t="s">
        <v>19</v>
      </c>
      <c r="D117" s="3" t="s">
        <v>43</v>
      </c>
      <c r="E117" s="3" t="s">
        <v>85</v>
      </c>
      <c r="F117" s="3" t="s">
        <v>45</v>
      </c>
      <c r="G117" s="3" t="s">
        <v>40</v>
      </c>
      <c r="H117" s="20">
        <v>0</v>
      </c>
      <c r="I117" s="20">
        <v>450.66999999999996</v>
      </c>
      <c r="J117" s="20">
        <v>1000</v>
      </c>
      <c r="K117" s="20">
        <v>438.17</v>
      </c>
      <c r="L117" s="20">
        <v>1000</v>
      </c>
      <c r="M117" s="20">
        <f>Tabela1[[#This Row],[1ª QZ]]-Tabela1[[#This Row],[SALDO FINAL]]-Tabela1[[#This Row],[SALDO CARTAO]]-Tabela1[[#This Row],[Adiantamento ]]</f>
        <v>-888.83999999999992</v>
      </c>
      <c r="N117" s="20">
        <f>Tabela1[[#This Row],[SALDO REEMBOLSAR]]*$N$4</f>
        <v>0</v>
      </c>
      <c r="O117" s="20">
        <v>0</v>
      </c>
      <c r="Q117" t="str">
        <f>_xlfn.XLOOKUP(Tabela1[[#This Row],[COLABORADOR]],'STATUS CARTAO'!D:D,'STATUS CARTAO'!G:G)</f>
        <v>Cartão ativo</v>
      </c>
    </row>
    <row r="118" spans="1:17" hidden="1">
      <c r="A118" s="3" t="s">
        <v>311</v>
      </c>
      <c r="B118" s="3" t="s">
        <v>312</v>
      </c>
      <c r="C118" s="5" t="s">
        <v>19</v>
      </c>
      <c r="D118" s="3" t="s">
        <v>43</v>
      </c>
      <c r="E118" s="3" t="s">
        <v>238</v>
      </c>
      <c r="F118" s="3" t="s">
        <v>45</v>
      </c>
      <c r="G118" s="3" t="s">
        <v>40</v>
      </c>
      <c r="H118" s="20">
        <v>0</v>
      </c>
      <c r="I118" s="20">
        <v>964.9900000000107</v>
      </c>
      <c r="J118" s="20">
        <v>2500</v>
      </c>
      <c r="K118" s="20">
        <v>1106.25</v>
      </c>
      <c r="L118" s="20"/>
      <c r="M118" s="20">
        <f>Tabela1[[#This Row],[1ª QZ]]-Tabela1[[#This Row],[SALDO FINAL]]-Tabela1[[#This Row],[SALDO CARTAO]]-Tabela1[[#This Row],[Adiantamento ]]</f>
        <v>428.7599999999893</v>
      </c>
      <c r="N118" s="20">
        <f>Tabela1[[#This Row],[SALDO REEMBOLSAR]]*$N$4</f>
        <v>0</v>
      </c>
      <c r="O118" s="20">
        <v>428.7599999999893</v>
      </c>
      <c r="Q118" t="str">
        <f>_xlfn.XLOOKUP(Tabela1[[#This Row],[COLABORADOR]],'STATUS CARTAO'!D:D,'STATUS CARTAO'!G:G)</f>
        <v>Cartão ativo</v>
      </c>
    </row>
    <row r="119" spans="1:17" hidden="1">
      <c r="A119" s="3" t="s">
        <v>311</v>
      </c>
      <c r="B119" s="3" t="s">
        <v>312</v>
      </c>
      <c r="C119" s="5"/>
      <c r="D119" s="3" t="s">
        <v>43</v>
      </c>
      <c r="E119" s="3" t="s">
        <v>238</v>
      </c>
      <c r="F119" s="3"/>
      <c r="G119" s="3"/>
      <c r="H119" s="20"/>
      <c r="I119" s="20"/>
      <c r="J119" s="20"/>
      <c r="K119" s="20"/>
      <c r="L119" s="20"/>
      <c r="M119" s="20">
        <f>Tabela1[[#This Row],[1ª QZ]]-Tabela1[[#This Row],[SALDO FINAL]]-Tabela1[[#This Row],[SALDO CARTAO]]-Tabela1[[#This Row],[Adiantamento ]]</f>
        <v>0</v>
      </c>
      <c r="N119" s="20">
        <f>Tabela1[[#This Row],[SALDO REEMBOLSAR]]*$N$4</f>
        <v>0</v>
      </c>
      <c r="O119" s="20">
        <v>964.9900000000107</v>
      </c>
      <c r="Q119" t="str">
        <f>_xlfn.XLOOKUP(Tabela1[[#This Row],[COLABORADOR]],'STATUS CARTAO'!D:D,'STATUS CARTAO'!G:G)</f>
        <v>Cartão ativo</v>
      </c>
    </row>
    <row r="120" spans="1:17" hidden="1">
      <c r="A120" s="3" t="s">
        <v>313</v>
      </c>
      <c r="B120" s="3" t="s">
        <v>314</v>
      </c>
      <c r="C120" s="5" t="s">
        <v>19</v>
      </c>
      <c r="D120" s="3" t="s">
        <v>37</v>
      </c>
      <c r="E120" s="3" t="s">
        <v>138</v>
      </c>
      <c r="F120" s="3" t="s">
        <v>39</v>
      </c>
      <c r="G120" s="3" t="s">
        <v>40</v>
      </c>
      <c r="H120" s="20">
        <v>0</v>
      </c>
      <c r="I120" s="20">
        <v>537.78999999999724</v>
      </c>
      <c r="J120" s="20">
        <v>800</v>
      </c>
      <c r="K120" s="20">
        <v>437.79</v>
      </c>
      <c r="L120" s="20"/>
      <c r="M120" s="20">
        <f>Tabela1[[#This Row],[1ª QZ]]-Tabela1[[#This Row],[SALDO FINAL]]-Tabela1[[#This Row],[SALDO CARTAO]]-Tabela1[[#This Row],[Adiantamento ]]</f>
        <v>-175.57999999999726</v>
      </c>
      <c r="N120" s="20">
        <f>Tabela1[[#This Row],[SALDO REEMBOLSAR]]*$N$4</f>
        <v>0</v>
      </c>
      <c r="O120" s="20">
        <v>0</v>
      </c>
      <c r="Q120" t="str">
        <f>_xlfn.XLOOKUP(Tabela1[[#This Row],[COLABORADOR]],'STATUS CARTAO'!D:D,'STATUS CARTAO'!G:G)</f>
        <v>Cartão ativo</v>
      </c>
    </row>
    <row r="121" spans="1:17" hidden="1">
      <c r="A121" s="3" t="s">
        <v>313</v>
      </c>
      <c r="B121" s="3" t="s">
        <v>314</v>
      </c>
      <c r="C121" s="5"/>
      <c r="D121" s="3" t="s">
        <v>37</v>
      </c>
      <c r="E121" s="3" t="s">
        <v>138</v>
      </c>
      <c r="F121" s="3"/>
      <c r="G121" s="3"/>
      <c r="H121" s="20"/>
      <c r="I121" s="20"/>
      <c r="J121" s="20"/>
      <c r="K121" s="20"/>
      <c r="L121" s="20"/>
      <c r="M121" s="20">
        <f>Tabela1[[#This Row],[1ª QZ]]-Tabela1[[#This Row],[SALDO FINAL]]-Tabela1[[#This Row],[SALDO CARTAO]]-Tabela1[[#This Row],[Adiantamento ]]</f>
        <v>0</v>
      </c>
      <c r="N121" s="20">
        <f>Tabela1[[#This Row],[SALDO REEMBOLSAR]]*$N$4</f>
        <v>0</v>
      </c>
      <c r="O121" s="20">
        <v>362.21</v>
      </c>
      <c r="Q121" t="str">
        <f>_xlfn.XLOOKUP(Tabela1[[#This Row],[COLABORADOR]],'STATUS CARTAO'!D:D,'STATUS CARTAO'!G:G)</f>
        <v>Cartão ativo</v>
      </c>
    </row>
    <row r="122" spans="1:17" hidden="1">
      <c r="A122" s="3" t="s">
        <v>315</v>
      </c>
      <c r="B122" s="3" t="s">
        <v>316</v>
      </c>
      <c r="C122" s="5" t="s">
        <v>19</v>
      </c>
      <c r="D122" s="3" t="s">
        <v>74</v>
      </c>
      <c r="E122" s="3" t="s">
        <v>298</v>
      </c>
      <c r="F122" s="3" t="s">
        <v>76</v>
      </c>
      <c r="G122" s="3" t="s">
        <v>40</v>
      </c>
      <c r="H122" s="20">
        <v>0</v>
      </c>
      <c r="I122" s="20">
        <v>895</v>
      </c>
      <c r="J122" s="20">
        <v>800</v>
      </c>
      <c r="K122" s="20">
        <v>697</v>
      </c>
      <c r="L122" s="20"/>
      <c r="M122" s="20">
        <f>Tabela1[[#This Row],[1ª QZ]]-Tabela1[[#This Row],[SALDO FINAL]]-Tabela1[[#This Row],[SALDO CARTAO]]-Tabela1[[#This Row],[Adiantamento ]]</f>
        <v>-792</v>
      </c>
      <c r="N122" s="20">
        <f>Tabela1[[#This Row],[SALDO REEMBOLSAR]]*$N$4</f>
        <v>0</v>
      </c>
      <c r="O122" s="20">
        <v>0</v>
      </c>
      <c r="Q122" t="str">
        <f>_xlfn.XLOOKUP(Tabela1[[#This Row],[COLABORADOR]],'STATUS CARTAO'!D:D,'STATUS CARTAO'!G:G)</f>
        <v>Cartão ativo</v>
      </c>
    </row>
    <row r="123" spans="1:17" hidden="1">
      <c r="A123" s="3" t="s">
        <v>317</v>
      </c>
      <c r="B123" s="3" t="s">
        <v>318</v>
      </c>
      <c r="C123" s="5" t="s">
        <v>19</v>
      </c>
      <c r="D123" s="3" t="s">
        <v>74</v>
      </c>
      <c r="E123" s="3" t="s">
        <v>319</v>
      </c>
      <c r="F123" s="3" t="s">
        <v>76</v>
      </c>
      <c r="G123" s="3" t="s">
        <v>40</v>
      </c>
      <c r="H123" s="20">
        <v>0</v>
      </c>
      <c r="I123" s="20">
        <v>845.67000000005999</v>
      </c>
      <c r="J123" s="20">
        <v>3000</v>
      </c>
      <c r="K123" s="20">
        <v>6.81</v>
      </c>
      <c r="L123" s="20"/>
      <c r="M123" s="20">
        <f>Tabela1[[#This Row],[1ª QZ]]-Tabela1[[#This Row],[SALDO FINAL]]-Tabela1[[#This Row],[SALDO CARTAO]]-Tabela1[[#This Row],[Adiantamento ]]</f>
        <v>2147.51999999994</v>
      </c>
      <c r="N123" s="20">
        <f>Tabela1[[#This Row],[SALDO REEMBOLSAR]]*$N$4</f>
        <v>0</v>
      </c>
      <c r="O123" s="20">
        <v>2147.51999999994</v>
      </c>
      <c r="Q123" t="str">
        <f>_xlfn.XLOOKUP(Tabela1[[#This Row],[COLABORADOR]],'STATUS CARTAO'!D:D,'STATUS CARTAO'!G:G)</f>
        <v>Cartão ativo</v>
      </c>
    </row>
    <row r="124" spans="1:17" hidden="1">
      <c r="A124" s="3" t="s">
        <v>320</v>
      </c>
      <c r="B124" s="3" t="s">
        <v>321</v>
      </c>
      <c r="C124" s="5" t="s">
        <v>19</v>
      </c>
      <c r="D124" s="3" t="s">
        <v>26</v>
      </c>
      <c r="E124" s="3" t="s">
        <v>27</v>
      </c>
      <c r="F124" s="3" t="s">
        <v>28</v>
      </c>
      <c r="G124" s="3" t="s">
        <v>23</v>
      </c>
      <c r="H124" s="20">
        <v>0</v>
      </c>
      <c r="I124" s="20">
        <v>6561.1799999999712</v>
      </c>
      <c r="J124" s="20">
        <v>4000</v>
      </c>
      <c r="K124" s="20">
        <v>4</v>
      </c>
      <c r="L124" s="20"/>
      <c r="M124" s="20">
        <f>Tabela1[[#This Row],[1ª QZ]]-Tabela1[[#This Row],[SALDO FINAL]]-Tabela1[[#This Row],[SALDO CARTAO]]-Tabela1[[#This Row],[Adiantamento ]]</f>
        <v>-2565.1799999999712</v>
      </c>
      <c r="N124" s="20">
        <f>Tabela1[[#This Row],[SALDO REEMBOLSAR]]*$N$4</f>
        <v>0</v>
      </c>
      <c r="O124" s="20">
        <v>0</v>
      </c>
      <c r="Q124" t="str">
        <f>_xlfn.XLOOKUP(Tabela1[[#This Row],[COLABORADOR]],'STATUS CARTAO'!D:D,'STATUS CARTAO'!G:G)</f>
        <v>Cartão ativo</v>
      </c>
    </row>
    <row r="125" spans="1:17" hidden="1">
      <c r="A125" s="3" t="s">
        <v>322</v>
      </c>
      <c r="B125" s="3" t="s">
        <v>323</v>
      </c>
      <c r="C125" s="5" t="s">
        <v>19</v>
      </c>
      <c r="D125" s="3" t="s">
        <v>48</v>
      </c>
      <c r="E125" s="3" t="s">
        <v>49</v>
      </c>
      <c r="F125" s="3" t="s">
        <v>50</v>
      </c>
      <c r="G125" s="3" t="s">
        <v>40</v>
      </c>
      <c r="H125" s="20">
        <v>0</v>
      </c>
      <c r="I125" s="20">
        <v>979.09999999999991</v>
      </c>
      <c r="J125" s="20">
        <v>160</v>
      </c>
      <c r="K125" s="20">
        <v>0</v>
      </c>
      <c r="L125" s="20"/>
      <c r="M125" s="20">
        <f>Tabela1[[#This Row],[1ª QZ]]-Tabela1[[#This Row],[SALDO FINAL]]-Tabela1[[#This Row],[SALDO CARTAO]]-Tabela1[[#This Row],[Adiantamento ]]</f>
        <v>-819.09999999999991</v>
      </c>
      <c r="N125" s="20">
        <f>Tabela1[[#This Row],[SALDO REEMBOLSAR]]*$N$4</f>
        <v>0</v>
      </c>
      <c r="O125" s="20">
        <v>0</v>
      </c>
      <c r="Q125" t="str">
        <f>_xlfn.XLOOKUP(Tabela1[[#This Row],[COLABORADOR]],'STATUS CARTAO'!D:D,'STATUS CARTAO'!G:G)</f>
        <v>Cartão ativo</v>
      </c>
    </row>
    <row r="126" spans="1:17" hidden="1">
      <c r="A126" s="3" t="s">
        <v>324</v>
      </c>
      <c r="B126" s="3" t="s">
        <v>325</v>
      </c>
      <c r="C126" s="5" t="s">
        <v>19</v>
      </c>
      <c r="D126" s="3" t="s">
        <v>74</v>
      </c>
      <c r="E126" s="3" t="s">
        <v>295</v>
      </c>
      <c r="F126" s="3" t="s">
        <v>76</v>
      </c>
      <c r="G126" s="3" t="s">
        <v>40</v>
      </c>
      <c r="H126" s="20">
        <v>0</v>
      </c>
      <c r="I126" s="20">
        <v>1237.5400000000009</v>
      </c>
      <c r="J126" s="20">
        <v>1500</v>
      </c>
      <c r="K126" s="20">
        <v>890.97</v>
      </c>
      <c r="L126" s="20"/>
      <c r="M126" s="20">
        <f>Tabela1[[#This Row],[1ª QZ]]-Tabela1[[#This Row],[SALDO FINAL]]-Tabela1[[#This Row],[SALDO CARTAO]]-Tabela1[[#This Row],[Adiantamento ]]</f>
        <v>-628.5100000000009</v>
      </c>
      <c r="N126" s="20">
        <f>Tabela1[[#This Row],[SALDO REEMBOLSAR]]*$N$4</f>
        <v>0</v>
      </c>
      <c r="O126" s="20">
        <v>0</v>
      </c>
      <c r="Q126" t="str">
        <f>_xlfn.XLOOKUP(Tabela1[[#This Row],[COLABORADOR]],'STATUS CARTAO'!D:D,'STATUS CARTAO'!G:G)</f>
        <v>Cartão ativo</v>
      </c>
    </row>
    <row r="127" spans="1:17" hidden="1">
      <c r="A127" s="3" t="s">
        <v>324</v>
      </c>
      <c r="B127" s="3" t="s">
        <v>325</v>
      </c>
      <c r="C127" s="5"/>
      <c r="D127" s="3" t="s">
        <v>74</v>
      </c>
      <c r="E127" s="3" t="s">
        <v>295</v>
      </c>
      <c r="F127" s="3"/>
      <c r="G127" s="3"/>
      <c r="H127" s="20"/>
      <c r="I127" s="20"/>
      <c r="J127" s="20"/>
      <c r="K127" s="20"/>
      <c r="L127" s="20"/>
      <c r="M127" s="20">
        <f>Tabela1[[#This Row],[1ª QZ]]-Tabela1[[#This Row],[SALDO FINAL]]-Tabela1[[#This Row],[SALDO CARTAO]]-Tabela1[[#This Row],[Adiantamento ]]</f>
        <v>0</v>
      </c>
      <c r="N127" s="20">
        <f>Tabela1[[#This Row],[SALDO REEMBOLSAR]]*$N$4</f>
        <v>0</v>
      </c>
      <c r="O127" s="20">
        <v>262.45999999999913</v>
      </c>
      <c r="Q127" t="str">
        <f>_xlfn.XLOOKUP(Tabela1[[#This Row],[COLABORADOR]],'STATUS CARTAO'!D:D,'STATUS CARTAO'!G:G)</f>
        <v>Cartão ativo</v>
      </c>
    </row>
    <row r="128" spans="1:17" hidden="1">
      <c r="A128" s="3" t="s">
        <v>326</v>
      </c>
      <c r="B128" s="3" t="s">
        <v>327</v>
      </c>
      <c r="C128" s="5" t="s">
        <v>19</v>
      </c>
      <c r="D128" s="3" t="s">
        <v>96</v>
      </c>
      <c r="E128" s="3" t="s">
        <v>328</v>
      </c>
      <c r="F128" s="3" t="s">
        <v>98</v>
      </c>
      <c r="G128" s="3" t="s">
        <v>23</v>
      </c>
      <c r="H128" s="20">
        <v>0</v>
      </c>
      <c r="I128" s="20">
        <v>747.96999999999935</v>
      </c>
      <c r="J128" s="20">
        <v>2000</v>
      </c>
      <c r="K128" s="20">
        <v>6000</v>
      </c>
      <c r="L128" s="20"/>
      <c r="M128" s="20">
        <f>Tabela1[[#This Row],[1ª QZ]]-Tabela1[[#This Row],[SALDO FINAL]]-Tabela1[[#This Row],[SALDO CARTAO]]-Tabela1[[#This Row],[Adiantamento ]]</f>
        <v>-4747.9699999999993</v>
      </c>
      <c r="N128" s="20">
        <f>Tabela1[[#This Row],[SALDO REEMBOLSAR]]*$N$4</f>
        <v>0</v>
      </c>
      <c r="O128" s="20">
        <v>0</v>
      </c>
      <c r="Q128" t="str">
        <f>_xlfn.XLOOKUP(Tabela1[[#This Row],[COLABORADOR]],'STATUS CARTAO'!D:D,'STATUS CARTAO'!G:G)</f>
        <v>Cartão ativo</v>
      </c>
    </row>
    <row r="129" spans="1:17" hidden="1">
      <c r="A129" s="3" t="s">
        <v>329</v>
      </c>
      <c r="B129" s="3" t="s">
        <v>330</v>
      </c>
      <c r="C129" s="5" t="s">
        <v>19</v>
      </c>
      <c r="D129" s="3" t="s">
        <v>43</v>
      </c>
      <c r="E129" s="3" t="s">
        <v>331</v>
      </c>
      <c r="F129" s="3" t="s">
        <v>45</v>
      </c>
      <c r="G129" s="3" t="s">
        <v>40</v>
      </c>
      <c r="H129" s="20">
        <v>0</v>
      </c>
      <c r="I129" s="20">
        <v>1482.4599999998973</v>
      </c>
      <c r="J129" s="20">
        <v>2800</v>
      </c>
      <c r="K129" s="20">
        <v>29</v>
      </c>
      <c r="L129" s="20"/>
      <c r="M129" s="20">
        <f>Tabela1[[#This Row],[1ª QZ]]-Tabela1[[#This Row],[SALDO FINAL]]-Tabela1[[#This Row],[SALDO CARTAO]]-Tabela1[[#This Row],[Adiantamento ]]</f>
        <v>1288.5400000001027</v>
      </c>
      <c r="N129" s="20">
        <f>Tabela1[[#This Row],[SALDO REEMBOLSAR]]*$N$4</f>
        <v>0</v>
      </c>
      <c r="O129" s="20">
        <v>1288.5400000001027</v>
      </c>
      <c r="Q129" t="str">
        <f>_xlfn.XLOOKUP(Tabela1[[#This Row],[COLABORADOR]],'STATUS CARTAO'!D:D,'STATUS CARTAO'!G:G)</f>
        <v>Cartão ativo</v>
      </c>
    </row>
    <row r="130" spans="1:17" hidden="1">
      <c r="A130" s="3" t="s">
        <v>332</v>
      </c>
      <c r="B130" s="3" t="s">
        <v>333</v>
      </c>
      <c r="C130" s="5" t="s">
        <v>19</v>
      </c>
      <c r="D130" s="3" t="s">
        <v>74</v>
      </c>
      <c r="E130" s="3" t="s">
        <v>334</v>
      </c>
      <c r="F130" s="3" t="s">
        <v>76</v>
      </c>
      <c r="G130" s="3" t="s">
        <v>40</v>
      </c>
      <c r="H130" s="20">
        <v>0</v>
      </c>
      <c r="I130" s="20">
        <v>1025.8000000000029</v>
      </c>
      <c r="J130" s="20">
        <v>1000</v>
      </c>
      <c r="K130" s="20">
        <v>283.33</v>
      </c>
      <c r="L130" s="20">
        <v>638.16</v>
      </c>
      <c r="M130" s="20">
        <f>Tabela1[[#This Row],[1ª QZ]]-Tabela1[[#This Row],[SALDO FINAL]]-Tabela1[[#This Row],[SALDO CARTAO]]-Tabela1[[#This Row],[Adiantamento ]]</f>
        <v>-947.29000000000292</v>
      </c>
      <c r="N130" s="20">
        <f>Tabela1[[#This Row],[SALDO REEMBOLSAR]]*$N$4</f>
        <v>0</v>
      </c>
      <c r="O130" s="20">
        <v>0</v>
      </c>
      <c r="Q130" t="str">
        <f>_xlfn.XLOOKUP(Tabela1[[#This Row],[COLABORADOR]],'STATUS CARTAO'!D:D,'STATUS CARTAO'!G:G)</f>
        <v>Cartão ativo</v>
      </c>
    </row>
    <row r="131" spans="1:17" hidden="1">
      <c r="A131" s="3" t="s">
        <v>335</v>
      </c>
      <c r="B131" s="3" t="s">
        <v>336</v>
      </c>
      <c r="C131" s="5" t="s">
        <v>19</v>
      </c>
      <c r="D131" s="3" t="s">
        <v>37</v>
      </c>
      <c r="E131" s="3" t="s">
        <v>79</v>
      </c>
      <c r="F131" s="3" t="s">
        <v>39</v>
      </c>
      <c r="G131" s="3" t="s">
        <v>40</v>
      </c>
      <c r="H131" s="20">
        <v>0</v>
      </c>
      <c r="I131" s="20">
        <v>2038.8999999999999</v>
      </c>
      <c r="J131" s="20">
        <v>2000</v>
      </c>
      <c r="K131" s="20">
        <v>619.59</v>
      </c>
      <c r="L131" s="20"/>
      <c r="M131" s="20">
        <f>Tabela1[[#This Row],[1ª QZ]]-Tabela1[[#This Row],[SALDO FINAL]]-Tabela1[[#This Row],[SALDO CARTAO]]-Tabela1[[#This Row],[Adiantamento ]]</f>
        <v>-658.4899999999999</v>
      </c>
      <c r="N131" s="20">
        <f>Tabela1[[#This Row],[SALDO REEMBOLSAR]]*$N$4</f>
        <v>0</v>
      </c>
      <c r="O131" s="20">
        <v>0</v>
      </c>
      <c r="Q131" t="str">
        <f>_xlfn.XLOOKUP(Tabela1[[#This Row],[COLABORADOR]],'STATUS CARTAO'!D:D,'STATUS CARTAO'!G:G)</f>
        <v>Cartão ativo</v>
      </c>
    </row>
    <row r="132" spans="1:17" hidden="1">
      <c r="A132" s="3" t="s">
        <v>337</v>
      </c>
      <c r="B132" s="3" t="s">
        <v>338</v>
      </c>
      <c r="C132" s="5" t="s">
        <v>19</v>
      </c>
      <c r="D132" s="3" t="s">
        <v>74</v>
      </c>
      <c r="E132" s="3" t="s">
        <v>339</v>
      </c>
      <c r="F132" s="3" t="s">
        <v>76</v>
      </c>
      <c r="G132" s="3" t="s">
        <v>40</v>
      </c>
      <c r="H132" s="20">
        <v>0</v>
      </c>
      <c r="I132" s="20">
        <v>5672.57</v>
      </c>
      <c r="J132" s="20">
        <v>1500</v>
      </c>
      <c r="K132" s="20">
        <v>67.67</v>
      </c>
      <c r="L132" s="20"/>
      <c r="M132" s="20">
        <f>Tabela1[[#This Row],[1ª QZ]]-Tabela1[[#This Row],[SALDO FINAL]]-Tabela1[[#This Row],[SALDO CARTAO]]-Tabela1[[#This Row],[Adiantamento ]]</f>
        <v>-4240.24</v>
      </c>
      <c r="N132" s="20">
        <f>Tabela1[[#This Row],[SALDO REEMBOLSAR]]*$N$4</f>
        <v>0</v>
      </c>
      <c r="O132" s="20">
        <v>0</v>
      </c>
      <c r="Q132" t="str">
        <f>_xlfn.XLOOKUP(Tabela1[[#This Row],[COLABORADOR]],'STATUS CARTAO'!D:D,'STATUS CARTAO'!G:G)</f>
        <v>Cartão ativo</v>
      </c>
    </row>
    <row r="133" spans="1:17" hidden="1">
      <c r="A133" s="3" t="s">
        <v>340</v>
      </c>
      <c r="B133" s="3" t="s">
        <v>341</v>
      </c>
      <c r="C133" s="5" t="s">
        <v>19</v>
      </c>
      <c r="D133" s="3" t="s">
        <v>43</v>
      </c>
      <c r="E133" s="3" t="s">
        <v>342</v>
      </c>
      <c r="F133" s="3" t="s">
        <v>45</v>
      </c>
      <c r="G133" s="3" t="s">
        <v>40</v>
      </c>
      <c r="H133" s="20">
        <v>0</v>
      </c>
      <c r="I133" s="20">
        <v>1773.9499999999389</v>
      </c>
      <c r="J133" s="20">
        <v>2800</v>
      </c>
      <c r="K133" s="20">
        <v>0</v>
      </c>
      <c r="L133" s="20"/>
      <c r="M133" s="20">
        <f>Tabela1[[#This Row],[1ª QZ]]-Tabela1[[#This Row],[SALDO FINAL]]-Tabela1[[#This Row],[SALDO CARTAO]]-Tabela1[[#This Row],[Adiantamento ]]</f>
        <v>1026.0500000000611</v>
      </c>
      <c r="N133" s="20">
        <f>Tabela1[[#This Row],[SALDO REEMBOLSAR]]*$N$4</f>
        <v>0</v>
      </c>
      <c r="O133" s="20">
        <v>1026.0500000000611</v>
      </c>
      <c r="Q133" t="str">
        <f>_xlfn.XLOOKUP(Tabela1[[#This Row],[COLABORADOR]],'STATUS CARTAO'!D:D,'STATUS CARTAO'!G:G)</f>
        <v>Cartão ativo</v>
      </c>
    </row>
    <row r="134" spans="1:17" hidden="1">
      <c r="A134" s="3" t="s">
        <v>343</v>
      </c>
      <c r="B134" s="3" t="s">
        <v>344</v>
      </c>
      <c r="C134" s="5" t="s">
        <v>19</v>
      </c>
      <c r="D134" s="3" t="s">
        <v>37</v>
      </c>
      <c r="E134" s="3" t="s">
        <v>219</v>
      </c>
      <c r="F134" s="3" t="s">
        <v>39</v>
      </c>
      <c r="G134" s="3" t="s">
        <v>40</v>
      </c>
      <c r="H134" s="20">
        <v>0</v>
      </c>
      <c r="I134" s="20">
        <v>238.97000000000526</v>
      </c>
      <c r="J134" s="20">
        <v>250</v>
      </c>
      <c r="K134" s="20">
        <v>205.6</v>
      </c>
      <c r="L134" s="20"/>
      <c r="M134" s="20">
        <f>Tabela1[[#This Row],[1ª QZ]]-Tabela1[[#This Row],[SALDO FINAL]]-Tabela1[[#This Row],[SALDO CARTAO]]-Tabela1[[#This Row],[Adiantamento ]]</f>
        <v>-194.57000000000525</v>
      </c>
      <c r="N134" s="20">
        <f>Tabela1[[#This Row],[SALDO REEMBOLSAR]]*$N$4</f>
        <v>0</v>
      </c>
      <c r="O134" s="20">
        <v>0</v>
      </c>
      <c r="Q134" t="str">
        <f>_xlfn.XLOOKUP(Tabela1[[#This Row],[COLABORADOR]],'STATUS CARTAO'!D:D,'STATUS CARTAO'!G:G)</f>
        <v>Cartão ativo</v>
      </c>
    </row>
    <row r="135" spans="1:17" hidden="1">
      <c r="A135" s="3" t="s">
        <v>345</v>
      </c>
      <c r="B135" s="3" t="s">
        <v>346</v>
      </c>
      <c r="C135" s="5" t="s">
        <v>19</v>
      </c>
      <c r="D135" s="3" t="s">
        <v>37</v>
      </c>
      <c r="E135" s="3" t="s">
        <v>347</v>
      </c>
      <c r="F135" s="3" t="s">
        <v>39</v>
      </c>
      <c r="G135" s="3" t="s">
        <v>40</v>
      </c>
      <c r="H135" s="20">
        <v>0</v>
      </c>
      <c r="I135" s="20">
        <v>2100.8100000000159</v>
      </c>
      <c r="J135" s="20">
        <v>3500</v>
      </c>
      <c r="K135" s="20">
        <v>24.02</v>
      </c>
      <c r="L135" s="20"/>
      <c r="M135" s="20">
        <f>Tabela1[[#This Row],[1ª QZ]]-Tabela1[[#This Row],[SALDO FINAL]]-Tabela1[[#This Row],[SALDO CARTAO]]-Tabela1[[#This Row],[Adiantamento ]]</f>
        <v>1375.1699999999842</v>
      </c>
      <c r="N135" s="20">
        <f>Tabela1[[#This Row],[SALDO REEMBOLSAR]]*$N$4</f>
        <v>0</v>
      </c>
      <c r="O135" s="20">
        <v>1375.1699999999842</v>
      </c>
      <c r="Q135" t="str">
        <f>_xlfn.XLOOKUP(Tabela1[[#This Row],[COLABORADOR]],'STATUS CARTAO'!D:D,'STATUS CARTAO'!G:G)</f>
        <v>Cartão ativo</v>
      </c>
    </row>
    <row r="136" spans="1:17" hidden="1">
      <c r="A136" s="3" t="s">
        <v>345</v>
      </c>
      <c r="B136" s="3" t="s">
        <v>346</v>
      </c>
      <c r="C136" s="5"/>
      <c r="D136" s="3" t="s">
        <v>37</v>
      </c>
      <c r="E136" s="3" t="s">
        <v>347</v>
      </c>
      <c r="F136" s="3"/>
      <c r="G136" s="3"/>
      <c r="H136" s="20"/>
      <c r="I136" s="20"/>
      <c r="J136" s="20"/>
      <c r="K136" s="20"/>
      <c r="L136" s="20"/>
      <c r="M136" s="20">
        <f>Tabela1[[#This Row],[1ª QZ]]-Tabela1[[#This Row],[SALDO FINAL]]-Tabela1[[#This Row],[SALDO CARTAO]]-Tabela1[[#This Row],[Adiantamento ]]</f>
        <v>0</v>
      </c>
      <c r="N136" s="20">
        <f>Tabela1[[#This Row],[SALDO REEMBOLSAR]]*$N$4</f>
        <v>0</v>
      </c>
      <c r="O136" s="20">
        <v>668.02</v>
      </c>
      <c r="Q136" t="str">
        <f>_xlfn.XLOOKUP(Tabela1[[#This Row],[COLABORADOR]],'STATUS CARTAO'!D:D,'STATUS CARTAO'!G:G)</f>
        <v>Cartão ativo</v>
      </c>
    </row>
    <row r="137" spans="1:17" hidden="1">
      <c r="A137" s="3" t="s">
        <v>348</v>
      </c>
      <c r="B137" s="3" t="s">
        <v>349</v>
      </c>
      <c r="C137" s="5" t="s">
        <v>19</v>
      </c>
      <c r="D137" s="3" t="s">
        <v>59</v>
      </c>
      <c r="E137" s="3" t="s">
        <v>60</v>
      </c>
      <c r="F137" s="3" t="s">
        <v>61</v>
      </c>
      <c r="G137" s="3" t="s">
        <v>23</v>
      </c>
      <c r="H137" s="20">
        <v>0</v>
      </c>
      <c r="I137" s="20">
        <v>4878.859999999986</v>
      </c>
      <c r="J137" s="20">
        <v>2000</v>
      </c>
      <c r="K137" s="20">
        <v>42.82</v>
      </c>
      <c r="L137" s="20"/>
      <c r="M137" s="20">
        <f>Tabela1[[#This Row],[1ª QZ]]-Tabela1[[#This Row],[SALDO FINAL]]-Tabela1[[#This Row],[SALDO CARTAO]]-Tabela1[[#This Row],[Adiantamento ]]</f>
        <v>-2921.6799999999862</v>
      </c>
      <c r="N137" s="20">
        <f>Tabela1[[#This Row],[SALDO REEMBOLSAR]]*$N$4</f>
        <v>0</v>
      </c>
      <c r="O137" s="20">
        <v>0</v>
      </c>
      <c r="Q137" t="str">
        <f>_xlfn.XLOOKUP(Tabela1[[#This Row],[COLABORADOR]],'STATUS CARTAO'!D:D,'STATUS CARTAO'!G:G)</f>
        <v>Cartão ativo</v>
      </c>
    </row>
    <row r="138" spans="1:17" hidden="1">
      <c r="A138" s="3" t="s">
        <v>350</v>
      </c>
      <c r="B138" s="3" t="s">
        <v>351</v>
      </c>
      <c r="C138" s="5" t="s">
        <v>19</v>
      </c>
      <c r="D138" s="3" t="s">
        <v>20</v>
      </c>
      <c r="E138" s="3" t="s">
        <v>352</v>
      </c>
      <c r="F138" s="3" t="s">
        <v>22</v>
      </c>
      <c r="G138" s="3" t="s">
        <v>23</v>
      </c>
      <c r="H138" s="20">
        <v>0</v>
      </c>
      <c r="I138" s="20">
        <v>9180.3099999999977</v>
      </c>
      <c r="J138" s="20">
        <v>2500</v>
      </c>
      <c r="K138" s="20">
        <v>37.21</v>
      </c>
      <c r="L138" s="20"/>
      <c r="M138" s="20">
        <f>Tabela1[[#This Row],[1ª QZ]]-Tabela1[[#This Row],[SALDO FINAL]]-Tabela1[[#This Row],[SALDO CARTAO]]-Tabela1[[#This Row],[Adiantamento ]]</f>
        <v>-6717.5199999999977</v>
      </c>
      <c r="N138" s="20">
        <f>Tabela1[[#This Row],[SALDO REEMBOLSAR]]*$N$4</f>
        <v>0</v>
      </c>
      <c r="O138" s="20">
        <v>0</v>
      </c>
      <c r="Q138" t="str">
        <f>_xlfn.XLOOKUP(Tabela1[[#This Row],[COLABORADOR]],'STATUS CARTAO'!D:D,'STATUS CARTAO'!G:G)</f>
        <v>Cartão ativo</v>
      </c>
    </row>
    <row r="139" spans="1:17" hidden="1">
      <c r="A139" s="3" t="s">
        <v>353</v>
      </c>
      <c r="B139" s="3" t="s">
        <v>354</v>
      </c>
      <c r="C139" s="5" t="s">
        <v>19</v>
      </c>
      <c r="D139" s="3" t="s">
        <v>20</v>
      </c>
      <c r="E139" s="3" t="s">
        <v>193</v>
      </c>
      <c r="F139" s="3" t="s">
        <v>22</v>
      </c>
      <c r="G139" s="3" t="s">
        <v>23</v>
      </c>
      <c r="H139" s="20">
        <v>0</v>
      </c>
      <c r="I139" s="20">
        <v>996.14999999999418</v>
      </c>
      <c r="J139" s="20">
        <v>3200</v>
      </c>
      <c r="K139" s="20">
        <v>7.3</v>
      </c>
      <c r="L139" s="20"/>
      <c r="M139" s="20">
        <f>Tabela1[[#This Row],[1ª QZ]]-Tabela1[[#This Row],[SALDO FINAL]]-Tabela1[[#This Row],[SALDO CARTAO]]-Tabela1[[#This Row],[Adiantamento ]]</f>
        <v>2196.5500000000056</v>
      </c>
      <c r="N139" s="20">
        <f>Tabela1[[#This Row],[SALDO REEMBOLSAR]]*$N$4</f>
        <v>0</v>
      </c>
      <c r="O139" s="20">
        <v>2196.5500000000056</v>
      </c>
      <c r="Q139" t="str">
        <f>_xlfn.XLOOKUP(Tabela1[[#This Row],[COLABORADOR]],'STATUS CARTAO'!D:D,'STATUS CARTAO'!G:G)</f>
        <v>Cartão ativo</v>
      </c>
    </row>
    <row r="140" spans="1:17" hidden="1">
      <c r="A140" s="3" t="s">
        <v>355</v>
      </c>
      <c r="B140" s="3" t="s">
        <v>356</v>
      </c>
      <c r="C140" s="5" t="s">
        <v>19</v>
      </c>
      <c r="D140" s="3" t="s">
        <v>96</v>
      </c>
      <c r="E140" s="3" t="s">
        <v>357</v>
      </c>
      <c r="F140" s="3" t="s">
        <v>98</v>
      </c>
      <c r="G140" s="3" t="s">
        <v>23</v>
      </c>
      <c r="H140" s="20">
        <v>0</v>
      </c>
      <c r="I140" s="20">
        <v>1380</v>
      </c>
      <c r="J140" s="20">
        <v>2000</v>
      </c>
      <c r="K140" s="20">
        <v>1480</v>
      </c>
      <c r="L140" s="20"/>
      <c r="M140" s="20">
        <f>Tabela1[[#This Row],[1ª QZ]]-Tabela1[[#This Row],[SALDO FINAL]]-Tabela1[[#This Row],[SALDO CARTAO]]-Tabela1[[#This Row],[Adiantamento ]]</f>
        <v>-860</v>
      </c>
      <c r="N140" s="20">
        <f>Tabela1[[#This Row],[SALDO REEMBOLSAR]]*$N$4</f>
        <v>0</v>
      </c>
      <c r="O140" s="20">
        <v>0</v>
      </c>
      <c r="Q140" t="str">
        <f>_xlfn.XLOOKUP(Tabela1[[#This Row],[COLABORADOR]],'STATUS CARTAO'!D:D,'STATUS CARTAO'!G:G)</f>
        <v>Cartão ativo</v>
      </c>
    </row>
    <row r="141" spans="1:17" hidden="1">
      <c r="A141" s="3" t="s">
        <v>355</v>
      </c>
      <c r="B141" s="3" t="s">
        <v>356</v>
      </c>
      <c r="C141" s="5"/>
      <c r="D141" s="3" t="s">
        <v>96</v>
      </c>
      <c r="E141" s="3" t="s">
        <v>357</v>
      </c>
      <c r="F141" s="3"/>
      <c r="G141" s="3"/>
      <c r="H141" s="20"/>
      <c r="I141" s="20"/>
      <c r="J141" s="20"/>
      <c r="K141" s="20"/>
      <c r="L141" s="20"/>
      <c r="M141" s="20">
        <f>Tabela1[[#This Row],[1ª QZ]]-Tabela1[[#This Row],[SALDO FINAL]]-Tabela1[[#This Row],[SALDO CARTAO]]-Tabela1[[#This Row],[Adiantamento ]]</f>
        <v>0</v>
      </c>
      <c r="N141" s="20">
        <f>Tabela1[[#This Row],[SALDO REEMBOLSAR]]*$N$4</f>
        <v>0</v>
      </c>
      <c r="O141" s="20">
        <v>520</v>
      </c>
      <c r="Q141" t="str">
        <f>_xlfn.XLOOKUP(Tabela1[[#This Row],[COLABORADOR]],'STATUS CARTAO'!D:D,'STATUS CARTAO'!G:G)</f>
        <v>Cartão ativo</v>
      </c>
    </row>
    <row r="142" spans="1:17" hidden="1">
      <c r="A142" s="3" t="s">
        <v>358</v>
      </c>
      <c r="B142" s="3" t="s">
        <v>359</v>
      </c>
      <c r="C142" s="5" t="s">
        <v>19</v>
      </c>
      <c r="D142" s="3" t="s">
        <v>20</v>
      </c>
      <c r="E142" s="3" t="s">
        <v>360</v>
      </c>
      <c r="F142" s="3" t="s">
        <v>22</v>
      </c>
      <c r="G142" s="3" t="s">
        <v>23</v>
      </c>
      <c r="H142" s="20">
        <v>0</v>
      </c>
      <c r="I142" s="20">
        <v>6063.2299999999668</v>
      </c>
      <c r="J142" s="20">
        <v>5700</v>
      </c>
      <c r="K142" s="20">
        <v>93</v>
      </c>
      <c r="L142" s="20"/>
      <c r="M142" s="20">
        <f>Tabela1[[#This Row],[1ª QZ]]-Tabela1[[#This Row],[SALDO FINAL]]-Tabela1[[#This Row],[SALDO CARTAO]]-Tabela1[[#This Row],[Adiantamento ]]</f>
        <v>-456.22999999996682</v>
      </c>
      <c r="N142" s="20">
        <f>Tabela1[[#This Row],[SALDO REEMBOLSAR]]*$N$4</f>
        <v>0</v>
      </c>
      <c r="O142" s="20">
        <v>0</v>
      </c>
      <c r="Q142" t="str">
        <f>_xlfn.XLOOKUP(Tabela1[[#This Row],[COLABORADOR]],'STATUS CARTAO'!D:D,'STATUS CARTAO'!G:G)</f>
        <v>Cartão ativo</v>
      </c>
    </row>
    <row r="143" spans="1:17" hidden="1">
      <c r="A143" s="3" t="s">
        <v>358</v>
      </c>
      <c r="B143" s="3" t="s">
        <v>359</v>
      </c>
      <c r="C143" s="5"/>
      <c r="D143" s="3" t="s">
        <v>20</v>
      </c>
      <c r="E143" s="3" t="s">
        <v>360</v>
      </c>
      <c r="F143" s="3"/>
      <c r="G143" s="3"/>
      <c r="H143" s="20"/>
      <c r="I143" s="20"/>
      <c r="J143" s="20"/>
      <c r="K143" s="20"/>
      <c r="L143" s="20"/>
      <c r="M143" s="20">
        <f>Tabela1[[#This Row],[1ª QZ]]-Tabela1[[#This Row],[SALDO FINAL]]-Tabela1[[#This Row],[SALDO CARTAO]]-Tabela1[[#This Row],[Adiantamento ]]</f>
        <v>0</v>
      </c>
      <c r="N143" s="20">
        <f>Tabela1[[#This Row],[SALDO REEMBOLSAR]]*$N$4</f>
        <v>0</v>
      </c>
      <c r="O143" s="20">
        <v>3436.7700000000332</v>
      </c>
      <c r="Q143" t="str">
        <f>_xlfn.XLOOKUP(Tabela1[[#This Row],[COLABORADOR]],'STATUS CARTAO'!D:D,'STATUS CARTAO'!G:G)</f>
        <v>Cartão ativo</v>
      </c>
    </row>
    <row r="144" spans="1:17" hidden="1">
      <c r="A144" s="3" t="s">
        <v>361</v>
      </c>
      <c r="B144" s="3" t="s">
        <v>362</v>
      </c>
      <c r="C144" s="5" t="s">
        <v>19</v>
      </c>
      <c r="D144" s="3" t="s">
        <v>43</v>
      </c>
      <c r="E144" s="3" t="s">
        <v>82</v>
      </c>
      <c r="F144" s="3" t="s">
        <v>45</v>
      </c>
      <c r="G144" s="3" t="s">
        <v>40</v>
      </c>
      <c r="H144" s="20">
        <v>0</v>
      </c>
      <c r="I144" s="20">
        <v>1580</v>
      </c>
      <c r="J144" s="20">
        <v>120</v>
      </c>
      <c r="K144" s="20">
        <v>0</v>
      </c>
      <c r="L144" s="20"/>
      <c r="M144" s="20">
        <f>Tabela1[[#This Row],[1ª QZ]]-Tabela1[[#This Row],[SALDO FINAL]]-Tabela1[[#This Row],[SALDO CARTAO]]-Tabela1[[#This Row],[Adiantamento ]]</f>
        <v>-1460</v>
      </c>
      <c r="N144" s="20">
        <f>Tabela1[[#This Row],[SALDO REEMBOLSAR]]*$N$4</f>
        <v>0</v>
      </c>
      <c r="O144" s="20">
        <v>0</v>
      </c>
      <c r="Q144" t="str">
        <f>_xlfn.XLOOKUP(Tabela1[[#This Row],[COLABORADOR]],'STATUS CARTAO'!D:D,'STATUS CARTAO'!G:G)</f>
        <v>Cartão ativo</v>
      </c>
    </row>
    <row r="145" spans="1:17" hidden="1">
      <c r="A145" s="3" t="s">
        <v>363</v>
      </c>
      <c r="B145" s="3" t="s">
        <v>364</v>
      </c>
      <c r="C145" s="5" t="s">
        <v>19</v>
      </c>
      <c r="D145" s="3" t="s">
        <v>20</v>
      </c>
      <c r="E145" s="3" t="s">
        <v>21</v>
      </c>
      <c r="F145" s="3" t="s">
        <v>22</v>
      </c>
      <c r="G145" s="3" t="s">
        <v>23</v>
      </c>
      <c r="H145" s="20">
        <v>0</v>
      </c>
      <c r="I145" s="20">
        <v>1390.4399999999951</v>
      </c>
      <c r="J145" s="20">
        <v>4000</v>
      </c>
      <c r="K145" s="20">
        <v>0</v>
      </c>
      <c r="L145" s="20"/>
      <c r="M145" s="20">
        <f>Tabela1[[#This Row],[1ª QZ]]-Tabela1[[#This Row],[SALDO FINAL]]-Tabela1[[#This Row],[SALDO CARTAO]]-Tabela1[[#This Row],[Adiantamento ]]</f>
        <v>2609.5600000000049</v>
      </c>
      <c r="N145" s="20">
        <f>Tabela1[[#This Row],[SALDO REEMBOLSAR]]*$N$4</f>
        <v>0</v>
      </c>
      <c r="O145" s="20">
        <v>2609.5600000000049</v>
      </c>
      <c r="Q145" t="str">
        <f>_xlfn.XLOOKUP(Tabela1[[#This Row],[COLABORADOR]],'STATUS CARTAO'!D:D,'STATUS CARTAO'!G:G)</f>
        <v>Cartão ativo</v>
      </c>
    </row>
    <row r="146" spans="1:17" hidden="1">
      <c r="A146" s="3" t="s">
        <v>363</v>
      </c>
      <c r="B146" s="3" t="s">
        <v>364</v>
      </c>
      <c r="C146" s="5"/>
      <c r="D146" s="3" t="s">
        <v>20</v>
      </c>
      <c r="E146" s="3" t="s">
        <v>21</v>
      </c>
      <c r="F146" s="3"/>
      <c r="G146" s="3"/>
      <c r="H146" s="20"/>
      <c r="I146" s="20"/>
      <c r="J146" s="20"/>
      <c r="K146" s="20"/>
      <c r="L146" s="20"/>
      <c r="M146" s="20">
        <f>Tabela1[[#This Row],[1ª QZ]]-Tabela1[[#This Row],[SALDO FINAL]]-Tabela1[[#This Row],[SALDO CARTAO]]-Tabela1[[#This Row],[Adiantamento ]]</f>
        <v>0</v>
      </c>
      <c r="N146" s="20">
        <f>Tabela1[[#This Row],[SALDO REEMBOLSAR]]*$N$4</f>
        <v>0</v>
      </c>
      <c r="O146" s="20">
        <v>1000</v>
      </c>
      <c r="Q146" t="str">
        <f>_xlfn.XLOOKUP(Tabela1[[#This Row],[COLABORADOR]],'STATUS CARTAO'!D:D,'STATUS CARTAO'!G:G)</f>
        <v>Cartão ativo</v>
      </c>
    </row>
    <row r="147" spans="1:17" hidden="1">
      <c r="A147" s="3" t="s">
        <v>365</v>
      </c>
      <c r="B147" s="3" t="s">
        <v>366</v>
      </c>
      <c r="C147" s="5" t="s">
        <v>19</v>
      </c>
      <c r="D147" s="3" t="s">
        <v>59</v>
      </c>
      <c r="E147" s="3" t="s">
        <v>60</v>
      </c>
      <c r="F147" s="3" t="s">
        <v>61</v>
      </c>
      <c r="G147" s="3" t="s">
        <v>23</v>
      </c>
      <c r="H147" s="20">
        <v>0</v>
      </c>
      <c r="I147" s="20">
        <v>1390.4999999999964</v>
      </c>
      <c r="J147" s="20">
        <v>1000</v>
      </c>
      <c r="K147" s="20">
        <v>12.21</v>
      </c>
      <c r="L147" s="20"/>
      <c r="M147" s="20">
        <f>Tabela1[[#This Row],[1ª QZ]]-Tabela1[[#This Row],[SALDO FINAL]]-Tabela1[[#This Row],[SALDO CARTAO]]-Tabela1[[#This Row],[Adiantamento ]]</f>
        <v>-402.70999999999634</v>
      </c>
      <c r="N147" s="20">
        <f>Tabela1[[#This Row],[SALDO REEMBOLSAR]]*$N$4</f>
        <v>0</v>
      </c>
      <c r="O147" s="20">
        <v>0</v>
      </c>
      <c r="Q147" t="str">
        <f>_xlfn.XLOOKUP(Tabela1[[#This Row],[COLABORADOR]],'STATUS CARTAO'!D:D,'STATUS CARTAO'!G:G)</f>
        <v>Cartão ativo</v>
      </c>
    </row>
    <row r="148" spans="1:17" hidden="1">
      <c r="A148" s="3" t="s">
        <v>367</v>
      </c>
      <c r="B148" s="3" t="s">
        <v>368</v>
      </c>
      <c r="C148" s="5" t="s">
        <v>19</v>
      </c>
      <c r="D148" s="3" t="s">
        <v>37</v>
      </c>
      <c r="E148" s="3" t="s">
        <v>138</v>
      </c>
      <c r="F148" s="3" t="s">
        <v>39</v>
      </c>
      <c r="G148" s="3" t="s">
        <v>40</v>
      </c>
      <c r="H148" s="20">
        <v>0</v>
      </c>
      <c r="I148" s="20">
        <v>282.82000000000335</v>
      </c>
      <c r="J148" s="20">
        <v>800</v>
      </c>
      <c r="K148" s="20">
        <v>131.09</v>
      </c>
      <c r="L148" s="20"/>
      <c r="M148" s="20">
        <f>Tabela1[[#This Row],[1ª QZ]]-Tabela1[[#This Row],[SALDO FINAL]]-Tabela1[[#This Row],[SALDO CARTAO]]-Tabela1[[#This Row],[Adiantamento ]]</f>
        <v>386.08999999999662</v>
      </c>
      <c r="N148" s="20">
        <f>Tabela1[[#This Row],[SALDO REEMBOLSAR]]*$N$4</f>
        <v>0</v>
      </c>
      <c r="O148" s="20">
        <v>386.08999999999662</v>
      </c>
      <c r="Q148" t="str">
        <f>_xlfn.XLOOKUP(Tabela1[[#This Row],[COLABORADOR]],'STATUS CARTAO'!D:D,'STATUS CARTAO'!G:G)</f>
        <v>Cartão ativo</v>
      </c>
    </row>
    <row r="149" spans="1:17" hidden="1">
      <c r="A149" s="3" t="s">
        <v>367</v>
      </c>
      <c r="B149" s="3" t="s">
        <v>368</v>
      </c>
      <c r="C149" s="5"/>
      <c r="D149" s="3" t="s">
        <v>37</v>
      </c>
      <c r="E149" s="3" t="s">
        <v>138</v>
      </c>
      <c r="F149" s="3"/>
      <c r="G149" s="3"/>
      <c r="H149" s="20"/>
      <c r="I149" s="20"/>
      <c r="J149" s="20"/>
      <c r="K149" s="20"/>
      <c r="L149" s="20"/>
      <c r="M149" s="20">
        <f>Tabela1[[#This Row],[1ª QZ]]-Tabela1[[#This Row],[SALDO FINAL]]-Tabela1[[#This Row],[SALDO CARTAO]]-Tabela1[[#This Row],[Adiantamento ]]</f>
        <v>0</v>
      </c>
      <c r="N149" s="20">
        <f>Tabela1[[#This Row],[SALDO REEMBOLSAR]]*$N$4</f>
        <v>0</v>
      </c>
      <c r="O149" s="20">
        <v>131.09000000000003</v>
      </c>
      <c r="Q149" t="str">
        <f>_xlfn.XLOOKUP(Tabela1[[#This Row],[COLABORADOR]],'STATUS CARTAO'!D:D,'STATUS CARTAO'!G:G)</f>
        <v>Cartão ativo</v>
      </c>
    </row>
    <row r="150" spans="1:17" hidden="1">
      <c r="A150" s="3" t="s">
        <v>369</v>
      </c>
      <c r="B150" s="3" t="s">
        <v>370</v>
      </c>
      <c r="C150" s="5" t="s">
        <v>19</v>
      </c>
      <c r="D150" s="3" t="s">
        <v>48</v>
      </c>
      <c r="E150" s="3" t="s">
        <v>93</v>
      </c>
      <c r="F150" s="3" t="s">
        <v>50</v>
      </c>
      <c r="G150" s="3" t="s">
        <v>40</v>
      </c>
      <c r="H150" s="20">
        <v>0</v>
      </c>
      <c r="I150" s="20">
        <v>184.7</v>
      </c>
      <c r="J150" s="20">
        <v>100</v>
      </c>
      <c r="K150" s="20">
        <v>3</v>
      </c>
      <c r="L150" s="20"/>
      <c r="M150" s="20">
        <f>Tabela1[[#This Row],[1ª QZ]]-Tabela1[[#This Row],[SALDO FINAL]]-Tabela1[[#This Row],[SALDO CARTAO]]-Tabela1[[#This Row],[Adiantamento ]]</f>
        <v>-87.699999999999989</v>
      </c>
      <c r="N150" s="20">
        <f>Tabela1[[#This Row],[SALDO REEMBOLSAR]]*$N$4</f>
        <v>0</v>
      </c>
      <c r="O150" s="20">
        <v>0</v>
      </c>
      <c r="Q150" t="str">
        <f>_xlfn.XLOOKUP(Tabela1[[#This Row],[COLABORADOR]],'STATUS CARTAO'!D:D,'STATUS CARTAO'!G:G)</f>
        <v>Cartão ativo</v>
      </c>
    </row>
    <row r="151" spans="1:17" hidden="1">
      <c r="A151" s="3" t="s">
        <v>371</v>
      </c>
      <c r="B151" s="3" t="s">
        <v>372</v>
      </c>
      <c r="C151" s="5" t="s">
        <v>19</v>
      </c>
      <c r="D151" s="3" t="s">
        <v>74</v>
      </c>
      <c r="E151" s="3" t="s">
        <v>373</v>
      </c>
      <c r="F151" s="3" t="s">
        <v>76</v>
      </c>
      <c r="G151" s="3" t="s">
        <v>40</v>
      </c>
      <c r="H151" s="20">
        <v>0</v>
      </c>
      <c r="I151" s="20">
        <v>1430.2999999999993</v>
      </c>
      <c r="J151" s="20">
        <v>1500</v>
      </c>
      <c r="K151" s="20">
        <v>4.6900000000000004</v>
      </c>
      <c r="L151" s="20"/>
      <c r="M151" s="20">
        <f>Tabela1[[#This Row],[1ª QZ]]-Tabela1[[#This Row],[SALDO FINAL]]-Tabela1[[#This Row],[SALDO CARTAO]]-Tabela1[[#This Row],[Adiantamento ]]</f>
        <v>65.01000000000073</v>
      </c>
      <c r="N151" s="20">
        <f>Tabela1[[#This Row],[SALDO REEMBOLSAR]]*$N$4</f>
        <v>0</v>
      </c>
      <c r="O151" s="20">
        <v>65.01000000000073</v>
      </c>
      <c r="Q151" t="str">
        <f>_xlfn.XLOOKUP(Tabela1[[#This Row],[COLABORADOR]],'STATUS CARTAO'!D:D,'STATUS CARTAO'!G:G)</f>
        <v>Cartão ativo</v>
      </c>
    </row>
    <row r="152" spans="1:17" hidden="1">
      <c r="A152" s="3" t="s">
        <v>374</v>
      </c>
      <c r="B152" s="3" t="s">
        <v>375</v>
      </c>
      <c r="C152" s="5" t="s">
        <v>19</v>
      </c>
      <c r="D152" s="3" t="s">
        <v>48</v>
      </c>
      <c r="E152" s="3" t="s">
        <v>49</v>
      </c>
      <c r="F152" s="3" t="s">
        <v>50</v>
      </c>
      <c r="G152" s="3" t="s">
        <v>40</v>
      </c>
      <c r="H152" s="20">
        <v>0</v>
      </c>
      <c r="I152" s="20">
        <v>325.80999999999995</v>
      </c>
      <c r="J152" s="20">
        <v>120</v>
      </c>
      <c r="K152" s="20">
        <v>40.549999999999997</v>
      </c>
      <c r="L152" s="20"/>
      <c r="M152" s="20">
        <f>Tabela1[[#This Row],[1ª QZ]]-Tabela1[[#This Row],[SALDO FINAL]]-Tabela1[[#This Row],[SALDO CARTAO]]-Tabela1[[#This Row],[Adiantamento ]]</f>
        <v>-246.35999999999996</v>
      </c>
      <c r="N152" s="20">
        <f>Tabela1[[#This Row],[SALDO REEMBOLSAR]]*$N$4</f>
        <v>0</v>
      </c>
      <c r="O152" s="20">
        <v>0</v>
      </c>
      <c r="Q152" t="str">
        <f>_xlfn.XLOOKUP(Tabela1[[#This Row],[COLABORADOR]],'STATUS CARTAO'!D:D,'STATUS CARTAO'!G:G)</f>
        <v>Cartão ativo</v>
      </c>
    </row>
    <row r="153" spans="1:17" hidden="1">
      <c r="A153" s="3" t="s">
        <v>376</v>
      </c>
      <c r="B153" s="3" t="s">
        <v>377</v>
      </c>
      <c r="C153" s="5" t="s">
        <v>19</v>
      </c>
      <c r="D153" s="3" t="s">
        <v>26</v>
      </c>
      <c r="E153" s="3" t="s">
        <v>378</v>
      </c>
      <c r="F153" s="3" t="s">
        <v>28</v>
      </c>
      <c r="G153" s="3" t="s">
        <v>23</v>
      </c>
      <c r="H153" s="20">
        <v>0</v>
      </c>
      <c r="I153" s="20">
        <v>1537.8400000000011</v>
      </c>
      <c r="J153" s="20">
        <v>2000</v>
      </c>
      <c r="K153" s="20">
        <v>10.11</v>
      </c>
      <c r="L153" s="20"/>
      <c r="M153" s="20">
        <f>Tabela1[[#This Row],[1ª QZ]]-Tabela1[[#This Row],[SALDO FINAL]]-Tabela1[[#This Row],[SALDO CARTAO]]-Tabela1[[#This Row],[Adiantamento ]]</f>
        <v>452.04999999999893</v>
      </c>
      <c r="N153" s="20">
        <f>Tabela1[[#This Row],[SALDO REEMBOLSAR]]*$N$4</f>
        <v>0</v>
      </c>
      <c r="O153" s="20">
        <v>452.04999999999893</v>
      </c>
      <c r="Q153" t="str">
        <f>_xlfn.XLOOKUP(Tabela1[[#This Row],[COLABORADOR]],'STATUS CARTAO'!D:D,'STATUS CARTAO'!G:G)</f>
        <v>Cartão ativo</v>
      </c>
    </row>
    <row r="154" spans="1:17" hidden="1">
      <c r="A154" s="3" t="s">
        <v>379</v>
      </c>
      <c r="B154" s="3" t="s">
        <v>380</v>
      </c>
      <c r="C154" s="5" t="s">
        <v>19</v>
      </c>
      <c r="D154" s="3" t="s">
        <v>43</v>
      </c>
      <c r="E154" s="3" t="s">
        <v>106</v>
      </c>
      <c r="F154" s="3" t="s">
        <v>45</v>
      </c>
      <c r="G154" s="3" t="s">
        <v>40</v>
      </c>
      <c r="H154" s="20">
        <v>64.820000000000164</v>
      </c>
      <c r="I154" s="20">
        <v>0</v>
      </c>
      <c r="J154" s="20">
        <v>500</v>
      </c>
      <c r="K154" s="20">
        <v>0.71</v>
      </c>
      <c r="L154" s="20"/>
      <c r="M154" s="20">
        <f>Tabela1[[#This Row],[1ª QZ]]-Tabela1[[#This Row],[SALDO FINAL]]-Tabela1[[#This Row],[SALDO CARTAO]]-Tabela1[[#This Row],[Adiantamento ]]</f>
        <v>499.29</v>
      </c>
      <c r="N154" s="20">
        <f>Tabela1[[#This Row],[SALDO REEMBOLSAR]]*$N$4</f>
        <v>38.892000000000095</v>
      </c>
      <c r="O154" s="20">
        <v>531.70000000000005</v>
      </c>
      <c r="Q154" t="str">
        <f>_xlfn.XLOOKUP(Tabela1[[#This Row],[COLABORADOR]],'STATUS CARTAO'!D:D,'STATUS CARTAO'!G:G)</f>
        <v>Cartão ativo</v>
      </c>
    </row>
    <row r="155" spans="1:17" hidden="1">
      <c r="A155" s="3" t="s">
        <v>381</v>
      </c>
      <c r="B155" s="3" t="s">
        <v>382</v>
      </c>
      <c r="C155" s="5" t="s">
        <v>19</v>
      </c>
      <c r="D155" s="3" t="s">
        <v>31</v>
      </c>
      <c r="E155" s="3" t="s">
        <v>383</v>
      </c>
      <c r="F155" s="3" t="s">
        <v>33</v>
      </c>
      <c r="G155" s="3" t="s">
        <v>34</v>
      </c>
      <c r="H155" s="20">
        <v>0</v>
      </c>
      <c r="I155" s="20">
        <v>500</v>
      </c>
      <c r="J155" s="20">
        <v>500</v>
      </c>
      <c r="K155" s="20">
        <v>500</v>
      </c>
      <c r="L155" s="20"/>
      <c r="M155" s="20">
        <f>Tabela1[[#This Row],[1ª QZ]]-Tabela1[[#This Row],[SALDO FINAL]]-Tabela1[[#This Row],[SALDO CARTAO]]-Tabela1[[#This Row],[Adiantamento ]]</f>
        <v>-500</v>
      </c>
      <c r="N155" s="20">
        <f>Tabela1[[#This Row],[SALDO REEMBOLSAR]]*$N$4</f>
        <v>0</v>
      </c>
      <c r="O155" s="20">
        <v>0</v>
      </c>
      <c r="Q155" t="str">
        <f>_xlfn.XLOOKUP(Tabela1[[#This Row],[COLABORADOR]],'STATUS CARTAO'!D:D,'STATUS CARTAO'!G:G)</f>
        <v>Cartão ativo</v>
      </c>
    </row>
    <row r="156" spans="1:17" hidden="1">
      <c r="A156" s="3" t="s">
        <v>384</v>
      </c>
      <c r="B156" s="3" t="s">
        <v>385</v>
      </c>
      <c r="C156" s="5" t="s">
        <v>19</v>
      </c>
      <c r="D156" s="3" t="s">
        <v>74</v>
      </c>
      <c r="E156" s="3" t="s">
        <v>386</v>
      </c>
      <c r="F156" s="3" t="s">
        <v>76</v>
      </c>
      <c r="G156" s="3" t="s">
        <v>40</v>
      </c>
      <c r="H156" s="20">
        <v>0</v>
      </c>
      <c r="I156" s="20">
        <v>993</v>
      </c>
      <c r="J156" s="20">
        <v>500</v>
      </c>
      <c r="K156" s="20">
        <v>4</v>
      </c>
      <c r="L156" s="20"/>
      <c r="M156" s="20">
        <f>Tabela1[[#This Row],[1ª QZ]]-Tabela1[[#This Row],[SALDO FINAL]]-Tabela1[[#This Row],[SALDO CARTAO]]-Tabela1[[#This Row],[Adiantamento ]]</f>
        <v>-497</v>
      </c>
      <c r="N156" s="20">
        <f>Tabela1[[#This Row],[SALDO REEMBOLSAR]]*$N$4</f>
        <v>0</v>
      </c>
      <c r="O156" s="20">
        <v>0</v>
      </c>
      <c r="Q156" t="str">
        <f>_xlfn.XLOOKUP(Tabela1[[#This Row],[COLABORADOR]],'STATUS CARTAO'!D:D,'STATUS CARTAO'!G:G)</f>
        <v>Cartão ativo</v>
      </c>
    </row>
    <row r="157" spans="1:17" hidden="1">
      <c r="A157" s="3" t="s">
        <v>387</v>
      </c>
      <c r="B157" s="3" t="s">
        <v>388</v>
      </c>
      <c r="C157" s="5" t="s">
        <v>19</v>
      </c>
      <c r="D157" s="3" t="s">
        <v>26</v>
      </c>
      <c r="E157" s="3" t="s">
        <v>389</v>
      </c>
      <c r="F157" s="3" t="s">
        <v>28</v>
      </c>
      <c r="G157" s="3" t="s">
        <v>23</v>
      </c>
      <c r="H157" s="20">
        <v>0</v>
      </c>
      <c r="I157" s="20">
        <v>4193.51</v>
      </c>
      <c r="J157" s="20">
        <v>1000</v>
      </c>
      <c r="K157" s="20">
        <v>846.92</v>
      </c>
      <c r="L157" s="20">
        <v>1000</v>
      </c>
      <c r="M157" s="20">
        <f>Tabela1[[#This Row],[1ª QZ]]-Tabela1[[#This Row],[SALDO FINAL]]-Tabela1[[#This Row],[SALDO CARTAO]]-Tabela1[[#This Row],[Adiantamento ]]</f>
        <v>-5040.43</v>
      </c>
      <c r="N157" s="20">
        <f>Tabela1[[#This Row],[SALDO REEMBOLSAR]]*$N$4</f>
        <v>0</v>
      </c>
      <c r="O157" s="20">
        <v>0</v>
      </c>
      <c r="Q157" t="str">
        <f>_xlfn.XLOOKUP(Tabela1[[#This Row],[COLABORADOR]],'STATUS CARTAO'!D:D,'STATUS CARTAO'!G:G)</f>
        <v>Cartão ativo</v>
      </c>
    </row>
    <row r="158" spans="1:17" hidden="1">
      <c r="A158" s="3" t="s">
        <v>390</v>
      </c>
      <c r="B158" s="3" t="s">
        <v>391</v>
      </c>
      <c r="C158" s="5" t="s">
        <v>19</v>
      </c>
      <c r="D158" s="3" t="s">
        <v>26</v>
      </c>
      <c r="E158" s="3" t="s">
        <v>392</v>
      </c>
      <c r="F158" s="3" t="s">
        <v>28</v>
      </c>
      <c r="G158" s="3" t="s">
        <v>23</v>
      </c>
      <c r="H158" s="20">
        <v>0</v>
      </c>
      <c r="I158" s="20">
        <v>22202.809999999994</v>
      </c>
      <c r="J158" s="20">
        <v>2000</v>
      </c>
      <c r="K158" s="20">
        <v>86</v>
      </c>
      <c r="L158" s="20"/>
      <c r="M158" s="20">
        <f>Tabela1[[#This Row],[1ª QZ]]-Tabela1[[#This Row],[SALDO FINAL]]-Tabela1[[#This Row],[SALDO CARTAO]]-Tabela1[[#This Row],[Adiantamento ]]</f>
        <v>-20288.809999999994</v>
      </c>
      <c r="N158" s="20">
        <f>Tabela1[[#This Row],[SALDO REEMBOLSAR]]*$N$4</f>
        <v>0</v>
      </c>
      <c r="O158" s="20">
        <v>0</v>
      </c>
      <c r="Q158" t="str">
        <f>_xlfn.XLOOKUP(Tabela1[[#This Row],[COLABORADOR]],'STATUS CARTAO'!D:D,'STATUS CARTAO'!G:G)</f>
        <v>Cartão ativo</v>
      </c>
    </row>
    <row r="159" spans="1:17" hidden="1">
      <c r="A159" s="3" t="s">
        <v>393</v>
      </c>
      <c r="B159" s="3" t="s">
        <v>394</v>
      </c>
      <c r="C159" s="5" t="s">
        <v>19</v>
      </c>
      <c r="D159" s="3" t="s">
        <v>74</v>
      </c>
      <c r="E159" s="3" t="s">
        <v>373</v>
      </c>
      <c r="F159" s="3" t="s">
        <v>76</v>
      </c>
      <c r="G159" s="3" t="s">
        <v>40</v>
      </c>
      <c r="H159" s="20">
        <v>0</v>
      </c>
      <c r="I159" s="20">
        <v>773.83999999999969</v>
      </c>
      <c r="J159" s="20">
        <v>1500</v>
      </c>
      <c r="K159" s="20">
        <v>2.78</v>
      </c>
      <c r="L159" s="20"/>
      <c r="M159" s="20">
        <f>Tabela1[[#This Row],[1ª QZ]]-Tabela1[[#This Row],[SALDO FINAL]]-Tabela1[[#This Row],[SALDO CARTAO]]-Tabela1[[#This Row],[Adiantamento ]]</f>
        <v>723.38000000000034</v>
      </c>
      <c r="N159" s="20">
        <f>Tabela1[[#This Row],[SALDO REEMBOLSAR]]*$N$4</f>
        <v>0</v>
      </c>
      <c r="O159" s="20">
        <v>723.38000000000034</v>
      </c>
      <c r="Q159" t="str">
        <f>_xlfn.XLOOKUP(Tabela1[[#This Row],[COLABORADOR]],'STATUS CARTAO'!D:D,'STATUS CARTAO'!G:G)</f>
        <v>Cartão ativo</v>
      </c>
    </row>
    <row r="160" spans="1:17" hidden="1">
      <c r="A160" s="3" t="s">
        <v>395</v>
      </c>
      <c r="B160" s="3" t="s">
        <v>396</v>
      </c>
      <c r="C160" s="5" t="s">
        <v>19</v>
      </c>
      <c r="D160" s="3" t="s">
        <v>167</v>
      </c>
      <c r="E160" s="3" t="s">
        <v>397</v>
      </c>
      <c r="F160" s="3" t="s">
        <v>169</v>
      </c>
      <c r="G160" s="3" t="s">
        <v>34</v>
      </c>
      <c r="H160" s="20">
        <v>921.0600000000486</v>
      </c>
      <c r="I160" s="20">
        <v>0</v>
      </c>
      <c r="J160" s="20">
        <v>2000</v>
      </c>
      <c r="K160" s="20">
        <v>16</v>
      </c>
      <c r="L160" s="20"/>
      <c r="M160" s="20">
        <f>Tabela1[[#This Row],[1ª QZ]]-Tabela1[[#This Row],[SALDO FINAL]]-Tabela1[[#This Row],[SALDO CARTAO]]-Tabela1[[#This Row],[Adiantamento ]]</f>
        <v>1984</v>
      </c>
      <c r="N160" s="20">
        <f>Tabela1[[#This Row],[SALDO REEMBOLSAR]]*$N$4</f>
        <v>552.63600000002918</v>
      </c>
      <c r="O160" s="20">
        <v>2444.5300000000243</v>
      </c>
      <c r="Q160" t="str">
        <f>_xlfn.XLOOKUP(Tabela1[[#This Row],[COLABORADOR]],'STATUS CARTAO'!D:D,'STATUS CARTAO'!G:G)</f>
        <v>Cartão ativo</v>
      </c>
    </row>
    <row r="161" spans="1:17" hidden="1">
      <c r="A161" s="3" t="s">
        <v>398</v>
      </c>
      <c r="B161" s="3" t="s">
        <v>399</v>
      </c>
      <c r="C161" s="5" t="s">
        <v>19</v>
      </c>
      <c r="D161" s="3" t="s">
        <v>37</v>
      </c>
      <c r="E161" s="3" t="s">
        <v>138</v>
      </c>
      <c r="F161" s="3" t="s">
        <v>39</v>
      </c>
      <c r="G161" s="3" t="s">
        <v>40</v>
      </c>
      <c r="H161" s="20">
        <v>0</v>
      </c>
      <c r="I161" s="20">
        <v>3094.489999999998</v>
      </c>
      <c r="J161" s="20">
        <v>800</v>
      </c>
      <c r="K161" s="20">
        <v>12.29</v>
      </c>
      <c r="L161" s="20"/>
      <c r="M161" s="20">
        <f>Tabela1[[#This Row],[1ª QZ]]-Tabela1[[#This Row],[SALDO FINAL]]-Tabela1[[#This Row],[SALDO CARTAO]]-Tabela1[[#This Row],[Adiantamento ]]</f>
        <v>-2306.7799999999979</v>
      </c>
      <c r="N161" s="20">
        <f>Tabela1[[#This Row],[SALDO REEMBOLSAR]]*$N$4</f>
        <v>0</v>
      </c>
      <c r="O161" s="20">
        <v>0</v>
      </c>
      <c r="Q161" t="str">
        <f>_xlfn.XLOOKUP(Tabela1[[#This Row],[COLABORADOR]],'STATUS CARTAO'!D:D,'STATUS CARTAO'!G:G)</f>
        <v>Cartão ativo</v>
      </c>
    </row>
    <row r="162" spans="1:17" hidden="1">
      <c r="A162" s="3" t="s">
        <v>400</v>
      </c>
      <c r="B162" s="3" t="s">
        <v>401</v>
      </c>
      <c r="C162" s="5" t="s">
        <v>19</v>
      </c>
      <c r="D162" s="3" t="s">
        <v>43</v>
      </c>
      <c r="E162" s="3" t="s">
        <v>82</v>
      </c>
      <c r="F162" s="3" t="s">
        <v>45</v>
      </c>
      <c r="G162" s="3" t="s">
        <v>40</v>
      </c>
      <c r="H162" s="20">
        <v>0</v>
      </c>
      <c r="I162" s="20">
        <v>300</v>
      </c>
      <c r="J162" s="20">
        <v>300</v>
      </c>
      <c r="K162" s="20">
        <v>300</v>
      </c>
      <c r="L162" s="20"/>
      <c r="M162" s="20">
        <f>Tabela1[[#This Row],[1ª QZ]]-Tabela1[[#This Row],[SALDO FINAL]]-Tabela1[[#This Row],[SALDO CARTAO]]-Tabela1[[#This Row],[Adiantamento ]]</f>
        <v>-300</v>
      </c>
      <c r="N162" s="20">
        <f>Tabela1[[#This Row],[SALDO REEMBOLSAR]]*$N$4</f>
        <v>0</v>
      </c>
      <c r="O162" s="20">
        <v>0</v>
      </c>
      <c r="Q162" t="str">
        <f>_xlfn.XLOOKUP(Tabela1[[#This Row],[COLABORADOR]],'STATUS CARTAO'!D:D,'STATUS CARTAO'!G:G)</f>
        <v>Cartão ativo</v>
      </c>
    </row>
    <row r="163" spans="1:17" hidden="1">
      <c r="A163" s="3" t="s">
        <v>402</v>
      </c>
      <c r="B163" s="3" t="s">
        <v>403</v>
      </c>
      <c r="C163" s="5" t="s">
        <v>19</v>
      </c>
      <c r="D163" s="3" t="s">
        <v>31</v>
      </c>
      <c r="E163" s="3" t="s">
        <v>56</v>
      </c>
      <c r="F163" s="3" t="s">
        <v>33</v>
      </c>
      <c r="G163" s="3" t="s">
        <v>34</v>
      </c>
      <c r="H163" s="20">
        <v>80.030000000000655</v>
      </c>
      <c r="I163" s="20">
        <v>0</v>
      </c>
      <c r="J163" s="20">
        <v>500</v>
      </c>
      <c r="K163" s="20">
        <v>0</v>
      </c>
      <c r="L163" s="20"/>
      <c r="M163" s="20">
        <f>Tabela1[[#This Row],[1ª QZ]]-Tabela1[[#This Row],[SALDO FINAL]]-Tabela1[[#This Row],[SALDO CARTAO]]-Tabela1[[#This Row],[Adiantamento ]]</f>
        <v>500</v>
      </c>
      <c r="N163" s="20">
        <f>Tabela1[[#This Row],[SALDO REEMBOLSAR]]*$N$4</f>
        <v>48.018000000000391</v>
      </c>
      <c r="O163" s="20">
        <v>540.01500000000033</v>
      </c>
      <c r="Q163" t="str">
        <f>_xlfn.XLOOKUP(Tabela1[[#This Row],[COLABORADOR]],'STATUS CARTAO'!D:D,'STATUS CARTAO'!G:G)</f>
        <v>Cartão ativo</v>
      </c>
    </row>
    <row r="164" spans="1:17" hidden="1">
      <c r="A164" s="3" t="s">
        <v>404</v>
      </c>
      <c r="B164" s="3" t="s">
        <v>405</v>
      </c>
      <c r="C164" s="5" t="s">
        <v>19</v>
      </c>
      <c r="D164" s="3" t="s">
        <v>74</v>
      </c>
      <c r="E164" s="3" t="s">
        <v>298</v>
      </c>
      <c r="F164" s="3" t="s">
        <v>76</v>
      </c>
      <c r="G164" s="3" t="s">
        <v>40</v>
      </c>
      <c r="H164" s="20">
        <v>0</v>
      </c>
      <c r="I164" s="20">
        <v>2963.79</v>
      </c>
      <c r="J164" s="20">
        <v>1000</v>
      </c>
      <c r="K164" s="20">
        <v>84.8</v>
      </c>
      <c r="L164" s="20"/>
      <c r="M164" s="20">
        <f>Tabela1[[#This Row],[1ª QZ]]-Tabela1[[#This Row],[SALDO FINAL]]-Tabela1[[#This Row],[SALDO CARTAO]]-Tabela1[[#This Row],[Adiantamento ]]</f>
        <v>-2048.59</v>
      </c>
      <c r="N164" s="20">
        <f>Tabela1[[#This Row],[SALDO REEMBOLSAR]]*$N$4</f>
        <v>0</v>
      </c>
      <c r="O164" s="20">
        <v>0</v>
      </c>
      <c r="Q164" t="str">
        <f>_xlfn.XLOOKUP(Tabela1[[#This Row],[COLABORADOR]],'STATUS CARTAO'!D:D,'STATUS CARTAO'!G:G)</f>
        <v>Cartão ativo</v>
      </c>
    </row>
    <row r="165" spans="1:17" hidden="1">
      <c r="A165" s="3" t="s">
        <v>406</v>
      </c>
      <c r="B165" s="3" t="s">
        <v>407</v>
      </c>
      <c r="C165" s="5" t="s">
        <v>19</v>
      </c>
      <c r="D165" s="3" t="s">
        <v>408</v>
      </c>
      <c r="E165" s="3" t="s">
        <v>408</v>
      </c>
      <c r="F165" s="3" t="s">
        <v>409</v>
      </c>
      <c r="G165" s="3" t="s">
        <v>410</v>
      </c>
      <c r="H165" s="20">
        <v>0</v>
      </c>
      <c r="I165" s="20">
        <v>0</v>
      </c>
      <c r="J165" s="20">
        <v>3000</v>
      </c>
      <c r="K165" s="20">
        <v>0</v>
      </c>
      <c r="L165" s="20"/>
      <c r="M165" s="20">
        <f>Tabela1[[#This Row],[1ª QZ]]-Tabela1[[#This Row],[SALDO FINAL]]-Tabela1[[#This Row],[SALDO CARTAO]]-Tabela1[[#This Row],[Adiantamento ]]</f>
        <v>3000</v>
      </c>
      <c r="N165" s="20">
        <f>Tabela1[[#This Row],[SALDO REEMBOLSAR]]*$N$4</f>
        <v>0</v>
      </c>
      <c r="O165" s="20">
        <v>3000</v>
      </c>
      <c r="Q165" t="str">
        <f>_xlfn.XLOOKUP(Tabela1[[#This Row],[COLABORADOR]],'STATUS CARTAO'!D:D,'STATUS CARTAO'!G:G)</f>
        <v>Cartão ativo</v>
      </c>
    </row>
    <row r="166" spans="1:17" hidden="1">
      <c r="A166" s="3" t="s">
        <v>411</v>
      </c>
      <c r="B166" s="3" t="s">
        <v>412</v>
      </c>
      <c r="C166" s="5" t="s">
        <v>19</v>
      </c>
      <c r="D166" s="3" t="s">
        <v>37</v>
      </c>
      <c r="E166" s="3" t="s">
        <v>413</v>
      </c>
      <c r="F166" s="3" t="s">
        <v>39</v>
      </c>
      <c r="G166" s="3" t="s">
        <v>40</v>
      </c>
      <c r="H166" s="20">
        <v>0</v>
      </c>
      <c r="I166" s="20">
        <v>675.399999999996</v>
      </c>
      <c r="J166" s="20">
        <v>1200</v>
      </c>
      <c r="K166" s="20">
        <v>1200</v>
      </c>
      <c r="L166" s="20"/>
      <c r="M166" s="20">
        <f>Tabela1[[#This Row],[1ª QZ]]-Tabela1[[#This Row],[SALDO FINAL]]-Tabela1[[#This Row],[SALDO CARTAO]]-Tabela1[[#This Row],[Adiantamento ]]</f>
        <v>-675.399999999996</v>
      </c>
      <c r="N166" s="20">
        <f>Tabela1[[#This Row],[SALDO REEMBOLSAR]]*$N$4</f>
        <v>0</v>
      </c>
      <c r="O166" s="20">
        <v>0</v>
      </c>
      <c r="Q166" t="str">
        <f>_xlfn.XLOOKUP(Tabela1[[#This Row],[COLABORADOR]],'STATUS CARTAO'!D:D,'STATUS CARTAO'!G:G)</f>
        <v>Cartão ativo</v>
      </c>
    </row>
    <row r="167" spans="1:17" hidden="1">
      <c r="A167" s="3" t="s">
        <v>414</v>
      </c>
      <c r="B167" s="3" t="s">
        <v>415</v>
      </c>
      <c r="C167" s="5" t="s">
        <v>19</v>
      </c>
      <c r="D167" s="3" t="s">
        <v>74</v>
      </c>
      <c r="E167" s="3" t="s">
        <v>416</v>
      </c>
      <c r="F167" s="3" t="s">
        <v>76</v>
      </c>
      <c r="G167" s="3" t="s">
        <v>40</v>
      </c>
      <c r="H167" s="20">
        <v>0</v>
      </c>
      <c r="I167" s="20">
        <v>2323</v>
      </c>
      <c r="J167" s="20">
        <v>500</v>
      </c>
      <c r="K167" s="20">
        <v>93</v>
      </c>
      <c r="L167" s="20"/>
      <c r="M167" s="20">
        <f>Tabela1[[#This Row],[1ª QZ]]-Tabela1[[#This Row],[SALDO FINAL]]-Tabela1[[#This Row],[SALDO CARTAO]]-Tabela1[[#This Row],[Adiantamento ]]</f>
        <v>-1916</v>
      </c>
      <c r="N167" s="20">
        <f>Tabela1[[#This Row],[SALDO REEMBOLSAR]]*$N$4</f>
        <v>0</v>
      </c>
      <c r="O167" s="20">
        <v>0</v>
      </c>
      <c r="Q167" t="str">
        <f>_xlfn.XLOOKUP(Tabela1[[#This Row],[COLABORADOR]],'STATUS CARTAO'!D:D,'STATUS CARTAO'!G:G)</f>
        <v>Cartão ativo</v>
      </c>
    </row>
    <row r="168" spans="1:17" hidden="1">
      <c r="A168" s="3" t="s">
        <v>417</v>
      </c>
      <c r="B168" s="3" t="s">
        <v>418</v>
      </c>
      <c r="C168" s="5" t="s">
        <v>19</v>
      </c>
      <c r="D168" s="3" t="s">
        <v>31</v>
      </c>
      <c r="E168" s="3" t="s">
        <v>419</v>
      </c>
      <c r="F168" s="3" t="s">
        <v>33</v>
      </c>
      <c r="G168" s="3" t="s">
        <v>34</v>
      </c>
      <c r="H168" s="20">
        <v>777.86</v>
      </c>
      <c r="I168" s="20">
        <v>0</v>
      </c>
      <c r="J168" s="20">
        <v>500</v>
      </c>
      <c r="K168" s="20">
        <v>551.01</v>
      </c>
      <c r="L168" s="20"/>
      <c r="M168" s="20">
        <f>Tabela1[[#This Row],[1ª QZ]]-Tabela1[[#This Row],[SALDO FINAL]]-Tabela1[[#This Row],[SALDO CARTAO]]-Tabela1[[#This Row],[Adiantamento ]]</f>
        <v>-51.009999999999991</v>
      </c>
      <c r="N168" s="20">
        <f>Tabela1[[#This Row],[SALDO REEMBOLSAR]]*$N$4</f>
        <v>466.71600000000001</v>
      </c>
      <c r="O168" s="20">
        <v>388.93</v>
      </c>
      <c r="Q168" t="str">
        <f>_xlfn.XLOOKUP(Tabela1[[#This Row],[COLABORADOR]],'STATUS CARTAO'!D:D,'STATUS CARTAO'!G:G)</f>
        <v>Cartão ativo</v>
      </c>
    </row>
    <row r="169" spans="1:17" hidden="1">
      <c r="A169" s="3" t="s">
        <v>420</v>
      </c>
      <c r="B169" s="3" t="s">
        <v>421</v>
      </c>
      <c r="C169" s="5" t="s">
        <v>19</v>
      </c>
      <c r="D169" s="3" t="s">
        <v>31</v>
      </c>
      <c r="E169" s="3" t="s">
        <v>56</v>
      </c>
      <c r="F169" s="3" t="s">
        <v>33</v>
      </c>
      <c r="G169" s="3" t="s">
        <v>34</v>
      </c>
      <c r="H169" s="20">
        <v>0</v>
      </c>
      <c r="I169" s="20">
        <v>459.199999999998</v>
      </c>
      <c r="J169" s="20">
        <v>1500</v>
      </c>
      <c r="K169" s="20">
        <v>74.650000000000006</v>
      </c>
      <c r="L169" s="20"/>
      <c r="M169" s="20">
        <f>Tabela1[[#This Row],[1ª QZ]]-Tabela1[[#This Row],[SALDO FINAL]]-Tabela1[[#This Row],[SALDO CARTAO]]-Tabela1[[#This Row],[Adiantamento ]]</f>
        <v>966.15000000000202</v>
      </c>
      <c r="N169" s="20">
        <f>Tabela1[[#This Row],[SALDO REEMBOLSAR]]*$N$4</f>
        <v>0</v>
      </c>
      <c r="O169" s="20">
        <v>966.15000000000202</v>
      </c>
      <c r="Q169" t="str">
        <f>_xlfn.XLOOKUP(Tabela1[[#This Row],[COLABORADOR]],'STATUS CARTAO'!D:D,'STATUS CARTAO'!G:G)</f>
        <v>Cartão ativo</v>
      </c>
    </row>
    <row r="170" spans="1:17" hidden="1">
      <c r="A170" s="3" t="s">
        <v>422</v>
      </c>
      <c r="B170" s="3" t="s">
        <v>423</v>
      </c>
      <c r="C170" s="5" t="s">
        <v>19</v>
      </c>
      <c r="D170" s="3" t="s">
        <v>424</v>
      </c>
      <c r="E170" s="3" t="s">
        <v>424</v>
      </c>
      <c r="F170" s="3" t="s">
        <v>425</v>
      </c>
      <c r="G170" s="3" t="s">
        <v>410</v>
      </c>
      <c r="H170" s="20">
        <v>214.96999999999935</v>
      </c>
      <c r="I170" s="20">
        <v>0</v>
      </c>
      <c r="J170" s="20">
        <v>900</v>
      </c>
      <c r="K170" s="20">
        <v>80.97</v>
      </c>
      <c r="L170" s="20"/>
      <c r="M170" s="20">
        <f>Tabela1[[#This Row],[1ª QZ]]-Tabela1[[#This Row],[SALDO FINAL]]-Tabela1[[#This Row],[SALDO CARTAO]]-Tabela1[[#This Row],[Adiantamento ]]</f>
        <v>819.03</v>
      </c>
      <c r="N170" s="20">
        <f>Tabela1[[#This Row],[SALDO REEMBOLSAR]]*$N$4</f>
        <v>128.9819999999996</v>
      </c>
      <c r="O170" s="20">
        <v>926.51499999999965</v>
      </c>
      <c r="Q170" t="str">
        <f>_xlfn.XLOOKUP(Tabela1[[#This Row],[COLABORADOR]],'STATUS CARTAO'!D:D,'STATUS CARTAO'!G:G)</f>
        <v>Cartão ativo</v>
      </c>
    </row>
    <row r="171" spans="1:17" hidden="1">
      <c r="A171" s="3" t="s">
        <v>426</v>
      </c>
      <c r="B171" s="3" t="s">
        <v>427</v>
      </c>
      <c r="C171" s="5" t="s">
        <v>19</v>
      </c>
      <c r="D171" s="3" t="s">
        <v>48</v>
      </c>
      <c r="E171" s="3" t="s">
        <v>93</v>
      </c>
      <c r="F171" s="3" t="s">
        <v>50</v>
      </c>
      <c r="G171" s="3" t="s">
        <v>40</v>
      </c>
      <c r="H171" s="20">
        <v>0</v>
      </c>
      <c r="I171" s="20">
        <v>242.12</v>
      </c>
      <c r="J171" s="20">
        <v>200</v>
      </c>
      <c r="K171" s="20">
        <v>87.24</v>
      </c>
      <c r="L171" s="20"/>
      <c r="M171" s="20">
        <f>Tabela1[[#This Row],[1ª QZ]]-Tabela1[[#This Row],[SALDO FINAL]]-Tabela1[[#This Row],[SALDO CARTAO]]-Tabela1[[#This Row],[Adiantamento ]]</f>
        <v>-129.36000000000001</v>
      </c>
      <c r="N171" s="20">
        <f>Tabela1[[#This Row],[SALDO REEMBOLSAR]]*$N$4</f>
        <v>0</v>
      </c>
      <c r="O171" s="20">
        <v>0</v>
      </c>
      <c r="Q171" t="str">
        <f>_xlfn.XLOOKUP(Tabela1[[#This Row],[COLABORADOR]],'STATUS CARTAO'!D:D,'STATUS CARTAO'!G:G)</f>
        <v>Cartão ativo</v>
      </c>
    </row>
    <row r="172" spans="1:17" hidden="1">
      <c r="A172" s="3" t="s">
        <v>428</v>
      </c>
      <c r="B172" s="3" t="s">
        <v>429</v>
      </c>
      <c r="C172" s="5" t="s">
        <v>19</v>
      </c>
      <c r="D172" s="3" t="s">
        <v>59</v>
      </c>
      <c r="E172" s="3" t="s">
        <v>60</v>
      </c>
      <c r="F172" s="3" t="s">
        <v>61</v>
      </c>
      <c r="G172" s="3" t="s">
        <v>23</v>
      </c>
      <c r="H172" s="20">
        <v>0</v>
      </c>
      <c r="I172" s="20">
        <v>5361.83</v>
      </c>
      <c r="J172" s="20">
        <v>1500</v>
      </c>
      <c r="K172" s="20">
        <v>10</v>
      </c>
      <c r="L172" s="20"/>
      <c r="M172" s="20">
        <f>Tabela1[[#This Row],[1ª QZ]]-Tabela1[[#This Row],[SALDO FINAL]]-Tabela1[[#This Row],[SALDO CARTAO]]-Tabela1[[#This Row],[Adiantamento ]]</f>
        <v>-3871.83</v>
      </c>
      <c r="N172" s="20">
        <f>Tabela1[[#This Row],[SALDO REEMBOLSAR]]*$N$4</f>
        <v>0</v>
      </c>
      <c r="O172" s="20">
        <v>0</v>
      </c>
      <c r="Q172" t="str">
        <f>_xlfn.XLOOKUP(Tabela1[[#This Row],[COLABORADOR]],'STATUS CARTAO'!D:D,'STATUS CARTAO'!G:G)</f>
        <v>Cartão ativo</v>
      </c>
    </row>
    <row r="173" spans="1:17" hidden="1">
      <c r="A173" s="3" t="s">
        <v>430</v>
      </c>
      <c r="B173" s="3" t="s">
        <v>431</v>
      </c>
      <c r="C173" s="5" t="s">
        <v>19</v>
      </c>
      <c r="D173" s="3" t="s">
        <v>37</v>
      </c>
      <c r="E173" s="3" t="s">
        <v>138</v>
      </c>
      <c r="F173" s="3" t="s">
        <v>39</v>
      </c>
      <c r="G173" s="3" t="s">
        <v>40</v>
      </c>
      <c r="H173" s="20">
        <v>10.020000000002256</v>
      </c>
      <c r="I173" s="20">
        <v>0</v>
      </c>
      <c r="J173" s="20">
        <v>800</v>
      </c>
      <c r="K173" s="20">
        <v>0.11</v>
      </c>
      <c r="L173" s="20"/>
      <c r="M173" s="20">
        <f>Tabela1[[#This Row],[1ª QZ]]-Tabela1[[#This Row],[SALDO FINAL]]-Tabela1[[#This Row],[SALDO CARTAO]]-Tabela1[[#This Row],[Adiantamento ]]</f>
        <v>799.89</v>
      </c>
      <c r="N173" s="20">
        <f>Tabela1[[#This Row],[SALDO REEMBOLSAR]]*$N$4</f>
        <v>6.0120000000013532</v>
      </c>
      <c r="O173" s="20">
        <v>804.90000000000111</v>
      </c>
      <c r="Q173" t="str">
        <f>_xlfn.XLOOKUP(Tabela1[[#This Row],[COLABORADOR]],'STATUS CARTAO'!D:D,'STATUS CARTAO'!G:G)</f>
        <v>Cartão ativo</v>
      </c>
    </row>
    <row r="174" spans="1:17" hidden="1">
      <c r="A174" s="3" t="s">
        <v>432</v>
      </c>
      <c r="B174" s="3" t="s">
        <v>433</v>
      </c>
      <c r="C174" s="5" t="s">
        <v>19</v>
      </c>
      <c r="D174" s="3" t="s">
        <v>434</v>
      </c>
      <c r="E174" s="3" t="s">
        <v>434</v>
      </c>
      <c r="F174" s="3" t="s">
        <v>425</v>
      </c>
      <c r="G174" s="3" t="s">
        <v>410</v>
      </c>
      <c r="H174" s="20">
        <v>0</v>
      </c>
      <c r="I174" s="20">
        <v>498</v>
      </c>
      <c r="J174" s="20">
        <v>500</v>
      </c>
      <c r="K174" s="20">
        <v>431.1</v>
      </c>
      <c r="L174" s="20"/>
      <c r="M174" s="20">
        <f>Tabela1[[#This Row],[1ª QZ]]-Tabela1[[#This Row],[SALDO FINAL]]-Tabela1[[#This Row],[SALDO CARTAO]]-Tabela1[[#This Row],[Adiantamento ]]</f>
        <v>-429.1</v>
      </c>
      <c r="N174" s="20">
        <f>Tabela1[[#This Row],[SALDO REEMBOLSAR]]*$N$4</f>
        <v>0</v>
      </c>
      <c r="O174" s="20">
        <v>0</v>
      </c>
      <c r="Q174" t="str">
        <f>_xlfn.XLOOKUP(Tabela1[[#This Row],[COLABORADOR]],'STATUS CARTAO'!D:D,'STATUS CARTAO'!G:G)</f>
        <v>Cartão ativo</v>
      </c>
    </row>
    <row r="175" spans="1:17" hidden="1">
      <c r="A175" s="3" t="s">
        <v>435</v>
      </c>
      <c r="B175" s="3" t="s">
        <v>436</v>
      </c>
      <c r="C175" s="5" t="s">
        <v>19</v>
      </c>
      <c r="D175" s="3" t="s">
        <v>37</v>
      </c>
      <c r="E175" s="3" t="s">
        <v>109</v>
      </c>
      <c r="F175" s="3" t="s">
        <v>39</v>
      </c>
      <c r="G175" s="3" t="s">
        <v>40</v>
      </c>
      <c r="H175" s="20">
        <v>0</v>
      </c>
      <c r="I175" s="20">
        <v>354</v>
      </c>
      <c r="J175" s="20">
        <v>500</v>
      </c>
      <c r="K175" s="20">
        <v>339</v>
      </c>
      <c r="L175" s="20"/>
      <c r="M175" s="20">
        <f>Tabela1[[#This Row],[1ª QZ]]-Tabela1[[#This Row],[SALDO FINAL]]-Tabela1[[#This Row],[SALDO CARTAO]]-Tabela1[[#This Row],[Adiantamento ]]</f>
        <v>-193</v>
      </c>
      <c r="N175" s="20">
        <f>Tabela1[[#This Row],[SALDO REEMBOLSAR]]*$N$4</f>
        <v>0</v>
      </c>
      <c r="O175" s="20">
        <v>0</v>
      </c>
      <c r="Q175" t="str">
        <f>_xlfn.XLOOKUP(Tabela1[[#This Row],[COLABORADOR]],'STATUS CARTAO'!D:D,'STATUS CARTAO'!G:G)</f>
        <v>Cartão ativo</v>
      </c>
    </row>
    <row r="176" spans="1:17" hidden="1">
      <c r="A176" s="3" t="s">
        <v>435</v>
      </c>
      <c r="B176" s="3" t="s">
        <v>436</v>
      </c>
      <c r="C176" s="5"/>
      <c r="D176" s="3" t="s">
        <v>37</v>
      </c>
      <c r="E176" s="3" t="s">
        <v>109</v>
      </c>
      <c r="F176" s="3"/>
      <c r="G176" s="3"/>
      <c r="H176" s="20"/>
      <c r="I176" s="20"/>
      <c r="J176" s="20"/>
      <c r="K176" s="20"/>
      <c r="L176" s="20"/>
      <c r="M176" s="20">
        <f>Tabela1[[#This Row],[1ª QZ]]-Tabela1[[#This Row],[SALDO FINAL]]-Tabela1[[#This Row],[SALDO CARTAO]]-Tabela1[[#This Row],[Adiantamento ]]</f>
        <v>0</v>
      </c>
      <c r="N176" s="20">
        <f>Tabela1[[#This Row],[SALDO REEMBOLSAR]]*$N$4</f>
        <v>0</v>
      </c>
      <c r="O176" s="20">
        <v>146</v>
      </c>
      <c r="Q176" t="str">
        <f>_xlfn.XLOOKUP(Tabela1[[#This Row],[COLABORADOR]],'STATUS CARTAO'!D:D,'STATUS CARTAO'!G:G)</f>
        <v>Cartão ativo</v>
      </c>
    </row>
    <row r="177" spans="1:17" hidden="1">
      <c r="A177" s="3" t="s">
        <v>437</v>
      </c>
      <c r="B177" s="3" t="s">
        <v>438</v>
      </c>
      <c r="C177" s="5" t="s">
        <v>19</v>
      </c>
      <c r="D177" s="3" t="s">
        <v>37</v>
      </c>
      <c r="E177" s="3" t="s">
        <v>138</v>
      </c>
      <c r="F177" s="3" t="s">
        <v>39</v>
      </c>
      <c r="G177" s="3" t="s">
        <v>40</v>
      </c>
      <c r="H177" s="20">
        <v>0</v>
      </c>
      <c r="I177" s="20">
        <v>300.64000000000487</v>
      </c>
      <c r="J177" s="20">
        <v>800</v>
      </c>
      <c r="K177" s="20">
        <v>300.64</v>
      </c>
      <c r="L177" s="20"/>
      <c r="M177" s="20">
        <f>Tabela1[[#This Row],[1ª QZ]]-Tabela1[[#This Row],[SALDO FINAL]]-Tabela1[[#This Row],[SALDO CARTAO]]-Tabela1[[#This Row],[Adiantamento ]]</f>
        <v>198.71999999999514</v>
      </c>
      <c r="N177" s="20">
        <f>Tabela1[[#This Row],[SALDO REEMBOLSAR]]*$N$4</f>
        <v>0</v>
      </c>
      <c r="O177" s="20">
        <v>198.71999999999514</v>
      </c>
      <c r="Q177" t="str">
        <f>_xlfn.XLOOKUP(Tabela1[[#This Row],[COLABORADOR]],'STATUS CARTAO'!D:D,'STATUS CARTAO'!G:G)</f>
        <v>Cartão ativo</v>
      </c>
    </row>
    <row r="178" spans="1:17" hidden="1">
      <c r="A178" s="3" t="s">
        <v>437</v>
      </c>
      <c r="B178" s="3" t="s">
        <v>438</v>
      </c>
      <c r="C178" s="5"/>
      <c r="D178" s="3" t="s">
        <v>37</v>
      </c>
      <c r="E178" s="3" t="s">
        <v>138</v>
      </c>
      <c r="F178" s="3"/>
      <c r="G178" s="3"/>
      <c r="H178" s="20"/>
      <c r="I178" s="20"/>
      <c r="J178" s="20"/>
      <c r="K178" s="20"/>
      <c r="L178" s="20"/>
      <c r="M178" s="20">
        <f>Tabela1[[#This Row],[1ª QZ]]-Tabela1[[#This Row],[SALDO FINAL]]-Tabela1[[#This Row],[SALDO CARTAO]]-Tabela1[[#This Row],[Adiantamento ]]</f>
        <v>0</v>
      </c>
      <c r="N178" s="20">
        <f>Tabela1[[#This Row],[SALDO REEMBOLSAR]]*$N$4</f>
        <v>0</v>
      </c>
      <c r="O178" s="20">
        <v>300.64</v>
      </c>
      <c r="Q178" t="str">
        <f>_xlfn.XLOOKUP(Tabela1[[#This Row],[COLABORADOR]],'STATUS CARTAO'!D:D,'STATUS CARTAO'!G:G)</f>
        <v>Cartão ativo</v>
      </c>
    </row>
    <row r="179" spans="1:17" hidden="1">
      <c r="A179" s="3" t="s">
        <v>439</v>
      </c>
      <c r="B179" s="3" t="s">
        <v>440</v>
      </c>
      <c r="C179" s="5" t="s">
        <v>19</v>
      </c>
      <c r="D179" s="3" t="s">
        <v>31</v>
      </c>
      <c r="E179" s="3" t="s">
        <v>441</v>
      </c>
      <c r="F179" s="3" t="s">
        <v>33</v>
      </c>
      <c r="G179" s="3" t="s">
        <v>34</v>
      </c>
      <c r="H179" s="20">
        <v>530.14999999987776</v>
      </c>
      <c r="I179" s="20">
        <v>0</v>
      </c>
      <c r="J179" s="20">
        <v>7000</v>
      </c>
      <c r="K179" s="20">
        <v>0.94</v>
      </c>
      <c r="L179" s="20"/>
      <c r="M179" s="20">
        <f>Tabela1[[#This Row],[1ª QZ]]-Tabela1[[#This Row],[SALDO FINAL]]-Tabela1[[#This Row],[SALDO CARTAO]]-Tabela1[[#This Row],[Adiantamento ]]</f>
        <v>6999.06</v>
      </c>
      <c r="N179" s="20">
        <f>Tabela1[[#This Row],[SALDO REEMBOLSAR]]*$N$4</f>
        <v>318.08999999992665</v>
      </c>
      <c r="O179" s="20">
        <v>7264.1349999999393</v>
      </c>
      <c r="Q179" t="str">
        <f>_xlfn.XLOOKUP(Tabela1[[#This Row],[COLABORADOR]],'STATUS CARTAO'!D:D,'STATUS CARTAO'!G:G)</f>
        <v>Cartão ativo</v>
      </c>
    </row>
    <row r="180" spans="1:17" hidden="1">
      <c r="A180" s="3" t="s">
        <v>442</v>
      </c>
      <c r="B180" s="3" t="s">
        <v>443</v>
      </c>
      <c r="C180" s="5" t="s">
        <v>19</v>
      </c>
      <c r="D180" s="3" t="s">
        <v>43</v>
      </c>
      <c r="E180" s="3" t="s">
        <v>444</v>
      </c>
      <c r="F180" s="3" t="s">
        <v>45</v>
      </c>
      <c r="G180" s="3" t="s">
        <v>40</v>
      </c>
      <c r="H180" s="20">
        <v>0</v>
      </c>
      <c r="I180" s="20">
        <v>158.39999999995052</v>
      </c>
      <c r="J180" s="20">
        <v>2800</v>
      </c>
      <c r="K180" s="20">
        <v>33.22</v>
      </c>
      <c r="L180" s="20"/>
      <c r="M180" s="20">
        <f>Tabela1[[#This Row],[1ª QZ]]-Tabela1[[#This Row],[SALDO FINAL]]-Tabela1[[#This Row],[SALDO CARTAO]]-Tabela1[[#This Row],[Adiantamento ]]</f>
        <v>2608.3800000000497</v>
      </c>
      <c r="N180" s="20">
        <f>Tabela1[[#This Row],[SALDO REEMBOLSAR]]*$N$4</f>
        <v>0</v>
      </c>
      <c r="O180" s="20">
        <v>2608.3800000000497</v>
      </c>
      <c r="Q180" t="str">
        <f>_xlfn.XLOOKUP(Tabela1[[#This Row],[COLABORADOR]],'STATUS CARTAO'!D:D,'STATUS CARTAO'!G:G)</f>
        <v>Cartão ativo</v>
      </c>
    </row>
    <row r="181" spans="1:17" hidden="1">
      <c r="A181" s="3" t="s">
        <v>445</v>
      </c>
      <c r="B181" s="3" t="s">
        <v>446</v>
      </c>
      <c r="C181" s="5" t="s">
        <v>19</v>
      </c>
      <c r="D181" s="3" t="s">
        <v>20</v>
      </c>
      <c r="E181" s="3" t="s">
        <v>193</v>
      </c>
      <c r="F181" s="3" t="s">
        <v>22</v>
      </c>
      <c r="G181" s="3" t="s">
        <v>23</v>
      </c>
      <c r="H181" s="20">
        <v>0</v>
      </c>
      <c r="I181" s="20">
        <v>1628.7200000000048</v>
      </c>
      <c r="J181" s="20">
        <v>1700</v>
      </c>
      <c r="K181" s="20">
        <v>61.55</v>
      </c>
      <c r="L181" s="20"/>
      <c r="M181" s="20">
        <f>Tabela1[[#This Row],[1ª QZ]]-Tabela1[[#This Row],[SALDO FINAL]]-Tabela1[[#This Row],[SALDO CARTAO]]-Tabela1[[#This Row],[Adiantamento ]]</f>
        <v>9.7299999999952007</v>
      </c>
      <c r="N181" s="20">
        <f>Tabela1[[#This Row],[SALDO REEMBOLSAR]]*$N$4</f>
        <v>0</v>
      </c>
      <c r="O181" s="20">
        <v>9.7299999999952007</v>
      </c>
      <c r="Q181" t="str">
        <f>_xlfn.XLOOKUP(Tabela1[[#This Row],[COLABORADOR]],'STATUS CARTAO'!D:D,'STATUS CARTAO'!G:G)</f>
        <v>Cartão ativo</v>
      </c>
    </row>
    <row r="182" spans="1:17" hidden="1">
      <c r="A182" s="3" t="s">
        <v>447</v>
      </c>
      <c r="B182" s="3" t="s">
        <v>448</v>
      </c>
      <c r="C182" s="5" t="s">
        <v>19</v>
      </c>
      <c r="D182" s="3" t="s">
        <v>37</v>
      </c>
      <c r="E182" s="3" t="s">
        <v>347</v>
      </c>
      <c r="F182" s="3" t="s">
        <v>39</v>
      </c>
      <c r="G182" s="3" t="s">
        <v>40</v>
      </c>
      <c r="H182" s="20">
        <v>0</v>
      </c>
      <c r="I182" s="20">
        <v>542.85000000000218</v>
      </c>
      <c r="J182" s="20">
        <v>700</v>
      </c>
      <c r="K182" s="20">
        <v>505.05</v>
      </c>
      <c r="L182" s="20"/>
      <c r="M182" s="20">
        <f>Tabela1[[#This Row],[1ª QZ]]-Tabela1[[#This Row],[SALDO FINAL]]-Tabela1[[#This Row],[SALDO CARTAO]]-Tabela1[[#This Row],[Adiantamento ]]</f>
        <v>-347.90000000000219</v>
      </c>
      <c r="N182" s="20">
        <f>Tabela1[[#This Row],[SALDO REEMBOLSAR]]*$N$4</f>
        <v>0</v>
      </c>
      <c r="O182" s="20">
        <v>0</v>
      </c>
      <c r="Q182" t="str">
        <f>_xlfn.XLOOKUP(Tabela1[[#This Row],[COLABORADOR]],'STATUS CARTAO'!D:D,'STATUS CARTAO'!G:G)</f>
        <v>Cartão ativo</v>
      </c>
    </row>
    <row r="183" spans="1:17" hidden="1">
      <c r="A183" s="3" t="s">
        <v>447</v>
      </c>
      <c r="B183" s="3" t="s">
        <v>448</v>
      </c>
      <c r="C183" s="5"/>
      <c r="D183" s="3" t="s">
        <v>37</v>
      </c>
      <c r="E183" s="3" t="s">
        <v>347</v>
      </c>
      <c r="F183" s="3"/>
      <c r="G183" s="3"/>
      <c r="H183" s="20"/>
      <c r="I183" s="20"/>
      <c r="J183" s="20"/>
      <c r="K183" s="20"/>
      <c r="L183" s="20"/>
      <c r="M183" s="20">
        <f>Tabela1[[#This Row],[1ª QZ]]-Tabela1[[#This Row],[SALDO FINAL]]-Tabela1[[#This Row],[SALDO CARTAO]]-Tabela1[[#This Row],[Adiantamento ]]</f>
        <v>0</v>
      </c>
      <c r="N183" s="20">
        <f>Tabela1[[#This Row],[SALDO REEMBOLSAR]]*$N$4</f>
        <v>0</v>
      </c>
      <c r="O183" s="20">
        <v>157.14999999999776</v>
      </c>
      <c r="Q183" t="str">
        <f>_xlfn.XLOOKUP(Tabela1[[#This Row],[COLABORADOR]],'STATUS CARTAO'!D:D,'STATUS CARTAO'!G:G)</f>
        <v>Cartão ativo</v>
      </c>
    </row>
    <row r="184" spans="1:17" hidden="1">
      <c r="A184" s="3" t="s">
        <v>449</v>
      </c>
      <c r="B184" s="3" t="s">
        <v>450</v>
      </c>
      <c r="C184" s="5" t="s">
        <v>19</v>
      </c>
      <c r="D184" s="3" t="s">
        <v>20</v>
      </c>
      <c r="E184" s="3" t="s">
        <v>451</v>
      </c>
      <c r="F184" s="3" t="s">
        <v>22</v>
      </c>
      <c r="G184" s="3" t="s">
        <v>23</v>
      </c>
      <c r="H184" s="20">
        <v>0</v>
      </c>
      <c r="I184" s="20">
        <v>1001.6500000000124</v>
      </c>
      <c r="J184" s="20">
        <v>1200</v>
      </c>
      <c r="K184" s="20">
        <v>6.57</v>
      </c>
      <c r="L184" s="20"/>
      <c r="M184" s="20">
        <f>Tabela1[[#This Row],[1ª QZ]]-Tabela1[[#This Row],[SALDO FINAL]]-Tabela1[[#This Row],[SALDO CARTAO]]-Tabela1[[#This Row],[Adiantamento ]]</f>
        <v>191.77999999998764</v>
      </c>
      <c r="N184" s="20">
        <f>Tabela1[[#This Row],[SALDO REEMBOLSAR]]*$N$4</f>
        <v>0</v>
      </c>
      <c r="O184" s="20">
        <v>191.77999999998764</v>
      </c>
      <c r="Q184" t="str">
        <f>_xlfn.XLOOKUP(Tabela1[[#This Row],[COLABORADOR]],'STATUS CARTAO'!D:D,'STATUS CARTAO'!G:G)</f>
        <v>Cartão ativo</v>
      </c>
    </row>
    <row r="185" spans="1:17" hidden="1">
      <c r="A185" s="3" t="s">
        <v>452</v>
      </c>
      <c r="B185" s="3" t="s">
        <v>453</v>
      </c>
      <c r="C185" s="5" t="s">
        <v>19</v>
      </c>
      <c r="D185" s="3" t="s">
        <v>74</v>
      </c>
      <c r="E185" s="3" t="s">
        <v>373</v>
      </c>
      <c r="F185" s="3" t="s">
        <v>76</v>
      </c>
      <c r="G185" s="3" t="s">
        <v>40</v>
      </c>
      <c r="H185" s="20">
        <v>376.4300000000012</v>
      </c>
      <c r="I185" s="20">
        <v>0</v>
      </c>
      <c r="J185" s="20">
        <v>1500</v>
      </c>
      <c r="K185" s="20">
        <v>3</v>
      </c>
      <c r="L185" s="20"/>
      <c r="M185" s="20">
        <f>Tabela1[[#This Row],[1ª QZ]]-Tabela1[[#This Row],[SALDO FINAL]]-Tabela1[[#This Row],[SALDO CARTAO]]-Tabela1[[#This Row],[Adiantamento ]]</f>
        <v>1497</v>
      </c>
      <c r="N185" s="20">
        <f>Tabela1[[#This Row],[SALDO REEMBOLSAR]]*$N$4</f>
        <v>225.85800000000071</v>
      </c>
      <c r="O185" s="20">
        <v>1685.2150000000006</v>
      </c>
      <c r="Q185" t="str">
        <f>_xlfn.XLOOKUP(Tabela1[[#This Row],[COLABORADOR]],'STATUS CARTAO'!D:D,'STATUS CARTAO'!G:G)</f>
        <v>Cartão ativo</v>
      </c>
    </row>
    <row r="186" spans="1:17" hidden="1">
      <c r="A186" s="3" t="s">
        <v>454</v>
      </c>
      <c r="B186" s="3" t="s">
        <v>455</v>
      </c>
      <c r="C186" s="5" t="s">
        <v>19</v>
      </c>
      <c r="D186" s="3" t="s">
        <v>26</v>
      </c>
      <c r="E186" s="3" t="s">
        <v>456</v>
      </c>
      <c r="F186" s="3" t="s">
        <v>28</v>
      </c>
      <c r="G186" s="3" t="s">
        <v>23</v>
      </c>
      <c r="H186" s="20">
        <v>0</v>
      </c>
      <c r="I186" s="20">
        <v>1087.7600000000002</v>
      </c>
      <c r="J186" s="20">
        <v>750</v>
      </c>
      <c r="K186" s="20">
        <v>8.8000000000000007</v>
      </c>
      <c r="L186" s="20"/>
      <c r="M186" s="20">
        <f>Tabela1[[#This Row],[1ª QZ]]-Tabela1[[#This Row],[SALDO FINAL]]-Tabela1[[#This Row],[SALDO CARTAO]]-Tabela1[[#This Row],[Adiantamento ]]</f>
        <v>-346.56000000000023</v>
      </c>
      <c r="N186" s="20">
        <f>Tabela1[[#This Row],[SALDO REEMBOLSAR]]*$N$4</f>
        <v>0</v>
      </c>
      <c r="O186" s="20">
        <v>0</v>
      </c>
      <c r="Q186" t="str">
        <f>_xlfn.XLOOKUP(Tabela1[[#This Row],[COLABORADOR]],'STATUS CARTAO'!D:D,'STATUS CARTAO'!G:G)</f>
        <v>Cartão ativo</v>
      </c>
    </row>
    <row r="187" spans="1:17" hidden="1">
      <c r="A187" s="3" t="s">
        <v>457</v>
      </c>
      <c r="B187" s="3" t="s">
        <v>458</v>
      </c>
      <c r="C187" s="5" t="s">
        <v>19</v>
      </c>
      <c r="D187" s="3" t="s">
        <v>37</v>
      </c>
      <c r="E187" s="3" t="s">
        <v>53</v>
      </c>
      <c r="F187" s="3" t="s">
        <v>39</v>
      </c>
      <c r="G187" s="3" t="s">
        <v>40</v>
      </c>
      <c r="H187" s="20">
        <v>0</v>
      </c>
      <c r="I187" s="20">
        <v>458.53</v>
      </c>
      <c r="J187" s="20">
        <v>240</v>
      </c>
      <c r="K187" s="20">
        <v>5.32</v>
      </c>
      <c r="L187" s="20"/>
      <c r="M187" s="20">
        <f>Tabela1[[#This Row],[1ª QZ]]-Tabela1[[#This Row],[SALDO FINAL]]-Tabela1[[#This Row],[SALDO CARTAO]]-Tabela1[[#This Row],[Adiantamento ]]</f>
        <v>-223.84999999999997</v>
      </c>
      <c r="N187" s="20">
        <f>Tabela1[[#This Row],[SALDO REEMBOLSAR]]*$N$4</f>
        <v>0</v>
      </c>
      <c r="O187" s="20">
        <v>0</v>
      </c>
      <c r="Q187" t="str">
        <f>_xlfn.XLOOKUP(Tabela1[[#This Row],[COLABORADOR]],'STATUS CARTAO'!D:D,'STATUS CARTAO'!G:G)</f>
        <v>Cartão ativo</v>
      </c>
    </row>
    <row r="188" spans="1:17" hidden="1">
      <c r="A188" s="3" t="s">
        <v>459</v>
      </c>
      <c r="B188" s="3" t="s">
        <v>460</v>
      </c>
      <c r="C188" s="5" t="s">
        <v>19</v>
      </c>
      <c r="D188" s="3" t="s">
        <v>37</v>
      </c>
      <c r="E188" s="3" t="s">
        <v>138</v>
      </c>
      <c r="F188" s="3" t="s">
        <v>39</v>
      </c>
      <c r="G188" s="3" t="s">
        <v>40</v>
      </c>
      <c r="H188" s="20">
        <v>0</v>
      </c>
      <c r="I188" s="20">
        <v>483.81000000000313</v>
      </c>
      <c r="J188" s="20">
        <v>800</v>
      </c>
      <c r="K188" s="20">
        <v>396.21</v>
      </c>
      <c r="L188" s="20"/>
      <c r="M188" s="20">
        <f>Tabela1[[#This Row],[1ª QZ]]-Tabela1[[#This Row],[SALDO FINAL]]-Tabela1[[#This Row],[SALDO CARTAO]]-Tabela1[[#This Row],[Adiantamento ]]</f>
        <v>-80.020000000003108</v>
      </c>
      <c r="N188" s="20">
        <f>Tabela1[[#This Row],[SALDO REEMBOLSAR]]*$N$4</f>
        <v>0</v>
      </c>
      <c r="O188" s="20">
        <v>0</v>
      </c>
      <c r="Q188" t="str">
        <f>_xlfn.XLOOKUP(Tabela1[[#This Row],[COLABORADOR]],'STATUS CARTAO'!D:D,'STATUS CARTAO'!G:G)</f>
        <v>Cartão ativo</v>
      </c>
    </row>
    <row r="189" spans="1:17" hidden="1">
      <c r="A189" s="3" t="s">
        <v>459</v>
      </c>
      <c r="B189" s="3" t="s">
        <v>460</v>
      </c>
      <c r="C189" s="5"/>
      <c r="D189" s="3" t="s">
        <v>37</v>
      </c>
      <c r="E189" s="3" t="s">
        <v>138</v>
      </c>
      <c r="F189" s="3"/>
      <c r="G189" s="3"/>
      <c r="H189" s="20"/>
      <c r="I189" s="20"/>
      <c r="J189" s="20"/>
      <c r="K189" s="20"/>
      <c r="L189" s="20"/>
      <c r="M189" s="20">
        <f>Tabela1[[#This Row],[1ª QZ]]-Tabela1[[#This Row],[SALDO FINAL]]-Tabela1[[#This Row],[SALDO CARTAO]]-Tabela1[[#This Row],[Adiantamento ]]</f>
        <v>0</v>
      </c>
      <c r="N189" s="20">
        <f>Tabela1[[#This Row],[SALDO REEMBOLSAR]]*$N$4</f>
        <v>0</v>
      </c>
      <c r="O189" s="20">
        <v>316.18999999999693</v>
      </c>
      <c r="Q189" t="str">
        <f>_xlfn.XLOOKUP(Tabela1[[#This Row],[COLABORADOR]],'STATUS CARTAO'!D:D,'STATUS CARTAO'!G:G)</f>
        <v>Cartão ativo</v>
      </c>
    </row>
    <row r="190" spans="1:17" hidden="1">
      <c r="A190" s="3" t="s">
        <v>461</v>
      </c>
      <c r="B190" s="3" t="s">
        <v>462</v>
      </c>
      <c r="C190" s="5" t="s">
        <v>19</v>
      </c>
      <c r="D190" s="3" t="s">
        <v>37</v>
      </c>
      <c r="E190" s="3" t="s">
        <v>138</v>
      </c>
      <c r="F190" s="3" t="s">
        <v>39</v>
      </c>
      <c r="G190" s="3" t="s">
        <v>40</v>
      </c>
      <c r="H190" s="20">
        <v>0</v>
      </c>
      <c r="I190" s="20">
        <v>2.0900000000037835</v>
      </c>
      <c r="J190" s="20">
        <v>800</v>
      </c>
      <c r="K190" s="20">
        <v>2.09</v>
      </c>
      <c r="L190" s="20"/>
      <c r="M190" s="20">
        <f>Tabela1[[#This Row],[1ª QZ]]-Tabela1[[#This Row],[SALDO FINAL]]-Tabela1[[#This Row],[SALDO CARTAO]]-Tabela1[[#This Row],[Adiantamento ]]</f>
        <v>795.81999999999618</v>
      </c>
      <c r="N190" s="20">
        <f>Tabela1[[#This Row],[SALDO REEMBOLSAR]]*$N$4</f>
        <v>0</v>
      </c>
      <c r="O190" s="20">
        <v>795.81999999999618</v>
      </c>
      <c r="Q190" t="str">
        <f>_xlfn.XLOOKUP(Tabela1[[#This Row],[COLABORADOR]],'STATUS CARTAO'!D:D,'STATUS CARTAO'!G:G)</f>
        <v>Cartão ativo</v>
      </c>
    </row>
    <row r="191" spans="1:17" hidden="1">
      <c r="A191" s="3" t="s">
        <v>463</v>
      </c>
      <c r="B191" s="3" t="s">
        <v>464</v>
      </c>
      <c r="C191" s="5" t="s">
        <v>19</v>
      </c>
      <c r="D191" s="3" t="s">
        <v>96</v>
      </c>
      <c r="E191" s="3" t="s">
        <v>226</v>
      </c>
      <c r="F191" s="3" t="s">
        <v>98</v>
      </c>
      <c r="G191" s="3" t="s">
        <v>23</v>
      </c>
      <c r="H191" s="20">
        <v>27.939999999993233</v>
      </c>
      <c r="I191" s="20">
        <v>0</v>
      </c>
      <c r="J191" s="20">
        <v>500</v>
      </c>
      <c r="K191" s="20">
        <v>3</v>
      </c>
      <c r="L191" s="20"/>
      <c r="M191" s="20">
        <f>Tabela1[[#This Row],[1ª QZ]]-Tabela1[[#This Row],[SALDO FINAL]]-Tabela1[[#This Row],[SALDO CARTAO]]-Tabela1[[#This Row],[Adiantamento ]]</f>
        <v>497</v>
      </c>
      <c r="N191" s="20">
        <f>Tabela1[[#This Row],[SALDO REEMBOLSAR]]*$N$4</f>
        <v>16.763999999995939</v>
      </c>
      <c r="O191" s="20">
        <v>510.96999999999662</v>
      </c>
      <c r="Q191" t="str">
        <f>_xlfn.XLOOKUP(Tabela1[[#This Row],[COLABORADOR]],'STATUS CARTAO'!D:D,'STATUS CARTAO'!G:G)</f>
        <v>Cartão ativo</v>
      </c>
    </row>
    <row r="192" spans="1:17" hidden="1">
      <c r="A192" s="3" t="s">
        <v>465</v>
      </c>
      <c r="B192" s="3" t="s">
        <v>466</v>
      </c>
      <c r="C192" s="5" t="s">
        <v>19</v>
      </c>
      <c r="D192" s="3" t="s">
        <v>74</v>
      </c>
      <c r="E192" s="3" t="s">
        <v>467</v>
      </c>
      <c r="F192" s="3" t="s">
        <v>76</v>
      </c>
      <c r="G192" s="3" t="s">
        <v>40</v>
      </c>
      <c r="H192" s="20">
        <v>0</v>
      </c>
      <c r="I192" s="20">
        <v>467.05000000003201</v>
      </c>
      <c r="J192" s="20">
        <v>3000</v>
      </c>
      <c r="K192" s="20">
        <v>25.28</v>
      </c>
      <c r="L192" s="20"/>
      <c r="M192" s="20">
        <f>Tabela1[[#This Row],[1ª QZ]]-Tabela1[[#This Row],[SALDO FINAL]]-Tabela1[[#This Row],[SALDO CARTAO]]-Tabela1[[#This Row],[Adiantamento ]]</f>
        <v>2507.6699999999678</v>
      </c>
      <c r="N192" s="20">
        <f>Tabela1[[#This Row],[SALDO REEMBOLSAR]]*$N$4</f>
        <v>0</v>
      </c>
      <c r="O192" s="20">
        <v>2507.6699999999678</v>
      </c>
      <c r="Q192" t="str">
        <f>_xlfn.XLOOKUP(Tabela1[[#This Row],[COLABORADOR]],'STATUS CARTAO'!D:D,'STATUS CARTAO'!G:G)</f>
        <v>Cartão ativo</v>
      </c>
    </row>
    <row r="193" spans="1:17" hidden="1">
      <c r="A193" s="3" t="s">
        <v>468</v>
      </c>
      <c r="B193" s="3" t="s">
        <v>469</v>
      </c>
      <c r="C193" s="5" t="s">
        <v>19</v>
      </c>
      <c r="D193" s="3" t="s">
        <v>37</v>
      </c>
      <c r="E193" s="3" t="s">
        <v>138</v>
      </c>
      <c r="F193" s="3" t="s">
        <v>39</v>
      </c>
      <c r="G193" s="3" t="s">
        <v>40</v>
      </c>
      <c r="H193" s="20">
        <v>0</v>
      </c>
      <c r="I193" s="20">
        <v>16.080000000005384</v>
      </c>
      <c r="J193" s="20">
        <v>800</v>
      </c>
      <c r="K193" s="20">
        <v>16.079999999999998</v>
      </c>
      <c r="L193" s="20"/>
      <c r="M193" s="20">
        <f>Tabela1[[#This Row],[1ª QZ]]-Tabela1[[#This Row],[SALDO FINAL]]-Tabela1[[#This Row],[SALDO CARTAO]]-Tabela1[[#This Row],[Adiantamento ]]</f>
        <v>767.83999999999457</v>
      </c>
      <c r="N193" s="20">
        <f>Tabela1[[#This Row],[SALDO REEMBOLSAR]]*$N$4</f>
        <v>0</v>
      </c>
      <c r="O193" s="20">
        <v>767.83999999999457</v>
      </c>
      <c r="Q193" t="str">
        <f>_xlfn.XLOOKUP(Tabela1[[#This Row],[COLABORADOR]],'STATUS CARTAO'!D:D,'STATUS CARTAO'!G:G)</f>
        <v>Cartão ativo</v>
      </c>
    </row>
    <row r="194" spans="1:17" hidden="1">
      <c r="A194" s="3" t="s">
        <v>470</v>
      </c>
      <c r="B194" s="3" t="s">
        <v>471</v>
      </c>
      <c r="C194" s="5" t="s">
        <v>19</v>
      </c>
      <c r="D194" s="3" t="s">
        <v>37</v>
      </c>
      <c r="E194" s="3" t="s">
        <v>38</v>
      </c>
      <c r="F194" s="3" t="s">
        <v>39</v>
      </c>
      <c r="G194" s="3" t="s">
        <v>40</v>
      </c>
      <c r="H194" s="20">
        <v>0</v>
      </c>
      <c r="I194" s="20">
        <v>162.83000000000175</v>
      </c>
      <c r="J194" s="20">
        <v>1000</v>
      </c>
      <c r="K194" s="20">
        <v>43.02</v>
      </c>
      <c r="L194" s="20"/>
      <c r="M194" s="20">
        <f>Tabela1[[#This Row],[1ª QZ]]-Tabela1[[#This Row],[SALDO FINAL]]-Tabela1[[#This Row],[SALDO CARTAO]]-Tabela1[[#This Row],[Adiantamento ]]</f>
        <v>794.14999999999827</v>
      </c>
      <c r="N194" s="20">
        <f>Tabela1[[#This Row],[SALDO REEMBOLSAR]]*$N$4</f>
        <v>0</v>
      </c>
      <c r="O194" s="20">
        <v>794.14999999999827</v>
      </c>
      <c r="Q194" t="str">
        <f>_xlfn.XLOOKUP(Tabela1[[#This Row],[COLABORADOR]],'STATUS CARTAO'!D:D,'STATUS CARTAO'!G:G)</f>
        <v>Cartão ativo</v>
      </c>
    </row>
    <row r="195" spans="1:17" hidden="1">
      <c r="A195" s="3" t="s">
        <v>472</v>
      </c>
      <c r="B195" s="3" t="s">
        <v>473</v>
      </c>
      <c r="C195" s="5" t="s">
        <v>19</v>
      </c>
      <c r="D195" s="3" t="s">
        <v>48</v>
      </c>
      <c r="E195" s="3" t="s">
        <v>93</v>
      </c>
      <c r="F195" s="3" t="s">
        <v>50</v>
      </c>
      <c r="G195" s="3" t="s">
        <v>40</v>
      </c>
      <c r="H195" s="20">
        <v>0</v>
      </c>
      <c r="I195" s="20">
        <v>124.39999999999998</v>
      </c>
      <c r="J195" s="20">
        <v>100</v>
      </c>
      <c r="K195" s="20">
        <v>18.8</v>
      </c>
      <c r="L195" s="20"/>
      <c r="M195" s="20">
        <f>Tabela1[[#This Row],[1ª QZ]]-Tabela1[[#This Row],[SALDO FINAL]]-Tabela1[[#This Row],[SALDO CARTAO]]-Tabela1[[#This Row],[Adiantamento ]]</f>
        <v>-43.199999999999974</v>
      </c>
      <c r="N195" s="20">
        <f>Tabela1[[#This Row],[SALDO REEMBOLSAR]]*$N$4</f>
        <v>0</v>
      </c>
      <c r="O195" s="20">
        <v>0</v>
      </c>
      <c r="Q195" t="str">
        <f>_xlfn.XLOOKUP(Tabela1[[#This Row],[COLABORADOR]],'STATUS CARTAO'!D:D,'STATUS CARTAO'!G:G)</f>
        <v>Cartão ativo</v>
      </c>
    </row>
    <row r="196" spans="1:17" hidden="1">
      <c r="A196" s="3" t="s">
        <v>474</v>
      </c>
      <c r="B196" s="3" t="s">
        <v>475</v>
      </c>
      <c r="C196" s="5" t="s">
        <v>19</v>
      </c>
      <c r="D196" s="3" t="s">
        <v>31</v>
      </c>
      <c r="E196" s="3" t="s">
        <v>476</v>
      </c>
      <c r="F196" s="3" t="s">
        <v>33</v>
      </c>
      <c r="G196" s="3" t="s">
        <v>34</v>
      </c>
      <c r="H196" s="20">
        <v>0</v>
      </c>
      <c r="I196" s="20">
        <v>3183.2499999999854</v>
      </c>
      <c r="J196" s="20">
        <v>5000</v>
      </c>
      <c r="K196" s="20">
        <v>2159.92</v>
      </c>
      <c r="L196" s="20"/>
      <c r="M196" s="20">
        <f>Tabela1[[#This Row],[1ª QZ]]-Tabela1[[#This Row],[SALDO FINAL]]-Tabela1[[#This Row],[SALDO CARTAO]]-Tabela1[[#This Row],[Adiantamento ]]</f>
        <v>-343.16999999998552</v>
      </c>
      <c r="N196" s="20">
        <f>Tabela1[[#This Row],[SALDO REEMBOLSAR]]*$N$4</f>
        <v>0</v>
      </c>
      <c r="O196" s="20">
        <v>0</v>
      </c>
      <c r="Q196" t="str">
        <f>_xlfn.XLOOKUP(Tabela1[[#This Row],[COLABORADOR]],'STATUS CARTAO'!D:D,'STATUS CARTAO'!G:G)</f>
        <v>Cartão ativo</v>
      </c>
    </row>
    <row r="197" spans="1:17" hidden="1">
      <c r="A197" s="3" t="s">
        <v>474</v>
      </c>
      <c r="B197" s="3" t="s">
        <v>475</v>
      </c>
      <c r="C197" s="5"/>
      <c r="D197" s="3" t="s">
        <v>31</v>
      </c>
      <c r="E197" s="3" t="s">
        <v>476</v>
      </c>
      <c r="F197" s="3"/>
      <c r="G197" s="3"/>
      <c r="H197" s="20"/>
      <c r="I197" s="20"/>
      <c r="J197" s="20"/>
      <c r="K197" s="20"/>
      <c r="L197" s="20"/>
      <c r="M197" s="20">
        <f>Tabela1[[#This Row],[1ª QZ]]-Tabela1[[#This Row],[SALDO FINAL]]-Tabela1[[#This Row],[SALDO CARTAO]]-Tabela1[[#This Row],[Adiantamento ]]</f>
        <v>0</v>
      </c>
      <c r="N197" s="20">
        <f>Tabela1[[#This Row],[SALDO REEMBOLSAR]]*$N$4</f>
        <v>0</v>
      </c>
      <c r="O197" s="20">
        <v>1816.7500000000146</v>
      </c>
      <c r="Q197" t="str">
        <f>_xlfn.XLOOKUP(Tabela1[[#This Row],[COLABORADOR]],'STATUS CARTAO'!D:D,'STATUS CARTAO'!G:G)</f>
        <v>Cartão ativo</v>
      </c>
    </row>
    <row r="198" spans="1:17" hidden="1">
      <c r="A198" s="3" t="s">
        <v>477</v>
      </c>
      <c r="B198" s="3" t="s">
        <v>478</v>
      </c>
      <c r="C198" s="5" t="s">
        <v>19</v>
      </c>
      <c r="D198" s="3" t="s">
        <v>37</v>
      </c>
      <c r="E198" s="3" t="s">
        <v>479</v>
      </c>
      <c r="F198" s="3" t="s">
        <v>39</v>
      </c>
      <c r="G198" s="3" t="s">
        <v>40</v>
      </c>
      <c r="H198" s="20">
        <v>0</v>
      </c>
      <c r="I198" s="20">
        <v>105.82000000000153</v>
      </c>
      <c r="J198" s="20">
        <v>500</v>
      </c>
      <c r="K198" s="20">
        <v>9.83</v>
      </c>
      <c r="L198" s="20"/>
      <c r="M198" s="20">
        <f>Tabela1[[#This Row],[1ª QZ]]-Tabela1[[#This Row],[SALDO FINAL]]-Tabela1[[#This Row],[SALDO CARTAO]]-Tabela1[[#This Row],[Adiantamento ]]</f>
        <v>384.34999999999849</v>
      </c>
      <c r="N198" s="20">
        <f>Tabela1[[#This Row],[SALDO REEMBOLSAR]]*$N$4</f>
        <v>0</v>
      </c>
      <c r="O198" s="20">
        <v>384.34999999999849</v>
      </c>
      <c r="Q198" t="str">
        <f>_xlfn.XLOOKUP(Tabela1[[#This Row],[COLABORADOR]],'STATUS CARTAO'!D:D,'STATUS CARTAO'!G:G)</f>
        <v>Cartão ativo</v>
      </c>
    </row>
    <row r="199" spans="1:17" hidden="1">
      <c r="A199" s="3" t="s">
        <v>480</v>
      </c>
      <c r="B199" s="3" t="s">
        <v>481</v>
      </c>
      <c r="C199" s="5" t="s">
        <v>19</v>
      </c>
      <c r="D199" s="3" t="s">
        <v>26</v>
      </c>
      <c r="E199" s="3" t="s">
        <v>482</v>
      </c>
      <c r="F199" s="3" t="s">
        <v>28</v>
      </c>
      <c r="G199" s="3" t="s">
        <v>23</v>
      </c>
      <c r="H199" s="20">
        <v>0</v>
      </c>
      <c r="I199" s="20">
        <v>2025.330000000009</v>
      </c>
      <c r="J199" s="20">
        <v>1750</v>
      </c>
      <c r="K199" s="20">
        <v>551.21</v>
      </c>
      <c r="L199" s="20"/>
      <c r="M199" s="20">
        <f>Tabela1[[#This Row],[1ª QZ]]-Tabela1[[#This Row],[SALDO FINAL]]-Tabela1[[#This Row],[SALDO CARTAO]]-Tabela1[[#This Row],[Adiantamento ]]</f>
        <v>-826.54000000000906</v>
      </c>
      <c r="N199" s="20">
        <f>Tabela1[[#This Row],[SALDO REEMBOLSAR]]*$N$4</f>
        <v>0</v>
      </c>
      <c r="O199" s="20">
        <v>0</v>
      </c>
      <c r="Q199" t="str">
        <f>_xlfn.XLOOKUP(Tabela1[[#This Row],[COLABORADOR]],'STATUS CARTAO'!D:D,'STATUS CARTAO'!G:G)</f>
        <v>Cartão ativo</v>
      </c>
    </row>
    <row r="200" spans="1:17" hidden="1">
      <c r="A200" s="3" t="s">
        <v>483</v>
      </c>
      <c r="B200" s="3" t="s">
        <v>484</v>
      </c>
      <c r="C200" s="5" t="s">
        <v>19</v>
      </c>
      <c r="D200" s="3" t="s">
        <v>48</v>
      </c>
      <c r="E200" s="3" t="s">
        <v>93</v>
      </c>
      <c r="F200" s="3" t="s">
        <v>50</v>
      </c>
      <c r="G200" s="3" t="s">
        <v>40</v>
      </c>
      <c r="H200" s="20">
        <v>0</v>
      </c>
      <c r="I200" s="20">
        <v>182.6</v>
      </c>
      <c r="J200" s="20">
        <v>100</v>
      </c>
      <c r="K200" s="20">
        <v>182.6</v>
      </c>
      <c r="L200" s="20"/>
      <c r="M200" s="20">
        <f>Tabela1[[#This Row],[1ª QZ]]-Tabela1[[#This Row],[SALDO FINAL]]-Tabela1[[#This Row],[SALDO CARTAO]]-Tabela1[[#This Row],[Adiantamento ]]</f>
        <v>-265.2</v>
      </c>
      <c r="N200" s="20">
        <f>Tabela1[[#This Row],[SALDO REEMBOLSAR]]*$N$4</f>
        <v>0</v>
      </c>
      <c r="O200" s="20">
        <v>0</v>
      </c>
      <c r="Q200" t="str">
        <f>_xlfn.XLOOKUP(Tabela1[[#This Row],[COLABORADOR]],'STATUS CARTAO'!D:D,'STATUS CARTAO'!G:G)</f>
        <v>Cartão não vinculado</v>
      </c>
    </row>
    <row r="201" spans="1:17" hidden="1">
      <c r="A201" s="3" t="s">
        <v>485</v>
      </c>
      <c r="B201" s="3" t="s">
        <v>486</v>
      </c>
      <c r="C201" s="5" t="s">
        <v>19</v>
      </c>
      <c r="D201" s="3" t="s">
        <v>43</v>
      </c>
      <c r="E201" s="3" t="s">
        <v>82</v>
      </c>
      <c r="F201" s="3" t="s">
        <v>45</v>
      </c>
      <c r="G201" s="3" t="s">
        <v>40</v>
      </c>
      <c r="H201" s="20">
        <v>0</v>
      </c>
      <c r="I201" s="20">
        <v>531.00000000000182</v>
      </c>
      <c r="J201" s="20">
        <v>500</v>
      </c>
      <c r="K201" s="20">
        <v>62.4</v>
      </c>
      <c r="L201" s="20"/>
      <c r="M201" s="20">
        <f>Tabela1[[#This Row],[1ª QZ]]-Tabela1[[#This Row],[SALDO FINAL]]-Tabela1[[#This Row],[SALDO CARTAO]]-Tabela1[[#This Row],[Adiantamento ]]</f>
        <v>-93.400000000001825</v>
      </c>
      <c r="N201" s="20">
        <f>Tabela1[[#This Row],[SALDO REEMBOLSAR]]*$N$4</f>
        <v>0</v>
      </c>
      <c r="O201" s="20">
        <v>0</v>
      </c>
      <c r="Q201" t="str">
        <f>_xlfn.XLOOKUP(Tabela1[[#This Row],[COLABORADOR]],'STATUS CARTAO'!D:D,'STATUS CARTAO'!G:G)</f>
        <v>Cartão ativo</v>
      </c>
    </row>
    <row r="202" spans="1:17" hidden="1">
      <c r="A202" s="3" t="s">
        <v>487</v>
      </c>
      <c r="B202" s="3" t="s">
        <v>488</v>
      </c>
      <c r="C202" s="5" t="s">
        <v>19</v>
      </c>
      <c r="D202" s="3" t="s">
        <v>26</v>
      </c>
      <c r="E202" s="3" t="s">
        <v>489</v>
      </c>
      <c r="F202" s="3" t="s">
        <v>28</v>
      </c>
      <c r="G202" s="3" t="s">
        <v>23</v>
      </c>
      <c r="H202" s="20">
        <v>0</v>
      </c>
      <c r="I202" s="20">
        <v>1331.2400000000089</v>
      </c>
      <c r="J202" s="20">
        <v>1500</v>
      </c>
      <c r="K202" s="20">
        <v>6</v>
      </c>
      <c r="L202" s="20"/>
      <c r="M202" s="20">
        <f>Tabela1[[#This Row],[1ª QZ]]-Tabela1[[#This Row],[SALDO FINAL]]-Tabela1[[#This Row],[SALDO CARTAO]]-Tabela1[[#This Row],[Adiantamento ]]</f>
        <v>162.75999999999112</v>
      </c>
      <c r="N202" s="20">
        <f>Tabela1[[#This Row],[SALDO REEMBOLSAR]]*$N$4</f>
        <v>0</v>
      </c>
      <c r="O202" s="20">
        <v>162.75999999999112</v>
      </c>
      <c r="Q202" t="str">
        <f>_xlfn.XLOOKUP(Tabela1[[#This Row],[COLABORADOR]],'STATUS CARTAO'!D:D,'STATUS CARTAO'!G:G)</f>
        <v>Cartão ativo</v>
      </c>
    </row>
    <row r="203" spans="1:17" hidden="1">
      <c r="A203" s="3" t="s">
        <v>490</v>
      </c>
      <c r="B203" s="3" t="s">
        <v>491</v>
      </c>
      <c r="C203" s="5" t="s">
        <v>19</v>
      </c>
      <c r="D203" s="3" t="s">
        <v>74</v>
      </c>
      <c r="E203" s="3" t="s">
        <v>319</v>
      </c>
      <c r="F203" s="3" t="s">
        <v>76</v>
      </c>
      <c r="G203" s="3" t="s">
        <v>40</v>
      </c>
      <c r="H203" s="20">
        <v>0</v>
      </c>
      <c r="I203" s="20">
        <v>405.81999999997788</v>
      </c>
      <c r="J203" s="20">
        <v>6000</v>
      </c>
      <c r="K203" s="20">
        <v>8</v>
      </c>
      <c r="L203" s="20"/>
      <c r="M203" s="20">
        <f>Tabela1[[#This Row],[1ª QZ]]-Tabela1[[#This Row],[SALDO FINAL]]-Tabela1[[#This Row],[SALDO CARTAO]]-Tabela1[[#This Row],[Adiantamento ]]</f>
        <v>5586.1800000000221</v>
      </c>
      <c r="N203" s="20">
        <f>Tabela1[[#This Row],[SALDO REEMBOLSAR]]*$N$4</f>
        <v>0</v>
      </c>
      <c r="O203" s="20">
        <v>5586.1800000000221</v>
      </c>
      <c r="Q203" t="str">
        <f>_xlfn.XLOOKUP(Tabela1[[#This Row],[COLABORADOR]],'STATUS CARTAO'!D:D,'STATUS CARTAO'!G:G)</f>
        <v>Cartão ativo</v>
      </c>
    </row>
    <row r="204" spans="1:17" hidden="1">
      <c r="A204" s="3" t="s">
        <v>492</v>
      </c>
      <c r="B204" s="3" t="s">
        <v>493</v>
      </c>
      <c r="C204" s="5" t="s">
        <v>19</v>
      </c>
      <c r="D204" s="3" t="s">
        <v>74</v>
      </c>
      <c r="E204" s="3" t="s">
        <v>152</v>
      </c>
      <c r="F204" s="3" t="s">
        <v>76</v>
      </c>
      <c r="G204" s="3" t="s">
        <v>40</v>
      </c>
      <c r="H204" s="20">
        <v>147.40000000002328</v>
      </c>
      <c r="I204" s="20">
        <v>0</v>
      </c>
      <c r="J204" s="20">
        <v>4000</v>
      </c>
      <c r="K204" s="20">
        <v>22</v>
      </c>
      <c r="L204" s="20"/>
      <c r="M204" s="20">
        <f>Tabela1[[#This Row],[1ª QZ]]-Tabela1[[#This Row],[SALDO FINAL]]-Tabela1[[#This Row],[SALDO CARTAO]]-Tabela1[[#This Row],[Adiantamento ]]</f>
        <v>3978</v>
      </c>
      <c r="N204" s="20">
        <f>Tabela1[[#This Row],[SALDO REEMBOLSAR]]*$N$4</f>
        <v>88.440000000013967</v>
      </c>
      <c r="O204" s="20">
        <v>4051.7000000000116</v>
      </c>
      <c r="Q204" t="str">
        <f>_xlfn.XLOOKUP(Tabela1[[#This Row],[COLABORADOR]],'STATUS CARTAO'!D:D,'STATUS CARTAO'!G:G)</f>
        <v>Cartão ativo</v>
      </c>
    </row>
    <row r="205" spans="1:17" hidden="1">
      <c r="A205" s="3" t="s">
        <v>494</v>
      </c>
      <c r="B205" s="21" t="s">
        <v>495</v>
      </c>
      <c r="C205" s="5" t="s">
        <v>19</v>
      </c>
      <c r="D205" s="3" t="s">
        <v>20</v>
      </c>
      <c r="E205" s="3" t="s">
        <v>496</v>
      </c>
      <c r="F205" s="3" t="s">
        <v>22</v>
      </c>
      <c r="G205" s="3" t="s">
        <v>23</v>
      </c>
      <c r="H205" s="20">
        <v>0</v>
      </c>
      <c r="I205" s="20">
        <v>1500</v>
      </c>
      <c r="J205" s="20">
        <v>1500</v>
      </c>
      <c r="K205" s="20">
        <v>1500</v>
      </c>
      <c r="L205" s="20">
        <v>1500</v>
      </c>
      <c r="M205" s="20">
        <f>Tabela1[[#This Row],[1ª QZ]]-Tabela1[[#This Row],[SALDO FINAL]]-Tabela1[[#This Row],[SALDO CARTAO]]-Tabela1[[#This Row],[Adiantamento ]]</f>
        <v>-3000</v>
      </c>
      <c r="N205" s="20">
        <f>Tabela1[[#This Row],[SALDO REEMBOLSAR]]*$N$4</f>
        <v>0</v>
      </c>
      <c r="O205" s="20">
        <v>0</v>
      </c>
      <c r="Q205" t="str">
        <f>_xlfn.XLOOKUP(Tabela1[[#This Row],[COLABORADOR]],'STATUS CARTAO'!D:D,'STATUS CARTAO'!G:G)</f>
        <v>Cartão ativo</v>
      </c>
    </row>
    <row r="206" spans="1:17" hidden="1">
      <c r="A206" s="3" t="s">
        <v>497</v>
      </c>
      <c r="B206" s="3" t="s">
        <v>498</v>
      </c>
      <c r="C206" s="5" t="s">
        <v>19</v>
      </c>
      <c r="D206" s="3" t="s">
        <v>48</v>
      </c>
      <c r="E206" s="3" t="s">
        <v>93</v>
      </c>
      <c r="F206" s="3" t="s">
        <v>50</v>
      </c>
      <c r="G206" s="3" t="s">
        <v>40</v>
      </c>
      <c r="H206" s="20">
        <v>0</v>
      </c>
      <c r="I206" s="20">
        <v>73</v>
      </c>
      <c r="J206" s="20">
        <v>100</v>
      </c>
      <c r="K206" s="20">
        <v>51.91</v>
      </c>
      <c r="L206" s="20"/>
      <c r="M206" s="20">
        <f>Tabela1[[#This Row],[1ª QZ]]-Tabela1[[#This Row],[SALDO FINAL]]-Tabela1[[#This Row],[SALDO CARTAO]]-Tabela1[[#This Row],[Adiantamento ]]</f>
        <v>-24.909999999999997</v>
      </c>
      <c r="N206" s="20">
        <f>Tabela1[[#This Row],[SALDO REEMBOLSAR]]*$N$4</f>
        <v>0</v>
      </c>
      <c r="O206" s="20">
        <v>0</v>
      </c>
      <c r="Q206" t="str">
        <f>_xlfn.XLOOKUP(Tabela1[[#This Row],[COLABORADOR]],'STATUS CARTAO'!D:D,'STATUS CARTAO'!G:G)</f>
        <v>Cartão ativo</v>
      </c>
    </row>
    <row r="207" spans="1:17" hidden="1">
      <c r="A207" s="3" t="s">
        <v>499</v>
      </c>
      <c r="B207" s="3" t="s">
        <v>500</v>
      </c>
      <c r="C207" s="5" t="s">
        <v>19</v>
      </c>
      <c r="D207" s="3" t="s">
        <v>20</v>
      </c>
      <c r="E207" s="3" t="s">
        <v>193</v>
      </c>
      <c r="F207" s="3" t="s">
        <v>22</v>
      </c>
      <c r="G207" s="3" t="s">
        <v>23</v>
      </c>
      <c r="H207" s="20">
        <v>0</v>
      </c>
      <c r="I207" s="20">
        <v>1633.0799999999981</v>
      </c>
      <c r="J207" s="20">
        <v>1500</v>
      </c>
      <c r="K207" s="20">
        <v>1500</v>
      </c>
      <c r="L207" s="20"/>
      <c r="M207" s="20">
        <f>Tabela1[[#This Row],[1ª QZ]]-Tabela1[[#This Row],[SALDO FINAL]]-Tabela1[[#This Row],[SALDO CARTAO]]-Tabela1[[#This Row],[Adiantamento ]]</f>
        <v>-1633.0799999999981</v>
      </c>
      <c r="N207" s="20">
        <f>Tabela1[[#This Row],[SALDO REEMBOLSAR]]*$N$4</f>
        <v>0</v>
      </c>
      <c r="O207" s="20">
        <v>0</v>
      </c>
      <c r="Q207" t="str">
        <f>_xlfn.XLOOKUP(Tabela1[[#This Row],[COLABORADOR]],'STATUS CARTAO'!D:D,'STATUS CARTAO'!G:G)</f>
        <v>Cartão ativo</v>
      </c>
    </row>
    <row r="208" spans="1:17" hidden="1">
      <c r="A208" s="3" t="s">
        <v>501</v>
      </c>
      <c r="B208" s="3" t="s">
        <v>502</v>
      </c>
      <c r="C208" s="5" t="s">
        <v>19</v>
      </c>
      <c r="D208" s="3" t="s">
        <v>37</v>
      </c>
      <c r="E208" s="3" t="s">
        <v>109</v>
      </c>
      <c r="F208" s="3" t="s">
        <v>39</v>
      </c>
      <c r="G208" s="3" t="s">
        <v>40</v>
      </c>
      <c r="H208" s="20">
        <v>803.22000000000116</v>
      </c>
      <c r="I208" s="20">
        <v>0</v>
      </c>
      <c r="J208" s="20">
        <v>1000</v>
      </c>
      <c r="K208" s="20">
        <v>43</v>
      </c>
      <c r="L208" s="20"/>
      <c r="M208" s="20">
        <f>Tabela1[[#This Row],[1ª QZ]]-Tabela1[[#This Row],[SALDO FINAL]]-Tabela1[[#This Row],[SALDO CARTAO]]-Tabela1[[#This Row],[Adiantamento ]]</f>
        <v>957</v>
      </c>
      <c r="N208" s="20">
        <f>Tabela1[[#This Row],[SALDO REEMBOLSAR]]*$N$4</f>
        <v>481.9320000000007</v>
      </c>
      <c r="O208" s="20">
        <v>1358.6100000000006</v>
      </c>
      <c r="Q208" t="str">
        <f>_xlfn.XLOOKUP(Tabela1[[#This Row],[COLABORADOR]],'STATUS CARTAO'!D:D,'STATUS CARTAO'!G:G)</f>
        <v>Cartão ativo</v>
      </c>
    </row>
    <row r="209" spans="1:17" hidden="1">
      <c r="A209" s="3" t="s">
        <v>503</v>
      </c>
      <c r="B209" s="3" t="s">
        <v>504</v>
      </c>
      <c r="C209" s="5" t="s">
        <v>19</v>
      </c>
      <c r="D209" s="3" t="s">
        <v>48</v>
      </c>
      <c r="E209" s="3" t="s">
        <v>93</v>
      </c>
      <c r="F209" s="3" t="s">
        <v>50</v>
      </c>
      <c r="G209" s="3" t="s">
        <v>40</v>
      </c>
      <c r="H209" s="20">
        <v>0</v>
      </c>
      <c r="I209" s="20">
        <v>50</v>
      </c>
      <c r="J209" s="20">
        <v>50</v>
      </c>
      <c r="K209" s="20">
        <v>50</v>
      </c>
      <c r="L209" s="20"/>
      <c r="M209" s="20">
        <f>Tabela1[[#This Row],[1ª QZ]]-Tabela1[[#This Row],[SALDO FINAL]]-Tabela1[[#This Row],[SALDO CARTAO]]-Tabela1[[#This Row],[Adiantamento ]]</f>
        <v>-50</v>
      </c>
      <c r="N209" s="20">
        <f>Tabela1[[#This Row],[SALDO REEMBOLSAR]]*$N$4</f>
        <v>0</v>
      </c>
      <c r="O209" s="20">
        <v>0</v>
      </c>
      <c r="Q209" t="str">
        <f>_xlfn.XLOOKUP(Tabela1[[#This Row],[COLABORADOR]],'STATUS CARTAO'!D:D,'STATUS CARTAO'!G:G)</f>
        <v>Cartão ativo</v>
      </c>
    </row>
    <row r="210" spans="1:17" hidden="1">
      <c r="A210" s="3" t="s">
        <v>505</v>
      </c>
      <c r="B210" s="3" t="s">
        <v>506</v>
      </c>
      <c r="C210" s="5" t="s">
        <v>19</v>
      </c>
      <c r="D210" s="3" t="s">
        <v>48</v>
      </c>
      <c r="E210" s="3" t="s">
        <v>93</v>
      </c>
      <c r="F210" s="3" t="s">
        <v>50</v>
      </c>
      <c r="G210" s="3" t="s">
        <v>40</v>
      </c>
      <c r="H210" s="20">
        <v>0</v>
      </c>
      <c r="I210" s="20">
        <v>103.20000000000005</v>
      </c>
      <c r="J210" s="20">
        <v>100</v>
      </c>
      <c r="K210" s="20">
        <v>75</v>
      </c>
      <c r="L210" s="20"/>
      <c r="M210" s="20">
        <f>Tabela1[[#This Row],[1ª QZ]]-Tabela1[[#This Row],[SALDO FINAL]]-Tabela1[[#This Row],[SALDO CARTAO]]-Tabela1[[#This Row],[Adiantamento ]]</f>
        <v>-78.200000000000045</v>
      </c>
      <c r="N210" s="20">
        <f>Tabela1[[#This Row],[SALDO REEMBOLSAR]]*$N$4</f>
        <v>0</v>
      </c>
      <c r="O210" s="20">
        <v>0</v>
      </c>
      <c r="Q210" t="str">
        <f>_xlfn.XLOOKUP(Tabela1[[#This Row],[COLABORADOR]],'STATUS CARTAO'!D:D,'STATUS CARTAO'!G:G)</f>
        <v>Cartão ativo</v>
      </c>
    </row>
    <row r="211" spans="1:17" hidden="1">
      <c r="A211" s="3" t="s">
        <v>507</v>
      </c>
      <c r="B211" s="3" t="s">
        <v>508</v>
      </c>
      <c r="C211" s="5" t="s">
        <v>19</v>
      </c>
      <c r="D211" s="3" t="s">
        <v>26</v>
      </c>
      <c r="E211" s="3" t="s">
        <v>509</v>
      </c>
      <c r="F211" s="3" t="s">
        <v>28</v>
      </c>
      <c r="G211" s="3" t="s">
        <v>23</v>
      </c>
      <c r="H211" s="20">
        <v>0</v>
      </c>
      <c r="I211" s="20">
        <v>719.11999999999989</v>
      </c>
      <c r="J211" s="20">
        <v>500</v>
      </c>
      <c r="K211" s="20">
        <v>80.900000000000006</v>
      </c>
      <c r="L211" s="20"/>
      <c r="M211" s="20">
        <f>Tabela1[[#This Row],[1ª QZ]]-Tabela1[[#This Row],[SALDO FINAL]]-Tabela1[[#This Row],[SALDO CARTAO]]-Tabela1[[#This Row],[Adiantamento ]]</f>
        <v>-300.01999999999987</v>
      </c>
      <c r="N211" s="20">
        <f>Tabela1[[#This Row],[SALDO REEMBOLSAR]]*$N$4</f>
        <v>0</v>
      </c>
      <c r="O211" s="20">
        <v>0</v>
      </c>
      <c r="Q211" t="str">
        <f>_xlfn.XLOOKUP(Tabela1[[#This Row],[COLABORADOR]],'STATUS CARTAO'!D:D,'STATUS CARTAO'!G:G)</f>
        <v>Cartão ativo</v>
      </c>
    </row>
    <row r="212" spans="1:17" hidden="1">
      <c r="A212" s="3" t="s">
        <v>510</v>
      </c>
      <c r="B212" s="3" t="s">
        <v>511</v>
      </c>
      <c r="C212" s="5" t="s">
        <v>19</v>
      </c>
      <c r="D212" s="3" t="s">
        <v>37</v>
      </c>
      <c r="E212" s="3" t="s">
        <v>68</v>
      </c>
      <c r="F212" s="3" t="s">
        <v>39</v>
      </c>
      <c r="G212" s="3" t="s">
        <v>40</v>
      </c>
      <c r="H212" s="20">
        <v>0</v>
      </c>
      <c r="I212" s="20">
        <v>230</v>
      </c>
      <c r="J212" s="20">
        <v>350</v>
      </c>
      <c r="K212" s="20">
        <v>230</v>
      </c>
      <c r="L212" s="20"/>
      <c r="M212" s="20">
        <f>Tabela1[[#This Row],[1ª QZ]]-Tabela1[[#This Row],[SALDO FINAL]]-Tabela1[[#This Row],[SALDO CARTAO]]-Tabela1[[#This Row],[Adiantamento ]]</f>
        <v>-110</v>
      </c>
      <c r="N212" s="20">
        <f>Tabela1[[#This Row],[SALDO REEMBOLSAR]]*$N$4</f>
        <v>0</v>
      </c>
      <c r="O212" s="20">
        <v>0</v>
      </c>
      <c r="Q212" t="str">
        <f>_xlfn.XLOOKUP(Tabela1[[#This Row],[COLABORADOR]],'STATUS CARTAO'!D:D,'STATUS CARTAO'!G:G)</f>
        <v>Cartão ativo</v>
      </c>
    </row>
    <row r="213" spans="1:17" hidden="1">
      <c r="A213" s="3" t="s">
        <v>510</v>
      </c>
      <c r="B213" s="3" t="s">
        <v>511</v>
      </c>
      <c r="C213" s="5"/>
      <c r="D213" s="3" t="s">
        <v>37</v>
      </c>
      <c r="E213" s="3" t="s">
        <v>68</v>
      </c>
      <c r="F213" s="3"/>
      <c r="G213" s="3"/>
      <c r="H213" s="20"/>
      <c r="I213" s="20"/>
      <c r="J213" s="20"/>
      <c r="K213" s="20"/>
      <c r="L213" s="20"/>
      <c r="M213" s="20">
        <f>Tabela1[[#This Row],[1ª QZ]]-Tabela1[[#This Row],[SALDO FINAL]]-Tabela1[[#This Row],[SALDO CARTAO]]-Tabela1[[#This Row],[Adiantamento ]]</f>
        <v>0</v>
      </c>
      <c r="N213" s="20">
        <f>Tabela1[[#This Row],[SALDO REEMBOLSAR]]*$N$4</f>
        <v>0</v>
      </c>
      <c r="O213" s="20">
        <v>120</v>
      </c>
      <c r="Q213" t="str">
        <f>_xlfn.XLOOKUP(Tabela1[[#This Row],[COLABORADOR]],'STATUS CARTAO'!D:D,'STATUS CARTAO'!G:G)</f>
        <v>Cartão ativo</v>
      </c>
    </row>
    <row r="214" spans="1:17" hidden="1">
      <c r="A214" s="3" t="s">
        <v>512</v>
      </c>
      <c r="B214" s="3" t="s">
        <v>513</v>
      </c>
      <c r="C214" s="5" t="s">
        <v>19</v>
      </c>
      <c r="D214" s="3" t="s">
        <v>48</v>
      </c>
      <c r="E214" s="3" t="s">
        <v>93</v>
      </c>
      <c r="F214" s="3" t="s">
        <v>50</v>
      </c>
      <c r="G214" s="3" t="s">
        <v>40</v>
      </c>
      <c r="H214" s="20">
        <v>0</v>
      </c>
      <c r="I214" s="20">
        <v>195</v>
      </c>
      <c r="J214" s="20">
        <v>100</v>
      </c>
      <c r="K214" s="20">
        <v>0</v>
      </c>
      <c r="L214" s="20"/>
      <c r="M214" s="20">
        <f>Tabela1[[#This Row],[1ª QZ]]-Tabela1[[#This Row],[SALDO FINAL]]-Tabela1[[#This Row],[SALDO CARTAO]]-Tabela1[[#This Row],[Adiantamento ]]</f>
        <v>-95</v>
      </c>
      <c r="N214" s="20">
        <f>Tabela1[[#This Row],[SALDO REEMBOLSAR]]*$N$4</f>
        <v>0</v>
      </c>
      <c r="O214" s="20">
        <v>0</v>
      </c>
      <c r="Q214" t="str">
        <f>_xlfn.XLOOKUP(Tabela1[[#This Row],[COLABORADOR]],'STATUS CARTAO'!D:D,'STATUS CARTAO'!G:G)</f>
        <v>Cartão ativo</v>
      </c>
    </row>
    <row r="215" spans="1:17" hidden="1">
      <c r="A215" s="3" t="s">
        <v>514</v>
      </c>
      <c r="B215" s="3" t="s">
        <v>515</v>
      </c>
      <c r="C215" s="5" t="s">
        <v>19</v>
      </c>
      <c r="D215" s="3" t="s">
        <v>37</v>
      </c>
      <c r="E215" s="3" t="s">
        <v>347</v>
      </c>
      <c r="F215" s="3" t="s">
        <v>39</v>
      </c>
      <c r="G215" s="3" t="s">
        <v>40</v>
      </c>
      <c r="H215" s="20">
        <v>0</v>
      </c>
      <c r="I215" s="20">
        <v>57.610000000000014</v>
      </c>
      <c r="J215" s="20">
        <v>700</v>
      </c>
      <c r="K215" s="20">
        <v>7.61</v>
      </c>
      <c r="L215" s="20"/>
      <c r="M215" s="20">
        <f>Tabela1[[#This Row],[1ª QZ]]-Tabela1[[#This Row],[SALDO FINAL]]-Tabela1[[#This Row],[SALDO CARTAO]]-Tabela1[[#This Row],[Adiantamento ]]</f>
        <v>634.78</v>
      </c>
      <c r="N215" s="20">
        <f>Tabela1[[#This Row],[SALDO REEMBOLSAR]]*$N$4</f>
        <v>0</v>
      </c>
      <c r="O215" s="20">
        <v>634.78</v>
      </c>
      <c r="Q215" t="str">
        <f>_xlfn.XLOOKUP(Tabela1[[#This Row],[COLABORADOR]],'STATUS CARTAO'!D:D,'STATUS CARTAO'!G:G)</f>
        <v>Cartão ativo</v>
      </c>
    </row>
    <row r="216" spans="1:17" hidden="1">
      <c r="A216" s="3" t="s">
        <v>516</v>
      </c>
      <c r="B216" s="3" t="s">
        <v>517</v>
      </c>
      <c r="C216" s="5" t="s">
        <v>19</v>
      </c>
      <c r="D216" s="3" t="s">
        <v>31</v>
      </c>
      <c r="E216" s="3" t="s">
        <v>441</v>
      </c>
      <c r="F216" s="3" t="s">
        <v>33</v>
      </c>
      <c r="G216" s="3" t="s">
        <v>34</v>
      </c>
      <c r="H216" s="20">
        <v>848.61</v>
      </c>
      <c r="I216" s="20">
        <v>0</v>
      </c>
      <c r="J216" s="20">
        <v>1000</v>
      </c>
      <c r="K216" s="20">
        <v>2.58</v>
      </c>
      <c r="L216" s="20"/>
      <c r="M216" s="20">
        <f>Tabela1[[#This Row],[1ª QZ]]-Tabela1[[#This Row],[SALDO FINAL]]-Tabela1[[#This Row],[SALDO CARTAO]]-Tabela1[[#This Row],[Adiantamento ]]</f>
        <v>997.42</v>
      </c>
      <c r="N216" s="20">
        <f>Tabela1[[#This Row],[SALDO REEMBOLSAR]]*$N$4</f>
        <v>509.166</v>
      </c>
      <c r="O216" s="20">
        <v>1421.7249999999999</v>
      </c>
      <c r="Q216" t="str">
        <f>_xlfn.XLOOKUP(Tabela1[[#This Row],[COLABORADOR]],'STATUS CARTAO'!D:D,'STATUS CARTAO'!G:G)</f>
        <v>Cartão ativo</v>
      </c>
    </row>
    <row r="217" spans="1:17" hidden="1">
      <c r="A217" s="3" t="s">
        <v>518</v>
      </c>
      <c r="B217" s="3" t="s">
        <v>519</v>
      </c>
      <c r="C217" s="5" t="s">
        <v>19</v>
      </c>
      <c r="D217" s="3" t="s">
        <v>96</v>
      </c>
      <c r="E217" s="3" t="s">
        <v>520</v>
      </c>
      <c r="F217" s="3" t="s">
        <v>98</v>
      </c>
      <c r="G217" s="3" t="s">
        <v>23</v>
      </c>
      <c r="H217" s="20">
        <v>0</v>
      </c>
      <c r="I217" s="20">
        <v>7216.7900000000027</v>
      </c>
      <c r="J217" s="20">
        <v>7000</v>
      </c>
      <c r="K217" s="20">
        <v>5750.41</v>
      </c>
      <c r="L217" s="20"/>
      <c r="M217" s="20">
        <f>Tabela1[[#This Row],[1ª QZ]]-Tabela1[[#This Row],[SALDO FINAL]]-Tabela1[[#This Row],[SALDO CARTAO]]-Tabela1[[#This Row],[Adiantamento ]]</f>
        <v>-5967.2000000000025</v>
      </c>
      <c r="N217" s="20">
        <f>Tabela1[[#This Row],[SALDO REEMBOLSAR]]*$N$4</f>
        <v>0</v>
      </c>
      <c r="O217" s="20">
        <v>0</v>
      </c>
      <c r="Q217" t="str">
        <f>_xlfn.XLOOKUP(Tabela1[[#This Row],[COLABORADOR]],'STATUS CARTAO'!D:D,'STATUS CARTAO'!G:G)</f>
        <v>Cartão ativo</v>
      </c>
    </row>
    <row r="218" spans="1:17" hidden="1">
      <c r="A218" s="3" t="s">
        <v>521</v>
      </c>
      <c r="B218" s="3" t="s">
        <v>522</v>
      </c>
      <c r="C218" s="5" t="s">
        <v>19</v>
      </c>
      <c r="D218" s="3" t="s">
        <v>74</v>
      </c>
      <c r="E218" s="3" t="s">
        <v>373</v>
      </c>
      <c r="F218" s="3" t="s">
        <v>76</v>
      </c>
      <c r="G218" s="3" t="s">
        <v>40</v>
      </c>
      <c r="H218" s="20">
        <v>47.260000000000218</v>
      </c>
      <c r="I218" s="20">
        <v>0</v>
      </c>
      <c r="J218" s="20">
        <v>1500</v>
      </c>
      <c r="K218" s="20">
        <v>0.2</v>
      </c>
      <c r="L218" s="20"/>
      <c r="M218" s="20">
        <f>Tabela1[[#This Row],[1ª QZ]]-Tabela1[[#This Row],[SALDO FINAL]]-Tabela1[[#This Row],[SALDO CARTAO]]-Tabela1[[#This Row],[Adiantamento ]]</f>
        <v>1499.8</v>
      </c>
      <c r="N218" s="20">
        <f>Tabela1[[#This Row],[SALDO REEMBOLSAR]]*$N$4</f>
        <v>28.35600000000013</v>
      </c>
      <c r="O218" s="20">
        <v>1523.43</v>
      </c>
      <c r="Q218" t="str">
        <f>_xlfn.XLOOKUP(Tabela1[[#This Row],[COLABORADOR]],'STATUS CARTAO'!D:D,'STATUS CARTAO'!G:G)</f>
        <v>Cartão ativo</v>
      </c>
    </row>
    <row r="219" spans="1:17" hidden="1">
      <c r="A219" s="3" t="s">
        <v>523</v>
      </c>
      <c r="B219" s="3" t="s">
        <v>524</v>
      </c>
      <c r="C219" s="5" t="s">
        <v>19</v>
      </c>
      <c r="D219" s="3" t="s">
        <v>43</v>
      </c>
      <c r="E219" s="3" t="s">
        <v>525</v>
      </c>
      <c r="F219" s="3" t="s">
        <v>45</v>
      </c>
      <c r="G219" s="3" t="s">
        <v>40</v>
      </c>
      <c r="H219" s="20">
        <v>0</v>
      </c>
      <c r="I219" s="20">
        <v>103.16999999999985</v>
      </c>
      <c r="J219" s="20">
        <v>1000</v>
      </c>
      <c r="K219" s="20">
        <v>53.01</v>
      </c>
      <c r="L219" s="20"/>
      <c r="M219" s="20">
        <f>Tabela1[[#This Row],[1ª QZ]]-Tabela1[[#This Row],[SALDO FINAL]]-Tabela1[[#This Row],[SALDO CARTAO]]-Tabela1[[#This Row],[Adiantamento ]]</f>
        <v>843.82000000000016</v>
      </c>
      <c r="N219" s="20">
        <f>Tabela1[[#This Row],[SALDO REEMBOLSAR]]*$N$4</f>
        <v>0</v>
      </c>
      <c r="O219" s="20">
        <v>843.82000000000016</v>
      </c>
      <c r="Q219" t="str">
        <f>_xlfn.XLOOKUP(Tabela1[[#This Row],[COLABORADOR]],'STATUS CARTAO'!D:D,'STATUS CARTAO'!G:G)</f>
        <v>Cartão ativo</v>
      </c>
    </row>
    <row r="220" spans="1:17" hidden="1">
      <c r="A220" s="3" t="s">
        <v>526</v>
      </c>
      <c r="B220" s="3" t="s">
        <v>527</v>
      </c>
      <c r="C220" s="5" t="s">
        <v>19</v>
      </c>
      <c r="D220" s="3" t="s">
        <v>37</v>
      </c>
      <c r="E220" s="3" t="s">
        <v>347</v>
      </c>
      <c r="F220" s="3" t="s">
        <v>39</v>
      </c>
      <c r="G220" s="3" t="s">
        <v>40</v>
      </c>
      <c r="H220" s="20">
        <v>0</v>
      </c>
      <c r="I220" s="20">
        <v>500</v>
      </c>
      <c r="J220" s="20">
        <v>700</v>
      </c>
      <c r="K220" s="20">
        <v>218.8</v>
      </c>
      <c r="L220" s="20"/>
      <c r="M220" s="20">
        <f>Tabela1[[#This Row],[1ª QZ]]-Tabela1[[#This Row],[SALDO FINAL]]-Tabela1[[#This Row],[SALDO CARTAO]]-Tabela1[[#This Row],[Adiantamento ]]</f>
        <v>-18.800000000000011</v>
      </c>
      <c r="N220" s="20">
        <f>Tabela1[[#This Row],[SALDO REEMBOLSAR]]*$N$4</f>
        <v>0</v>
      </c>
      <c r="O220" s="20">
        <v>0</v>
      </c>
      <c r="Q220" t="str">
        <f>_xlfn.XLOOKUP(Tabela1[[#This Row],[COLABORADOR]],'STATUS CARTAO'!D:D,'STATUS CARTAO'!G:G)</f>
        <v>Cartão ativo</v>
      </c>
    </row>
    <row r="221" spans="1:17" hidden="1">
      <c r="A221" s="3" t="s">
        <v>526</v>
      </c>
      <c r="B221" s="3" t="s">
        <v>527</v>
      </c>
      <c r="C221" s="5"/>
      <c r="D221" s="3" t="s">
        <v>37</v>
      </c>
      <c r="E221" s="3" t="s">
        <v>347</v>
      </c>
      <c r="F221" s="3"/>
      <c r="G221" s="3"/>
      <c r="H221" s="20"/>
      <c r="I221" s="20"/>
      <c r="J221" s="20"/>
      <c r="K221" s="20"/>
      <c r="L221" s="20"/>
      <c r="M221" s="20">
        <f>Tabela1[[#This Row],[1ª QZ]]-Tabela1[[#This Row],[SALDO FINAL]]-Tabela1[[#This Row],[SALDO CARTAO]]-Tabela1[[#This Row],[Adiantamento ]]</f>
        <v>0</v>
      </c>
      <c r="N221" s="20">
        <f>Tabela1[[#This Row],[SALDO REEMBOLSAR]]*$N$4</f>
        <v>0</v>
      </c>
      <c r="O221" s="20">
        <v>479.99999999999994</v>
      </c>
      <c r="Q221" t="str">
        <f>_xlfn.XLOOKUP(Tabela1[[#This Row],[COLABORADOR]],'STATUS CARTAO'!D:D,'STATUS CARTAO'!G:G)</f>
        <v>Cartão ativo</v>
      </c>
    </row>
    <row r="222" spans="1:17" hidden="1">
      <c r="A222" s="3" t="s">
        <v>528</v>
      </c>
      <c r="B222" s="3" t="s">
        <v>529</v>
      </c>
      <c r="C222" s="5" t="s">
        <v>19</v>
      </c>
      <c r="D222" s="3" t="s">
        <v>74</v>
      </c>
      <c r="E222" s="3" t="s">
        <v>530</v>
      </c>
      <c r="F222" s="3" t="s">
        <v>76</v>
      </c>
      <c r="G222" s="3" t="s">
        <v>40</v>
      </c>
      <c r="H222" s="20">
        <v>0</v>
      </c>
      <c r="I222" s="20">
        <v>3601.4200000000005</v>
      </c>
      <c r="J222" s="20">
        <v>2000</v>
      </c>
      <c r="K222" s="20">
        <v>29</v>
      </c>
      <c r="L222" s="20"/>
      <c r="M222" s="20">
        <f>Tabela1[[#This Row],[1ª QZ]]-Tabela1[[#This Row],[SALDO FINAL]]-Tabela1[[#This Row],[SALDO CARTAO]]-Tabela1[[#This Row],[Adiantamento ]]</f>
        <v>-1630.4200000000005</v>
      </c>
      <c r="N222" s="20">
        <f>Tabela1[[#This Row],[SALDO REEMBOLSAR]]*$N$4</f>
        <v>0</v>
      </c>
      <c r="O222" s="20">
        <v>0</v>
      </c>
      <c r="Q222" t="str">
        <f>_xlfn.XLOOKUP(Tabela1[[#This Row],[COLABORADOR]],'STATUS CARTAO'!D:D,'STATUS CARTAO'!G:G)</f>
        <v>Cartão ativo</v>
      </c>
    </row>
    <row r="223" spans="1:17" hidden="1">
      <c r="A223" s="3" t="s">
        <v>531</v>
      </c>
      <c r="B223" s="3" t="s">
        <v>532</v>
      </c>
      <c r="C223" s="5" t="s">
        <v>19</v>
      </c>
      <c r="D223" s="3" t="s">
        <v>48</v>
      </c>
      <c r="E223" s="3" t="s">
        <v>93</v>
      </c>
      <c r="F223" s="3" t="s">
        <v>50</v>
      </c>
      <c r="G223" s="3" t="s">
        <v>40</v>
      </c>
      <c r="H223" s="20">
        <v>0</v>
      </c>
      <c r="I223" s="20">
        <v>214.5</v>
      </c>
      <c r="J223" s="20">
        <v>100</v>
      </c>
      <c r="K223" s="20">
        <v>100</v>
      </c>
      <c r="L223" s="20"/>
      <c r="M223" s="20">
        <f>Tabela1[[#This Row],[1ª QZ]]-Tabela1[[#This Row],[SALDO FINAL]]-Tabela1[[#This Row],[SALDO CARTAO]]-Tabela1[[#This Row],[Adiantamento ]]</f>
        <v>-214.5</v>
      </c>
      <c r="N223" s="20">
        <f>Tabela1[[#This Row],[SALDO REEMBOLSAR]]*$N$4</f>
        <v>0</v>
      </c>
      <c r="O223" s="20">
        <v>0</v>
      </c>
      <c r="Q223" t="str">
        <f>_xlfn.XLOOKUP(Tabela1[[#This Row],[COLABORADOR]],'STATUS CARTAO'!D:D,'STATUS CARTAO'!G:G)</f>
        <v>Cartão ativo</v>
      </c>
    </row>
    <row r="224" spans="1:17" hidden="1">
      <c r="A224" s="3" t="s">
        <v>533</v>
      </c>
      <c r="B224" s="3" t="s">
        <v>534</v>
      </c>
      <c r="C224" s="5" t="s">
        <v>19</v>
      </c>
      <c r="D224" s="3" t="s">
        <v>74</v>
      </c>
      <c r="E224" s="3" t="s">
        <v>298</v>
      </c>
      <c r="F224" s="3" t="s">
        <v>76</v>
      </c>
      <c r="G224" s="3" t="s">
        <v>40</v>
      </c>
      <c r="H224" s="20">
        <v>0</v>
      </c>
      <c r="I224" s="20">
        <v>542.29999999999654</v>
      </c>
      <c r="J224" s="20">
        <v>800</v>
      </c>
      <c r="K224" s="20">
        <v>542.29999999999995</v>
      </c>
      <c r="L224" s="20"/>
      <c r="M224" s="20">
        <f>Tabela1[[#This Row],[1ª QZ]]-Tabela1[[#This Row],[SALDO FINAL]]-Tabela1[[#This Row],[SALDO CARTAO]]-Tabela1[[#This Row],[Adiantamento ]]</f>
        <v>-284.5999999999965</v>
      </c>
      <c r="N224" s="20">
        <f>Tabela1[[#This Row],[SALDO REEMBOLSAR]]*$N$4</f>
        <v>0</v>
      </c>
      <c r="O224" s="20">
        <v>0</v>
      </c>
      <c r="Q224" t="str">
        <f>_xlfn.XLOOKUP(Tabela1[[#This Row],[COLABORADOR]],'STATUS CARTAO'!D:D,'STATUS CARTAO'!G:G)</f>
        <v>Cartão ativo</v>
      </c>
    </row>
    <row r="225" spans="1:17" hidden="1">
      <c r="A225" s="3" t="s">
        <v>533</v>
      </c>
      <c r="B225" s="3" t="s">
        <v>534</v>
      </c>
      <c r="C225" s="5"/>
      <c r="D225" s="3" t="s">
        <v>74</v>
      </c>
      <c r="E225" s="3" t="s">
        <v>298</v>
      </c>
      <c r="F225" s="3"/>
      <c r="G225" s="3"/>
      <c r="H225" s="20"/>
      <c r="I225" s="20"/>
      <c r="J225" s="20"/>
      <c r="K225" s="20"/>
      <c r="L225" s="20"/>
      <c r="M225" s="20">
        <f>Tabela1[[#This Row],[1ª QZ]]-Tabela1[[#This Row],[SALDO FINAL]]-Tabela1[[#This Row],[SALDO CARTAO]]-Tabela1[[#This Row],[Adiantamento ]]</f>
        <v>0</v>
      </c>
      <c r="N225" s="20">
        <f>Tabela1[[#This Row],[SALDO REEMBOLSAR]]*$N$4</f>
        <v>0</v>
      </c>
      <c r="O225" s="20">
        <v>257.70000000000005</v>
      </c>
      <c r="Q225" t="str">
        <f>_xlfn.XLOOKUP(Tabela1[[#This Row],[COLABORADOR]],'STATUS CARTAO'!D:D,'STATUS CARTAO'!G:G)</f>
        <v>Cartão ativo</v>
      </c>
    </row>
    <row r="226" spans="1:17" hidden="1">
      <c r="A226" s="3" t="s">
        <v>535</v>
      </c>
      <c r="B226" s="3" t="s">
        <v>536</v>
      </c>
      <c r="C226" s="5" t="s">
        <v>19</v>
      </c>
      <c r="D226" s="3" t="s">
        <v>31</v>
      </c>
      <c r="E226" s="3" t="s">
        <v>56</v>
      </c>
      <c r="F226" s="3" t="s">
        <v>33</v>
      </c>
      <c r="G226" s="3" t="s">
        <v>34</v>
      </c>
      <c r="H226" s="20">
        <v>0</v>
      </c>
      <c r="I226" s="20">
        <v>348.89999999999964</v>
      </c>
      <c r="J226" s="20">
        <v>700</v>
      </c>
      <c r="K226" s="20">
        <v>6.62</v>
      </c>
      <c r="L226" s="20"/>
      <c r="M226" s="20">
        <f>Tabela1[[#This Row],[1ª QZ]]-Tabela1[[#This Row],[SALDO FINAL]]-Tabela1[[#This Row],[SALDO CARTAO]]-Tabela1[[#This Row],[Adiantamento ]]</f>
        <v>344.48000000000036</v>
      </c>
      <c r="N226" s="20">
        <f>Tabela1[[#This Row],[SALDO REEMBOLSAR]]*$N$4</f>
        <v>0</v>
      </c>
      <c r="O226" s="20">
        <v>344.48000000000036</v>
      </c>
      <c r="Q226" t="str">
        <f>_xlfn.XLOOKUP(Tabela1[[#This Row],[COLABORADOR]],'STATUS CARTAO'!D:D,'STATUS CARTAO'!G:G)</f>
        <v>Cartão ativo</v>
      </c>
    </row>
    <row r="227" spans="1:17" hidden="1">
      <c r="A227" s="3" t="s">
        <v>537</v>
      </c>
      <c r="B227" s="3" t="s">
        <v>538</v>
      </c>
      <c r="C227" s="5" t="s">
        <v>19</v>
      </c>
      <c r="D227" s="3" t="s">
        <v>37</v>
      </c>
      <c r="E227" s="3" t="s">
        <v>413</v>
      </c>
      <c r="F227" s="3" t="s">
        <v>39</v>
      </c>
      <c r="G227" s="3" t="s">
        <v>40</v>
      </c>
      <c r="H227" s="20">
        <v>0</v>
      </c>
      <c r="I227" s="20">
        <v>365</v>
      </c>
      <c r="J227" s="20">
        <v>1950</v>
      </c>
      <c r="K227" s="20">
        <v>65</v>
      </c>
      <c r="L227" s="20"/>
      <c r="M227" s="20">
        <f>Tabela1[[#This Row],[1ª QZ]]-Tabela1[[#This Row],[SALDO FINAL]]-Tabela1[[#This Row],[SALDO CARTAO]]-Tabela1[[#This Row],[Adiantamento ]]</f>
        <v>1520</v>
      </c>
      <c r="N227" s="20">
        <f>Tabela1[[#This Row],[SALDO REEMBOLSAR]]*$N$4</f>
        <v>0</v>
      </c>
      <c r="O227" s="20">
        <v>1520</v>
      </c>
      <c r="Q227" t="str">
        <f>_xlfn.XLOOKUP(Tabela1[[#This Row],[COLABORADOR]],'STATUS CARTAO'!D:D,'STATUS CARTAO'!G:G)</f>
        <v>Cartão ativo</v>
      </c>
    </row>
    <row r="228" spans="1:17" hidden="1">
      <c r="A228" s="3" t="s">
        <v>539</v>
      </c>
      <c r="B228" s="3" t="s">
        <v>540</v>
      </c>
      <c r="C228" s="5" t="s">
        <v>19</v>
      </c>
      <c r="D228" s="3" t="s">
        <v>74</v>
      </c>
      <c r="E228" s="3" t="s">
        <v>373</v>
      </c>
      <c r="F228" s="3" t="s">
        <v>76</v>
      </c>
      <c r="G228" s="3" t="s">
        <v>40</v>
      </c>
      <c r="H228" s="20">
        <v>0</v>
      </c>
      <c r="I228" s="20">
        <v>13528.52</v>
      </c>
      <c r="J228" s="20">
        <v>4000</v>
      </c>
      <c r="K228" s="20">
        <v>1611.77</v>
      </c>
      <c r="L228" s="20"/>
      <c r="M228" s="20">
        <f>Tabela1[[#This Row],[1ª QZ]]-Tabela1[[#This Row],[SALDO FINAL]]-Tabela1[[#This Row],[SALDO CARTAO]]-Tabela1[[#This Row],[Adiantamento ]]</f>
        <v>-11140.29</v>
      </c>
      <c r="N228" s="20">
        <f>Tabela1[[#This Row],[SALDO REEMBOLSAR]]*$N$4</f>
        <v>0</v>
      </c>
      <c r="O228" s="20">
        <v>0</v>
      </c>
      <c r="Q228" t="str">
        <f>_xlfn.XLOOKUP(Tabela1[[#This Row],[COLABORADOR]],'STATUS CARTAO'!D:D,'STATUS CARTAO'!G:G)</f>
        <v>Cartão ativo</v>
      </c>
    </row>
    <row r="229" spans="1:17" hidden="1">
      <c r="A229" s="3" t="s">
        <v>541</v>
      </c>
      <c r="B229" s="3" t="s">
        <v>542</v>
      </c>
      <c r="C229" s="5" t="s">
        <v>19</v>
      </c>
      <c r="D229" s="3" t="s">
        <v>96</v>
      </c>
      <c r="E229" s="3" t="s">
        <v>226</v>
      </c>
      <c r="F229" s="3" t="s">
        <v>98</v>
      </c>
      <c r="G229" s="3" t="s">
        <v>23</v>
      </c>
      <c r="H229" s="20">
        <v>1545</v>
      </c>
      <c r="I229" s="20">
        <v>0</v>
      </c>
      <c r="J229" s="20">
        <v>1500</v>
      </c>
      <c r="K229" s="20">
        <v>0.05</v>
      </c>
      <c r="L229" s="20"/>
      <c r="M229" s="20">
        <f>Tabela1[[#This Row],[1ª QZ]]-Tabela1[[#This Row],[SALDO FINAL]]-Tabela1[[#This Row],[SALDO CARTAO]]-Tabela1[[#This Row],[Adiantamento ]]</f>
        <v>1499.95</v>
      </c>
      <c r="N229" s="20">
        <f>Tabela1[[#This Row],[SALDO REEMBOLSAR]]*$N$4</f>
        <v>927</v>
      </c>
      <c r="O229" s="20">
        <v>2272.4499999999998</v>
      </c>
      <c r="Q229" t="str">
        <f>_xlfn.XLOOKUP(Tabela1[[#This Row],[COLABORADOR]],'STATUS CARTAO'!D:D,'STATUS CARTAO'!G:G)</f>
        <v>Cartão ativo</v>
      </c>
    </row>
    <row r="230" spans="1:17" hidden="1">
      <c r="A230" s="3" t="s">
        <v>39</v>
      </c>
      <c r="B230" s="3" t="s">
        <v>543</v>
      </c>
      <c r="C230" s="5" t="s">
        <v>19</v>
      </c>
      <c r="D230" s="3" t="s">
        <v>37</v>
      </c>
      <c r="E230" s="3" t="s">
        <v>123</v>
      </c>
      <c r="F230" s="3" t="s">
        <v>39</v>
      </c>
      <c r="G230" s="3" t="s">
        <v>40</v>
      </c>
      <c r="H230" s="20">
        <v>806.08999999999992</v>
      </c>
      <c r="I230" s="20">
        <v>0</v>
      </c>
      <c r="J230" s="20">
        <v>1000</v>
      </c>
      <c r="K230" s="20">
        <v>0</v>
      </c>
      <c r="L230" s="20"/>
      <c r="M230" s="20">
        <f>Tabela1[[#This Row],[1ª QZ]]-Tabela1[[#This Row],[SALDO FINAL]]-Tabela1[[#This Row],[SALDO CARTAO]]-Tabela1[[#This Row],[Adiantamento ]]</f>
        <v>1000</v>
      </c>
      <c r="N230" s="20">
        <f>Tabela1[[#This Row],[SALDO REEMBOLSAR]]*$N$4</f>
        <v>483.65399999999994</v>
      </c>
      <c r="O230" s="20">
        <v>1403.0450000000001</v>
      </c>
      <c r="Q230" t="str">
        <f>_xlfn.XLOOKUP(Tabela1[[#This Row],[COLABORADOR]],'STATUS CARTAO'!D:D,'STATUS CARTAO'!G:G)</f>
        <v>Cartão ativo</v>
      </c>
    </row>
    <row r="231" spans="1:17" hidden="1">
      <c r="A231" s="3" t="s">
        <v>544</v>
      </c>
      <c r="B231" s="3" t="s">
        <v>545</v>
      </c>
      <c r="C231" s="5" t="s">
        <v>19</v>
      </c>
      <c r="D231" s="3" t="s">
        <v>74</v>
      </c>
      <c r="E231" s="3" t="s">
        <v>334</v>
      </c>
      <c r="F231" s="3" t="s">
        <v>76</v>
      </c>
      <c r="G231" s="3" t="s">
        <v>40</v>
      </c>
      <c r="H231" s="20">
        <v>0</v>
      </c>
      <c r="I231" s="20">
        <v>11828.470000000001</v>
      </c>
      <c r="J231" s="20">
        <v>500</v>
      </c>
      <c r="K231" s="20">
        <v>4.1500000000000004</v>
      </c>
      <c r="L231" s="20"/>
      <c r="M231" s="20">
        <f>Tabela1[[#This Row],[1ª QZ]]-Tabela1[[#This Row],[SALDO FINAL]]-Tabela1[[#This Row],[SALDO CARTAO]]-Tabela1[[#This Row],[Adiantamento ]]</f>
        <v>-11332.62</v>
      </c>
      <c r="N231" s="20">
        <f>Tabela1[[#This Row],[SALDO REEMBOLSAR]]*$N$4</f>
        <v>0</v>
      </c>
      <c r="O231" s="20">
        <v>0</v>
      </c>
      <c r="Q231" t="str">
        <f>_xlfn.XLOOKUP(Tabela1[[#This Row],[COLABORADOR]],'STATUS CARTAO'!D:D,'STATUS CARTAO'!G:G)</f>
        <v>Cartão ativo</v>
      </c>
    </row>
    <row r="232" spans="1:17" hidden="1">
      <c r="A232" s="3" t="s">
        <v>546</v>
      </c>
      <c r="B232" s="3" t="s">
        <v>547</v>
      </c>
      <c r="C232" s="5" t="s">
        <v>19</v>
      </c>
      <c r="D232" s="3" t="s">
        <v>37</v>
      </c>
      <c r="E232" s="3" t="s">
        <v>68</v>
      </c>
      <c r="F232" s="3" t="s">
        <v>39</v>
      </c>
      <c r="G232" s="3" t="s">
        <v>40</v>
      </c>
      <c r="H232" s="20">
        <v>0</v>
      </c>
      <c r="I232" s="20">
        <v>2233.680000000003</v>
      </c>
      <c r="J232" s="20">
        <v>2000</v>
      </c>
      <c r="K232" s="20">
        <v>1976</v>
      </c>
      <c r="L232" s="20"/>
      <c r="M232" s="20">
        <f>Tabela1[[#This Row],[1ª QZ]]-Tabela1[[#This Row],[SALDO FINAL]]-Tabela1[[#This Row],[SALDO CARTAO]]-Tabela1[[#This Row],[Adiantamento ]]</f>
        <v>-2209.680000000003</v>
      </c>
      <c r="N232" s="20">
        <f>Tabela1[[#This Row],[SALDO REEMBOLSAR]]*$N$4</f>
        <v>0</v>
      </c>
      <c r="O232" s="20">
        <v>0</v>
      </c>
      <c r="Q232" t="str">
        <f>_xlfn.XLOOKUP(Tabela1[[#This Row],[COLABORADOR]],'STATUS CARTAO'!D:D,'STATUS CARTAO'!G:G)</f>
        <v>Cartão ativo</v>
      </c>
    </row>
    <row r="233" spans="1:17" hidden="1">
      <c r="A233" s="3" t="s">
        <v>548</v>
      </c>
      <c r="B233" s="3" t="s">
        <v>549</v>
      </c>
      <c r="C233" s="5" t="s">
        <v>19</v>
      </c>
      <c r="D233" s="3" t="s">
        <v>26</v>
      </c>
      <c r="E233" s="3" t="s">
        <v>550</v>
      </c>
      <c r="F233" s="3" t="s">
        <v>28</v>
      </c>
      <c r="G233" s="3" t="s">
        <v>23</v>
      </c>
      <c r="H233" s="20">
        <v>0</v>
      </c>
      <c r="I233" s="20">
        <v>1038.9200000000055</v>
      </c>
      <c r="J233" s="20">
        <v>1000</v>
      </c>
      <c r="K233" s="20">
        <v>3</v>
      </c>
      <c r="L233" s="20"/>
      <c r="M233" s="20">
        <f>Tabela1[[#This Row],[1ª QZ]]-Tabela1[[#This Row],[SALDO FINAL]]-Tabela1[[#This Row],[SALDO CARTAO]]-Tabela1[[#This Row],[Adiantamento ]]</f>
        <v>-41.92000000000553</v>
      </c>
      <c r="N233" s="20">
        <f>Tabela1[[#This Row],[SALDO REEMBOLSAR]]*$N$4</f>
        <v>0</v>
      </c>
      <c r="O233" s="20">
        <v>0</v>
      </c>
      <c r="Q233" t="str">
        <f>_xlfn.XLOOKUP(Tabela1[[#This Row],[COLABORADOR]],'STATUS CARTAO'!D:D,'STATUS CARTAO'!G:G)</f>
        <v>Cartão ativo</v>
      </c>
    </row>
    <row r="234" spans="1:17" hidden="1">
      <c r="A234" s="3" t="s">
        <v>551</v>
      </c>
      <c r="B234" s="3" t="s">
        <v>552</v>
      </c>
      <c r="C234" s="5" t="s">
        <v>19</v>
      </c>
      <c r="D234" s="3" t="s">
        <v>59</v>
      </c>
      <c r="E234" s="3" t="s">
        <v>60</v>
      </c>
      <c r="F234" s="3" t="s">
        <v>61</v>
      </c>
      <c r="G234" s="3" t="s">
        <v>23</v>
      </c>
      <c r="H234" s="20">
        <v>0</v>
      </c>
      <c r="I234" s="20">
        <v>551.00000000000364</v>
      </c>
      <c r="J234" s="20">
        <v>1000</v>
      </c>
      <c r="K234" s="20">
        <v>5.31</v>
      </c>
      <c r="L234" s="20"/>
      <c r="M234" s="20">
        <f>Tabela1[[#This Row],[1ª QZ]]-Tabela1[[#This Row],[SALDO FINAL]]-Tabela1[[#This Row],[SALDO CARTAO]]-Tabela1[[#This Row],[Adiantamento ]]</f>
        <v>443.68999999999636</v>
      </c>
      <c r="N234" s="20">
        <f>Tabela1[[#This Row],[SALDO REEMBOLSAR]]*$N$4</f>
        <v>0</v>
      </c>
      <c r="O234" s="20">
        <v>443.68999999999636</v>
      </c>
      <c r="Q234" t="str">
        <f>_xlfn.XLOOKUP(Tabela1[[#This Row],[COLABORADOR]],'STATUS CARTAO'!D:D,'STATUS CARTAO'!G:G)</f>
        <v>Cartão ativo</v>
      </c>
    </row>
    <row r="235" spans="1:17" hidden="1">
      <c r="A235" s="3" t="s">
        <v>553</v>
      </c>
      <c r="B235" s="3" t="s">
        <v>554</v>
      </c>
      <c r="C235" s="5" t="s">
        <v>19</v>
      </c>
      <c r="D235" s="3" t="s">
        <v>59</v>
      </c>
      <c r="E235" s="3" t="s">
        <v>60</v>
      </c>
      <c r="F235" s="3" t="s">
        <v>61</v>
      </c>
      <c r="G235" s="3" t="s">
        <v>23</v>
      </c>
      <c r="H235" s="20">
        <v>0</v>
      </c>
      <c r="I235" s="20">
        <v>79.909999999999854</v>
      </c>
      <c r="J235" s="20">
        <v>1000</v>
      </c>
      <c r="K235" s="20">
        <v>3.61</v>
      </c>
      <c r="L235" s="20"/>
      <c r="M235" s="20">
        <f>Tabela1[[#This Row],[1ª QZ]]-Tabela1[[#This Row],[SALDO FINAL]]-Tabela1[[#This Row],[SALDO CARTAO]]-Tabela1[[#This Row],[Adiantamento ]]</f>
        <v>916.48000000000013</v>
      </c>
      <c r="N235" s="20">
        <f>Tabela1[[#This Row],[SALDO REEMBOLSAR]]*$N$4</f>
        <v>0</v>
      </c>
      <c r="O235" s="20">
        <v>916.48000000000013</v>
      </c>
      <c r="Q235" t="str">
        <f>_xlfn.XLOOKUP(Tabela1[[#This Row],[COLABORADOR]],'STATUS CARTAO'!D:D,'STATUS CARTAO'!G:G)</f>
        <v>Cartão ativo</v>
      </c>
    </row>
    <row r="236" spans="1:17" hidden="1">
      <c r="A236" s="3" t="s">
        <v>555</v>
      </c>
      <c r="B236" s="3" t="s">
        <v>556</v>
      </c>
      <c r="C236" s="5" t="s">
        <v>19</v>
      </c>
      <c r="D236" s="3" t="s">
        <v>37</v>
      </c>
      <c r="E236" s="3" t="s">
        <v>138</v>
      </c>
      <c r="F236" s="3" t="s">
        <v>39</v>
      </c>
      <c r="G236" s="3" t="s">
        <v>40</v>
      </c>
      <c r="H236" s="20">
        <v>0</v>
      </c>
      <c r="I236" s="20">
        <v>91.039999999999964</v>
      </c>
      <c r="J236" s="20">
        <v>800</v>
      </c>
      <c r="K236" s="20">
        <v>15.8</v>
      </c>
      <c r="L236" s="20"/>
      <c r="M236" s="20">
        <f>Tabela1[[#This Row],[1ª QZ]]-Tabela1[[#This Row],[SALDO FINAL]]-Tabela1[[#This Row],[SALDO CARTAO]]-Tabela1[[#This Row],[Adiantamento ]]</f>
        <v>693.16000000000008</v>
      </c>
      <c r="N236" s="20">
        <f>Tabela1[[#This Row],[SALDO REEMBOLSAR]]*$N$4</f>
        <v>0</v>
      </c>
      <c r="O236" s="20">
        <v>693.16000000000008</v>
      </c>
      <c r="Q236" t="str">
        <f>_xlfn.XLOOKUP(Tabela1[[#This Row],[COLABORADOR]],'STATUS CARTAO'!D:D,'STATUS CARTAO'!G:G)</f>
        <v>Cartão ativo</v>
      </c>
    </row>
    <row r="237" spans="1:17" hidden="1">
      <c r="A237" s="3" t="s">
        <v>557</v>
      </c>
      <c r="B237" s="3" t="s">
        <v>558</v>
      </c>
      <c r="C237" s="5" t="s">
        <v>19</v>
      </c>
      <c r="D237" s="3" t="s">
        <v>37</v>
      </c>
      <c r="E237" s="3" t="s">
        <v>138</v>
      </c>
      <c r="F237" s="3" t="s">
        <v>39</v>
      </c>
      <c r="G237" s="3" t="s">
        <v>40</v>
      </c>
      <c r="H237" s="20">
        <v>0</v>
      </c>
      <c r="I237" s="20">
        <v>316.30000000000291</v>
      </c>
      <c r="J237" s="20">
        <v>800</v>
      </c>
      <c r="K237" s="20">
        <v>242.9</v>
      </c>
      <c r="L237" s="20"/>
      <c r="M237" s="20">
        <f>Tabela1[[#This Row],[1ª QZ]]-Tabela1[[#This Row],[SALDO FINAL]]-Tabela1[[#This Row],[SALDO CARTAO]]-Tabela1[[#This Row],[Adiantamento ]]</f>
        <v>240.79999999999708</v>
      </c>
      <c r="N237" s="20">
        <f>Tabela1[[#This Row],[SALDO REEMBOLSAR]]*$N$4</f>
        <v>0</v>
      </c>
      <c r="O237" s="20">
        <v>240.79999999999708</v>
      </c>
      <c r="Q237" t="str">
        <f>_xlfn.XLOOKUP(Tabela1[[#This Row],[COLABORADOR]],'STATUS CARTAO'!D:D,'STATUS CARTAO'!G:G)</f>
        <v>Cartão ativo</v>
      </c>
    </row>
    <row r="238" spans="1:17" hidden="1">
      <c r="A238" s="3" t="s">
        <v>557</v>
      </c>
      <c r="B238" s="3" t="s">
        <v>558</v>
      </c>
      <c r="C238" s="5"/>
      <c r="D238" s="3" t="s">
        <v>37</v>
      </c>
      <c r="E238" s="3" t="s">
        <v>138</v>
      </c>
      <c r="F238" s="3"/>
      <c r="G238" s="3"/>
      <c r="H238" s="20"/>
      <c r="I238" s="20"/>
      <c r="J238" s="20"/>
      <c r="K238" s="20"/>
      <c r="L238" s="20"/>
      <c r="M238" s="20">
        <f>Tabela1[[#This Row],[1ª QZ]]-Tabela1[[#This Row],[SALDO FINAL]]-Tabela1[[#This Row],[SALDO CARTAO]]-Tabela1[[#This Row],[Adiantamento ]]</f>
        <v>0</v>
      </c>
      <c r="N238" s="20">
        <f>Tabela1[[#This Row],[SALDO REEMBOLSAR]]*$N$4</f>
        <v>0</v>
      </c>
      <c r="O238" s="20">
        <v>242.9</v>
      </c>
      <c r="Q238" t="str">
        <f>_xlfn.XLOOKUP(Tabela1[[#This Row],[COLABORADOR]],'STATUS CARTAO'!D:D,'STATUS CARTAO'!G:G)</f>
        <v>Cartão ativo</v>
      </c>
    </row>
    <row r="239" spans="1:17" hidden="1">
      <c r="A239" s="3" t="s">
        <v>559</v>
      </c>
      <c r="B239" s="3" t="s">
        <v>560</v>
      </c>
      <c r="C239" s="5" t="s">
        <v>19</v>
      </c>
      <c r="D239" s="3" t="s">
        <v>31</v>
      </c>
      <c r="E239" s="3" t="s">
        <v>257</v>
      </c>
      <c r="F239" s="3" t="s">
        <v>33</v>
      </c>
      <c r="G239" s="3" t="s">
        <v>34</v>
      </c>
      <c r="H239" s="20">
        <v>0</v>
      </c>
      <c r="I239" s="20">
        <v>967.57000000000107</v>
      </c>
      <c r="J239" s="20">
        <v>1000</v>
      </c>
      <c r="K239" s="20">
        <v>56.18</v>
      </c>
      <c r="L239" s="20"/>
      <c r="M239" s="20">
        <f>Tabela1[[#This Row],[1ª QZ]]-Tabela1[[#This Row],[SALDO FINAL]]-Tabela1[[#This Row],[SALDO CARTAO]]-Tabela1[[#This Row],[Adiantamento ]]</f>
        <v>-23.750000000001073</v>
      </c>
      <c r="N239" s="20">
        <f>Tabela1[[#This Row],[SALDO REEMBOLSAR]]*$N$4</f>
        <v>0</v>
      </c>
      <c r="O239" s="20">
        <v>0</v>
      </c>
      <c r="Q239" t="str">
        <f>_xlfn.XLOOKUP(Tabela1[[#This Row],[COLABORADOR]],'STATUS CARTAO'!D:D,'STATUS CARTAO'!G:G)</f>
        <v>Cartão ativo</v>
      </c>
    </row>
    <row r="240" spans="1:17" hidden="1">
      <c r="A240" s="3" t="s">
        <v>561</v>
      </c>
      <c r="B240" s="3" t="s">
        <v>562</v>
      </c>
      <c r="C240" s="5" t="s">
        <v>19</v>
      </c>
      <c r="D240" s="3" t="s">
        <v>48</v>
      </c>
      <c r="E240" s="3" t="s">
        <v>49</v>
      </c>
      <c r="F240" s="3" t="s">
        <v>50</v>
      </c>
      <c r="G240" s="3" t="s">
        <v>40</v>
      </c>
      <c r="H240" s="20">
        <v>0</v>
      </c>
      <c r="I240" s="20">
        <v>95.959999999999809</v>
      </c>
      <c r="J240" s="20">
        <v>120</v>
      </c>
      <c r="K240" s="20">
        <v>0</v>
      </c>
      <c r="L240" s="20"/>
      <c r="M240" s="20">
        <f>Tabela1[[#This Row],[1ª QZ]]-Tabela1[[#This Row],[SALDO FINAL]]-Tabela1[[#This Row],[SALDO CARTAO]]-Tabela1[[#This Row],[Adiantamento ]]</f>
        <v>24.040000000000191</v>
      </c>
      <c r="N240" s="20">
        <f>Tabela1[[#This Row],[SALDO REEMBOLSAR]]*$N$4</f>
        <v>0</v>
      </c>
      <c r="O240" s="20">
        <v>24.040000000000191</v>
      </c>
      <c r="Q240" t="str">
        <f>_xlfn.XLOOKUP(Tabela1[[#This Row],[COLABORADOR]],'STATUS CARTAO'!D:D,'STATUS CARTAO'!G:G)</f>
        <v>Cartão ativo</v>
      </c>
    </row>
    <row r="241" spans="1:17" hidden="1">
      <c r="A241" s="3" t="s">
        <v>563</v>
      </c>
      <c r="B241" s="3" t="s">
        <v>564</v>
      </c>
      <c r="C241" s="5" t="s">
        <v>19</v>
      </c>
      <c r="D241" s="3" t="s">
        <v>48</v>
      </c>
      <c r="E241" s="3" t="s">
        <v>93</v>
      </c>
      <c r="F241" s="3" t="s">
        <v>50</v>
      </c>
      <c r="G241" s="3" t="s">
        <v>40</v>
      </c>
      <c r="H241" s="20">
        <v>13.389999999999873</v>
      </c>
      <c r="I241" s="20">
        <v>0</v>
      </c>
      <c r="J241" s="20">
        <v>100</v>
      </c>
      <c r="K241" s="20">
        <v>15.01</v>
      </c>
      <c r="L241" s="20"/>
      <c r="M241" s="20">
        <f>Tabela1[[#This Row],[1ª QZ]]-Tabela1[[#This Row],[SALDO FINAL]]-Tabela1[[#This Row],[SALDO CARTAO]]-Tabela1[[#This Row],[Adiantamento ]]</f>
        <v>84.99</v>
      </c>
      <c r="N241" s="20">
        <f>Tabela1[[#This Row],[SALDO REEMBOLSAR]]*$N$4</f>
        <v>8.0339999999999225</v>
      </c>
      <c r="O241" s="20">
        <v>91.684999999999931</v>
      </c>
      <c r="Q241" t="str">
        <f>_xlfn.XLOOKUP(Tabela1[[#This Row],[COLABORADOR]],'STATUS CARTAO'!D:D,'STATUS CARTAO'!G:G)</f>
        <v>Cartão ativo</v>
      </c>
    </row>
    <row r="242" spans="1:17" hidden="1">
      <c r="A242" s="3" t="s">
        <v>565</v>
      </c>
      <c r="B242" s="3" t="s">
        <v>566</v>
      </c>
      <c r="C242" s="5" t="s">
        <v>19</v>
      </c>
      <c r="D242" s="3" t="s">
        <v>26</v>
      </c>
      <c r="E242" s="3" t="s">
        <v>567</v>
      </c>
      <c r="F242" s="3" t="s">
        <v>28</v>
      </c>
      <c r="G242" s="3" t="s">
        <v>23</v>
      </c>
      <c r="H242" s="20">
        <v>0</v>
      </c>
      <c r="I242" s="20">
        <v>78.659999999990006</v>
      </c>
      <c r="J242" s="20">
        <v>6000</v>
      </c>
      <c r="K242" s="20">
        <v>1</v>
      </c>
      <c r="L242" s="20">
        <v>2000</v>
      </c>
      <c r="M242" s="20">
        <f>Tabela1[[#This Row],[1ª QZ]]-Tabela1[[#This Row],[SALDO FINAL]]-Tabela1[[#This Row],[SALDO CARTAO]]-Tabela1[[#This Row],[Adiantamento ]]</f>
        <v>3920.3400000000101</v>
      </c>
      <c r="N242" s="20">
        <f>Tabela1[[#This Row],[SALDO REEMBOLSAR]]*$N$4</f>
        <v>0</v>
      </c>
      <c r="O242" s="20">
        <v>3920.3400000000101</v>
      </c>
      <c r="Q242" t="str">
        <f>_xlfn.XLOOKUP(Tabela1[[#This Row],[COLABORADOR]],'STATUS CARTAO'!D:D,'STATUS CARTAO'!G:G)</f>
        <v>Cartão ativo</v>
      </c>
    </row>
    <row r="243" spans="1:17" hidden="1">
      <c r="A243" s="3" t="s">
        <v>568</v>
      </c>
      <c r="B243" s="3" t="s">
        <v>569</v>
      </c>
      <c r="C243" s="5" t="s">
        <v>19</v>
      </c>
      <c r="D243" s="3" t="s">
        <v>31</v>
      </c>
      <c r="E243" s="3" t="s">
        <v>257</v>
      </c>
      <c r="F243" s="3" t="s">
        <v>33</v>
      </c>
      <c r="G243" s="3" t="s">
        <v>34</v>
      </c>
      <c r="H243" s="20">
        <v>0</v>
      </c>
      <c r="I243" s="20">
        <v>1705.37</v>
      </c>
      <c r="J243" s="20">
        <v>1500</v>
      </c>
      <c r="K243" s="20">
        <v>35.36</v>
      </c>
      <c r="L243" s="20"/>
      <c r="M243" s="20">
        <f>Tabela1[[#This Row],[1ª QZ]]-Tabela1[[#This Row],[SALDO FINAL]]-Tabela1[[#This Row],[SALDO CARTAO]]-Tabela1[[#This Row],[Adiantamento ]]</f>
        <v>-240.7299999999999</v>
      </c>
      <c r="N243" s="20">
        <f>Tabela1[[#This Row],[SALDO REEMBOLSAR]]*$N$4</f>
        <v>0</v>
      </c>
      <c r="O243" s="20">
        <v>0</v>
      </c>
      <c r="Q243" t="str">
        <f>_xlfn.XLOOKUP(Tabela1[[#This Row],[COLABORADOR]],'STATUS CARTAO'!D:D,'STATUS CARTAO'!G:G)</f>
        <v>Cartão ativo</v>
      </c>
    </row>
    <row r="244" spans="1:17" hidden="1">
      <c r="A244" s="3" t="s">
        <v>570</v>
      </c>
      <c r="B244" s="3" t="s">
        <v>571</v>
      </c>
      <c r="C244" s="5" t="s">
        <v>19</v>
      </c>
      <c r="D244" s="3" t="s">
        <v>20</v>
      </c>
      <c r="E244" s="3" t="s">
        <v>141</v>
      </c>
      <c r="F244" s="3" t="s">
        <v>22</v>
      </c>
      <c r="G244" s="3" t="s">
        <v>23</v>
      </c>
      <c r="H244" s="20">
        <v>0</v>
      </c>
      <c r="I244" s="20">
        <v>4101.0200000000004</v>
      </c>
      <c r="J244" s="20">
        <v>3000</v>
      </c>
      <c r="K244" s="20">
        <v>5.25</v>
      </c>
      <c r="L244" s="20"/>
      <c r="M244" s="20">
        <f>Tabela1[[#This Row],[1ª QZ]]-Tabela1[[#This Row],[SALDO FINAL]]-Tabela1[[#This Row],[SALDO CARTAO]]-Tabela1[[#This Row],[Adiantamento ]]</f>
        <v>-1106.2700000000004</v>
      </c>
      <c r="N244" s="20">
        <f>Tabela1[[#This Row],[SALDO REEMBOLSAR]]*$N$4</f>
        <v>0</v>
      </c>
      <c r="O244" s="20">
        <v>0</v>
      </c>
      <c r="Q244" t="str">
        <f>_xlfn.XLOOKUP(Tabela1[[#This Row],[COLABORADOR]],'STATUS CARTAO'!D:D,'STATUS CARTAO'!G:G)</f>
        <v>Cartão ativo</v>
      </c>
    </row>
    <row r="245" spans="1:17" hidden="1">
      <c r="A245" s="3" t="s">
        <v>570</v>
      </c>
      <c r="B245" s="3" t="s">
        <v>571</v>
      </c>
      <c r="C245" s="5"/>
      <c r="D245" s="3" t="s">
        <v>20</v>
      </c>
      <c r="E245" s="3" t="s">
        <v>141</v>
      </c>
      <c r="F245" s="3"/>
      <c r="G245" s="3"/>
      <c r="H245" s="20"/>
      <c r="I245" s="20"/>
      <c r="J245" s="20"/>
      <c r="K245" s="20"/>
      <c r="L245" s="20"/>
      <c r="M245" s="20">
        <f>Tabela1[[#This Row],[1ª QZ]]-Tabela1[[#This Row],[SALDO FINAL]]-Tabela1[[#This Row],[SALDO CARTAO]]-Tabela1[[#This Row],[Adiantamento ]]</f>
        <v>0</v>
      </c>
      <c r="N245" s="20">
        <f>Tabela1[[#This Row],[SALDO REEMBOLSAR]]*$N$4</f>
        <v>0</v>
      </c>
      <c r="O245" s="20">
        <v>998.97999999999956</v>
      </c>
      <c r="Q245" t="str">
        <f>_xlfn.XLOOKUP(Tabela1[[#This Row],[COLABORADOR]],'STATUS CARTAO'!D:D,'STATUS CARTAO'!G:G)</f>
        <v>Cartão ativo</v>
      </c>
    </row>
    <row r="246" spans="1:17" hidden="1">
      <c r="A246" s="3" t="s">
        <v>572</v>
      </c>
      <c r="B246" s="3" t="s">
        <v>573</v>
      </c>
      <c r="C246" s="5" t="s">
        <v>19</v>
      </c>
      <c r="D246" s="3" t="s">
        <v>48</v>
      </c>
      <c r="E246" s="3" t="s">
        <v>93</v>
      </c>
      <c r="F246" s="3" t="s">
        <v>50</v>
      </c>
      <c r="G246" s="3" t="s">
        <v>40</v>
      </c>
      <c r="H246" s="20">
        <v>0</v>
      </c>
      <c r="I246" s="20">
        <v>16.599999999999909</v>
      </c>
      <c r="J246" s="20">
        <v>100</v>
      </c>
      <c r="K246" s="20">
        <v>0</v>
      </c>
      <c r="L246" s="20"/>
      <c r="M246" s="20">
        <f>Tabela1[[#This Row],[1ª QZ]]-Tabela1[[#This Row],[SALDO FINAL]]-Tabela1[[#This Row],[SALDO CARTAO]]-Tabela1[[#This Row],[Adiantamento ]]</f>
        <v>83.400000000000091</v>
      </c>
      <c r="N246" s="20">
        <f>Tabela1[[#This Row],[SALDO REEMBOLSAR]]*$N$4</f>
        <v>0</v>
      </c>
      <c r="O246" s="20">
        <v>83.400000000000091</v>
      </c>
      <c r="Q246" t="str">
        <f>_xlfn.XLOOKUP(Tabela1[[#This Row],[COLABORADOR]],'STATUS CARTAO'!D:D,'STATUS CARTAO'!G:G)</f>
        <v>Cartão ativo</v>
      </c>
    </row>
    <row r="247" spans="1:17" hidden="1">
      <c r="A247" s="3" t="s">
        <v>574</v>
      </c>
      <c r="B247" s="3" t="s">
        <v>575</v>
      </c>
      <c r="C247" s="5" t="s">
        <v>19</v>
      </c>
      <c r="D247" s="3" t="s">
        <v>48</v>
      </c>
      <c r="E247" s="3" t="s">
        <v>93</v>
      </c>
      <c r="F247" s="3" t="s">
        <v>50</v>
      </c>
      <c r="G247" s="3" t="s">
        <v>40</v>
      </c>
      <c r="H247" s="20">
        <v>0</v>
      </c>
      <c r="I247" s="20">
        <v>124.50000000000006</v>
      </c>
      <c r="J247" s="20">
        <v>150</v>
      </c>
      <c r="K247" s="20">
        <v>150</v>
      </c>
      <c r="L247" s="20"/>
      <c r="M247" s="20">
        <f>Tabela1[[#This Row],[1ª QZ]]-Tabela1[[#This Row],[SALDO FINAL]]-Tabela1[[#This Row],[SALDO CARTAO]]-Tabela1[[#This Row],[Adiantamento ]]</f>
        <v>-124.50000000000006</v>
      </c>
      <c r="N247" s="20">
        <f>Tabela1[[#This Row],[SALDO REEMBOLSAR]]*$N$4</f>
        <v>0</v>
      </c>
      <c r="O247" s="20">
        <v>0</v>
      </c>
      <c r="Q247" t="str">
        <f>_xlfn.XLOOKUP(Tabela1[[#This Row],[COLABORADOR]],'STATUS CARTAO'!D:D,'STATUS CARTAO'!G:G)</f>
        <v>Cartão ativo</v>
      </c>
    </row>
    <row r="248" spans="1:17" hidden="1">
      <c r="A248" s="3" t="s">
        <v>576</v>
      </c>
      <c r="B248" s="3" t="s">
        <v>577</v>
      </c>
      <c r="C248" s="5" t="s">
        <v>19</v>
      </c>
      <c r="D248" s="3" t="s">
        <v>96</v>
      </c>
      <c r="E248" s="3" t="s">
        <v>328</v>
      </c>
      <c r="F248" s="3" t="s">
        <v>98</v>
      </c>
      <c r="G248" s="3" t="s">
        <v>23</v>
      </c>
      <c r="H248" s="20">
        <v>0</v>
      </c>
      <c r="I248" s="20">
        <v>1059.2399999998888</v>
      </c>
      <c r="J248" s="20">
        <v>4000</v>
      </c>
      <c r="K248" s="20">
        <v>4.18</v>
      </c>
      <c r="L248" s="20"/>
      <c r="M248" s="20">
        <f>Tabela1[[#This Row],[1ª QZ]]-Tabela1[[#This Row],[SALDO FINAL]]-Tabela1[[#This Row],[SALDO CARTAO]]-Tabela1[[#This Row],[Adiantamento ]]</f>
        <v>2936.5800000001113</v>
      </c>
      <c r="N248" s="20">
        <f>Tabela1[[#This Row],[SALDO REEMBOLSAR]]*$N$4</f>
        <v>0</v>
      </c>
      <c r="O248" s="20">
        <v>2936.5800000001113</v>
      </c>
      <c r="Q248" t="str">
        <f>_xlfn.XLOOKUP(Tabela1[[#This Row],[COLABORADOR]],'STATUS CARTAO'!D:D,'STATUS CARTAO'!G:G)</f>
        <v>Cartão ativo</v>
      </c>
    </row>
    <row r="249" spans="1:17" hidden="1">
      <c r="A249" s="3" t="s">
        <v>578</v>
      </c>
      <c r="B249" s="3" t="s">
        <v>579</v>
      </c>
      <c r="C249" s="5" t="s">
        <v>19</v>
      </c>
      <c r="D249" s="3" t="s">
        <v>37</v>
      </c>
      <c r="E249" s="3" t="s">
        <v>246</v>
      </c>
      <c r="F249" s="3" t="s">
        <v>39</v>
      </c>
      <c r="G249" s="3" t="s">
        <v>40</v>
      </c>
      <c r="H249" s="20">
        <v>662.47000000006005</v>
      </c>
      <c r="I249" s="20">
        <v>0</v>
      </c>
      <c r="J249" s="20">
        <v>6500</v>
      </c>
      <c r="K249" s="20">
        <v>405.03</v>
      </c>
      <c r="L249" s="20"/>
      <c r="M249" s="20">
        <f>Tabela1[[#This Row],[1ª QZ]]-Tabela1[[#This Row],[SALDO FINAL]]-Tabela1[[#This Row],[SALDO CARTAO]]-Tabela1[[#This Row],[Adiantamento ]]</f>
        <v>6094.97</v>
      </c>
      <c r="N249" s="20">
        <f>Tabela1[[#This Row],[SALDO REEMBOLSAR]]*$N$4</f>
        <v>397.48200000003601</v>
      </c>
      <c r="O249" s="20">
        <v>6426.2050000000299</v>
      </c>
      <c r="Q249" t="str">
        <f>_xlfn.XLOOKUP(Tabela1[[#This Row],[COLABORADOR]],'STATUS CARTAO'!D:D,'STATUS CARTAO'!G:G)</f>
        <v>Cartão ativo</v>
      </c>
    </row>
    <row r="250" spans="1:17" hidden="1">
      <c r="A250" s="3" t="s">
        <v>580</v>
      </c>
      <c r="B250" s="3" t="s">
        <v>581</v>
      </c>
      <c r="C250" s="5" t="s">
        <v>19</v>
      </c>
      <c r="D250" s="3" t="s">
        <v>48</v>
      </c>
      <c r="E250" s="3" t="s">
        <v>93</v>
      </c>
      <c r="F250" s="3" t="s">
        <v>50</v>
      </c>
      <c r="G250" s="3" t="s">
        <v>40</v>
      </c>
      <c r="H250" s="20">
        <v>0</v>
      </c>
      <c r="I250" s="20">
        <v>152.37999999999943</v>
      </c>
      <c r="J250" s="20">
        <v>150</v>
      </c>
      <c r="K250" s="20">
        <v>58.83</v>
      </c>
      <c r="L250" s="20"/>
      <c r="M250" s="20">
        <f>Tabela1[[#This Row],[1ª QZ]]-Tabela1[[#This Row],[SALDO FINAL]]-Tabela1[[#This Row],[SALDO CARTAO]]-Tabela1[[#This Row],[Adiantamento ]]</f>
        <v>-61.209999999999425</v>
      </c>
      <c r="N250" s="20">
        <f>Tabela1[[#This Row],[SALDO REEMBOLSAR]]*$N$4</f>
        <v>0</v>
      </c>
      <c r="O250" s="20">
        <v>0</v>
      </c>
      <c r="Q250" t="str">
        <f>_xlfn.XLOOKUP(Tabela1[[#This Row],[COLABORADOR]],'STATUS CARTAO'!D:D,'STATUS CARTAO'!G:G)</f>
        <v>Cartão ativo</v>
      </c>
    </row>
    <row r="251" spans="1:17" hidden="1">
      <c r="A251" s="3" t="s">
        <v>582</v>
      </c>
      <c r="B251" s="3" t="s">
        <v>583</v>
      </c>
      <c r="C251" s="5" t="s">
        <v>19</v>
      </c>
      <c r="D251" s="3" t="s">
        <v>37</v>
      </c>
      <c r="E251" s="3" t="s">
        <v>138</v>
      </c>
      <c r="F251" s="3" t="s">
        <v>39</v>
      </c>
      <c r="G251" s="3" t="s">
        <v>40</v>
      </c>
      <c r="H251" s="20">
        <v>0</v>
      </c>
      <c r="I251" s="20">
        <v>134.4400000000096</v>
      </c>
      <c r="J251" s="20">
        <v>800</v>
      </c>
      <c r="K251" s="20">
        <v>108.94</v>
      </c>
      <c r="L251" s="20"/>
      <c r="M251" s="20">
        <f>Tabela1[[#This Row],[1ª QZ]]-Tabela1[[#This Row],[SALDO FINAL]]-Tabela1[[#This Row],[SALDO CARTAO]]-Tabela1[[#This Row],[Adiantamento ]]</f>
        <v>556.61999999999034</v>
      </c>
      <c r="N251" s="20">
        <f>Tabela1[[#This Row],[SALDO REEMBOLSAR]]*$N$4</f>
        <v>0</v>
      </c>
      <c r="O251" s="20">
        <v>556.61999999999034</v>
      </c>
      <c r="Q251" t="str">
        <f>_xlfn.XLOOKUP(Tabela1[[#This Row],[COLABORADOR]],'STATUS CARTAO'!D:D,'STATUS CARTAO'!G:G)</f>
        <v>Cartão ativo</v>
      </c>
    </row>
    <row r="252" spans="1:17" hidden="1">
      <c r="A252" s="3" t="s">
        <v>582</v>
      </c>
      <c r="B252" s="3" t="s">
        <v>583</v>
      </c>
      <c r="C252" s="5"/>
      <c r="D252" s="3" t="s">
        <v>37</v>
      </c>
      <c r="E252" s="3" t="s">
        <v>138</v>
      </c>
      <c r="F252" s="3"/>
      <c r="G252" s="3"/>
      <c r="H252" s="20"/>
      <c r="I252" s="20"/>
      <c r="J252" s="20"/>
      <c r="K252" s="20"/>
      <c r="L252" s="20"/>
      <c r="M252" s="20">
        <f>Tabela1[[#This Row],[1ª QZ]]-Tabela1[[#This Row],[SALDO FINAL]]-Tabela1[[#This Row],[SALDO CARTAO]]-Tabela1[[#This Row],[Adiantamento ]]</f>
        <v>0</v>
      </c>
      <c r="N252" s="20">
        <f>Tabela1[[#This Row],[SALDO REEMBOLSAR]]*$N$4</f>
        <v>0</v>
      </c>
      <c r="O252" s="20">
        <v>134.4400000000096</v>
      </c>
      <c r="Q252" t="str">
        <f>_xlfn.XLOOKUP(Tabela1[[#This Row],[COLABORADOR]],'STATUS CARTAO'!D:D,'STATUS CARTAO'!G:G)</f>
        <v>Cartão ativo</v>
      </c>
    </row>
    <row r="253" spans="1:17" hidden="1">
      <c r="A253" s="3" t="s">
        <v>584</v>
      </c>
      <c r="B253" s="3" t="s">
        <v>585</v>
      </c>
      <c r="C253" s="5" t="s">
        <v>19</v>
      </c>
      <c r="D253" s="3" t="s">
        <v>74</v>
      </c>
      <c r="E253" s="3" t="s">
        <v>183</v>
      </c>
      <c r="F253" s="3" t="s">
        <v>76</v>
      </c>
      <c r="G253" s="3" t="s">
        <v>40</v>
      </c>
      <c r="H253" s="20">
        <v>0</v>
      </c>
      <c r="I253" s="20">
        <v>302.69999999999891</v>
      </c>
      <c r="J253" s="20">
        <v>1000</v>
      </c>
      <c r="K253" s="20">
        <v>3</v>
      </c>
      <c r="L253" s="20"/>
      <c r="M253" s="20">
        <f>Tabela1[[#This Row],[1ª QZ]]-Tabela1[[#This Row],[SALDO FINAL]]-Tabela1[[#This Row],[SALDO CARTAO]]-Tabela1[[#This Row],[Adiantamento ]]</f>
        <v>694.30000000000109</v>
      </c>
      <c r="N253" s="20">
        <f>Tabela1[[#This Row],[SALDO REEMBOLSAR]]*$N$4</f>
        <v>0</v>
      </c>
      <c r="O253" s="20">
        <v>694.30000000000109</v>
      </c>
      <c r="Q253" t="str">
        <f>_xlfn.XLOOKUP(Tabela1[[#This Row],[COLABORADOR]],'STATUS CARTAO'!D:D,'STATUS CARTAO'!G:G)</f>
        <v>Cartão ativo</v>
      </c>
    </row>
    <row r="254" spans="1:17" hidden="1">
      <c r="A254" s="3" t="s">
        <v>586</v>
      </c>
      <c r="B254" s="3" t="s">
        <v>587</v>
      </c>
      <c r="C254" s="5" t="s">
        <v>19</v>
      </c>
      <c r="D254" s="3" t="s">
        <v>20</v>
      </c>
      <c r="E254" s="3" t="s">
        <v>360</v>
      </c>
      <c r="F254" s="3" t="s">
        <v>22</v>
      </c>
      <c r="G254" s="3" t="s">
        <v>23</v>
      </c>
      <c r="H254" s="20">
        <v>0</v>
      </c>
      <c r="I254" s="20">
        <v>806.34000000000378</v>
      </c>
      <c r="J254" s="20">
        <v>800</v>
      </c>
      <c r="K254" s="20">
        <v>157.30000000000001</v>
      </c>
      <c r="L254" s="20"/>
      <c r="M254" s="20">
        <f>Tabela1[[#This Row],[1ª QZ]]-Tabela1[[#This Row],[SALDO FINAL]]-Tabela1[[#This Row],[SALDO CARTAO]]-Tabela1[[#This Row],[Adiantamento ]]</f>
        <v>-163.64000000000379</v>
      </c>
      <c r="N254" s="20">
        <f>Tabela1[[#This Row],[SALDO REEMBOLSAR]]*$N$4</f>
        <v>0</v>
      </c>
      <c r="O254" s="20">
        <v>0</v>
      </c>
      <c r="Q254" t="str">
        <f>_xlfn.XLOOKUP(Tabela1[[#This Row],[COLABORADOR]],'STATUS CARTAO'!D:D,'STATUS CARTAO'!G:G)</f>
        <v>Cartão ativo</v>
      </c>
    </row>
    <row r="255" spans="1:17" hidden="1">
      <c r="A255" s="3" t="s">
        <v>588</v>
      </c>
      <c r="B255" s="3" t="s">
        <v>589</v>
      </c>
      <c r="C255" s="5" t="s">
        <v>19</v>
      </c>
      <c r="D255" s="3" t="s">
        <v>26</v>
      </c>
      <c r="E255" s="3" t="s">
        <v>590</v>
      </c>
      <c r="F255" s="3" t="s">
        <v>28</v>
      </c>
      <c r="G255" s="3" t="s">
        <v>23</v>
      </c>
      <c r="H255" s="20">
        <v>41.88000000003376</v>
      </c>
      <c r="I255" s="20">
        <v>0</v>
      </c>
      <c r="J255" s="20">
        <v>1500</v>
      </c>
      <c r="K255" s="20">
        <v>5.81</v>
      </c>
      <c r="L255" s="20"/>
      <c r="M255" s="20">
        <f>Tabela1[[#This Row],[1ª QZ]]-Tabela1[[#This Row],[SALDO FINAL]]-Tabela1[[#This Row],[SALDO CARTAO]]-Tabela1[[#This Row],[Adiantamento ]]</f>
        <v>1494.19</v>
      </c>
      <c r="N255" s="20">
        <f>Tabela1[[#This Row],[SALDO REEMBOLSAR]]*$N$4</f>
        <v>25.128000000020254</v>
      </c>
      <c r="O255" s="20">
        <v>1515.1300000000169</v>
      </c>
      <c r="Q255" t="str">
        <f>_xlfn.XLOOKUP(Tabela1[[#This Row],[COLABORADOR]],'STATUS CARTAO'!D:D,'STATUS CARTAO'!G:G)</f>
        <v>Cartão ativo</v>
      </c>
    </row>
    <row r="256" spans="1:17" hidden="1">
      <c r="A256" s="3" t="s">
        <v>591</v>
      </c>
      <c r="B256" s="3" t="s">
        <v>592</v>
      </c>
      <c r="C256" s="5" t="s">
        <v>19</v>
      </c>
      <c r="D256" s="3" t="s">
        <v>74</v>
      </c>
      <c r="E256" s="3" t="s">
        <v>183</v>
      </c>
      <c r="F256" s="3" t="s">
        <v>76</v>
      </c>
      <c r="G256" s="3" t="s">
        <v>40</v>
      </c>
      <c r="H256" s="20">
        <v>0</v>
      </c>
      <c r="I256" s="20">
        <v>882.69000000001142</v>
      </c>
      <c r="J256" s="20">
        <v>800</v>
      </c>
      <c r="K256" s="20">
        <v>17.510000000000002</v>
      </c>
      <c r="L256" s="20"/>
      <c r="M256" s="20">
        <f>Tabela1[[#This Row],[1ª QZ]]-Tabela1[[#This Row],[SALDO FINAL]]-Tabela1[[#This Row],[SALDO CARTAO]]-Tabela1[[#This Row],[Adiantamento ]]</f>
        <v>-100.20000000001143</v>
      </c>
      <c r="N256" s="20">
        <f>Tabela1[[#This Row],[SALDO REEMBOLSAR]]*$N$4</f>
        <v>0</v>
      </c>
      <c r="O256" s="20">
        <v>0</v>
      </c>
      <c r="Q256" t="str">
        <f>_xlfn.XLOOKUP(Tabela1[[#This Row],[COLABORADOR]],'STATUS CARTAO'!D:D,'STATUS CARTAO'!G:G)</f>
        <v>Cartão ativo</v>
      </c>
    </row>
    <row r="257" spans="1:17" hidden="1">
      <c r="A257" s="3" t="s">
        <v>593</v>
      </c>
      <c r="B257" s="3" t="s">
        <v>594</v>
      </c>
      <c r="C257" s="5" t="s">
        <v>19</v>
      </c>
      <c r="D257" s="3" t="s">
        <v>43</v>
      </c>
      <c r="E257" s="3" t="s">
        <v>106</v>
      </c>
      <c r="F257" s="3" t="s">
        <v>45</v>
      </c>
      <c r="G257" s="3" t="s">
        <v>40</v>
      </c>
      <c r="H257" s="20">
        <v>807.82</v>
      </c>
      <c r="I257" s="20">
        <v>0</v>
      </c>
      <c r="J257" s="20">
        <v>500</v>
      </c>
      <c r="K257" s="20">
        <v>6</v>
      </c>
      <c r="L257" s="20"/>
      <c r="M257" s="20">
        <f>Tabela1[[#This Row],[1ª QZ]]-Tabela1[[#This Row],[SALDO FINAL]]-Tabela1[[#This Row],[SALDO CARTAO]]-Tabela1[[#This Row],[Adiantamento ]]</f>
        <v>494</v>
      </c>
      <c r="N257" s="20">
        <f>Tabela1[[#This Row],[SALDO REEMBOLSAR]]*$N$4</f>
        <v>484.69200000000001</v>
      </c>
      <c r="O257" s="20">
        <v>897.91000000000008</v>
      </c>
      <c r="Q257" t="str">
        <f>_xlfn.XLOOKUP(Tabela1[[#This Row],[COLABORADOR]],'STATUS CARTAO'!D:D,'STATUS CARTAO'!G:G)</f>
        <v>Cartão ativo</v>
      </c>
    </row>
    <row r="258" spans="1:17" hidden="1">
      <c r="A258" s="3" t="s">
        <v>595</v>
      </c>
      <c r="B258" s="3" t="s">
        <v>596</v>
      </c>
      <c r="C258" s="5" t="s">
        <v>19</v>
      </c>
      <c r="D258" s="3" t="s">
        <v>31</v>
      </c>
      <c r="E258" s="3" t="s">
        <v>32</v>
      </c>
      <c r="F258" s="3" t="s">
        <v>33</v>
      </c>
      <c r="G258" s="3" t="s">
        <v>34</v>
      </c>
      <c r="H258" s="20">
        <v>0</v>
      </c>
      <c r="I258" s="20">
        <v>905.54000000000178</v>
      </c>
      <c r="J258" s="20">
        <v>1000</v>
      </c>
      <c r="K258" s="20">
        <v>20.13</v>
      </c>
      <c r="L258" s="20"/>
      <c r="M258" s="20">
        <f>Tabela1[[#This Row],[1ª QZ]]-Tabela1[[#This Row],[SALDO FINAL]]-Tabela1[[#This Row],[SALDO CARTAO]]-Tabela1[[#This Row],[Adiantamento ]]</f>
        <v>74.329999999998222</v>
      </c>
      <c r="N258" s="20">
        <f>Tabela1[[#This Row],[SALDO REEMBOLSAR]]*$N$4</f>
        <v>0</v>
      </c>
      <c r="O258" s="20">
        <v>74.329999999998222</v>
      </c>
      <c r="Q258" t="str">
        <f>_xlfn.XLOOKUP(Tabela1[[#This Row],[COLABORADOR]],'STATUS CARTAO'!D:D,'STATUS CARTAO'!G:G)</f>
        <v>Cartão ativo</v>
      </c>
    </row>
    <row r="259" spans="1:17" hidden="1">
      <c r="A259" s="3" t="s">
        <v>597</v>
      </c>
      <c r="B259" s="3" t="s">
        <v>598</v>
      </c>
      <c r="C259" s="5" t="s">
        <v>19</v>
      </c>
      <c r="D259" s="3" t="s">
        <v>74</v>
      </c>
      <c r="E259" s="3" t="s">
        <v>599</v>
      </c>
      <c r="F259" s="3" t="s">
        <v>76</v>
      </c>
      <c r="G259" s="3" t="s">
        <v>40</v>
      </c>
      <c r="H259" s="20">
        <v>1256</v>
      </c>
      <c r="I259" s="20">
        <v>0</v>
      </c>
      <c r="J259" s="20">
        <v>2000</v>
      </c>
      <c r="K259" s="20">
        <v>6</v>
      </c>
      <c r="L259" s="20"/>
      <c r="M259" s="20">
        <f>Tabela1[[#This Row],[1ª QZ]]-Tabela1[[#This Row],[SALDO FINAL]]-Tabela1[[#This Row],[SALDO CARTAO]]-Tabela1[[#This Row],[Adiantamento ]]</f>
        <v>1994</v>
      </c>
      <c r="N259" s="20">
        <f>Tabela1[[#This Row],[SALDO REEMBOLSAR]]*$N$4</f>
        <v>753.6</v>
      </c>
      <c r="O259" s="20">
        <v>2622</v>
      </c>
      <c r="Q259" t="str">
        <f>_xlfn.XLOOKUP(Tabela1[[#This Row],[COLABORADOR]],'STATUS CARTAO'!D:D,'STATUS CARTAO'!G:G)</f>
        <v>Cartão ativo</v>
      </c>
    </row>
    <row r="260" spans="1:17" hidden="1">
      <c r="A260" s="3" t="s">
        <v>600</v>
      </c>
      <c r="B260" s="3" t="s">
        <v>601</v>
      </c>
      <c r="C260" s="5" t="s">
        <v>19</v>
      </c>
      <c r="D260" s="3" t="s">
        <v>74</v>
      </c>
      <c r="E260" s="3" t="s">
        <v>602</v>
      </c>
      <c r="F260" s="3" t="s">
        <v>76</v>
      </c>
      <c r="G260" s="3" t="s">
        <v>40</v>
      </c>
      <c r="H260" s="20">
        <v>0</v>
      </c>
      <c r="I260" s="20">
        <v>318.38000000000011</v>
      </c>
      <c r="J260" s="20">
        <v>500</v>
      </c>
      <c r="K260" s="20">
        <v>288.14999999999998</v>
      </c>
      <c r="L260" s="20"/>
      <c r="M260" s="20">
        <f>Tabela1[[#This Row],[1ª QZ]]-Tabela1[[#This Row],[SALDO FINAL]]-Tabela1[[#This Row],[SALDO CARTAO]]-Tabela1[[#This Row],[Adiantamento ]]</f>
        <v>-106.53000000000009</v>
      </c>
      <c r="N260" s="20">
        <f>Tabela1[[#This Row],[SALDO REEMBOLSAR]]*$N$4</f>
        <v>0</v>
      </c>
      <c r="O260" s="20">
        <v>0</v>
      </c>
      <c r="Q260" t="str">
        <f>_xlfn.XLOOKUP(Tabela1[[#This Row],[COLABORADOR]],'STATUS CARTAO'!D:D,'STATUS CARTAO'!G:G)</f>
        <v>Cartão ativo</v>
      </c>
    </row>
    <row r="261" spans="1:17" hidden="1">
      <c r="A261" s="3" t="s">
        <v>600</v>
      </c>
      <c r="B261" s="3" t="s">
        <v>601</v>
      </c>
      <c r="C261" s="5"/>
      <c r="D261" s="3" t="s">
        <v>74</v>
      </c>
      <c r="E261" s="3" t="s">
        <v>602</v>
      </c>
      <c r="F261" s="3"/>
      <c r="G261" s="3"/>
      <c r="H261" s="20"/>
      <c r="I261" s="20"/>
      <c r="J261" s="20"/>
      <c r="K261" s="20"/>
      <c r="L261" s="20"/>
      <c r="M261" s="20">
        <f>Tabela1[[#This Row],[1ª QZ]]-Tabela1[[#This Row],[SALDO FINAL]]-Tabela1[[#This Row],[SALDO CARTAO]]-Tabela1[[#This Row],[Adiantamento ]]</f>
        <v>0</v>
      </c>
      <c r="N261" s="20">
        <f>Tabela1[[#This Row],[SALDO REEMBOLSAR]]*$N$4</f>
        <v>0</v>
      </c>
      <c r="O261" s="20">
        <v>181.61999999999989</v>
      </c>
      <c r="Q261" t="str">
        <f>_xlfn.XLOOKUP(Tabela1[[#This Row],[COLABORADOR]],'STATUS CARTAO'!D:D,'STATUS CARTAO'!G:G)</f>
        <v>Cartão ativo</v>
      </c>
    </row>
    <row r="262" spans="1:17" hidden="1">
      <c r="A262" s="3" t="s">
        <v>603</v>
      </c>
      <c r="B262" s="3" t="s">
        <v>604</v>
      </c>
      <c r="C262" s="5" t="s">
        <v>19</v>
      </c>
      <c r="D262" s="3" t="s">
        <v>96</v>
      </c>
      <c r="E262" s="3" t="s">
        <v>605</v>
      </c>
      <c r="F262" s="3" t="s">
        <v>98</v>
      </c>
      <c r="G262" s="3" t="s">
        <v>23</v>
      </c>
      <c r="H262" s="20">
        <v>446.35999999999694</v>
      </c>
      <c r="I262" s="20">
        <v>0</v>
      </c>
      <c r="J262" s="20">
        <v>700</v>
      </c>
      <c r="K262" s="20">
        <v>3</v>
      </c>
      <c r="L262" s="20"/>
      <c r="M262" s="20">
        <f>Tabela1[[#This Row],[1ª QZ]]-Tabela1[[#This Row],[SALDO FINAL]]-Tabela1[[#This Row],[SALDO CARTAO]]-Tabela1[[#This Row],[Adiantamento ]]</f>
        <v>697</v>
      </c>
      <c r="N262" s="20">
        <f>Tabela1[[#This Row],[SALDO REEMBOLSAR]]*$N$4</f>
        <v>267.81599999999816</v>
      </c>
      <c r="O262" s="20">
        <v>920.17999999999847</v>
      </c>
      <c r="Q262" t="str">
        <f>_xlfn.XLOOKUP(Tabela1[[#This Row],[COLABORADOR]],'STATUS CARTAO'!D:D,'STATUS CARTAO'!G:G)</f>
        <v>Cartão ativo</v>
      </c>
    </row>
    <row r="263" spans="1:17" hidden="1">
      <c r="A263" s="3" t="s">
        <v>606</v>
      </c>
      <c r="B263" s="3" t="s">
        <v>607</v>
      </c>
      <c r="C263" s="5" t="s">
        <v>19</v>
      </c>
      <c r="D263" s="3" t="s">
        <v>74</v>
      </c>
      <c r="E263" s="3" t="s">
        <v>373</v>
      </c>
      <c r="F263" s="3" t="s">
        <v>76</v>
      </c>
      <c r="G263" s="3" t="s">
        <v>40</v>
      </c>
      <c r="H263" s="20">
        <v>170.11999999999716</v>
      </c>
      <c r="I263" s="20">
        <v>0</v>
      </c>
      <c r="J263" s="20">
        <v>5000</v>
      </c>
      <c r="K263" s="20">
        <v>245.48</v>
      </c>
      <c r="L263" s="20">
        <v>2500</v>
      </c>
      <c r="M263" s="20">
        <f>Tabela1[[#This Row],[1ª QZ]]-Tabela1[[#This Row],[SALDO FINAL]]-Tabela1[[#This Row],[SALDO CARTAO]]-Tabela1[[#This Row],[Adiantamento ]]</f>
        <v>2254.5200000000004</v>
      </c>
      <c r="N263" s="20">
        <f>Tabela1[[#This Row],[SALDO REEMBOLSAR]]*$N$4</f>
        <v>102.0719999999983</v>
      </c>
      <c r="O263" s="20">
        <v>2339.579999999999</v>
      </c>
      <c r="Q263" t="str">
        <f>_xlfn.XLOOKUP(Tabela1[[#This Row],[COLABORADOR]],'STATUS CARTAO'!D:D,'STATUS CARTAO'!G:G)</f>
        <v>Cartão ativo</v>
      </c>
    </row>
    <row r="264" spans="1:17" hidden="1">
      <c r="A264" s="3" t="s">
        <v>608</v>
      </c>
      <c r="B264" s="3" t="s">
        <v>609</v>
      </c>
      <c r="C264" s="5" t="s">
        <v>19</v>
      </c>
      <c r="D264" s="3" t="s">
        <v>37</v>
      </c>
      <c r="E264" s="3" t="s">
        <v>219</v>
      </c>
      <c r="F264" s="3" t="s">
        <v>39</v>
      </c>
      <c r="G264" s="3" t="s">
        <v>40</v>
      </c>
      <c r="H264" s="20">
        <v>0</v>
      </c>
      <c r="I264" s="20">
        <v>51.549999999998363</v>
      </c>
      <c r="J264" s="20">
        <v>250</v>
      </c>
      <c r="K264" s="20">
        <v>37.26</v>
      </c>
      <c r="L264" s="20"/>
      <c r="M264" s="20">
        <f>Tabela1[[#This Row],[1ª QZ]]-Tabela1[[#This Row],[SALDO FINAL]]-Tabela1[[#This Row],[SALDO CARTAO]]-Tabela1[[#This Row],[Adiantamento ]]</f>
        <v>161.19000000000165</v>
      </c>
      <c r="N264" s="20">
        <f>Tabela1[[#This Row],[SALDO REEMBOLSAR]]*$N$4</f>
        <v>0</v>
      </c>
      <c r="O264" s="20">
        <v>161.19000000000165</v>
      </c>
      <c r="Q264" t="str">
        <f>_xlfn.XLOOKUP(Tabela1[[#This Row],[COLABORADOR]],'STATUS CARTAO'!D:D,'STATUS CARTAO'!G:G)</f>
        <v>Cartão ativo</v>
      </c>
    </row>
    <row r="265" spans="1:17" hidden="1">
      <c r="A265" s="3" t="s">
        <v>610</v>
      </c>
      <c r="B265" s="3" t="s">
        <v>611</v>
      </c>
      <c r="C265" s="5" t="s">
        <v>19</v>
      </c>
      <c r="D265" s="3" t="s">
        <v>37</v>
      </c>
      <c r="E265" s="3" t="s">
        <v>612</v>
      </c>
      <c r="F265" s="3" t="s">
        <v>39</v>
      </c>
      <c r="G265" s="3" t="s">
        <v>40</v>
      </c>
      <c r="H265" s="20">
        <v>0</v>
      </c>
      <c r="I265" s="20">
        <v>300.10000000000014</v>
      </c>
      <c r="J265" s="20">
        <v>500</v>
      </c>
      <c r="K265" s="20">
        <v>285.10000000000002</v>
      </c>
      <c r="L265" s="20"/>
      <c r="M265" s="20">
        <f>Tabela1[[#This Row],[1ª QZ]]-Tabela1[[#This Row],[SALDO FINAL]]-Tabela1[[#This Row],[SALDO CARTAO]]-Tabela1[[#This Row],[Adiantamento ]]</f>
        <v>-85.200000000000159</v>
      </c>
      <c r="N265" s="20">
        <f>Tabela1[[#This Row],[SALDO REEMBOLSAR]]*$N$4</f>
        <v>0</v>
      </c>
      <c r="O265" s="20">
        <v>0</v>
      </c>
      <c r="Q265" t="str">
        <f>_xlfn.XLOOKUP(Tabela1[[#This Row],[COLABORADOR]],'STATUS CARTAO'!D:D,'STATUS CARTAO'!G:G)</f>
        <v>Cartão ativo</v>
      </c>
    </row>
    <row r="266" spans="1:17" hidden="1">
      <c r="A266" s="3" t="s">
        <v>610</v>
      </c>
      <c r="B266" s="3" t="s">
        <v>611</v>
      </c>
      <c r="C266" s="5"/>
      <c r="D266" s="3" t="s">
        <v>37</v>
      </c>
      <c r="E266" s="3" t="s">
        <v>612</v>
      </c>
      <c r="F266" s="3"/>
      <c r="G266" s="3"/>
      <c r="H266" s="20"/>
      <c r="I266" s="20"/>
      <c r="J266" s="20"/>
      <c r="K266" s="20"/>
      <c r="L266" s="20"/>
      <c r="M266" s="20">
        <f>Tabela1[[#This Row],[1ª QZ]]-Tabela1[[#This Row],[SALDO FINAL]]-Tabela1[[#This Row],[SALDO CARTAO]]-Tabela1[[#This Row],[Adiantamento ]]</f>
        <v>0</v>
      </c>
      <c r="N266" s="20">
        <f>Tabela1[[#This Row],[SALDO REEMBOLSAR]]*$N$4</f>
        <v>0</v>
      </c>
      <c r="O266" s="20">
        <v>199.89999999999986</v>
      </c>
      <c r="Q266" t="str">
        <f>_xlfn.XLOOKUP(Tabela1[[#This Row],[COLABORADOR]],'STATUS CARTAO'!D:D,'STATUS CARTAO'!G:G)</f>
        <v>Cartão ativo</v>
      </c>
    </row>
    <row r="267" spans="1:17" hidden="1">
      <c r="A267" s="3" t="s">
        <v>613</v>
      </c>
      <c r="B267" s="3" t="s">
        <v>614</v>
      </c>
      <c r="C267" s="5" t="s">
        <v>19</v>
      </c>
      <c r="D267" s="3" t="s">
        <v>20</v>
      </c>
      <c r="E267" s="3" t="s">
        <v>21</v>
      </c>
      <c r="F267" s="3" t="s">
        <v>22</v>
      </c>
      <c r="G267" s="3" t="s">
        <v>23</v>
      </c>
      <c r="H267" s="20">
        <v>0</v>
      </c>
      <c r="I267" s="20">
        <v>299.86999999999534</v>
      </c>
      <c r="J267" s="20">
        <v>5000</v>
      </c>
      <c r="K267" s="20">
        <v>14.21</v>
      </c>
      <c r="L267" s="20"/>
      <c r="M267" s="20">
        <f>Tabela1[[#This Row],[1ª QZ]]-Tabela1[[#This Row],[SALDO FINAL]]-Tabela1[[#This Row],[SALDO CARTAO]]-Tabela1[[#This Row],[Adiantamento ]]</f>
        <v>4685.9200000000046</v>
      </c>
      <c r="N267" s="20">
        <f>Tabela1[[#This Row],[SALDO REEMBOLSAR]]*$N$4</f>
        <v>0</v>
      </c>
      <c r="O267" s="20">
        <v>4685.9200000000046</v>
      </c>
      <c r="Q267" t="str">
        <f>_xlfn.XLOOKUP(Tabela1[[#This Row],[COLABORADOR]],'STATUS CARTAO'!D:D,'STATUS CARTAO'!G:G)</f>
        <v>Cartão ativo</v>
      </c>
    </row>
    <row r="268" spans="1:17" hidden="1">
      <c r="A268" s="3" t="s">
        <v>615</v>
      </c>
      <c r="B268" s="3" t="s">
        <v>616</v>
      </c>
      <c r="C268" s="5" t="s">
        <v>19</v>
      </c>
      <c r="D268" s="3" t="s">
        <v>31</v>
      </c>
      <c r="E268" s="3" t="s">
        <v>617</v>
      </c>
      <c r="F268" s="3" t="s">
        <v>33</v>
      </c>
      <c r="G268" s="3" t="s">
        <v>34</v>
      </c>
      <c r="H268" s="20">
        <v>0</v>
      </c>
      <c r="I268" s="20">
        <v>85.760000000060245</v>
      </c>
      <c r="J268" s="20">
        <v>2000</v>
      </c>
      <c r="K268" s="20">
        <v>8.1199999999999992</v>
      </c>
      <c r="L268" s="20"/>
      <c r="M268" s="20">
        <f>Tabela1[[#This Row],[1ª QZ]]-Tabela1[[#This Row],[SALDO FINAL]]-Tabela1[[#This Row],[SALDO CARTAO]]-Tabela1[[#This Row],[Adiantamento ]]</f>
        <v>1906.1199999999399</v>
      </c>
      <c r="N268" s="20">
        <f>Tabela1[[#This Row],[SALDO REEMBOLSAR]]*$N$4</f>
        <v>0</v>
      </c>
      <c r="O268" s="20">
        <v>1906.1199999999399</v>
      </c>
      <c r="Q268" t="str">
        <f>_xlfn.XLOOKUP(Tabela1[[#This Row],[COLABORADOR]],'STATUS CARTAO'!D:D,'STATUS CARTAO'!G:G)</f>
        <v>Cartão ativo</v>
      </c>
    </row>
    <row r="269" spans="1:17" hidden="1">
      <c r="A269" s="3" t="s">
        <v>618</v>
      </c>
      <c r="B269" s="3" t="s">
        <v>619</v>
      </c>
      <c r="C269" s="5" t="s">
        <v>19</v>
      </c>
      <c r="D269" s="3" t="s">
        <v>37</v>
      </c>
      <c r="E269" s="3" t="s">
        <v>479</v>
      </c>
      <c r="F269" s="3" t="s">
        <v>39</v>
      </c>
      <c r="G269" s="3" t="s">
        <v>40</v>
      </c>
      <c r="H269" s="20">
        <v>0</v>
      </c>
      <c r="I269" s="20">
        <v>704</v>
      </c>
      <c r="J269" s="20">
        <v>1000</v>
      </c>
      <c r="K269" s="20">
        <v>413</v>
      </c>
      <c r="L269" s="20"/>
      <c r="M269" s="20">
        <f>Tabela1[[#This Row],[1ª QZ]]-Tabela1[[#This Row],[SALDO FINAL]]-Tabela1[[#This Row],[SALDO CARTAO]]-Tabela1[[#This Row],[Adiantamento ]]</f>
        <v>-117</v>
      </c>
      <c r="N269" s="20">
        <f>Tabela1[[#This Row],[SALDO REEMBOLSAR]]*$N$4</f>
        <v>0</v>
      </c>
      <c r="O269" s="20">
        <v>0</v>
      </c>
      <c r="Q269" t="str">
        <f>_xlfn.XLOOKUP(Tabela1[[#This Row],[COLABORADOR]],'STATUS CARTAO'!D:D,'STATUS CARTAO'!G:G)</f>
        <v>Cartão ativo</v>
      </c>
    </row>
    <row r="270" spans="1:17" hidden="1">
      <c r="A270" s="3" t="s">
        <v>618</v>
      </c>
      <c r="B270" s="3" t="s">
        <v>619</v>
      </c>
      <c r="C270" s="5"/>
      <c r="D270" s="3" t="s">
        <v>37</v>
      </c>
      <c r="E270" s="3" t="s">
        <v>479</v>
      </c>
      <c r="F270" s="3"/>
      <c r="G270" s="3"/>
      <c r="H270" s="20"/>
      <c r="I270" s="20"/>
      <c r="J270" s="20"/>
      <c r="K270" s="20"/>
      <c r="L270" s="20"/>
      <c r="M270" s="20">
        <f>Tabela1[[#This Row],[1ª QZ]]-Tabela1[[#This Row],[SALDO FINAL]]-Tabela1[[#This Row],[SALDO CARTAO]]-Tabela1[[#This Row],[Adiantamento ]]</f>
        <v>0</v>
      </c>
      <c r="N270" s="20">
        <f>Tabela1[[#This Row],[SALDO REEMBOLSAR]]*$N$4</f>
        <v>0</v>
      </c>
      <c r="O270" s="20">
        <v>296</v>
      </c>
      <c r="Q270" t="str">
        <f>_xlfn.XLOOKUP(Tabela1[[#This Row],[COLABORADOR]],'STATUS CARTAO'!D:D,'STATUS CARTAO'!G:G)</f>
        <v>Cartão ativo</v>
      </c>
    </row>
    <row r="271" spans="1:17" hidden="1">
      <c r="A271" s="3" t="s">
        <v>620</v>
      </c>
      <c r="B271" s="3" t="s">
        <v>621</v>
      </c>
      <c r="C271" s="5" t="s">
        <v>19</v>
      </c>
      <c r="D271" s="3" t="s">
        <v>31</v>
      </c>
      <c r="E271" s="3" t="s">
        <v>257</v>
      </c>
      <c r="F271" s="3" t="s">
        <v>33</v>
      </c>
      <c r="G271" s="3" t="s">
        <v>34</v>
      </c>
      <c r="H271" s="20">
        <v>0</v>
      </c>
      <c r="I271" s="20">
        <v>231.28999999999996</v>
      </c>
      <c r="J271" s="20">
        <v>750</v>
      </c>
      <c r="K271" s="20">
        <v>183.39</v>
      </c>
      <c r="L271" s="20"/>
      <c r="M271" s="20">
        <f>Tabela1[[#This Row],[1ª QZ]]-Tabela1[[#This Row],[SALDO FINAL]]-Tabela1[[#This Row],[SALDO CARTAO]]-Tabela1[[#This Row],[Adiantamento ]]</f>
        <v>335.32000000000005</v>
      </c>
      <c r="N271" s="20">
        <f>Tabela1[[#This Row],[SALDO REEMBOLSAR]]*$N$4</f>
        <v>0</v>
      </c>
      <c r="O271" s="20">
        <v>335.32000000000005</v>
      </c>
      <c r="Q271" t="str">
        <f>_xlfn.XLOOKUP(Tabela1[[#This Row],[COLABORADOR]],'STATUS CARTAO'!D:D,'STATUS CARTAO'!G:G)</f>
        <v>Cartão ativo</v>
      </c>
    </row>
    <row r="272" spans="1:17" hidden="1">
      <c r="A272" s="3" t="s">
        <v>620</v>
      </c>
      <c r="B272" s="3" t="s">
        <v>621</v>
      </c>
      <c r="C272" s="5"/>
      <c r="D272" s="3" t="s">
        <v>31</v>
      </c>
      <c r="E272" s="3" t="s">
        <v>257</v>
      </c>
      <c r="F272" s="3"/>
      <c r="G272" s="3"/>
      <c r="H272" s="20"/>
      <c r="I272" s="20"/>
      <c r="J272" s="20"/>
      <c r="K272" s="20"/>
      <c r="L272" s="20"/>
      <c r="M272" s="20">
        <f>Tabela1[[#This Row],[1ª QZ]]-Tabela1[[#This Row],[SALDO FINAL]]-Tabela1[[#This Row],[SALDO CARTAO]]-Tabela1[[#This Row],[Adiantamento ]]</f>
        <v>0</v>
      </c>
      <c r="N272" s="20">
        <f>Tabela1[[#This Row],[SALDO REEMBOLSAR]]*$N$4</f>
        <v>0</v>
      </c>
      <c r="O272" s="20">
        <v>183.39</v>
      </c>
      <c r="Q272" t="str">
        <f>_xlfn.XLOOKUP(Tabela1[[#This Row],[COLABORADOR]],'STATUS CARTAO'!D:D,'STATUS CARTAO'!G:G)</f>
        <v>Cartão ativo</v>
      </c>
    </row>
    <row r="273" spans="1:17" hidden="1">
      <c r="A273" s="3" t="s">
        <v>622</v>
      </c>
      <c r="B273" s="3" t="s">
        <v>623</v>
      </c>
      <c r="C273" s="5" t="s">
        <v>19</v>
      </c>
      <c r="D273" s="3" t="s">
        <v>37</v>
      </c>
      <c r="E273" s="3" t="s">
        <v>624</v>
      </c>
      <c r="F273" s="3" t="s">
        <v>39</v>
      </c>
      <c r="G273" s="3" t="s">
        <v>40</v>
      </c>
      <c r="H273" s="20">
        <v>960.45000000002005</v>
      </c>
      <c r="I273" s="20">
        <v>0</v>
      </c>
      <c r="J273" s="20">
        <v>1840</v>
      </c>
      <c r="K273" s="20">
        <v>101.2</v>
      </c>
      <c r="L273" s="20"/>
      <c r="M273" s="20">
        <f>Tabela1[[#This Row],[1ª QZ]]-Tabela1[[#This Row],[SALDO FINAL]]-Tabela1[[#This Row],[SALDO CARTAO]]-Tabela1[[#This Row],[Adiantamento ]]</f>
        <v>1738.8</v>
      </c>
      <c r="N273" s="20">
        <f>Tabela1[[#This Row],[SALDO REEMBOLSAR]]*$N$4</f>
        <v>576.27000000001203</v>
      </c>
      <c r="O273" s="20">
        <v>2219.0250000000101</v>
      </c>
      <c r="Q273" t="str">
        <f>_xlfn.XLOOKUP(Tabela1[[#This Row],[COLABORADOR]],'STATUS CARTAO'!D:D,'STATUS CARTAO'!G:G)</f>
        <v>Cartão ativo</v>
      </c>
    </row>
    <row r="274" spans="1:17" hidden="1">
      <c r="A274" s="3" t="s">
        <v>625</v>
      </c>
      <c r="B274" s="3" t="s">
        <v>626</v>
      </c>
      <c r="C274" s="5" t="s">
        <v>19</v>
      </c>
      <c r="D274" s="3" t="s">
        <v>627</v>
      </c>
      <c r="E274" s="3" t="s">
        <v>138</v>
      </c>
      <c r="F274" s="3" t="s">
        <v>39</v>
      </c>
      <c r="G274" s="3" t="s">
        <v>40</v>
      </c>
      <c r="H274" s="20">
        <v>0</v>
      </c>
      <c r="I274" s="20">
        <v>8.3800000000001091</v>
      </c>
      <c r="J274" s="20">
        <v>800</v>
      </c>
      <c r="K274" s="20">
        <v>8.3800000000000008</v>
      </c>
      <c r="L274" s="20"/>
      <c r="M274" s="20">
        <f>Tabela1[[#This Row],[1ª QZ]]-Tabela1[[#This Row],[SALDO FINAL]]-Tabela1[[#This Row],[SALDO CARTAO]]-Tabela1[[#This Row],[Adiantamento ]]</f>
        <v>783.2399999999999</v>
      </c>
      <c r="N274" s="20">
        <f>Tabela1[[#This Row],[SALDO REEMBOLSAR]]*$N$4</f>
        <v>0</v>
      </c>
      <c r="O274" s="20">
        <v>783.2399999999999</v>
      </c>
      <c r="Q274" t="str">
        <f>_xlfn.XLOOKUP(Tabela1[[#This Row],[COLABORADOR]],'STATUS CARTAO'!D:D,'STATUS CARTAO'!G:G)</f>
        <v>Cartão ativo</v>
      </c>
    </row>
    <row r="275" spans="1:17" hidden="1">
      <c r="A275" s="3" t="s">
        <v>628</v>
      </c>
      <c r="B275" s="3" t="s">
        <v>629</v>
      </c>
      <c r="C275" s="5" t="s">
        <v>19</v>
      </c>
      <c r="D275" s="3" t="s">
        <v>31</v>
      </c>
      <c r="E275" s="3" t="s">
        <v>56</v>
      </c>
      <c r="F275" s="3" t="s">
        <v>33</v>
      </c>
      <c r="G275" s="3" t="s">
        <v>34</v>
      </c>
      <c r="H275" s="20">
        <v>0</v>
      </c>
      <c r="I275" s="20">
        <v>1238.67</v>
      </c>
      <c r="J275" s="20">
        <v>1000</v>
      </c>
      <c r="K275" s="20">
        <v>502.54</v>
      </c>
      <c r="L275" s="20"/>
      <c r="M275" s="20">
        <f>Tabela1[[#This Row],[1ª QZ]]-Tabela1[[#This Row],[SALDO FINAL]]-Tabela1[[#This Row],[SALDO CARTAO]]-Tabela1[[#This Row],[Adiantamento ]]</f>
        <v>-741.21</v>
      </c>
      <c r="N275" s="20">
        <f>Tabela1[[#This Row],[SALDO REEMBOLSAR]]*$N$4</f>
        <v>0</v>
      </c>
      <c r="O275" s="20">
        <v>0</v>
      </c>
      <c r="Q275" t="str">
        <f>_xlfn.XLOOKUP(Tabela1[[#This Row],[COLABORADOR]],'STATUS CARTAO'!D:D,'STATUS CARTAO'!G:G)</f>
        <v>Cartão ativo</v>
      </c>
    </row>
    <row r="276" spans="1:17" hidden="1">
      <c r="A276" s="3" t="s">
        <v>630</v>
      </c>
      <c r="B276" s="3" t="s">
        <v>631</v>
      </c>
      <c r="C276" s="5" t="s">
        <v>19</v>
      </c>
      <c r="D276" s="3" t="s">
        <v>37</v>
      </c>
      <c r="E276" s="3" t="s">
        <v>246</v>
      </c>
      <c r="F276" s="3" t="s">
        <v>39</v>
      </c>
      <c r="G276" s="3" t="s">
        <v>40</v>
      </c>
      <c r="H276" s="20">
        <v>0</v>
      </c>
      <c r="I276" s="20">
        <v>112.85999999997875</v>
      </c>
      <c r="J276" s="20">
        <v>2000</v>
      </c>
      <c r="K276" s="20">
        <v>22</v>
      </c>
      <c r="L276" s="20"/>
      <c r="M276" s="20">
        <f>Tabela1[[#This Row],[1ª QZ]]-Tabela1[[#This Row],[SALDO FINAL]]-Tabela1[[#This Row],[SALDO CARTAO]]-Tabela1[[#This Row],[Adiantamento ]]</f>
        <v>1865.1400000000212</v>
      </c>
      <c r="N276" s="20">
        <f>Tabela1[[#This Row],[SALDO REEMBOLSAR]]*$N$4</f>
        <v>0</v>
      </c>
      <c r="O276" s="20">
        <v>1865.1400000000212</v>
      </c>
      <c r="Q276" t="str">
        <f>_xlfn.XLOOKUP(Tabela1[[#This Row],[COLABORADOR]],'STATUS CARTAO'!D:D,'STATUS CARTAO'!G:G)</f>
        <v>Cartão ativo</v>
      </c>
    </row>
    <row r="277" spans="1:17" hidden="1">
      <c r="A277" s="3" t="s">
        <v>632</v>
      </c>
      <c r="B277" s="3" t="s">
        <v>633</v>
      </c>
      <c r="C277" s="5" t="s">
        <v>19</v>
      </c>
      <c r="D277" s="3" t="s">
        <v>43</v>
      </c>
      <c r="E277" s="3" t="s">
        <v>634</v>
      </c>
      <c r="F277" s="3" t="s">
        <v>45</v>
      </c>
      <c r="G277" s="3" t="s">
        <v>40</v>
      </c>
      <c r="H277" s="20">
        <v>0</v>
      </c>
      <c r="I277" s="20">
        <v>2.1600000000000819</v>
      </c>
      <c r="J277" s="20">
        <v>200</v>
      </c>
      <c r="K277" s="20">
        <v>2.16</v>
      </c>
      <c r="L277" s="20"/>
      <c r="M277" s="20">
        <f>Tabela1[[#This Row],[1ª QZ]]-Tabela1[[#This Row],[SALDO FINAL]]-Tabela1[[#This Row],[SALDO CARTAO]]-Tabela1[[#This Row],[Adiantamento ]]</f>
        <v>195.67999999999992</v>
      </c>
      <c r="N277" s="20">
        <f>Tabela1[[#This Row],[SALDO REEMBOLSAR]]*$N$4</f>
        <v>0</v>
      </c>
      <c r="O277" s="20">
        <v>195.67999999999992</v>
      </c>
      <c r="Q277" t="str">
        <f>_xlfn.XLOOKUP(Tabela1[[#This Row],[COLABORADOR]],'STATUS CARTAO'!D:D,'STATUS CARTAO'!G:G)</f>
        <v>Cartão ativo</v>
      </c>
    </row>
    <row r="278" spans="1:17" hidden="1">
      <c r="A278" s="3" t="s">
        <v>635</v>
      </c>
      <c r="B278" s="3" t="s">
        <v>636</v>
      </c>
      <c r="C278" s="5" t="s">
        <v>19</v>
      </c>
      <c r="D278" s="3" t="s">
        <v>43</v>
      </c>
      <c r="E278" s="3" t="s">
        <v>82</v>
      </c>
      <c r="F278" s="3" t="s">
        <v>45</v>
      </c>
      <c r="G278" s="3" t="s">
        <v>40</v>
      </c>
      <c r="H278" s="20">
        <v>0</v>
      </c>
      <c r="I278" s="20">
        <v>290.00000000000034</v>
      </c>
      <c r="J278" s="20">
        <v>200</v>
      </c>
      <c r="K278" s="20">
        <v>7.88</v>
      </c>
      <c r="L278" s="20"/>
      <c r="M278" s="20">
        <f>Tabela1[[#This Row],[1ª QZ]]-Tabela1[[#This Row],[SALDO FINAL]]-Tabela1[[#This Row],[SALDO CARTAO]]-Tabela1[[#This Row],[Adiantamento ]]</f>
        <v>-97.880000000000337</v>
      </c>
      <c r="N278" s="20">
        <f>Tabela1[[#This Row],[SALDO REEMBOLSAR]]*$N$4</f>
        <v>0</v>
      </c>
      <c r="O278" s="20">
        <v>0</v>
      </c>
      <c r="Q278" t="str">
        <f>_xlfn.XLOOKUP(Tabela1[[#This Row],[COLABORADOR]],'STATUS CARTAO'!D:D,'STATUS CARTAO'!G:G)</f>
        <v>Cartão ativo</v>
      </c>
    </row>
    <row r="279" spans="1:17" hidden="1">
      <c r="A279" s="3" t="s">
        <v>637</v>
      </c>
      <c r="B279" s="3" t="s">
        <v>638</v>
      </c>
      <c r="C279" s="5" t="s">
        <v>19</v>
      </c>
      <c r="D279" s="3" t="s">
        <v>48</v>
      </c>
      <c r="E279" s="3" t="s">
        <v>93</v>
      </c>
      <c r="F279" s="3" t="s">
        <v>50</v>
      </c>
      <c r="G279" s="3" t="s">
        <v>40</v>
      </c>
      <c r="H279" s="20">
        <v>0</v>
      </c>
      <c r="I279" s="20">
        <v>100</v>
      </c>
      <c r="J279" s="20">
        <v>100</v>
      </c>
      <c r="K279" s="20">
        <v>100</v>
      </c>
      <c r="L279" s="20"/>
      <c r="M279" s="20">
        <f>Tabela1[[#This Row],[1ª QZ]]-Tabela1[[#This Row],[SALDO FINAL]]-Tabela1[[#This Row],[SALDO CARTAO]]-Tabela1[[#This Row],[Adiantamento ]]</f>
        <v>-100</v>
      </c>
      <c r="N279" s="20">
        <f>Tabela1[[#This Row],[SALDO REEMBOLSAR]]*$N$4</f>
        <v>0</v>
      </c>
      <c r="O279" s="20">
        <v>0</v>
      </c>
      <c r="Q279" t="str">
        <f>_xlfn.XLOOKUP(Tabela1[[#This Row],[COLABORADOR]],'STATUS CARTAO'!D:D,'STATUS CARTAO'!G:G)</f>
        <v>Cartão ativo</v>
      </c>
    </row>
    <row r="280" spans="1:17" hidden="1">
      <c r="A280" s="3" t="s">
        <v>639</v>
      </c>
      <c r="B280" s="3" t="s">
        <v>640</v>
      </c>
      <c r="C280" s="5" t="s">
        <v>19</v>
      </c>
      <c r="D280" s="3" t="s">
        <v>74</v>
      </c>
      <c r="E280" s="3" t="s">
        <v>373</v>
      </c>
      <c r="F280" s="3" t="s">
        <v>76</v>
      </c>
      <c r="G280" s="3" t="s">
        <v>40</v>
      </c>
      <c r="H280" s="20">
        <v>0</v>
      </c>
      <c r="I280" s="20">
        <v>1901.4300000000148</v>
      </c>
      <c r="J280" s="20">
        <v>3350</v>
      </c>
      <c r="K280" s="20">
        <v>1.65</v>
      </c>
      <c r="L280" s="20"/>
      <c r="M280" s="20">
        <f>Tabela1[[#This Row],[1ª QZ]]-Tabela1[[#This Row],[SALDO FINAL]]-Tabela1[[#This Row],[SALDO CARTAO]]-Tabela1[[#This Row],[Adiantamento ]]</f>
        <v>1446.9199999999851</v>
      </c>
      <c r="N280" s="20">
        <f>Tabela1[[#This Row],[SALDO REEMBOLSAR]]*$N$4</f>
        <v>0</v>
      </c>
      <c r="O280" s="20">
        <v>1446.9199999999851</v>
      </c>
      <c r="Q280" t="str">
        <f>_xlfn.XLOOKUP(Tabela1[[#This Row],[COLABORADOR]],'STATUS CARTAO'!D:D,'STATUS CARTAO'!G:G)</f>
        <v>Cartão ativo</v>
      </c>
    </row>
    <row r="281" spans="1:17" hidden="1">
      <c r="A281" s="3" t="s">
        <v>641</v>
      </c>
      <c r="B281" s="3" t="s">
        <v>642</v>
      </c>
      <c r="C281" s="5" t="s">
        <v>19</v>
      </c>
      <c r="D281" s="3" t="s">
        <v>48</v>
      </c>
      <c r="E281" s="3" t="s">
        <v>49</v>
      </c>
      <c r="F281" s="3" t="s">
        <v>50</v>
      </c>
      <c r="G281" s="3" t="s">
        <v>40</v>
      </c>
      <c r="H281" s="20">
        <v>0</v>
      </c>
      <c r="I281" s="20">
        <v>108.20000000000005</v>
      </c>
      <c r="J281" s="20">
        <v>120</v>
      </c>
      <c r="K281" s="20">
        <v>60</v>
      </c>
      <c r="L281" s="20"/>
      <c r="M281" s="20">
        <f>Tabela1[[#This Row],[1ª QZ]]-Tabela1[[#This Row],[SALDO FINAL]]-Tabela1[[#This Row],[SALDO CARTAO]]-Tabela1[[#This Row],[Adiantamento ]]</f>
        <v>-48.200000000000045</v>
      </c>
      <c r="N281" s="20">
        <f>Tabela1[[#This Row],[SALDO REEMBOLSAR]]*$N$4</f>
        <v>0</v>
      </c>
      <c r="O281" s="20">
        <v>0</v>
      </c>
      <c r="Q281" t="str">
        <f>_xlfn.XLOOKUP(Tabela1[[#This Row],[COLABORADOR]],'STATUS CARTAO'!D:D,'STATUS CARTAO'!G:G)</f>
        <v>Cartão ativo</v>
      </c>
    </row>
    <row r="282" spans="1:17" hidden="1">
      <c r="A282" s="3" t="s">
        <v>643</v>
      </c>
      <c r="B282" s="3" t="s">
        <v>644</v>
      </c>
      <c r="C282" s="5" t="s">
        <v>19</v>
      </c>
      <c r="D282" s="3" t="s">
        <v>20</v>
      </c>
      <c r="E282" s="3" t="s">
        <v>645</v>
      </c>
      <c r="F282" s="3" t="s">
        <v>22</v>
      </c>
      <c r="G282" s="3" t="s">
        <v>23</v>
      </c>
      <c r="H282" s="20">
        <v>0</v>
      </c>
      <c r="I282" s="20">
        <v>1433.5699999999997</v>
      </c>
      <c r="J282" s="20">
        <v>350</v>
      </c>
      <c r="K282" s="20">
        <v>42.1</v>
      </c>
      <c r="L282" s="20"/>
      <c r="M282" s="20">
        <f>Tabela1[[#This Row],[1ª QZ]]-Tabela1[[#This Row],[SALDO FINAL]]-Tabela1[[#This Row],[SALDO CARTAO]]-Tabela1[[#This Row],[Adiantamento ]]</f>
        <v>-1125.6699999999996</v>
      </c>
      <c r="N282" s="20">
        <f>Tabela1[[#This Row],[SALDO REEMBOLSAR]]*$N$4</f>
        <v>0</v>
      </c>
      <c r="O282" s="20">
        <v>0</v>
      </c>
      <c r="Q282" t="str">
        <f>_xlfn.XLOOKUP(Tabela1[[#This Row],[COLABORADOR]],'STATUS CARTAO'!D:D,'STATUS CARTAO'!G:G)</f>
        <v>Cartão ativo</v>
      </c>
    </row>
    <row r="283" spans="1:17" hidden="1">
      <c r="A283" s="3" t="s">
        <v>646</v>
      </c>
      <c r="B283" s="3" t="s">
        <v>647</v>
      </c>
      <c r="C283" s="5" t="s">
        <v>19</v>
      </c>
      <c r="D283" s="3" t="s">
        <v>26</v>
      </c>
      <c r="E283" s="3" t="s">
        <v>648</v>
      </c>
      <c r="F283" s="3" t="s">
        <v>28</v>
      </c>
      <c r="G283" s="3" t="s">
        <v>23</v>
      </c>
      <c r="H283" s="20">
        <v>70.299999999995634</v>
      </c>
      <c r="I283" s="20">
        <v>0</v>
      </c>
      <c r="J283" s="20">
        <v>1500</v>
      </c>
      <c r="K283" s="20">
        <v>12.31</v>
      </c>
      <c r="L283" s="20"/>
      <c r="M283" s="20">
        <f>Tabela1[[#This Row],[1ª QZ]]-Tabela1[[#This Row],[SALDO FINAL]]-Tabela1[[#This Row],[SALDO CARTAO]]-Tabela1[[#This Row],[Adiantamento ]]</f>
        <v>1487.69</v>
      </c>
      <c r="N283" s="20">
        <f>Tabela1[[#This Row],[SALDO REEMBOLSAR]]*$N$4</f>
        <v>42.179999999997378</v>
      </c>
      <c r="O283" s="20">
        <v>1522.8399999999979</v>
      </c>
      <c r="Q283" t="str">
        <f>_xlfn.XLOOKUP(Tabela1[[#This Row],[COLABORADOR]],'STATUS CARTAO'!D:D,'STATUS CARTAO'!G:G)</f>
        <v>Cartão ativo</v>
      </c>
    </row>
    <row r="284" spans="1:17" hidden="1">
      <c r="A284" s="3" t="s">
        <v>649</v>
      </c>
      <c r="B284" s="3" t="s">
        <v>650</v>
      </c>
      <c r="C284" s="5" t="s">
        <v>19</v>
      </c>
      <c r="D284" s="3" t="s">
        <v>20</v>
      </c>
      <c r="E284" s="3" t="s">
        <v>651</v>
      </c>
      <c r="F284" s="3" t="s">
        <v>22</v>
      </c>
      <c r="G284" s="3" t="s">
        <v>23</v>
      </c>
      <c r="H284" s="20">
        <v>303.62000000000262</v>
      </c>
      <c r="I284" s="20">
        <v>0</v>
      </c>
      <c r="J284" s="20">
        <v>1000</v>
      </c>
      <c r="K284" s="20">
        <v>610.46</v>
      </c>
      <c r="L284" s="20"/>
      <c r="M284" s="20">
        <f>Tabela1[[#This Row],[1ª QZ]]-Tabela1[[#This Row],[SALDO FINAL]]-Tabela1[[#This Row],[SALDO CARTAO]]-Tabela1[[#This Row],[Adiantamento ]]</f>
        <v>389.53999999999996</v>
      </c>
      <c r="N284" s="20">
        <f>Tabela1[[#This Row],[SALDO REEMBOLSAR]]*$N$4</f>
        <v>182.17200000000156</v>
      </c>
      <c r="O284" s="20">
        <v>541.35000000000127</v>
      </c>
      <c r="Q284" t="str">
        <f>_xlfn.XLOOKUP(Tabela1[[#This Row],[COLABORADOR]],'STATUS CARTAO'!D:D,'STATUS CARTAO'!G:G)</f>
        <v>Cartão ativo</v>
      </c>
    </row>
    <row r="285" spans="1:17" hidden="1">
      <c r="A285" s="3" t="s">
        <v>652</v>
      </c>
      <c r="B285" s="3" t="s">
        <v>653</v>
      </c>
      <c r="C285" s="5" t="s">
        <v>19</v>
      </c>
      <c r="D285" s="3" t="s">
        <v>37</v>
      </c>
      <c r="E285" s="3" t="s">
        <v>654</v>
      </c>
      <c r="F285" s="3" t="s">
        <v>39</v>
      </c>
      <c r="G285" s="3" t="s">
        <v>40</v>
      </c>
      <c r="H285" s="20">
        <v>0</v>
      </c>
      <c r="I285" s="20">
        <v>124.24999999999909</v>
      </c>
      <c r="J285" s="20">
        <v>1000</v>
      </c>
      <c r="K285" s="20">
        <v>124.25</v>
      </c>
      <c r="L285" s="20"/>
      <c r="M285" s="20">
        <f>Tabela1[[#This Row],[1ª QZ]]-Tabela1[[#This Row],[SALDO FINAL]]-Tabela1[[#This Row],[SALDO CARTAO]]-Tabela1[[#This Row],[Adiantamento ]]</f>
        <v>751.50000000000091</v>
      </c>
      <c r="N285" s="20">
        <f>Tabela1[[#This Row],[SALDO REEMBOLSAR]]*$N$4</f>
        <v>0</v>
      </c>
      <c r="O285" s="20">
        <v>751.50000000000091</v>
      </c>
      <c r="Q285" t="str">
        <f>_xlfn.XLOOKUP(Tabela1[[#This Row],[COLABORADOR]],'STATUS CARTAO'!D:D,'STATUS CARTAO'!G:G)</f>
        <v>Cartão ativo</v>
      </c>
    </row>
    <row r="286" spans="1:17" hidden="1">
      <c r="A286" s="3" t="s">
        <v>655</v>
      </c>
      <c r="B286" s="3" t="s">
        <v>656</v>
      </c>
      <c r="C286" s="5" t="s">
        <v>19</v>
      </c>
      <c r="D286" s="3" t="s">
        <v>48</v>
      </c>
      <c r="E286" s="3" t="s">
        <v>49</v>
      </c>
      <c r="F286" s="3" t="s">
        <v>50</v>
      </c>
      <c r="G286" s="3" t="s">
        <v>40</v>
      </c>
      <c r="H286" s="20">
        <v>0</v>
      </c>
      <c r="I286" s="20">
        <v>3014.0299999999997</v>
      </c>
      <c r="J286" s="20">
        <v>120</v>
      </c>
      <c r="K286" s="20">
        <v>10.28</v>
      </c>
      <c r="L286" s="20"/>
      <c r="M286" s="20">
        <f>Tabela1[[#This Row],[1ª QZ]]-Tabela1[[#This Row],[SALDO FINAL]]-Tabela1[[#This Row],[SALDO CARTAO]]-Tabela1[[#This Row],[Adiantamento ]]</f>
        <v>-2904.31</v>
      </c>
      <c r="N286" s="20">
        <f>Tabela1[[#This Row],[SALDO REEMBOLSAR]]*$N$4</f>
        <v>0</v>
      </c>
      <c r="O286" s="20">
        <v>0</v>
      </c>
      <c r="Q286" t="str">
        <f>_xlfn.XLOOKUP(Tabela1[[#This Row],[COLABORADOR]],'STATUS CARTAO'!D:D,'STATUS CARTAO'!G:G)</f>
        <v>Cartão ativo</v>
      </c>
    </row>
    <row r="287" spans="1:17" hidden="1">
      <c r="A287" s="3" t="s">
        <v>657</v>
      </c>
      <c r="B287" s="3" t="s">
        <v>658</v>
      </c>
      <c r="C287" s="5" t="s">
        <v>19</v>
      </c>
      <c r="D287" s="3" t="s">
        <v>48</v>
      </c>
      <c r="E287" s="3" t="s">
        <v>659</v>
      </c>
      <c r="F287" s="3" t="s">
        <v>50</v>
      </c>
      <c r="G287" s="3" t="s">
        <v>40</v>
      </c>
      <c r="H287" s="20">
        <v>0</v>
      </c>
      <c r="I287" s="20">
        <v>0</v>
      </c>
      <c r="J287" s="20">
        <v>300</v>
      </c>
      <c r="K287" s="20">
        <v>0</v>
      </c>
      <c r="L287" s="20"/>
      <c r="M287" s="20">
        <f>Tabela1[[#This Row],[1ª QZ]]-Tabela1[[#This Row],[SALDO FINAL]]-Tabela1[[#This Row],[SALDO CARTAO]]-Tabela1[[#This Row],[Adiantamento ]]</f>
        <v>300</v>
      </c>
      <c r="N287" s="20">
        <f>Tabela1[[#This Row],[SALDO REEMBOLSAR]]*$N$4</f>
        <v>0</v>
      </c>
      <c r="O287" s="20">
        <v>300</v>
      </c>
      <c r="Q287" t="str">
        <f>_xlfn.XLOOKUP(Tabela1[[#This Row],[COLABORADOR]],'STATUS CARTAO'!D:D,'STATUS CARTAO'!G:G)</f>
        <v>Cartão ativo</v>
      </c>
    </row>
    <row r="288" spans="1:17" hidden="1">
      <c r="A288" s="3" t="s">
        <v>660</v>
      </c>
      <c r="B288" s="3" t="s">
        <v>661</v>
      </c>
      <c r="C288" s="5" t="s">
        <v>19</v>
      </c>
      <c r="D288" s="3" t="s">
        <v>48</v>
      </c>
      <c r="E288" s="3" t="s">
        <v>93</v>
      </c>
      <c r="F288" s="3" t="s">
        <v>50</v>
      </c>
      <c r="G288" s="3" t="s">
        <v>40</v>
      </c>
      <c r="H288" s="20">
        <v>52.990000000000236</v>
      </c>
      <c r="I288" s="20">
        <v>0</v>
      </c>
      <c r="J288" s="20">
        <v>50</v>
      </c>
      <c r="K288" s="20">
        <v>3.62</v>
      </c>
      <c r="L288" s="20"/>
      <c r="M288" s="20">
        <f>Tabela1[[#This Row],[1ª QZ]]-Tabela1[[#This Row],[SALDO FINAL]]-Tabela1[[#This Row],[SALDO CARTAO]]-Tabela1[[#This Row],[Adiantamento ]]</f>
        <v>46.38</v>
      </c>
      <c r="N288" s="20">
        <f>Tabela1[[#This Row],[SALDO REEMBOLSAR]]*$N$4</f>
        <v>31.794000000000139</v>
      </c>
      <c r="O288" s="20">
        <v>72.875000000000114</v>
      </c>
      <c r="Q288" t="str">
        <f>_xlfn.XLOOKUP(Tabela1[[#This Row],[COLABORADOR]],'STATUS CARTAO'!D:D,'STATUS CARTAO'!G:G)</f>
        <v>Cartão ativo</v>
      </c>
    </row>
    <row r="289" spans="1:17" hidden="1">
      <c r="A289" s="3" t="s">
        <v>662</v>
      </c>
      <c r="B289" s="3" t="s">
        <v>663</v>
      </c>
      <c r="C289" s="5" t="s">
        <v>19</v>
      </c>
      <c r="D289" s="3" t="s">
        <v>37</v>
      </c>
      <c r="E289" s="3" t="s">
        <v>138</v>
      </c>
      <c r="F289" s="3" t="s">
        <v>39</v>
      </c>
      <c r="G289" s="3" t="s">
        <v>40</v>
      </c>
      <c r="H289" s="20">
        <v>0</v>
      </c>
      <c r="I289" s="20">
        <v>258.850000000004</v>
      </c>
      <c r="J289" s="20">
        <v>600</v>
      </c>
      <c r="K289" s="20">
        <v>600</v>
      </c>
      <c r="L289" s="20"/>
      <c r="M289" s="20">
        <f>Tabela1[[#This Row],[1ª QZ]]-Tabela1[[#This Row],[SALDO FINAL]]-Tabela1[[#This Row],[SALDO CARTAO]]-Tabela1[[#This Row],[Adiantamento ]]</f>
        <v>-258.850000000004</v>
      </c>
      <c r="N289" s="20">
        <f>Tabela1[[#This Row],[SALDO REEMBOLSAR]]*$N$4</f>
        <v>0</v>
      </c>
      <c r="O289" s="20">
        <v>0</v>
      </c>
      <c r="Q289" t="str">
        <f>_xlfn.XLOOKUP(Tabela1[[#This Row],[COLABORADOR]],'STATUS CARTAO'!D:D,'STATUS CARTAO'!G:G)</f>
        <v>Cartão ativo</v>
      </c>
    </row>
    <row r="290" spans="1:17" hidden="1">
      <c r="A290" s="3" t="s">
        <v>664</v>
      </c>
      <c r="B290" s="3" t="s">
        <v>665</v>
      </c>
      <c r="C290" s="5" t="s">
        <v>19</v>
      </c>
      <c r="D290" s="3" t="s">
        <v>37</v>
      </c>
      <c r="E290" s="3" t="s">
        <v>138</v>
      </c>
      <c r="F290" s="3" t="s">
        <v>39</v>
      </c>
      <c r="G290" s="3" t="s">
        <v>40</v>
      </c>
      <c r="H290" s="20">
        <v>0</v>
      </c>
      <c r="I290" s="20">
        <v>798.13000000000648</v>
      </c>
      <c r="J290" s="20">
        <v>800</v>
      </c>
      <c r="K290" s="20">
        <v>17.739999999999998</v>
      </c>
      <c r="L290" s="20"/>
      <c r="M290" s="20">
        <f>Tabela1[[#This Row],[1ª QZ]]-Tabela1[[#This Row],[SALDO FINAL]]-Tabela1[[#This Row],[SALDO CARTAO]]-Tabela1[[#This Row],[Adiantamento ]]</f>
        <v>-15.870000000006474</v>
      </c>
      <c r="N290" s="20">
        <f>Tabela1[[#This Row],[SALDO REEMBOLSAR]]*$N$4</f>
        <v>0</v>
      </c>
      <c r="O290" s="20">
        <v>0</v>
      </c>
      <c r="Q290" t="str">
        <f>_xlfn.XLOOKUP(Tabela1[[#This Row],[COLABORADOR]],'STATUS CARTAO'!D:D,'STATUS CARTAO'!G:G)</f>
        <v>Cartão ativo</v>
      </c>
    </row>
    <row r="291" spans="1:17" hidden="1">
      <c r="A291" s="3" t="s">
        <v>666</v>
      </c>
      <c r="B291" s="3" t="s">
        <v>667</v>
      </c>
      <c r="C291" s="5" t="s">
        <v>19</v>
      </c>
      <c r="D291" s="3" t="s">
        <v>74</v>
      </c>
      <c r="E291" s="3" t="s">
        <v>467</v>
      </c>
      <c r="F291" s="3" t="s">
        <v>76</v>
      </c>
      <c r="G291" s="3" t="s">
        <v>40</v>
      </c>
      <c r="H291" s="20">
        <v>751.23000000019965</v>
      </c>
      <c r="I291" s="20">
        <v>0</v>
      </c>
      <c r="J291" s="20">
        <v>4000</v>
      </c>
      <c r="K291" s="20">
        <v>13.3</v>
      </c>
      <c r="L291" s="20"/>
      <c r="M291" s="20">
        <f>Tabela1[[#This Row],[1ª QZ]]-Tabela1[[#This Row],[SALDO FINAL]]-Tabela1[[#This Row],[SALDO CARTAO]]-Tabela1[[#This Row],[Adiantamento ]]</f>
        <v>3986.7</v>
      </c>
      <c r="N291" s="20">
        <f>Tabela1[[#This Row],[SALDO REEMBOLSAR]]*$N$4</f>
        <v>450.73800000011977</v>
      </c>
      <c r="O291" s="20">
        <v>4362.3150000000996</v>
      </c>
      <c r="Q291" t="str">
        <f>_xlfn.XLOOKUP(Tabela1[[#This Row],[COLABORADOR]],'STATUS CARTAO'!D:D,'STATUS CARTAO'!G:G)</f>
        <v>Cartão ativo</v>
      </c>
    </row>
    <row r="292" spans="1:17" hidden="1">
      <c r="A292" s="3" t="s">
        <v>668</v>
      </c>
      <c r="B292" s="3" t="s">
        <v>669</v>
      </c>
      <c r="C292" s="5" t="s">
        <v>19</v>
      </c>
      <c r="D292" s="3" t="s">
        <v>37</v>
      </c>
      <c r="E292" s="3" t="s">
        <v>138</v>
      </c>
      <c r="F292" s="3" t="s">
        <v>39</v>
      </c>
      <c r="G292" s="3" t="s">
        <v>40</v>
      </c>
      <c r="H292" s="20">
        <v>0</v>
      </c>
      <c r="I292" s="20">
        <v>31.78000000000975</v>
      </c>
      <c r="J292" s="20">
        <v>800</v>
      </c>
      <c r="K292" s="20">
        <v>31.78</v>
      </c>
      <c r="L292" s="20"/>
      <c r="M292" s="20">
        <f>Tabela1[[#This Row],[1ª QZ]]-Tabela1[[#This Row],[SALDO FINAL]]-Tabela1[[#This Row],[SALDO CARTAO]]-Tabela1[[#This Row],[Adiantamento ]]</f>
        <v>736.43999999999028</v>
      </c>
      <c r="N292" s="20">
        <f>Tabela1[[#This Row],[SALDO REEMBOLSAR]]*$N$4</f>
        <v>0</v>
      </c>
      <c r="O292" s="20">
        <v>736.43999999999028</v>
      </c>
      <c r="Q292" t="str">
        <f>_xlfn.XLOOKUP(Tabela1[[#This Row],[COLABORADOR]],'STATUS CARTAO'!D:D,'STATUS CARTAO'!G:G)</f>
        <v>Cartão ativo</v>
      </c>
    </row>
    <row r="293" spans="1:17" hidden="1">
      <c r="A293" s="3" t="s">
        <v>670</v>
      </c>
      <c r="B293" s="3" t="s">
        <v>671</v>
      </c>
      <c r="C293" s="5" t="s">
        <v>19</v>
      </c>
      <c r="D293" s="3" t="s">
        <v>96</v>
      </c>
      <c r="E293" s="3" t="s">
        <v>97</v>
      </c>
      <c r="F293" s="3" t="s">
        <v>98</v>
      </c>
      <c r="G293" s="3" t="s">
        <v>23</v>
      </c>
      <c r="H293" s="20">
        <v>0</v>
      </c>
      <c r="I293" s="20">
        <v>299.99999999999977</v>
      </c>
      <c r="J293" s="20">
        <v>300</v>
      </c>
      <c r="K293" s="20">
        <v>300</v>
      </c>
      <c r="L293" s="20"/>
      <c r="M293" s="20">
        <f>Tabela1[[#This Row],[1ª QZ]]-Tabela1[[#This Row],[SALDO FINAL]]-Tabela1[[#This Row],[SALDO CARTAO]]-Tabela1[[#This Row],[Adiantamento ]]</f>
        <v>-299.99999999999977</v>
      </c>
      <c r="N293" s="20">
        <f>Tabela1[[#This Row],[SALDO REEMBOLSAR]]*$N$4</f>
        <v>0</v>
      </c>
      <c r="O293" s="20">
        <v>0</v>
      </c>
      <c r="Q293" t="str">
        <f>_xlfn.XLOOKUP(Tabela1[[#This Row],[COLABORADOR]],'STATUS CARTAO'!D:D,'STATUS CARTAO'!G:G)</f>
        <v>Cartão ativo</v>
      </c>
    </row>
    <row r="294" spans="1:17" hidden="1">
      <c r="A294" s="3" t="s">
        <v>672</v>
      </c>
      <c r="B294" s="3" t="s">
        <v>673</v>
      </c>
      <c r="C294" s="5" t="s">
        <v>19</v>
      </c>
      <c r="D294" s="3" t="s">
        <v>37</v>
      </c>
      <c r="E294" s="3" t="s">
        <v>674</v>
      </c>
      <c r="F294" s="3" t="s">
        <v>39</v>
      </c>
      <c r="G294" s="3" t="s">
        <v>40</v>
      </c>
      <c r="H294" s="20">
        <v>0</v>
      </c>
      <c r="I294" s="20">
        <v>2480.5199999999995</v>
      </c>
      <c r="J294" s="20">
        <v>1200</v>
      </c>
      <c r="K294" s="20">
        <v>8.1999999999999993</v>
      </c>
      <c r="L294" s="20"/>
      <c r="M294" s="20">
        <f>Tabela1[[#This Row],[1ª QZ]]-Tabela1[[#This Row],[SALDO FINAL]]-Tabela1[[#This Row],[SALDO CARTAO]]-Tabela1[[#This Row],[Adiantamento ]]</f>
        <v>-1288.7199999999996</v>
      </c>
      <c r="N294" s="20">
        <f>Tabela1[[#This Row],[SALDO REEMBOLSAR]]*$N$4</f>
        <v>0</v>
      </c>
      <c r="O294" s="20">
        <v>0</v>
      </c>
      <c r="Q294" t="str">
        <f>_xlfn.XLOOKUP(Tabela1[[#This Row],[COLABORADOR]],'STATUS CARTAO'!D:D,'STATUS CARTAO'!G:G)</f>
        <v>Cartão ativo</v>
      </c>
    </row>
    <row r="295" spans="1:17" hidden="1">
      <c r="A295" s="3" t="s">
        <v>675</v>
      </c>
      <c r="B295" s="3" t="s">
        <v>676</v>
      </c>
      <c r="C295" s="5" t="s">
        <v>19</v>
      </c>
      <c r="D295" s="3" t="s">
        <v>37</v>
      </c>
      <c r="E295" s="3" t="s">
        <v>138</v>
      </c>
      <c r="F295" s="3" t="s">
        <v>39</v>
      </c>
      <c r="G295" s="3" t="s">
        <v>40</v>
      </c>
      <c r="H295" s="20">
        <v>0</v>
      </c>
      <c r="I295" s="20">
        <v>1379.0000000000036</v>
      </c>
      <c r="J295" s="20">
        <v>1400</v>
      </c>
      <c r="K295" s="20">
        <v>0</v>
      </c>
      <c r="L295" s="20"/>
      <c r="M295" s="20">
        <f>Tabela1[[#This Row],[1ª QZ]]-Tabela1[[#This Row],[SALDO FINAL]]-Tabela1[[#This Row],[SALDO CARTAO]]-Tabela1[[#This Row],[Adiantamento ]]</f>
        <v>20.999999999996362</v>
      </c>
      <c r="N295" s="20">
        <f>Tabela1[[#This Row],[SALDO REEMBOLSAR]]*$N$4</f>
        <v>0</v>
      </c>
      <c r="O295" s="20">
        <v>20.999999999996362</v>
      </c>
      <c r="Q295" t="str">
        <f>_xlfn.XLOOKUP(Tabela1[[#This Row],[COLABORADOR]],'STATUS CARTAO'!D:D,'STATUS CARTAO'!G:G)</f>
        <v>Cartão ativo</v>
      </c>
    </row>
    <row r="296" spans="1:17" hidden="1">
      <c r="A296" s="3" t="s">
        <v>675</v>
      </c>
      <c r="B296" s="3" t="s">
        <v>676</v>
      </c>
      <c r="C296" s="5"/>
      <c r="D296" s="3" t="s">
        <v>37</v>
      </c>
      <c r="E296" s="3" t="s">
        <v>138</v>
      </c>
      <c r="F296" s="3"/>
      <c r="G296" s="3"/>
      <c r="H296" s="20"/>
      <c r="I296" s="20"/>
      <c r="J296" s="20"/>
      <c r="K296" s="20"/>
      <c r="L296" s="20"/>
      <c r="M296" s="20">
        <f>Tabela1[[#This Row],[1ª QZ]]-Tabela1[[#This Row],[SALDO FINAL]]-Tabela1[[#This Row],[SALDO CARTAO]]-Tabela1[[#This Row],[Adiantamento ]]</f>
        <v>0</v>
      </c>
      <c r="N296" s="20">
        <f>Tabela1[[#This Row],[SALDO REEMBOLSAR]]*$N$4</f>
        <v>0</v>
      </c>
      <c r="O296" s="20">
        <v>1379.0000000000036</v>
      </c>
      <c r="Q296" t="str">
        <f>_xlfn.XLOOKUP(Tabela1[[#This Row],[COLABORADOR]],'STATUS CARTAO'!D:D,'STATUS CARTAO'!G:G)</f>
        <v>Cartão ativo</v>
      </c>
    </row>
    <row r="297" spans="1:17" hidden="1">
      <c r="A297" s="3" t="s">
        <v>677</v>
      </c>
      <c r="B297" s="3" t="s">
        <v>678</v>
      </c>
      <c r="C297" s="5" t="s">
        <v>19</v>
      </c>
      <c r="D297" s="3" t="s">
        <v>37</v>
      </c>
      <c r="E297" s="3" t="s">
        <v>624</v>
      </c>
      <c r="F297" s="3" t="s">
        <v>39</v>
      </c>
      <c r="G297" s="3" t="s">
        <v>40</v>
      </c>
      <c r="H297" s="20">
        <v>0</v>
      </c>
      <c r="I297" s="20">
        <v>1228.5200000000023</v>
      </c>
      <c r="J297" s="20">
        <v>1200</v>
      </c>
      <c r="K297" s="20">
        <v>0.01</v>
      </c>
      <c r="L297" s="20"/>
      <c r="M297" s="20">
        <f>Tabela1[[#This Row],[1ª QZ]]-Tabela1[[#This Row],[SALDO FINAL]]-Tabela1[[#This Row],[SALDO CARTAO]]-Tabela1[[#This Row],[Adiantamento ]]</f>
        <v>-28.530000000002257</v>
      </c>
      <c r="N297" s="20">
        <f>Tabela1[[#This Row],[SALDO REEMBOLSAR]]*$N$4</f>
        <v>0</v>
      </c>
      <c r="O297" s="20">
        <v>0</v>
      </c>
      <c r="Q297" t="str">
        <f>_xlfn.XLOOKUP(Tabela1[[#This Row],[COLABORADOR]],'STATUS CARTAO'!D:D,'STATUS CARTAO'!G:G)</f>
        <v>Cartão ativo</v>
      </c>
    </row>
    <row r="298" spans="1:17" hidden="1">
      <c r="A298" s="3" t="s">
        <v>679</v>
      </c>
      <c r="B298" s="3" t="s">
        <v>680</v>
      </c>
      <c r="C298" s="5" t="s">
        <v>19</v>
      </c>
      <c r="D298" s="3" t="s">
        <v>31</v>
      </c>
      <c r="E298" s="3" t="s">
        <v>56</v>
      </c>
      <c r="F298" s="3" t="s">
        <v>33</v>
      </c>
      <c r="G298" s="3" t="s">
        <v>34</v>
      </c>
      <c r="H298" s="20">
        <v>0</v>
      </c>
      <c r="I298" s="20">
        <v>177.93999999999824</v>
      </c>
      <c r="J298" s="20">
        <v>750</v>
      </c>
      <c r="K298" s="20">
        <v>44.38</v>
      </c>
      <c r="L298" s="20"/>
      <c r="M298" s="20">
        <f>Tabela1[[#This Row],[1ª QZ]]-Tabela1[[#This Row],[SALDO FINAL]]-Tabela1[[#This Row],[SALDO CARTAO]]-Tabela1[[#This Row],[Adiantamento ]]</f>
        <v>527.68000000000177</v>
      </c>
      <c r="N298" s="20">
        <f>Tabela1[[#This Row],[SALDO REEMBOLSAR]]*$N$4</f>
        <v>0</v>
      </c>
      <c r="O298" s="20">
        <v>527.68000000000177</v>
      </c>
      <c r="Q298" t="str">
        <f>_xlfn.XLOOKUP(Tabela1[[#This Row],[COLABORADOR]],'STATUS CARTAO'!D:D,'STATUS CARTAO'!G:G)</f>
        <v>Cartão ativo</v>
      </c>
    </row>
    <row r="299" spans="1:17" hidden="1">
      <c r="A299" s="3" t="s">
        <v>681</v>
      </c>
      <c r="B299" s="3" t="s">
        <v>682</v>
      </c>
      <c r="C299" s="5" t="s">
        <v>19</v>
      </c>
      <c r="D299" s="3" t="s">
        <v>43</v>
      </c>
      <c r="E299" s="3" t="s">
        <v>683</v>
      </c>
      <c r="F299" s="3" t="s">
        <v>45</v>
      </c>
      <c r="G299" s="3" t="s">
        <v>40</v>
      </c>
      <c r="H299" s="20">
        <v>0</v>
      </c>
      <c r="I299" s="20">
        <v>1692.2599999999729</v>
      </c>
      <c r="J299" s="20">
        <v>3000</v>
      </c>
      <c r="K299" s="20">
        <v>225.98</v>
      </c>
      <c r="L299" s="20"/>
      <c r="M299" s="20">
        <f>Tabela1[[#This Row],[1ª QZ]]-Tabela1[[#This Row],[SALDO FINAL]]-Tabela1[[#This Row],[SALDO CARTAO]]-Tabela1[[#This Row],[Adiantamento ]]</f>
        <v>1081.760000000027</v>
      </c>
      <c r="N299" s="20">
        <f>Tabela1[[#This Row],[SALDO REEMBOLSAR]]*$N$4</f>
        <v>0</v>
      </c>
      <c r="O299" s="20">
        <v>1081.760000000027</v>
      </c>
      <c r="Q299" t="str">
        <f>_xlfn.XLOOKUP(Tabela1[[#This Row],[COLABORADOR]],'STATUS CARTAO'!D:D,'STATUS CARTAO'!G:G)</f>
        <v>Cartão ativo</v>
      </c>
    </row>
    <row r="300" spans="1:17" hidden="1">
      <c r="A300" s="3" t="s">
        <v>681</v>
      </c>
      <c r="B300" s="3" t="s">
        <v>682</v>
      </c>
      <c r="C300" s="5"/>
      <c r="D300" s="3" t="s">
        <v>43</v>
      </c>
      <c r="E300" s="3" t="s">
        <v>683</v>
      </c>
      <c r="F300" s="3"/>
      <c r="G300" s="3"/>
      <c r="H300" s="20"/>
      <c r="I300" s="20"/>
      <c r="J300" s="20"/>
      <c r="K300" s="20"/>
      <c r="L300" s="20"/>
      <c r="M300" s="20">
        <f>Tabela1[[#This Row],[1ª QZ]]-Tabela1[[#This Row],[SALDO FINAL]]-Tabela1[[#This Row],[SALDO CARTAO]]-Tabela1[[#This Row],[Adiantamento ]]</f>
        <v>0</v>
      </c>
      <c r="N300" s="20">
        <f>Tabela1[[#This Row],[SALDO REEMBOLSAR]]*$N$4</f>
        <v>0</v>
      </c>
      <c r="O300" s="20">
        <v>1525.98</v>
      </c>
      <c r="Q300" t="str">
        <f>_xlfn.XLOOKUP(Tabela1[[#This Row],[COLABORADOR]],'STATUS CARTAO'!D:D,'STATUS CARTAO'!G:G)</f>
        <v>Cartão ativo</v>
      </c>
    </row>
    <row r="301" spans="1:17" hidden="1">
      <c r="A301" s="3" t="s">
        <v>684</v>
      </c>
      <c r="B301" s="3" t="s">
        <v>685</v>
      </c>
      <c r="C301" s="5" t="s">
        <v>19</v>
      </c>
      <c r="D301" s="3" t="s">
        <v>20</v>
      </c>
      <c r="E301" s="3" t="s">
        <v>686</v>
      </c>
      <c r="F301" s="3" t="s">
        <v>22</v>
      </c>
      <c r="G301" s="3" t="s">
        <v>23</v>
      </c>
      <c r="H301" s="20">
        <v>0</v>
      </c>
      <c r="I301" s="20">
        <v>250</v>
      </c>
      <c r="J301" s="20">
        <v>250</v>
      </c>
      <c r="K301" s="20">
        <v>311.94</v>
      </c>
      <c r="L301" s="20"/>
      <c r="M301" s="20">
        <f>Tabela1[[#This Row],[1ª QZ]]-Tabela1[[#This Row],[SALDO FINAL]]-Tabela1[[#This Row],[SALDO CARTAO]]-Tabela1[[#This Row],[Adiantamento ]]</f>
        <v>-311.94</v>
      </c>
      <c r="N301" s="20">
        <f>Tabela1[[#This Row],[SALDO REEMBOLSAR]]*$N$4</f>
        <v>0</v>
      </c>
      <c r="O301" s="20">
        <v>0</v>
      </c>
      <c r="Q301" t="str">
        <f>_xlfn.XLOOKUP(Tabela1[[#This Row],[COLABORADOR]],'STATUS CARTAO'!D:D,'STATUS CARTAO'!G:G)</f>
        <v>Cartão ativo</v>
      </c>
    </row>
    <row r="302" spans="1:17" hidden="1">
      <c r="A302" s="3" t="s">
        <v>687</v>
      </c>
      <c r="B302" s="3" t="s">
        <v>688</v>
      </c>
      <c r="C302" s="5" t="s">
        <v>19</v>
      </c>
      <c r="D302" s="3" t="s">
        <v>48</v>
      </c>
      <c r="E302" s="3" t="s">
        <v>93</v>
      </c>
      <c r="F302" s="3" t="s">
        <v>50</v>
      </c>
      <c r="G302" s="3" t="s">
        <v>40</v>
      </c>
      <c r="H302" s="20">
        <v>0</v>
      </c>
      <c r="I302" s="20">
        <v>21</v>
      </c>
      <c r="J302" s="20">
        <v>100</v>
      </c>
      <c r="K302" s="20">
        <v>21</v>
      </c>
      <c r="L302" s="20"/>
      <c r="M302" s="20">
        <f>Tabela1[[#This Row],[1ª QZ]]-Tabela1[[#This Row],[SALDO FINAL]]-Tabela1[[#This Row],[SALDO CARTAO]]-Tabela1[[#This Row],[Adiantamento ]]</f>
        <v>58</v>
      </c>
      <c r="N302" s="20">
        <f>Tabela1[[#This Row],[SALDO REEMBOLSAR]]*$N$4</f>
        <v>0</v>
      </c>
      <c r="O302" s="20">
        <v>58</v>
      </c>
      <c r="Q302" t="str">
        <f>_xlfn.XLOOKUP(Tabela1[[#This Row],[COLABORADOR]],'STATUS CARTAO'!D:D,'STATUS CARTAO'!G:G)</f>
        <v>Cartão ativo</v>
      </c>
    </row>
    <row r="303" spans="1:17" hidden="1">
      <c r="A303" s="3" t="s">
        <v>689</v>
      </c>
      <c r="B303" s="3" t="s">
        <v>690</v>
      </c>
      <c r="C303" s="5" t="s">
        <v>19</v>
      </c>
      <c r="D303" s="3" t="s">
        <v>37</v>
      </c>
      <c r="E303" s="3" t="s">
        <v>123</v>
      </c>
      <c r="F303" s="3" t="s">
        <v>39</v>
      </c>
      <c r="G303" s="3" t="s">
        <v>40</v>
      </c>
      <c r="H303" s="20">
        <v>0</v>
      </c>
      <c r="I303" s="20">
        <v>514.61999999999898</v>
      </c>
      <c r="J303" s="20">
        <v>700</v>
      </c>
      <c r="K303" s="20">
        <v>393</v>
      </c>
      <c r="L303" s="20"/>
      <c r="M303" s="20">
        <f>Tabela1[[#This Row],[1ª QZ]]-Tabela1[[#This Row],[SALDO FINAL]]-Tabela1[[#This Row],[SALDO CARTAO]]-Tabela1[[#This Row],[Adiantamento ]]</f>
        <v>-207.61999999999898</v>
      </c>
      <c r="N303" s="20">
        <f>Tabela1[[#This Row],[SALDO REEMBOLSAR]]*$N$4</f>
        <v>0</v>
      </c>
      <c r="O303" s="20">
        <v>0</v>
      </c>
      <c r="Q303" t="str">
        <f>_xlfn.XLOOKUP(Tabela1[[#This Row],[COLABORADOR]],'STATUS CARTAO'!D:D,'STATUS CARTAO'!G:G)</f>
        <v>Cartão ativo</v>
      </c>
    </row>
    <row r="304" spans="1:17" hidden="1">
      <c r="A304" s="3" t="s">
        <v>689</v>
      </c>
      <c r="B304" s="3" t="s">
        <v>690</v>
      </c>
      <c r="C304" s="5"/>
      <c r="D304" s="3" t="s">
        <v>37</v>
      </c>
      <c r="E304" s="3" t="s">
        <v>123</v>
      </c>
      <c r="F304" s="3"/>
      <c r="G304" s="3"/>
      <c r="H304" s="20"/>
      <c r="I304" s="20"/>
      <c r="J304" s="20"/>
      <c r="K304" s="20"/>
      <c r="L304" s="20"/>
      <c r="M304" s="20">
        <f>Tabela1[[#This Row],[1ª QZ]]-Tabela1[[#This Row],[SALDO FINAL]]-Tabela1[[#This Row],[SALDO CARTAO]]-Tabela1[[#This Row],[Adiantamento ]]</f>
        <v>0</v>
      </c>
      <c r="N304" s="20">
        <f>Tabela1[[#This Row],[SALDO REEMBOLSAR]]*$N$4</f>
        <v>0</v>
      </c>
      <c r="O304" s="20">
        <v>185.38000000000102</v>
      </c>
      <c r="Q304" t="str">
        <f>_xlfn.XLOOKUP(Tabela1[[#This Row],[COLABORADOR]],'STATUS CARTAO'!D:D,'STATUS CARTAO'!G:G)</f>
        <v>Cartão ativo</v>
      </c>
    </row>
    <row r="305" spans="1:17" hidden="1">
      <c r="A305" s="3" t="s">
        <v>691</v>
      </c>
      <c r="B305" s="3" t="s">
        <v>692</v>
      </c>
      <c r="C305" s="5" t="s">
        <v>19</v>
      </c>
      <c r="D305" s="3" t="s">
        <v>74</v>
      </c>
      <c r="E305" s="3" t="s">
        <v>373</v>
      </c>
      <c r="F305" s="3" t="s">
        <v>76</v>
      </c>
      <c r="G305" s="3" t="s">
        <v>40</v>
      </c>
      <c r="H305" s="20">
        <v>0</v>
      </c>
      <c r="I305" s="20">
        <v>7.3899999999994179</v>
      </c>
      <c r="J305" s="20">
        <v>1500</v>
      </c>
      <c r="K305" s="20">
        <v>7.39</v>
      </c>
      <c r="L305" s="20"/>
      <c r="M305" s="20">
        <f>Tabela1[[#This Row],[1ª QZ]]-Tabela1[[#This Row],[SALDO FINAL]]-Tabela1[[#This Row],[SALDO CARTAO]]-Tabela1[[#This Row],[Adiantamento ]]</f>
        <v>1485.2200000000005</v>
      </c>
      <c r="N305" s="20">
        <f>Tabela1[[#This Row],[SALDO REEMBOLSAR]]*$N$4</f>
        <v>0</v>
      </c>
      <c r="O305" s="20">
        <v>1485.2200000000005</v>
      </c>
      <c r="Q305" t="str">
        <f>_xlfn.XLOOKUP(Tabela1[[#This Row],[COLABORADOR]],'STATUS CARTAO'!D:D,'STATUS CARTAO'!G:G)</f>
        <v>Cartão ativo</v>
      </c>
    </row>
    <row r="306" spans="1:17" hidden="1">
      <c r="A306" s="3" t="s">
        <v>693</v>
      </c>
      <c r="B306" s="3" t="s">
        <v>694</v>
      </c>
      <c r="C306" s="5" t="s">
        <v>19</v>
      </c>
      <c r="D306" s="3" t="s">
        <v>26</v>
      </c>
      <c r="E306" s="3" t="s">
        <v>695</v>
      </c>
      <c r="F306" s="3" t="s">
        <v>28</v>
      </c>
      <c r="G306" s="3" t="s">
        <v>23</v>
      </c>
      <c r="H306" s="20">
        <v>0</v>
      </c>
      <c r="I306" s="20">
        <v>2286.4299999999898</v>
      </c>
      <c r="J306" s="20">
        <v>16000</v>
      </c>
      <c r="K306" s="20">
        <v>23</v>
      </c>
      <c r="L306" s="20"/>
      <c r="M306" s="20">
        <f>Tabela1[[#This Row],[1ª QZ]]-Tabela1[[#This Row],[SALDO FINAL]]-Tabela1[[#This Row],[SALDO CARTAO]]-Tabela1[[#This Row],[Adiantamento ]]</f>
        <v>13690.570000000011</v>
      </c>
      <c r="N306" s="20">
        <f>Tabela1[[#This Row],[SALDO REEMBOLSAR]]*$N$4</f>
        <v>0</v>
      </c>
      <c r="O306" s="20">
        <v>13690.570000000011</v>
      </c>
      <c r="Q306" t="str">
        <f>_xlfn.XLOOKUP(Tabela1[[#This Row],[COLABORADOR]],'STATUS CARTAO'!D:D,'STATUS CARTAO'!G:G)</f>
        <v>Cartão ativo</v>
      </c>
    </row>
    <row r="307" spans="1:17" hidden="1">
      <c r="A307" s="3" t="s">
        <v>696</v>
      </c>
      <c r="B307" s="3" t="s">
        <v>697</v>
      </c>
      <c r="C307" s="5" t="s">
        <v>19</v>
      </c>
      <c r="D307" s="3" t="s">
        <v>37</v>
      </c>
      <c r="E307" s="3" t="s">
        <v>138</v>
      </c>
      <c r="F307" s="3" t="s">
        <v>39</v>
      </c>
      <c r="G307" s="3" t="s">
        <v>40</v>
      </c>
      <c r="H307" s="20">
        <v>0</v>
      </c>
      <c r="I307" s="20">
        <v>145.25000000000182</v>
      </c>
      <c r="J307" s="20">
        <v>600</v>
      </c>
      <c r="K307" s="20">
        <v>45.25</v>
      </c>
      <c r="L307" s="20"/>
      <c r="M307" s="20">
        <f>Tabela1[[#This Row],[1ª QZ]]-Tabela1[[#This Row],[SALDO FINAL]]-Tabela1[[#This Row],[SALDO CARTAO]]-Tabela1[[#This Row],[Adiantamento ]]</f>
        <v>409.49999999999818</v>
      </c>
      <c r="N307" s="20">
        <f>Tabela1[[#This Row],[SALDO REEMBOLSAR]]*$N$4</f>
        <v>0</v>
      </c>
      <c r="O307" s="20">
        <v>409.49999999999818</v>
      </c>
      <c r="Q307" t="str">
        <f>_xlfn.XLOOKUP(Tabela1[[#This Row],[COLABORADOR]],'STATUS CARTAO'!D:D,'STATUS CARTAO'!G:G)</f>
        <v>Cartão ativo</v>
      </c>
    </row>
    <row r="308" spans="1:17" hidden="1">
      <c r="A308" s="3" t="s">
        <v>698</v>
      </c>
      <c r="B308" s="3" t="s">
        <v>699</v>
      </c>
      <c r="C308" s="5" t="s">
        <v>19</v>
      </c>
      <c r="D308" s="3" t="s">
        <v>37</v>
      </c>
      <c r="E308" s="3" t="s">
        <v>138</v>
      </c>
      <c r="F308" s="3" t="s">
        <v>39</v>
      </c>
      <c r="G308" s="3" t="s">
        <v>40</v>
      </c>
      <c r="H308" s="20">
        <v>0</v>
      </c>
      <c r="I308" s="20">
        <v>492.64000000000487</v>
      </c>
      <c r="J308" s="20">
        <v>800</v>
      </c>
      <c r="K308" s="20">
        <v>3.28</v>
      </c>
      <c r="L308" s="20"/>
      <c r="M308" s="20">
        <f>Tabela1[[#This Row],[1ª QZ]]-Tabela1[[#This Row],[SALDO FINAL]]-Tabela1[[#This Row],[SALDO CARTAO]]-Tabela1[[#This Row],[Adiantamento ]]</f>
        <v>304.07999999999515</v>
      </c>
      <c r="N308" s="20">
        <f>Tabela1[[#This Row],[SALDO REEMBOLSAR]]*$N$4</f>
        <v>0</v>
      </c>
      <c r="O308" s="20">
        <v>304.07999999999515</v>
      </c>
      <c r="Q308" t="str">
        <f>_xlfn.XLOOKUP(Tabela1[[#This Row],[COLABORADOR]],'STATUS CARTAO'!D:D,'STATUS CARTAO'!G:G)</f>
        <v>Cartão ativo</v>
      </c>
    </row>
    <row r="309" spans="1:17" hidden="1">
      <c r="A309" s="3" t="s">
        <v>700</v>
      </c>
      <c r="B309" s="3" t="s">
        <v>701</v>
      </c>
      <c r="C309" s="5" t="s">
        <v>19</v>
      </c>
      <c r="D309" s="3" t="s">
        <v>31</v>
      </c>
      <c r="E309" s="3" t="s">
        <v>56</v>
      </c>
      <c r="F309" s="3" t="s">
        <v>33</v>
      </c>
      <c r="G309" s="3" t="s">
        <v>34</v>
      </c>
      <c r="H309" s="20">
        <v>0</v>
      </c>
      <c r="I309" s="20">
        <v>817.16000000000167</v>
      </c>
      <c r="J309" s="20">
        <v>800</v>
      </c>
      <c r="K309" s="20">
        <v>25.48</v>
      </c>
      <c r="L309" s="20"/>
      <c r="M309" s="20">
        <f>Tabela1[[#This Row],[1ª QZ]]-Tabela1[[#This Row],[SALDO FINAL]]-Tabela1[[#This Row],[SALDO CARTAO]]-Tabela1[[#This Row],[Adiantamento ]]</f>
        <v>-42.640000000001677</v>
      </c>
      <c r="N309" s="20">
        <f>Tabela1[[#This Row],[SALDO REEMBOLSAR]]*$N$4</f>
        <v>0</v>
      </c>
      <c r="O309" s="20">
        <v>0</v>
      </c>
      <c r="Q309" t="str">
        <f>_xlfn.XLOOKUP(Tabela1[[#This Row],[COLABORADOR]],'STATUS CARTAO'!D:D,'STATUS CARTAO'!G:G)</f>
        <v>Cartão ativo</v>
      </c>
    </row>
    <row r="310" spans="1:17" hidden="1">
      <c r="A310" s="3" t="s">
        <v>702</v>
      </c>
      <c r="B310" s="3" t="s">
        <v>703</v>
      </c>
      <c r="C310" s="5" t="s">
        <v>19</v>
      </c>
      <c r="D310" s="3" t="s">
        <v>26</v>
      </c>
      <c r="E310" s="3" t="s">
        <v>60</v>
      </c>
      <c r="F310" s="3" t="s">
        <v>28</v>
      </c>
      <c r="G310" s="3" t="s">
        <v>23</v>
      </c>
      <c r="H310" s="20">
        <v>0</v>
      </c>
      <c r="I310" s="20">
        <v>940.5</v>
      </c>
      <c r="J310" s="20">
        <v>1000</v>
      </c>
      <c r="K310" s="20">
        <v>1059.5</v>
      </c>
      <c r="L310" s="20"/>
      <c r="M310" s="20">
        <f>Tabela1[[#This Row],[1ª QZ]]-Tabela1[[#This Row],[SALDO FINAL]]-Tabela1[[#This Row],[SALDO CARTAO]]-Tabela1[[#This Row],[Adiantamento ]]</f>
        <v>-1000</v>
      </c>
      <c r="N310" s="20">
        <f>Tabela1[[#This Row],[SALDO REEMBOLSAR]]*$N$4</f>
        <v>0</v>
      </c>
      <c r="O310" s="20">
        <v>0</v>
      </c>
      <c r="Q310" t="str">
        <f>_xlfn.XLOOKUP(Tabela1[[#This Row],[COLABORADOR]],'STATUS CARTAO'!D:D,'STATUS CARTAO'!G:G)</f>
        <v>Cartão ativo</v>
      </c>
    </row>
    <row r="311" spans="1:17" hidden="1">
      <c r="A311" s="3" t="s">
        <v>704</v>
      </c>
      <c r="B311" s="3" t="s">
        <v>705</v>
      </c>
      <c r="C311" s="5" t="s">
        <v>19</v>
      </c>
      <c r="D311" s="3" t="s">
        <v>74</v>
      </c>
      <c r="E311" s="3" t="s">
        <v>386</v>
      </c>
      <c r="F311" s="3" t="s">
        <v>76</v>
      </c>
      <c r="G311" s="3" t="s">
        <v>40</v>
      </c>
      <c r="H311" s="20">
        <v>0</v>
      </c>
      <c r="I311" s="20">
        <v>1861.7400000000034</v>
      </c>
      <c r="J311" s="20">
        <v>1500</v>
      </c>
      <c r="K311" s="20">
        <v>86</v>
      </c>
      <c r="L311" s="20"/>
      <c r="M311" s="20">
        <f>Tabela1[[#This Row],[1ª QZ]]-Tabela1[[#This Row],[SALDO FINAL]]-Tabela1[[#This Row],[SALDO CARTAO]]-Tabela1[[#This Row],[Adiantamento ]]</f>
        <v>-447.74000000000342</v>
      </c>
      <c r="N311" s="20">
        <f>Tabela1[[#This Row],[SALDO REEMBOLSAR]]*$N$4</f>
        <v>0</v>
      </c>
      <c r="O311" s="20">
        <v>0</v>
      </c>
      <c r="Q311" t="str">
        <f>_xlfn.XLOOKUP(Tabela1[[#This Row],[COLABORADOR]],'STATUS CARTAO'!D:D,'STATUS CARTAO'!G:G)</f>
        <v>Cartão ativo</v>
      </c>
    </row>
    <row r="312" spans="1:17" hidden="1">
      <c r="A312" s="3" t="s">
        <v>706</v>
      </c>
      <c r="B312" s="3" t="s">
        <v>707</v>
      </c>
      <c r="C312" s="5" t="s">
        <v>19</v>
      </c>
      <c r="D312" s="3" t="s">
        <v>20</v>
      </c>
      <c r="E312" s="3" t="s">
        <v>708</v>
      </c>
      <c r="F312" s="3" t="s">
        <v>22</v>
      </c>
      <c r="G312" s="3" t="s">
        <v>23</v>
      </c>
      <c r="H312" s="20">
        <v>760.81999999999971</v>
      </c>
      <c r="I312" s="20">
        <v>0</v>
      </c>
      <c r="J312" s="20">
        <v>640</v>
      </c>
      <c r="K312" s="20">
        <v>38.21</v>
      </c>
      <c r="L312" s="20"/>
      <c r="M312" s="20">
        <f>Tabela1[[#This Row],[1ª QZ]]-Tabela1[[#This Row],[SALDO FINAL]]-Tabela1[[#This Row],[SALDO CARTAO]]-Tabela1[[#This Row],[Adiantamento ]]</f>
        <v>601.79</v>
      </c>
      <c r="N312" s="20">
        <f>Tabela1[[#This Row],[SALDO REEMBOLSAR]]*$N$4</f>
        <v>456.49199999999979</v>
      </c>
      <c r="O312" s="20">
        <v>982.19999999999982</v>
      </c>
      <c r="Q312" t="str">
        <f>_xlfn.XLOOKUP(Tabela1[[#This Row],[COLABORADOR]],'STATUS CARTAO'!D:D,'STATUS CARTAO'!G:G)</f>
        <v>Cartão ativo</v>
      </c>
    </row>
    <row r="313" spans="1:17" hidden="1">
      <c r="A313" s="3" t="s">
        <v>709</v>
      </c>
      <c r="B313" s="3" t="s">
        <v>710</v>
      </c>
      <c r="C313" s="5" t="s">
        <v>19</v>
      </c>
      <c r="D313" s="3" t="s">
        <v>37</v>
      </c>
      <c r="E313" s="3" t="s">
        <v>138</v>
      </c>
      <c r="F313" s="3" t="s">
        <v>39</v>
      </c>
      <c r="G313" s="3" t="s">
        <v>40</v>
      </c>
      <c r="H313" s="20">
        <v>0</v>
      </c>
      <c r="I313" s="20">
        <v>1332.8000000000029</v>
      </c>
      <c r="J313" s="20">
        <v>800</v>
      </c>
      <c r="K313" s="20">
        <v>56.38</v>
      </c>
      <c r="L313" s="20"/>
      <c r="M313" s="20">
        <f>Tabela1[[#This Row],[1ª QZ]]-Tabela1[[#This Row],[SALDO FINAL]]-Tabela1[[#This Row],[SALDO CARTAO]]-Tabela1[[#This Row],[Adiantamento ]]</f>
        <v>-589.18000000000291</v>
      </c>
      <c r="N313" s="20">
        <f>Tabela1[[#This Row],[SALDO REEMBOLSAR]]*$N$4</f>
        <v>0</v>
      </c>
      <c r="O313" s="20">
        <v>0</v>
      </c>
      <c r="Q313" t="str">
        <f>_xlfn.XLOOKUP(Tabela1[[#This Row],[COLABORADOR]],'STATUS CARTAO'!D:D,'STATUS CARTAO'!G:G)</f>
        <v>Cartão ativo</v>
      </c>
    </row>
    <row r="314" spans="1:17" hidden="1">
      <c r="A314" s="3" t="s">
        <v>711</v>
      </c>
      <c r="B314" s="3" t="s">
        <v>712</v>
      </c>
      <c r="C314" s="5" t="s">
        <v>19</v>
      </c>
      <c r="D314" s="3" t="s">
        <v>31</v>
      </c>
      <c r="E314" s="3" t="s">
        <v>56</v>
      </c>
      <c r="F314" s="3" t="s">
        <v>33</v>
      </c>
      <c r="G314" s="3" t="s">
        <v>34</v>
      </c>
      <c r="H314" s="20">
        <v>0</v>
      </c>
      <c r="I314" s="20">
        <v>737.81000000000131</v>
      </c>
      <c r="J314" s="20">
        <v>800</v>
      </c>
      <c r="K314" s="20">
        <v>3</v>
      </c>
      <c r="L314" s="20"/>
      <c r="M314" s="20">
        <f>Tabela1[[#This Row],[1ª QZ]]-Tabela1[[#This Row],[SALDO FINAL]]-Tabela1[[#This Row],[SALDO CARTAO]]-Tabela1[[#This Row],[Adiantamento ]]</f>
        <v>59.18999999999869</v>
      </c>
      <c r="N314" s="20">
        <f>Tabela1[[#This Row],[SALDO REEMBOLSAR]]*$N$4</f>
        <v>0</v>
      </c>
      <c r="O314" s="20">
        <v>59.18999999999869</v>
      </c>
      <c r="Q314" t="str">
        <f>_xlfn.XLOOKUP(Tabela1[[#This Row],[COLABORADOR]],'STATUS CARTAO'!D:D,'STATUS CARTAO'!G:G)</f>
        <v>Cartão ativo</v>
      </c>
    </row>
    <row r="315" spans="1:17" hidden="1">
      <c r="A315" s="3" t="s">
        <v>713</v>
      </c>
      <c r="B315" s="3" t="s">
        <v>714</v>
      </c>
      <c r="C315" s="5" t="s">
        <v>19</v>
      </c>
      <c r="D315" s="3" t="s">
        <v>48</v>
      </c>
      <c r="E315" s="3" t="s">
        <v>49</v>
      </c>
      <c r="F315" s="3" t="s">
        <v>50</v>
      </c>
      <c r="G315" s="3" t="s">
        <v>40</v>
      </c>
      <c r="H315" s="20">
        <v>0</v>
      </c>
      <c r="I315" s="20">
        <v>235</v>
      </c>
      <c r="J315" s="20">
        <v>120</v>
      </c>
      <c r="K315" s="20">
        <v>0.06</v>
      </c>
      <c r="L315" s="20"/>
      <c r="M315" s="20">
        <f>Tabela1[[#This Row],[1ª QZ]]-Tabela1[[#This Row],[SALDO FINAL]]-Tabela1[[#This Row],[SALDO CARTAO]]-Tabela1[[#This Row],[Adiantamento ]]</f>
        <v>-115.06</v>
      </c>
      <c r="N315" s="20">
        <f>Tabela1[[#This Row],[SALDO REEMBOLSAR]]*$N$4</f>
        <v>0</v>
      </c>
      <c r="O315" s="20">
        <v>0</v>
      </c>
      <c r="Q315" t="str">
        <f>_xlfn.XLOOKUP(Tabela1[[#This Row],[COLABORADOR]],'STATUS CARTAO'!D:D,'STATUS CARTAO'!G:G)</f>
        <v>Cartão ativo</v>
      </c>
    </row>
    <row r="316" spans="1:17" hidden="1">
      <c r="A316" s="3" t="s">
        <v>715</v>
      </c>
      <c r="B316" s="3" t="s">
        <v>716</v>
      </c>
      <c r="C316" s="5" t="s">
        <v>19</v>
      </c>
      <c r="D316" s="3" t="s">
        <v>74</v>
      </c>
      <c r="E316" s="3" t="s">
        <v>75</v>
      </c>
      <c r="F316" s="3" t="s">
        <v>76</v>
      </c>
      <c r="G316" s="3" t="s">
        <v>40</v>
      </c>
      <c r="H316" s="20">
        <v>769.27000000003</v>
      </c>
      <c r="I316" s="20">
        <v>0</v>
      </c>
      <c r="J316" s="20">
        <v>1800</v>
      </c>
      <c r="K316" s="20">
        <v>16.309999999999999</v>
      </c>
      <c r="L316" s="20"/>
      <c r="M316" s="20">
        <f>Tabela1[[#This Row],[1ª QZ]]-Tabela1[[#This Row],[SALDO FINAL]]-Tabela1[[#This Row],[SALDO CARTAO]]-Tabela1[[#This Row],[Adiantamento ]]</f>
        <v>1783.69</v>
      </c>
      <c r="N316" s="20">
        <f>Tabela1[[#This Row],[SALDO REEMBOLSAR]]*$N$4</f>
        <v>461.56200000001797</v>
      </c>
      <c r="O316" s="20">
        <v>2168.3250000000153</v>
      </c>
      <c r="Q316" t="str">
        <f>_xlfn.XLOOKUP(Tabela1[[#This Row],[COLABORADOR]],'STATUS CARTAO'!D:D,'STATUS CARTAO'!G:G)</f>
        <v>Cartão ativo</v>
      </c>
    </row>
    <row r="317" spans="1:17" hidden="1">
      <c r="A317" s="3" t="s">
        <v>717</v>
      </c>
      <c r="B317" s="3" t="s">
        <v>718</v>
      </c>
      <c r="C317" s="5" t="s">
        <v>19</v>
      </c>
      <c r="D317" s="3" t="s">
        <v>43</v>
      </c>
      <c r="E317" s="3" t="s">
        <v>719</v>
      </c>
      <c r="F317" s="3" t="s">
        <v>45</v>
      </c>
      <c r="G317" s="3" t="s">
        <v>40</v>
      </c>
      <c r="H317" s="20">
        <v>626.94999999999345</v>
      </c>
      <c r="I317" s="20">
        <v>0</v>
      </c>
      <c r="J317" s="20">
        <v>1000</v>
      </c>
      <c r="K317" s="20">
        <v>8.4499999999999993</v>
      </c>
      <c r="L317" s="20"/>
      <c r="M317" s="20">
        <f>Tabela1[[#This Row],[1ª QZ]]-Tabela1[[#This Row],[SALDO FINAL]]-Tabela1[[#This Row],[SALDO CARTAO]]-Tabela1[[#This Row],[Adiantamento ]]</f>
        <v>991.55</v>
      </c>
      <c r="N317" s="20">
        <f>Tabela1[[#This Row],[SALDO REEMBOLSAR]]*$N$4</f>
        <v>376.16999999999604</v>
      </c>
      <c r="O317" s="20">
        <v>1305.0249999999967</v>
      </c>
      <c r="Q317" t="str">
        <f>_xlfn.XLOOKUP(Tabela1[[#This Row],[COLABORADOR]],'STATUS CARTAO'!D:D,'STATUS CARTAO'!G:G)</f>
        <v>Cartão ativo</v>
      </c>
    </row>
    <row r="318" spans="1:17" hidden="1">
      <c r="A318" s="3" t="s">
        <v>720</v>
      </c>
      <c r="B318" s="3" t="s">
        <v>721</v>
      </c>
      <c r="C318" s="5" t="s">
        <v>19</v>
      </c>
      <c r="D318" s="3" t="s">
        <v>37</v>
      </c>
      <c r="E318" s="3" t="s">
        <v>413</v>
      </c>
      <c r="F318" s="3" t="s">
        <v>39</v>
      </c>
      <c r="G318" s="3" t="s">
        <v>40</v>
      </c>
      <c r="H318" s="20">
        <v>0</v>
      </c>
      <c r="I318" s="20">
        <v>1075.5699999999561</v>
      </c>
      <c r="J318" s="20">
        <v>700</v>
      </c>
      <c r="K318" s="20">
        <v>38.56</v>
      </c>
      <c r="L318" s="20"/>
      <c r="M318" s="20">
        <f>Tabela1[[#This Row],[1ª QZ]]-Tabela1[[#This Row],[SALDO FINAL]]-Tabela1[[#This Row],[SALDO CARTAO]]-Tabela1[[#This Row],[Adiantamento ]]</f>
        <v>-414.12999999995606</v>
      </c>
      <c r="N318" s="20">
        <f>Tabela1[[#This Row],[SALDO REEMBOLSAR]]*$N$4</f>
        <v>0</v>
      </c>
      <c r="O318" s="20">
        <v>0</v>
      </c>
      <c r="Q318" t="str">
        <f>_xlfn.XLOOKUP(Tabela1[[#This Row],[COLABORADOR]],'STATUS CARTAO'!D:D,'STATUS CARTAO'!G:G)</f>
        <v>Cartão ativo</v>
      </c>
    </row>
    <row r="319" spans="1:17" hidden="1">
      <c r="A319" s="3" t="s">
        <v>722</v>
      </c>
      <c r="B319" s="3" t="s">
        <v>723</v>
      </c>
      <c r="C319" s="5" t="s">
        <v>19</v>
      </c>
      <c r="D319" s="3" t="s">
        <v>48</v>
      </c>
      <c r="E319" s="3" t="s">
        <v>49</v>
      </c>
      <c r="F319" s="3" t="s">
        <v>50</v>
      </c>
      <c r="G319" s="3" t="s">
        <v>40</v>
      </c>
      <c r="H319" s="20">
        <v>0</v>
      </c>
      <c r="I319" s="20">
        <v>486</v>
      </c>
      <c r="J319" s="20">
        <v>160</v>
      </c>
      <c r="K319" s="20">
        <v>0</v>
      </c>
      <c r="L319" s="20"/>
      <c r="M319" s="20">
        <f>Tabela1[[#This Row],[1ª QZ]]-Tabela1[[#This Row],[SALDO FINAL]]-Tabela1[[#This Row],[SALDO CARTAO]]-Tabela1[[#This Row],[Adiantamento ]]</f>
        <v>-326</v>
      </c>
      <c r="N319" s="20">
        <f>Tabela1[[#This Row],[SALDO REEMBOLSAR]]*$N$4</f>
        <v>0</v>
      </c>
      <c r="O319" s="20">
        <v>0</v>
      </c>
      <c r="Q319" t="str">
        <f>_xlfn.XLOOKUP(Tabela1[[#This Row],[COLABORADOR]],'STATUS CARTAO'!D:D,'STATUS CARTAO'!G:G)</f>
        <v>Cartão ativo</v>
      </c>
    </row>
    <row r="320" spans="1:17" hidden="1">
      <c r="A320" s="3" t="s">
        <v>724</v>
      </c>
      <c r="B320" s="3" t="s">
        <v>725</v>
      </c>
      <c r="C320" s="5" t="s">
        <v>19</v>
      </c>
      <c r="D320" s="3" t="s">
        <v>48</v>
      </c>
      <c r="E320" s="3" t="s">
        <v>49</v>
      </c>
      <c r="F320" s="3" t="s">
        <v>50</v>
      </c>
      <c r="G320" s="3" t="s">
        <v>40</v>
      </c>
      <c r="H320" s="20">
        <v>0</v>
      </c>
      <c r="I320" s="20">
        <v>351.29999999999995</v>
      </c>
      <c r="J320" s="20">
        <v>120</v>
      </c>
      <c r="K320" s="20">
        <v>7.57</v>
      </c>
      <c r="L320" s="20"/>
      <c r="M320" s="20">
        <f>Tabela1[[#This Row],[1ª QZ]]-Tabela1[[#This Row],[SALDO FINAL]]-Tabela1[[#This Row],[SALDO CARTAO]]-Tabela1[[#This Row],[Adiantamento ]]</f>
        <v>-238.86999999999995</v>
      </c>
      <c r="N320" s="20">
        <f>Tabela1[[#This Row],[SALDO REEMBOLSAR]]*$N$4</f>
        <v>0</v>
      </c>
      <c r="O320" s="20">
        <v>0</v>
      </c>
      <c r="Q320" t="str">
        <f>_xlfn.XLOOKUP(Tabela1[[#This Row],[COLABORADOR]],'STATUS CARTAO'!D:D,'STATUS CARTAO'!G:G)</f>
        <v>Cartão ativo</v>
      </c>
    </row>
    <row r="321" spans="1:17" hidden="1">
      <c r="A321" s="3" t="s">
        <v>726</v>
      </c>
      <c r="B321" s="3" t="s">
        <v>727</v>
      </c>
      <c r="C321" s="5" t="s">
        <v>19</v>
      </c>
      <c r="D321" s="3" t="s">
        <v>20</v>
      </c>
      <c r="E321" s="3" t="s">
        <v>193</v>
      </c>
      <c r="F321" s="3" t="s">
        <v>22</v>
      </c>
      <c r="G321" s="3" t="s">
        <v>23</v>
      </c>
      <c r="H321" s="20">
        <v>0</v>
      </c>
      <c r="I321" s="20">
        <v>1837.4500000000044</v>
      </c>
      <c r="J321" s="20">
        <v>1200</v>
      </c>
      <c r="K321" s="20">
        <v>30.59</v>
      </c>
      <c r="L321" s="20"/>
      <c r="M321" s="20">
        <f>Tabela1[[#This Row],[1ª QZ]]-Tabela1[[#This Row],[SALDO FINAL]]-Tabela1[[#This Row],[SALDO CARTAO]]-Tabela1[[#This Row],[Adiantamento ]]</f>
        <v>-668.0400000000044</v>
      </c>
      <c r="N321" s="20">
        <f>Tabela1[[#This Row],[SALDO REEMBOLSAR]]*$N$4</f>
        <v>0</v>
      </c>
      <c r="O321" s="20">
        <v>0</v>
      </c>
      <c r="Q321" t="str">
        <f>_xlfn.XLOOKUP(Tabela1[[#This Row],[COLABORADOR]],'STATUS CARTAO'!D:D,'STATUS CARTAO'!G:G)</f>
        <v>Cartão ativo</v>
      </c>
    </row>
    <row r="322" spans="1:17" hidden="1">
      <c r="A322" s="3" t="s">
        <v>728</v>
      </c>
      <c r="B322" s="3" t="s">
        <v>729</v>
      </c>
      <c r="C322" s="5" t="s">
        <v>19</v>
      </c>
      <c r="D322" s="3" t="s">
        <v>37</v>
      </c>
      <c r="E322" s="3" t="s">
        <v>138</v>
      </c>
      <c r="F322" s="3" t="s">
        <v>39</v>
      </c>
      <c r="G322" s="3" t="s">
        <v>40</v>
      </c>
      <c r="H322" s="20">
        <v>0</v>
      </c>
      <c r="I322" s="20">
        <v>480.36999999999716</v>
      </c>
      <c r="J322" s="20">
        <v>800</v>
      </c>
      <c r="K322" s="20">
        <v>155.66999999999999</v>
      </c>
      <c r="L322" s="20"/>
      <c r="M322" s="20">
        <f>Tabela1[[#This Row],[1ª QZ]]-Tabela1[[#This Row],[SALDO FINAL]]-Tabela1[[#This Row],[SALDO CARTAO]]-Tabela1[[#This Row],[Adiantamento ]]</f>
        <v>163.96000000000285</v>
      </c>
      <c r="N322" s="20">
        <f>Tabela1[[#This Row],[SALDO REEMBOLSAR]]*$N$4</f>
        <v>0</v>
      </c>
      <c r="O322" s="20">
        <v>163.96000000000285</v>
      </c>
      <c r="Q322" t="str">
        <f>_xlfn.XLOOKUP(Tabela1[[#This Row],[COLABORADOR]],'STATUS CARTAO'!D:D,'STATUS CARTAO'!G:G)</f>
        <v>Cartão ativo</v>
      </c>
    </row>
    <row r="323" spans="1:17" hidden="1">
      <c r="A323" s="3" t="s">
        <v>728</v>
      </c>
      <c r="B323" s="3" t="s">
        <v>729</v>
      </c>
      <c r="C323" s="5"/>
      <c r="D323" s="3" t="s">
        <v>37</v>
      </c>
      <c r="E323" s="3" t="s">
        <v>138</v>
      </c>
      <c r="F323" s="3"/>
      <c r="G323" s="3"/>
      <c r="H323" s="20"/>
      <c r="I323" s="20"/>
      <c r="J323" s="20"/>
      <c r="K323" s="20"/>
      <c r="L323" s="20"/>
      <c r="M323" s="20">
        <f>Tabela1[[#This Row],[1ª QZ]]-Tabela1[[#This Row],[SALDO FINAL]]-Tabela1[[#This Row],[SALDO CARTAO]]-Tabela1[[#This Row],[Adiantamento ]]</f>
        <v>0</v>
      </c>
      <c r="N323" s="20">
        <f>Tabela1[[#This Row],[SALDO REEMBOLSAR]]*$N$4</f>
        <v>0</v>
      </c>
      <c r="O323" s="20">
        <v>155.66999999999999</v>
      </c>
      <c r="Q323" t="str">
        <f>_xlfn.XLOOKUP(Tabela1[[#This Row],[COLABORADOR]],'STATUS CARTAO'!D:D,'STATUS CARTAO'!G:G)</f>
        <v>Cartão ativo</v>
      </c>
    </row>
    <row r="324" spans="1:17" hidden="1">
      <c r="A324" s="3" t="s">
        <v>730</v>
      </c>
      <c r="B324" s="3" t="s">
        <v>731</v>
      </c>
      <c r="C324" s="5" t="s">
        <v>19</v>
      </c>
      <c r="D324" s="3" t="s">
        <v>74</v>
      </c>
      <c r="E324" s="3" t="s">
        <v>373</v>
      </c>
      <c r="F324" s="3" t="s">
        <v>76</v>
      </c>
      <c r="G324" s="3" t="s">
        <v>40</v>
      </c>
      <c r="H324" s="20">
        <v>0</v>
      </c>
      <c r="I324" s="20">
        <v>232.02999999999975</v>
      </c>
      <c r="J324" s="20">
        <v>1500</v>
      </c>
      <c r="K324" s="20">
        <v>24.94</v>
      </c>
      <c r="L324" s="20"/>
      <c r="M324" s="20">
        <f>Tabela1[[#This Row],[1ª QZ]]-Tabela1[[#This Row],[SALDO FINAL]]-Tabela1[[#This Row],[SALDO CARTAO]]-Tabela1[[#This Row],[Adiantamento ]]</f>
        <v>1243.0300000000002</v>
      </c>
      <c r="N324" s="20">
        <f>Tabela1[[#This Row],[SALDO REEMBOLSAR]]*$N$4</f>
        <v>0</v>
      </c>
      <c r="O324" s="20">
        <v>1243.0300000000002</v>
      </c>
      <c r="Q324" t="str">
        <f>_xlfn.XLOOKUP(Tabela1[[#This Row],[COLABORADOR]],'STATUS CARTAO'!D:D,'STATUS CARTAO'!G:G)</f>
        <v>Cartão ativo</v>
      </c>
    </row>
    <row r="325" spans="1:17" hidden="1">
      <c r="A325" s="3" t="s">
        <v>732</v>
      </c>
      <c r="B325" s="3" t="s">
        <v>733</v>
      </c>
      <c r="C325" s="5" t="s">
        <v>19</v>
      </c>
      <c r="D325" s="3" t="s">
        <v>48</v>
      </c>
      <c r="E325" s="3" t="s">
        <v>93</v>
      </c>
      <c r="F325" s="3" t="s">
        <v>50</v>
      </c>
      <c r="G325" s="3" t="s">
        <v>40</v>
      </c>
      <c r="H325" s="20">
        <v>135.18000000000029</v>
      </c>
      <c r="I325" s="20">
        <v>0</v>
      </c>
      <c r="J325" s="20">
        <v>300</v>
      </c>
      <c r="K325" s="20">
        <v>96.56</v>
      </c>
      <c r="L325" s="20"/>
      <c r="M325" s="20">
        <f>Tabela1[[#This Row],[1ª QZ]]-Tabela1[[#This Row],[SALDO FINAL]]-Tabela1[[#This Row],[SALDO CARTAO]]-Tabela1[[#This Row],[Adiantamento ]]</f>
        <v>203.44</v>
      </c>
      <c r="N325" s="20">
        <f>Tabela1[[#This Row],[SALDO REEMBOLSAR]]*$N$4</f>
        <v>81.108000000000175</v>
      </c>
      <c r="O325" s="20">
        <v>271.03000000000014</v>
      </c>
      <c r="Q325" t="str">
        <f>_xlfn.XLOOKUP(Tabela1[[#This Row],[COLABORADOR]],'STATUS CARTAO'!D:D,'STATUS CARTAO'!G:G)</f>
        <v>Cartão ativo</v>
      </c>
    </row>
    <row r="326" spans="1:17" hidden="1">
      <c r="A326" s="3" t="s">
        <v>734</v>
      </c>
      <c r="B326" s="3" t="s">
        <v>735</v>
      </c>
      <c r="C326" s="5" t="s">
        <v>19</v>
      </c>
      <c r="D326" s="3" t="s">
        <v>37</v>
      </c>
      <c r="E326" s="3" t="s">
        <v>736</v>
      </c>
      <c r="F326" s="3" t="s">
        <v>39</v>
      </c>
      <c r="G326" s="3" t="s">
        <v>40</v>
      </c>
      <c r="H326" s="20">
        <v>0</v>
      </c>
      <c r="I326" s="20">
        <v>1361.2699999999968</v>
      </c>
      <c r="J326" s="20">
        <v>1500</v>
      </c>
      <c r="K326" s="20">
        <v>723.58</v>
      </c>
      <c r="L326" s="20"/>
      <c r="M326" s="20">
        <f>Tabela1[[#This Row],[1ª QZ]]-Tabela1[[#This Row],[SALDO FINAL]]-Tabela1[[#This Row],[SALDO CARTAO]]-Tabela1[[#This Row],[Adiantamento ]]</f>
        <v>-584.84999999999684</v>
      </c>
      <c r="N326" s="20">
        <f>Tabela1[[#This Row],[SALDO REEMBOLSAR]]*$N$4</f>
        <v>0</v>
      </c>
      <c r="O326" s="20">
        <v>0</v>
      </c>
      <c r="Q326" t="str">
        <f>_xlfn.XLOOKUP(Tabela1[[#This Row],[COLABORADOR]],'STATUS CARTAO'!D:D,'STATUS CARTAO'!G:G)</f>
        <v>Cartão ativo</v>
      </c>
    </row>
    <row r="327" spans="1:17" hidden="1">
      <c r="A327" s="3" t="s">
        <v>734</v>
      </c>
      <c r="B327" s="3" t="s">
        <v>735</v>
      </c>
      <c r="C327" s="5"/>
      <c r="D327" s="3" t="s">
        <v>37</v>
      </c>
      <c r="E327" s="3" t="s">
        <v>736</v>
      </c>
      <c r="F327" s="3"/>
      <c r="G327" s="3"/>
      <c r="H327" s="20"/>
      <c r="I327" s="20"/>
      <c r="J327" s="20"/>
      <c r="K327" s="20"/>
      <c r="L327" s="20"/>
      <c r="M327" s="20">
        <f>Tabela1[[#This Row],[1ª QZ]]-Tabela1[[#This Row],[SALDO FINAL]]-Tabela1[[#This Row],[SALDO CARTAO]]-Tabela1[[#This Row],[Adiantamento ]]</f>
        <v>0</v>
      </c>
      <c r="N327" s="20">
        <f>Tabela1[[#This Row],[SALDO REEMBOLSAR]]*$N$4</f>
        <v>0</v>
      </c>
      <c r="O327" s="20">
        <v>138.7300000000032</v>
      </c>
      <c r="Q327" t="str">
        <f>_xlfn.XLOOKUP(Tabela1[[#This Row],[COLABORADOR]],'STATUS CARTAO'!D:D,'STATUS CARTAO'!G:G)</f>
        <v>Cartão ativo</v>
      </c>
    </row>
    <row r="328" spans="1:17" hidden="1">
      <c r="A328" s="3" t="s">
        <v>737</v>
      </c>
      <c r="B328" s="3" t="s">
        <v>738</v>
      </c>
      <c r="C328" s="5" t="s">
        <v>19</v>
      </c>
      <c r="D328" s="3" t="s">
        <v>37</v>
      </c>
      <c r="E328" s="3" t="s">
        <v>739</v>
      </c>
      <c r="F328" s="3" t="s">
        <v>39</v>
      </c>
      <c r="G328" s="3" t="s">
        <v>40</v>
      </c>
      <c r="H328" s="20">
        <v>0</v>
      </c>
      <c r="I328" s="20">
        <v>500</v>
      </c>
      <c r="J328" s="20">
        <v>500</v>
      </c>
      <c r="K328" s="20">
        <v>502.6</v>
      </c>
      <c r="L328" s="20"/>
      <c r="M328" s="20">
        <f>Tabela1[[#This Row],[1ª QZ]]-Tabela1[[#This Row],[SALDO FINAL]]-Tabela1[[#This Row],[SALDO CARTAO]]-Tabela1[[#This Row],[Adiantamento ]]</f>
        <v>-502.6</v>
      </c>
      <c r="N328" s="20">
        <f>Tabela1[[#This Row],[SALDO REEMBOLSAR]]*$N$4</f>
        <v>0</v>
      </c>
      <c r="O328" s="20">
        <v>0</v>
      </c>
      <c r="Q328" t="str">
        <f>_xlfn.XLOOKUP(Tabela1[[#This Row],[COLABORADOR]],'STATUS CARTAO'!D:D,'STATUS CARTAO'!G:G)</f>
        <v>Cartão ativo</v>
      </c>
    </row>
    <row r="329" spans="1:17" hidden="1">
      <c r="A329" s="3" t="s">
        <v>740</v>
      </c>
      <c r="B329" s="3" t="s">
        <v>741</v>
      </c>
      <c r="C329" s="5" t="s">
        <v>19</v>
      </c>
      <c r="D329" s="3" t="s">
        <v>96</v>
      </c>
      <c r="E329" s="3" t="s">
        <v>742</v>
      </c>
      <c r="F329" s="3" t="s">
        <v>98</v>
      </c>
      <c r="G329" s="3" t="s">
        <v>23</v>
      </c>
      <c r="H329" s="20">
        <v>0</v>
      </c>
      <c r="I329" s="20">
        <v>1529.7900000000081</v>
      </c>
      <c r="J329" s="20">
        <v>2000</v>
      </c>
      <c r="K329" s="20">
        <v>1063.53</v>
      </c>
      <c r="L329" s="20"/>
      <c r="M329" s="20">
        <f>Tabela1[[#This Row],[1ª QZ]]-Tabela1[[#This Row],[SALDO FINAL]]-Tabela1[[#This Row],[SALDO CARTAO]]-Tabela1[[#This Row],[Adiantamento ]]</f>
        <v>-593.32000000000812</v>
      </c>
      <c r="N329" s="20">
        <f>Tabela1[[#This Row],[SALDO REEMBOLSAR]]*$N$4</f>
        <v>0</v>
      </c>
      <c r="O329" s="20">
        <v>0</v>
      </c>
      <c r="Q329" t="str">
        <f>_xlfn.XLOOKUP(Tabela1[[#This Row],[COLABORADOR]],'STATUS CARTAO'!D:D,'STATUS CARTAO'!G:G)</f>
        <v>Cartão ativo</v>
      </c>
    </row>
    <row r="330" spans="1:17" hidden="1">
      <c r="A330" s="3" t="s">
        <v>740</v>
      </c>
      <c r="B330" s="3" t="s">
        <v>741</v>
      </c>
      <c r="C330" s="5"/>
      <c r="D330" s="3" t="s">
        <v>96</v>
      </c>
      <c r="E330" s="3" t="s">
        <v>742</v>
      </c>
      <c r="F330" s="3"/>
      <c r="G330" s="3"/>
      <c r="H330" s="20"/>
      <c r="I330" s="20"/>
      <c r="J330" s="20"/>
      <c r="K330" s="20"/>
      <c r="L330" s="20"/>
      <c r="M330" s="20">
        <f>Tabela1[[#This Row],[1ª QZ]]-Tabela1[[#This Row],[SALDO FINAL]]-Tabela1[[#This Row],[SALDO CARTAO]]-Tabela1[[#This Row],[Adiantamento ]]</f>
        <v>0</v>
      </c>
      <c r="N330" s="20">
        <f>Tabela1[[#This Row],[SALDO REEMBOLSAR]]*$N$4</f>
        <v>0</v>
      </c>
      <c r="O330" s="20">
        <v>470.20999999999185</v>
      </c>
      <c r="Q330" t="str">
        <f>_xlfn.XLOOKUP(Tabela1[[#This Row],[COLABORADOR]],'STATUS CARTAO'!D:D,'STATUS CARTAO'!G:G)</f>
        <v>Cartão ativo</v>
      </c>
    </row>
    <row r="331" spans="1:17" hidden="1">
      <c r="A331" s="3" t="s">
        <v>743</v>
      </c>
      <c r="B331" s="3" t="s">
        <v>744</v>
      </c>
      <c r="C331" s="5" t="s">
        <v>19</v>
      </c>
      <c r="D331" s="3" t="s">
        <v>43</v>
      </c>
      <c r="E331" s="3" t="s">
        <v>745</v>
      </c>
      <c r="F331" s="3" t="s">
        <v>45</v>
      </c>
      <c r="G331" s="3" t="s">
        <v>40</v>
      </c>
      <c r="H331" s="20">
        <v>0</v>
      </c>
      <c r="I331" s="20">
        <v>3279.0299999999625</v>
      </c>
      <c r="J331" s="20">
        <v>2800</v>
      </c>
      <c r="K331" s="20">
        <v>6.07</v>
      </c>
      <c r="L331" s="20"/>
      <c r="M331" s="20">
        <f>Tabela1[[#This Row],[1ª QZ]]-Tabela1[[#This Row],[SALDO FINAL]]-Tabela1[[#This Row],[SALDO CARTAO]]-Tabela1[[#This Row],[Adiantamento ]]</f>
        <v>-485.09999999996245</v>
      </c>
      <c r="N331" s="20">
        <f>Tabela1[[#This Row],[SALDO REEMBOLSAR]]*$N$4</f>
        <v>0</v>
      </c>
      <c r="O331" s="20">
        <v>0</v>
      </c>
      <c r="Q331" t="str">
        <f>_xlfn.XLOOKUP(Tabela1[[#This Row],[COLABORADOR]],'STATUS CARTAO'!D:D,'STATUS CARTAO'!G:G)</f>
        <v>Cartão ativo</v>
      </c>
    </row>
    <row r="332" spans="1:17" hidden="1">
      <c r="A332" s="3" t="s">
        <v>746</v>
      </c>
      <c r="B332" s="3" t="s">
        <v>747</v>
      </c>
      <c r="C332" s="5" t="s">
        <v>19</v>
      </c>
      <c r="D332" s="3" t="s">
        <v>43</v>
      </c>
      <c r="E332" s="3" t="s">
        <v>745</v>
      </c>
      <c r="F332" s="3" t="s">
        <v>45</v>
      </c>
      <c r="G332" s="3" t="s">
        <v>40</v>
      </c>
      <c r="H332" s="20">
        <v>25.619999999998981</v>
      </c>
      <c r="I332" s="20">
        <v>0</v>
      </c>
      <c r="J332" s="20">
        <v>800</v>
      </c>
      <c r="K332" s="20">
        <v>43</v>
      </c>
      <c r="L332" s="20"/>
      <c r="M332" s="20">
        <f>Tabela1[[#This Row],[1ª QZ]]-Tabela1[[#This Row],[SALDO FINAL]]-Tabela1[[#This Row],[SALDO CARTAO]]-Tabela1[[#This Row],[Adiantamento ]]</f>
        <v>757</v>
      </c>
      <c r="N332" s="20">
        <f>Tabela1[[#This Row],[SALDO REEMBOLSAR]]*$N$4</f>
        <v>15.371999999999389</v>
      </c>
      <c r="O332" s="20">
        <v>769.80999999999949</v>
      </c>
      <c r="Q332" t="str">
        <f>_xlfn.XLOOKUP(Tabela1[[#This Row],[COLABORADOR]],'STATUS CARTAO'!D:D,'STATUS CARTAO'!G:G)</f>
        <v>Cartão ativo</v>
      </c>
    </row>
    <row r="333" spans="1:17" hidden="1">
      <c r="A333" s="3" t="s">
        <v>748</v>
      </c>
      <c r="B333" s="3" t="s">
        <v>749</v>
      </c>
      <c r="C333" s="5" t="s">
        <v>19</v>
      </c>
      <c r="D333" s="3" t="s">
        <v>74</v>
      </c>
      <c r="E333" s="3" t="s">
        <v>373</v>
      </c>
      <c r="F333" s="3" t="s">
        <v>76</v>
      </c>
      <c r="G333" s="3" t="s">
        <v>40</v>
      </c>
      <c r="H333" s="20">
        <v>0</v>
      </c>
      <c r="I333" s="20">
        <v>1587.42</v>
      </c>
      <c r="J333" s="20">
        <v>1500</v>
      </c>
      <c r="K333" s="20">
        <v>57.84</v>
      </c>
      <c r="L333" s="20"/>
      <c r="M333" s="20">
        <f>Tabela1[[#This Row],[1ª QZ]]-Tabela1[[#This Row],[SALDO FINAL]]-Tabela1[[#This Row],[SALDO CARTAO]]-Tabela1[[#This Row],[Adiantamento ]]</f>
        <v>-145.26000000000008</v>
      </c>
      <c r="N333" s="20">
        <f>Tabela1[[#This Row],[SALDO REEMBOLSAR]]*$N$4</f>
        <v>0</v>
      </c>
      <c r="O333" s="20">
        <v>0</v>
      </c>
      <c r="Q333" t="str">
        <f>_xlfn.XLOOKUP(Tabela1[[#This Row],[COLABORADOR]],'STATUS CARTAO'!D:D,'STATUS CARTAO'!G:G)</f>
        <v>Cartão ativo</v>
      </c>
    </row>
    <row r="334" spans="1:17" hidden="1">
      <c r="A334" s="3" t="s">
        <v>750</v>
      </c>
      <c r="B334" s="3" t="s">
        <v>751</v>
      </c>
      <c r="C334" s="5" t="s">
        <v>19</v>
      </c>
      <c r="D334" s="3" t="s">
        <v>31</v>
      </c>
      <c r="E334" s="3" t="s">
        <v>56</v>
      </c>
      <c r="F334" s="3" t="s">
        <v>33</v>
      </c>
      <c r="G334" s="3" t="s">
        <v>34</v>
      </c>
      <c r="H334" s="20">
        <v>558.24999999999636</v>
      </c>
      <c r="I334" s="20">
        <v>0</v>
      </c>
      <c r="J334" s="20">
        <v>500</v>
      </c>
      <c r="K334" s="20">
        <v>13</v>
      </c>
      <c r="L334" s="20"/>
      <c r="M334" s="20">
        <f>Tabela1[[#This Row],[1ª QZ]]-Tabela1[[#This Row],[SALDO FINAL]]-Tabela1[[#This Row],[SALDO CARTAO]]-Tabela1[[#This Row],[Adiantamento ]]</f>
        <v>487</v>
      </c>
      <c r="N334" s="20">
        <f>Tabela1[[#This Row],[SALDO REEMBOLSAR]]*$N$4</f>
        <v>334.94999999999783</v>
      </c>
      <c r="O334" s="20">
        <v>766.12499999999818</v>
      </c>
      <c r="Q334" t="str">
        <f>_xlfn.XLOOKUP(Tabela1[[#This Row],[COLABORADOR]],'STATUS CARTAO'!D:D,'STATUS CARTAO'!G:G)</f>
        <v>Cartão ativo</v>
      </c>
    </row>
    <row r="335" spans="1:17" hidden="1">
      <c r="A335" s="3" t="s">
        <v>752</v>
      </c>
      <c r="B335" s="3" t="s">
        <v>753</v>
      </c>
      <c r="C335" s="5" t="s">
        <v>19</v>
      </c>
      <c r="D335" s="3" t="s">
        <v>74</v>
      </c>
      <c r="E335" s="3" t="s">
        <v>467</v>
      </c>
      <c r="F335" s="3" t="s">
        <v>76</v>
      </c>
      <c r="G335" s="3" t="s">
        <v>40</v>
      </c>
      <c r="H335" s="20">
        <v>0</v>
      </c>
      <c r="I335" s="20">
        <v>2237.9499999999534</v>
      </c>
      <c r="J335" s="20">
        <v>4000</v>
      </c>
      <c r="K335" s="20">
        <v>466.86</v>
      </c>
      <c r="L335" s="20"/>
      <c r="M335" s="20">
        <f>Tabela1[[#This Row],[1ª QZ]]-Tabela1[[#This Row],[SALDO FINAL]]-Tabela1[[#This Row],[SALDO CARTAO]]-Tabela1[[#This Row],[Adiantamento ]]</f>
        <v>1295.1900000000464</v>
      </c>
      <c r="N335" s="20">
        <f>Tabela1[[#This Row],[SALDO REEMBOLSAR]]*$N$4</f>
        <v>0</v>
      </c>
      <c r="O335" s="20">
        <v>1295.1900000000464</v>
      </c>
      <c r="Q335" t="str">
        <f>_xlfn.XLOOKUP(Tabela1[[#This Row],[COLABORADOR]],'STATUS CARTAO'!D:D,'STATUS CARTAO'!G:G)</f>
        <v>Cartão ativo</v>
      </c>
    </row>
    <row r="336" spans="1:17" hidden="1">
      <c r="A336" s="3" t="s">
        <v>752</v>
      </c>
      <c r="B336" s="3" t="s">
        <v>753</v>
      </c>
      <c r="C336" s="5"/>
      <c r="D336" s="3" t="s">
        <v>74</v>
      </c>
      <c r="E336" s="3" t="s">
        <v>467</v>
      </c>
      <c r="F336" s="3"/>
      <c r="G336" s="3"/>
      <c r="H336" s="20"/>
      <c r="I336" s="20"/>
      <c r="J336" s="20"/>
      <c r="K336" s="20"/>
      <c r="L336" s="20"/>
      <c r="M336" s="20">
        <f>Tabela1[[#This Row],[1ª QZ]]-Tabela1[[#This Row],[SALDO FINAL]]-Tabela1[[#This Row],[SALDO CARTAO]]-Tabela1[[#This Row],[Adiantamento ]]</f>
        <v>0</v>
      </c>
      <c r="N336" s="20">
        <f>Tabela1[[#This Row],[SALDO REEMBOLSAR]]*$N$4</f>
        <v>0</v>
      </c>
      <c r="O336" s="20">
        <v>466.86000000000013</v>
      </c>
      <c r="Q336" t="str">
        <f>_xlfn.XLOOKUP(Tabela1[[#This Row],[COLABORADOR]],'STATUS CARTAO'!D:D,'STATUS CARTAO'!G:G)</f>
        <v>Cartão ativo</v>
      </c>
    </row>
    <row r="337" spans="1:17" hidden="1">
      <c r="A337" s="3" t="s">
        <v>754</v>
      </c>
      <c r="B337" s="3" t="s">
        <v>755</v>
      </c>
      <c r="C337" s="5" t="s">
        <v>19</v>
      </c>
      <c r="D337" s="3" t="s">
        <v>26</v>
      </c>
      <c r="E337" s="3" t="s">
        <v>567</v>
      </c>
      <c r="F337" s="3" t="s">
        <v>28</v>
      </c>
      <c r="G337" s="3" t="s">
        <v>23</v>
      </c>
      <c r="H337" s="20">
        <v>0</v>
      </c>
      <c r="I337" s="20">
        <v>6110.51</v>
      </c>
      <c r="J337" s="20">
        <v>4000</v>
      </c>
      <c r="K337" s="20">
        <v>2.06</v>
      </c>
      <c r="L337" s="20"/>
      <c r="M337" s="20">
        <f>Tabela1[[#This Row],[1ª QZ]]-Tabela1[[#This Row],[SALDO FINAL]]-Tabela1[[#This Row],[SALDO CARTAO]]-Tabela1[[#This Row],[Adiantamento ]]</f>
        <v>-2112.5700000000002</v>
      </c>
      <c r="N337" s="20">
        <f>Tabela1[[#This Row],[SALDO REEMBOLSAR]]*$N$4</f>
        <v>0</v>
      </c>
      <c r="O337" s="20">
        <v>0</v>
      </c>
      <c r="Q337" t="str">
        <f>_xlfn.XLOOKUP(Tabela1[[#This Row],[COLABORADOR]],'STATUS CARTAO'!D:D,'STATUS CARTAO'!G:G)</f>
        <v>Cartão ativo</v>
      </c>
    </row>
    <row r="338" spans="1:17" hidden="1">
      <c r="A338" s="3" t="s">
        <v>756</v>
      </c>
      <c r="B338" s="3" t="s">
        <v>757</v>
      </c>
      <c r="C338" s="5" t="s">
        <v>19</v>
      </c>
      <c r="D338" s="3" t="s">
        <v>37</v>
      </c>
      <c r="E338" s="3" t="s">
        <v>624</v>
      </c>
      <c r="F338" s="3" t="s">
        <v>39</v>
      </c>
      <c r="G338" s="3" t="s">
        <v>40</v>
      </c>
      <c r="H338" s="20">
        <v>2038.8800000000299</v>
      </c>
      <c r="I338" s="20">
        <v>0</v>
      </c>
      <c r="J338" s="20">
        <v>4240</v>
      </c>
      <c r="K338" s="20">
        <v>9</v>
      </c>
      <c r="L338" s="20"/>
      <c r="M338" s="20">
        <f>Tabela1[[#This Row],[1ª QZ]]-Tabela1[[#This Row],[SALDO FINAL]]-Tabela1[[#This Row],[SALDO CARTAO]]-Tabela1[[#This Row],[Adiantamento ]]</f>
        <v>4231</v>
      </c>
      <c r="N338" s="20">
        <f>Tabela1[[#This Row],[SALDO REEMBOLSAR]]*$N$4</f>
        <v>1223.3280000000179</v>
      </c>
      <c r="O338" s="20">
        <v>5250.4400000000151</v>
      </c>
      <c r="Q338" t="str">
        <f>_xlfn.XLOOKUP(Tabela1[[#This Row],[COLABORADOR]],'STATUS CARTAO'!D:D,'STATUS CARTAO'!G:G)</f>
        <v>Cartão ativo</v>
      </c>
    </row>
    <row r="339" spans="1:17" hidden="1">
      <c r="A339" s="3" t="s">
        <v>758</v>
      </c>
      <c r="B339" s="3" t="s">
        <v>759</v>
      </c>
      <c r="C339" s="5" t="s">
        <v>19</v>
      </c>
      <c r="D339" s="3" t="s">
        <v>74</v>
      </c>
      <c r="E339" s="3" t="s">
        <v>75</v>
      </c>
      <c r="F339" s="3" t="s">
        <v>76</v>
      </c>
      <c r="G339" s="3" t="s">
        <v>40</v>
      </c>
      <c r="H339" s="20">
        <v>0</v>
      </c>
      <c r="I339" s="20">
        <v>3682.5899999999965</v>
      </c>
      <c r="J339" s="20">
        <v>4000</v>
      </c>
      <c r="K339" s="20">
        <v>5.13</v>
      </c>
      <c r="L339" s="20"/>
      <c r="M339" s="20">
        <f>Tabela1[[#This Row],[1ª QZ]]-Tabela1[[#This Row],[SALDO FINAL]]-Tabela1[[#This Row],[SALDO CARTAO]]-Tabela1[[#This Row],[Adiantamento ]]</f>
        <v>312.2800000000035</v>
      </c>
      <c r="N339" s="20">
        <f>Tabela1[[#This Row],[SALDO REEMBOLSAR]]*$N$4</f>
        <v>0</v>
      </c>
      <c r="O339" s="20">
        <v>312.2800000000035</v>
      </c>
      <c r="Q339" t="str">
        <f>_xlfn.XLOOKUP(Tabela1[[#This Row],[COLABORADOR]],'STATUS CARTAO'!D:D,'STATUS CARTAO'!G:G)</f>
        <v>Cartão ativo</v>
      </c>
    </row>
    <row r="340" spans="1:17" hidden="1">
      <c r="A340" s="3" t="s">
        <v>760</v>
      </c>
      <c r="B340" s="3" t="s">
        <v>761</v>
      </c>
      <c r="C340" s="5" t="s">
        <v>19</v>
      </c>
      <c r="D340" s="3" t="s">
        <v>74</v>
      </c>
      <c r="E340" s="3" t="s">
        <v>530</v>
      </c>
      <c r="F340" s="3" t="s">
        <v>76</v>
      </c>
      <c r="G340" s="3" t="s">
        <v>40</v>
      </c>
      <c r="H340" s="20">
        <v>0</v>
      </c>
      <c r="I340" s="20">
        <v>3426.0000000000018</v>
      </c>
      <c r="J340" s="20">
        <v>3000</v>
      </c>
      <c r="K340" s="20">
        <v>46.47</v>
      </c>
      <c r="L340" s="20"/>
      <c r="M340" s="20">
        <f>Tabela1[[#This Row],[1ª QZ]]-Tabela1[[#This Row],[SALDO FINAL]]-Tabela1[[#This Row],[SALDO CARTAO]]-Tabela1[[#This Row],[Adiantamento ]]</f>
        <v>-472.47000000000185</v>
      </c>
      <c r="N340" s="20">
        <f>Tabela1[[#This Row],[SALDO REEMBOLSAR]]*$N$4</f>
        <v>0</v>
      </c>
      <c r="O340" s="20">
        <v>0</v>
      </c>
      <c r="Q340" t="str">
        <f>_xlfn.XLOOKUP(Tabela1[[#This Row],[COLABORADOR]],'STATUS CARTAO'!D:D,'STATUS CARTAO'!G:G)</f>
        <v>Cartão ativo</v>
      </c>
    </row>
    <row r="341" spans="1:17" hidden="1">
      <c r="A341" s="3" t="s">
        <v>762</v>
      </c>
      <c r="B341" s="3" t="s">
        <v>763</v>
      </c>
      <c r="C341" s="5" t="s">
        <v>19</v>
      </c>
      <c r="D341" s="3" t="s">
        <v>74</v>
      </c>
      <c r="E341" s="3" t="s">
        <v>152</v>
      </c>
      <c r="F341" s="3" t="s">
        <v>76</v>
      </c>
      <c r="G341" s="3" t="s">
        <v>40</v>
      </c>
      <c r="H341" s="20">
        <v>0</v>
      </c>
      <c r="I341" s="20">
        <f>27451.71-25028.97</f>
        <v>2422.739999999998</v>
      </c>
      <c r="J341" s="20">
        <v>5750</v>
      </c>
      <c r="K341" s="20">
        <v>8</v>
      </c>
      <c r="L341" s="20"/>
      <c r="M341" s="20">
        <f>Tabela1[[#This Row],[1ª QZ]]-Tabela1[[#This Row],[SALDO FINAL]]-Tabela1[[#This Row],[SALDO CARTAO]]-Tabela1[[#This Row],[Adiantamento ]]</f>
        <v>3319.260000000002</v>
      </c>
      <c r="N341" s="20">
        <f>Tabela1[[#This Row],[SALDO REEMBOLSAR]]*$N$4</f>
        <v>0</v>
      </c>
      <c r="O341" s="20">
        <v>3319.260000000002</v>
      </c>
      <c r="Q341" t="str">
        <f>_xlfn.XLOOKUP(Tabela1[[#This Row],[COLABORADOR]],'STATUS CARTAO'!D:D,'STATUS CARTAO'!G:G)</f>
        <v>Cartão ativo</v>
      </c>
    </row>
    <row r="342" spans="1:17" hidden="1">
      <c r="A342" s="3" t="s">
        <v>764</v>
      </c>
      <c r="B342" s="3" t="s">
        <v>765</v>
      </c>
      <c r="C342" s="5" t="s">
        <v>766</v>
      </c>
      <c r="D342" s="3" t="s">
        <v>48</v>
      </c>
      <c r="E342" s="3" t="s">
        <v>49</v>
      </c>
      <c r="F342" s="3" t="s">
        <v>50</v>
      </c>
      <c r="G342" s="3" t="s">
        <v>40</v>
      </c>
      <c r="H342" s="20">
        <v>0</v>
      </c>
      <c r="I342" s="20">
        <v>300.00000000000011</v>
      </c>
      <c r="J342" s="20">
        <v>120</v>
      </c>
      <c r="K342" s="20">
        <v>0</v>
      </c>
      <c r="L342" s="20"/>
      <c r="M342" s="20">
        <f>Tabela1[[#This Row],[1ª QZ]]-Tabela1[[#This Row],[SALDO FINAL]]-Tabela1[[#This Row],[SALDO CARTAO]]-Tabela1[[#This Row],[Adiantamento ]]</f>
        <v>-180.00000000000011</v>
      </c>
      <c r="N342" s="20">
        <f>Tabela1[[#This Row],[SALDO REEMBOLSAR]]*$N$4</f>
        <v>0</v>
      </c>
      <c r="O342" s="20">
        <v>0</v>
      </c>
      <c r="Q342" t="str">
        <f>_xlfn.XLOOKUP(Tabela1[[#This Row],[COLABORADOR]],'STATUS CARTAO'!D:D,'STATUS CARTAO'!G:G)</f>
        <v>Cartão ativo</v>
      </c>
    </row>
    <row r="343" spans="1:17" hidden="1">
      <c r="A343" s="3" t="s">
        <v>767</v>
      </c>
      <c r="B343" s="3" t="s">
        <v>768</v>
      </c>
      <c r="C343" s="5" t="s">
        <v>19</v>
      </c>
      <c r="D343" s="3" t="s">
        <v>627</v>
      </c>
      <c r="E343" s="3" t="s">
        <v>138</v>
      </c>
      <c r="F343" s="3" t="s">
        <v>39</v>
      </c>
      <c r="G343" s="3" t="s">
        <v>40</v>
      </c>
      <c r="H343" s="20">
        <v>0</v>
      </c>
      <c r="I343" s="20">
        <v>1754.93</v>
      </c>
      <c r="J343" s="20">
        <v>1000</v>
      </c>
      <c r="K343" s="20">
        <v>410.19</v>
      </c>
      <c r="L343" s="20"/>
      <c r="M343" s="20">
        <f>Tabela1[[#This Row],[1ª QZ]]-Tabela1[[#This Row],[SALDO FINAL]]-Tabela1[[#This Row],[SALDO CARTAO]]-Tabela1[[#This Row],[Adiantamento ]]</f>
        <v>-1165.1200000000001</v>
      </c>
      <c r="N343" s="20">
        <f>Tabela1[[#This Row],[SALDO REEMBOLSAR]]*$N$4</f>
        <v>0</v>
      </c>
      <c r="O343" s="20">
        <v>0</v>
      </c>
      <c r="Q343" t="str">
        <f>_xlfn.XLOOKUP(Tabela1[[#This Row],[COLABORADOR]],'STATUS CARTAO'!D:D,'STATUS CARTAO'!G:G)</f>
        <v>Cartão ativo</v>
      </c>
    </row>
    <row r="344" spans="1:17" hidden="1">
      <c r="A344" s="3" t="s">
        <v>769</v>
      </c>
      <c r="B344" s="3" t="s">
        <v>770</v>
      </c>
      <c r="C344" s="5" t="s">
        <v>19</v>
      </c>
      <c r="D344" s="3" t="s">
        <v>37</v>
      </c>
      <c r="E344" s="3" t="s">
        <v>138</v>
      </c>
      <c r="F344" s="3" t="s">
        <v>39</v>
      </c>
      <c r="G344" s="3" t="s">
        <v>40</v>
      </c>
      <c r="H344" s="20">
        <v>0</v>
      </c>
      <c r="I344" s="20">
        <v>147.00999999999294</v>
      </c>
      <c r="J344" s="20">
        <v>800</v>
      </c>
      <c r="K344" s="20">
        <v>17.010000000000002</v>
      </c>
      <c r="L344" s="20"/>
      <c r="M344" s="20">
        <f>Tabela1[[#This Row],[1ª QZ]]-Tabela1[[#This Row],[SALDO FINAL]]-Tabela1[[#This Row],[SALDO CARTAO]]-Tabela1[[#This Row],[Adiantamento ]]</f>
        <v>635.98000000000707</v>
      </c>
      <c r="N344" s="20">
        <f>Tabela1[[#This Row],[SALDO REEMBOLSAR]]*$N$4</f>
        <v>0</v>
      </c>
      <c r="O344" s="20">
        <v>635.98000000000707</v>
      </c>
      <c r="Q344" t="str">
        <f>_xlfn.XLOOKUP(Tabela1[[#This Row],[COLABORADOR]],'STATUS CARTAO'!D:D,'STATUS CARTAO'!G:G)</f>
        <v>Cartão ativo</v>
      </c>
    </row>
    <row r="345" spans="1:17" hidden="1">
      <c r="A345" s="3" t="s">
        <v>771</v>
      </c>
      <c r="B345" s="3" t="s">
        <v>772</v>
      </c>
      <c r="C345" s="5" t="s">
        <v>19</v>
      </c>
      <c r="D345" s="3" t="s">
        <v>37</v>
      </c>
      <c r="E345" s="3" t="s">
        <v>773</v>
      </c>
      <c r="F345" s="3" t="s">
        <v>39</v>
      </c>
      <c r="G345" s="3" t="s">
        <v>40</v>
      </c>
      <c r="H345" s="20">
        <v>0</v>
      </c>
      <c r="I345" s="20">
        <v>1780.9299999999967</v>
      </c>
      <c r="J345" s="20">
        <v>1500</v>
      </c>
      <c r="K345" s="20">
        <v>1500</v>
      </c>
      <c r="L345" s="20"/>
      <c r="M345" s="20">
        <f>Tabela1[[#This Row],[1ª QZ]]-Tabela1[[#This Row],[SALDO FINAL]]-Tabela1[[#This Row],[SALDO CARTAO]]-Tabela1[[#This Row],[Adiantamento ]]</f>
        <v>-1780.9299999999967</v>
      </c>
      <c r="N345" s="20">
        <f>Tabela1[[#This Row],[SALDO REEMBOLSAR]]*$N$4</f>
        <v>0</v>
      </c>
      <c r="O345" s="20">
        <v>0</v>
      </c>
      <c r="Q345" t="str">
        <f>_xlfn.XLOOKUP(Tabela1[[#This Row],[COLABORADOR]],'STATUS CARTAO'!D:D,'STATUS CARTAO'!G:G)</f>
        <v>Cartão ativo</v>
      </c>
    </row>
    <row r="346" spans="1:17" hidden="1">
      <c r="A346" s="3" t="s">
        <v>774</v>
      </c>
      <c r="B346" s="3" t="s">
        <v>775</v>
      </c>
      <c r="C346" s="5" t="s">
        <v>19</v>
      </c>
      <c r="D346" s="3" t="s">
        <v>48</v>
      </c>
      <c r="E346" s="3" t="s">
        <v>49</v>
      </c>
      <c r="F346" s="3" t="s">
        <v>50</v>
      </c>
      <c r="G346" s="3" t="s">
        <v>40</v>
      </c>
      <c r="H346" s="20">
        <v>0</v>
      </c>
      <c r="I346" s="20">
        <v>166.79999999999973</v>
      </c>
      <c r="J346" s="20">
        <v>120</v>
      </c>
      <c r="K346" s="20">
        <v>0</v>
      </c>
      <c r="L346" s="20"/>
      <c r="M346" s="20">
        <f>Tabela1[[#This Row],[1ª QZ]]-Tabela1[[#This Row],[SALDO FINAL]]-Tabela1[[#This Row],[SALDO CARTAO]]-Tabela1[[#This Row],[Adiantamento ]]</f>
        <v>-46.799999999999727</v>
      </c>
      <c r="N346" s="20">
        <f>Tabela1[[#This Row],[SALDO REEMBOLSAR]]*$N$4</f>
        <v>0</v>
      </c>
      <c r="O346" s="20">
        <v>0</v>
      </c>
      <c r="Q346" t="str">
        <f>_xlfn.XLOOKUP(Tabela1[[#This Row],[COLABORADOR]],'STATUS CARTAO'!D:D,'STATUS CARTAO'!G:G)</f>
        <v>Cartão ativo</v>
      </c>
    </row>
    <row r="347" spans="1:17" hidden="1">
      <c r="A347" s="3" t="s">
        <v>774</v>
      </c>
      <c r="B347" s="3" t="s">
        <v>775</v>
      </c>
      <c r="C347" s="5"/>
      <c r="D347" s="3" t="s">
        <v>48</v>
      </c>
      <c r="E347" s="3" t="s">
        <v>49</v>
      </c>
      <c r="F347" s="3"/>
      <c r="G347" s="3"/>
      <c r="H347" s="20"/>
      <c r="I347" s="20"/>
      <c r="J347" s="20"/>
      <c r="K347" s="20"/>
      <c r="L347" s="20"/>
      <c r="M347" s="20">
        <f>Tabela1[[#This Row],[1ª QZ]]-Tabela1[[#This Row],[SALDO FINAL]]-Tabela1[[#This Row],[SALDO CARTAO]]-Tabela1[[#This Row],[Adiantamento ]]</f>
        <v>0</v>
      </c>
      <c r="N347" s="20">
        <f>Tabela1[[#This Row],[SALDO REEMBOLSAR]]*$N$4</f>
        <v>0</v>
      </c>
      <c r="O347" s="20">
        <v>120</v>
      </c>
      <c r="Q347" t="str">
        <f>_xlfn.XLOOKUP(Tabela1[[#This Row],[COLABORADOR]],'STATUS CARTAO'!D:D,'STATUS CARTAO'!G:G)</f>
        <v>Cartão ativo</v>
      </c>
    </row>
    <row r="348" spans="1:17" hidden="1">
      <c r="A348" s="3" t="s">
        <v>776</v>
      </c>
      <c r="B348" s="3" t="s">
        <v>777</v>
      </c>
      <c r="C348" s="5" t="s">
        <v>19</v>
      </c>
      <c r="D348" s="3" t="s">
        <v>20</v>
      </c>
      <c r="E348" s="3" t="s">
        <v>193</v>
      </c>
      <c r="F348" s="3" t="s">
        <v>22</v>
      </c>
      <c r="G348" s="3" t="s">
        <v>23</v>
      </c>
      <c r="H348" s="20">
        <v>0</v>
      </c>
      <c r="I348" s="20">
        <v>5401.9199999999983</v>
      </c>
      <c r="J348" s="20">
        <v>5700</v>
      </c>
      <c r="K348" s="20">
        <v>0</v>
      </c>
      <c r="L348" s="20"/>
      <c r="M348" s="20">
        <f>Tabela1[[#This Row],[1ª QZ]]-Tabela1[[#This Row],[SALDO FINAL]]-Tabela1[[#This Row],[SALDO CARTAO]]-Tabela1[[#This Row],[Adiantamento ]]</f>
        <v>298.08000000000175</v>
      </c>
      <c r="N348" s="20">
        <f>Tabela1[[#This Row],[SALDO REEMBOLSAR]]*$N$4</f>
        <v>0</v>
      </c>
      <c r="O348" s="20">
        <v>298.08000000000175</v>
      </c>
      <c r="Q348" t="str">
        <f>_xlfn.XLOOKUP(Tabela1[[#This Row],[COLABORADOR]],'STATUS CARTAO'!D:D,'STATUS CARTAO'!G:G)</f>
        <v>Cartão ativo</v>
      </c>
    </row>
    <row r="349" spans="1:17" hidden="1">
      <c r="A349" s="3" t="s">
        <v>776</v>
      </c>
      <c r="B349" s="3" t="s">
        <v>777</v>
      </c>
      <c r="C349" s="5"/>
      <c r="D349" s="3" t="s">
        <v>20</v>
      </c>
      <c r="E349" s="3" t="s">
        <v>193</v>
      </c>
      <c r="F349" s="3"/>
      <c r="G349" s="3"/>
      <c r="H349" s="20"/>
      <c r="I349" s="20"/>
      <c r="J349" s="20"/>
      <c r="K349" s="20"/>
      <c r="L349" s="20"/>
      <c r="M349" s="20">
        <f>Tabela1[[#This Row],[1ª QZ]]-Tabela1[[#This Row],[SALDO FINAL]]-Tabela1[[#This Row],[SALDO CARTAO]]-Tabela1[[#This Row],[Adiantamento ]]</f>
        <v>0</v>
      </c>
      <c r="N349" s="20">
        <f>Tabela1[[#This Row],[SALDO REEMBOLSAR]]*$N$4</f>
        <v>0</v>
      </c>
      <c r="O349" s="20">
        <v>5401.9199999999983</v>
      </c>
      <c r="Q349" t="str">
        <f>_xlfn.XLOOKUP(Tabela1[[#This Row],[COLABORADOR]],'STATUS CARTAO'!D:D,'STATUS CARTAO'!G:G)</f>
        <v>Cartão ativo</v>
      </c>
    </row>
    <row r="350" spans="1:17" hidden="1">
      <c r="A350" s="3" t="s">
        <v>778</v>
      </c>
      <c r="B350" s="3" t="s">
        <v>779</v>
      </c>
      <c r="C350" s="5" t="s">
        <v>19</v>
      </c>
      <c r="D350" s="3" t="s">
        <v>31</v>
      </c>
      <c r="E350" s="3" t="s">
        <v>419</v>
      </c>
      <c r="F350" s="3" t="s">
        <v>33</v>
      </c>
      <c r="G350" s="3" t="s">
        <v>34</v>
      </c>
      <c r="H350" s="20">
        <v>0</v>
      </c>
      <c r="I350" s="20">
        <v>307.46999999999389</v>
      </c>
      <c r="J350" s="20">
        <v>1000</v>
      </c>
      <c r="K350" s="20">
        <v>4.28</v>
      </c>
      <c r="L350" s="20">
        <v>945.15</v>
      </c>
      <c r="M350" s="20">
        <f>Tabela1[[#This Row],[1ª QZ]]-Tabela1[[#This Row],[SALDO FINAL]]-Tabela1[[#This Row],[SALDO CARTAO]]-Tabela1[[#This Row],[Adiantamento ]]</f>
        <v>-256.89999999999384</v>
      </c>
      <c r="N350" s="20">
        <f>Tabela1[[#This Row],[SALDO REEMBOLSAR]]*$N$4</f>
        <v>0</v>
      </c>
      <c r="O350" s="20">
        <v>0</v>
      </c>
      <c r="Q350" t="str">
        <f>_xlfn.XLOOKUP(Tabela1[[#This Row],[COLABORADOR]],'STATUS CARTAO'!D:D,'STATUS CARTAO'!G:G)</f>
        <v>Cartão ativo</v>
      </c>
    </row>
    <row r="351" spans="1:17" hidden="1">
      <c r="A351" s="3" t="s">
        <v>780</v>
      </c>
      <c r="B351" s="3" t="s">
        <v>781</v>
      </c>
      <c r="C351" s="5" t="s">
        <v>19</v>
      </c>
      <c r="D351" s="3" t="s">
        <v>96</v>
      </c>
      <c r="E351" s="3" t="s">
        <v>97</v>
      </c>
      <c r="F351" s="3" t="s">
        <v>98</v>
      </c>
      <c r="G351" s="3" t="s">
        <v>23</v>
      </c>
      <c r="H351" s="20">
        <v>0</v>
      </c>
      <c r="I351" s="20">
        <v>957.19999999999891</v>
      </c>
      <c r="J351" s="20">
        <v>1000</v>
      </c>
      <c r="K351" s="20">
        <v>488.79</v>
      </c>
      <c r="L351" s="20">
        <v>1000</v>
      </c>
      <c r="M351" s="20">
        <f>Tabela1[[#This Row],[1ª QZ]]-Tabela1[[#This Row],[SALDO FINAL]]-Tabela1[[#This Row],[SALDO CARTAO]]-Tabela1[[#This Row],[Adiantamento ]]</f>
        <v>-1445.9899999999989</v>
      </c>
      <c r="N351" s="20">
        <f>Tabela1[[#This Row],[SALDO REEMBOLSAR]]*$N$4</f>
        <v>0</v>
      </c>
      <c r="O351" s="20">
        <v>0</v>
      </c>
      <c r="Q351" t="str">
        <f>_xlfn.XLOOKUP(Tabela1[[#This Row],[COLABORADOR]],'STATUS CARTAO'!D:D,'STATUS CARTAO'!G:G)</f>
        <v>Cartão ativo</v>
      </c>
    </row>
    <row r="352" spans="1:17" hidden="1">
      <c r="A352" s="3" t="s">
        <v>782</v>
      </c>
      <c r="B352" s="3" t="s">
        <v>783</v>
      </c>
      <c r="C352" s="5" t="s">
        <v>19</v>
      </c>
      <c r="D352" s="3" t="s">
        <v>74</v>
      </c>
      <c r="E352" s="3" t="s">
        <v>373</v>
      </c>
      <c r="F352" s="3" t="s">
        <v>76</v>
      </c>
      <c r="G352" s="3" t="s">
        <v>40</v>
      </c>
      <c r="H352" s="20">
        <v>818.79</v>
      </c>
      <c r="I352" s="20">
        <v>0</v>
      </c>
      <c r="J352" s="20">
        <v>1500</v>
      </c>
      <c r="K352" s="20">
        <v>9</v>
      </c>
      <c r="L352" s="20"/>
      <c r="M352" s="20">
        <f>Tabela1[[#This Row],[1ª QZ]]-Tabela1[[#This Row],[SALDO FINAL]]-Tabela1[[#This Row],[SALDO CARTAO]]-Tabela1[[#This Row],[Adiantamento ]]</f>
        <v>1491</v>
      </c>
      <c r="N352" s="20">
        <f>Tabela1[[#This Row],[SALDO REEMBOLSAR]]*$N$4</f>
        <v>491.27399999999994</v>
      </c>
      <c r="O352" s="20">
        <v>1900.395</v>
      </c>
      <c r="Q352" t="str">
        <f>_xlfn.XLOOKUP(Tabela1[[#This Row],[COLABORADOR]],'STATUS CARTAO'!D:D,'STATUS CARTAO'!G:G)</f>
        <v>Cartão ativo</v>
      </c>
    </row>
    <row r="353" spans="1:17" hidden="1">
      <c r="A353" s="3" t="s">
        <v>784</v>
      </c>
      <c r="B353" s="3" t="s">
        <v>785</v>
      </c>
      <c r="C353" s="5" t="s">
        <v>19</v>
      </c>
      <c r="D353" s="3" t="s">
        <v>26</v>
      </c>
      <c r="E353" s="3" t="s">
        <v>567</v>
      </c>
      <c r="F353" s="3" t="s">
        <v>28</v>
      </c>
      <c r="G353" s="3" t="s">
        <v>23</v>
      </c>
      <c r="H353" s="20">
        <v>0</v>
      </c>
      <c r="I353" s="20">
        <v>2841.8199999999979</v>
      </c>
      <c r="J353" s="20">
        <v>4000</v>
      </c>
      <c r="K353" s="20">
        <v>42.52</v>
      </c>
      <c r="L353" s="20"/>
      <c r="M353" s="20">
        <f>Tabela1[[#This Row],[1ª QZ]]-Tabela1[[#This Row],[SALDO FINAL]]-Tabela1[[#This Row],[SALDO CARTAO]]-Tabela1[[#This Row],[Adiantamento ]]</f>
        <v>1115.6600000000021</v>
      </c>
      <c r="N353" s="20">
        <f>Tabela1[[#This Row],[SALDO REEMBOLSAR]]*$N$4</f>
        <v>0</v>
      </c>
      <c r="O353" s="20">
        <v>1115.6600000000021</v>
      </c>
      <c r="Q353" t="str">
        <f>_xlfn.XLOOKUP(Tabela1[[#This Row],[COLABORADOR]],'STATUS CARTAO'!D:D,'STATUS CARTAO'!G:G)</f>
        <v>Cartão ativo</v>
      </c>
    </row>
    <row r="354" spans="1:17" hidden="1">
      <c r="A354" s="3" t="s">
        <v>786</v>
      </c>
      <c r="B354" s="3" t="s">
        <v>787</v>
      </c>
      <c r="C354" s="5" t="s">
        <v>19</v>
      </c>
      <c r="D354" s="3" t="s">
        <v>74</v>
      </c>
      <c r="E354" s="3" t="s">
        <v>298</v>
      </c>
      <c r="F354" s="3" t="s">
        <v>76</v>
      </c>
      <c r="G354" s="3" t="s">
        <v>40</v>
      </c>
      <c r="H354" s="20">
        <v>0</v>
      </c>
      <c r="I354" s="20">
        <v>784.82000000000244</v>
      </c>
      <c r="J354" s="20">
        <v>800</v>
      </c>
      <c r="K354" s="20">
        <v>541.51</v>
      </c>
      <c r="L354" s="20"/>
      <c r="M354" s="20">
        <f>Tabela1[[#This Row],[1ª QZ]]-Tabela1[[#This Row],[SALDO FINAL]]-Tabela1[[#This Row],[SALDO CARTAO]]-Tabela1[[#This Row],[Adiantamento ]]</f>
        <v>-526.33000000000243</v>
      </c>
      <c r="N354" s="20">
        <f>Tabela1[[#This Row],[SALDO REEMBOLSAR]]*$N$4</f>
        <v>0</v>
      </c>
      <c r="O354" s="20">
        <v>0</v>
      </c>
      <c r="Q354" t="str">
        <f>_xlfn.XLOOKUP(Tabela1[[#This Row],[COLABORADOR]],'STATUS CARTAO'!D:D,'STATUS CARTAO'!G:G)</f>
        <v>Cartão ativo</v>
      </c>
    </row>
    <row r="355" spans="1:17" hidden="1">
      <c r="A355" s="3" t="s">
        <v>788</v>
      </c>
      <c r="B355" s="3" t="s">
        <v>789</v>
      </c>
      <c r="C355" s="5" t="s">
        <v>19</v>
      </c>
      <c r="D355" s="3" t="s">
        <v>96</v>
      </c>
      <c r="E355" s="3" t="s">
        <v>226</v>
      </c>
      <c r="F355" s="3" t="s">
        <v>98</v>
      </c>
      <c r="G355" s="3" t="s">
        <v>23</v>
      </c>
      <c r="H355" s="20">
        <v>763.57999999999447</v>
      </c>
      <c r="I355" s="20">
        <v>0</v>
      </c>
      <c r="J355" s="20">
        <v>1500</v>
      </c>
      <c r="K355" s="20">
        <v>16</v>
      </c>
      <c r="L355" s="20"/>
      <c r="M355" s="20">
        <f>Tabela1[[#This Row],[1ª QZ]]-Tabela1[[#This Row],[SALDO FINAL]]-Tabela1[[#This Row],[SALDO CARTAO]]-Tabela1[[#This Row],[Adiantamento ]]</f>
        <v>1484</v>
      </c>
      <c r="N355" s="20">
        <f>Tabela1[[#This Row],[SALDO REEMBOLSAR]]*$N$4</f>
        <v>458.14799999999667</v>
      </c>
      <c r="O355" s="20">
        <v>1865.7899999999972</v>
      </c>
      <c r="Q355" t="str">
        <f>_xlfn.XLOOKUP(Tabela1[[#This Row],[COLABORADOR]],'STATUS CARTAO'!D:D,'STATUS CARTAO'!G:G)</f>
        <v>Cartão ativo</v>
      </c>
    </row>
    <row r="356" spans="1:17" hidden="1">
      <c r="A356" s="3" t="s">
        <v>790</v>
      </c>
      <c r="B356" s="3" t="s">
        <v>791</v>
      </c>
      <c r="C356" s="5" t="s">
        <v>19</v>
      </c>
      <c r="D356" s="3" t="s">
        <v>74</v>
      </c>
      <c r="E356" s="3" t="s">
        <v>792</v>
      </c>
      <c r="F356" s="3" t="s">
        <v>76</v>
      </c>
      <c r="G356" s="3" t="s">
        <v>40</v>
      </c>
      <c r="H356" s="20">
        <v>0</v>
      </c>
      <c r="I356" s="20">
        <v>1500.0000000000009</v>
      </c>
      <c r="J356" s="20">
        <v>1500</v>
      </c>
      <c r="K356" s="20">
        <v>14.33</v>
      </c>
      <c r="L356" s="20"/>
      <c r="M356" s="20">
        <f>Tabela1[[#This Row],[1ª QZ]]-Tabela1[[#This Row],[SALDO FINAL]]-Tabela1[[#This Row],[SALDO CARTAO]]-Tabela1[[#This Row],[Adiantamento ]]</f>
        <v>-14.33000000000091</v>
      </c>
      <c r="N356" s="20">
        <f>Tabela1[[#This Row],[SALDO REEMBOLSAR]]*$N$4</f>
        <v>0</v>
      </c>
      <c r="O356" s="20">
        <v>0</v>
      </c>
      <c r="Q356" t="str">
        <f>_xlfn.XLOOKUP(Tabela1[[#This Row],[COLABORADOR]],'STATUS CARTAO'!D:D,'STATUS CARTAO'!G:G)</f>
        <v>Cartão ativo</v>
      </c>
    </row>
    <row r="357" spans="1:17" hidden="1">
      <c r="A357" s="3" t="s">
        <v>793</v>
      </c>
      <c r="B357" s="3" t="s">
        <v>794</v>
      </c>
      <c r="C357" s="5" t="s">
        <v>19</v>
      </c>
      <c r="D357" s="3" t="s">
        <v>59</v>
      </c>
      <c r="E357" s="3" t="s">
        <v>60</v>
      </c>
      <c r="F357" s="3" t="s">
        <v>61</v>
      </c>
      <c r="G357" s="3" t="s">
        <v>23</v>
      </c>
      <c r="H357" s="20">
        <v>0</v>
      </c>
      <c r="I357" s="20">
        <v>854.61000000000058</v>
      </c>
      <c r="J357" s="20">
        <v>1800</v>
      </c>
      <c r="K357" s="20">
        <v>2.1</v>
      </c>
      <c r="L357" s="20"/>
      <c r="M357" s="20">
        <f>Tabela1[[#This Row],[1ª QZ]]-Tabela1[[#This Row],[SALDO FINAL]]-Tabela1[[#This Row],[SALDO CARTAO]]-Tabela1[[#This Row],[Adiantamento ]]</f>
        <v>943.2899999999994</v>
      </c>
      <c r="N357" s="20">
        <f>Tabela1[[#This Row],[SALDO REEMBOLSAR]]*$N$4</f>
        <v>0</v>
      </c>
      <c r="O357" s="20">
        <v>943.2899999999994</v>
      </c>
      <c r="Q357" t="str">
        <f>_xlfn.XLOOKUP(Tabela1[[#This Row],[COLABORADOR]],'STATUS CARTAO'!D:D,'STATUS CARTAO'!G:G)</f>
        <v>Cartão ativo</v>
      </c>
    </row>
    <row r="358" spans="1:17" hidden="1">
      <c r="A358" s="3" t="s">
        <v>795</v>
      </c>
      <c r="B358" s="3" t="s">
        <v>796</v>
      </c>
      <c r="C358" s="5" t="s">
        <v>19</v>
      </c>
      <c r="D358" s="3" t="s">
        <v>31</v>
      </c>
      <c r="E358" s="3" t="s">
        <v>797</v>
      </c>
      <c r="F358" s="3" t="s">
        <v>33</v>
      </c>
      <c r="G358" s="3" t="s">
        <v>34</v>
      </c>
      <c r="H358" s="20">
        <v>0</v>
      </c>
      <c r="I358" s="20">
        <v>464.27</v>
      </c>
      <c r="J358" s="20">
        <v>1200</v>
      </c>
      <c r="K358" s="20">
        <v>428.57</v>
      </c>
      <c r="L358" s="20"/>
      <c r="M358" s="20">
        <f>Tabela1[[#This Row],[1ª QZ]]-Tabela1[[#This Row],[SALDO FINAL]]-Tabela1[[#This Row],[SALDO CARTAO]]-Tabela1[[#This Row],[Adiantamento ]]</f>
        <v>307.16000000000003</v>
      </c>
      <c r="N358" s="20">
        <f>Tabela1[[#This Row],[SALDO REEMBOLSAR]]*$N$4</f>
        <v>0</v>
      </c>
      <c r="O358" s="20">
        <v>307.16000000000003</v>
      </c>
      <c r="Q358" t="str">
        <f>_xlfn.XLOOKUP(Tabela1[[#This Row],[COLABORADOR]],'STATUS CARTAO'!D:D,'STATUS CARTAO'!G:G)</f>
        <v>Cartão ativo</v>
      </c>
    </row>
    <row r="359" spans="1:17" hidden="1">
      <c r="A359" s="3" t="s">
        <v>795</v>
      </c>
      <c r="B359" s="3" t="s">
        <v>796</v>
      </c>
      <c r="C359" s="5"/>
      <c r="D359" s="3" t="s">
        <v>31</v>
      </c>
      <c r="E359" s="3" t="s">
        <v>797</v>
      </c>
      <c r="F359" s="3"/>
      <c r="G359" s="3"/>
      <c r="H359" s="20"/>
      <c r="I359" s="20"/>
      <c r="J359" s="20"/>
      <c r="K359" s="20"/>
      <c r="L359" s="20"/>
      <c r="M359" s="20">
        <f>Tabela1[[#This Row],[1ª QZ]]-Tabela1[[#This Row],[SALDO FINAL]]-Tabela1[[#This Row],[SALDO CARTAO]]-Tabela1[[#This Row],[Adiantamento ]]</f>
        <v>0</v>
      </c>
      <c r="N359" s="20">
        <f>Tabela1[[#This Row],[SALDO REEMBOLSAR]]*$N$4</f>
        <v>0</v>
      </c>
      <c r="O359" s="20">
        <v>428.57</v>
      </c>
      <c r="Q359" t="str">
        <f>_xlfn.XLOOKUP(Tabela1[[#This Row],[COLABORADOR]],'STATUS CARTAO'!D:D,'STATUS CARTAO'!G:G)</f>
        <v>Cartão ativo</v>
      </c>
    </row>
    <row r="360" spans="1:17" hidden="1">
      <c r="A360" s="3" t="s">
        <v>798</v>
      </c>
      <c r="B360" s="3" t="s">
        <v>799</v>
      </c>
      <c r="C360" s="5" t="s">
        <v>19</v>
      </c>
      <c r="D360" s="3" t="s">
        <v>26</v>
      </c>
      <c r="E360" s="3" t="s">
        <v>392</v>
      </c>
      <c r="F360" s="3" t="s">
        <v>28</v>
      </c>
      <c r="G360" s="3" t="s">
        <v>23</v>
      </c>
      <c r="H360" s="20">
        <v>0</v>
      </c>
      <c r="I360" s="20">
        <v>4073.1299999999974</v>
      </c>
      <c r="J360" s="20">
        <v>1500</v>
      </c>
      <c r="K360" s="20">
        <v>16.84</v>
      </c>
      <c r="L360" s="20"/>
      <c r="M360" s="20">
        <f>Tabela1[[#This Row],[1ª QZ]]-Tabela1[[#This Row],[SALDO FINAL]]-Tabela1[[#This Row],[SALDO CARTAO]]-Tabela1[[#This Row],[Adiantamento ]]</f>
        <v>-2589.9699999999975</v>
      </c>
      <c r="N360" s="20">
        <f>Tabela1[[#This Row],[SALDO REEMBOLSAR]]*$N$4</f>
        <v>0</v>
      </c>
      <c r="O360" s="20">
        <v>0</v>
      </c>
      <c r="Q360" t="str">
        <f>_xlfn.XLOOKUP(Tabela1[[#This Row],[COLABORADOR]],'STATUS CARTAO'!D:D,'STATUS CARTAO'!G:G)</f>
        <v>Cartão ativo</v>
      </c>
    </row>
    <row r="361" spans="1:17" hidden="1">
      <c r="A361" s="3" t="s">
        <v>800</v>
      </c>
      <c r="B361" s="3" t="s">
        <v>801</v>
      </c>
      <c r="C361" s="5" t="s">
        <v>19</v>
      </c>
      <c r="D361" s="3" t="s">
        <v>74</v>
      </c>
      <c r="E361" s="3" t="s">
        <v>298</v>
      </c>
      <c r="F361" s="3" t="s">
        <v>76</v>
      </c>
      <c r="G361" s="3" t="s">
        <v>40</v>
      </c>
      <c r="H361" s="20">
        <v>0</v>
      </c>
      <c r="I361" s="20">
        <v>752.99999999999955</v>
      </c>
      <c r="J361" s="20">
        <v>800</v>
      </c>
      <c r="K361" s="20">
        <v>503</v>
      </c>
      <c r="L361" s="20"/>
      <c r="M361" s="20">
        <f>Tabela1[[#This Row],[1ª QZ]]-Tabela1[[#This Row],[SALDO FINAL]]-Tabela1[[#This Row],[SALDO CARTAO]]-Tabela1[[#This Row],[Adiantamento ]]</f>
        <v>-455.99999999999955</v>
      </c>
      <c r="N361" s="20">
        <f>Tabela1[[#This Row],[SALDO REEMBOLSAR]]*$N$4</f>
        <v>0</v>
      </c>
      <c r="O361" s="20">
        <v>0</v>
      </c>
      <c r="Q361" t="str">
        <f>_xlfn.XLOOKUP(Tabela1[[#This Row],[COLABORADOR]],'STATUS CARTAO'!D:D,'STATUS CARTAO'!G:G)</f>
        <v>Cartão ativo</v>
      </c>
    </row>
    <row r="362" spans="1:17" hidden="1">
      <c r="A362" s="3" t="s">
        <v>800</v>
      </c>
      <c r="B362" s="3" t="s">
        <v>801</v>
      </c>
      <c r="C362" s="5"/>
      <c r="D362" s="3" t="s">
        <v>74</v>
      </c>
      <c r="E362" s="3" t="s">
        <v>298</v>
      </c>
      <c r="F362" s="3"/>
      <c r="G362" s="3"/>
      <c r="H362" s="20"/>
      <c r="I362" s="20"/>
      <c r="J362" s="20"/>
      <c r="K362" s="20"/>
      <c r="L362" s="20"/>
      <c r="M362" s="20">
        <f>Tabela1[[#This Row],[1ª QZ]]-Tabela1[[#This Row],[SALDO FINAL]]-Tabela1[[#This Row],[SALDO CARTAO]]-Tabela1[[#This Row],[Adiantamento ]]</f>
        <v>0</v>
      </c>
      <c r="N362" s="20">
        <f>Tabela1[[#This Row],[SALDO REEMBOLSAR]]*$N$4</f>
        <v>0</v>
      </c>
      <c r="O362" s="20">
        <v>147.00000000000045</v>
      </c>
      <c r="Q362" t="str">
        <f>_xlfn.XLOOKUP(Tabela1[[#This Row],[COLABORADOR]],'STATUS CARTAO'!D:D,'STATUS CARTAO'!G:G)</f>
        <v>Cartão ativo</v>
      </c>
    </row>
    <row r="363" spans="1:17" hidden="1">
      <c r="A363" s="3" t="s">
        <v>802</v>
      </c>
      <c r="B363" s="3" t="s">
        <v>803</v>
      </c>
      <c r="C363" s="5" t="s">
        <v>19</v>
      </c>
      <c r="D363" s="3" t="s">
        <v>26</v>
      </c>
      <c r="E363" s="3" t="s">
        <v>804</v>
      </c>
      <c r="F363" s="3" t="s">
        <v>28</v>
      </c>
      <c r="G363" s="3" t="s">
        <v>23</v>
      </c>
      <c r="H363" s="20">
        <v>0</v>
      </c>
      <c r="I363" s="20">
        <v>350.7300000000032</v>
      </c>
      <c r="J363" s="20">
        <v>800</v>
      </c>
      <c r="K363" s="20">
        <v>36</v>
      </c>
      <c r="L363" s="20"/>
      <c r="M363" s="20">
        <f>Tabela1[[#This Row],[1ª QZ]]-Tabela1[[#This Row],[SALDO FINAL]]-Tabela1[[#This Row],[SALDO CARTAO]]-Tabela1[[#This Row],[Adiantamento ]]</f>
        <v>413.2699999999968</v>
      </c>
      <c r="N363" s="20">
        <f>Tabela1[[#This Row],[SALDO REEMBOLSAR]]*$N$4</f>
        <v>0</v>
      </c>
      <c r="O363" s="20">
        <v>413.2699999999968</v>
      </c>
      <c r="Q363" t="str">
        <f>_xlfn.XLOOKUP(Tabela1[[#This Row],[COLABORADOR]],'STATUS CARTAO'!D:D,'STATUS CARTAO'!G:G)</f>
        <v>Cartão ativo</v>
      </c>
    </row>
    <row r="364" spans="1:17" hidden="1">
      <c r="A364" s="3" t="s">
        <v>805</v>
      </c>
      <c r="B364" s="3" t="s">
        <v>806</v>
      </c>
      <c r="C364" s="5" t="s">
        <v>19</v>
      </c>
      <c r="D364" s="3" t="s">
        <v>31</v>
      </c>
      <c r="E364" s="3" t="s">
        <v>797</v>
      </c>
      <c r="F364" s="3" t="s">
        <v>33</v>
      </c>
      <c r="G364" s="3" t="s">
        <v>34</v>
      </c>
      <c r="H364" s="20">
        <v>109.94999999999345</v>
      </c>
      <c r="I364" s="20">
        <v>0</v>
      </c>
      <c r="J364" s="20">
        <v>1000</v>
      </c>
      <c r="K364" s="20">
        <v>3</v>
      </c>
      <c r="L364" s="20"/>
      <c r="M364" s="20">
        <f>Tabela1[[#This Row],[1ª QZ]]-Tabela1[[#This Row],[SALDO FINAL]]-Tabela1[[#This Row],[SALDO CARTAO]]-Tabela1[[#This Row],[Adiantamento ]]</f>
        <v>997</v>
      </c>
      <c r="N364" s="20">
        <f>Tabela1[[#This Row],[SALDO REEMBOLSAR]]*$N$4</f>
        <v>65.969999999996062</v>
      </c>
      <c r="O364" s="20">
        <v>1051.9749999999967</v>
      </c>
      <c r="Q364" t="str">
        <f>_xlfn.XLOOKUP(Tabela1[[#This Row],[COLABORADOR]],'STATUS CARTAO'!D:D,'STATUS CARTAO'!G:G)</f>
        <v>Cartão ativo</v>
      </c>
    </row>
    <row r="365" spans="1:17" hidden="1">
      <c r="A365" s="3" t="s">
        <v>807</v>
      </c>
      <c r="B365" s="3" t="s">
        <v>808</v>
      </c>
      <c r="C365" s="5" t="s">
        <v>19</v>
      </c>
      <c r="D365" s="3" t="s">
        <v>37</v>
      </c>
      <c r="E365" s="3" t="s">
        <v>809</v>
      </c>
      <c r="F365" s="3" t="s">
        <v>39</v>
      </c>
      <c r="G365" s="3" t="s">
        <v>40</v>
      </c>
      <c r="H365" s="20">
        <v>0</v>
      </c>
      <c r="I365" s="20">
        <v>3662.4200000000019</v>
      </c>
      <c r="J365" s="20">
        <v>4000</v>
      </c>
      <c r="K365" s="20">
        <v>283.89999999999998</v>
      </c>
      <c r="L365" s="20"/>
      <c r="M365" s="20">
        <f>Tabela1[[#This Row],[1ª QZ]]-Tabela1[[#This Row],[SALDO FINAL]]-Tabela1[[#This Row],[SALDO CARTAO]]-Tabela1[[#This Row],[Adiantamento ]]</f>
        <v>53.679999999998131</v>
      </c>
      <c r="N365" s="20">
        <f>Tabela1[[#This Row],[SALDO REEMBOLSAR]]*$N$4</f>
        <v>0</v>
      </c>
      <c r="O365" s="20">
        <v>53.679999999998131</v>
      </c>
      <c r="Q365" t="str">
        <f>_xlfn.XLOOKUP(Tabela1[[#This Row],[COLABORADOR]],'STATUS CARTAO'!D:D,'STATUS CARTAO'!G:G)</f>
        <v>Cartão ativo</v>
      </c>
    </row>
    <row r="366" spans="1:17" hidden="1">
      <c r="A366" s="3" t="s">
        <v>810</v>
      </c>
      <c r="B366" s="3" t="s">
        <v>811</v>
      </c>
      <c r="C366" s="5" t="s">
        <v>19</v>
      </c>
      <c r="D366" s="3" t="s">
        <v>31</v>
      </c>
      <c r="E366" s="3" t="s">
        <v>812</v>
      </c>
      <c r="F366" s="3" t="s">
        <v>33</v>
      </c>
      <c r="G366" s="3" t="s">
        <v>34</v>
      </c>
      <c r="H366" s="20">
        <v>0</v>
      </c>
      <c r="I366" s="20">
        <v>471.91999999999939</v>
      </c>
      <c r="J366" s="20">
        <v>750</v>
      </c>
      <c r="K366" s="20">
        <v>469.9</v>
      </c>
      <c r="L366" s="20"/>
      <c r="M366" s="20">
        <f>Tabela1[[#This Row],[1ª QZ]]-Tabela1[[#This Row],[SALDO FINAL]]-Tabela1[[#This Row],[SALDO CARTAO]]-Tabela1[[#This Row],[Adiantamento ]]</f>
        <v>-191.81999999999937</v>
      </c>
      <c r="N366" s="20">
        <f>Tabela1[[#This Row],[SALDO REEMBOLSAR]]*$N$4</f>
        <v>0</v>
      </c>
      <c r="O366" s="20">
        <v>0</v>
      </c>
      <c r="Q366" t="str">
        <f>_xlfn.XLOOKUP(Tabela1[[#This Row],[COLABORADOR]],'STATUS CARTAO'!D:D,'STATUS CARTAO'!G:G)</f>
        <v>Cartão ativo</v>
      </c>
    </row>
    <row r="367" spans="1:17" hidden="1">
      <c r="A367" s="3" t="s">
        <v>810</v>
      </c>
      <c r="B367" s="3" t="s">
        <v>811</v>
      </c>
      <c r="C367" s="5"/>
      <c r="D367" s="3" t="s">
        <v>31</v>
      </c>
      <c r="E367" s="3" t="s">
        <v>812</v>
      </c>
      <c r="F367" s="3"/>
      <c r="G367" s="3"/>
      <c r="H367" s="20"/>
      <c r="I367" s="20"/>
      <c r="J367" s="20"/>
      <c r="K367" s="20"/>
      <c r="L367" s="20"/>
      <c r="M367" s="20">
        <f>Tabela1[[#This Row],[1ª QZ]]-Tabela1[[#This Row],[SALDO FINAL]]-Tabela1[[#This Row],[SALDO CARTAO]]-Tabela1[[#This Row],[Adiantamento ]]</f>
        <v>0</v>
      </c>
      <c r="N367" s="20">
        <f>Tabela1[[#This Row],[SALDO REEMBOLSAR]]*$N$4</f>
        <v>0</v>
      </c>
      <c r="O367" s="20">
        <v>278.08000000000061</v>
      </c>
      <c r="Q367" t="str">
        <f>_xlfn.XLOOKUP(Tabela1[[#This Row],[COLABORADOR]],'STATUS CARTAO'!D:D,'STATUS CARTAO'!G:G)</f>
        <v>Cartão ativo</v>
      </c>
    </row>
    <row r="368" spans="1:17" hidden="1">
      <c r="A368" s="3" t="s">
        <v>813</v>
      </c>
      <c r="B368" s="3" t="s">
        <v>814</v>
      </c>
      <c r="C368" s="5" t="s">
        <v>19</v>
      </c>
      <c r="D368" s="3" t="s">
        <v>26</v>
      </c>
      <c r="E368" s="3" t="s">
        <v>815</v>
      </c>
      <c r="F368" s="3" t="s">
        <v>28</v>
      </c>
      <c r="G368" s="3" t="s">
        <v>23</v>
      </c>
      <c r="H368" s="20">
        <v>0</v>
      </c>
      <c r="I368" s="20">
        <v>181.90000000000191</v>
      </c>
      <c r="J368" s="20">
        <v>500</v>
      </c>
      <c r="K368" s="20">
        <v>166.5</v>
      </c>
      <c r="L368" s="20"/>
      <c r="M368" s="20">
        <f>Tabela1[[#This Row],[1ª QZ]]-Tabela1[[#This Row],[SALDO FINAL]]-Tabela1[[#This Row],[SALDO CARTAO]]-Tabela1[[#This Row],[Adiantamento ]]</f>
        <v>151.59999999999809</v>
      </c>
      <c r="N368" s="20">
        <f>Tabela1[[#This Row],[SALDO REEMBOLSAR]]*$N$4</f>
        <v>0</v>
      </c>
      <c r="O368" s="20">
        <v>151.59999999999809</v>
      </c>
      <c r="Q368" t="str">
        <f>_xlfn.XLOOKUP(Tabela1[[#This Row],[COLABORADOR]],'STATUS CARTAO'!D:D,'STATUS CARTAO'!G:G)</f>
        <v>Cartão ativo</v>
      </c>
    </row>
    <row r="369" spans="1:17" hidden="1">
      <c r="A369" s="3" t="s">
        <v>813</v>
      </c>
      <c r="B369" s="3" t="s">
        <v>814</v>
      </c>
      <c r="C369" s="5"/>
      <c r="D369" s="3" t="s">
        <v>26</v>
      </c>
      <c r="E369" s="3" t="s">
        <v>815</v>
      </c>
      <c r="F369" s="3"/>
      <c r="G369" s="3"/>
      <c r="H369" s="20"/>
      <c r="I369" s="20"/>
      <c r="J369" s="20"/>
      <c r="K369" s="20"/>
      <c r="L369" s="20"/>
      <c r="M369" s="20">
        <f>Tabela1[[#This Row],[1ª QZ]]-Tabela1[[#This Row],[SALDO FINAL]]-Tabela1[[#This Row],[SALDO CARTAO]]-Tabela1[[#This Row],[Adiantamento ]]</f>
        <v>0</v>
      </c>
      <c r="N369" s="20">
        <f>Tabela1[[#This Row],[SALDO REEMBOLSAR]]*$N$4</f>
        <v>0</v>
      </c>
      <c r="O369" s="20">
        <v>166.5</v>
      </c>
      <c r="Q369" t="str">
        <f>_xlfn.XLOOKUP(Tabela1[[#This Row],[COLABORADOR]],'STATUS CARTAO'!D:D,'STATUS CARTAO'!G:G)</f>
        <v>Cartão ativo</v>
      </c>
    </row>
    <row r="370" spans="1:17" hidden="1">
      <c r="A370" s="3" t="s">
        <v>816</v>
      </c>
      <c r="B370" s="3" t="s">
        <v>817</v>
      </c>
      <c r="C370" s="5" t="s">
        <v>19</v>
      </c>
      <c r="D370" s="3" t="s">
        <v>167</v>
      </c>
      <c r="E370" s="3" t="s">
        <v>168</v>
      </c>
      <c r="F370" s="3" t="s">
        <v>169</v>
      </c>
      <c r="G370" s="3" t="s">
        <v>34</v>
      </c>
      <c r="H370" s="20">
        <v>0</v>
      </c>
      <c r="I370" s="20">
        <v>1436.4999999999745</v>
      </c>
      <c r="J370" s="20">
        <v>1150</v>
      </c>
      <c r="K370" s="20">
        <v>60.23</v>
      </c>
      <c r="L370" s="20"/>
      <c r="M370" s="20">
        <f>Tabela1[[#This Row],[1ª QZ]]-Tabela1[[#This Row],[SALDO FINAL]]-Tabela1[[#This Row],[SALDO CARTAO]]-Tabela1[[#This Row],[Adiantamento ]]</f>
        <v>-346.72999999997455</v>
      </c>
      <c r="N370" s="20">
        <f>Tabela1[[#This Row],[SALDO REEMBOLSAR]]*$N$4</f>
        <v>0</v>
      </c>
      <c r="O370" s="20">
        <v>0</v>
      </c>
      <c r="Q370" t="str">
        <f>_xlfn.XLOOKUP(Tabela1[[#This Row],[COLABORADOR]],'STATUS CARTAO'!D:D,'STATUS CARTAO'!G:G)</f>
        <v>Cartão ativo</v>
      </c>
    </row>
    <row r="371" spans="1:17" hidden="1">
      <c r="A371" s="3" t="s">
        <v>818</v>
      </c>
      <c r="B371" s="3" t="s">
        <v>819</v>
      </c>
      <c r="C371" s="5" t="s">
        <v>19</v>
      </c>
      <c r="D371" s="3" t="s">
        <v>48</v>
      </c>
      <c r="E371" s="3" t="s">
        <v>118</v>
      </c>
      <c r="F371" s="3" t="s">
        <v>50</v>
      </c>
      <c r="G371" s="3" t="s">
        <v>40</v>
      </c>
      <c r="H371" s="20">
        <v>0</v>
      </c>
      <c r="I371" s="20">
        <v>2413.1999999999994</v>
      </c>
      <c r="J371" s="20">
        <v>240</v>
      </c>
      <c r="K371" s="20">
        <v>198.4</v>
      </c>
      <c r="L371" s="20"/>
      <c r="M371" s="20">
        <f>Tabela1[[#This Row],[1ª QZ]]-Tabela1[[#This Row],[SALDO FINAL]]-Tabela1[[#This Row],[SALDO CARTAO]]-Tabela1[[#This Row],[Adiantamento ]]</f>
        <v>-2371.5999999999995</v>
      </c>
      <c r="N371" s="20">
        <f>Tabela1[[#This Row],[SALDO REEMBOLSAR]]*$N$4</f>
        <v>0</v>
      </c>
      <c r="O371" s="20">
        <v>0</v>
      </c>
      <c r="Q371" t="str">
        <f>_xlfn.XLOOKUP(Tabela1[[#This Row],[COLABORADOR]],'STATUS CARTAO'!D:D,'STATUS CARTAO'!G:G)</f>
        <v>Cartão ativo</v>
      </c>
    </row>
    <row r="372" spans="1:17" hidden="1">
      <c r="A372" s="3" t="s">
        <v>820</v>
      </c>
      <c r="B372" s="3" t="s">
        <v>821</v>
      </c>
      <c r="C372" s="5" t="s">
        <v>19</v>
      </c>
      <c r="D372" s="3" t="s">
        <v>74</v>
      </c>
      <c r="E372" s="3" t="s">
        <v>298</v>
      </c>
      <c r="F372" s="3" t="s">
        <v>76</v>
      </c>
      <c r="G372" s="3" t="s">
        <v>40</v>
      </c>
      <c r="H372" s="20">
        <v>0</v>
      </c>
      <c r="I372" s="20">
        <v>672.74999999999909</v>
      </c>
      <c r="J372" s="20">
        <v>800</v>
      </c>
      <c r="K372" s="20">
        <v>4.75</v>
      </c>
      <c r="L372" s="20"/>
      <c r="M372" s="20">
        <f>Tabela1[[#This Row],[1ª QZ]]-Tabela1[[#This Row],[SALDO FINAL]]-Tabela1[[#This Row],[SALDO CARTAO]]-Tabela1[[#This Row],[Adiantamento ]]</f>
        <v>122.50000000000091</v>
      </c>
      <c r="N372" s="20">
        <f>Tabela1[[#This Row],[SALDO REEMBOLSAR]]*$N$4</f>
        <v>0</v>
      </c>
      <c r="O372" s="20">
        <v>122.50000000000091</v>
      </c>
      <c r="Q372" t="str">
        <f>_xlfn.XLOOKUP(Tabela1[[#This Row],[COLABORADOR]],'STATUS CARTAO'!D:D,'STATUS CARTAO'!G:G)</f>
        <v>Cartão ativo</v>
      </c>
    </row>
    <row r="373" spans="1:17" hidden="1">
      <c r="A373" s="3" t="s">
        <v>822</v>
      </c>
      <c r="B373" s="3" t="s">
        <v>823</v>
      </c>
      <c r="C373" s="5" t="s">
        <v>19</v>
      </c>
      <c r="D373" s="3" t="s">
        <v>74</v>
      </c>
      <c r="E373" s="3" t="s">
        <v>298</v>
      </c>
      <c r="F373" s="3" t="s">
        <v>76</v>
      </c>
      <c r="G373" s="3" t="s">
        <v>40</v>
      </c>
      <c r="H373" s="20">
        <v>0</v>
      </c>
      <c r="I373" s="20">
        <v>3040.23</v>
      </c>
      <c r="J373" s="20">
        <v>800</v>
      </c>
      <c r="K373" s="20">
        <v>0</v>
      </c>
      <c r="L373" s="20"/>
      <c r="M373" s="20">
        <f>Tabela1[[#This Row],[1ª QZ]]-Tabela1[[#This Row],[SALDO FINAL]]-Tabela1[[#This Row],[SALDO CARTAO]]-Tabela1[[#This Row],[Adiantamento ]]</f>
        <v>-2240.23</v>
      </c>
      <c r="N373" s="20">
        <f>Tabela1[[#This Row],[SALDO REEMBOLSAR]]*$N$4</f>
        <v>0</v>
      </c>
      <c r="O373" s="20">
        <v>0</v>
      </c>
      <c r="Q373" t="str">
        <f>_xlfn.XLOOKUP(Tabela1[[#This Row],[COLABORADOR]],'STATUS CARTAO'!D:D,'STATUS CARTAO'!G:G)</f>
        <v>Cartão ativo</v>
      </c>
    </row>
    <row r="374" spans="1:17" hidden="1">
      <c r="A374" s="3" t="s">
        <v>824</v>
      </c>
      <c r="B374" s="3" t="s">
        <v>825</v>
      </c>
      <c r="C374" s="5" t="s">
        <v>19</v>
      </c>
      <c r="D374" s="3" t="s">
        <v>37</v>
      </c>
      <c r="E374" s="3" t="s">
        <v>138</v>
      </c>
      <c r="F374" s="3" t="s">
        <v>39</v>
      </c>
      <c r="G374" s="3" t="s">
        <v>40</v>
      </c>
      <c r="H374" s="20">
        <v>0</v>
      </c>
      <c r="I374" s="20">
        <v>100.5800000000072</v>
      </c>
      <c r="J374" s="20">
        <v>800</v>
      </c>
      <c r="K374" s="20">
        <v>28.33</v>
      </c>
      <c r="L374" s="20"/>
      <c r="M374" s="20">
        <f>Tabela1[[#This Row],[1ª QZ]]-Tabela1[[#This Row],[SALDO FINAL]]-Tabela1[[#This Row],[SALDO CARTAO]]-Tabela1[[#This Row],[Adiantamento ]]</f>
        <v>671.08999999999276</v>
      </c>
      <c r="N374" s="20">
        <f>Tabela1[[#This Row],[SALDO REEMBOLSAR]]*$N$4</f>
        <v>0</v>
      </c>
      <c r="O374" s="20">
        <v>671.08999999999276</v>
      </c>
      <c r="Q374" t="str">
        <f>_xlfn.XLOOKUP(Tabela1[[#This Row],[COLABORADOR]],'STATUS CARTAO'!D:D,'STATUS CARTAO'!G:G)</f>
        <v>Cartão ativo</v>
      </c>
    </row>
    <row r="375" spans="1:17" hidden="1">
      <c r="A375" s="3" t="s">
        <v>826</v>
      </c>
      <c r="B375" s="3" t="s">
        <v>827</v>
      </c>
      <c r="C375" s="5" t="s">
        <v>19</v>
      </c>
      <c r="D375" s="3" t="s">
        <v>74</v>
      </c>
      <c r="E375" s="3" t="s">
        <v>828</v>
      </c>
      <c r="F375" s="3" t="s">
        <v>76</v>
      </c>
      <c r="G375" s="3" t="s">
        <v>40</v>
      </c>
      <c r="H375" s="20">
        <v>0</v>
      </c>
      <c r="I375" s="20">
        <v>3061.5199999999459</v>
      </c>
      <c r="J375" s="20">
        <v>5000</v>
      </c>
      <c r="K375" s="20">
        <v>81.790000000000006</v>
      </c>
      <c r="L375" s="20"/>
      <c r="M375" s="20">
        <f>Tabela1[[#This Row],[1ª QZ]]-Tabela1[[#This Row],[SALDO FINAL]]-Tabela1[[#This Row],[SALDO CARTAO]]-Tabela1[[#This Row],[Adiantamento ]]</f>
        <v>1856.6900000000542</v>
      </c>
      <c r="N375" s="20">
        <f>Tabela1[[#This Row],[SALDO REEMBOLSAR]]*$N$4</f>
        <v>0</v>
      </c>
      <c r="O375" s="20">
        <v>1856.6900000000542</v>
      </c>
      <c r="Q375" t="str">
        <f>_xlfn.XLOOKUP(Tabela1[[#This Row],[COLABORADOR]],'STATUS CARTAO'!D:D,'STATUS CARTAO'!G:G)</f>
        <v>Cartão ativo</v>
      </c>
    </row>
    <row r="376" spans="1:17" hidden="1">
      <c r="A376" s="3" t="s">
        <v>829</v>
      </c>
      <c r="B376" s="3" t="s">
        <v>830</v>
      </c>
      <c r="C376" s="5" t="s">
        <v>19</v>
      </c>
      <c r="D376" s="3" t="s">
        <v>37</v>
      </c>
      <c r="E376" s="3" t="s">
        <v>831</v>
      </c>
      <c r="F376" s="3" t="s">
        <v>39</v>
      </c>
      <c r="G376" s="3" t="s">
        <v>40</v>
      </c>
      <c r="H376" s="20">
        <v>0</v>
      </c>
      <c r="I376" s="20">
        <v>500</v>
      </c>
      <c r="J376" s="20">
        <v>300</v>
      </c>
      <c r="K376" s="20">
        <v>8.42</v>
      </c>
      <c r="L376" s="20"/>
      <c r="M376" s="20">
        <f>Tabela1[[#This Row],[1ª QZ]]-Tabela1[[#This Row],[SALDO FINAL]]-Tabela1[[#This Row],[SALDO CARTAO]]-Tabela1[[#This Row],[Adiantamento ]]</f>
        <v>-208.42</v>
      </c>
      <c r="N376" s="20">
        <f>Tabela1[[#This Row],[SALDO REEMBOLSAR]]*$N$4</f>
        <v>0</v>
      </c>
      <c r="O376" s="20">
        <v>0</v>
      </c>
      <c r="Q376" t="str">
        <f>_xlfn.XLOOKUP(Tabela1[[#This Row],[COLABORADOR]],'STATUS CARTAO'!D:D,'STATUS CARTAO'!G:G)</f>
        <v>Cartão ativo</v>
      </c>
    </row>
    <row r="377" spans="1:17" hidden="1">
      <c r="A377" s="3" t="s">
        <v>832</v>
      </c>
      <c r="B377" s="3" t="s">
        <v>833</v>
      </c>
      <c r="C377" s="5" t="s">
        <v>19</v>
      </c>
      <c r="D377" s="3" t="s">
        <v>37</v>
      </c>
      <c r="E377" s="3" t="s">
        <v>834</v>
      </c>
      <c r="F377" s="3" t="s">
        <v>39</v>
      </c>
      <c r="G377" s="3" t="s">
        <v>40</v>
      </c>
      <c r="H377" s="20">
        <v>0</v>
      </c>
      <c r="I377" s="20">
        <v>280.00000000000091</v>
      </c>
      <c r="J377" s="20">
        <v>500</v>
      </c>
      <c r="K377" s="20">
        <v>280</v>
      </c>
      <c r="L377" s="20"/>
      <c r="M377" s="20">
        <f>Tabela1[[#This Row],[1ª QZ]]-Tabela1[[#This Row],[SALDO FINAL]]-Tabela1[[#This Row],[SALDO CARTAO]]-Tabela1[[#This Row],[Adiantamento ]]</f>
        <v>-60.000000000000909</v>
      </c>
      <c r="N377" s="20">
        <f>Tabela1[[#This Row],[SALDO REEMBOLSAR]]*$N$4</f>
        <v>0</v>
      </c>
      <c r="O377" s="20">
        <v>0</v>
      </c>
      <c r="Q377" t="str">
        <f>_xlfn.XLOOKUP(Tabela1[[#This Row],[COLABORADOR]],'STATUS CARTAO'!D:D,'STATUS CARTAO'!G:G)</f>
        <v>Cartão ativo</v>
      </c>
    </row>
    <row r="378" spans="1:17" hidden="1">
      <c r="A378" s="3" t="s">
        <v>832</v>
      </c>
      <c r="B378" s="3" t="s">
        <v>833</v>
      </c>
      <c r="C378" s="5"/>
      <c r="D378" s="3" t="s">
        <v>37</v>
      </c>
      <c r="E378" s="3" t="s">
        <v>834</v>
      </c>
      <c r="F378" s="3"/>
      <c r="G378" s="3"/>
      <c r="H378" s="20"/>
      <c r="I378" s="20"/>
      <c r="J378" s="20"/>
      <c r="K378" s="20"/>
      <c r="L378" s="20"/>
      <c r="M378" s="20">
        <f>Tabela1[[#This Row],[1ª QZ]]-Tabela1[[#This Row],[SALDO FINAL]]-Tabela1[[#This Row],[SALDO CARTAO]]-Tabela1[[#This Row],[Adiantamento ]]</f>
        <v>0</v>
      </c>
      <c r="N378" s="20">
        <f>Tabela1[[#This Row],[SALDO REEMBOLSAR]]*$N$4</f>
        <v>0</v>
      </c>
      <c r="O378" s="20">
        <v>219.99999999999909</v>
      </c>
      <c r="Q378" t="str">
        <f>_xlfn.XLOOKUP(Tabela1[[#This Row],[COLABORADOR]],'STATUS CARTAO'!D:D,'STATUS CARTAO'!G:G)</f>
        <v>Cartão ativo</v>
      </c>
    </row>
    <row r="379" spans="1:17" hidden="1">
      <c r="A379" s="3" t="s">
        <v>835</v>
      </c>
      <c r="B379" s="3" t="s">
        <v>836</v>
      </c>
      <c r="C379" s="5" t="s">
        <v>19</v>
      </c>
      <c r="D379" s="3" t="s">
        <v>48</v>
      </c>
      <c r="E379" s="3" t="s">
        <v>118</v>
      </c>
      <c r="F379" s="3" t="s">
        <v>50</v>
      </c>
      <c r="G379" s="3" t="s">
        <v>40</v>
      </c>
      <c r="H379" s="20">
        <v>0</v>
      </c>
      <c r="I379" s="20">
        <v>184.01</v>
      </c>
      <c r="J379" s="20">
        <v>180</v>
      </c>
      <c r="K379" s="20">
        <v>184.01</v>
      </c>
      <c r="L379" s="20"/>
      <c r="M379" s="20">
        <f>Tabela1[[#This Row],[1ª QZ]]-Tabela1[[#This Row],[SALDO FINAL]]-Tabela1[[#This Row],[SALDO CARTAO]]-Tabela1[[#This Row],[Adiantamento ]]</f>
        <v>-188.01999999999998</v>
      </c>
      <c r="N379" s="20">
        <f>Tabela1[[#This Row],[SALDO REEMBOLSAR]]*$N$4</f>
        <v>0</v>
      </c>
      <c r="O379" s="20">
        <v>0</v>
      </c>
      <c r="Q379" t="str">
        <f>_xlfn.XLOOKUP(Tabela1[[#This Row],[COLABORADOR]],'STATUS CARTAO'!D:D,'STATUS CARTAO'!G:G)</f>
        <v>Cartão não vinculado</v>
      </c>
    </row>
    <row r="380" spans="1:17" hidden="1">
      <c r="A380" s="3" t="s">
        <v>837</v>
      </c>
      <c r="B380" s="3" t="s">
        <v>838</v>
      </c>
      <c r="C380" s="5" t="s">
        <v>19</v>
      </c>
      <c r="D380" s="3" t="s">
        <v>48</v>
      </c>
      <c r="E380" s="3" t="s">
        <v>659</v>
      </c>
      <c r="F380" s="3" t="s">
        <v>50</v>
      </c>
      <c r="G380" s="3" t="s">
        <v>40</v>
      </c>
      <c r="H380" s="20">
        <v>0</v>
      </c>
      <c r="I380" s="20">
        <v>5772.8099999999849</v>
      </c>
      <c r="J380" s="20">
        <v>5600</v>
      </c>
      <c r="K380" s="20">
        <v>2789.7</v>
      </c>
      <c r="L380" s="20"/>
      <c r="M380" s="20">
        <f>Tabela1[[#This Row],[1ª QZ]]-Tabela1[[#This Row],[SALDO FINAL]]-Tabela1[[#This Row],[SALDO CARTAO]]-Tabela1[[#This Row],[Adiantamento ]]</f>
        <v>-2962.5099999999848</v>
      </c>
      <c r="N380" s="20">
        <f>Tabela1[[#This Row],[SALDO REEMBOLSAR]]*$N$4</f>
        <v>0</v>
      </c>
      <c r="O380" s="20">
        <v>0</v>
      </c>
      <c r="Q380" t="str">
        <f>_xlfn.XLOOKUP(Tabela1[[#This Row],[COLABORADOR]],'STATUS CARTAO'!D:D,'STATUS CARTAO'!G:G)</f>
        <v>Cartão ativo</v>
      </c>
    </row>
    <row r="381" spans="1:17" hidden="1">
      <c r="A381" s="3" t="s">
        <v>837</v>
      </c>
      <c r="B381" s="3" t="s">
        <v>838</v>
      </c>
      <c r="C381" s="5"/>
      <c r="D381" s="3" t="s">
        <v>48</v>
      </c>
      <c r="E381" s="3" t="s">
        <v>659</v>
      </c>
      <c r="F381" s="3"/>
      <c r="G381" s="3"/>
      <c r="H381" s="20"/>
      <c r="I381" s="20"/>
      <c r="J381" s="20"/>
      <c r="K381" s="20"/>
      <c r="L381" s="20"/>
      <c r="M381" s="20">
        <f>Tabela1[[#This Row],[1ª QZ]]-Tabela1[[#This Row],[SALDO FINAL]]-Tabela1[[#This Row],[SALDO CARTAO]]-Tabela1[[#This Row],[Adiantamento ]]</f>
        <v>0</v>
      </c>
      <c r="N381" s="20">
        <f>Tabela1[[#This Row],[SALDO REEMBOLSAR]]*$N$4</f>
        <v>0</v>
      </c>
      <c r="O381" s="20">
        <v>2810.3</v>
      </c>
      <c r="Q381" t="str">
        <f>_xlfn.XLOOKUP(Tabela1[[#This Row],[COLABORADOR]],'STATUS CARTAO'!D:D,'STATUS CARTAO'!G:G)</f>
        <v>Cartão ativo</v>
      </c>
    </row>
    <row r="382" spans="1:17" hidden="1">
      <c r="A382" s="3" t="s">
        <v>839</v>
      </c>
      <c r="B382" s="3" t="s">
        <v>840</v>
      </c>
      <c r="C382" s="5" t="s">
        <v>19</v>
      </c>
      <c r="D382" s="3" t="s">
        <v>31</v>
      </c>
      <c r="E382" s="3" t="s">
        <v>617</v>
      </c>
      <c r="F382" s="3" t="s">
        <v>33</v>
      </c>
      <c r="G382" s="3" t="s">
        <v>34</v>
      </c>
      <c r="H382" s="20">
        <v>0</v>
      </c>
      <c r="I382" s="20">
        <v>0</v>
      </c>
      <c r="J382" s="20">
        <v>2000</v>
      </c>
      <c r="K382" s="20">
        <v>0</v>
      </c>
      <c r="L382" s="20"/>
      <c r="M382" s="20">
        <f>Tabela1[[#This Row],[1ª QZ]]-Tabela1[[#This Row],[SALDO FINAL]]-Tabela1[[#This Row],[SALDO CARTAO]]-Tabela1[[#This Row],[Adiantamento ]]</f>
        <v>2000</v>
      </c>
      <c r="N382" s="20">
        <f>Tabela1[[#This Row],[SALDO REEMBOLSAR]]*$N$4</f>
        <v>0</v>
      </c>
      <c r="O382" s="20">
        <v>2000</v>
      </c>
      <c r="Q382" t="str">
        <f>_xlfn.XLOOKUP(Tabela1[[#This Row],[COLABORADOR]],'STATUS CARTAO'!D:D,'STATUS CARTAO'!G:G)</f>
        <v>Cartão ativo</v>
      </c>
    </row>
    <row r="383" spans="1:17" hidden="1">
      <c r="A383" s="3" t="s">
        <v>841</v>
      </c>
      <c r="B383" s="3" t="s">
        <v>842</v>
      </c>
      <c r="C383" s="5" t="s">
        <v>19</v>
      </c>
      <c r="D383" s="3" t="s">
        <v>31</v>
      </c>
      <c r="E383" s="3" t="s">
        <v>159</v>
      </c>
      <c r="F383" s="3" t="s">
        <v>33</v>
      </c>
      <c r="G383" s="3" t="s">
        <v>34</v>
      </c>
      <c r="H383" s="20">
        <v>0</v>
      </c>
      <c r="I383" s="20">
        <v>57.429999999985739</v>
      </c>
      <c r="J383" s="20">
        <v>1500</v>
      </c>
      <c r="K383" s="20">
        <v>0</v>
      </c>
      <c r="L383" s="20"/>
      <c r="M383" s="20">
        <f>Tabela1[[#This Row],[1ª QZ]]-Tabela1[[#This Row],[SALDO FINAL]]-Tabela1[[#This Row],[SALDO CARTAO]]-Tabela1[[#This Row],[Adiantamento ]]</f>
        <v>1442.5700000000143</v>
      </c>
      <c r="N383" s="20">
        <f>Tabela1[[#This Row],[SALDO REEMBOLSAR]]*$N$4</f>
        <v>0</v>
      </c>
      <c r="O383" s="20">
        <v>1442.5700000000143</v>
      </c>
      <c r="Q383" t="str">
        <f>_xlfn.XLOOKUP(Tabela1[[#This Row],[COLABORADOR]],'STATUS CARTAO'!D:D,'STATUS CARTAO'!G:G)</f>
        <v>Cartão ativo</v>
      </c>
    </row>
    <row r="384" spans="1:17" hidden="1">
      <c r="A384" s="3" t="s">
        <v>843</v>
      </c>
      <c r="B384" s="3" t="s">
        <v>844</v>
      </c>
      <c r="C384" s="5" t="s">
        <v>19</v>
      </c>
      <c r="D384" s="3" t="s">
        <v>37</v>
      </c>
      <c r="E384" s="3" t="s">
        <v>138</v>
      </c>
      <c r="F384" s="3" t="s">
        <v>39</v>
      </c>
      <c r="G384" s="3" t="s">
        <v>40</v>
      </c>
      <c r="H384" s="20">
        <v>0</v>
      </c>
      <c r="I384" s="20">
        <v>101.85000000000946</v>
      </c>
      <c r="J384" s="20">
        <v>800</v>
      </c>
      <c r="K384" s="20">
        <v>101.85</v>
      </c>
      <c r="L384" s="20"/>
      <c r="M384" s="20">
        <f>Tabela1[[#This Row],[1ª QZ]]-Tabela1[[#This Row],[SALDO FINAL]]-Tabela1[[#This Row],[SALDO CARTAO]]-Tabela1[[#This Row],[Adiantamento ]]</f>
        <v>596.29999999999052</v>
      </c>
      <c r="N384" s="20">
        <f>Tabela1[[#This Row],[SALDO REEMBOLSAR]]*$N$4</f>
        <v>0</v>
      </c>
      <c r="O384" s="20">
        <v>596.29999999999052</v>
      </c>
      <c r="Q384" t="str">
        <f>_xlfn.XLOOKUP(Tabela1[[#This Row],[COLABORADOR]],'STATUS CARTAO'!D:D,'STATUS CARTAO'!G:G)</f>
        <v>Cartão ativo</v>
      </c>
    </row>
    <row r="385" spans="1:17" hidden="1">
      <c r="A385" s="3" t="s">
        <v>843</v>
      </c>
      <c r="B385" s="3" t="s">
        <v>844</v>
      </c>
      <c r="C385" s="5"/>
      <c r="D385" s="3" t="s">
        <v>37</v>
      </c>
      <c r="E385" s="3" t="s">
        <v>138</v>
      </c>
      <c r="F385" s="3"/>
      <c r="G385" s="3"/>
      <c r="H385" s="20"/>
      <c r="I385" s="20"/>
      <c r="J385" s="20"/>
      <c r="K385" s="20"/>
      <c r="L385" s="20"/>
      <c r="M385" s="20">
        <f>Tabela1[[#This Row],[1ª QZ]]-Tabela1[[#This Row],[SALDO FINAL]]-Tabela1[[#This Row],[SALDO CARTAO]]-Tabela1[[#This Row],[Adiantamento ]]</f>
        <v>0</v>
      </c>
      <c r="N385" s="20">
        <f>Tabela1[[#This Row],[SALDO REEMBOLSAR]]*$N$4</f>
        <v>0</v>
      </c>
      <c r="O385" s="20">
        <v>101.85000000000002</v>
      </c>
      <c r="Q385" t="str">
        <f>_xlfn.XLOOKUP(Tabela1[[#This Row],[COLABORADOR]],'STATUS CARTAO'!D:D,'STATUS CARTAO'!G:G)</f>
        <v>Cartão ativo</v>
      </c>
    </row>
    <row r="386" spans="1:17" hidden="1">
      <c r="A386" s="3" t="s">
        <v>845</v>
      </c>
      <c r="B386" s="3" t="s">
        <v>846</v>
      </c>
      <c r="C386" s="5" t="s">
        <v>19</v>
      </c>
      <c r="D386" s="3" t="s">
        <v>43</v>
      </c>
      <c r="E386" s="3" t="s">
        <v>847</v>
      </c>
      <c r="F386" s="3" t="s">
        <v>45</v>
      </c>
      <c r="G386" s="3" t="s">
        <v>40</v>
      </c>
      <c r="H386" s="20">
        <v>0</v>
      </c>
      <c r="I386" s="20">
        <v>647.22999999998865</v>
      </c>
      <c r="J386" s="20">
        <v>2700</v>
      </c>
      <c r="K386" s="20">
        <v>7.46</v>
      </c>
      <c r="L386" s="20"/>
      <c r="M386" s="20">
        <f>Tabela1[[#This Row],[1ª QZ]]-Tabela1[[#This Row],[SALDO FINAL]]-Tabela1[[#This Row],[SALDO CARTAO]]-Tabela1[[#This Row],[Adiantamento ]]</f>
        <v>2045.3100000000113</v>
      </c>
      <c r="N386" s="20">
        <f>Tabela1[[#This Row],[SALDO REEMBOLSAR]]*$N$4</f>
        <v>0</v>
      </c>
      <c r="O386" s="20">
        <v>2045.3100000000113</v>
      </c>
      <c r="Q386" t="str">
        <f>_xlfn.XLOOKUP(Tabela1[[#This Row],[COLABORADOR]],'STATUS CARTAO'!D:D,'STATUS CARTAO'!G:G)</f>
        <v>Cartão ativo</v>
      </c>
    </row>
    <row r="387" spans="1:17" hidden="1">
      <c r="A387" s="3" t="s">
        <v>848</v>
      </c>
      <c r="B387" s="3" t="s">
        <v>849</v>
      </c>
      <c r="C387" s="5" t="s">
        <v>19</v>
      </c>
      <c r="D387" s="3" t="s">
        <v>43</v>
      </c>
      <c r="E387" s="3" t="s">
        <v>238</v>
      </c>
      <c r="F387" s="3" t="s">
        <v>45</v>
      </c>
      <c r="G387" s="3" t="s">
        <v>40</v>
      </c>
      <c r="H387" s="20">
        <v>615.35</v>
      </c>
      <c r="I387" s="20">
        <v>0</v>
      </c>
      <c r="J387" s="20">
        <v>200</v>
      </c>
      <c r="K387" s="20">
        <v>8</v>
      </c>
      <c r="L387" s="20"/>
      <c r="M387" s="20">
        <f>Tabela1[[#This Row],[1ª QZ]]-Tabela1[[#This Row],[SALDO FINAL]]-Tabela1[[#This Row],[SALDO CARTAO]]-Tabela1[[#This Row],[Adiantamento ]]</f>
        <v>192</v>
      </c>
      <c r="N387" s="20">
        <f>Tabela1[[#This Row],[SALDO REEMBOLSAR]]*$N$4</f>
        <v>369.21</v>
      </c>
      <c r="O387" s="20">
        <v>499.67500000000001</v>
      </c>
      <c r="Q387" t="str">
        <f>_xlfn.XLOOKUP(Tabela1[[#This Row],[COLABORADOR]],'STATUS CARTAO'!D:D,'STATUS CARTAO'!G:G)</f>
        <v>Cartão ativo</v>
      </c>
    </row>
    <row r="388" spans="1:17" hidden="1">
      <c r="A388" s="3" t="s">
        <v>850</v>
      </c>
      <c r="B388" s="3" t="s">
        <v>851</v>
      </c>
      <c r="C388" s="5" t="s">
        <v>19</v>
      </c>
      <c r="D388" s="3" t="s">
        <v>43</v>
      </c>
      <c r="E388" s="3" t="s">
        <v>634</v>
      </c>
      <c r="F388" s="3" t="s">
        <v>45</v>
      </c>
      <c r="G388" s="3" t="s">
        <v>40</v>
      </c>
      <c r="H388" s="20">
        <v>242.76000000000022</v>
      </c>
      <c r="I388" s="20">
        <v>0</v>
      </c>
      <c r="J388" s="20">
        <v>500</v>
      </c>
      <c r="K388" s="20">
        <v>377.62</v>
      </c>
      <c r="L388" s="20"/>
      <c r="M388" s="20">
        <f>Tabela1[[#This Row],[1ª QZ]]-Tabela1[[#This Row],[SALDO FINAL]]-Tabela1[[#This Row],[SALDO CARTAO]]-Tabela1[[#This Row],[Adiantamento ]]</f>
        <v>122.38</v>
      </c>
      <c r="N388" s="20">
        <f>Tabela1[[#This Row],[SALDO REEMBOLSAR]]*$N$4</f>
        <v>145.65600000000012</v>
      </c>
      <c r="O388" s="20">
        <v>243.7600000000001</v>
      </c>
      <c r="Q388" t="str">
        <f>_xlfn.XLOOKUP(Tabela1[[#This Row],[COLABORADOR]],'STATUS CARTAO'!D:D,'STATUS CARTAO'!G:G)</f>
        <v>Cartão ativo</v>
      </c>
    </row>
  </sheetData>
  <conditionalFormatting sqref="A6">
    <cfRule type="duplicateValues" dxfId="27" priority="1"/>
    <cfRule type="duplicateValues" dxfId="26" priority="2"/>
    <cfRule type="duplicateValues" dxfId="25" priority="3"/>
  </conditionalFormatting>
  <conditionalFormatting sqref="B6">
    <cfRule type="duplicateValues" dxfId="24" priority="4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E3E6-1A40-4E01-B964-3F2E84D12AC2}">
  <dimension ref="B1:L215"/>
  <sheetViews>
    <sheetView topLeftCell="D1" workbookViewId="0">
      <selection activeCell="L3" sqref="L3:L92"/>
    </sheetView>
  </sheetViews>
  <sheetFormatPr defaultRowHeight="15"/>
  <cols>
    <col min="2" max="2" width="40.5703125" bestFit="1" customWidth="1"/>
    <col min="3" max="3" width="12" bestFit="1" customWidth="1"/>
    <col min="4" max="4" width="13" customWidth="1"/>
    <col min="5" max="5" width="28.140625" style="4" bestFit="1" customWidth="1"/>
    <col min="6" max="6" width="25.140625" bestFit="1" customWidth="1"/>
    <col min="7" max="7" width="25.140625" style="4" customWidth="1"/>
    <col min="8" max="8" width="19.28515625" bestFit="1" customWidth="1"/>
    <col min="9" max="9" width="12.42578125" bestFit="1" customWidth="1"/>
    <col min="11" max="11" width="18" bestFit="1" customWidth="1"/>
    <col min="12" max="12" width="19.28515625" bestFit="1" customWidth="1"/>
  </cols>
  <sheetData>
    <row r="1" spans="2:12" ht="15.75" thickBot="1"/>
    <row r="2" spans="2:12" ht="15.75" thickBot="1">
      <c r="B2" s="7" t="s">
        <v>0</v>
      </c>
      <c r="C2" s="8" t="s">
        <v>1</v>
      </c>
      <c r="D2" s="7" t="s">
        <v>2</v>
      </c>
      <c r="E2" s="7" t="s">
        <v>3</v>
      </c>
      <c r="F2" s="2" t="s">
        <v>4</v>
      </c>
      <c r="G2" s="2" t="s">
        <v>852</v>
      </c>
      <c r="H2" s="2" t="s">
        <v>5</v>
      </c>
      <c r="I2" s="46" t="s">
        <v>14</v>
      </c>
      <c r="K2" s="47" t="s">
        <v>853</v>
      </c>
      <c r="L2" t="s">
        <v>854</v>
      </c>
    </row>
    <row r="3" spans="2:12">
      <c r="B3" s="36" t="s">
        <v>197</v>
      </c>
      <c r="C3" s="45" t="s">
        <v>198</v>
      </c>
      <c r="D3" s="37" t="s">
        <v>19</v>
      </c>
      <c r="E3" s="37" t="s">
        <v>20</v>
      </c>
      <c r="F3" s="36" t="s">
        <v>21</v>
      </c>
      <c r="G3" s="37">
        <v>11030290001</v>
      </c>
      <c r="H3" s="36" t="s">
        <v>22</v>
      </c>
      <c r="I3" s="38">
        <v>13149.289999999999</v>
      </c>
      <c r="K3" s="48">
        <v>1201014</v>
      </c>
      <c r="L3" s="44">
        <v>926.51499999999965</v>
      </c>
    </row>
    <row r="4" spans="2:12">
      <c r="B4" s="3" t="s">
        <v>693</v>
      </c>
      <c r="C4" s="3" t="s">
        <v>694</v>
      </c>
      <c r="D4" s="5" t="s">
        <v>19</v>
      </c>
      <c r="E4" s="5" t="s">
        <v>26</v>
      </c>
      <c r="F4" s="3" t="s">
        <v>695</v>
      </c>
      <c r="G4" s="37">
        <v>11030260001</v>
      </c>
      <c r="H4" s="3" t="s">
        <v>28</v>
      </c>
      <c r="I4" s="20">
        <v>13690.570000000011</v>
      </c>
      <c r="K4" s="48">
        <v>1201017</v>
      </c>
      <c r="L4" s="44">
        <v>388.93</v>
      </c>
    </row>
    <row r="5" spans="2:12">
      <c r="B5" s="36" t="s">
        <v>189</v>
      </c>
      <c r="C5" s="36" t="s">
        <v>190</v>
      </c>
      <c r="D5" s="37" t="s">
        <v>19</v>
      </c>
      <c r="E5" s="37" t="s">
        <v>43</v>
      </c>
      <c r="F5" s="36" t="s">
        <v>186</v>
      </c>
      <c r="G5" s="37">
        <v>11030580001</v>
      </c>
      <c r="H5" s="36" t="s">
        <v>45</v>
      </c>
      <c r="I5" s="38">
        <v>3830.5450000000001</v>
      </c>
      <c r="K5" s="48">
        <v>1201020</v>
      </c>
      <c r="L5" s="44">
        <v>3000</v>
      </c>
    </row>
    <row r="6" spans="2:12">
      <c r="B6" s="3" t="s">
        <v>756</v>
      </c>
      <c r="C6" s="3" t="s">
        <v>757</v>
      </c>
      <c r="D6" s="5" t="s">
        <v>19</v>
      </c>
      <c r="E6" s="5" t="s">
        <v>37</v>
      </c>
      <c r="F6" s="3" t="s">
        <v>624</v>
      </c>
      <c r="G6" s="37">
        <v>11030700001</v>
      </c>
      <c r="H6" s="3" t="s">
        <v>39</v>
      </c>
      <c r="I6" s="20">
        <v>5250.4400000000151</v>
      </c>
      <c r="K6" s="48">
        <v>1201071</v>
      </c>
      <c r="L6" s="44">
        <v>1588.4250000000011</v>
      </c>
    </row>
    <row r="7" spans="2:12">
      <c r="B7" s="36" t="s">
        <v>199</v>
      </c>
      <c r="C7" s="36" t="s">
        <v>200</v>
      </c>
      <c r="D7" s="37" t="s">
        <v>19</v>
      </c>
      <c r="E7" s="37" t="s">
        <v>37</v>
      </c>
      <c r="F7" s="36" t="s">
        <v>38</v>
      </c>
      <c r="G7" s="37">
        <v>11030860001</v>
      </c>
      <c r="H7" s="36" t="s">
        <v>39</v>
      </c>
      <c r="I7" s="38">
        <v>1950</v>
      </c>
      <c r="K7" s="48">
        <v>1104150001</v>
      </c>
      <c r="L7" s="44">
        <v>3110.3</v>
      </c>
    </row>
    <row r="8" spans="2:12">
      <c r="B8" s="3" t="s">
        <v>541</v>
      </c>
      <c r="C8" s="3" t="s">
        <v>542</v>
      </c>
      <c r="D8" s="5" t="s">
        <v>19</v>
      </c>
      <c r="E8" s="5" t="s">
        <v>96</v>
      </c>
      <c r="F8" s="3" t="s">
        <v>226</v>
      </c>
      <c r="G8" s="37">
        <v>11030870001</v>
      </c>
      <c r="H8" s="3" t="s">
        <v>98</v>
      </c>
      <c r="I8" s="20">
        <v>2272.4499999999998</v>
      </c>
      <c r="K8" s="48">
        <v>11010060001</v>
      </c>
      <c r="L8" s="44">
        <v>738.48000000000116</v>
      </c>
    </row>
    <row r="9" spans="2:12">
      <c r="B9" s="36" t="s">
        <v>565</v>
      </c>
      <c r="C9" s="36" t="s">
        <v>566</v>
      </c>
      <c r="D9" s="37" t="s">
        <v>19</v>
      </c>
      <c r="E9" s="37" t="s">
        <v>26</v>
      </c>
      <c r="F9" s="36" t="s">
        <v>567</v>
      </c>
      <c r="G9" s="37">
        <v>11030890001</v>
      </c>
      <c r="H9" s="36" t="s">
        <v>28</v>
      </c>
      <c r="I9" s="38">
        <v>3920.3400000000101</v>
      </c>
      <c r="K9" s="48">
        <v>11010080001</v>
      </c>
      <c r="L9" s="44">
        <v>751.50000000000091</v>
      </c>
    </row>
    <row r="10" spans="2:12">
      <c r="B10" s="3" t="s">
        <v>490</v>
      </c>
      <c r="C10" s="3" t="s">
        <v>491</v>
      </c>
      <c r="D10" s="5" t="s">
        <v>19</v>
      </c>
      <c r="E10" s="5" t="s">
        <v>74</v>
      </c>
      <c r="F10" s="3" t="s">
        <v>319</v>
      </c>
      <c r="G10" s="37">
        <v>11080170001</v>
      </c>
      <c r="H10" s="3" t="s">
        <v>76</v>
      </c>
      <c r="I10" s="20">
        <v>5586.1800000000221</v>
      </c>
      <c r="K10" s="48">
        <v>11010110001</v>
      </c>
      <c r="L10" s="44">
        <v>843.82000000000016</v>
      </c>
    </row>
    <row r="11" spans="2:12">
      <c r="B11" s="36" t="s">
        <v>762</v>
      </c>
      <c r="C11" s="36" t="s">
        <v>763</v>
      </c>
      <c r="D11" s="37" t="s">
        <v>19</v>
      </c>
      <c r="E11" s="37" t="s">
        <v>74</v>
      </c>
      <c r="F11" s="36" t="s">
        <v>152</v>
      </c>
      <c r="G11" s="37">
        <v>11030750001</v>
      </c>
      <c r="H11" s="36" t="s">
        <v>76</v>
      </c>
      <c r="I11" s="38">
        <v>3319.260000000002</v>
      </c>
      <c r="K11" s="48">
        <v>11010150001</v>
      </c>
      <c r="L11" s="44">
        <v>219.99999999999909</v>
      </c>
    </row>
    <row r="12" spans="2:12">
      <c r="B12" s="3" t="s">
        <v>826</v>
      </c>
      <c r="C12" s="3" t="s">
        <v>827</v>
      </c>
      <c r="D12" s="5" t="s">
        <v>19</v>
      </c>
      <c r="E12" s="5" t="s">
        <v>74</v>
      </c>
      <c r="F12" s="3" t="s">
        <v>828</v>
      </c>
      <c r="G12" s="37">
        <v>11062640001</v>
      </c>
      <c r="H12" s="3" t="s">
        <v>76</v>
      </c>
      <c r="I12" s="20">
        <v>1856.6900000000542</v>
      </c>
      <c r="K12" s="48">
        <v>11010170001</v>
      </c>
      <c r="L12" s="44">
        <v>1787.7049999999967</v>
      </c>
    </row>
    <row r="13" spans="2:12">
      <c r="B13" s="36" t="s">
        <v>613</v>
      </c>
      <c r="C13" s="36" t="s">
        <v>614</v>
      </c>
      <c r="D13" s="37" t="s">
        <v>19</v>
      </c>
      <c r="E13" s="37" t="s">
        <v>20</v>
      </c>
      <c r="F13" s="36" t="s">
        <v>21</v>
      </c>
      <c r="G13" s="37">
        <v>11030290001</v>
      </c>
      <c r="H13" s="36" t="s">
        <v>22</v>
      </c>
      <c r="I13" s="38">
        <v>4685.9200000000046</v>
      </c>
      <c r="K13" s="48">
        <v>11010180001</v>
      </c>
      <c r="L13" s="44">
        <v>3315.1199999999817</v>
      </c>
    </row>
    <row r="14" spans="2:12">
      <c r="B14" s="3" t="s">
        <v>597</v>
      </c>
      <c r="C14" s="3" t="s">
        <v>598</v>
      </c>
      <c r="D14" s="5" t="s">
        <v>19</v>
      </c>
      <c r="E14" s="5" t="s">
        <v>74</v>
      </c>
      <c r="F14" s="3" t="s">
        <v>599</v>
      </c>
      <c r="G14" s="37">
        <v>11030780001</v>
      </c>
      <c r="H14" s="3" t="s">
        <v>76</v>
      </c>
      <c r="I14" s="20">
        <v>2622</v>
      </c>
      <c r="K14" s="48">
        <v>11010270001</v>
      </c>
      <c r="L14" s="44">
        <v>199.89999999999986</v>
      </c>
    </row>
    <row r="15" spans="2:12">
      <c r="B15" s="36" t="s">
        <v>194</v>
      </c>
      <c r="C15" s="36" t="s">
        <v>195</v>
      </c>
      <c r="D15" s="37" t="s">
        <v>19</v>
      </c>
      <c r="E15" s="37" t="s">
        <v>167</v>
      </c>
      <c r="F15" s="36" t="s">
        <v>196</v>
      </c>
      <c r="G15" s="37">
        <v>11061870001</v>
      </c>
      <c r="H15" s="36" t="s">
        <v>169</v>
      </c>
      <c r="I15" s="38">
        <v>2421.4500000000121</v>
      </c>
      <c r="K15" s="48">
        <v>11010280001</v>
      </c>
      <c r="L15" s="44">
        <v>470.10000000000036</v>
      </c>
    </row>
    <row r="16" spans="2:12">
      <c r="B16" s="3" t="s">
        <v>758</v>
      </c>
      <c r="C16" s="3" t="s">
        <v>759</v>
      </c>
      <c r="D16" s="5" t="s">
        <v>19</v>
      </c>
      <c r="E16" s="5" t="s">
        <v>74</v>
      </c>
      <c r="F16" s="3" t="s">
        <v>75</v>
      </c>
      <c r="G16" s="37">
        <v>11030840001</v>
      </c>
      <c r="H16" s="3" t="s">
        <v>76</v>
      </c>
      <c r="I16" s="20">
        <v>312.2800000000035</v>
      </c>
      <c r="K16" s="48">
        <v>11010300001</v>
      </c>
      <c r="L16" s="44">
        <v>138.7300000000032</v>
      </c>
    </row>
    <row r="17" spans="2:12">
      <c r="B17" s="36" t="s">
        <v>807</v>
      </c>
      <c r="C17" s="36" t="s">
        <v>808</v>
      </c>
      <c r="D17" s="37" t="s">
        <v>19</v>
      </c>
      <c r="E17" s="37" t="s">
        <v>37</v>
      </c>
      <c r="F17" s="36" t="s">
        <v>809</v>
      </c>
      <c r="G17" s="37">
        <v>11010410001</v>
      </c>
      <c r="H17" s="36" t="s">
        <v>39</v>
      </c>
      <c r="I17" s="38">
        <v>53.679999999998131</v>
      </c>
      <c r="K17" s="48">
        <v>11010330001</v>
      </c>
      <c r="L17" s="44">
        <v>181.61999999999989</v>
      </c>
    </row>
    <row r="18" spans="2:12">
      <c r="B18" s="3" t="s">
        <v>784</v>
      </c>
      <c r="C18" s="3" t="s">
        <v>785</v>
      </c>
      <c r="D18" s="5" t="s">
        <v>19</v>
      </c>
      <c r="E18" s="5" t="s">
        <v>26</v>
      </c>
      <c r="F18" s="3" t="s">
        <v>567</v>
      </c>
      <c r="G18" s="37">
        <v>11030890001</v>
      </c>
      <c r="H18" s="3" t="s">
        <v>28</v>
      </c>
      <c r="I18" s="20">
        <v>1115.6600000000021</v>
      </c>
      <c r="K18" s="48">
        <v>11010360001</v>
      </c>
      <c r="L18" s="44">
        <v>452.04999999999893</v>
      </c>
    </row>
    <row r="19" spans="2:12">
      <c r="B19" s="36" t="s">
        <v>752</v>
      </c>
      <c r="C19" s="36" t="s">
        <v>753</v>
      </c>
      <c r="D19" s="37" t="s">
        <v>19</v>
      </c>
      <c r="E19" s="37" t="s">
        <v>74</v>
      </c>
      <c r="F19" s="36" t="s">
        <v>467</v>
      </c>
      <c r="G19" s="37">
        <v>11030830001</v>
      </c>
      <c r="H19" s="36" t="s">
        <v>76</v>
      </c>
      <c r="I19" s="38">
        <v>1295.1900000000464</v>
      </c>
      <c r="K19" s="48">
        <v>11010370001</v>
      </c>
      <c r="L19" s="44">
        <v>2744.9150000000004</v>
      </c>
    </row>
    <row r="20" spans="2:12">
      <c r="B20" s="3" t="s">
        <v>363</v>
      </c>
      <c r="C20" s="3" t="s">
        <v>364</v>
      </c>
      <c r="D20" s="5" t="s">
        <v>19</v>
      </c>
      <c r="E20" s="5" t="s">
        <v>20</v>
      </c>
      <c r="F20" s="3" t="s">
        <v>21</v>
      </c>
      <c r="G20" s="37">
        <v>11030290001</v>
      </c>
      <c r="H20" s="3" t="s">
        <v>22</v>
      </c>
      <c r="I20" s="20">
        <v>2609.5600000000049</v>
      </c>
      <c r="K20" s="48">
        <v>11010410001</v>
      </c>
      <c r="L20" s="44">
        <v>53.679999999998131</v>
      </c>
    </row>
    <row r="21" spans="2:12">
      <c r="B21" s="36" t="s">
        <v>576</v>
      </c>
      <c r="C21" s="36" t="s">
        <v>577</v>
      </c>
      <c r="D21" s="37" t="s">
        <v>19</v>
      </c>
      <c r="E21" s="37" t="s">
        <v>96</v>
      </c>
      <c r="F21" s="36" t="s">
        <v>328</v>
      </c>
      <c r="G21" s="37">
        <v>11060710001</v>
      </c>
      <c r="H21" s="36" t="s">
        <v>98</v>
      </c>
      <c r="I21" s="38">
        <v>2936.5800000001113</v>
      </c>
      <c r="K21" s="48">
        <v>11030260001</v>
      </c>
      <c r="L21" s="44">
        <v>13690.570000000011</v>
      </c>
    </row>
    <row r="22" spans="2:12">
      <c r="B22" s="3" t="s">
        <v>247</v>
      </c>
      <c r="C22" s="3" t="s">
        <v>248</v>
      </c>
      <c r="D22" s="5" t="s">
        <v>19</v>
      </c>
      <c r="E22" s="5" t="s">
        <v>26</v>
      </c>
      <c r="F22" s="3" t="s">
        <v>249</v>
      </c>
      <c r="G22" s="37">
        <v>11030910001</v>
      </c>
      <c r="H22" s="3" t="s">
        <v>28</v>
      </c>
      <c r="I22" s="20">
        <v>3055.7899999999995</v>
      </c>
      <c r="K22" s="48">
        <v>11030290001</v>
      </c>
      <c r="L22" s="44">
        <v>31393.545000000075</v>
      </c>
    </row>
    <row r="23" spans="2:12">
      <c r="B23" s="36" t="s">
        <v>622</v>
      </c>
      <c r="C23" s="36" t="s">
        <v>623</v>
      </c>
      <c r="D23" s="37" t="s">
        <v>19</v>
      </c>
      <c r="E23" s="37" t="s">
        <v>37</v>
      </c>
      <c r="F23" s="36" t="s">
        <v>624</v>
      </c>
      <c r="G23" s="37">
        <v>11030700001</v>
      </c>
      <c r="H23" s="36" t="s">
        <v>39</v>
      </c>
      <c r="I23" s="38">
        <v>2219.0250000000101</v>
      </c>
      <c r="K23" s="48">
        <v>11030570001</v>
      </c>
      <c r="L23" s="44">
        <v>2608.3800000000497</v>
      </c>
    </row>
    <row r="24" spans="2:12">
      <c r="B24" s="3" t="s">
        <v>395</v>
      </c>
      <c r="C24" s="3" t="s">
        <v>396</v>
      </c>
      <c r="D24" s="5" t="s">
        <v>19</v>
      </c>
      <c r="E24" s="5" t="s">
        <v>167</v>
      </c>
      <c r="F24" s="3" t="s">
        <v>397</v>
      </c>
      <c r="G24" s="37">
        <v>11030820001</v>
      </c>
      <c r="H24" s="3" t="s">
        <v>169</v>
      </c>
      <c r="I24" s="20">
        <v>2444.5300000000243</v>
      </c>
      <c r="K24" s="48">
        <v>11030580001</v>
      </c>
      <c r="L24" s="44">
        <v>3891.2650000000003</v>
      </c>
    </row>
    <row r="25" spans="2:12">
      <c r="B25" s="36" t="s">
        <v>170</v>
      </c>
      <c r="C25" s="36" t="s">
        <v>171</v>
      </c>
      <c r="D25" s="37" t="s">
        <v>19</v>
      </c>
      <c r="E25" s="37" t="s">
        <v>37</v>
      </c>
      <c r="F25" s="36" t="s">
        <v>172</v>
      </c>
      <c r="G25" s="37">
        <v>11061940001</v>
      </c>
      <c r="H25" s="36" t="s">
        <v>39</v>
      </c>
      <c r="I25" s="38">
        <v>729.03999999999508</v>
      </c>
      <c r="K25" s="48">
        <v>11030590001</v>
      </c>
      <c r="L25" s="44">
        <v>2607.7400000000271</v>
      </c>
    </row>
    <row r="26" spans="2:12">
      <c r="B26" s="3" t="s">
        <v>345</v>
      </c>
      <c r="C26" s="3" t="s">
        <v>346</v>
      </c>
      <c r="D26" s="5" t="s">
        <v>19</v>
      </c>
      <c r="E26" s="5" t="s">
        <v>37</v>
      </c>
      <c r="F26" s="3" t="s">
        <v>347</v>
      </c>
      <c r="G26" s="37">
        <v>11010180001</v>
      </c>
      <c r="H26" s="3" t="s">
        <v>39</v>
      </c>
      <c r="I26" s="20">
        <v>1375.1699999999842</v>
      </c>
      <c r="K26" s="48">
        <v>11030600001</v>
      </c>
      <c r="L26" s="44">
        <v>1288.5400000001027</v>
      </c>
    </row>
    <row r="27" spans="2:12">
      <c r="B27" s="36" t="s">
        <v>639</v>
      </c>
      <c r="C27" s="36" t="s">
        <v>640</v>
      </c>
      <c r="D27" s="37" t="s">
        <v>19</v>
      </c>
      <c r="E27" s="37" t="s">
        <v>74</v>
      </c>
      <c r="F27" s="36" t="s">
        <v>373</v>
      </c>
      <c r="G27" s="37">
        <v>11061420001</v>
      </c>
      <c r="H27" s="36" t="s">
        <v>76</v>
      </c>
      <c r="I27" s="38">
        <v>1446.9199999999851</v>
      </c>
      <c r="K27" s="48">
        <v>11030610001</v>
      </c>
      <c r="L27" s="44">
        <v>2798.25</v>
      </c>
    </row>
    <row r="28" spans="2:12">
      <c r="B28" s="3" t="s">
        <v>304</v>
      </c>
      <c r="C28" s="3" t="s">
        <v>305</v>
      </c>
      <c r="D28" s="5" t="s">
        <v>19</v>
      </c>
      <c r="E28" s="5" t="s">
        <v>20</v>
      </c>
      <c r="F28" s="3" t="s">
        <v>193</v>
      </c>
      <c r="G28" s="37">
        <v>11040040001</v>
      </c>
      <c r="H28" s="3" t="s">
        <v>22</v>
      </c>
      <c r="I28" s="20">
        <v>642.13499999999294</v>
      </c>
      <c r="K28" s="48">
        <v>11030620001</v>
      </c>
      <c r="L28" s="44">
        <v>769.80999999999949</v>
      </c>
    </row>
    <row r="29" spans="2:12">
      <c r="B29" s="36" t="s">
        <v>681</v>
      </c>
      <c r="C29" s="36" t="s">
        <v>682</v>
      </c>
      <c r="D29" s="37" t="s">
        <v>19</v>
      </c>
      <c r="E29" s="37" t="s">
        <v>43</v>
      </c>
      <c r="F29" s="36" t="s">
        <v>683</v>
      </c>
      <c r="G29" s="37">
        <v>11030590001</v>
      </c>
      <c r="H29" s="36" t="s">
        <v>45</v>
      </c>
      <c r="I29" s="38">
        <v>1081.760000000027</v>
      </c>
      <c r="K29" s="48">
        <v>11030630001</v>
      </c>
      <c r="L29" s="44">
        <v>1026.0500000000611</v>
      </c>
    </row>
    <row r="30" spans="2:12">
      <c r="B30" s="3" t="s">
        <v>317</v>
      </c>
      <c r="C30" s="3" t="s">
        <v>318</v>
      </c>
      <c r="D30" s="5" t="s">
        <v>19</v>
      </c>
      <c r="E30" s="5" t="s">
        <v>74</v>
      </c>
      <c r="F30" s="3" t="s">
        <v>319</v>
      </c>
      <c r="G30" s="37">
        <v>11080170001</v>
      </c>
      <c r="H30" s="3" t="s">
        <v>76</v>
      </c>
      <c r="I30" s="20">
        <v>2147.51999999994</v>
      </c>
      <c r="K30" s="48">
        <v>11030640001</v>
      </c>
      <c r="L30" s="44">
        <v>2544.9300000001367</v>
      </c>
    </row>
    <row r="31" spans="2:12">
      <c r="B31" s="36" t="s">
        <v>465</v>
      </c>
      <c r="C31" s="36" t="s">
        <v>466</v>
      </c>
      <c r="D31" s="37" t="s">
        <v>19</v>
      </c>
      <c r="E31" s="37" t="s">
        <v>74</v>
      </c>
      <c r="F31" s="36" t="s">
        <v>467</v>
      </c>
      <c r="G31" s="37">
        <v>11030830001</v>
      </c>
      <c r="H31" s="36" t="s">
        <v>76</v>
      </c>
      <c r="I31" s="38">
        <v>2507.6699999999678</v>
      </c>
      <c r="K31" s="48">
        <v>11030650001</v>
      </c>
      <c r="L31" s="44">
        <v>1305.0249999999967</v>
      </c>
    </row>
    <row r="32" spans="2:12">
      <c r="B32" s="3" t="s">
        <v>516</v>
      </c>
      <c r="C32" s="3" t="s">
        <v>517</v>
      </c>
      <c r="D32" s="5" t="s">
        <v>19</v>
      </c>
      <c r="E32" s="5" t="s">
        <v>31</v>
      </c>
      <c r="F32" s="3" t="s">
        <v>441</v>
      </c>
      <c r="G32" s="37">
        <v>11030660001</v>
      </c>
      <c r="H32" s="3" t="s">
        <v>33</v>
      </c>
      <c r="I32" s="20">
        <v>1421.7249999999999</v>
      </c>
      <c r="K32" s="48">
        <v>11030660001</v>
      </c>
      <c r="L32" s="44">
        <v>8685.8599999999387</v>
      </c>
    </row>
    <row r="33" spans="2:12">
      <c r="B33" s="36" t="s">
        <v>406</v>
      </c>
      <c r="C33" s="36" t="s">
        <v>407</v>
      </c>
      <c r="D33" s="37" t="s">
        <v>19</v>
      </c>
      <c r="E33" s="37" t="s">
        <v>408</v>
      </c>
      <c r="F33" s="36" t="s">
        <v>408</v>
      </c>
      <c r="G33" s="37">
        <v>1201020</v>
      </c>
      <c r="H33" s="36" t="s">
        <v>409</v>
      </c>
      <c r="I33" s="38">
        <v>3000</v>
      </c>
      <c r="K33" s="48">
        <v>11030690001</v>
      </c>
      <c r="L33" s="44">
        <v>1054.0700000000306</v>
      </c>
    </row>
    <row r="34" spans="2:12">
      <c r="B34" s="3" t="s">
        <v>340</v>
      </c>
      <c r="C34" s="3" t="s">
        <v>341</v>
      </c>
      <c r="D34" s="5" t="s">
        <v>19</v>
      </c>
      <c r="E34" s="5" t="s">
        <v>43</v>
      </c>
      <c r="F34" s="3" t="s">
        <v>342</v>
      </c>
      <c r="G34" s="37">
        <v>11030630001</v>
      </c>
      <c r="H34" s="3" t="s">
        <v>45</v>
      </c>
      <c r="I34" s="20">
        <v>1026.0500000000611</v>
      </c>
      <c r="K34" s="48">
        <v>11030700001</v>
      </c>
      <c r="L34" s="44">
        <v>7469.4650000000256</v>
      </c>
    </row>
    <row r="35" spans="2:12">
      <c r="B35" s="36" t="s">
        <v>329</v>
      </c>
      <c r="C35" s="36" t="s">
        <v>330</v>
      </c>
      <c r="D35" s="37" t="s">
        <v>19</v>
      </c>
      <c r="E35" s="37" t="s">
        <v>43</v>
      </c>
      <c r="F35" s="36" t="s">
        <v>331</v>
      </c>
      <c r="G35" s="37">
        <v>11030600001</v>
      </c>
      <c r="H35" s="36" t="s">
        <v>45</v>
      </c>
      <c r="I35" s="38">
        <v>1288.5400000001027</v>
      </c>
      <c r="K35" s="48">
        <v>11030720001</v>
      </c>
      <c r="L35" s="44">
        <v>191.77999999998764</v>
      </c>
    </row>
    <row r="36" spans="2:12">
      <c r="B36" s="3" t="s">
        <v>442</v>
      </c>
      <c r="C36" s="3" t="s">
        <v>443</v>
      </c>
      <c r="D36" s="5" t="s">
        <v>19</v>
      </c>
      <c r="E36" s="5" t="s">
        <v>43</v>
      </c>
      <c r="F36" s="3" t="s">
        <v>444</v>
      </c>
      <c r="G36" s="37">
        <v>11030570001</v>
      </c>
      <c r="H36" s="3" t="s">
        <v>45</v>
      </c>
      <c r="I36" s="20">
        <v>2608.3800000000497</v>
      </c>
      <c r="K36" s="48">
        <v>11030730001</v>
      </c>
      <c r="L36" s="44">
        <v>982.19999999999982</v>
      </c>
    </row>
    <row r="37" spans="2:12">
      <c r="B37" s="36" t="s">
        <v>113</v>
      </c>
      <c r="C37" s="36" t="s">
        <v>114</v>
      </c>
      <c r="D37" s="37" t="s">
        <v>19</v>
      </c>
      <c r="E37" s="37" t="s">
        <v>43</v>
      </c>
      <c r="F37" s="36" t="s">
        <v>115</v>
      </c>
      <c r="G37" s="37">
        <v>11030610001</v>
      </c>
      <c r="H37" s="36" t="s">
        <v>45</v>
      </c>
      <c r="I37" s="38">
        <v>2798.25</v>
      </c>
      <c r="K37" s="48">
        <v>11030750001</v>
      </c>
      <c r="L37" s="44">
        <v>7762.8200000000061</v>
      </c>
    </row>
    <row r="38" spans="2:12">
      <c r="B38" s="3" t="s">
        <v>782</v>
      </c>
      <c r="C38" s="3" t="s">
        <v>783</v>
      </c>
      <c r="D38" s="5" t="s">
        <v>19</v>
      </c>
      <c r="E38" s="5" t="s">
        <v>74</v>
      </c>
      <c r="F38" s="3" t="s">
        <v>373</v>
      </c>
      <c r="G38" s="37">
        <v>11061420001</v>
      </c>
      <c r="H38" s="3" t="s">
        <v>76</v>
      </c>
      <c r="I38" s="20">
        <v>1900.395</v>
      </c>
      <c r="K38" s="48">
        <v>11030760001</v>
      </c>
      <c r="L38" s="44">
        <v>262.45999999999913</v>
      </c>
    </row>
    <row r="39" spans="2:12">
      <c r="B39" s="36" t="s">
        <v>230</v>
      </c>
      <c r="C39" s="36" t="s">
        <v>231</v>
      </c>
      <c r="D39" s="37" t="s">
        <v>19</v>
      </c>
      <c r="E39" s="37" t="s">
        <v>37</v>
      </c>
      <c r="F39" s="36" t="s">
        <v>232</v>
      </c>
      <c r="G39" s="37">
        <v>11061200001</v>
      </c>
      <c r="H39" s="36" t="s">
        <v>39</v>
      </c>
      <c r="I39" s="38">
        <v>648.00000000000182</v>
      </c>
      <c r="K39" s="48">
        <v>11030780001</v>
      </c>
      <c r="L39" s="44">
        <v>2622</v>
      </c>
    </row>
    <row r="40" spans="2:12">
      <c r="B40" s="3" t="s">
        <v>845</v>
      </c>
      <c r="C40" s="3" t="s">
        <v>846</v>
      </c>
      <c r="D40" s="5" t="s">
        <v>19</v>
      </c>
      <c r="E40" s="5" t="s">
        <v>43</v>
      </c>
      <c r="F40" s="3" t="s">
        <v>847</v>
      </c>
      <c r="G40" s="37">
        <v>11061390001</v>
      </c>
      <c r="H40" s="3" t="s">
        <v>45</v>
      </c>
      <c r="I40" s="20">
        <v>2045.3100000000113</v>
      </c>
      <c r="K40" s="48">
        <v>11030790001</v>
      </c>
      <c r="L40" s="44">
        <v>10147.235000000059</v>
      </c>
    </row>
    <row r="41" spans="2:12">
      <c r="B41" s="36" t="s">
        <v>311</v>
      </c>
      <c r="C41" s="36" t="s">
        <v>312</v>
      </c>
      <c r="D41" s="37" t="s">
        <v>19</v>
      </c>
      <c r="E41" s="37" t="s">
        <v>43</v>
      </c>
      <c r="F41" s="36" t="s">
        <v>238</v>
      </c>
      <c r="G41" s="37">
        <v>11061770001</v>
      </c>
      <c r="H41" s="36" t="s">
        <v>45</v>
      </c>
      <c r="I41" s="38">
        <v>428.7599999999893</v>
      </c>
      <c r="K41" s="48">
        <v>11030800001</v>
      </c>
      <c r="L41" s="44">
        <v>759.86999999999762</v>
      </c>
    </row>
    <row r="42" spans="2:12">
      <c r="B42" s="3" t="s">
        <v>244</v>
      </c>
      <c r="C42" s="3" t="s">
        <v>245</v>
      </c>
      <c r="D42" s="5" t="s">
        <v>19</v>
      </c>
      <c r="E42" s="5" t="s">
        <v>37</v>
      </c>
      <c r="F42" s="3" t="s">
        <v>246</v>
      </c>
      <c r="G42" s="37">
        <v>11030790001</v>
      </c>
      <c r="H42" s="3" t="s">
        <v>39</v>
      </c>
      <c r="I42" s="20">
        <v>1855.8900000000067</v>
      </c>
      <c r="K42" s="48">
        <v>11030810001</v>
      </c>
      <c r="L42" s="44">
        <v>541.35000000000127</v>
      </c>
    </row>
    <row r="43" spans="2:12">
      <c r="B43" s="36" t="s">
        <v>181</v>
      </c>
      <c r="C43" s="36" t="s">
        <v>182</v>
      </c>
      <c r="D43" s="37" t="s">
        <v>19</v>
      </c>
      <c r="E43" s="37" t="s">
        <v>74</v>
      </c>
      <c r="F43" s="36" t="s">
        <v>183</v>
      </c>
      <c r="G43" s="37">
        <v>11030640001</v>
      </c>
      <c r="H43" s="36" t="s">
        <v>76</v>
      </c>
      <c r="I43" s="38">
        <v>1850.6300000001359</v>
      </c>
      <c r="K43" s="48">
        <v>11030820001</v>
      </c>
      <c r="L43" s="44">
        <v>2444.5300000000243</v>
      </c>
    </row>
    <row r="44" spans="2:12">
      <c r="B44" s="3" t="s">
        <v>150</v>
      </c>
      <c r="C44" s="3" t="s">
        <v>151</v>
      </c>
      <c r="D44" s="5" t="s">
        <v>19</v>
      </c>
      <c r="E44" s="5" t="s">
        <v>74</v>
      </c>
      <c r="F44" s="3" t="s">
        <v>152</v>
      </c>
      <c r="G44" s="37">
        <v>11030750001</v>
      </c>
      <c r="H44" s="3" t="s">
        <v>76</v>
      </c>
      <c r="I44" s="20">
        <v>391.85999999999245</v>
      </c>
      <c r="K44" s="48">
        <v>11030830001</v>
      </c>
      <c r="L44" s="44">
        <v>8632.0350000001145</v>
      </c>
    </row>
    <row r="45" spans="2:12">
      <c r="B45" s="36" t="s">
        <v>62</v>
      </c>
      <c r="C45" s="36" t="s">
        <v>63</v>
      </c>
      <c r="D45" s="37" t="s">
        <v>19</v>
      </c>
      <c r="E45" s="37" t="s">
        <v>26</v>
      </c>
      <c r="F45" s="36" t="s">
        <v>27</v>
      </c>
      <c r="G45" s="37">
        <v>11061480001</v>
      </c>
      <c r="H45" s="36" t="s">
        <v>28</v>
      </c>
      <c r="I45" s="38">
        <v>16.490000000000911</v>
      </c>
      <c r="K45" s="48">
        <v>11030840001</v>
      </c>
      <c r="L45" s="44">
        <v>5496.3400000000202</v>
      </c>
    </row>
    <row r="46" spans="2:12">
      <c r="B46" s="3" t="s">
        <v>376</v>
      </c>
      <c r="C46" s="3" t="s">
        <v>377</v>
      </c>
      <c r="D46" s="5" t="s">
        <v>19</v>
      </c>
      <c r="E46" s="5" t="s">
        <v>26</v>
      </c>
      <c r="F46" s="3" t="s">
        <v>378</v>
      </c>
      <c r="G46" s="37">
        <v>11010360001</v>
      </c>
      <c r="H46" s="3" t="s">
        <v>28</v>
      </c>
      <c r="I46" s="20">
        <v>452.04999999999893</v>
      </c>
      <c r="K46" s="48">
        <v>11030850001</v>
      </c>
      <c r="L46" s="44">
        <v>3244.2000000000144</v>
      </c>
    </row>
    <row r="47" spans="2:12">
      <c r="B47" s="36" t="s">
        <v>139</v>
      </c>
      <c r="C47" s="36" t="s">
        <v>140</v>
      </c>
      <c r="D47" s="37" t="s">
        <v>19</v>
      </c>
      <c r="E47" s="37" t="s">
        <v>20</v>
      </c>
      <c r="F47" s="36" t="s">
        <v>141</v>
      </c>
      <c r="G47" s="37">
        <v>11030850001</v>
      </c>
      <c r="H47" s="36" t="s">
        <v>22</v>
      </c>
      <c r="I47" s="38">
        <v>510.98000000001775</v>
      </c>
      <c r="K47" s="48">
        <v>11030860001</v>
      </c>
      <c r="L47" s="44">
        <v>2744.1499999999983</v>
      </c>
    </row>
    <row r="48" spans="2:12">
      <c r="B48" s="3" t="s">
        <v>224</v>
      </c>
      <c r="C48" s="3" t="s">
        <v>225</v>
      </c>
      <c r="D48" s="5" t="s">
        <v>19</v>
      </c>
      <c r="E48" s="5" t="s">
        <v>96</v>
      </c>
      <c r="F48" s="3" t="s">
        <v>226</v>
      </c>
      <c r="G48" s="37">
        <v>11030870001</v>
      </c>
      <c r="H48" s="3" t="s">
        <v>98</v>
      </c>
      <c r="I48" s="20">
        <v>722.93999999999323</v>
      </c>
      <c r="K48" s="48">
        <v>11030870001</v>
      </c>
      <c r="L48" s="44">
        <v>6754.9399999999923</v>
      </c>
    </row>
    <row r="49" spans="2:12">
      <c r="B49" s="36" t="s">
        <v>263</v>
      </c>
      <c r="C49" s="36" t="s">
        <v>264</v>
      </c>
      <c r="D49" s="37" t="s">
        <v>19</v>
      </c>
      <c r="E49" s="37" t="s">
        <v>20</v>
      </c>
      <c r="F49" s="36" t="s">
        <v>141</v>
      </c>
      <c r="G49" s="37">
        <v>11030850001</v>
      </c>
      <c r="H49" s="36" t="s">
        <v>22</v>
      </c>
      <c r="I49" s="38">
        <v>1734.2399999999971</v>
      </c>
      <c r="K49" s="48">
        <v>11030890001</v>
      </c>
      <c r="L49" s="44">
        <v>5036.0000000000127</v>
      </c>
    </row>
    <row r="50" spans="2:12">
      <c r="B50" s="3" t="s">
        <v>630</v>
      </c>
      <c r="C50" s="3" t="s">
        <v>631</v>
      </c>
      <c r="D50" s="5" t="s">
        <v>19</v>
      </c>
      <c r="E50" s="5" t="s">
        <v>37</v>
      </c>
      <c r="F50" s="3" t="s">
        <v>246</v>
      </c>
      <c r="G50" s="37">
        <v>11030790001</v>
      </c>
      <c r="H50" s="3" t="s">
        <v>39</v>
      </c>
      <c r="I50" s="20">
        <v>1865.1400000000212</v>
      </c>
      <c r="K50" s="48">
        <v>11030910001</v>
      </c>
      <c r="L50" s="44">
        <v>3055.7899999999995</v>
      </c>
    </row>
    <row r="51" spans="2:12">
      <c r="B51" s="36" t="s">
        <v>615</v>
      </c>
      <c r="C51" s="36" t="s">
        <v>616</v>
      </c>
      <c r="D51" s="37" t="s">
        <v>19</v>
      </c>
      <c r="E51" s="37" t="s">
        <v>31</v>
      </c>
      <c r="F51" s="36" t="s">
        <v>617</v>
      </c>
      <c r="G51" s="37">
        <v>11061880001</v>
      </c>
      <c r="H51" s="36" t="s">
        <v>33</v>
      </c>
      <c r="I51" s="38">
        <v>1906.1199999999399</v>
      </c>
      <c r="K51" s="48">
        <v>11040040001</v>
      </c>
      <c r="L51" s="44">
        <v>8548.4149999999936</v>
      </c>
    </row>
    <row r="52" spans="2:12">
      <c r="B52" s="3" t="s">
        <v>593</v>
      </c>
      <c r="C52" s="3" t="s">
        <v>594</v>
      </c>
      <c r="D52" s="5" t="s">
        <v>19</v>
      </c>
      <c r="E52" s="5" t="s">
        <v>43</v>
      </c>
      <c r="F52" s="3" t="s">
        <v>106</v>
      </c>
      <c r="G52" s="37">
        <v>11061820001</v>
      </c>
      <c r="H52" s="3" t="s">
        <v>45</v>
      </c>
      <c r="I52" s="20">
        <v>897.91000000000008</v>
      </c>
      <c r="K52" s="48">
        <v>11040130001</v>
      </c>
      <c r="L52" s="44">
        <v>2309.7799999999934</v>
      </c>
    </row>
    <row r="53" spans="2:12">
      <c r="B53" s="36" t="s">
        <v>39</v>
      </c>
      <c r="C53" s="36" t="s">
        <v>543</v>
      </c>
      <c r="D53" s="37" t="s">
        <v>19</v>
      </c>
      <c r="E53" s="37" t="s">
        <v>37</v>
      </c>
      <c r="F53" s="36" t="s">
        <v>123</v>
      </c>
      <c r="G53" s="37">
        <v>1201071</v>
      </c>
      <c r="H53" s="36" t="s">
        <v>39</v>
      </c>
      <c r="I53" s="38">
        <v>1403.0450000000001</v>
      </c>
      <c r="K53" s="48">
        <v>11040140001</v>
      </c>
      <c r="L53" s="44">
        <v>1014.4750000000029</v>
      </c>
    </row>
    <row r="54" spans="2:12">
      <c r="B54" s="3" t="s">
        <v>839</v>
      </c>
      <c r="C54" s="3" t="s">
        <v>840</v>
      </c>
      <c r="D54" s="5" t="s">
        <v>19</v>
      </c>
      <c r="E54" s="5" t="s">
        <v>31</v>
      </c>
      <c r="F54" s="3" t="s">
        <v>617</v>
      </c>
      <c r="G54" s="37">
        <v>11061880001</v>
      </c>
      <c r="H54" s="3" t="s">
        <v>33</v>
      </c>
      <c r="I54" s="20">
        <v>2000</v>
      </c>
      <c r="K54" s="48">
        <v>11040160001</v>
      </c>
      <c r="L54" s="44">
        <v>8612.6200000000026</v>
      </c>
    </row>
    <row r="55" spans="2:12">
      <c r="B55" s="36" t="s">
        <v>537</v>
      </c>
      <c r="C55" s="36" t="s">
        <v>538</v>
      </c>
      <c r="D55" s="37" t="s">
        <v>19</v>
      </c>
      <c r="E55" s="37" t="s">
        <v>37</v>
      </c>
      <c r="F55" s="36" t="s">
        <v>413</v>
      </c>
      <c r="G55" s="37">
        <v>11061400001</v>
      </c>
      <c r="H55" s="36" t="s">
        <v>39</v>
      </c>
      <c r="I55" s="38">
        <v>1520</v>
      </c>
      <c r="K55" s="48">
        <v>11040170001</v>
      </c>
      <c r="L55" s="44">
        <v>5307.9150000000018</v>
      </c>
    </row>
    <row r="56" spans="2:12">
      <c r="B56" s="3" t="s">
        <v>501</v>
      </c>
      <c r="C56" s="3" t="s">
        <v>502</v>
      </c>
      <c r="D56" s="5" t="s">
        <v>19</v>
      </c>
      <c r="E56" s="5" t="s">
        <v>37</v>
      </c>
      <c r="F56" s="3" t="s">
        <v>109</v>
      </c>
      <c r="G56" s="37">
        <v>11010370001</v>
      </c>
      <c r="H56" s="3" t="s">
        <v>39</v>
      </c>
      <c r="I56" s="20">
        <v>1358.6100000000006</v>
      </c>
      <c r="K56" s="48">
        <v>11060700001</v>
      </c>
      <c r="L56" s="44">
        <v>1816.7500000000146</v>
      </c>
    </row>
    <row r="57" spans="2:12">
      <c r="B57" s="36" t="s">
        <v>793</v>
      </c>
      <c r="C57" s="36" t="s">
        <v>794</v>
      </c>
      <c r="D57" s="37" t="s">
        <v>19</v>
      </c>
      <c r="E57" s="37" t="s">
        <v>59</v>
      </c>
      <c r="F57" s="36" t="s">
        <v>60</v>
      </c>
      <c r="G57" s="37">
        <v>11040170001</v>
      </c>
      <c r="H57" s="36" t="s">
        <v>61</v>
      </c>
      <c r="I57" s="38">
        <v>943.2899999999994</v>
      </c>
      <c r="K57" s="48">
        <v>11060710001</v>
      </c>
      <c r="L57" s="44">
        <v>2936.5800000001113</v>
      </c>
    </row>
    <row r="58" spans="2:12">
      <c r="B58" s="3" t="s">
        <v>57</v>
      </c>
      <c r="C58" s="3" t="s">
        <v>58</v>
      </c>
      <c r="D58" s="5" t="s">
        <v>19</v>
      </c>
      <c r="E58" s="5" t="s">
        <v>59</v>
      </c>
      <c r="F58" s="3" t="s">
        <v>60</v>
      </c>
      <c r="G58" s="37">
        <v>11040170001</v>
      </c>
      <c r="H58" s="3" t="s">
        <v>61</v>
      </c>
      <c r="I58" s="20">
        <v>1992.0600000000049</v>
      </c>
      <c r="K58" s="48">
        <v>11061200001</v>
      </c>
      <c r="L58" s="44">
        <v>2389.5500000000011</v>
      </c>
    </row>
    <row r="59" spans="2:12">
      <c r="B59" s="36" t="s">
        <v>353</v>
      </c>
      <c r="C59" s="36" t="s">
        <v>354</v>
      </c>
      <c r="D59" s="37" t="s">
        <v>19</v>
      </c>
      <c r="E59" s="37" t="s">
        <v>20</v>
      </c>
      <c r="F59" s="36" t="s">
        <v>193</v>
      </c>
      <c r="G59" s="37">
        <v>11040040001</v>
      </c>
      <c r="H59" s="36" t="s">
        <v>22</v>
      </c>
      <c r="I59" s="38">
        <v>2196.5500000000056</v>
      </c>
      <c r="K59" s="48">
        <v>11061390001</v>
      </c>
      <c r="L59" s="44">
        <v>2045.3100000000113</v>
      </c>
    </row>
    <row r="60" spans="2:12">
      <c r="B60" s="3" t="s">
        <v>51</v>
      </c>
      <c r="C60" s="3" t="s">
        <v>52</v>
      </c>
      <c r="D60" s="5" t="s">
        <v>19</v>
      </c>
      <c r="E60" s="5" t="s">
        <v>37</v>
      </c>
      <c r="F60" s="3" t="s">
        <v>53</v>
      </c>
      <c r="G60" s="37">
        <v>11030690001</v>
      </c>
      <c r="H60" s="3" t="s">
        <v>39</v>
      </c>
      <c r="I60" s="20">
        <v>1054.0700000000306</v>
      </c>
      <c r="K60" s="48">
        <v>11061400001</v>
      </c>
      <c r="L60" s="44">
        <v>1520</v>
      </c>
    </row>
    <row r="61" spans="2:12">
      <c r="B61" s="36" t="s">
        <v>296</v>
      </c>
      <c r="C61" s="36" t="s">
        <v>297</v>
      </c>
      <c r="D61" s="37" t="s">
        <v>19</v>
      </c>
      <c r="E61" s="37" t="s">
        <v>74</v>
      </c>
      <c r="F61" s="36" t="s">
        <v>298</v>
      </c>
      <c r="G61" s="37">
        <v>11062670001</v>
      </c>
      <c r="H61" s="36" t="s">
        <v>76</v>
      </c>
      <c r="I61" s="38">
        <v>1197.739999999993</v>
      </c>
      <c r="K61" s="48">
        <v>11061420001</v>
      </c>
      <c r="L61" s="44">
        <v>12412.179999999986</v>
      </c>
    </row>
    <row r="62" spans="2:12">
      <c r="B62" s="3" t="s">
        <v>133</v>
      </c>
      <c r="C62" s="3" t="s">
        <v>134</v>
      </c>
      <c r="D62" s="5" t="s">
        <v>19</v>
      </c>
      <c r="E62" s="5" t="s">
        <v>26</v>
      </c>
      <c r="F62" s="3" t="s">
        <v>135</v>
      </c>
      <c r="G62" s="37">
        <v>11061490001</v>
      </c>
      <c r="H62" s="3" t="s">
        <v>28</v>
      </c>
      <c r="I62" s="20">
        <v>1391.2500000000055</v>
      </c>
      <c r="K62" s="48">
        <v>11061430001</v>
      </c>
      <c r="L62" s="44">
        <v>3436.7700000000332</v>
      </c>
    </row>
    <row r="63" spans="2:12">
      <c r="B63" s="36" t="s">
        <v>445</v>
      </c>
      <c r="C63" s="36" t="s">
        <v>446</v>
      </c>
      <c r="D63" s="37" t="s">
        <v>19</v>
      </c>
      <c r="E63" s="37" t="s">
        <v>20</v>
      </c>
      <c r="F63" s="36" t="s">
        <v>193</v>
      </c>
      <c r="G63" s="37">
        <v>11040040001</v>
      </c>
      <c r="H63" s="36" t="s">
        <v>22</v>
      </c>
      <c r="I63" s="38">
        <v>9.7299999999952007</v>
      </c>
      <c r="K63" s="48">
        <v>11061480001</v>
      </c>
      <c r="L63" s="44">
        <v>412.08000000000288</v>
      </c>
    </row>
    <row r="64" spans="2:12">
      <c r="B64" s="3" t="s">
        <v>371</v>
      </c>
      <c r="C64" s="3" t="s">
        <v>372</v>
      </c>
      <c r="D64" s="5" t="s">
        <v>19</v>
      </c>
      <c r="E64" s="5" t="s">
        <v>74</v>
      </c>
      <c r="F64" s="3" t="s">
        <v>373</v>
      </c>
      <c r="G64" s="37">
        <v>11061420001</v>
      </c>
      <c r="H64" s="3" t="s">
        <v>76</v>
      </c>
      <c r="I64" s="20">
        <v>65.01000000000073</v>
      </c>
      <c r="K64" s="48">
        <v>11061490001</v>
      </c>
      <c r="L64" s="44">
        <v>1391.2500000000055</v>
      </c>
    </row>
    <row r="65" spans="2:12">
      <c r="B65" s="36" t="s">
        <v>487</v>
      </c>
      <c r="C65" s="36" t="s">
        <v>488</v>
      </c>
      <c r="D65" s="37" t="s">
        <v>19</v>
      </c>
      <c r="E65" s="37" t="s">
        <v>26</v>
      </c>
      <c r="F65" s="36" t="s">
        <v>489</v>
      </c>
      <c r="G65" s="37">
        <v>11080150001</v>
      </c>
      <c r="H65" s="36" t="s">
        <v>28</v>
      </c>
      <c r="I65" s="38">
        <v>162.75999999999112</v>
      </c>
      <c r="K65" s="48">
        <v>11061720001</v>
      </c>
      <c r="L65" s="44">
        <v>16258.734999999937</v>
      </c>
    </row>
    <row r="66" spans="2:12">
      <c r="B66" s="3" t="s">
        <v>393</v>
      </c>
      <c r="C66" s="3" t="s">
        <v>394</v>
      </c>
      <c r="D66" s="5" t="s">
        <v>19</v>
      </c>
      <c r="E66" s="5" t="s">
        <v>74</v>
      </c>
      <c r="F66" s="3" t="s">
        <v>373</v>
      </c>
      <c r="G66" s="37">
        <v>11061420001</v>
      </c>
      <c r="H66" s="3" t="s">
        <v>76</v>
      </c>
      <c r="I66" s="20">
        <v>723.38000000000034</v>
      </c>
      <c r="K66" s="48">
        <v>11061770001</v>
      </c>
      <c r="L66" s="44">
        <v>1893.425</v>
      </c>
    </row>
    <row r="67" spans="2:12">
      <c r="B67" s="36" t="s">
        <v>420</v>
      </c>
      <c r="C67" s="36" t="s">
        <v>421</v>
      </c>
      <c r="D67" s="37" t="s">
        <v>19</v>
      </c>
      <c r="E67" s="37" t="s">
        <v>31</v>
      </c>
      <c r="F67" s="36" t="s">
        <v>56</v>
      </c>
      <c r="G67" s="37">
        <v>11040160001</v>
      </c>
      <c r="H67" s="36" t="s">
        <v>33</v>
      </c>
      <c r="I67" s="38">
        <v>966.15000000000202</v>
      </c>
      <c r="K67" s="48">
        <v>11061820001</v>
      </c>
      <c r="L67" s="44">
        <v>2108.4050000000011</v>
      </c>
    </row>
    <row r="68" spans="2:12">
      <c r="B68" s="3" t="s">
        <v>730</v>
      </c>
      <c r="C68" s="3" t="s">
        <v>731</v>
      </c>
      <c r="D68" s="5" t="s">
        <v>19</v>
      </c>
      <c r="E68" s="5" t="s">
        <v>74</v>
      </c>
      <c r="F68" s="3" t="s">
        <v>373</v>
      </c>
      <c r="G68" s="37">
        <v>11061420001</v>
      </c>
      <c r="H68" s="3" t="s">
        <v>76</v>
      </c>
      <c r="I68" s="20">
        <v>1243.0300000000002</v>
      </c>
      <c r="K68" s="48">
        <v>11061870001</v>
      </c>
      <c r="L68" s="44">
        <v>2421.4500000000121</v>
      </c>
    </row>
    <row r="69" spans="2:12">
      <c r="B69" s="36" t="s">
        <v>841</v>
      </c>
      <c r="C69" s="36" t="s">
        <v>842</v>
      </c>
      <c r="D69" s="37" t="s">
        <v>19</v>
      </c>
      <c r="E69" s="37" t="s">
        <v>31</v>
      </c>
      <c r="F69" s="36" t="s">
        <v>159</v>
      </c>
      <c r="G69" s="37">
        <v>11062850001</v>
      </c>
      <c r="H69" s="36" t="s">
        <v>33</v>
      </c>
      <c r="I69" s="38">
        <v>1442.5700000000143</v>
      </c>
      <c r="K69" s="48">
        <v>11061880001</v>
      </c>
      <c r="L69" s="44">
        <v>3906.1199999999399</v>
      </c>
    </row>
    <row r="70" spans="2:12">
      <c r="B70" s="3" t="s">
        <v>691</v>
      </c>
      <c r="C70" s="3" t="s">
        <v>692</v>
      </c>
      <c r="D70" s="5" t="s">
        <v>19</v>
      </c>
      <c r="E70" s="5" t="s">
        <v>74</v>
      </c>
      <c r="F70" s="3" t="s">
        <v>373</v>
      </c>
      <c r="G70" s="37">
        <v>11061420001</v>
      </c>
      <c r="H70" s="3" t="s">
        <v>76</v>
      </c>
      <c r="I70" s="20">
        <v>1485.2200000000005</v>
      </c>
      <c r="K70" s="48">
        <v>11061940001</v>
      </c>
      <c r="L70" s="44">
        <v>729.03999999999508</v>
      </c>
    </row>
    <row r="71" spans="2:12">
      <c r="B71" s="36" t="s">
        <v>417</v>
      </c>
      <c r="C71" s="36" t="s">
        <v>418</v>
      </c>
      <c r="D71" s="37" t="s">
        <v>19</v>
      </c>
      <c r="E71" s="37" t="s">
        <v>31</v>
      </c>
      <c r="F71" s="36" t="s">
        <v>419</v>
      </c>
      <c r="G71" s="37">
        <v>1201017</v>
      </c>
      <c r="H71" s="36" t="s">
        <v>33</v>
      </c>
      <c r="I71" s="38">
        <v>388.93</v>
      </c>
      <c r="K71" s="48">
        <v>11061980001</v>
      </c>
      <c r="L71" s="44">
        <v>439.44000000000005</v>
      </c>
    </row>
    <row r="72" spans="2:12">
      <c r="B72" s="3" t="s">
        <v>302</v>
      </c>
      <c r="C72" s="3" t="s">
        <v>303</v>
      </c>
      <c r="D72" s="5" t="s">
        <v>19</v>
      </c>
      <c r="E72" s="5" t="s">
        <v>96</v>
      </c>
      <c r="F72" s="3" t="s">
        <v>226</v>
      </c>
      <c r="G72" s="37">
        <v>11030870001</v>
      </c>
      <c r="H72" s="3" t="s">
        <v>98</v>
      </c>
      <c r="I72" s="20">
        <v>1382.790000000005</v>
      </c>
      <c r="K72" s="48">
        <v>11062020001</v>
      </c>
      <c r="L72" s="44">
        <v>161.19000000000165</v>
      </c>
    </row>
    <row r="73" spans="2:12">
      <c r="B73" s="36" t="s">
        <v>715</v>
      </c>
      <c r="C73" s="36" t="s">
        <v>716</v>
      </c>
      <c r="D73" s="37" t="s">
        <v>19</v>
      </c>
      <c r="E73" s="37" t="s">
        <v>74</v>
      </c>
      <c r="F73" s="36" t="s">
        <v>75</v>
      </c>
      <c r="G73" s="37">
        <v>11030840001</v>
      </c>
      <c r="H73" s="36" t="s">
        <v>76</v>
      </c>
      <c r="I73" s="38">
        <v>2168.3250000000153</v>
      </c>
      <c r="K73" s="48">
        <v>11062050001</v>
      </c>
      <c r="L73" s="44">
        <v>56.899999999998911</v>
      </c>
    </row>
    <row r="74" spans="2:12">
      <c r="B74" s="3" t="s">
        <v>788</v>
      </c>
      <c r="C74" s="3" t="s">
        <v>789</v>
      </c>
      <c r="D74" s="5" t="s">
        <v>19</v>
      </c>
      <c r="E74" s="5" t="s">
        <v>96</v>
      </c>
      <c r="F74" s="3" t="s">
        <v>226</v>
      </c>
      <c r="G74" s="37">
        <v>11030870001</v>
      </c>
      <c r="H74" s="3" t="s">
        <v>98</v>
      </c>
      <c r="I74" s="20">
        <v>1865.7899999999972</v>
      </c>
      <c r="K74" s="48">
        <v>11062160001</v>
      </c>
      <c r="L74" s="44">
        <v>413.2699999999968</v>
      </c>
    </row>
    <row r="75" spans="2:12">
      <c r="B75" s="36" t="s">
        <v>706</v>
      </c>
      <c r="C75" s="36" t="s">
        <v>707</v>
      </c>
      <c r="D75" s="37" t="s">
        <v>19</v>
      </c>
      <c r="E75" s="37" t="s">
        <v>20</v>
      </c>
      <c r="F75" s="36" t="s">
        <v>708</v>
      </c>
      <c r="G75" s="37">
        <v>11030730001</v>
      </c>
      <c r="H75" s="36" t="s">
        <v>22</v>
      </c>
      <c r="I75" s="38">
        <v>982.19999999999982</v>
      </c>
      <c r="K75" s="48">
        <v>11062270001</v>
      </c>
      <c r="L75" s="44">
        <v>1661.21000000001</v>
      </c>
    </row>
    <row r="76" spans="2:12">
      <c r="B76" s="3" t="s">
        <v>666</v>
      </c>
      <c r="C76" s="3" t="s">
        <v>667</v>
      </c>
      <c r="D76" s="5" t="s">
        <v>19</v>
      </c>
      <c r="E76" s="5" t="s">
        <v>74</v>
      </c>
      <c r="F76" s="3" t="s">
        <v>467</v>
      </c>
      <c r="G76" s="37">
        <v>11030830001</v>
      </c>
      <c r="H76" s="3" t="s">
        <v>76</v>
      </c>
      <c r="I76" s="20">
        <v>4362.3150000000996</v>
      </c>
      <c r="K76" s="48">
        <v>11062290001</v>
      </c>
      <c r="L76" s="44">
        <v>470.20999999999185</v>
      </c>
    </row>
    <row r="77" spans="2:12">
      <c r="B77" s="36" t="s">
        <v>284</v>
      </c>
      <c r="C77" s="36" t="s">
        <v>285</v>
      </c>
      <c r="D77" s="37" t="s">
        <v>19</v>
      </c>
      <c r="E77" s="37" t="s">
        <v>31</v>
      </c>
      <c r="F77" s="36" t="s">
        <v>56</v>
      </c>
      <c r="G77" s="37">
        <v>11040160001</v>
      </c>
      <c r="H77" s="36" t="s">
        <v>33</v>
      </c>
      <c r="I77" s="38">
        <v>1820.55</v>
      </c>
      <c r="K77" s="48">
        <v>11062450001</v>
      </c>
      <c r="L77" s="44">
        <v>518.71</v>
      </c>
    </row>
    <row r="78" spans="2:12">
      <c r="B78" s="3" t="s">
        <v>64</v>
      </c>
      <c r="C78" s="3" t="s">
        <v>65</v>
      </c>
      <c r="D78" s="5" t="s">
        <v>19</v>
      </c>
      <c r="E78" s="5" t="s">
        <v>31</v>
      </c>
      <c r="F78" s="3" t="s">
        <v>56</v>
      </c>
      <c r="G78" s="37">
        <v>11040160001</v>
      </c>
      <c r="H78" s="3" t="s">
        <v>33</v>
      </c>
      <c r="I78" s="20">
        <v>1336.6649999999991</v>
      </c>
      <c r="K78" s="48">
        <v>11062640001</v>
      </c>
      <c r="L78" s="44">
        <v>1856.6900000000542</v>
      </c>
    </row>
    <row r="79" spans="2:12">
      <c r="B79" s="36" t="s">
        <v>250</v>
      </c>
      <c r="C79" s="36" t="s">
        <v>251</v>
      </c>
      <c r="D79" s="37" t="s">
        <v>19</v>
      </c>
      <c r="E79" s="37" t="s">
        <v>43</v>
      </c>
      <c r="F79" s="36" t="s">
        <v>252</v>
      </c>
      <c r="G79" s="37">
        <v>11062660001</v>
      </c>
      <c r="H79" s="36" t="s">
        <v>45</v>
      </c>
      <c r="I79" s="38">
        <v>1081.9650000000011</v>
      </c>
      <c r="K79" s="48">
        <v>11062650001</v>
      </c>
      <c r="L79" s="44">
        <v>1515.1300000000169</v>
      </c>
    </row>
    <row r="80" spans="2:12">
      <c r="B80" s="3" t="s">
        <v>675</v>
      </c>
      <c r="C80" s="3" t="s">
        <v>676</v>
      </c>
      <c r="D80" s="5" t="s">
        <v>19</v>
      </c>
      <c r="E80" s="5" t="s">
        <v>37</v>
      </c>
      <c r="F80" s="3" t="s">
        <v>138</v>
      </c>
      <c r="G80" s="37">
        <v>11061720001</v>
      </c>
      <c r="H80" s="3" t="s">
        <v>39</v>
      </c>
      <c r="I80" s="20">
        <v>20.999999999996362</v>
      </c>
      <c r="K80" s="48">
        <v>11062660001</v>
      </c>
      <c r="L80" s="44">
        <v>1081.9650000000011</v>
      </c>
    </row>
    <row r="81" spans="2:12">
      <c r="B81" s="36" t="s">
        <v>578</v>
      </c>
      <c r="C81" s="36" t="s">
        <v>579</v>
      </c>
      <c r="D81" s="37" t="s">
        <v>19</v>
      </c>
      <c r="E81" s="37" t="s">
        <v>37</v>
      </c>
      <c r="F81" s="36" t="s">
        <v>246</v>
      </c>
      <c r="G81" s="37">
        <v>11030790001</v>
      </c>
      <c r="H81" s="36" t="s">
        <v>39</v>
      </c>
      <c r="I81" s="38">
        <v>6426.2050000000299</v>
      </c>
      <c r="K81" s="48">
        <v>11062670001</v>
      </c>
      <c r="L81" s="44">
        <v>1724.9399999999944</v>
      </c>
    </row>
    <row r="82" spans="2:12">
      <c r="B82" s="3" t="s">
        <v>449</v>
      </c>
      <c r="C82" s="3" t="s">
        <v>450</v>
      </c>
      <c r="D82" s="5" t="s">
        <v>19</v>
      </c>
      <c r="E82" s="5" t="s">
        <v>20</v>
      </c>
      <c r="F82" s="3" t="s">
        <v>451</v>
      </c>
      <c r="G82" s="37">
        <v>11030720001</v>
      </c>
      <c r="H82" s="3" t="s">
        <v>22</v>
      </c>
      <c r="I82" s="20">
        <v>191.77999999998764</v>
      </c>
      <c r="K82" s="48">
        <v>11062720001</v>
      </c>
      <c r="L82" s="44">
        <v>680.34999999999854</v>
      </c>
    </row>
    <row r="83" spans="2:12">
      <c r="B83" s="36" t="s">
        <v>795</v>
      </c>
      <c r="C83" s="36" t="s">
        <v>796</v>
      </c>
      <c r="D83" s="37" t="s">
        <v>19</v>
      </c>
      <c r="E83" s="37" t="s">
        <v>31</v>
      </c>
      <c r="F83" s="36" t="s">
        <v>797</v>
      </c>
      <c r="G83" s="37">
        <v>11010170001</v>
      </c>
      <c r="H83" s="36" t="s">
        <v>33</v>
      </c>
      <c r="I83" s="38">
        <v>307.16000000000003</v>
      </c>
      <c r="K83" s="48">
        <v>11062760001</v>
      </c>
      <c r="L83" s="44">
        <v>159.73999999999887</v>
      </c>
    </row>
    <row r="84" spans="2:12">
      <c r="B84" s="3" t="s">
        <v>595</v>
      </c>
      <c r="C84" s="3" t="s">
        <v>596</v>
      </c>
      <c r="D84" s="5" t="s">
        <v>19</v>
      </c>
      <c r="E84" s="5" t="s">
        <v>31</v>
      </c>
      <c r="F84" s="3" t="s">
        <v>32</v>
      </c>
      <c r="G84" s="37">
        <v>11030800001</v>
      </c>
      <c r="H84" s="3" t="s">
        <v>33</v>
      </c>
      <c r="I84" s="20">
        <v>74.329999999998222</v>
      </c>
      <c r="K84" s="48">
        <v>11062770001</v>
      </c>
      <c r="L84" s="44">
        <v>278.08000000000061</v>
      </c>
    </row>
    <row r="85" spans="2:12">
      <c r="B85" s="36" t="s">
        <v>265</v>
      </c>
      <c r="C85" s="36" t="s">
        <v>266</v>
      </c>
      <c r="D85" s="37" t="s">
        <v>19</v>
      </c>
      <c r="E85" s="37" t="s">
        <v>31</v>
      </c>
      <c r="F85" s="36" t="s">
        <v>32</v>
      </c>
      <c r="G85" s="37">
        <v>11030800001</v>
      </c>
      <c r="H85" s="36" t="s">
        <v>33</v>
      </c>
      <c r="I85" s="38">
        <v>86.419999999998652</v>
      </c>
      <c r="K85" s="48">
        <v>11062830001</v>
      </c>
      <c r="L85" s="44">
        <v>1522.8399999999979</v>
      </c>
    </row>
    <row r="86" spans="2:12">
      <c r="B86" s="3" t="s">
        <v>24</v>
      </c>
      <c r="C86" s="3" t="s">
        <v>25</v>
      </c>
      <c r="D86" s="5" t="s">
        <v>19</v>
      </c>
      <c r="E86" s="5" t="s">
        <v>26</v>
      </c>
      <c r="F86" s="3" t="s">
        <v>27</v>
      </c>
      <c r="G86" s="37">
        <v>11061480001</v>
      </c>
      <c r="H86" s="3" t="s">
        <v>28</v>
      </c>
      <c r="I86" s="20">
        <v>395.59000000000196</v>
      </c>
      <c r="K86" s="48">
        <v>11062850001</v>
      </c>
      <c r="L86" s="44">
        <v>1730.6900000000142</v>
      </c>
    </row>
    <row r="87" spans="2:12">
      <c r="B87" s="36" t="s">
        <v>551</v>
      </c>
      <c r="C87" s="36" t="s">
        <v>552</v>
      </c>
      <c r="D87" s="37" t="s">
        <v>19</v>
      </c>
      <c r="E87" s="37" t="s">
        <v>59</v>
      </c>
      <c r="F87" s="36" t="s">
        <v>60</v>
      </c>
      <c r="G87" s="37">
        <v>11040170001</v>
      </c>
      <c r="H87" s="36" t="s">
        <v>61</v>
      </c>
      <c r="I87" s="38">
        <v>443.68999999999636</v>
      </c>
      <c r="K87" s="48">
        <v>11080150001</v>
      </c>
      <c r="L87" s="44">
        <v>162.75999999999112</v>
      </c>
    </row>
    <row r="88" spans="2:12">
      <c r="B88" s="3" t="s">
        <v>584</v>
      </c>
      <c r="C88" s="3" t="s">
        <v>585</v>
      </c>
      <c r="D88" s="5" t="s">
        <v>19</v>
      </c>
      <c r="E88" s="5" t="s">
        <v>74</v>
      </c>
      <c r="F88" s="3" t="s">
        <v>183</v>
      </c>
      <c r="G88" s="37">
        <v>11030640001</v>
      </c>
      <c r="H88" s="3" t="s">
        <v>76</v>
      </c>
      <c r="I88" s="20">
        <v>694.30000000000109</v>
      </c>
      <c r="K88" s="48">
        <v>11080170001</v>
      </c>
      <c r="L88" s="44">
        <v>7733.6999999999625</v>
      </c>
    </row>
    <row r="89" spans="2:12">
      <c r="B89" s="36" t="s">
        <v>470</v>
      </c>
      <c r="C89" s="36" t="s">
        <v>471</v>
      </c>
      <c r="D89" s="37" t="s">
        <v>19</v>
      </c>
      <c r="E89" s="37" t="s">
        <v>37</v>
      </c>
      <c r="F89" s="36" t="s">
        <v>38</v>
      </c>
      <c r="G89" s="37">
        <v>11030860001</v>
      </c>
      <c r="H89" s="36" t="s">
        <v>39</v>
      </c>
      <c r="I89" s="38">
        <v>794.14999999999827</v>
      </c>
      <c r="K89" s="48">
        <v>11080180001</v>
      </c>
      <c r="L89" s="44">
        <v>520</v>
      </c>
    </row>
    <row r="90" spans="2:12">
      <c r="B90" s="3" t="s">
        <v>652</v>
      </c>
      <c r="C90" s="3" t="s">
        <v>653</v>
      </c>
      <c r="D90" s="5" t="s">
        <v>19</v>
      </c>
      <c r="E90" s="5" t="s">
        <v>37</v>
      </c>
      <c r="F90" s="3" t="s">
        <v>654</v>
      </c>
      <c r="G90" s="37">
        <v>11010080001</v>
      </c>
      <c r="H90" s="3" t="s">
        <v>39</v>
      </c>
      <c r="I90" s="20">
        <v>751.50000000000091</v>
      </c>
      <c r="K90" s="48">
        <v>11080440001</v>
      </c>
      <c r="L90" s="44">
        <v>120</v>
      </c>
    </row>
    <row r="91" spans="2:12">
      <c r="B91" s="36" t="s">
        <v>523</v>
      </c>
      <c r="C91" s="36" t="s">
        <v>524</v>
      </c>
      <c r="D91" s="37" t="s">
        <v>19</v>
      </c>
      <c r="E91" s="37" t="s">
        <v>43</v>
      </c>
      <c r="F91" s="36" t="s">
        <v>525</v>
      </c>
      <c r="G91" s="37">
        <v>11010110001</v>
      </c>
      <c r="H91" s="36" t="s">
        <v>45</v>
      </c>
      <c r="I91" s="38">
        <v>843.82000000000016</v>
      </c>
      <c r="K91" s="48">
        <v>11080500001</v>
      </c>
      <c r="L91" s="44">
        <v>318.09999999999809</v>
      </c>
    </row>
    <row r="92" spans="2:12">
      <c r="B92" s="3" t="s">
        <v>553</v>
      </c>
      <c r="C92" s="3" t="s">
        <v>554</v>
      </c>
      <c r="D92" s="5" t="s">
        <v>19</v>
      </c>
      <c r="E92" s="5" t="s">
        <v>59</v>
      </c>
      <c r="F92" s="3" t="s">
        <v>60</v>
      </c>
      <c r="G92" s="37">
        <v>11040170001</v>
      </c>
      <c r="H92" s="3" t="s">
        <v>61</v>
      </c>
      <c r="I92" s="20">
        <v>916.48000000000013</v>
      </c>
      <c r="K92" s="48">
        <v>11110340001</v>
      </c>
      <c r="L92" s="44">
        <v>920.17999999999847</v>
      </c>
    </row>
    <row r="93" spans="2:12">
      <c r="B93" s="36" t="s">
        <v>717</v>
      </c>
      <c r="C93" s="36" t="s">
        <v>718</v>
      </c>
      <c r="D93" s="37" t="s">
        <v>19</v>
      </c>
      <c r="E93" s="37" t="s">
        <v>43</v>
      </c>
      <c r="F93" s="36" t="s">
        <v>719</v>
      </c>
      <c r="G93" s="37">
        <v>11030650001</v>
      </c>
      <c r="H93" s="36" t="s">
        <v>45</v>
      </c>
      <c r="I93" s="38">
        <v>1305.0249999999967</v>
      </c>
      <c r="K93" s="48" t="s">
        <v>855</v>
      </c>
      <c r="L93" s="44">
        <v>268239.9350000007</v>
      </c>
    </row>
    <row r="94" spans="2:12">
      <c r="B94" s="3" t="s">
        <v>848</v>
      </c>
      <c r="C94" s="3" t="s">
        <v>849</v>
      </c>
      <c r="D94" s="5" t="s">
        <v>19</v>
      </c>
      <c r="E94" s="5" t="s">
        <v>43</v>
      </c>
      <c r="F94" s="3" t="s">
        <v>238</v>
      </c>
      <c r="G94" s="37">
        <v>11061770001</v>
      </c>
      <c r="H94" s="3" t="s">
        <v>45</v>
      </c>
      <c r="I94" s="20">
        <v>499.67500000000001</v>
      </c>
    </row>
    <row r="95" spans="2:12">
      <c r="B95" s="36" t="s">
        <v>750</v>
      </c>
      <c r="C95" s="36" t="s">
        <v>751</v>
      </c>
      <c r="D95" s="37" t="s">
        <v>19</v>
      </c>
      <c r="E95" s="37" t="s">
        <v>31</v>
      </c>
      <c r="F95" s="36" t="s">
        <v>56</v>
      </c>
      <c r="G95" s="37">
        <v>11040160001</v>
      </c>
      <c r="H95" s="36" t="s">
        <v>33</v>
      </c>
      <c r="I95" s="38">
        <v>766.12499999999818</v>
      </c>
    </row>
    <row r="96" spans="2:12">
      <c r="B96" s="3" t="s">
        <v>439</v>
      </c>
      <c r="C96" s="3" t="s">
        <v>440</v>
      </c>
      <c r="D96" s="5" t="s">
        <v>19</v>
      </c>
      <c r="E96" s="5" t="s">
        <v>31</v>
      </c>
      <c r="F96" s="3" t="s">
        <v>441</v>
      </c>
      <c r="G96" s="37">
        <v>11030660001</v>
      </c>
      <c r="H96" s="3" t="s">
        <v>33</v>
      </c>
      <c r="I96" s="20">
        <v>7264.1349999999393</v>
      </c>
    </row>
    <row r="97" spans="2:9">
      <c r="B97" s="36" t="s">
        <v>776</v>
      </c>
      <c r="C97" s="36" t="s">
        <v>777</v>
      </c>
      <c r="D97" s="37" t="s">
        <v>19</v>
      </c>
      <c r="E97" s="37" t="s">
        <v>20</v>
      </c>
      <c r="F97" s="36" t="s">
        <v>193</v>
      </c>
      <c r="G97" s="37">
        <v>11040040001</v>
      </c>
      <c r="H97" s="36" t="s">
        <v>22</v>
      </c>
      <c r="I97" s="38">
        <v>298.08000000000175</v>
      </c>
    </row>
    <row r="98" spans="2:9">
      <c r="B98" s="3" t="s">
        <v>603</v>
      </c>
      <c r="C98" s="3" t="s">
        <v>604</v>
      </c>
      <c r="D98" s="5" t="s">
        <v>19</v>
      </c>
      <c r="E98" s="5" t="s">
        <v>96</v>
      </c>
      <c r="F98" s="3" t="s">
        <v>605</v>
      </c>
      <c r="G98" s="37">
        <v>11110340001</v>
      </c>
      <c r="H98" s="3" t="s">
        <v>98</v>
      </c>
      <c r="I98" s="20">
        <v>920.17999999999847</v>
      </c>
    </row>
    <row r="99" spans="2:9">
      <c r="B99" s="36" t="s">
        <v>203</v>
      </c>
      <c r="C99" s="36" t="s">
        <v>204</v>
      </c>
      <c r="D99" s="37" t="s">
        <v>19</v>
      </c>
      <c r="E99" s="37" t="s">
        <v>37</v>
      </c>
      <c r="F99" s="36" t="s">
        <v>138</v>
      </c>
      <c r="G99" s="37">
        <v>11061720001</v>
      </c>
      <c r="H99" s="36" t="s">
        <v>39</v>
      </c>
      <c r="I99" s="38">
        <v>1095.2850000000017</v>
      </c>
    </row>
    <row r="100" spans="2:9">
      <c r="B100" s="3" t="s">
        <v>269</v>
      </c>
      <c r="C100" s="3" t="s">
        <v>270</v>
      </c>
      <c r="D100" s="5" t="s">
        <v>19</v>
      </c>
      <c r="E100" s="5" t="s">
        <v>31</v>
      </c>
      <c r="F100" s="3" t="s">
        <v>56</v>
      </c>
      <c r="G100" s="37">
        <v>11040160001</v>
      </c>
      <c r="H100" s="3" t="s">
        <v>33</v>
      </c>
      <c r="I100" s="20">
        <v>1590.325</v>
      </c>
    </row>
    <row r="101" spans="2:9">
      <c r="B101" s="36" t="s">
        <v>104</v>
      </c>
      <c r="C101" s="36" t="s">
        <v>105</v>
      </c>
      <c r="D101" s="37" t="s">
        <v>19</v>
      </c>
      <c r="E101" s="37" t="s">
        <v>43</v>
      </c>
      <c r="F101" s="36" t="s">
        <v>106</v>
      </c>
      <c r="G101" s="37">
        <v>11061820001</v>
      </c>
      <c r="H101" s="36" t="s">
        <v>45</v>
      </c>
      <c r="I101" s="38">
        <v>678.79500000000098</v>
      </c>
    </row>
    <row r="102" spans="2:9">
      <c r="B102" s="3" t="s">
        <v>452</v>
      </c>
      <c r="C102" s="3" t="s">
        <v>453</v>
      </c>
      <c r="D102" s="5" t="s">
        <v>19</v>
      </c>
      <c r="E102" s="5" t="s">
        <v>74</v>
      </c>
      <c r="F102" s="3" t="s">
        <v>373</v>
      </c>
      <c r="G102" s="37">
        <v>11061420001</v>
      </c>
      <c r="H102" s="3" t="s">
        <v>76</v>
      </c>
      <c r="I102" s="20">
        <v>1685.2150000000006</v>
      </c>
    </row>
    <row r="103" spans="2:9">
      <c r="B103" s="36" t="s">
        <v>148</v>
      </c>
      <c r="C103" s="36" t="s">
        <v>149</v>
      </c>
      <c r="D103" s="37" t="s">
        <v>19</v>
      </c>
      <c r="E103" s="37" t="s">
        <v>37</v>
      </c>
      <c r="F103" s="36" t="s">
        <v>109</v>
      </c>
      <c r="G103" s="37">
        <v>11010370001</v>
      </c>
      <c r="H103" s="36" t="s">
        <v>39</v>
      </c>
      <c r="I103" s="38">
        <v>740.30499999999995</v>
      </c>
    </row>
    <row r="104" spans="2:9">
      <c r="B104" s="3" t="s">
        <v>233</v>
      </c>
      <c r="C104" s="3" t="s">
        <v>234</v>
      </c>
      <c r="D104" s="5" t="s">
        <v>19</v>
      </c>
      <c r="E104" s="5" t="s">
        <v>26</v>
      </c>
      <c r="F104" s="3" t="s">
        <v>235</v>
      </c>
      <c r="G104" s="37">
        <v>11062270001</v>
      </c>
      <c r="H104" s="3" t="s">
        <v>28</v>
      </c>
      <c r="I104" s="20">
        <v>1661.21000000001</v>
      </c>
    </row>
    <row r="105" spans="2:9">
      <c r="B105" s="36" t="s">
        <v>649</v>
      </c>
      <c r="C105" s="36" t="s">
        <v>650</v>
      </c>
      <c r="D105" s="37" t="s">
        <v>19</v>
      </c>
      <c r="E105" s="37" t="s">
        <v>20</v>
      </c>
      <c r="F105" s="36" t="s">
        <v>651</v>
      </c>
      <c r="G105" s="37">
        <v>11030810001</v>
      </c>
      <c r="H105" s="36" t="s">
        <v>22</v>
      </c>
      <c r="I105" s="38">
        <v>541.35000000000127</v>
      </c>
    </row>
    <row r="106" spans="2:9">
      <c r="B106" s="3" t="s">
        <v>711</v>
      </c>
      <c r="C106" s="3" t="s">
        <v>712</v>
      </c>
      <c r="D106" s="5" t="s">
        <v>19</v>
      </c>
      <c r="E106" s="5" t="s">
        <v>31</v>
      </c>
      <c r="F106" s="3" t="s">
        <v>56</v>
      </c>
      <c r="G106" s="37">
        <v>11040160001</v>
      </c>
      <c r="H106" s="3" t="s">
        <v>33</v>
      </c>
      <c r="I106" s="20">
        <v>59.18999999999869</v>
      </c>
    </row>
    <row r="107" spans="2:9">
      <c r="B107" s="36" t="s">
        <v>820</v>
      </c>
      <c r="C107" s="36" t="s">
        <v>821</v>
      </c>
      <c r="D107" s="37" t="s">
        <v>19</v>
      </c>
      <c r="E107" s="37" t="s">
        <v>74</v>
      </c>
      <c r="F107" s="36" t="s">
        <v>298</v>
      </c>
      <c r="G107" s="37">
        <v>11062670001</v>
      </c>
      <c r="H107" s="36" t="s">
        <v>76</v>
      </c>
      <c r="I107" s="38">
        <v>122.50000000000091</v>
      </c>
    </row>
    <row r="108" spans="2:9">
      <c r="B108" s="3" t="s">
        <v>698</v>
      </c>
      <c r="C108" s="3" t="s">
        <v>699</v>
      </c>
      <c r="D108" s="5" t="s">
        <v>19</v>
      </c>
      <c r="E108" s="5" t="s">
        <v>37</v>
      </c>
      <c r="F108" s="3" t="s">
        <v>138</v>
      </c>
      <c r="G108" s="37">
        <v>11061720001</v>
      </c>
      <c r="H108" s="3" t="s">
        <v>39</v>
      </c>
      <c r="I108" s="20">
        <v>304.07999999999515</v>
      </c>
    </row>
    <row r="109" spans="2:9">
      <c r="B109" s="36" t="s">
        <v>728</v>
      </c>
      <c r="C109" s="36" t="s">
        <v>729</v>
      </c>
      <c r="D109" s="37" t="s">
        <v>19</v>
      </c>
      <c r="E109" s="37" t="s">
        <v>37</v>
      </c>
      <c r="F109" s="36" t="s">
        <v>138</v>
      </c>
      <c r="G109" s="37">
        <v>11061720001</v>
      </c>
      <c r="H109" s="36" t="s">
        <v>39</v>
      </c>
      <c r="I109" s="38">
        <v>163.96000000000285</v>
      </c>
    </row>
    <row r="110" spans="2:9">
      <c r="B110" s="3" t="s">
        <v>802</v>
      </c>
      <c r="C110" s="3" t="s">
        <v>803</v>
      </c>
      <c r="D110" s="5" t="s">
        <v>19</v>
      </c>
      <c r="E110" s="5" t="s">
        <v>26</v>
      </c>
      <c r="F110" s="3" t="s">
        <v>804</v>
      </c>
      <c r="G110" s="37">
        <v>11062160001</v>
      </c>
      <c r="H110" s="3" t="s">
        <v>28</v>
      </c>
      <c r="I110" s="20">
        <v>413.2699999999968</v>
      </c>
    </row>
    <row r="111" spans="2:9">
      <c r="B111" s="36" t="s">
        <v>557</v>
      </c>
      <c r="C111" s="36" t="s">
        <v>558</v>
      </c>
      <c r="D111" s="37" t="s">
        <v>19</v>
      </c>
      <c r="E111" s="37" t="s">
        <v>37</v>
      </c>
      <c r="F111" s="36" t="s">
        <v>138</v>
      </c>
      <c r="G111" s="37">
        <v>11061720001</v>
      </c>
      <c r="H111" s="36" t="s">
        <v>39</v>
      </c>
      <c r="I111" s="38">
        <v>240.79999999999708</v>
      </c>
    </row>
    <row r="112" spans="2:9">
      <c r="B112" s="3" t="s">
        <v>437</v>
      </c>
      <c r="C112" s="3" t="s">
        <v>438</v>
      </c>
      <c r="D112" s="5" t="s">
        <v>19</v>
      </c>
      <c r="E112" s="5" t="s">
        <v>37</v>
      </c>
      <c r="F112" s="3" t="s">
        <v>138</v>
      </c>
      <c r="G112" s="37">
        <v>11061720001</v>
      </c>
      <c r="H112" s="3" t="s">
        <v>39</v>
      </c>
      <c r="I112" s="20">
        <v>198.71999999999514</v>
      </c>
    </row>
    <row r="113" spans="2:9">
      <c r="B113" s="36" t="s">
        <v>367</v>
      </c>
      <c r="C113" s="36" t="s">
        <v>368</v>
      </c>
      <c r="D113" s="37" t="s">
        <v>19</v>
      </c>
      <c r="E113" s="37" t="s">
        <v>37</v>
      </c>
      <c r="F113" s="36" t="s">
        <v>138</v>
      </c>
      <c r="G113" s="37">
        <v>11061720001</v>
      </c>
      <c r="H113" s="36" t="s">
        <v>39</v>
      </c>
      <c r="I113" s="38">
        <v>386.08999999999662</v>
      </c>
    </row>
    <row r="114" spans="2:9">
      <c r="B114" s="3" t="s">
        <v>280</v>
      </c>
      <c r="C114" s="3" t="s">
        <v>281</v>
      </c>
      <c r="D114" s="5" t="s">
        <v>19</v>
      </c>
      <c r="E114" s="5" t="s">
        <v>37</v>
      </c>
      <c r="F114" s="3" t="s">
        <v>138</v>
      </c>
      <c r="G114" s="37">
        <v>11061720001</v>
      </c>
      <c r="H114" s="3" t="s">
        <v>39</v>
      </c>
      <c r="I114" s="20">
        <v>442.73999999999535</v>
      </c>
    </row>
    <row r="115" spans="2:9">
      <c r="B115" s="36" t="s">
        <v>769</v>
      </c>
      <c r="C115" s="36" t="s">
        <v>770</v>
      </c>
      <c r="D115" s="37" t="s">
        <v>19</v>
      </c>
      <c r="E115" s="37" t="s">
        <v>37</v>
      </c>
      <c r="F115" s="36" t="s">
        <v>138</v>
      </c>
      <c r="G115" s="37">
        <v>11061720001</v>
      </c>
      <c r="H115" s="36" t="s">
        <v>39</v>
      </c>
      <c r="I115" s="38">
        <v>635.98000000000707</v>
      </c>
    </row>
    <row r="116" spans="2:9">
      <c r="B116" s="3" t="s">
        <v>582</v>
      </c>
      <c r="C116" s="3" t="s">
        <v>583</v>
      </c>
      <c r="D116" s="5" t="s">
        <v>19</v>
      </c>
      <c r="E116" s="5" t="s">
        <v>37</v>
      </c>
      <c r="F116" s="3" t="s">
        <v>138</v>
      </c>
      <c r="G116" s="37">
        <v>11061720001</v>
      </c>
      <c r="H116" s="3" t="s">
        <v>39</v>
      </c>
      <c r="I116" s="20">
        <v>556.61999999999034</v>
      </c>
    </row>
    <row r="117" spans="2:9">
      <c r="B117" s="36" t="s">
        <v>843</v>
      </c>
      <c r="C117" s="36" t="s">
        <v>844</v>
      </c>
      <c r="D117" s="37" t="s">
        <v>19</v>
      </c>
      <c r="E117" s="37" t="s">
        <v>37</v>
      </c>
      <c r="F117" s="36" t="s">
        <v>138</v>
      </c>
      <c r="G117" s="37">
        <v>11061720001</v>
      </c>
      <c r="H117" s="36" t="s">
        <v>39</v>
      </c>
      <c r="I117" s="38">
        <v>596.29999999999052</v>
      </c>
    </row>
    <row r="118" spans="2:9">
      <c r="B118" s="3" t="s">
        <v>824</v>
      </c>
      <c r="C118" s="3" t="s">
        <v>825</v>
      </c>
      <c r="D118" s="5" t="s">
        <v>19</v>
      </c>
      <c r="E118" s="5" t="s">
        <v>37</v>
      </c>
      <c r="F118" s="3" t="s">
        <v>138</v>
      </c>
      <c r="G118" s="37">
        <v>11061720001</v>
      </c>
      <c r="H118" s="3" t="s">
        <v>39</v>
      </c>
      <c r="I118" s="20">
        <v>671.08999999999276</v>
      </c>
    </row>
    <row r="119" spans="2:9">
      <c r="B119" s="36" t="s">
        <v>555</v>
      </c>
      <c r="C119" s="36" t="s">
        <v>556</v>
      </c>
      <c r="D119" s="37" t="s">
        <v>19</v>
      </c>
      <c r="E119" s="37" t="s">
        <v>37</v>
      </c>
      <c r="F119" s="36" t="s">
        <v>138</v>
      </c>
      <c r="G119" s="37">
        <v>11061720001</v>
      </c>
      <c r="H119" s="36" t="s">
        <v>39</v>
      </c>
      <c r="I119" s="38">
        <v>693.16000000000008</v>
      </c>
    </row>
    <row r="120" spans="2:9">
      <c r="B120" s="3" t="s">
        <v>136</v>
      </c>
      <c r="C120" s="3" t="s">
        <v>137</v>
      </c>
      <c r="D120" s="5" t="s">
        <v>19</v>
      </c>
      <c r="E120" s="5" t="s">
        <v>37</v>
      </c>
      <c r="F120" s="3" t="s">
        <v>138</v>
      </c>
      <c r="G120" s="37">
        <v>11061720001</v>
      </c>
      <c r="H120" s="3" t="s">
        <v>39</v>
      </c>
      <c r="I120" s="20">
        <v>642.12999999999181</v>
      </c>
    </row>
    <row r="121" spans="2:9">
      <c r="B121" s="36" t="s">
        <v>69</v>
      </c>
      <c r="C121" s="36" t="s">
        <v>70</v>
      </c>
      <c r="D121" s="37" t="s">
        <v>19</v>
      </c>
      <c r="E121" s="37" t="s">
        <v>26</v>
      </c>
      <c r="F121" s="36" t="s">
        <v>71</v>
      </c>
      <c r="G121" s="37">
        <v>11010060001</v>
      </c>
      <c r="H121" s="36" t="s">
        <v>28</v>
      </c>
      <c r="I121" s="38">
        <v>738.48000000000116</v>
      </c>
    </row>
    <row r="122" spans="2:9">
      <c r="B122" s="3" t="s">
        <v>668</v>
      </c>
      <c r="C122" s="3" t="s">
        <v>669</v>
      </c>
      <c r="D122" s="5" t="s">
        <v>19</v>
      </c>
      <c r="E122" s="5" t="s">
        <v>37</v>
      </c>
      <c r="F122" s="3" t="s">
        <v>138</v>
      </c>
      <c r="G122" s="37">
        <v>11061720001</v>
      </c>
      <c r="H122" s="3" t="s">
        <v>39</v>
      </c>
      <c r="I122" s="20">
        <v>736.43999999999028</v>
      </c>
    </row>
    <row r="123" spans="2:9">
      <c r="B123" s="36" t="s">
        <v>468</v>
      </c>
      <c r="C123" s="36" t="s">
        <v>469</v>
      </c>
      <c r="D123" s="37" t="s">
        <v>19</v>
      </c>
      <c r="E123" s="37" t="s">
        <v>37</v>
      </c>
      <c r="F123" s="36" t="s">
        <v>138</v>
      </c>
      <c r="G123" s="37">
        <v>11061720001</v>
      </c>
      <c r="H123" s="36" t="s">
        <v>39</v>
      </c>
      <c r="I123" s="38">
        <v>767.83999999999457</v>
      </c>
    </row>
    <row r="124" spans="2:9">
      <c r="B124" s="3" t="s">
        <v>625</v>
      </c>
      <c r="C124" s="3" t="s">
        <v>626</v>
      </c>
      <c r="D124" s="5" t="s">
        <v>19</v>
      </c>
      <c r="E124" s="5" t="s">
        <v>627</v>
      </c>
      <c r="F124" s="3" t="s">
        <v>138</v>
      </c>
      <c r="G124" s="37">
        <v>11061720001</v>
      </c>
      <c r="H124" s="3" t="s">
        <v>39</v>
      </c>
      <c r="I124" s="20">
        <v>783.2399999999999</v>
      </c>
    </row>
    <row r="125" spans="2:9">
      <c r="B125" s="36" t="s">
        <v>461</v>
      </c>
      <c r="C125" s="36" t="s">
        <v>462</v>
      </c>
      <c r="D125" s="37" t="s">
        <v>19</v>
      </c>
      <c r="E125" s="37" t="s">
        <v>37</v>
      </c>
      <c r="F125" s="36" t="s">
        <v>138</v>
      </c>
      <c r="G125" s="37">
        <v>11061720001</v>
      </c>
      <c r="H125" s="36" t="s">
        <v>39</v>
      </c>
      <c r="I125" s="38">
        <v>795.81999999999618</v>
      </c>
    </row>
    <row r="126" spans="2:9">
      <c r="B126" s="3" t="s">
        <v>271</v>
      </c>
      <c r="C126" s="3" t="s">
        <v>272</v>
      </c>
      <c r="D126" s="5" t="s">
        <v>19</v>
      </c>
      <c r="E126" s="5" t="s">
        <v>37</v>
      </c>
      <c r="F126" s="3" t="s">
        <v>138</v>
      </c>
      <c r="G126" s="37">
        <v>11061720001</v>
      </c>
      <c r="H126" s="3" t="s">
        <v>39</v>
      </c>
      <c r="I126" s="20">
        <v>734.60000000000286</v>
      </c>
    </row>
    <row r="127" spans="2:9">
      <c r="B127" s="36" t="s">
        <v>850</v>
      </c>
      <c r="C127" s="36" t="s">
        <v>851</v>
      </c>
      <c r="D127" s="37" t="s">
        <v>19</v>
      </c>
      <c r="E127" s="37" t="s">
        <v>43</v>
      </c>
      <c r="F127" s="36" t="s">
        <v>634</v>
      </c>
      <c r="G127" s="37">
        <v>11061980001</v>
      </c>
      <c r="H127" s="36" t="s">
        <v>45</v>
      </c>
      <c r="I127" s="38">
        <v>243.7600000000001</v>
      </c>
    </row>
    <row r="128" spans="2:9">
      <c r="B128" s="3" t="s">
        <v>17</v>
      </c>
      <c r="C128" s="3" t="s">
        <v>18</v>
      </c>
      <c r="D128" s="5" t="s">
        <v>19</v>
      </c>
      <c r="E128" s="5" t="s">
        <v>20</v>
      </c>
      <c r="F128" s="3" t="s">
        <v>21</v>
      </c>
      <c r="G128" s="37">
        <v>11030290001</v>
      </c>
      <c r="H128" s="3" t="s">
        <v>22</v>
      </c>
      <c r="I128" s="20">
        <v>9948.7750000000669</v>
      </c>
    </row>
    <row r="129" spans="2:9">
      <c r="B129" s="36" t="s">
        <v>299</v>
      </c>
      <c r="C129" s="36" t="s">
        <v>300</v>
      </c>
      <c r="D129" s="37" t="s">
        <v>19</v>
      </c>
      <c r="E129" s="37" t="s">
        <v>31</v>
      </c>
      <c r="F129" s="36" t="s">
        <v>301</v>
      </c>
      <c r="G129" s="37">
        <v>11062760001</v>
      </c>
      <c r="H129" s="36" t="s">
        <v>33</v>
      </c>
      <c r="I129" s="38">
        <v>159.73999999999887</v>
      </c>
    </row>
    <row r="130" spans="2:9">
      <c r="B130" s="3" t="s">
        <v>209</v>
      </c>
      <c r="C130" s="3" t="s">
        <v>210</v>
      </c>
      <c r="D130" s="5" t="s">
        <v>19</v>
      </c>
      <c r="E130" s="5" t="s">
        <v>37</v>
      </c>
      <c r="F130" s="3" t="s">
        <v>138</v>
      </c>
      <c r="G130" s="37">
        <v>11061720001</v>
      </c>
      <c r="H130" s="3" t="s">
        <v>39</v>
      </c>
      <c r="I130" s="20">
        <v>247.35999999999484</v>
      </c>
    </row>
    <row r="131" spans="2:9">
      <c r="B131" s="36" t="s">
        <v>620</v>
      </c>
      <c r="C131" s="36" t="s">
        <v>621</v>
      </c>
      <c r="D131" s="37" t="s">
        <v>19</v>
      </c>
      <c r="E131" s="37" t="s">
        <v>31</v>
      </c>
      <c r="F131" s="36" t="s">
        <v>257</v>
      </c>
      <c r="G131" s="37">
        <v>11062450001</v>
      </c>
      <c r="H131" s="36" t="s">
        <v>33</v>
      </c>
      <c r="I131" s="38">
        <v>335.32000000000005</v>
      </c>
    </row>
    <row r="132" spans="2:9">
      <c r="B132" s="3" t="s">
        <v>679</v>
      </c>
      <c r="C132" s="3" t="s">
        <v>680</v>
      </c>
      <c r="D132" s="5" t="s">
        <v>19</v>
      </c>
      <c r="E132" s="5" t="s">
        <v>31</v>
      </c>
      <c r="F132" s="3" t="s">
        <v>56</v>
      </c>
      <c r="G132" s="37">
        <v>11040160001</v>
      </c>
      <c r="H132" s="3" t="s">
        <v>33</v>
      </c>
      <c r="I132" s="20">
        <v>527.68000000000177</v>
      </c>
    </row>
    <row r="133" spans="2:9">
      <c r="B133" s="36" t="s">
        <v>422</v>
      </c>
      <c r="C133" s="36" t="s">
        <v>423</v>
      </c>
      <c r="D133" s="37" t="s">
        <v>19</v>
      </c>
      <c r="E133" s="37" t="s">
        <v>424</v>
      </c>
      <c r="F133" s="36" t="s">
        <v>424</v>
      </c>
      <c r="G133" s="37">
        <v>1201014</v>
      </c>
      <c r="H133" s="36" t="s">
        <v>425</v>
      </c>
      <c r="I133" s="38">
        <v>926.51499999999965</v>
      </c>
    </row>
    <row r="134" spans="2:9">
      <c r="B134" s="3" t="s">
        <v>535</v>
      </c>
      <c r="C134" s="3" t="s">
        <v>536</v>
      </c>
      <c r="D134" s="5" t="s">
        <v>19</v>
      </c>
      <c r="E134" s="5" t="s">
        <v>31</v>
      </c>
      <c r="F134" s="3" t="s">
        <v>56</v>
      </c>
      <c r="G134" s="37">
        <v>11040160001</v>
      </c>
      <c r="H134" s="3" t="s">
        <v>33</v>
      </c>
      <c r="I134" s="20">
        <v>344.48000000000036</v>
      </c>
    </row>
    <row r="135" spans="2:9">
      <c r="B135" s="36" t="s">
        <v>514</v>
      </c>
      <c r="C135" s="36" t="s">
        <v>515</v>
      </c>
      <c r="D135" s="37" t="s">
        <v>19</v>
      </c>
      <c r="E135" s="37" t="s">
        <v>37</v>
      </c>
      <c r="F135" s="36" t="s">
        <v>347</v>
      </c>
      <c r="G135" s="37">
        <v>11010180001</v>
      </c>
      <c r="H135" s="36" t="s">
        <v>39</v>
      </c>
      <c r="I135" s="38">
        <v>634.78</v>
      </c>
    </row>
    <row r="136" spans="2:9">
      <c r="B136" s="3" t="s">
        <v>144</v>
      </c>
      <c r="C136" s="3" t="s">
        <v>145</v>
      </c>
      <c r="D136" s="5" t="s">
        <v>19</v>
      </c>
      <c r="E136" s="5" t="s">
        <v>31</v>
      </c>
      <c r="F136" s="3" t="s">
        <v>56</v>
      </c>
      <c r="G136" s="37">
        <v>11040160001</v>
      </c>
      <c r="H136" s="3" t="s">
        <v>33</v>
      </c>
      <c r="I136" s="20">
        <v>661.44000000000051</v>
      </c>
    </row>
    <row r="137" spans="2:9">
      <c r="B137" s="36" t="s">
        <v>288</v>
      </c>
      <c r="C137" s="36" t="s">
        <v>289</v>
      </c>
      <c r="D137" s="37" t="s">
        <v>19</v>
      </c>
      <c r="E137" s="37" t="s">
        <v>48</v>
      </c>
      <c r="F137" s="36" t="s">
        <v>93</v>
      </c>
      <c r="G137" s="37">
        <v>11040140001</v>
      </c>
      <c r="H137" s="36" t="s">
        <v>50</v>
      </c>
      <c r="I137" s="38">
        <v>354.94500000000261</v>
      </c>
    </row>
    <row r="138" spans="2:9">
      <c r="B138" s="3" t="s">
        <v>606</v>
      </c>
      <c r="C138" s="3" t="s">
        <v>607</v>
      </c>
      <c r="D138" s="5" t="s">
        <v>19</v>
      </c>
      <c r="E138" s="5" t="s">
        <v>74</v>
      </c>
      <c r="F138" s="3" t="s">
        <v>373</v>
      </c>
      <c r="G138" s="37">
        <v>11061420001</v>
      </c>
      <c r="H138" s="3" t="s">
        <v>76</v>
      </c>
      <c r="I138" s="20">
        <v>2339.579999999999</v>
      </c>
    </row>
    <row r="139" spans="2:9">
      <c r="B139" s="36" t="s">
        <v>492</v>
      </c>
      <c r="C139" s="36" t="s">
        <v>493</v>
      </c>
      <c r="D139" s="37" t="s">
        <v>19</v>
      </c>
      <c r="E139" s="37" t="s">
        <v>74</v>
      </c>
      <c r="F139" s="36" t="s">
        <v>152</v>
      </c>
      <c r="G139" s="37">
        <v>11030750001</v>
      </c>
      <c r="H139" s="36" t="s">
        <v>76</v>
      </c>
      <c r="I139" s="38">
        <v>4051.7000000000116</v>
      </c>
    </row>
    <row r="140" spans="2:9">
      <c r="B140" s="3" t="s">
        <v>207</v>
      </c>
      <c r="C140" s="3" t="s">
        <v>208</v>
      </c>
      <c r="D140" s="5" t="s">
        <v>19</v>
      </c>
      <c r="E140" s="5" t="s">
        <v>37</v>
      </c>
      <c r="F140" s="3" t="s">
        <v>138</v>
      </c>
      <c r="G140" s="37">
        <v>11061720001</v>
      </c>
      <c r="H140" s="3" t="s">
        <v>39</v>
      </c>
      <c r="I140" s="20">
        <v>435.65999999999667</v>
      </c>
    </row>
    <row r="141" spans="2:9">
      <c r="B141" s="36" t="s">
        <v>696</v>
      </c>
      <c r="C141" s="36" t="s">
        <v>697</v>
      </c>
      <c r="D141" s="37" t="s">
        <v>19</v>
      </c>
      <c r="E141" s="37" t="s">
        <v>37</v>
      </c>
      <c r="F141" s="36" t="s">
        <v>138</v>
      </c>
      <c r="G141" s="37">
        <v>11061720001</v>
      </c>
      <c r="H141" s="36" t="s">
        <v>39</v>
      </c>
      <c r="I141" s="38">
        <v>409.49999999999818</v>
      </c>
    </row>
    <row r="142" spans="2:9">
      <c r="B142" s="3" t="s">
        <v>102</v>
      </c>
      <c r="C142" s="3" t="s">
        <v>103</v>
      </c>
      <c r="D142" s="5" t="s">
        <v>19</v>
      </c>
      <c r="E142" s="5" t="s">
        <v>31</v>
      </c>
      <c r="F142" s="3" t="s">
        <v>32</v>
      </c>
      <c r="G142" s="37">
        <v>11030800001</v>
      </c>
      <c r="H142" s="3" t="s">
        <v>33</v>
      </c>
      <c r="I142" s="20">
        <v>217.05000000000095</v>
      </c>
    </row>
    <row r="143" spans="2:9">
      <c r="B143" s="36" t="s">
        <v>813</v>
      </c>
      <c r="C143" s="36" t="s">
        <v>814</v>
      </c>
      <c r="D143" s="37" t="s">
        <v>19</v>
      </c>
      <c r="E143" s="37" t="s">
        <v>26</v>
      </c>
      <c r="F143" s="36" t="s">
        <v>815</v>
      </c>
      <c r="G143" s="37">
        <v>11080500001</v>
      </c>
      <c r="H143" s="36" t="s">
        <v>28</v>
      </c>
      <c r="I143" s="38">
        <v>151.59999999999809</v>
      </c>
    </row>
    <row r="144" spans="2:9">
      <c r="B144" s="3" t="s">
        <v>29</v>
      </c>
      <c r="C144" s="3" t="s">
        <v>30</v>
      </c>
      <c r="D144" s="5" t="s">
        <v>19</v>
      </c>
      <c r="E144" s="5" t="s">
        <v>31</v>
      </c>
      <c r="F144" s="3" t="s">
        <v>32</v>
      </c>
      <c r="G144" s="37">
        <v>11030800001</v>
      </c>
      <c r="H144" s="3" t="s">
        <v>33</v>
      </c>
      <c r="I144" s="20">
        <v>382.06999999999982</v>
      </c>
    </row>
    <row r="145" spans="2:9">
      <c r="B145" s="36" t="s">
        <v>477</v>
      </c>
      <c r="C145" s="36" t="s">
        <v>478</v>
      </c>
      <c r="D145" s="37" t="s">
        <v>19</v>
      </c>
      <c r="E145" s="37" t="s">
        <v>37</v>
      </c>
      <c r="F145" s="36" t="s">
        <v>479</v>
      </c>
      <c r="G145" s="37">
        <v>11062720001</v>
      </c>
      <c r="H145" s="36" t="s">
        <v>39</v>
      </c>
      <c r="I145" s="38">
        <v>384.34999999999849</v>
      </c>
    </row>
    <row r="146" spans="2:9">
      <c r="B146" s="3" t="s">
        <v>227</v>
      </c>
      <c r="C146" s="3" t="s">
        <v>228</v>
      </c>
      <c r="D146" s="5" t="s">
        <v>19</v>
      </c>
      <c r="E146" s="5" t="s">
        <v>31</v>
      </c>
      <c r="F146" s="3" t="s">
        <v>229</v>
      </c>
      <c r="G146" s="37">
        <v>11010280001</v>
      </c>
      <c r="H146" s="3" t="s">
        <v>33</v>
      </c>
      <c r="I146" s="20">
        <v>470.10000000000036</v>
      </c>
    </row>
    <row r="147" spans="2:9">
      <c r="B147" s="36" t="s">
        <v>155</v>
      </c>
      <c r="C147" s="36" t="s">
        <v>156</v>
      </c>
      <c r="D147" s="37" t="s">
        <v>19</v>
      </c>
      <c r="E147" s="37" t="s">
        <v>59</v>
      </c>
      <c r="F147" s="36" t="s">
        <v>60</v>
      </c>
      <c r="G147" s="37">
        <v>11040170001</v>
      </c>
      <c r="H147" s="36" t="s">
        <v>61</v>
      </c>
      <c r="I147" s="38">
        <v>1012.3950000000003</v>
      </c>
    </row>
    <row r="148" spans="2:9">
      <c r="B148" s="3" t="s">
        <v>732</v>
      </c>
      <c r="C148" s="3" t="s">
        <v>733</v>
      </c>
      <c r="D148" s="5" t="s">
        <v>19</v>
      </c>
      <c r="E148" s="5" t="s">
        <v>48</v>
      </c>
      <c r="F148" s="3" t="s">
        <v>93</v>
      </c>
      <c r="G148" s="37">
        <v>11040140001</v>
      </c>
      <c r="H148" s="3" t="s">
        <v>50</v>
      </c>
      <c r="I148" s="20">
        <v>271.03000000000014</v>
      </c>
    </row>
    <row r="149" spans="2:9">
      <c r="B149" s="36" t="s">
        <v>805</v>
      </c>
      <c r="C149" s="36" t="s">
        <v>806</v>
      </c>
      <c r="D149" s="37" t="s">
        <v>19</v>
      </c>
      <c r="E149" s="37" t="s">
        <v>31</v>
      </c>
      <c r="F149" s="36" t="s">
        <v>797</v>
      </c>
      <c r="G149" s="37">
        <v>11010170001</v>
      </c>
      <c r="H149" s="36" t="s">
        <v>33</v>
      </c>
      <c r="I149" s="38">
        <v>1051.9749999999967</v>
      </c>
    </row>
    <row r="150" spans="2:9">
      <c r="B150" s="3" t="s">
        <v>72</v>
      </c>
      <c r="C150" s="3" t="s">
        <v>73</v>
      </c>
      <c r="D150" s="5" t="s">
        <v>19</v>
      </c>
      <c r="E150" s="5" t="s">
        <v>74</v>
      </c>
      <c r="F150" s="3" t="s">
        <v>75</v>
      </c>
      <c r="G150" s="37">
        <v>11030840001</v>
      </c>
      <c r="H150" s="3" t="s">
        <v>76</v>
      </c>
      <c r="I150" s="20">
        <v>3015.735000000001</v>
      </c>
    </row>
    <row r="151" spans="2:9">
      <c r="B151" s="36" t="s">
        <v>402</v>
      </c>
      <c r="C151" s="36" t="s">
        <v>403</v>
      </c>
      <c r="D151" s="37" t="s">
        <v>19</v>
      </c>
      <c r="E151" s="37" t="s">
        <v>31</v>
      </c>
      <c r="F151" s="36" t="s">
        <v>56</v>
      </c>
      <c r="G151" s="37">
        <v>11040160001</v>
      </c>
      <c r="H151" s="36" t="s">
        <v>33</v>
      </c>
      <c r="I151" s="38">
        <v>540.01500000000033</v>
      </c>
    </row>
    <row r="152" spans="2:9">
      <c r="B152" s="3" t="s">
        <v>646</v>
      </c>
      <c r="C152" s="3" t="s">
        <v>647</v>
      </c>
      <c r="D152" s="5" t="s">
        <v>19</v>
      </c>
      <c r="E152" s="5" t="s">
        <v>26</v>
      </c>
      <c r="F152" s="3" t="s">
        <v>648</v>
      </c>
      <c r="G152" s="37">
        <v>11062830001</v>
      </c>
      <c r="H152" s="3" t="s">
        <v>28</v>
      </c>
      <c r="I152" s="20">
        <v>1522.8399999999979</v>
      </c>
    </row>
    <row r="153" spans="2:9">
      <c r="B153" s="36" t="s">
        <v>379</v>
      </c>
      <c r="C153" s="36" t="s">
        <v>380</v>
      </c>
      <c r="D153" s="37" t="s">
        <v>19</v>
      </c>
      <c r="E153" s="37" t="s">
        <v>43</v>
      </c>
      <c r="F153" s="36" t="s">
        <v>106</v>
      </c>
      <c r="G153" s="37">
        <v>11061820001</v>
      </c>
      <c r="H153" s="36" t="s">
        <v>45</v>
      </c>
      <c r="I153" s="38">
        <v>531.70000000000005</v>
      </c>
    </row>
    <row r="154" spans="2:9">
      <c r="B154" s="3" t="s">
        <v>660</v>
      </c>
      <c r="C154" s="3" t="s">
        <v>661</v>
      </c>
      <c r="D154" s="5" t="s">
        <v>19</v>
      </c>
      <c r="E154" s="5" t="s">
        <v>48</v>
      </c>
      <c r="F154" s="3" t="s">
        <v>93</v>
      </c>
      <c r="G154" s="37">
        <v>11040140001</v>
      </c>
      <c r="H154" s="3" t="s">
        <v>50</v>
      </c>
      <c r="I154" s="20">
        <v>72.875000000000114</v>
      </c>
    </row>
    <row r="155" spans="2:9">
      <c r="B155" s="36" t="s">
        <v>107</v>
      </c>
      <c r="C155" s="36" t="s">
        <v>108</v>
      </c>
      <c r="D155" s="37" t="s">
        <v>19</v>
      </c>
      <c r="E155" s="37" t="s">
        <v>37</v>
      </c>
      <c r="F155" s="36" t="s">
        <v>109</v>
      </c>
      <c r="G155" s="37">
        <v>11010370001</v>
      </c>
      <c r="H155" s="36" t="s">
        <v>39</v>
      </c>
      <c r="I155" s="38">
        <v>500</v>
      </c>
    </row>
    <row r="156" spans="2:9">
      <c r="B156" s="3" t="s">
        <v>521</v>
      </c>
      <c r="C156" s="3" t="s">
        <v>522</v>
      </c>
      <c r="D156" s="5" t="s">
        <v>19</v>
      </c>
      <c r="E156" s="5" t="s">
        <v>74</v>
      </c>
      <c r="F156" s="3" t="s">
        <v>373</v>
      </c>
      <c r="G156" s="37">
        <v>11061420001</v>
      </c>
      <c r="H156" s="3" t="s">
        <v>76</v>
      </c>
      <c r="I156" s="20">
        <v>1523.43</v>
      </c>
    </row>
    <row r="157" spans="2:9">
      <c r="B157" s="36" t="s">
        <v>588</v>
      </c>
      <c r="C157" s="36" t="s">
        <v>589</v>
      </c>
      <c r="D157" s="37" t="s">
        <v>19</v>
      </c>
      <c r="E157" s="37" t="s">
        <v>26</v>
      </c>
      <c r="F157" s="36" t="s">
        <v>590</v>
      </c>
      <c r="G157" s="37">
        <v>11062650001</v>
      </c>
      <c r="H157" s="36" t="s">
        <v>28</v>
      </c>
      <c r="I157" s="38">
        <v>1515.1300000000169</v>
      </c>
    </row>
    <row r="158" spans="2:9">
      <c r="B158" s="3" t="s">
        <v>463</v>
      </c>
      <c r="C158" s="3" t="s">
        <v>464</v>
      </c>
      <c r="D158" s="5" t="s">
        <v>19</v>
      </c>
      <c r="E158" s="5" t="s">
        <v>96</v>
      </c>
      <c r="F158" s="3" t="s">
        <v>226</v>
      </c>
      <c r="G158" s="37">
        <v>11030870001</v>
      </c>
      <c r="H158" s="3" t="s">
        <v>98</v>
      </c>
      <c r="I158" s="20">
        <v>510.96999999999662</v>
      </c>
    </row>
    <row r="159" spans="2:9">
      <c r="B159" s="36" t="s">
        <v>657</v>
      </c>
      <c r="C159" s="36" t="s">
        <v>658</v>
      </c>
      <c r="D159" s="37" t="s">
        <v>19</v>
      </c>
      <c r="E159" s="37" t="s">
        <v>48</v>
      </c>
      <c r="F159" s="36" t="s">
        <v>659</v>
      </c>
      <c r="G159" s="37">
        <v>1104150001</v>
      </c>
      <c r="H159" s="36" t="s">
        <v>50</v>
      </c>
      <c r="I159" s="38">
        <v>300</v>
      </c>
    </row>
    <row r="160" spans="2:9">
      <c r="B160" s="3" t="s">
        <v>608</v>
      </c>
      <c r="C160" s="3" t="s">
        <v>609</v>
      </c>
      <c r="D160" s="5" t="s">
        <v>19</v>
      </c>
      <c r="E160" s="5" t="s">
        <v>37</v>
      </c>
      <c r="F160" s="3" t="s">
        <v>219</v>
      </c>
      <c r="G160" s="37">
        <v>11062020001</v>
      </c>
      <c r="H160" s="3" t="s">
        <v>39</v>
      </c>
      <c r="I160" s="20">
        <v>161.19000000000165</v>
      </c>
    </row>
    <row r="161" spans="2:9">
      <c r="B161" s="36" t="s">
        <v>205</v>
      </c>
      <c r="C161" s="36" t="s">
        <v>206</v>
      </c>
      <c r="D161" s="37" t="s">
        <v>19</v>
      </c>
      <c r="E161" s="37" t="s">
        <v>48</v>
      </c>
      <c r="F161" s="36" t="s">
        <v>118</v>
      </c>
      <c r="G161" s="37">
        <v>11062050001</v>
      </c>
      <c r="H161" s="36" t="s">
        <v>50</v>
      </c>
      <c r="I161" s="38">
        <v>56.899999999998911</v>
      </c>
    </row>
    <row r="162" spans="2:9">
      <c r="B162" s="3" t="s">
        <v>632</v>
      </c>
      <c r="C162" s="3" t="s">
        <v>633</v>
      </c>
      <c r="D162" s="5" t="s">
        <v>19</v>
      </c>
      <c r="E162" s="5" t="s">
        <v>43</v>
      </c>
      <c r="F162" s="3" t="s">
        <v>634</v>
      </c>
      <c r="G162" s="37">
        <v>11061980001</v>
      </c>
      <c r="H162" s="3" t="s">
        <v>45</v>
      </c>
      <c r="I162" s="20">
        <v>195.67999999999992</v>
      </c>
    </row>
    <row r="163" spans="2:9">
      <c r="B163" s="36" t="s">
        <v>746</v>
      </c>
      <c r="C163" s="36" t="s">
        <v>747</v>
      </c>
      <c r="D163" s="37" t="s">
        <v>19</v>
      </c>
      <c r="E163" s="37" t="s">
        <v>43</v>
      </c>
      <c r="F163" s="36" t="s">
        <v>745</v>
      </c>
      <c r="G163" s="37">
        <v>11030620001</v>
      </c>
      <c r="H163" s="36" t="s">
        <v>45</v>
      </c>
      <c r="I163" s="38">
        <v>769.80999999999949</v>
      </c>
    </row>
    <row r="164" spans="2:9">
      <c r="B164" s="3" t="s">
        <v>184</v>
      </c>
      <c r="C164" s="3" t="s">
        <v>185</v>
      </c>
      <c r="D164" s="5" t="s">
        <v>19</v>
      </c>
      <c r="E164" s="5" t="s">
        <v>43</v>
      </c>
      <c r="F164" s="3" t="s">
        <v>186</v>
      </c>
      <c r="G164" s="37">
        <v>11030580001</v>
      </c>
      <c r="H164" s="3" t="s">
        <v>45</v>
      </c>
      <c r="I164" s="20">
        <v>60.720000000000063</v>
      </c>
    </row>
    <row r="165" spans="2:9">
      <c r="B165" s="36" t="s">
        <v>561</v>
      </c>
      <c r="C165" s="36" t="s">
        <v>562</v>
      </c>
      <c r="D165" s="37" t="s">
        <v>19</v>
      </c>
      <c r="E165" s="37" t="s">
        <v>48</v>
      </c>
      <c r="F165" s="36" t="s">
        <v>49</v>
      </c>
      <c r="G165" s="37">
        <v>11040130001</v>
      </c>
      <c r="H165" s="36" t="s">
        <v>50</v>
      </c>
      <c r="I165" s="38">
        <v>24.040000000000191</v>
      </c>
    </row>
    <row r="166" spans="2:9">
      <c r="B166" s="3" t="s">
        <v>687</v>
      </c>
      <c r="C166" s="3" t="s">
        <v>688</v>
      </c>
      <c r="D166" s="5" t="s">
        <v>19</v>
      </c>
      <c r="E166" s="5" t="s">
        <v>48</v>
      </c>
      <c r="F166" s="3" t="s">
        <v>93</v>
      </c>
      <c r="G166" s="37">
        <v>11040140001</v>
      </c>
      <c r="H166" s="3" t="s">
        <v>50</v>
      </c>
      <c r="I166" s="20">
        <v>58</v>
      </c>
    </row>
    <row r="167" spans="2:9">
      <c r="B167" s="36" t="s">
        <v>572</v>
      </c>
      <c r="C167" s="36" t="s">
        <v>573</v>
      </c>
      <c r="D167" s="37" t="s">
        <v>19</v>
      </c>
      <c r="E167" s="37" t="s">
        <v>48</v>
      </c>
      <c r="F167" s="36" t="s">
        <v>93</v>
      </c>
      <c r="G167" s="37">
        <v>11040140001</v>
      </c>
      <c r="H167" s="36" t="s">
        <v>50</v>
      </c>
      <c r="I167" s="38">
        <v>83.400000000000091</v>
      </c>
    </row>
    <row r="168" spans="2:9">
      <c r="B168" s="3" t="s">
        <v>222</v>
      </c>
      <c r="C168" s="3" t="s">
        <v>223</v>
      </c>
      <c r="D168" s="5" t="s">
        <v>19</v>
      </c>
      <c r="E168" s="5" t="s">
        <v>48</v>
      </c>
      <c r="F168" s="3" t="s">
        <v>93</v>
      </c>
      <c r="G168" s="37">
        <v>11040140001</v>
      </c>
      <c r="H168" s="3" t="s">
        <v>50</v>
      </c>
      <c r="I168" s="20">
        <v>82.539999999999964</v>
      </c>
    </row>
    <row r="169" spans="2:9">
      <c r="B169" s="36" t="s">
        <v>563</v>
      </c>
      <c r="C169" s="36" t="s">
        <v>564</v>
      </c>
      <c r="D169" s="37" t="s">
        <v>19</v>
      </c>
      <c r="E169" s="37" t="s">
        <v>48</v>
      </c>
      <c r="F169" s="36" t="s">
        <v>93</v>
      </c>
      <c r="G169" s="37">
        <v>11040140001</v>
      </c>
      <c r="H169" s="36" t="s">
        <v>50</v>
      </c>
      <c r="I169" s="38">
        <v>91.684999999999931</v>
      </c>
    </row>
    <row r="170" spans="2:9">
      <c r="B170" s="3" t="s">
        <v>430</v>
      </c>
      <c r="C170" s="3" t="s">
        <v>431</v>
      </c>
      <c r="D170" s="5" t="s">
        <v>19</v>
      </c>
      <c r="E170" s="5" t="s">
        <v>37</v>
      </c>
      <c r="F170" s="3" t="s">
        <v>138</v>
      </c>
      <c r="G170" s="37">
        <v>11061720001</v>
      </c>
      <c r="H170" s="3" t="s">
        <v>39</v>
      </c>
      <c r="I170" s="20">
        <v>804.90000000000111</v>
      </c>
    </row>
    <row r="171" spans="2:9">
      <c r="B171" s="36" t="s">
        <v>776</v>
      </c>
      <c r="C171" s="36" t="s">
        <v>777</v>
      </c>
      <c r="D171" s="37"/>
      <c r="E171" s="37" t="s">
        <v>20</v>
      </c>
      <c r="F171" s="36" t="s">
        <v>193</v>
      </c>
      <c r="G171" s="37">
        <v>11040040001</v>
      </c>
      <c r="H171" s="36"/>
      <c r="I171" s="38">
        <v>5401.9199999999983</v>
      </c>
    </row>
    <row r="172" spans="2:9">
      <c r="B172" s="3" t="s">
        <v>358</v>
      </c>
      <c r="C172" s="3" t="s">
        <v>359</v>
      </c>
      <c r="D172" s="5"/>
      <c r="E172" s="5" t="s">
        <v>20</v>
      </c>
      <c r="F172" s="3" t="s">
        <v>360</v>
      </c>
      <c r="G172" s="37">
        <v>11061430001</v>
      </c>
      <c r="H172" s="3"/>
      <c r="I172" s="20">
        <v>3436.7700000000332</v>
      </c>
    </row>
    <row r="173" spans="2:9">
      <c r="B173" s="36" t="s">
        <v>837</v>
      </c>
      <c r="C173" s="36" t="s">
        <v>838</v>
      </c>
      <c r="D173" s="37"/>
      <c r="E173" s="37" t="s">
        <v>48</v>
      </c>
      <c r="F173" s="36" t="s">
        <v>659</v>
      </c>
      <c r="G173" s="37">
        <v>1104150001</v>
      </c>
      <c r="H173" s="36"/>
      <c r="I173" s="38">
        <v>2810.3</v>
      </c>
    </row>
    <row r="174" spans="2:9">
      <c r="B174" s="3" t="s">
        <v>173</v>
      </c>
      <c r="C174" s="3" t="s">
        <v>174</v>
      </c>
      <c r="D174" s="5"/>
      <c r="E174" s="5" t="s">
        <v>48</v>
      </c>
      <c r="F174" s="3" t="s">
        <v>49</v>
      </c>
      <c r="G174" s="37">
        <v>11040130001</v>
      </c>
      <c r="H174" s="3"/>
      <c r="I174" s="20">
        <v>2165.739999999993</v>
      </c>
    </row>
    <row r="175" spans="2:9">
      <c r="B175" s="36" t="s">
        <v>474</v>
      </c>
      <c r="C175" s="36" t="s">
        <v>475</v>
      </c>
      <c r="D175" s="37"/>
      <c r="E175" s="37" t="s">
        <v>31</v>
      </c>
      <c r="F175" s="36" t="s">
        <v>476</v>
      </c>
      <c r="G175" s="37">
        <v>11060700001</v>
      </c>
      <c r="H175" s="36"/>
      <c r="I175" s="38">
        <v>1816.7500000000146</v>
      </c>
    </row>
    <row r="176" spans="2:9">
      <c r="B176" s="3" t="s">
        <v>230</v>
      </c>
      <c r="C176" s="3" t="s">
        <v>231</v>
      </c>
      <c r="D176" s="5"/>
      <c r="E176" s="5" t="s">
        <v>37</v>
      </c>
      <c r="F176" s="3" t="s">
        <v>232</v>
      </c>
      <c r="G176" s="37">
        <v>11061200001</v>
      </c>
      <c r="H176" s="3"/>
      <c r="I176" s="20">
        <v>1741.5499999999993</v>
      </c>
    </row>
    <row r="177" spans="2:9">
      <c r="B177" s="36" t="s">
        <v>681</v>
      </c>
      <c r="C177" s="36" t="s">
        <v>682</v>
      </c>
      <c r="D177" s="37"/>
      <c r="E177" s="37" t="s">
        <v>43</v>
      </c>
      <c r="F177" s="36" t="s">
        <v>683</v>
      </c>
      <c r="G177" s="37">
        <v>11030590001</v>
      </c>
      <c r="H177" s="36"/>
      <c r="I177" s="38">
        <v>1525.98</v>
      </c>
    </row>
    <row r="178" spans="2:9">
      <c r="B178" s="3" t="s">
        <v>675</v>
      </c>
      <c r="C178" s="3" t="s">
        <v>676</v>
      </c>
      <c r="D178" s="5"/>
      <c r="E178" s="5" t="s">
        <v>37</v>
      </c>
      <c r="F178" s="3" t="s">
        <v>138</v>
      </c>
      <c r="G178" s="37">
        <v>11061720001</v>
      </c>
      <c r="H178" s="3"/>
      <c r="I178" s="20">
        <v>1379.0000000000036</v>
      </c>
    </row>
    <row r="179" spans="2:9">
      <c r="B179" s="36" t="s">
        <v>363</v>
      </c>
      <c r="C179" s="36" t="s">
        <v>364</v>
      </c>
      <c r="D179" s="37"/>
      <c r="E179" s="37" t="s">
        <v>20</v>
      </c>
      <c r="F179" s="36" t="s">
        <v>21</v>
      </c>
      <c r="G179" s="37">
        <v>11030290001</v>
      </c>
      <c r="H179" s="36"/>
      <c r="I179" s="38">
        <v>1000</v>
      </c>
    </row>
    <row r="180" spans="2:9">
      <c r="B180" s="3" t="s">
        <v>570</v>
      </c>
      <c r="C180" s="3" t="s">
        <v>571</v>
      </c>
      <c r="D180" s="5"/>
      <c r="E180" s="5" t="s">
        <v>20</v>
      </c>
      <c r="F180" s="3" t="s">
        <v>141</v>
      </c>
      <c r="G180" s="37">
        <v>11030850001</v>
      </c>
      <c r="H180" s="3"/>
      <c r="I180" s="20">
        <v>998.97999999999956</v>
      </c>
    </row>
    <row r="181" spans="2:9">
      <c r="B181" s="36" t="s">
        <v>311</v>
      </c>
      <c r="C181" s="36" t="s">
        <v>312</v>
      </c>
      <c r="D181" s="37"/>
      <c r="E181" s="37" t="s">
        <v>43</v>
      </c>
      <c r="F181" s="36" t="s">
        <v>238</v>
      </c>
      <c r="G181" s="37">
        <v>11061770001</v>
      </c>
      <c r="H181" s="36"/>
      <c r="I181" s="38">
        <v>964.9900000000107</v>
      </c>
    </row>
    <row r="182" spans="2:9">
      <c r="B182" s="3" t="s">
        <v>345</v>
      </c>
      <c r="C182" s="3" t="s">
        <v>346</v>
      </c>
      <c r="D182" s="5"/>
      <c r="E182" s="5" t="s">
        <v>37</v>
      </c>
      <c r="F182" s="3" t="s">
        <v>347</v>
      </c>
      <c r="G182" s="37">
        <v>11010180001</v>
      </c>
      <c r="H182" s="3"/>
      <c r="I182" s="20">
        <v>668.02</v>
      </c>
    </row>
    <row r="183" spans="2:9">
      <c r="B183" s="36" t="s">
        <v>355</v>
      </c>
      <c r="C183" s="36" t="s">
        <v>356</v>
      </c>
      <c r="D183" s="37"/>
      <c r="E183" s="37" t="s">
        <v>96</v>
      </c>
      <c r="F183" s="36" t="s">
        <v>357</v>
      </c>
      <c r="G183" s="37">
        <v>11080180001</v>
      </c>
      <c r="H183" s="36"/>
      <c r="I183" s="38">
        <v>520</v>
      </c>
    </row>
    <row r="184" spans="2:9">
      <c r="B184" s="3" t="s">
        <v>526</v>
      </c>
      <c r="C184" s="3" t="s">
        <v>527</v>
      </c>
      <c r="D184" s="5"/>
      <c r="E184" s="5" t="s">
        <v>37</v>
      </c>
      <c r="F184" s="3" t="s">
        <v>347</v>
      </c>
      <c r="G184" s="37">
        <v>11010180001</v>
      </c>
      <c r="H184" s="3"/>
      <c r="I184" s="20">
        <v>479.99999999999994</v>
      </c>
    </row>
    <row r="185" spans="2:9">
      <c r="B185" s="36" t="s">
        <v>740</v>
      </c>
      <c r="C185" s="36" t="s">
        <v>741</v>
      </c>
      <c r="D185" s="37"/>
      <c r="E185" s="37" t="s">
        <v>96</v>
      </c>
      <c r="F185" s="36" t="s">
        <v>742</v>
      </c>
      <c r="G185" s="37">
        <v>11062290001</v>
      </c>
      <c r="H185" s="36"/>
      <c r="I185" s="38">
        <v>470.20999999999185</v>
      </c>
    </row>
    <row r="186" spans="2:9">
      <c r="B186" s="3" t="s">
        <v>752</v>
      </c>
      <c r="C186" s="3" t="s">
        <v>753</v>
      </c>
      <c r="D186" s="5"/>
      <c r="E186" s="5" t="s">
        <v>74</v>
      </c>
      <c r="F186" s="3" t="s">
        <v>467</v>
      </c>
      <c r="G186" s="37">
        <v>11030830001</v>
      </c>
      <c r="H186" s="3"/>
      <c r="I186" s="20">
        <v>466.86000000000013</v>
      </c>
    </row>
    <row r="187" spans="2:9">
      <c r="B187" s="36" t="s">
        <v>795</v>
      </c>
      <c r="C187" s="36" t="s">
        <v>796</v>
      </c>
      <c r="D187" s="37"/>
      <c r="E187" s="37" t="s">
        <v>31</v>
      </c>
      <c r="F187" s="36" t="s">
        <v>797</v>
      </c>
      <c r="G187" s="37">
        <v>11010170001</v>
      </c>
      <c r="H187" s="36"/>
      <c r="I187" s="38">
        <v>428.57</v>
      </c>
    </row>
    <row r="188" spans="2:9">
      <c r="B188" s="3" t="s">
        <v>313</v>
      </c>
      <c r="C188" s="3" t="s">
        <v>314</v>
      </c>
      <c r="D188" s="5"/>
      <c r="E188" s="5" t="s">
        <v>37</v>
      </c>
      <c r="F188" s="3" t="s">
        <v>138</v>
      </c>
      <c r="G188" s="37">
        <v>11061720001</v>
      </c>
      <c r="H188" s="3"/>
      <c r="I188" s="20">
        <v>362.21</v>
      </c>
    </row>
    <row r="189" spans="2:9">
      <c r="B189" s="36" t="s">
        <v>201</v>
      </c>
      <c r="C189" s="36" t="s">
        <v>202</v>
      </c>
      <c r="D189" s="37"/>
      <c r="E189" s="37" t="s">
        <v>37</v>
      </c>
      <c r="F189" s="36" t="s">
        <v>138</v>
      </c>
      <c r="G189" s="37">
        <v>11061720001</v>
      </c>
      <c r="H189" s="36"/>
      <c r="I189" s="38">
        <v>325.48000000000229</v>
      </c>
    </row>
    <row r="190" spans="2:9">
      <c r="B190" s="3" t="s">
        <v>459</v>
      </c>
      <c r="C190" s="3" t="s">
        <v>460</v>
      </c>
      <c r="D190" s="5"/>
      <c r="E190" s="5" t="s">
        <v>37</v>
      </c>
      <c r="F190" s="3" t="s">
        <v>138</v>
      </c>
      <c r="G190" s="37">
        <v>11061720001</v>
      </c>
      <c r="H190" s="3"/>
      <c r="I190" s="20">
        <v>316.18999999999693</v>
      </c>
    </row>
    <row r="191" spans="2:9">
      <c r="B191" s="36" t="s">
        <v>437</v>
      </c>
      <c r="C191" s="36" t="s">
        <v>438</v>
      </c>
      <c r="D191" s="37"/>
      <c r="E191" s="37" t="s">
        <v>37</v>
      </c>
      <c r="F191" s="36" t="s">
        <v>138</v>
      </c>
      <c r="G191" s="37">
        <v>11061720001</v>
      </c>
      <c r="H191" s="36"/>
      <c r="I191" s="38">
        <v>300.64</v>
      </c>
    </row>
    <row r="192" spans="2:9">
      <c r="B192" s="3" t="s">
        <v>618</v>
      </c>
      <c r="C192" s="3" t="s">
        <v>619</v>
      </c>
      <c r="D192" s="5"/>
      <c r="E192" s="5" t="s">
        <v>37</v>
      </c>
      <c r="F192" s="3" t="s">
        <v>479</v>
      </c>
      <c r="G192" s="37">
        <v>11062720001</v>
      </c>
      <c r="H192" s="3"/>
      <c r="I192" s="20">
        <v>296</v>
      </c>
    </row>
    <row r="193" spans="2:9">
      <c r="B193" s="36" t="s">
        <v>157</v>
      </c>
      <c r="C193" s="36" t="s">
        <v>158</v>
      </c>
      <c r="D193" s="37"/>
      <c r="E193" s="37" t="s">
        <v>31</v>
      </c>
      <c r="F193" s="36" t="s">
        <v>159</v>
      </c>
      <c r="G193" s="37">
        <v>11062850001</v>
      </c>
      <c r="H193" s="36"/>
      <c r="I193" s="38">
        <v>288.11999999999983</v>
      </c>
    </row>
    <row r="194" spans="2:9">
      <c r="B194" s="3" t="s">
        <v>810</v>
      </c>
      <c r="C194" s="3" t="s">
        <v>811</v>
      </c>
      <c r="D194" s="5"/>
      <c r="E194" s="5" t="s">
        <v>31</v>
      </c>
      <c r="F194" s="3" t="s">
        <v>812</v>
      </c>
      <c r="G194" s="37">
        <v>11062770001</v>
      </c>
      <c r="H194" s="3"/>
      <c r="I194" s="20">
        <v>278.08000000000061</v>
      </c>
    </row>
    <row r="195" spans="2:9">
      <c r="B195" s="36" t="s">
        <v>324</v>
      </c>
      <c r="C195" s="36" t="s">
        <v>325</v>
      </c>
      <c r="D195" s="37"/>
      <c r="E195" s="37" t="s">
        <v>74</v>
      </c>
      <c r="F195" s="36" t="s">
        <v>295</v>
      </c>
      <c r="G195" s="37">
        <v>11030760001</v>
      </c>
      <c r="H195" s="36"/>
      <c r="I195" s="38">
        <v>262.45999999999913</v>
      </c>
    </row>
    <row r="196" spans="2:9">
      <c r="B196" s="3" t="s">
        <v>533</v>
      </c>
      <c r="C196" s="3" t="s">
        <v>534</v>
      </c>
      <c r="D196" s="5"/>
      <c r="E196" s="5" t="s">
        <v>74</v>
      </c>
      <c r="F196" s="3" t="s">
        <v>298</v>
      </c>
      <c r="G196" s="37">
        <v>11062670001</v>
      </c>
      <c r="H196" s="3"/>
      <c r="I196" s="20">
        <v>257.70000000000005</v>
      </c>
    </row>
    <row r="197" spans="2:9">
      <c r="B197" s="36" t="s">
        <v>209</v>
      </c>
      <c r="C197" s="36" t="s">
        <v>210</v>
      </c>
      <c r="D197" s="37"/>
      <c r="E197" s="37" t="s">
        <v>37</v>
      </c>
      <c r="F197" s="36" t="s">
        <v>138</v>
      </c>
      <c r="G197" s="37">
        <v>11061720001</v>
      </c>
      <c r="H197" s="36"/>
      <c r="I197" s="38">
        <v>251.31999999999994</v>
      </c>
    </row>
    <row r="198" spans="2:9">
      <c r="B198" s="3" t="s">
        <v>557</v>
      </c>
      <c r="C198" s="3" t="s">
        <v>558</v>
      </c>
      <c r="D198" s="5"/>
      <c r="E198" s="5" t="s">
        <v>37</v>
      </c>
      <c r="F198" s="3" t="s">
        <v>138</v>
      </c>
      <c r="G198" s="37">
        <v>11061720001</v>
      </c>
      <c r="H198" s="3"/>
      <c r="I198" s="20">
        <v>242.9</v>
      </c>
    </row>
    <row r="199" spans="2:9">
      <c r="B199" s="36" t="s">
        <v>832</v>
      </c>
      <c r="C199" s="36" t="s">
        <v>833</v>
      </c>
      <c r="D199" s="37"/>
      <c r="E199" s="37" t="s">
        <v>37</v>
      </c>
      <c r="F199" s="36" t="s">
        <v>834</v>
      </c>
      <c r="G199" s="37">
        <v>11010150001</v>
      </c>
      <c r="H199" s="36"/>
      <c r="I199" s="38">
        <v>219.99999999999909</v>
      </c>
    </row>
    <row r="200" spans="2:9">
      <c r="B200" s="3" t="s">
        <v>610</v>
      </c>
      <c r="C200" s="3" t="s">
        <v>611</v>
      </c>
      <c r="D200" s="5"/>
      <c r="E200" s="5" t="s">
        <v>37</v>
      </c>
      <c r="F200" s="3" t="s">
        <v>612</v>
      </c>
      <c r="G200" s="37">
        <v>11010270001</v>
      </c>
      <c r="H200" s="3"/>
      <c r="I200" s="20">
        <v>199.89999999999986</v>
      </c>
    </row>
    <row r="201" spans="2:9">
      <c r="B201" s="36" t="s">
        <v>280</v>
      </c>
      <c r="C201" s="36" t="s">
        <v>281</v>
      </c>
      <c r="D201" s="37"/>
      <c r="E201" s="37" t="s">
        <v>37</v>
      </c>
      <c r="F201" s="36" t="s">
        <v>138</v>
      </c>
      <c r="G201" s="37">
        <v>11061720001</v>
      </c>
      <c r="H201" s="36"/>
      <c r="I201" s="38">
        <v>194.63</v>
      </c>
    </row>
    <row r="202" spans="2:9">
      <c r="B202" s="3" t="s">
        <v>689</v>
      </c>
      <c r="C202" s="3" t="s">
        <v>690</v>
      </c>
      <c r="D202" s="5"/>
      <c r="E202" s="5" t="s">
        <v>37</v>
      </c>
      <c r="F202" s="3" t="s">
        <v>123</v>
      </c>
      <c r="G202" s="37">
        <v>1201071</v>
      </c>
      <c r="H202" s="3"/>
      <c r="I202" s="20">
        <v>185.38000000000102</v>
      </c>
    </row>
    <row r="203" spans="2:9">
      <c r="B203" s="36" t="s">
        <v>620</v>
      </c>
      <c r="C203" s="36" t="s">
        <v>621</v>
      </c>
      <c r="D203" s="37"/>
      <c r="E203" s="37" t="s">
        <v>31</v>
      </c>
      <c r="F203" s="36" t="s">
        <v>257</v>
      </c>
      <c r="G203" s="37">
        <v>11062450001</v>
      </c>
      <c r="H203" s="36"/>
      <c r="I203" s="38">
        <v>183.39</v>
      </c>
    </row>
    <row r="204" spans="2:9">
      <c r="B204" s="3" t="s">
        <v>600</v>
      </c>
      <c r="C204" s="3" t="s">
        <v>601</v>
      </c>
      <c r="D204" s="5"/>
      <c r="E204" s="5" t="s">
        <v>74</v>
      </c>
      <c r="F204" s="3" t="s">
        <v>602</v>
      </c>
      <c r="G204" s="37">
        <v>11010330001</v>
      </c>
      <c r="H204" s="3"/>
      <c r="I204" s="20">
        <v>181.61999999999989</v>
      </c>
    </row>
    <row r="205" spans="2:9">
      <c r="B205" s="36" t="s">
        <v>813</v>
      </c>
      <c r="C205" s="36" t="s">
        <v>814</v>
      </c>
      <c r="D205" s="37"/>
      <c r="E205" s="37" t="s">
        <v>26</v>
      </c>
      <c r="F205" s="36" t="s">
        <v>815</v>
      </c>
      <c r="G205" s="37">
        <v>11080500001</v>
      </c>
      <c r="H205" s="36"/>
      <c r="I205" s="38">
        <v>166.5</v>
      </c>
    </row>
    <row r="206" spans="2:9">
      <c r="B206" s="3" t="s">
        <v>447</v>
      </c>
      <c r="C206" s="3" t="s">
        <v>448</v>
      </c>
      <c r="D206" s="5"/>
      <c r="E206" s="5" t="s">
        <v>37</v>
      </c>
      <c r="F206" s="3" t="s">
        <v>347</v>
      </c>
      <c r="G206" s="37">
        <v>11010180001</v>
      </c>
      <c r="H206" s="3"/>
      <c r="I206" s="20">
        <v>157.14999999999776</v>
      </c>
    </row>
    <row r="207" spans="2:9">
      <c r="B207" s="36" t="s">
        <v>728</v>
      </c>
      <c r="C207" s="36" t="s">
        <v>729</v>
      </c>
      <c r="D207" s="37"/>
      <c r="E207" s="37" t="s">
        <v>37</v>
      </c>
      <c r="F207" s="36" t="s">
        <v>138</v>
      </c>
      <c r="G207" s="37">
        <v>11061720001</v>
      </c>
      <c r="H207" s="36"/>
      <c r="I207" s="38">
        <v>155.66999999999999</v>
      </c>
    </row>
    <row r="208" spans="2:9">
      <c r="B208" s="3" t="s">
        <v>800</v>
      </c>
      <c r="C208" s="3" t="s">
        <v>801</v>
      </c>
      <c r="D208" s="5"/>
      <c r="E208" s="5" t="s">
        <v>74</v>
      </c>
      <c r="F208" s="3" t="s">
        <v>298</v>
      </c>
      <c r="G208" s="37">
        <v>11062670001</v>
      </c>
      <c r="H208" s="3"/>
      <c r="I208" s="20">
        <v>147.00000000000045</v>
      </c>
    </row>
    <row r="209" spans="2:9">
      <c r="B209" s="36" t="s">
        <v>435</v>
      </c>
      <c r="C209" s="36" t="s">
        <v>436</v>
      </c>
      <c r="D209" s="37"/>
      <c r="E209" s="37" t="s">
        <v>37</v>
      </c>
      <c r="F209" s="36" t="s">
        <v>109</v>
      </c>
      <c r="G209" s="37">
        <v>11010370001</v>
      </c>
      <c r="H209" s="36"/>
      <c r="I209" s="38">
        <v>146</v>
      </c>
    </row>
    <row r="210" spans="2:9">
      <c r="B210" s="3" t="s">
        <v>734</v>
      </c>
      <c r="C210" s="3" t="s">
        <v>735</v>
      </c>
      <c r="D210" s="5"/>
      <c r="E210" s="5" t="s">
        <v>37</v>
      </c>
      <c r="F210" s="3" t="s">
        <v>736</v>
      </c>
      <c r="G210" s="37">
        <v>11010300001</v>
      </c>
      <c r="H210" s="3"/>
      <c r="I210" s="20">
        <v>138.7300000000032</v>
      </c>
    </row>
    <row r="211" spans="2:9">
      <c r="B211" s="36" t="s">
        <v>582</v>
      </c>
      <c r="C211" s="36" t="s">
        <v>583</v>
      </c>
      <c r="D211" s="37"/>
      <c r="E211" s="37" t="s">
        <v>37</v>
      </c>
      <c r="F211" s="36" t="s">
        <v>138</v>
      </c>
      <c r="G211" s="37">
        <v>11061720001</v>
      </c>
      <c r="H211" s="36"/>
      <c r="I211" s="38">
        <v>134.4400000000096</v>
      </c>
    </row>
    <row r="212" spans="2:9">
      <c r="B212" s="3" t="s">
        <v>367</v>
      </c>
      <c r="C212" s="3" t="s">
        <v>368</v>
      </c>
      <c r="D212" s="5"/>
      <c r="E212" s="5" t="s">
        <v>37</v>
      </c>
      <c r="F212" s="3" t="s">
        <v>138</v>
      </c>
      <c r="G212" s="37">
        <v>11061720001</v>
      </c>
      <c r="H212" s="3"/>
      <c r="I212" s="20">
        <v>131.09000000000003</v>
      </c>
    </row>
    <row r="213" spans="2:9">
      <c r="B213" s="36" t="s">
        <v>510</v>
      </c>
      <c r="C213" s="36" t="s">
        <v>511</v>
      </c>
      <c r="D213" s="37"/>
      <c r="E213" s="37" t="s">
        <v>37</v>
      </c>
      <c r="F213" s="36" t="s">
        <v>68</v>
      </c>
      <c r="G213" s="37">
        <v>11080440001</v>
      </c>
      <c r="H213" s="36"/>
      <c r="I213" s="38">
        <v>120</v>
      </c>
    </row>
    <row r="214" spans="2:9">
      <c r="B214" s="3" t="s">
        <v>774</v>
      </c>
      <c r="C214" s="3" t="s">
        <v>775</v>
      </c>
      <c r="D214" s="5"/>
      <c r="E214" s="5" t="s">
        <v>48</v>
      </c>
      <c r="F214" s="3" t="s">
        <v>49</v>
      </c>
      <c r="G214" s="37">
        <v>11040130001</v>
      </c>
      <c r="H214" s="3"/>
      <c r="I214" s="20">
        <v>120</v>
      </c>
    </row>
    <row r="215" spans="2:9">
      <c r="B215" s="39" t="s">
        <v>843</v>
      </c>
      <c r="C215" s="39" t="s">
        <v>844</v>
      </c>
      <c r="D215" s="40"/>
      <c r="E215" s="40" t="s">
        <v>37</v>
      </c>
      <c r="F215" s="39" t="s">
        <v>138</v>
      </c>
      <c r="G215" s="37">
        <v>11061720001</v>
      </c>
      <c r="H215" s="39"/>
      <c r="I215" s="41">
        <v>101.85000000000002</v>
      </c>
    </row>
  </sheetData>
  <autoFilter ref="B2:I215" xr:uid="{8D2FE3E6-1A40-4E01-B964-3F2E84D12AC2}"/>
  <conditionalFormatting sqref="B2">
    <cfRule type="duplicateValues" dxfId="7" priority="1"/>
    <cfRule type="duplicateValues" dxfId="6" priority="2"/>
    <cfRule type="duplicateValues" dxfId="5" priority="3"/>
  </conditionalFormatting>
  <conditionalFormatting sqref="C2">
    <cfRule type="duplicateValues" dxfId="4" priority="4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2016-AF7F-4A84-B6FD-3C3EE8D24161}">
  <dimension ref="B1:L59"/>
  <sheetViews>
    <sheetView workbookViewId="0">
      <selection activeCell="O14" sqref="O14"/>
    </sheetView>
  </sheetViews>
  <sheetFormatPr defaultRowHeight="15"/>
  <cols>
    <col min="2" max="2" width="31.85546875" bestFit="1" customWidth="1"/>
    <col min="3" max="3" width="12" hidden="1" customWidth="1"/>
    <col min="4" max="4" width="8.85546875" hidden="1" customWidth="1"/>
    <col min="5" max="5" width="28.140625" bestFit="1" customWidth="1"/>
    <col min="6" max="6" width="23.28515625" hidden="1" customWidth="1"/>
    <col min="7" max="8" width="19.28515625" hidden="1" customWidth="1"/>
    <col min="9" max="9" width="17.42578125" hidden="1" customWidth="1"/>
    <col min="10" max="10" width="18.140625" hidden="1" customWidth="1"/>
    <col min="11" max="11" width="21.5703125" hidden="1" customWidth="1"/>
    <col min="12" max="12" width="14.42578125" customWidth="1"/>
  </cols>
  <sheetData>
    <row r="1" spans="2:12" ht="15.75" thickBot="1"/>
    <row r="2" spans="2:12" ht="15.75" thickBot="1">
      <c r="B2" s="7" t="s">
        <v>0</v>
      </c>
      <c r="C2" s="8" t="s">
        <v>1</v>
      </c>
      <c r="D2" s="7" t="s">
        <v>2</v>
      </c>
      <c r="E2" s="7" t="s">
        <v>3</v>
      </c>
      <c r="F2" s="2" t="s">
        <v>4</v>
      </c>
      <c r="G2" s="2" t="s">
        <v>5</v>
      </c>
      <c r="H2" s="2" t="s">
        <v>6</v>
      </c>
      <c r="I2" s="18" t="s">
        <v>7</v>
      </c>
      <c r="J2" s="42" t="s">
        <v>856</v>
      </c>
      <c r="K2" s="35" t="s">
        <v>857</v>
      </c>
      <c r="L2" s="43" t="s">
        <v>858</v>
      </c>
    </row>
    <row r="3" spans="2:12">
      <c r="B3" s="36" t="s">
        <v>189</v>
      </c>
      <c r="C3" s="36" t="s">
        <v>190</v>
      </c>
      <c r="D3" s="37" t="s">
        <v>19</v>
      </c>
      <c r="E3" s="36" t="s">
        <v>43</v>
      </c>
      <c r="F3" s="36" t="s">
        <v>186</v>
      </c>
      <c r="G3" s="36" t="s">
        <v>45</v>
      </c>
      <c r="H3" s="36" t="s">
        <v>40</v>
      </c>
      <c r="I3" s="38">
        <v>2222.63</v>
      </c>
      <c r="J3" s="38">
        <v>1333.578</v>
      </c>
      <c r="K3" s="38">
        <v>1111.3150000000001</v>
      </c>
      <c r="L3" s="44">
        <v>222.26299999999992</v>
      </c>
    </row>
    <row r="4" spans="2:12">
      <c r="B4" s="3" t="s">
        <v>756</v>
      </c>
      <c r="C4" s="3" t="s">
        <v>757</v>
      </c>
      <c r="D4" s="5" t="s">
        <v>19</v>
      </c>
      <c r="E4" s="3" t="s">
        <v>37</v>
      </c>
      <c r="F4" s="3" t="s">
        <v>624</v>
      </c>
      <c r="G4" s="3" t="s">
        <v>39</v>
      </c>
      <c r="H4" s="3" t="s">
        <v>40</v>
      </c>
      <c r="I4" s="20">
        <v>2038.8800000000299</v>
      </c>
      <c r="J4" s="38">
        <v>1223.3280000000179</v>
      </c>
      <c r="K4" s="20">
        <v>1019.4400000000149</v>
      </c>
      <c r="L4" s="44">
        <v>203.88800000000299</v>
      </c>
    </row>
    <row r="5" spans="2:12">
      <c r="B5" s="36" t="s">
        <v>199</v>
      </c>
      <c r="C5" s="36" t="s">
        <v>200</v>
      </c>
      <c r="D5" s="37" t="s">
        <v>19</v>
      </c>
      <c r="E5" s="36" t="s">
        <v>37</v>
      </c>
      <c r="F5" s="36" t="s">
        <v>38</v>
      </c>
      <c r="G5" s="36" t="s">
        <v>39</v>
      </c>
      <c r="H5" s="36" t="s">
        <v>40</v>
      </c>
      <c r="I5" s="38">
        <v>1900</v>
      </c>
      <c r="J5" s="38">
        <v>1140</v>
      </c>
      <c r="K5" s="38">
        <v>950</v>
      </c>
      <c r="L5" s="44">
        <v>190</v>
      </c>
    </row>
    <row r="6" spans="2:12">
      <c r="B6" s="3" t="s">
        <v>541</v>
      </c>
      <c r="C6" s="3" t="s">
        <v>542</v>
      </c>
      <c r="D6" s="5" t="s">
        <v>19</v>
      </c>
      <c r="E6" s="3" t="s">
        <v>96</v>
      </c>
      <c r="F6" s="3" t="s">
        <v>226</v>
      </c>
      <c r="G6" s="3" t="s">
        <v>98</v>
      </c>
      <c r="H6" s="3" t="s">
        <v>23</v>
      </c>
      <c r="I6" s="20">
        <v>1545</v>
      </c>
      <c r="J6" s="38">
        <v>927</v>
      </c>
      <c r="K6" s="20">
        <v>772.5</v>
      </c>
      <c r="L6" s="44">
        <v>154.5</v>
      </c>
    </row>
    <row r="7" spans="2:12">
      <c r="B7" s="36" t="s">
        <v>597</v>
      </c>
      <c r="C7" s="36" t="s">
        <v>598</v>
      </c>
      <c r="D7" s="37" t="s">
        <v>19</v>
      </c>
      <c r="E7" s="36" t="s">
        <v>74</v>
      </c>
      <c r="F7" s="36" t="s">
        <v>599</v>
      </c>
      <c r="G7" s="36" t="s">
        <v>76</v>
      </c>
      <c r="H7" s="36" t="s">
        <v>40</v>
      </c>
      <c r="I7" s="38">
        <v>1256</v>
      </c>
      <c r="J7" s="38">
        <v>753.6</v>
      </c>
      <c r="K7" s="38">
        <v>628</v>
      </c>
      <c r="L7" s="44">
        <v>125.60000000000002</v>
      </c>
    </row>
    <row r="8" spans="2:12">
      <c r="B8" s="3" t="s">
        <v>622</v>
      </c>
      <c r="C8" s="3" t="s">
        <v>623</v>
      </c>
      <c r="D8" s="5" t="s">
        <v>19</v>
      </c>
      <c r="E8" s="3" t="s">
        <v>37</v>
      </c>
      <c r="F8" s="3" t="s">
        <v>624</v>
      </c>
      <c r="G8" s="3" t="s">
        <v>39</v>
      </c>
      <c r="H8" s="3" t="s">
        <v>40</v>
      </c>
      <c r="I8" s="20">
        <v>960.45000000002005</v>
      </c>
      <c r="J8" s="38">
        <v>576.27000000001203</v>
      </c>
      <c r="K8" s="20">
        <v>480.22500000001003</v>
      </c>
      <c r="L8" s="44">
        <v>96.045000000002005</v>
      </c>
    </row>
    <row r="9" spans="2:12">
      <c r="B9" s="36" t="s">
        <v>395</v>
      </c>
      <c r="C9" s="36" t="s">
        <v>396</v>
      </c>
      <c r="D9" s="37" t="s">
        <v>19</v>
      </c>
      <c r="E9" s="36" t="s">
        <v>167</v>
      </c>
      <c r="F9" s="36" t="s">
        <v>397</v>
      </c>
      <c r="G9" s="36" t="s">
        <v>169</v>
      </c>
      <c r="H9" s="36" t="s">
        <v>34</v>
      </c>
      <c r="I9" s="38">
        <v>921.0600000000486</v>
      </c>
      <c r="J9" s="38">
        <v>552.63600000002918</v>
      </c>
      <c r="K9" s="38">
        <v>460.5300000000243</v>
      </c>
      <c r="L9" s="44">
        <v>92.106000000004883</v>
      </c>
    </row>
    <row r="10" spans="2:12">
      <c r="B10" s="3" t="s">
        <v>516</v>
      </c>
      <c r="C10" s="3" t="s">
        <v>517</v>
      </c>
      <c r="D10" s="5" t="s">
        <v>19</v>
      </c>
      <c r="E10" s="3" t="s">
        <v>31</v>
      </c>
      <c r="F10" s="3" t="s">
        <v>441</v>
      </c>
      <c r="G10" s="3" t="s">
        <v>33</v>
      </c>
      <c r="H10" s="3" t="s">
        <v>34</v>
      </c>
      <c r="I10" s="20">
        <v>848.61</v>
      </c>
      <c r="J10" s="38">
        <v>509.166</v>
      </c>
      <c r="K10" s="20">
        <v>424.30500000000001</v>
      </c>
      <c r="L10" s="44">
        <v>84.86099999999999</v>
      </c>
    </row>
    <row r="11" spans="2:12">
      <c r="B11" s="36" t="s">
        <v>782</v>
      </c>
      <c r="C11" s="36" t="s">
        <v>783</v>
      </c>
      <c r="D11" s="37" t="s">
        <v>19</v>
      </c>
      <c r="E11" s="36" t="s">
        <v>74</v>
      </c>
      <c r="F11" s="36" t="s">
        <v>373</v>
      </c>
      <c r="G11" s="36" t="s">
        <v>76</v>
      </c>
      <c r="H11" s="36" t="s">
        <v>40</v>
      </c>
      <c r="I11" s="38">
        <v>818.79</v>
      </c>
      <c r="J11" s="38">
        <v>491.27399999999994</v>
      </c>
      <c r="K11" s="38">
        <v>409.39499999999998</v>
      </c>
      <c r="L11" s="44">
        <v>81.878999999999962</v>
      </c>
    </row>
    <row r="12" spans="2:12">
      <c r="B12" s="3" t="s">
        <v>593</v>
      </c>
      <c r="C12" s="3" t="s">
        <v>594</v>
      </c>
      <c r="D12" s="5" t="s">
        <v>19</v>
      </c>
      <c r="E12" s="3" t="s">
        <v>43</v>
      </c>
      <c r="F12" s="3" t="s">
        <v>106</v>
      </c>
      <c r="G12" s="3" t="s">
        <v>45</v>
      </c>
      <c r="H12" s="3" t="s">
        <v>40</v>
      </c>
      <c r="I12" s="20">
        <v>807.82</v>
      </c>
      <c r="J12" s="38">
        <v>484.69200000000001</v>
      </c>
      <c r="K12" s="20">
        <v>403.91</v>
      </c>
      <c r="L12" s="44">
        <v>80.781999999999982</v>
      </c>
    </row>
    <row r="13" spans="2:12">
      <c r="B13" s="36" t="s">
        <v>39</v>
      </c>
      <c r="C13" s="36" t="s">
        <v>543</v>
      </c>
      <c r="D13" s="37" t="s">
        <v>19</v>
      </c>
      <c r="E13" s="36" t="s">
        <v>37</v>
      </c>
      <c r="F13" s="36" t="s">
        <v>123</v>
      </c>
      <c r="G13" s="36" t="s">
        <v>39</v>
      </c>
      <c r="H13" s="36" t="s">
        <v>40</v>
      </c>
      <c r="I13" s="38">
        <v>806.08999999999992</v>
      </c>
      <c r="J13" s="38">
        <v>483.65399999999994</v>
      </c>
      <c r="K13" s="38">
        <v>403.04499999999996</v>
      </c>
      <c r="L13" s="44">
        <v>80.60899999999998</v>
      </c>
    </row>
    <row r="14" spans="2:12">
      <c r="B14" s="3" t="s">
        <v>501</v>
      </c>
      <c r="C14" s="3" t="s">
        <v>502</v>
      </c>
      <c r="D14" s="5" t="s">
        <v>19</v>
      </c>
      <c r="E14" s="3" t="s">
        <v>37</v>
      </c>
      <c r="F14" s="3" t="s">
        <v>109</v>
      </c>
      <c r="G14" s="3" t="s">
        <v>39</v>
      </c>
      <c r="H14" s="3" t="s">
        <v>40</v>
      </c>
      <c r="I14" s="20">
        <v>803.22000000000116</v>
      </c>
      <c r="J14" s="38">
        <v>481.9320000000007</v>
      </c>
      <c r="K14" s="20">
        <v>401.61000000000058</v>
      </c>
      <c r="L14" s="44">
        <v>80.322000000000116</v>
      </c>
    </row>
    <row r="15" spans="2:12">
      <c r="B15" s="36" t="s">
        <v>57</v>
      </c>
      <c r="C15" s="36" t="s">
        <v>58</v>
      </c>
      <c r="D15" s="37" t="s">
        <v>19</v>
      </c>
      <c r="E15" s="36" t="s">
        <v>59</v>
      </c>
      <c r="F15" s="36" t="s">
        <v>60</v>
      </c>
      <c r="G15" s="36" t="s">
        <v>61</v>
      </c>
      <c r="H15" s="36" t="s">
        <v>23</v>
      </c>
      <c r="I15" s="38">
        <v>796.12000000001001</v>
      </c>
      <c r="J15" s="38">
        <v>477.67200000000599</v>
      </c>
      <c r="K15" s="38">
        <v>398.060000000005</v>
      </c>
      <c r="L15" s="44">
        <v>79.61200000000099</v>
      </c>
    </row>
    <row r="16" spans="2:12">
      <c r="B16" s="3" t="s">
        <v>133</v>
      </c>
      <c r="C16" s="3" t="s">
        <v>134</v>
      </c>
      <c r="D16" s="5" t="s">
        <v>19</v>
      </c>
      <c r="E16" s="3" t="s">
        <v>26</v>
      </c>
      <c r="F16" s="3" t="s">
        <v>135</v>
      </c>
      <c r="G16" s="3" t="s">
        <v>28</v>
      </c>
      <c r="H16" s="3" t="s">
        <v>23</v>
      </c>
      <c r="I16" s="20">
        <v>788.50000000001091</v>
      </c>
      <c r="J16" s="38">
        <v>473.1000000000065</v>
      </c>
      <c r="K16" s="20">
        <v>394.25000000000546</v>
      </c>
      <c r="L16" s="44">
        <v>78.850000000001046</v>
      </c>
    </row>
    <row r="17" spans="2:12">
      <c r="B17" s="36" t="s">
        <v>417</v>
      </c>
      <c r="C17" s="36" t="s">
        <v>418</v>
      </c>
      <c r="D17" s="37" t="s">
        <v>19</v>
      </c>
      <c r="E17" s="36" t="s">
        <v>31</v>
      </c>
      <c r="F17" s="36" t="s">
        <v>419</v>
      </c>
      <c r="G17" s="36" t="s">
        <v>33</v>
      </c>
      <c r="H17" s="36" t="s">
        <v>34</v>
      </c>
      <c r="I17" s="38">
        <v>777.86</v>
      </c>
      <c r="J17" s="38">
        <v>466.71600000000001</v>
      </c>
      <c r="K17" s="38">
        <v>388.93</v>
      </c>
      <c r="L17" s="44">
        <v>77.786000000000001</v>
      </c>
    </row>
    <row r="18" spans="2:12">
      <c r="B18" s="3" t="s">
        <v>302</v>
      </c>
      <c r="C18" s="3" t="s">
        <v>303</v>
      </c>
      <c r="D18" s="5" t="s">
        <v>19</v>
      </c>
      <c r="E18" s="3" t="s">
        <v>96</v>
      </c>
      <c r="F18" s="3" t="s">
        <v>226</v>
      </c>
      <c r="G18" s="3" t="s">
        <v>98</v>
      </c>
      <c r="H18" s="3" t="s">
        <v>23</v>
      </c>
      <c r="I18" s="20">
        <v>771.58000000001005</v>
      </c>
      <c r="J18" s="38">
        <v>462.948000000006</v>
      </c>
      <c r="K18" s="20">
        <v>385.79000000000502</v>
      </c>
      <c r="L18" s="44">
        <v>77.158000000000982</v>
      </c>
    </row>
    <row r="19" spans="2:12">
      <c r="B19" s="36" t="s">
        <v>715</v>
      </c>
      <c r="C19" s="36" t="s">
        <v>716</v>
      </c>
      <c r="D19" s="37" t="s">
        <v>19</v>
      </c>
      <c r="E19" s="36" t="s">
        <v>74</v>
      </c>
      <c r="F19" s="36" t="s">
        <v>75</v>
      </c>
      <c r="G19" s="36" t="s">
        <v>76</v>
      </c>
      <c r="H19" s="36" t="s">
        <v>40</v>
      </c>
      <c r="I19" s="38">
        <v>769.27000000003</v>
      </c>
      <c r="J19" s="38">
        <v>461.56200000001797</v>
      </c>
      <c r="K19" s="38">
        <v>384.635000000015</v>
      </c>
      <c r="L19" s="44">
        <v>76.927000000002977</v>
      </c>
    </row>
    <row r="20" spans="2:12">
      <c r="B20" s="3" t="s">
        <v>788</v>
      </c>
      <c r="C20" s="3" t="s">
        <v>789</v>
      </c>
      <c r="D20" s="5" t="s">
        <v>19</v>
      </c>
      <c r="E20" s="3" t="s">
        <v>96</v>
      </c>
      <c r="F20" s="3" t="s">
        <v>226</v>
      </c>
      <c r="G20" s="3" t="s">
        <v>98</v>
      </c>
      <c r="H20" s="3" t="s">
        <v>23</v>
      </c>
      <c r="I20" s="20">
        <v>763.57999999999447</v>
      </c>
      <c r="J20" s="38">
        <v>458.14799999999667</v>
      </c>
      <c r="K20" s="20">
        <v>381.78999999999724</v>
      </c>
      <c r="L20" s="44">
        <v>76.357999999999436</v>
      </c>
    </row>
    <row r="21" spans="2:12">
      <c r="B21" s="36" t="s">
        <v>706</v>
      </c>
      <c r="C21" s="36" t="s">
        <v>707</v>
      </c>
      <c r="D21" s="37" t="s">
        <v>19</v>
      </c>
      <c r="E21" s="36" t="s">
        <v>20</v>
      </c>
      <c r="F21" s="36" t="s">
        <v>708</v>
      </c>
      <c r="G21" s="36" t="s">
        <v>22</v>
      </c>
      <c r="H21" s="36" t="s">
        <v>23</v>
      </c>
      <c r="I21" s="38">
        <v>760.81999999999971</v>
      </c>
      <c r="J21" s="38">
        <v>456.49199999999979</v>
      </c>
      <c r="K21" s="38">
        <v>380.40999999999985</v>
      </c>
      <c r="L21" s="44">
        <v>76.081999999999937</v>
      </c>
    </row>
    <row r="22" spans="2:12">
      <c r="B22" s="3" t="s">
        <v>666</v>
      </c>
      <c r="C22" s="3" t="s">
        <v>667</v>
      </c>
      <c r="D22" s="5" t="s">
        <v>19</v>
      </c>
      <c r="E22" s="3" t="s">
        <v>74</v>
      </c>
      <c r="F22" s="3" t="s">
        <v>467</v>
      </c>
      <c r="G22" s="3" t="s">
        <v>76</v>
      </c>
      <c r="H22" s="3" t="s">
        <v>40</v>
      </c>
      <c r="I22" s="20">
        <v>751.23000000019965</v>
      </c>
      <c r="J22" s="38">
        <v>450.73800000011977</v>
      </c>
      <c r="K22" s="20">
        <v>375.61500000009983</v>
      </c>
      <c r="L22" s="44">
        <v>75.123000000019942</v>
      </c>
    </row>
    <row r="23" spans="2:12">
      <c r="B23" s="36" t="s">
        <v>284</v>
      </c>
      <c r="C23" s="36" t="s">
        <v>285</v>
      </c>
      <c r="D23" s="37" t="s">
        <v>19</v>
      </c>
      <c r="E23" s="36" t="s">
        <v>31</v>
      </c>
      <c r="F23" s="36" t="s">
        <v>56</v>
      </c>
      <c r="G23" s="36" t="s">
        <v>33</v>
      </c>
      <c r="H23" s="36" t="s">
        <v>34</v>
      </c>
      <c r="I23" s="38">
        <v>713.4</v>
      </c>
      <c r="J23" s="38">
        <v>428.03999999999996</v>
      </c>
      <c r="K23" s="38">
        <v>356.7</v>
      </c>
      <c r="L23" s="44">
        <v>71.339999999999975</v>
      </c>
    </row>
    <row r="24" spans="2:12">
      <c r="B24" s="3" t="s">
        <v>64</v>
      </c>
      <c r="C24" s="3" t="s">
        <v>65</v>
      </c>
      <c r="D24" s="5" t="s">
        <v>19</v>
      </c>
      <c r="E24" s="3" t="s">
        <v>31</v>
      </c>
      <c r="F24" s="3" t="s">
        <v>56</v>
      </c>
      <c r="G24" s="3" t="s">
        <v>33</v>
      </c>
      <c r="H24" s="3" t="s">
        <v>34</v>
      </c>
      <c r="I24" s="20">
        <v>686.32999999999811</v>
      </c>
      <c r="J24" s="38">
        <v>411.79799999999886</v>
      </c>
      <c r="K24" s="20">
        <v>343.16499999999905</v>
      </c>
      <c r="L24" s="44">
        <v>68.632999999999811</v>
      </c>
    </row>
    <row r="25" spans="2:12">
      <c r="B25" s="36" t="s">
        <v>250</v>
      </c>
      <c r="C25" s="36" t="s">
        <v>251</v>
      </c>
      <c r="D25" s="37" t="s">
        <v>19</v>
      </c>
      <c r="E25" s="36" t="s">
        <v>43</v>
      </c>
      <c r="F25" s="36" t="s">
        <v>252</v>
      </c>
      <c r="G25" s="36" t="s">
        <v>45</v>
      </c>
      <c r="H25" s="36" t="s">
        <v>40</v>
      </c>
      <c r="I25" s="38">
        <v>669.93000000000211</v>
      </c>
      <c r="J25" s="38">
        <v>401.95800000000128</v>
      </c>
      <c r="K25" s="38">
        <v>334.96500000000106</v>
      </c>
      <c r="L25" s="44">
        <v>66.993000000000222</v>
      </c>
    </row>
    <row r="26" spans="2:12">
      <c r="B26" s="3" t="s">
        <v>578</v>
      </c>
      <c r="C26" s="3" t="s">
        <v>579</v>
      </c>
      <c r="D26" s="5" t="s">
        <v>19</v>
      </c>
      <c r="E26" s="3" t="s">
        <v>37</v>
      </c>
      <c r="F26" s="3" t="s">
        <v>246</v>
      </c>
      <c r="G26" s="3" t="s">
        <v>39</v>
      </c>
      <c r="H26" s="3" t="s">
        <v>40</v>
      </c>
      <c r="I26" s="20">
        <v>662.47000000006005</v>
      </c>
      <c r="J26" s="38">
        <v>397.48200000003601</v>
      </c>
      <c r="K26" s="20">
        <v>331.23500000003003</v>
      </c>
      <c r="L26" s="44">
        <v>66.247000000005983</v>
      </c>
    </row>
    <row r="27" spans="2:12">
      <c r="B27" s="36" t="s">
        <v>717</v>
      </c>
      <c r="C27" s="36" t="s">
        <v>718</v>
      </c>
      <c r="D27" s="37" t="s">
        <v>19</v>
      </c>
      <c r="E27" s="36" t="s">
        <v>43</v>
      </c>
      <c r="F27" s="36" t="s">
        <v>719</v>
      </c>
      <c r="G27" s="36" t="s">
        <v>45</v>
      </c>
      <c r="H27" s="36" t="s">
        <v>40</v>
      </c>
      <c r="I27" s="38">
        <v>626.94999999999345</v>
      </c>
      <c r="J27" s="38">
        <v>376.16999999999604</v>
      </c>
      <c r="K27" s="38">
        <v>313.47499999999673</v>
      </c>
      <c r="L27" s="44">
        <v>62.694999999999311</v>
      </c>
    </row>
    <row r="28" spans="2:12">
      <c r="B28" s="3" t="s">
        <v>848</v>
      </c>
      <c r="C28" s="3" t="s">
        <v>849</v>
      </c>
      <c r="D28" s="5" t="s">
        <v>19</v>
      </c>
      <c r="E28" s="3" t="s">
        <v>43</v>
      </c>
      <c r="F28" s="3" t="s">
        <v>238</v>
      </c>
      <c r="G28" s="3" t="s">
        <v>45</v>
      </c>
      <c r="H28" s="3" t="s">
        <v>40</v>
      </c>
      <c r="I28" s="20">
        <v>615.35</v>
      </c>
      <c r="J28" s="38">
        <v>369.21</v>
      </c>
      <c r="K28" s="20">
        <v>307.67500000000001</v>
      </c>
      <c r="L28" s="44">
        <v>61.534999999999968</v>
      </c>
    </row>
    <row r="29" spans="2:12">
      <c r="B29" s="36" t="s">
        <v>750</v>
      </c>
      <c r="C29" s="36" t="s">
        <v>751</v>
      </c>
      <c r="D29" s="37" t="s">
        <v>19</v>
      </c>
      <c r="E29" s="36" t="s">
        <v>31</v>
      </c>
      <c r="F29" s="36" t="s">
        <v>56</v>
      </c>
      <c r="G29" s="36" t="s">
        <v>33</v>
      </c>
      <c r="H29" s="36" t="s">
        <v>34</v>
      </c>
      <c r="I29" s="38">
        <v>558.24999999999636</v>
      </c>
      <c r="J29" s="38">
        <v>334.94999999999783</v>
      </c>
      <c r="K29" s="38">
        <v>279.12499999999818</v>
      </c>
      <c r="L29" s="44">
        <v>55.824999999999648</v>
      </c>
    </row>
    <row r="30" spans="2:12">
      <c r="B30" s="3" t="s">
        <v>439</v>
      </c>
      <c r="C30" s="3" t="s">
        <v>440</v>
      </c>
      <c r="D30" s="5" t="s">
        <v>19</v>
      </c>
      <c r="E30" s="3" t="s">
        <v>31</v>
      </c>
      <c r="F30" s="3" t="s">
        <v>441</v>
      </c>
      <c r="G30" s="3" t="s">
        <v>33</v>
      </c>
      <c r="H30" s="3" t="s">
        <v>34</v>
      </c>
      <c r="I30" s="20">
        <v>530.14999999987776</v>
      </c>
      <c r="J30" s="38">
        <v>318.08999999992665</v>
      </c>
      <c r="K30" s="20">
        <v>265.07499999993888</v>
      </c>
      <c r="L30" s="44">
        <v>53.014999999987765</v>
      </c>
    </row>
    <row r="31" spans="2:12">
      <c r="B31" s="36" t="s">
        <v>304</v>
      </c>
      <c r="C31" s="36" t="s">
        <v>305</v>
      </c>
      <c r="D31" s="37" t="s">
        <v>19</v>
      </c>
      <c r="E31" s="36" t="s">
        <v>20</v>
      </c>
      <c r="F31" s="36" t="s">
        <v>193</v>
      </c>
      <c r="G31" s="36" t="s">
        <v>22</v>
      </c>
      <c r="H31" s="36" t="s">
        <v>23</v>
      </c>
      <c r="I31" s="38">
        <v>514.26999999998588</v>
      </c>
      <c r="J31" s="38">
        <v>308.56199999999154</v>
      </c>
      <c r="K31" s="38">
        <v>257.13499999999294</v>
      </c>
      <c r="L31" s="44">
        <v>51.4269999999986</v>
      </c>
    </row>
    <row r="32" spans="2:12">
      <c r="B32" s="3" t="s">
        <v>603</v>
      </c>
      <c r="C32" s="3" t="s">
        <v>604</v>
      </c>
      <c r="D32" s="5" t="s">
        <v>19</v>
      </c>
      <c r="E32" s="3" t="s">
        <v>96</v>
      </c>
      <c r="F32" s="3" t="s">
        <v>605</v>
      </c>
      <c r="G32" s="3" t="s">
        <v>98</v>
      </c>
      <c r="H32" s="3" t="s">
        <v>23</v>
      </c>
      <c r="I32" s="20">
        <v>446.35999999999694</v>
      </c>
      <c r="J32" s="38">
        <v>267.81599999999816</v>
      </c>
      <c r="K32" s="20">
        <v>223.17999999999847</v>
      </c>
      <c r="L32" s="44">
        <v>44.635999999999683</v>
      </c>
    </row>
    <row r="33" spans="2:12">
      <c r="B33" s="36" t="s">
        <v>203</v>
      </c>
      <c r="C33" s="36" t="s">
        <v>204</v>
      </c>
      <c r="D33" s="37" t="s">
        <v>19</v>
      </c>
      <c r="E33" s="36" t="s">
        <v>37</v>
      </c>
      <c r="F33" s="36" t="s">
        <v>138</v>
      </c>
      <c r="G33" s="36" t="s">
        <v>39</v>
      </c>
      <c r="H33" s="36" t="s">
        <v>40</v>
      </c>
      <c r="I33" s="38">
        <v>419.41000000000349</v>
      </c>
      <c r="J33" s="38">
        <v>251.64600000000209</v>
      </c>
      <c r="K33" s="38">
        <v>209.70500000000175</v>
      </c>
      <c r="L33" s="44">
        <v>41.941000000000344</v>
      </c>
    </row>
    <row r="34" spans="2:12">
      <c r="B34" s="3" t="s">
        <v>269</v>
      </c>
      <c r="C34" s="3" t="s">
        <v>270</v>
      </c>
      <c r="D34" s="5" t="s">
        <v>19</v>
      </c>
      <c r="E34" s="3" t="s">
        <v>31</v>
      </c>
      <c r="F34" s="3" t="s">
        <v>56</v>
      </c>
      <c r="G34" s="3" t="s">
        <v>33</v>
      </c>
      <c r="H34" s="3" t="s">
        <v>34</v>
      </c>
      <c r="I34" s="20">
        <v>392.67000000000007</v>
      </c>
      <c r="J34" s="38">
        <v>235.60200000000003</v>
      </c>
      <c r="K34" s="20">
        <v>196.33500000000004</v>
      </c>
      <c r="L34" s="44">
        <v>39.266999999999996</v>
      </c>
    </row>
    <row r="35" spans="2:12">
      <c r="B35" s="36" t="s">
        <v>104</v>
      </c>
      <c r="C35" s="36" t="s">
        <v>105</v>
      </c>
      <c r="D35" s="37" t="s">
        <v>19</v>
      </c>
      <c r="E35" s="36" t="s">
        <v>43</v>
      </c>
      <c r="F35" s="36" t="s">
        <v>106</v>
      </c>
      <c r="G35" s="36" t="s">
        <v>45</v>
      </c>
      <c r="H35" s="36" t="s">
        <v>40</v>
      </c>
      <c r="I35" s="38">
        <v>377.25000000000182</v>
      </c>
      <c r="J35" s="38">
        <v>226.35000000000107</v>
      </c>
      <c r="K35" s="38">
        <v>188.62500000000091</v>
      </c>
      <c r="L35" s="44">
        <v>37.725000000000165</v>
      </c>
    </row>
    <row r="36" spans="2:12">
      <c r="B36" s="3" t="s">
        <v>452</v>
      </c>
      <c r="C36" s="3" t="s">
        <v>453</v>
      </c>
      <c r="D36" s="5" t="s">
        <v>19</v>
      </c>
      <c r="E36" s="3" t="s">
        <v>74</v>
      </c>
      <c r="F36" s="3" t="s">
        <v>373</v>
      </c>
      <c r="G36" s="3" t="s">
        <v>76</v>
      </c>
      <c r="H36" s="3" t="s">
        <v>40</v>
      </c>
      <c r="I36" s="20">
        <v>376.4300000000012</v>
      </c>
      <c r="J36" s="38">
        <v>225.85800000000071</v>
      </c>
      <c r="K36" s="20">
        <v>188.2150000000006</v>
      </c>
      <c r="L36" s="44">
        <v>37.643000000000114</v>
      </c>
    </row>
    <row r="37" spans="2:12">
      <c r="B37" s="36" t="s">
        <v>148</v>
      </c>
      <c r="C37" s="36" t="s">
        <v>149</v>
      </c>
      <c r="D37" s="37" t="s">
        <v>19</v>
      </c>
      <c r="E37" s="36" t="s">
        <v>37</v>
      </c>
      <c r="F37" s="36" t="s">
        <v>109</v>
      </c>
      <c r="G37" s="36" t="s">
        <v>39</v>
      </c>
      <c r="H37" s="36" t="s">
        <v>40</v>
      </c>
      <c r="I37" s="38">
        <v>368.82999999999993</v>
      </c>
      <c r="J37" s="38">
        <v>221.29799999999994</v>
      </c>
      <c r="K37" s="38">
        <v>184.41499999999996</v>
      </c>
      <c r="L37" s="44">
        <v>36.882999999999981</v>
      </c>
    </row>
    <row r="38" spans="2:12">
      <c r="B38" s="3" t="s">
        <v>233</v>
      </c>
      <c r="C38" s="3" t="s">
        <v>234</v>
      </c>
      <c r="D38" s="5" t="s">
        <v>19</v>
      </c>
      <c r="E38" s="3" t="s">
        <v>26</v>
      </c>
      <c r="F38" s="3" t="s">
        <v>235</v>
      </c>
      <c r="G38" s="3" t="s">
        <v>28</v>
      </c>
      <c r="H38" s="3" t="s">
        <v>23</v>
      </c>
      <c r="I38" s="20">
        <v>354.42000000002008</v>
      </c>
      <c r="J38" s="38">
        <v>212.65200000001204</v>
      </c>
      <c r="K38" s="20">
        <v>177.21000000001004</v>
      </c>
      <c r="L38" s="44">
        <v>35.442000000001997</v>
      </c>
    </row>
    <row r="39" spans="2:12">
      <c r="B39" s="36" t="s">
        <v>649</v>
      </c>
      <c r="C39" s="36" t="s">
        <v>650</v>
      </c>
      <c r="D39" s="37" t="s">
        <v>19</v>
      </c>
      <c r="E39" s="36" t="s">
        <v>20</v>
      </c>
      <c r="F39" s="36" t="s">
        <v>651</v>
      </c>
      <c r="G39" s="36" t="s">
        <v>22</v>
      </c>
      <c r="H39" s="36" t="s">
        <v>23</v>
      </c>
      <c r="I39" s="38">
        <v>303.62000000000262</v>
      </c>
      <c r="J39" s="38">
        <v>182.17200000000156</v>
      </c>
      <c r="K39" s="38">
        <v>151.81000000000131</v>
      </c>
      <c r="L39" s="44">
        <v>30.362000000000251</v>
      </c>
    </row>
    <row r="40" spans="2:12">
      <c r="B40" s="3" t="s">
        <v>850</v>
      </c>
      <c r="C40" s="3" t="s">
        <v>851</v>
      </c>
      <c r="D40" s="5" t="s">
        <v>19</v>
      </c>
      <c r="E40" s="3" t="s">
        <v>43</v>
      </c>
      <c r="F40" s="3" t="s">
        <v>634</v>
      </c>
      <c r="G40" s="3" t="s">
        <v>45</v>
      </c>
      <c r="H40" s="3" t="s">
        <v>40</v>
      </c>
      <c r="I40" s="20">
        <v>242.76000000000022</v>
      </c>
      <c r="J40" s="38">
        <v>145.65600000000012</v>
      </c>
      <c r="K40" s="20">
        <v>121.38000000000011</v>
      </c>
      <c r="L40" s="44">
        <v>24.27600000000001</v>
      </c>
    </row>
    <row r="41" spans="2:12">
      <c r="B41" s="36" t="s">
        <v>17</v>
      </c>
      <c r="C41" s="36" t="s">
        <v>18</v>
      </c>
      <c r="D41" s="37" t="s">
        <v>19</v>
      </c>
      <c r="E41" s="36" t="s">
        <v>20</v>
      </c>
      <c r="F41" s="36" t="s">
        <v>21</v>
      </c>
      <c r="G41" s="36" t="s">
        <v>22</v>
      </c>
      <c r="H41" s="36" t="s">
        <v>23</v>
      </c>
      <c r="I41" s="38">
        <v>227.55000000013388</v>
      </c>
      <c r="J41" s="38">
        <v>136.53000000008032</v>
      </c>
      <c r="K41" s="38">
        <v>113.77500000006694</v>
      </c>
      <c r="L41" s="44">
        <v>22.755000000013382</v>
      </c>
    </row>
    <row r="42" spans="2:12">
      <c r="B42" s="3" t="s">
        <v>422</v>
      </c>
      <c r="C42" s="3" t="s">
        <v>423</v>
      </c>
      <c r="D42" s="5" t="s">
        <v>19</v>
      </c>
      <c r="E42" s="3" t="s">
        <v>424</v>
      </c>
      <c r="F42" s="3" t="s">
        <v>424</v>
      </c>
      <c r="G42" s="3" t="s">
        <v>425</v>
      </c>
      <c r="H42" s="3" t="s">
        <v>410</v>
      </c>
      <c r="I42" s="20">
        <v>214.96999999999935</v>
      </c>
      <c r="J42" s="38">
        <v>128.9819999999996</v>
      </c>
      <c r="K42" s="20">
        <v>107.48499999999967</v>
      </c>
      <c r="L42" s="44">
        <v>21.496999999999929</v>
      </c>
    </row>
    <row r="43" spans="2:12">
      <c r="B43" s="36" t="s">
        <v>288</v>
      </c>
      <c r="C43" s="36" t="s">
        <v>289</v>
      </c>
      <c r="D43" s="37" t="s">
        <v>19</v>
      </c>
      <c r="E43" s="36" t="s">
        <v>48</v>
      </c>
      <c r="F43" s="36" t="s">
        <v>93</v>
      </c>
      <c r="G43" s="36" t="s">
        <v>50</v>
      </c>
      <c r="H43" s="36" t="s">
        <v>40</v>
      </c>
      <c r="I43" s="38">
        <v>212.01000000000522</v>
      </c>
      <c r="J43" s="38">
        <v>127.20600000000313</v>
      </c>
      <c r="K43" s="38">
        <v>106.00500000000261</v>
      </c>
      <c r="L43" s="44">
        <v>21.201000000000519</v>
      </c>
    </row>
    <row r="44" spans="2:12">
      <c r="B44" s="3" t="s">
        <v>606</v>
      </c>
      <c r="C44" s="3" t="s">
        <v>607</v>
      </c>
      <c r="D44" s="5" t="s">
        <v>19</v>
      </c>
      <c r="E44" s="3" t="s">
        <v>74</v>
      </c>
      <c r="F44" s="3" t="s">
        <v>373</v>
      </c>
      <c r="G44" s="3" t="s">
        <v>76</v>
      </c>
      <c r="H44" s="3" t="s">
        <v>40</v>
      </c>
      <c r="I44" s="20">
        <v>170.11999999999716</v>
      </c>
      <c r="J44" s="38">
        <v>102.0719999999983</v>
      </c>
      <c r="K44" s="20">
        <v>85.059999999998581</v>
      </c>
      <c r="L44" s="44">
        <v>17.011999999999716</v>
      </c>
    </row>
    <row r="45" spans="2:12">
      <c r="B45" s="36" t="s">
        <v>492</v>
      </c>
      <c r="C45" s="36" t="s">
        <v>493</v>
      </c>
      <c r="D45" s="37" t="s">
        <v>19</v>
      </c>
      <c r="E45" s="36" t="s">
        <v>74</v>
      </c>
      <c r="F45" s="36" t="s">
        <v>152</v>
      </c>
      <c r="G45" s="36" t="s">
        <v>76</v>
      </c>
      <c r="H45" s="36" t="s">
        <v>40</v>
      </c>
      <c r="I45" s="38">
        <v>147.40000000002328</v>
      </c>
      <c r="J45" s="38">
        <v>88.440000000013967</v>
      </c>
      <c r="K45" s="38">
        <v>73.700000000011642</v>
      </c>
      <c r="L45" s="44">
        <v>14.740000000002325</v>
      </c>
    </row>
    <row r="46" spans="2:12">
      <c r="B46" s="3" t="s">
        <v>155</v>
      </c>
      <c r="C46" s="3" t="s">
        <v>156</v>
      </c>
      <c r="D46" s="5" t="s">
        <v>19</v>
      </c>
      <c r="E46" s="3" t="s">
        <v>59</v>
      </c>
      <c r="F46" s="3" t="s">
        <v>60</v>
      </c>
      <c r="G46" s="3" t="s">
        <v>61</v>
      </c>
      <c r="H46" s="3" t="s">
        <v>23</v>
      </c>
      <c r="I46" s="20">
        <v>138.11000000000058</v>
      </c>
      <c r="J46" s="38">
        <v>82.866000000000341</v>
      </c>
      <c r="K46" s="20">
        <v>69.055000000000291</v>
      </c>
      <c r="L46" s="44">
        <v>13.81100000000005</v>
      </c>
    </row>
    <row r="47" spans="2:12">
      <c r="B47" s="36" t="s">
        <v>732</v>
      </c>
      <c r="C47" s="36" t="s">
        <v>733</v>
      </c>
      <c r="D47" s="37" t="s">
        <v>19</v>
      </c>
      <c r="E47" s="36" t="s">
        <v>48</v>
      </c>
      <c r="F47" s="36" t="s">
        <v>93</v>
      </c>
      <c r="G47" s="36" t="s">
        <v>50</v>
      </c>
      <c r="H47" s="36" t="s">
        <v>40</v>
      </c>
      <c r="I47" s="38">
        <v>135.18000000000029</v>
      </c>
      <c r="J47" s="38">
        <v>81.108000000000175</v>
      </c>
      <c r="K47" s="38">
        <v>67.590000000000146</v>
      </c>
      <c r="L47" s="44">
        <v>13.518000000000029</v>
      </c>
    </row>
    <row r="48" spans="2:12">
      <c r="B48" s="3" t="s">
        <v>805</v>
      </c>
      <c r="C48" s="3" t="s">
        <v>806</v>
      </c>
      <c r="D48" s="5" t="s">
        <v>19</v>
      </c>
      <c r="E48" s="3" t="s">
        <v>31</v>
      </c>
      <c r="F48" s="3" t="s">
        <v>797</v>
      </c>
      <c r="G48" s="3" t="s">
        <v>33</v>
      </c>
      <c r="H48" s="3" t="s">
        <v>34</v>
      </c>
      <c r="I48" s="20">
        <v>109.94999999999345</v>
      </c>
      <c r="J48" s="38">
        <v>65.969999999996062</v>
      </c>
      <c r="K48" s="20">
        <v>54.974999999996726</v>
      </c>
      <c r="L48" s="44">
        <v>10.994999999999337</v>
      </c>
    </row>
    <row r="49" spans="2:12">
      <c r="B49" s="36" t="s">
        <v>72</v>
      </c>
      <c r="C49" s="36" t="s">
        <v>73</v>
      </c>
      <c r="D49" s="37" t="s">
        <v>19</v>
      </c>
      <c r="E49" s="36" t="s">
        <v>74</v>
      </c>
      <c r="F49" s="36" t="s">
        <v>75</v>
      </c>
      <c r="G49" s="36" t="s">
        <v>76</v>
      </c>
      <c r="H49" s="36" t="s">
        <v>40</v>
      </c>
      <c r="I49" s="38">
        <v>85.690000000002328</v>
      </c>
      <c r="J49" s="38">
        <v>51.414000000001394</v>
      </c>
      <c r="K49" s="38">
        <v>42.845000000001164</v>
      </c>
      <c r="L49" s="44">
        <v>8.56900000000023</v>
      </c>
    </row>
    <row r="50" spans="2:12">
      <c r="B50" s="3" t="s">
        <v>402</v>
      </c>
      <c r="C50" s="3" t="s">
        <v>403</v>
      </c>
      <c r="D50" s="5" t="s">
        <v>19</v>
      </c>
      <c r="E50" s="3" t="s">
        <v>31</v>
      </c>
      <c r="F50" s="3" t="s">
        <v>56</v>
      </c>
      <c r="G50" s="3" t="s">
        <v>33</v>
      </c>
      <c r="H50" s="3" t="s">
        <v>34</v>
      </c>
      <c r="I50" s="20">
        <v>80.030000000000655</v>
      </c>
      <c r="J50" s="38">
        <v>48.018000000000391</v>
      </c>
      <c r="K50" s="20">
        <v>40.015000000000327</v>
      </c>
      <c r="L50" s="44">
        <v>8.0030000000000641</v>
      </c>
    </row>
    <row r="51" spans="2:12">
      <c r="B51" s="36" t="s">
        <v>646</v>
      </c>
      <c r="C51" s="36" t="s">
        <v>647</v>
      </c>
      <c r="D51" s="37" t="s">
        <v>19</v>
      </c>
      <c r="E51" s="36" t="s">
        <v>26</v>
      </c>
      <c r="F51" s="36" t="s">
        <v>648</v>
      </c>
      <c r="G51" s="36" t="s">
        <v>28</v>
      </c>
      <c r="H51" s="36" t="s">
        <v>23</v>
      </c>
      <c r="I51" s="38">
        <v>70.299999999995634</v>
      </c>
      <c r="J51" s="38">
        <v>42.179999999997378</v>
      </c>
      <c r="K51" s="38">
        <v>35.149999999997817</v>
      </c>
      <c r="L51" s="44">
        <v>7.0299999999995606</v>
      </c>
    </row>
    <row r="52" spans="2:12">
      <c r="B52" s="3" t="s">
        <v>379</v>
      </c>
      <c r="C52" s="3" t="s">
        <v>380</v>
      </c>
      <c r="D52" s="5" t="s">
        <v>19</v>
      </c>
      <c r="E52" s="3" t="s">
        <v>43</v>
      </c>
      <c r="F52" s="3" t="s">
        <v>106</v>
      </c>
      <c r="G52" s="3" t="s">
        <v>45</v>
      </c>
      <c r="H52" s="3" t="s">
        <v>40</v>
      </c>
      <c r="I52" s="20">
        <v>64.820000000000164</v>
      </c>
      <c r="J52" s="38">
        <v>38.892000000000095</v>
      </c>
      <c r="K52" s="20">
        <v>32.410000000000082</v>
      </c>
      <c r="L52" s="44">
        <v>6.4820000000000135</v>
      </c>
    </row>
    <row r="53" spans="2:12">
      <c r="B53" s="36" t="s">
        <v>660</v>
      </c>
      <c r="C53" s="36" t="s">
        <v>661</v>
      </c>
      <c r="D53" s="37" t="s">
        <v>19</v>
      </c>
      <c r="E53" s="36" t="s">
        <v>48</v>
      </c>
      <c r="F53" s="36" t="s">
        <v>93</v>
      </c>
      <c r="G53" s="36" t="s">
        <v>50</v>
      </c>
      <c r="H53" s="36" t="s">
        <v>40</v>
      </c>
      <c r="I53" s="38">
        <v>52.990000000000236</v>
      </c>
      <c r="J53" s="38">
        <v>31.794000000000139</v>
      </c>
      <c r="K53" s="38">
        <v>26.495000000000118</v>
      </c>
      <c r="L53" s="44">
        <v>5.2990000000000208</v>
      </c>
    </row>
    <row r="54" spans="2:12">
      <c r="B54" s="3" t="s">
        <v>521</v>
      </c>
      <c r="C54" s="3" t="s">
        <v>522</v>
      </c>
      <c r="D54" s="5" t="s">
        <v>19</v>
      </c>
      <c r="E54" s="3" t="s">
        <v>74</v>
      </c>
      <c r="F54" s="3" t="s">
        <v>373</v>
      </c>
      <c r="G54" s="3" t="s">
        <v>76</v>
      </c>
      <c r="H54" s="3" t="s">
        <v>40</v>
      </c>
      <c r="I54" s="20">
        <v>47.260000000000218</v>
      </c>
      <c r="J54" s="38">
        <v>28.35600000000013</v>
      </c>
      <c r="K54" s="20">
        <v>23.630000000000109</v>
      </c>
      <c r="L54" s="44">
        <v>4.7260000000000204</v>
      </c>
    </row>
    <row r="55" spans="2:12">
      <c r="B55" s="36" t="s">
        <v>588</v>
      </c>
      <c r="C55" s="36" t="s">
        <v>589</v>
      </c>
      <c r="D55" s="37" t="s">
        <v>19</v>
      </c>
      <c r="E55" s="36" t="s">
        <v>26</v>
      </c>
      <c r="F55" s="36" t="s">
        <v>590</v>
      </c>
      <c r="G55" s="36" t="s">
        <v>28</v>
      </c>
      <c r="H55" s="36" t="s">
        <v>23</v>
      </c>
      <c r="I55" s="38">
        <v>41.88000000003376</v>
      </c>
      <c r="J55" s="38">
        <v>25.128000000020254</v>
      </c>
      <c r="K55" s="38">
        <v>20.94000000001688</v>
      </c>
      <c r="L55" s="44">
        <v>4.1880000000033739</v>
      </c>
    </row>
    <row r="56" spans="2:12">
      <c r="B56" s="3" t="s">
        <v>463</v>
      </c>
      <c r="C56" s="3" t="s">
        <v>464</v>
      </c>
      <c r="D56" s="5" t="s">
        <v>19</v>
      </c>
      <c r="E56" s="3" t="s">
        <v>96</v>
      </c>
      <c r="F56" s="3" t="s">
        <v>226</v>
      </c>
      <c r="G56" s="3" t="s">
        <v>98</v>
      </c>
      <c r="H56" s="3" t="s">
        <v>23</v>
      </c>
      <c r="I56" s="20">
        <v>27.939999999993233</v>
      </c>
      <c r="J56" s="38">
        <v>16.763999999995939</v>
      </c>
      <c r="K56" s="20">
        <v>13.969999999996617</v>
      </c>
      <c r="L56" s="44">
        <v>2.7939999999993219</v>
      </c>
    </row>
    <row r="57" spans="2:12">
      <c r="B57" s="36" t="s">
        <v>746</v>
      </c>
      <c r="C57" s="36" t="s">
        <v>747</v>
      </c>
      <c r="D57" s="37" t="s">
        <v>19</v>
      </c>
      <c r="E57" s="36" t="s">
        <v>43</v>
      </c>
      <c r="F57" s="36" t="s">
        <v>745</v>
      </c>
      <c r="G57" s="36" t="s">
        <v>45</v>
      </c>
      <c r="H57" s="36" t="s">
        <v>40</v>
      </c>
      <c r="I57" s="38">
        <v>25.619999999998981</v>
      </c>
      <c r="J57" s="38">
        <v>15.371999999999389</v>
      </c>
      <c r="K57" s="38">
        <v>12.809999999999491</v>
      </c>
      <c r="L57" s="44">
        <v>2.5619999999998981</v>
      </c>
    </row>
    <row r="58" spans="2:12">
      <c r="B58" s="3" t="s">
        <v>563</v>
      </c>
      <c r="C58" s="3" t="s">
        <v>564</v>
      </c>
      <c r="D58" s="5" t="s">
        <v>19</v>
      </c>
      <c r="E58" s="3" t="s">
        <v>48</v>
      </c>
      <c r="F58" s="3" t="s">
        <v>93</v>
      </c>
      <c r="G58" s="3" t="s">
        <v>50</v>
      </c>
      <c r="H58" s="3" t="s">
        <v>40</v>
      </c>
      <c r="I58" s="20">
        <v>13.389999999999873</v>
      </c>
      <c r="J58" s="38">
        <v>8.0339999999999225</v>
      </c>
      <c r="K58" s="20">
        <v>6.6949999999999363</v>
      </c>
      <c r="L58" s="44">
        <v>1.3389999999999862</v>
      </c>
    </row>
    <row r="59" spans="2:12">
      <c r="B59" s="39" t="s">
        <v>430</v>
      </c>
      <c r="C59" s="39" t="s">
        <v>431</v>
      </c>
      <c r="D59" s="40" t="s">
        <v>19</v>
      </c>
      <c r="E59" s="39" t="s">
        <v>37</v>
      </c>
      <c r="F59" s="39" t="s">
        <v>138</v>
      </c>
      <c r="G59" s="39" t="s">
        <v>39</v>
      </c>
      <c r="H59" s="39" t="s">
        <v>40</v>
      </c>
      <c r="I59" s="41">
        <v>10.020000000002256</v>
      </c>
      <c r="J59" s="38">
        <v>6.0120000000013532</v>
      </c>
      <c r="K59" s="41">
        <v>5.0100000000011278</v>
      </c>
      <c r="L59" s="44">
        <v>1.0020000000002254</v>
      </c>
    </row>
  </sheetData>
  <conditionalFormatting sqref="B2">
    <cfRule type="duplicateValues" dxfId="3" priority="1"/>
    <cfRule type="duplicateValues" dxfId="2" priority="2"/>
    <cfRule type="duplicateValues" dxfId="1" priority="3"/>
  </conditionalFormatting>
  <conditionalFormatting sqref="C2">
    <cfRule type="duplicateValues" dxfId="0" priority="4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7007-0D36-4BAF-94D6-F55E733C5140}">
  <dimension ref="C2:J607"/>
  <sheetViews>
    <sheetView topLeftCell="A248" workbookViewId="0">
      <selection activeCell="M251" sqref="M251"/>
    </sheetView>
  </sheetViews>
  <sheetFormatPr defaultRowHeight="15"/>
  <sheetData>
    <row r="2" spans="3:10">
      <c r="C2" s="22" t="s">
        <v>859</v>
      </c>
      <c r="D2" s="22" t="s">
        <v>860</v>
      </c>
      <c r="E2" s="22" t="s">
        <v>861</v>
      </c>
      <c r="F2" s="22" t="s">
        <v>862</v>
      </c>
      <c r="G2" s="22" t="s">
        <v>863</v>
      </c>
      <c r="H2" s="22" t="s">
        <v>864</v>
      </c>
      <c r="I2" s="22" t="s">
        <v>865</v>
      </c>
      <c r="J2" s="22" t="s">
        <v>866</v>
      </c>
    </row>
    <row r="3" spans="3:10">
      <c r="C3" s="23"/>
      <c r="D3" s="51" t="s">
        <v>17</v>
      </c>
      <c r="E3" s="51" t="s">
        <v>867</v>
      </c>
      <c r="F3" s="51" t="s">
        <v>868</v>
      </c>
      <c r="G3" s="24" t="s">
        <v>869</v>
      </c>
      <c r="H3" s="51" t="s">
        <v>870</v>
      </c>
      <c r="I3" s="51" t="s">
        <v>871</v>
      </c>
      <c r="J3" s="52"/>
    </row>
    <row r="4" spans="3:10">
      <c r="C4" s="23"/>
      <c r="D4" s="51" t="s">
        <v>24</v>
      </c>
      <c r="E4" s="51" t="s">
        <v>872</v>
      </c>
      <c r="F4" s="51" t="s">
        <v>868</v>
      </c>
      <c r="G4" s="24" t="s">
        <v>869</v>
      </c>
      <c r="H4" s="51" t="s">
        <v>870</v>
      </c>
      <c r="I4" s="51" t="s">
        <v>871</v>
      </c>
      <c r="J4" s="52"/>
    </row>
    <row r="5" spans="3:10">
      <c r="C5" s="23"/>
      <c r="D5" s="51" t="s">
        <v>29</v>
      </c>
      <c r="E5" s="51" t="s">
        <v>873</v>
      </c>
      <c r="F5" s="51" t="s">
        <v>868</v>
      </c>
      <c r="G5" s="24" t="s">
        <v>869</v>
      </c>
      <c r="H5" s="51" t="s">
        <v>870</v>
      </c>
      <c r="I5" s="51" t="s">
        <v>871</v>
      </c>
      <c r="J5" s="52"/>
    </row>
    <row r="6" spans="3:10">
      <c r="C6" s="23"/>
      <c r="D6" s="51" t="s">
        <v>35</v>
      </c>
      <c r="E6" s="51" t="s">
        <v>874</v>
      </c>
      <c r="F6" s="51" t="s">
        <v>868</v>
      </c>
      <c r="G6" s="24" t="s">
        <v>869</v>
      </c>
      <c r="H6" s="51" t="s">
        <v>870</v>
      </c>
      <c r="I6" s="51" t="s">
        <v>871</v>
      </c>
      <c r="J6" s="52"/>
    </row>
    <row r="7" spans="3:10">
      <c r="C7" s="23"/>
      <c r="D7" s="51" t="s">
        <v>875</v>
      </c>
      <c r="E7" s="51" t="s">
        <v>876</v>
      </c>
      <c r="F7" s="51" t="s">
        <v>868</v>
      </c>
      <c r="G7" s="24" t="s">
        <v>869</v>
      </c>
      <c r="H7" s="51" t="s">
        <v>870</v>
      </c>
      <c r="I7" s="51" t="s">
        <v>871</v>
      </c>
      <c r="J7" s="52"/>
    </row>
    <row r="8" spans="3:10">
      <c r="C8" s="23"/>
      <c r="D8" s="51" t="s">
        <v>41</v>
      </c>
      <c r="E8" s="51" t="s">
        <v>877</v>
      </c>
      <c r="F8" s="51" t="s">
        <v>868</v>
      </c>
      <c r="G8" s="24" t="s">
        <v>869</v>
      </c>
      <c r="H8" s="51" t="s">
        <v>870</v>
      </c>
      <c r="I8" s="51" t="s">
        <v>871</v>
      </c>
      <c r="J8" s="52"/>
    </row>
    <row r="9" spans="3:10">
      <c r="C9" s="23"/>
      <c r="D9" s="51" t="s">
        <v>878</v>
      </c>
      <c r="E9" s="51" t="s">
        <v>879</v>
      </c>
      <c r="F9" s="51" t="s">
        <v>880</v>
      </c>
      <c r="G9" s="25" t="s">
        <v>881</v>
      </c>
      <c r="H9" s="51" t="s">
        <v>870</v>
      </c>
      <c r="I9" s="51" t="s">
        <v>871</v>
      </c>
      <c r="J9" s="52"/>
    </row>
    <row r="10" spans="3:10">
      <c r="C10" s="23"/>
      <c r="D10" s="51" t="s">
        <v>46</v>
      </c>
      <c r="E10" s="51" t="s">
        <v>882</v>
      </c>
      <c r="F10" s="51" t="s">
        <v>868</v>
      </c>
      <c r="G10" s="24" t="s">
        <v>869</v>
      </c>
      <c r="H10" s="51" t="s">
        <v>870</v>
      </c>
      <c r="I10" s="51" t="s">
        <v>871</v>
      </c>
      <c r="J10" s="52"/>
    </row>
    <row r="11" spans="3:10">
      <c r="C11" s="23"/>
      <c r="D11" s="51" t="s">
        <v>883</v>
      </c>
      <c r="E11" s="51" t="s">
        <v>884</v>
      </c>
      <c r="F11" s="51" t="s">
        <v>868</v>
      </c>
      <c r="G11" s="25" t="s">
        <v>881</v>
      </c>
      <c r="H11" s="51" t="s">
        <v>870</v>
      </c>
      <c r="I11" s="51" t="s">
        <v>871</v>
      </c>
      <c r="J11" s="52"/>
    </row>
    <row r="12" spans="3:10">
      <c r="C12" s="23"/>
      <c r="D12" s="51" t="s">
        <v>51</v>
      </c>
      <c r="E12" s="51" t="s">
        <v>885</v>
      </c>
      <c r="F12" s="51" t="s">
        <v>868</v>
      </c>
      <c r="G12" s="24" t="s">
        <v>869</v>
      </c>
      <c r="H12" s="51" t="s">
        <v>870</v>
      </c>
      <c r="I12" s="51" t="s">
        <v>871</v>
      </c>
      <c r="J12" s="52"/>
    </row>
    <row r="13" spans="3:10">
      <c r="C13" s="23"/>
      <c r="D13" s="51" t="s">
        <v>886</v>
      </c>
      <c r="E13" s="51" t="s">
        <v>887</v>
      </c>
      <c r="F13" s="51" t="s">
        <v>868</v>
      </c>
      <c r="G13" s="25" t="s">
        <v>881</v>
      </c>
      <c r="H13" s="51" t="s">
        <v>870</v>
      </c>
      <c r="I13" s="51" t="s">
        <v>871</v>
      </c>
      <c r="J13" s="52"/>
    </row>
    <row r="14" spans="3:10">
      <c r="C14" s="23"/>
      <c r="D14" s="51" t="s">
        <v>888</v>
      </c>
      <c r="E14" s="51" t="s">
        <v>889</v>
      </c>
      <c r="F14" s="51" t="s">
        <v>868</v>
      </c>
      <c r="G14" s="24" t="s">
        <v>869</v>
      </c>
      <c r="H14" s="51" t="s">
        <v>870</v>
      </c>
      <c r="I14" s="51" t="s">
        <v>871</v>
      </c>
      <c r="J14" s="52"/>
    </row>
    <row r="15" spans="3:10">
      <c r="C15" s="23"/>
      <c r="D15" s="51" t="s">
        <v>890</v>
      </c>
      <c r="E15" s="51" t="s">
        <v>891</v>
      </c>
      <c r="F15" s="51" t="s">
        <v>868</v>
      </c>
      <c r="G15" s="26" t="s">
        <v>892</v>
      </c>
      <c r="H15" s="51" t="s">
        <v>870</v>
      </c>
      <c r="I15" s="51" t="s">
        <v>871</v>
      </c>
      <c r="J15" s="52"/>
    </row>
    <row r="16" spans="3:10">
      <c r="C16" s="23"/>
      <c r="D16" s="51" t="s">
        <v>54</v>
      </c>
      <c r="E16" s="51" t="s">
        <v>893</v>
      </c>
      <c r="F16" s="51" t="s">
        <v>868</v>
      </c>
      <c r="G16" s="24" t="s">
        <v>869</v>
      </c>
      <c r="H16" s="51" t="s">
        <v>870</v>
      </c>
      <c r="I16" s="51" t="s">
        <v>871</v>
      </c>
      <c r="J16" s="52"/>
    </row>
    <row r="17" spans="3:10">
      <c r="C17" s="23"/>
      <c r="D17" s="51" t="s">
        <v>57</v>
      </c>
      <c r="E17" s="51" t="s">
        <v>894</v>
      </c>
      <c r="F17" s="51" t="s">
        <v>868</v>
      </c>
      <c r="G17" s="24" t="s">
        <v>869</v>
      </c>
      <c r="H17" s="51" t="s">
        <v>870</v>
      </c>
      <c r="I17" s="51" t="s">
        <v>871</v>
      </c>
      <c r="J17" s="52"/>
    </row>
    <row r="18" spans="3:10">
      <c r="C18" s="23"/>
      <c r="D18" s="51" t="s">
        <v>62</v>
      </c>
      <c r="E18" s="51" t="s">
        <v>895</v>
      </c>
      <c r="F18" s="51" t="s">
        <v>868</v>
      </c>
      <c r="G18" s="24" t="s">
        <v>869</v>
      </c>
      <c r="H18" s="51" t="s">
        <v>870</v>
      </c>
      <c r="I18" s="51" t="s">
        <v>871</v>
      </c>
      <c r="J18" s="52"/>
    </row>
    <row r="19" spans="3:10">
      <c r="C19" s="23"/>
      <c r="D19" s="51" t="s">
        <v>896</v>
      </c>
      <c r="E19" s="51" t="s">
        <v>897</v>
      </c>
      <c r="F19" s="51" t="s">
        <v>868</v>
      </c>
      <c r="G19" s="25" t="s">
        <v>881</v>
      </c>
      <c r="H19" s="51" t="s">
        <v>870</v>
      </c>
      <c r="I19" s="51" t="s">
        <v>871</v>
      </c>
      <c r="J19" s="52"/>
    </row>
    <row r="20" spans="3:10">
      <c r="C20" s="23"/>
      <c r="D20" s="51" t="s">
        <v>64</v>
      </c>
      <c r="E20" s="51" t="s">
        <v>898</v>
      </c>
      <c r="F20" s="51" t="s">
        <v>868</v>
      </c>
      <c r="G20" s="24" t="s">
        <v>869</v>
      </c>
      <c r="H20" s="51" t="s">
        <v>870</v>
      </c>
      <c r="I20" s="51" t="s">
        <v>871</v>
      </c>
      <c r="J20" s="52"/>
    </row>
    <row r="21" spans="3:10">
      <c r="C21" s="23"/>
      <c r="D21" s="51" t="s">
        <v>899</v>
      </c>
      <c r="E21" s="51" t="s">
        <v>900</v>
      </c>
      <c r="F21" s="51" t="s">
        <v>868</v>
      </c>
      <c r="G21" s="26" t="s">
        <v>892</v>
      </c>
      <c r="H21" s="51" t="s">
        <v>870</v>
      </c>
      <c r="I21" s="51" t="s">
        <v>871</v>
      </c>
      <c r="J21" s="52"/>
    </row>
    <row r="22" spans="3:10">
      <c r="C22" s="23"/>
      <c r="D22" s="51" t="s">
        <v>66</v>
      </c>
      <c r="E22" s="51" t="s">
        <v>901</v>
      </c>
      <c r="F22" s="51" t="s">
        <v>868</v>
      </c>
      <c r="G22" s="24" t="s">
        <v>869</v>
      </c>
      <c r="H22" s="51" t="s">
        <v>870</v>
      </c>
      <c r="I22" s="51" t="s">
        <v>871</v>
      </c>
      <c r="J22" s="52"/>
    </row>
    <row r="23" spans="3:10">
      <c r="C23" s="23"/>
      <c r="D23" s="51" t="s">
        <v>69</v>
      </c>
      <c r="E23" s="51" t="s">
        <v>902</v>
      </c>
      <c r="F23" s="51" t="s">
        <v>868</v>
      </c>
      <c r="G23" s="24" t="s">
        <v>869</v>
      </c>
      <c r="H23" s="51" t="s">
        <v>870</v>
      </c>
      <c r="I23" s="51" t="s">
        <v>871</v>
      </c>
      <c r="J23" s="52"/>
    </row>
    <row r="24" spans="3:10">
      <c r="C24" s="23"/>
      <c r="D24" s="51" t="s">
        <v>903</v>
      </c>
      <c r="E24" s="51" t="s">
        <v>904</v>
      </c>
      <c r="F24" s="51" t="s">
        <v>868</v>
      </c>
      <c r="G24" s="25" t="s">
        <v>881</v>
      </c>
      <c r="H24" s="51" t="s">
        <v>870</v>
      </c>
      <c r="I24" s="51" t="s">
        <v>871</v>
      </c>
      <c r="J24" s="52"/>
    </row>
    <row r="25" spans="3:10">
      <c r="C25" s="23"/>
      <c r="D25" s="51" t="s">
        <v>905</v>
      </c>
      <c r="E25" s="51" t="s">
        <v>906</v>
      </c>
      <c r="F25" s="51" t="s">
        <v>868</v>
      </c>
      <c r="G25" s="24" t="s">
        <v>869</v>
      </c>
      <c r="H25" s="51" t="s">
        <v>870</v>
      </c>
      <c r="I25" s="51" t="s">
        <v>871</v>
      </c>
      <c r="J25" s="52"/>
    </row>
    <row r="26" spans="3:10">
      <c r="C26" s="23"/>
      <c r="D26" s="51" t="s">
        <v>72</v>
      </c>
      <c r="E26" s="51" t="s">
        <v>907</v>
      </c>
      <c r="F26" s="51" t="s">
        <v>868</v>
      </c>
      <c r="G26" s="24" t="s">
        <v>869</v>
      </c>
      <c r="H26" s="51" t="s">
        <v>870</v>
      </c>
      <c r="I26" s="51" t="s">
        <v>871</v>
      </c>
      <c r="J26" s="52"/>
    </row>
    <row r="27" spans="3:10">
      <c r="C27" s="23"/>
      <c r="D27" s="51" t="s">
        <v>77</v>
      </c>
      <c r="E27" s="51" t="s">
        <v>908</v>
      </c>
      <c r="F27" s="51" t="s">
        <v>868</v>
      </c>
      <c r="G27" s="24" t="s">
        <v>869</v>
      </c>
      <c r="H27" s="51" t="s">
        <v>870</v>
      </c>
      <c r="I27" s="51" t="s">
        <v>871</v>
      </c>
      <c r="J27" s="52"/>
    </row>
    <row r="28" spans="3:10">
      <c r="C28" s="23"/>
      <c r="D28" s="51" t="s">
        <v>909</v>
      </c>
      <c r="E28" s="51" t="s">
        <v>910</v>
      </c>
      <c r="F28" s="51" t="s">
        <v>868</v>
      </c>
      <c r="G28" s="24" t="s">
        <v>869</v>
      </c>
      <c r="H28" s="51" t="s">
        <v>870</v>
      </c>
      <c r="I28" s="51" t="s">
        <v>871</v>
      </c>
      <c r="J28" s="52"/>
    </row>
    <row r="29" spans="3:10">
      <c r="C29" s="23"/>
      <c r="D29" s="51" t="s">
        <v>911</v>
      </c>
      <c r="E29" s="51" t="s">
        <v>912</v>
      </c>
      <c r="F29" s="51" t="s">
        <v>868</v>
      </c>
      <c r="G29" s="24" t="s">
        <v>869</v>
      </c>
      <c r="H29" s="51" t="s">
        <v>870</v>
      </c>
      <c r="I29" s="51" t="s">
        <v>871</v>
      </c>
      <c r="J29" s="52"/>
    </row>
    <row r="30" spans="3:10">
      <c r="C30" s="23"/>
      <c r="D30" s="51" t="s">
        <v>80</v>
      </c>
      <c r="E30" s="51" t="s">
        <v>913</v>
      </c>
      <c r="F30" s="51" t="s">
        <v>868</v>
      </c>
      <c r="G30" s="24" t="s">
        <v>869</v>
      </c>
      <c r="H30" s="51" t="s">
        <v>870</v>
      </c>
      <c r="I30" s="51" t="s">
        <v>871</v>
      </c>
      <c r="J30" s="52"/>
    </row>
    <row r="31" spans="3:10">
      <c r="C31" s="23"/>
      <c r="D31" s="51" t="s">
        <v>914</v>
      </c>
      <c r="E31" s="51" t="s">
        <v>915</v>
      </c>
      <c r="F31" s="51" t="s">
        <v>868</v>
      </c>
      <c r="G31" s="25" t="s">
        <v>881</v>
      </c>
      <c r="H31" s="51" t="s">
        <v>870</v>
      </c>
      <c r="I31" s="51" t="s">
        <v>871</v>
      </c>
      <c r="J31" s="52"/>
    </row>
    <row r="32" spans="3:10">
      <c r="C32" s="23"/>
      <c r="D32" s="51" t="s">
        <v>83</v>
      </c>
      <c r="E32" s="51" t="s">
        <v>916</v>
      </c>
      <c r="F32" s="51" t="s">
        <v>880</v>
      </c>
      <c r="G32" s="24" t="s">
        <v>869</v>
      </c>
      <c r="H32" s="51" t="s">
        <v>870</v>
      </c>
      <c r="I32" s="51" t="s">
        <v>871</v>
      </c>
      <c r="J32" s="52"/>
    </row>
    <row r="33" spans="3:10">
      <c r="C33" s="23"/>
      <c r="D33" s="51" t="s">
        <v>917</v>
      </c>
      <c r="E33" s="51" t="s">
        <v>918</v>
      </c>
      <c r="F33" s="51" t="s">
        <v>868</v>
      </c>
      <c r="G33" s="24" t="s">
        <v>869</v>
      </c>
      <c r="H33" s="51" t="s">
        <v>870</v>
      </c>
      <c r="I33" s="51" t="s">
        <v>871</v>
      </c>
      <c r="J33" s="52"/>
    </row>
    <row r="34" spans="3:10">
      <c r="C34" s="23"/>
      <c r="D34" s="51" t="s">
        <v>919</v>
      </c>
      <c r="E34" s="51" t="s">
        <v>920</v>
      </c>
      <c r="F34" s="51" t="s">
        <v>868</v>
      </c>
      <c r="G34" s="24" t="s">
        <v>869</v>
      </c>
      <c r="H34" s="51" t="s">
        <v>870</v>
      </c>
      <c r="I34" s="51" t="s">
        <v>871</v>
      </c>
      <c r="J34" s="52"/>
    </row>
    <row r="35" spans="3:10">
      <c r="C35" s="23"/>
      <c r="D35" s="51" t="s">
        <v>921</v>
      </c>
      <c r="E35" s="51" t="s">
        <v>922</v>
      </c>
      <c r="F35" s="51" t="s">
        <v>868</v>
      </c>
      <c r="G35" s="24" t="s">
        <v>869</v>
      </c>
      <c r="H35" s="51" t="s">
        <v>870</v>
      </c>
      <c r="I35" s="51" t="s">
        <v>871</v>
      </c>
      <c r="J35" s="52"/>
    </row>
    <row r="36" spans="3:10">
      <c r="C36" s="23"/>
      <c r="D36" s="51" t="s">
        <v>86</v>
      </c>
      <c r="E36" s="51" t="s">
        <v>923</v>
      </c>
      <c r="F36" s="51" t="s">
        <v>868</v>
      </c>
      <c r="G36" s="26" t="s">
        <v>892</v>
      </c>
      <c r="H36" s="51" t="s">
        <v>870</v>
      </c>
      <c r="I36" s="51" t="s">
        <v>871</v>
      </c>
      <c r="J36" s="52"/>
    </row>
    <row r="37" spans="3:10">
      <c r="C37" s="23"/>
      <c r="D37" s="51" t="s">
        <v>924</v>
      </c>
      <c r="E37" s="51" t="s">
        <v>925</v>
      </c>
      <c r="F37" s="51" t="s">
        <v>868</v>
      </c>
      <c r="G37" s="25" t="s">
        <v>881</v>
      </c>
      <c r="H37" s="51" t="s">
        <v>870</v>
      </c>
      <c r="I37" s="51" t="s">
        <v>871</v>
      </c>
      <c r="J37" s="52"/>
    </row>
    <row r="38" spans="3:10">
      <c r="C38" s="23"/>
      <c r="D38" s="51" t="s">
        <v>89</v>
      </c>
      <c r="E38" s="51" t="s">
        <v>926</v>
      </c>
      <c r="F38" s="51" t="s">
        <v>868</v>
      </c>
      <c r="G38" s="24" t="s">
        <v>869</v>
      </c>
      <c r="H38" s="51" t="s">
        <v>870</v>
      </c>
      <c r="I38" s="51" t="s">
        <v>871</v>
      </c>
      <c r="J38" s="52"/>
    </row>
    <row r="39" spans="3:10">
      <c r="C39" s="23"/>
      <c r="D39" s="51" t="s">
        <v>91</v>
      </c>
      <c r="E39" s="51" t="s">
        <v>927</v>
      </c>
      <c r="F39" s="51" t="s">
        <v>868</v>
      </c>
      <c r="G39" s="24" t="s">
        <v>869</v>
      </c>
      <c r="H39" s="51" t="s">
        <v>870</v>
      </c>
      <c r="I39" s="51" t="s">
        <v>871</v>
      </c>
      <c r="J39" s="52"/>
    </row>
    <row r="40" spans="3:10">
      <c r="C40" s="23"/>
      <c r="D40" s="51" t="s">
        <v>94</v>
      </c>
      <c r="E40" s="51" t="s">
        <v>928</v>
      </c>
      <c r="F40" s="51" t="s">
        <v>880</v>
      </c>
      <c r="G40" s="24" t="s">
        <v>869</v>
      </c>
      <c r="H40" s="51" t="s">
        <v>870</v>
      </c>
      <c r="I40" s="51" t="s">
        <v>871</v>
      </c>
      <c r="J40" s="52"/>
    </row>
    <row r="41" spans="3:10">
      <c r="C41" s="23"/>
      <c r="D41" s="51" t="s">
        <v>929</v>
      </c>
      <c r="E41" s="51" t="s">
        <v>930</v>
      </c>
      <c r="F41" s="51" t="s">
        <v>868</v>
      </c>
      <c r="G41" s="24" t="s">
        <v>869</v>
      </c>
      <c r="H41" s="51" t="s">
        <v>870</v>
      </c>
      <c r="I41" s="51" t="s">
        <v>871</v>
      </c>
      <c r="J41" s="52"/>
    </row>
    <row r="42" spans="3:10">
      <c r="C42" s="23"/>
      <c r="D42" s="51" t="s">
        <v>99</v>
      </c>
      <c r="E42" s="51" t="s">
        <v>931</v>
      </c>
      <c r="F42" s="51" t="s">
        <v>868</v>
      </c>
      <c r="G42" s="24" t="s">
        <v>869</v>
      </c>
      <c r="H42" s="51" t="s">
        <v>870</v>
      </c>
      <c r="I42" s="51" t="s">
        <v>871</v>
      </c>
      <c r="J42" s="52"/>
    </row>
    <row r="43" spans="3:10">
      <c r="C43" s="23"/>
      <c r="D43" s="51" t="s">
        <v>932</v>
      </c>
      <c r="E43" s="51" t="s">
        <v>933</v>
      </c>
      <c r="F43" s="51" t="s">
        <v>868</v>
      </c>
      <c r="G43" s="25" t="s">
        <v>881</v>
      </c>
      <c r="H43" s="51" t="s">
        <v>870</v>
      </c>
      <c r="I43" s="51" t="s">
        <v>871</v>
      </c>
      <c r="J43" s="52"/>
    </row>
    <row r="44" spans="3:10">
      <c r="C44" s="23"/>
      <c r="D44" s="51" t="s">
        <v>102</v>
      </c>
      <c r="E44" s="51" t="s">
        <v>934</v>
      </c>
      <c r="F44" s="51" t="s">
        <v>868</v>
      </c>
      <c r="G44" s="24" t="s">
        <v>869</v>
      </c>
      <c r="H44" s="51" t="s">
        <v>870</v>
      </c>
      <c r="I44" s="51" t="s">
        <v>871</v>
      </c>
      <c r="J44" s="52"/>
    </row>
    <row r="45" spans="3:10">
      <c r="C45" s="23"/>
      <c r="D45" s="51" t="s">
        <v>935</v>
      </c>
      <c r="E45" s="51" t="s">
        <v>936</v>
      </c>
      <c r="F45" s="51" t="s">
        <v>868</v>
      </c>
      <c r="G45" s="25" t="s">
        <v>881</v>
      </c>
      <c r="H45" s="51" t="s">
        <v>870</v>
      </c>
      <c r="I45" s="51" t="s">
        <v>871</v>
      </c>
      <c r="J45" s="52"/>
    </row>
    <row r="46" spans="3:10">
      <c r="C46" s="23"/>
      <c r="D46" s="51" t="s">
        <v>104</v>
      </c>
      <c r="E46" s="51" t="s">
        <v>937</v>
      </c>
      <c r="F46" s="51" t="s">
        <v>868</v>
      </c>
      <c r="G46" s="24" t="s">
        <v>869</v>
      </c>
      <c r="H46" s="51" t="s">
        <v>870</v>
      </c>
      <c r="I46" s="51" t="s">
        <v>871</v>
      </c>
      <c r="J46" s="52"/>
    </row>
    <row r="47" spans="3:10">
      <c r="C47" s="23"/>
      <c r="D47" s="51" t="s">
        <v>938</v>
      </c>
      <c r="E47" s="51" t="s">
        <v>939</v>
      </c>
      <c r="F47" s="51" t="s">
        <v>868</v>
      </c>
      <c r="G47" s="24" t="s">
        <v>869</v>
      </c>
      <c r="H47" s="51" t="s">
        <v>870</v>
      </c>
      <c r="I47" s="51" t="s">
        <v>871</v>
      </c>
      <c r="J47" s="52"/>
    </row>
    <row r="48" spans="3:10">
      <c r="C48" s="23"/>
      <c r="D48" s="51" t="s">
        <v>940</v>
      </c>
      <c r="E48" s="51" t="s">
        <v>941</v>
      </c>
      <c r="F48" s="51" t="s">
        <v>868</v>
      </c>
      <c r="G48" s="24" t="s">
        <v>869</v>
      </c>
      <c r="H48" s="51" t="s">
        <v>870</v>
      </c>
      <c r="I48" s="51" t="s">
        <v>871</v>
      </c>
      <c r="J48" s="52"/>
    </row>
    <row r="49" spans="3:10">
      <c r="C49" s="23"/>
      <c r="D49" s="51" t="s">
        <v>942</v>
      </c>
      <c r="E49" s="51" t="s">
        <v>943</v>
      </c>
      <c r="F49" s="51" t="s">
        <v>868</v>
      </c>
      <c r="G49" s="24" t="s">
        <v>869</v>
      </c>
      <c r="H49" s="51" t="s">
        <v>870</v>
      </c>
      <c r="I49" s="51" t="s">
        <v>871</v>
      </c>
      <c r="J49" s="52"/>
    </row>
    <row r="50" spans="3:10">
      <c r="C50" s="23"/>
      <c r="D50" s="51" t="s">
        <v>944</v>
      </c>
      <c r="E50" s="51" t="s">
        <v>945</v>
      </c>
      <c r="F50" s="51" t="s">
        <v>868</v>
      </c>
      <c r="G50" s="25" t="s">
        <v>881</v>
      </c>
      <c r="H50" s="51" t="s">
        <v>870</v>
      </c>
      <c r="I50" s="51" t="s">
        <v>871</v>
      </c>
      <c r="J50" s="52"/>
    </row>
    <row r="51" spans="3:10">
      <c r="C51" s="23"/>
      <c r="D51" s="51" t="s">
        <v>107</v>
      </c>
      <c r="E51" s="51" t="s">
        <v>946</v>
      </c>
      <c r="F51" s="51" t="s">
        <v>868</v>
      </c>
      <c r="G51" s="24" t="s">
        <v>869</v>
      </c>
      <c r="H51" s="51" t="s">
        <v>870</v>
      </c>
      <c r="I51" s="51" t="s">
        <v>871</v>
      </c>
      <c r="J51" s="52"/>
    </row>
    <row r="52" spans="3:10">
      <c r="C52" s="23"/>
      <c r="D52" s="51" t="s">
        <v>110</v>
      </c>
      <c r="E52" s="51" t="s">
        <v>947</v>
      </c>
      <c r="F52" s="51" t="s">
        <v>868</v>
      </c>
      <c r="G52" s="24" t="s">
        <v>869</v>
      </c>
      <c r="H52" s="51" t="s">
        <v>870</v>
      </c>
      <c r="I52" s="51" t="s">
        <v>871</v>
      </c>
      <c r="J52" s="52"/>
    </row>
    <row r="53" spans="3:10">
      <c r="C53" s="22" t="s">
        <v>859</v>
      </c>
      <c r="D53" s="22" t="s">
        <v>860</v>
      </c>
      <c r="E53" s="22" t="s">
        <v>861</v>
      </c>
      <c r="F53" s="22" t="s">
        <v>862</v>
      </c>
      <c r="G53" s="22" t="s">
        <v>863</v>
      </c>
      <c r="H53" s="22" t="s">
        <v>864</v>
      </c>
      <c r="I53" s="22" t="s">
        <v>865</v>
      </c>
      <c r="J53" s="22" t="s">
        <v>866</v>
      </c>
    </row>
    <row r="54" spans="3:10">
      <c r="C54" s="23"/>
      <c r="D54" s="51" t="s">
        <v>948</v>
      </c>
      <c r="E54" s="51" t="s">
        <v>949</v>
      </c>
      <c r="F54" s="51" t="s">
        <v>868</v>
      </c>
      <c r="G54" s="24" t="s">
        <v>869</v>
      </c>
      <c r="H54" s="51" t="s">
        <v>870</v>
      </c>
      <c r="I54" s="51" t="s">
        <v>871</v>
      </c>
      <c r="J54" s="52"/>
    </row>
    <row r="55" spans="3:10">
      <c r="C55" s="23"/>
      <c r="D55" s="51" t="s">
        <v>950</v>
      </c>
      <c r="E55" s="51" t="s">
        <v>951</v>
      </c>
      <c r="F55" s="51" t="s">
        <v>868</v>
      </c>
      <c r="G55" s="25" t="s">
        <v>881</v>
      </c>
      <c r="H55" s="51" t="s">
        <v>870</v>
      </c>
      <c r="I55" s="51" t="s">
        <v>871</v>
      </c>
      <c r="J55" s="52"/>
    </row>
    <row r="56" spans="3:10">
      <c r="C56" s="23"/>
      <c r="D56" s="51" t="s">
        <v>113</v>
      </c>
      <c r="E56" s="51" t="s">
        <v>952</v>
      </c>
      <c r="F56" s="51" t="s">
        <v>868</v>
      </c>
      <c r="G56" s="24" t="s">
        <v>869</v>
      </c>
      <c r="H56" s="51" t="s">
        <v>870</v>
      </c>
      <c r="I56" s="51" t="s">
        <v>871</v>
      </c>
      <c r="J56" s="52"/>
    </row>
    <row r="57" spans="3:10">
      <c r="C57" s="23"/>
      <c r="D57" s="51" t="s">
        <v>116</v>
      </c>
      <c r="E57" s="51" t="s">
        <v>953</v>
      </c>
      <c r="F57" s="51" t="s">
        <v>868</v>
      </c>
      <c r="G57" s="24" t="s">
        <v>869</v>
      </c>
      <c r="H57" s="51" t="s">
        <v>870</v>
      </c>
      <c r="I57" s="51" t="s">
        <v>871</v>
      </c>
      <c r="J57" s="52"/>
    </row>
    <row r="58" spans="3:10">
      <c r="C58" s="23"/>
      <c r="D58" s="51" t="s">
        <v>119</v>
      </c>
      <c r="E58" s="51" t="s">
        <v>954</v>
      </c>
      <c r="F58" s="51" t="s">
        <v>868</v>
      </c>
      <c r="G58" s="24" t="s">
        <v>869</v>
      </c>
      <c r="H58" s="51" t="s">
        <v>870</v>
      </c>
      <c r="I58" s="51" t="s">
        <v>871</v>
      </c>
      <c r="J58" s="52"/>
    </row>
    <row r="59" spans="3:10">
      <c r="C59" s="23"/>
      <c r="D59" s="51" t="s">
        <v>955</v>
      </c>
      <c r="E59" s="51" t="s">
        <v>956</v>
      </c>
      <c r="F59" s="51" t="s">
        <v>868</v>
      </c>
      <c r="G59" s="24" t="s">
        <v>869</v>
      </c>
      <c r="H59" s="51" t="s">
        <v>870</v>
      </c>
      <c r="I59" s="51" t="s">
        <v>871</v>
      </c>
      <c r="J59" s="52"/>
    </row>
    <row r="60" spans="3:10">
      <c r="C60" s="23"/>
      <c r="D60" s="51" t="s">
        <v>121</v>
      </c>
      <c r="E60" s="51" t="s">
        <v>957</v>
      </c>
      <c r="F60" s="51" t="s">
        <v>868</v>
      </c>
      <c r="G60" s="24" t="s">
        <v>869</v>
      </c>
      <c r="H60" s="51" t="s">
        <v>870</v>
      </c>
      <c r="I60" s="51" t="s">
        <v>871</v>
      </c>
      <c r="J60" s="52"/>
    </row>
    <row r="61" spans="3:10">
      <c r="C61" s="23"/>
      <c r="D61" s="51" t="s">
        <v>958</v>
      </c>
      <c r="E61" s="51" t="s">
        <v>959</v>
      </c>
      <c r="F61" s="51" t="s">
        <v>960</v>
      </c>
      <c r="G61" s="25" t="s">
        <v>881</v>
      </c>
      <c r="H61" s="51" t="s">
        <v>870</v>
      </c>
      <c r="I61" s="51" t="s">
        <v>961</v>
      </c>
      <c r="J61" s="52"/>
    </row>
    <row r="62" spans="3:10">
      <c r="C62" s="23"/>
      <c r="D62" s="51" t="s">
        <v>962</v>
      </c>
      <c r="E62" s="51" t="s">
        <v>963</v>
      </c>
      <c r="F62" s="51" t="s">
        <v>868</v>
      </c>
      <c r="G62" s="24" t="s">
        <v>869</v>
      </c>
      <c r="H62" s="51" t="s">
        <v>870</v>
      </c>
      <c r="I62" s="51" t="s">
        <v>871</v>
      </c>
      <c r="J62" s="52"/>
    </row>
    <row r="63" spans="3:10">
      <c r="C63" s="23"/>
      <c r="D63" s="51" t="s">
        <v>964</v>
      </c>
      <c r="E63" s="51" t="s">
        <v>965</v>
      </c>
      <c r="F63" s="51" t="s">
        <v>868</v>
      </c>
      <c r="G63" s="24" t="s">
        <v>869</v>
      </c>
      <c r="H63" s="51" t="s">
        <v>870</v>
      </c>
      <c r="I63" s="51" t="s">
        <v>871</v>
      </c>
      <c r="J63" s="52"/>
    </row>
    <row r="64" spans="3:10">
      <c r="C64" s="23"/>
      <c r="D64" s="51" t="s">
        <v>124</v>
      </c>
      <c r="E64" s="51" t="s">
        <v>966</v>
      </c>
      <c r="F64" s="51" t="s">
        <v>880</v>
      </c>
      <c r="G64" s="24" t="s">
        <v>869</v>
      </c>
      <c r="H64" s="51" t="s">
        <v>870</v>
      </c>
      <c r="I64" s="51" t="s">
        <v>871</v>
      </c>
      <c r="J64" s="52"/>
    </row>
    <row r="65" spans="3:10">
      <c r="C65" s="23"/>
      <c r="D65" s="51" t="s">
        <v>127</v>
      </c>
      <c r="E65" s="51" t="s">
        <v>967</v>
      </c>
      <c r="F65" s="51" t="s">
        <v>868</v>
      </c>
      <c r="G65" s="24" t="s">
        <v>869</v>
      </c>
      <c r="H65" s="51" t="s">
        <v>870</v>
      </c>
      <c r="I65" s="51" t="s">
        <v>871</v>
      </c>
      <c r="J65" s="52"/>
    </row>
    <row r="66" spans="3:10">
      <c r="C66" s="23"/>
      <c r="D66" s="51" t="s">
        <v>130</v>
      </c>
      <c r="E66" s="51" t="s">
        <v>968</v>
      </c>
      <c r="F66" s="51" t="s">
        <v>868</v>
      </c>
      <c r="G66" s="24" t="s">
        <v>869</v>
      </c>
      <c r="H66" s="51" t="s">
        <v>870</v>
      </c>
      <c r="I66" s="51" t="s">
        <v>871</v>
      </c>
      <c r="J66" s="52"/>
    </row>
    <row r="67" spans="3:10">
      <c r="C67" s="23"/>
      <c r="D67" s="51" t="s">
        <v>133</v>
      </c>
      <c r="E67" s="51" t="s">
        <v>969</v>
      </c>
      <c r="F67" s="51" t="s">
        <v>868</v>
      </c>
      <c r="G67" s="24" t="s">
        <v>869</v>
      </c>
      <c r="H67" s="51" t="s">
        <v>870</v>
      </c>
      <c r="I67" s="51" t="s">
        <v>871</v>
      </c>
      <c r="J67" s="52"/>
    </row>
    <row r="68" spans="3:10">
      <c r="C68" s="23"/>
      <c r="D68" s="51" t="s">
        <v>136</v>
      </c>
      <c r="E68" s="51" t="s">
        <v>970</v>
      </c>
      <c r="F68" s="51" t="s">
        <v>868</v>
      </c>
      <c r="G68" s="24" t="s">
        <v>869</v>
      </c>
      <c r="H68" s="51" t="s">
        <v>870</v>
      </c>
      <c r="I68" s="51" t="s">
        <v>871</v>
      </c>
      <c r="J68" s="52"/>
    </row>
    <row r="69" spans="3:10">
      <c r="C69" s="23"/>
      <c r="D69" s="51" t="s">
        <v>971</v>
      </c>
      <c r="E69" s="51" t="s">
        <v>972</v>
      </c>
      <c r="F69" s="51" t="s">
        <v>868</v>
      </c>
      <c r="G69" s="24" t="s">
        <v>869</v>
      </c>
      <c r="H69" s="51" t="s">
        <v>870</v>
      </c>
      <c r="I69" s="51" t="s">
        <v>871</v>
      </c>
      <c r="J69" s="52"/>
    </row>
    <row r="70" spans="3:10">
      <c r="C70" s="23"/>
      <c r="D70" s="51" t="s">
        <v>139</v>
      </c>
      <c r="E70" s="51" t="s">
        <v>973</v>
      </c>
      <c r="F70" s="51" t="s">
        <v>868</v>
      </c>
      <c r="G70" s="24" t="s">
        <v>869</v>
      </c>
      <c r="H70" s="51" t="s">
        <v>870</v>
      </c>
      <c r="I70" s="51" t="s">
        <v>871</v>
      </c>
      <c r="J70" s="52"/>
    </row>
    <row r="71" spans="3:10">
      <c r="C71" s="23"/>
      <c r="D71" s="51" t="s">
        <v>974</v>
      </c>
      <c r="E71" s="51" t="s">
        <v>975</v>
      </c>
      <c r="F71" s="51" t="s">
        <v>868</v>
      </c>
      <c r="G71" s="24" t="s">
        <v>869</v>
      </c>
      <c r="H71" s="51" t="s">
        <v>870</v>
      </c>
      <c r="I71" s="51" t="s">
        <v>871</v>
      </c>
      <c r="J71" s="52"/>
    </row>
    <row r="72" spans="3:10">
      <c r="C72" s="23"/>
      <c r="D72" s="51" t="s">
        <v>142</v>
      </c>
      <c r="E72" s="51" t="s">
        <v>976</v>
      </c>
      <c r="F72" s="51" t="s">
        <v>868</v>
      </c>
      <c r="G72" s="24" t="s">
        <v>869</v>
      </c>
      <c r="H72" s="51" t="s">
        <v>870</v>
      </c>
      <c r="I72" s="51" t="s">
        <v>871</v>
      </c>
      <c r="J72" s="52"/>
    </row>
    <row r="73" spans="3:10">
      <c r="C73" s="23"/>
      <c r="D73" s="51" t="s">
        <v>144</v>
      </c>
      <c r="E73" s="51" t="s">
        <v>977</v>
      </c>
      <c r="F73" s="51" t="s">
        <v>868</v>
      </c>
      <c r="G73" s="24" t="s">
        <v>869</v>
      </c>
      <c r="H73" s="51" t="s">
        <v>870</v>
      </c>
      <c r="I73" s="51" t="s">
        <v>871</v>
      </c>
      <c r="J73" s="52"/>
    </row>
    <row r="74" spans="3:10">
      <c r="C74" s="23"/>
      <c r="D74" s="51" t="s">
        <v>146</v>
      </c>
      <c r="E74" s="51" t="s">
        <v>978</v>
      </c>
      <c r="F74" s="51" t="s">
        <v>868</v>
      </c>
      <c r="G74" s="24" t="s">
        <v>869</v>
      </c>
      <c r="H74" s="51" t="s">
        <v>870</v>
      </c>
      <c r="I74" s="51" t="s">
        <v>871</v>
      </c>
      <c r="J74" s="52"/>
    </row>
    <row r="75" spans="3:10">
      <c r="C75" s="23"/>
      <c r="D75" s="51" t="s">
        <v>979</v>
      </c>
      <c r="E75" s="51" t="s">
        <v>980</v>
      </c>
      <c r="F75" s="51" t="s">
        <v>868</v>
      </c>
      <c r="G75" s="25" t="s">
        <v>881</v>
      </c>
      <c r="H75" s="51" t="s">
        <v>870</v>
      </c>
      <c r="I75" s="51" t="s">
        <v>871</v>
      </c>
      <c r="J75" s="52"/>
    </row>
    <row r="76" spans="3:10">
      <c r="C76" s="23"/>
      <c r="D76" s="51" t="s">
        <v>148</v>
      </c>
      <c r="E76" s="51" t="s">
        <v>981</v>
      </c>
      <c r="F76" s="51" t="s">
        <v>868</v>
      </c>
      <c r="G76" s="24" t="s">
        <v>869</v>
      </c>
      <c r="H76" s="51" t="s">
        <v>870</v>
      </c>
      <c r="I76" s="51" t="s">
        <v>871</v>
      </c>
      <c r="J76" s="52"/>
    </row>
    <row r="77" spans="3:10">
      <c r="C77" s="23"/>
      <c r="D77" s="51" t="s">
        <v>150</v>
      </c>
      <c r="E77" s="51" t="s">
        <v>982</v>
      </c>
      <c r="F77" s="51" t="s">
        <v>868</v>
      </c>
      <c r="G77" s="24" t="s">
        <v>869</v>
      </c>
      <c r="H77" s="51" t="s">
        <v>870</v>
      </c>
      <c r="I77" s="51" t="s">
        <v>871</v>
      </c>
      <c r="J77" s="52"/>
    </row>
    <row r="78" spans="3:10">
      <c r="C78" s="23"/>
      <c r="D78" s="51" t="s">
        <v>153</v>
      </c>
      <c r="E78" s="51" t="s">
        <v>983</v>
      </c>
      <c r="F78" s="51" t="s">
        <v>868</v>
      </c>
      <c r="G78" s="24" t="s">
        <v>869</v>
      </c>
      <c r="H78" s="51" t="s">
        <v>870</v>
      </c>
      <c r="I78" s="51" t="s">
        <v>871</v>
      </c>
      <c r="J78" s="52"/>
    </row>
    <row r="79" spans="3:10">
      <c r="C79" s="23"/>
      <c r="D79" s="51" t="s">
        <v>155</v>
      </c>
      <c r="E79" s="51" t="s">
        <v>984</v>
      </c>
      <c r="F79" s="51" t="s">
        <v>868</v>
      </c>
      <c r="G79" s="24" t="s">
        <v>869</v>
      </c>
      <c r="H79" s="51" t="s">
        <v>870</v>
      </c>
      <c r="I79" s="51" t="s">
        <v>871</v>
      </c>
      <c r="J79" s="52"/>
    </row>
    <row r="80" spans="3:10">
      <c r="C80" s="23"/>
      <c r="D80" s="51" t="s">
        <v>157</v>
      </c>
      <c r="E80" s="51" t="s">
        <v>985</v>
      </c>
      <c r="F80" s="51" t="s">
        <v>868</v>
      </c>
      <c r="G80" s="24" t="s">
        <v>869</v>
      </c>
      <c r="H80" s="51" t="s">
        <v>870</v>
      </c>
      <c r="I80" s="51" t="s">
        <v>871</v>
      </c>
      <c r="J80" s="52"/>
    </row>
    <row r="81" spans="3:10">
      <c r="C81" s="23"/>
      <c r="D81" s="51" t="s">
        <v>986</v>
      </c>
      <c r="E81" s="51" t="s">
        <v>987</v>
      </c>
      <c r="F81" s="51" t="s">
        <v>868</v>
      </c>
      <c r="G81" s="25" t="s">
        <v>881</v>
      </c>
      <c r="H81" s="51" t="s">
        <v>870</v>
      </c>
      <c r="I81" s="51" t="s">
        <v>871</v>
      </c>
      <c r="J81" s="52"/>
    </row>
    <row r="82" spans="3:10">
      <c r="C82" s="23"/>
      <c r="D82" s="51" t="s">
        <v>160</v>
      </c>
      <c r="E82" s="51" t="s">
        <v>988</v>
      </c>
      <c r="F82" s="51" t="s">
        <v>880</v>
      </c>
      <c r="G82" s="24" t="s">
        <v>869</v>
      </c>
      <c r="H82" s="51" t="s">
        <v>870</v>
      </c>
      <c r="I82" s="51" t="s">
        <v>871</v>
      </c>
      <c r="J82" s="52"/>
    </row>
    <row r="83" spans="3:10">
      <c r="C83" s="23"/>
      <c r="D83" s="51" t="s">
        <v>989</v>
      </c>
      <c r="E83" s="51" t="s">
        <v>990</v>
      </c>
      <c r="F83" s="51" t="s">
        <v>868</v>
      </c>
      <c r="G83" s="24" t="s">
        <v>869</v>
      </c>
      <c r="H83" s="51" t="s">
        <v>870</v>
      </c>
      <c r="I83" s="51" t="s">
        <v>871</v>
      </c>
      <c r="J83" s="52"/>
    </row>
    <row r="84" spans="3:10">
      <c r="C84" s="23"/>
      <c r="D84" s="51" t="s">
        <v>162</v>
      </c>
      <c r="E84" s="51" t="s">
        <v>991</v>
      </c>
      <c r="F84" s="51" t="s">
        <v>868</v>
      </c>
      <c r="G84" s="24" t="s">
        <v>869</v>
      </c>
      <c r="H84" s="51" t="s">
        <v>870</v>
      </c>
      <c r="I84" s="51" t="s">
        <v>871</v>
      </c>
      <c r="J84" s="52"/>
    </row>
    <row r="85" spans="3:10">
      <c r="C85" s="23"/>
      <c r="D85" s="51" t="s">
        <v>992</v>
      </c>
      <c r="E85" s="51" t="s">
        <v>993</v>
      </c>
      <c r="F85" s="51" t="s">
        <v>868</v>
      </c>
      <c r="G85" s="24" t="s">
        <v>869</v>
      </c>
      <c r="H85" s="51" t="s">
        <v>870</v>
      </c>
      <c r="I85" s="51" t="s">
        <v>871</v>
      </c>
      <c r="J85" s="52"/>
    </row>
    <row r="86" spans="3:10">
      <c r="C86" s="23"/>
      <c r="D86" s="51" t="s">
        <v>165</v>
      </c>
      <c r="E86" s="51" t="s">
        <v>994</v>
      </c>
      <c r="F86" s="51" t="s">
        <v>868</v>
      </c>
      <c r="G86" s="24" t="s">
        <v>869</v>
      </c>
      <c r="H86" s="51" t="s">
        <v>870</v>
      </c>
      <c r="I86" s="51" t="s">
        <v>871</v>
      </c>
      <c r="J86" s="52"/>
    </row>
    <row r="87" spans="3:10">
      <c r="C87" s="23"/>
      <c r="D87" s="51" t="s">
        <v>170</v>
      </c>
      <c r="E87" s="51" t="s">
        <v>995</v>
      </c>
      <c r="F87" s="51" t="s">
        <v>868</v>
      </c>
      <c r="G87" s="24" t="s">
        <v>869</v>
      </c>
      <c r="H87" s="51" t="s">
        <v>870</v>
      </c>
      <c r="I87" s="51" t="s">
        <v>871</v>
      </c>
      <c r="J87" s="52"/>
    </row>
    <row r="88" spans="3:10">
      <c r="C88" s="23"/>
      <c r="D88" s="51" t="s">
        <v>173</v>
      </c>
      <c r="E88" s="51" t="s">
        <v>996</v>
      </c>
      <c r="F88" s="51" t="s">
        <v>868</v>
      </c>
      <c r="G88" s="24" t="s">
        <v>869</v>
      </c>
      <c r="H88" s="51" t="s">
        <v>870</v>
      </c>
      <c r="I88" s="51" t="s">
        <v>871</v>
      </c>
      <c r="J88" s="52"/>
    </row>
    <row r="89" spans="3:10">
      <c r="C89" s="23"/>
      <c r="D89" s="51" t="s">
        <v>997</v>
      </c>
      <c r="E89" s="51" t="s">
        <v>998</v>
      </c>
      <c r="F89" s="51" t="s">
        <v>880</v>
      </c>
      <c r="G89" s="26" t="s">
        <v>892</v>
      </c>
      <c r="H89" s="51" t="s">
        <v>870</v>
      </c>
      <c r="I89" s="51" t="s">
        <v>871</v>
      </c>
      <c r="J89" s="52"/>
    </row>
    <row r="90" spans="3:10">
      <c r="C90" s="23"/>
      <c r="D90" s="51" t="s">
        <v>175</v>
      </c>
      <c r="E90" s="51" t="s">
        <v>999</v>
      </c>
      <c r="F90" s="51" t="s">
        <v>868</v>
      </c>
      <c r="G90" s="24" t="s">
        <v>869</v>
      </c>
      <c r="H90" s="51" t="s">
        <v>870</v>
      </c>
      <c r="I90" s="51" t="s">
        <v>871</v>
      </c>
      <c r="J90" s="52"/>
    </row>
    <row r="91" spans="3:10">
      <c r="C91" s="23"/>
      <c r="D91" s="51" t="s">
        <v>1000</v>
      </c>
      <c r="E91" s="51" t="s">
        <v>1001</v>
      </c>
      <c r="F91" s="51" t="s">
        <v>868</v>
      </c>
      <c r="G91" s="24" t="s">
        <v>869</v>
      </c>
      <c r="H91" s="51" t="s">
        <v>870</v>
      </c>
      <c r="I91" s="51" t="s">
        <v>871</v>
      </c>
      <c r="J91" s="52"/>
    </row>
    <row r="92" spans="3:10">
      <c r="C92" s="23"/>
      <c r="D92" s="51" t="s">
        <v>178</v>
      </c>
      <c r="E92" s="51" t="s">
        <v>1002</v>
      </c>
      <c r="F92" s="51" t="s">
        <v>868</v>
      </c>
      <c r="G92" s="24" t="s">
        <v>869</v>
      </c>
      <c r="H92" s="51" t="s">
        <v>870</v>
      </c>
      <c r="I92" s="51" t="s">
        <v>871</v>
      </c>
      <c r="J92" s="52"/>
    </row>
    <row r="93" spans="3:10">
      <c r="C93" s="23"/>
      <c r="D93" s="51" t="s">
        <v>181</v>
      </c>
      <c r="E93" s="51" t="s">
        <v>1003</v>
      </c>
      <c r="F93" s="51" t="s">
        <v>868</v>
      </c>
      <c r="G93" s="24" t="s">
        <v>869</v>
      </c>
      <c r="H93" s="51" t="s">
        <v>870</v>
      </c>
      <c r="I93" s="51" t="s">
        <v>871</v>
      </c>
      <c r="J93" s="52"/>
    </row>
    <row r="94" spans="3:10">
      <c r="C94" s="23"/>
      <c r="D94" s="51" t="s">
        <v>184</v>
      </c>
      <c r="E94" s="51" t="s">
        <v>1004</v>
      </c>
      <c r="F94" s="51" t="s">
        <v>868</v>
      </c>
      <c r="G94" s="24" t="s">
        <v>869</v>
      </c>
      <c r="H94" s="51" t="s">
        <v>870</v>
      </c>
      <c r="I94" s="51" t="s">
        <v>871</v>
      </c>
      <c r="J94" s="52"/>
    </row>
    <row r="95" spans="3:10">
      <c r="C95" s="23"/>
      <c r="D95" s="51" t="s">
        <v>1005</v>
      </c>
      <c r="E95" s="51" t="s">
        <v>1006</v>
      </c>
      <c r="F95" s="51" t="s">
        <v>868</v>
      </c>
      <c r="G95" s="24" t="s">
        <v>869</v>
      </c>
      <c r="H95" s="51" t="s">
        <v>870</v>
      </c>
      <c r="I95" s="51" t="s">
        <v>871</v>
      </c>
      <c r="J95" s="52"/>
    </row>
    <row r="96" spans="3:10">
      <c r="C96" s="23"/>
      <c r="D96" s="51" t="s">
        <v>1007</v>
      </c>
      <c r="E96" s="51" t="s">
        <v>1008</v>
      </c>
      <c r="F96" s="51" t="s">
        <v>868</v>
      </c>
      <c r="G96" s="24" t="s">
        <v>869</v>
      </c>
      <c r="H96" s="51" t="s">
        <v>870</v>
      </c>
      <c r="I96" s="51" t="s">
        <v>871</v>
      </c>
      <c r="J96" s="52"/>
    </row>
    <row r="97" spans="3:10">
      <c r="C97" s="23"/>
      <c r="D97" s="51" t="s">
        <v>187</v>
      </c>
      <c r="E97" s="51" t="s">
        <v>1009</v>
      </c>
      <c r="F97" s="51" t="s">
        <v>868</v>
      </c>
      <c r="G97" s="24" t="s">
        <v>869</v>
      </c>
      <c r="H97" s="51" t="s">
        <v>870</v>
      </c>
      <c r="I97" s="51" t="s">
        <v>871</v>
      </c>
      <c r="J97" s="52"/>
    </row>
    <row r="98" spans="3:10">
      <c r="C98" s="23"/>
      <c r="D98" s="51" t="s">
        <v>189</v>
      </c>
      <c r="E98" s="51" t="s">
        <v>1010</v>
      </c>
      <c r="F98" s="51" t="s">
        <v>868</v>
      </c>
      <c r="G98" s="24" t="s">
        <v>869</v>
      </c>
      <c r="H98" s="51" t="s">
        <v>870</v>
      </c>
      <c r="I98" s="51" t="s">
        <v>871</v>
      </c>
      <c r="J98" s="52"/>
    </row>
    <row r="99" spans="3:10">
      <c r="C99" s="23"/>
      <c r="D99" s="51" t="s">
        <v>191</v>
      </c>
      <c r="E99" s="51" t="s">
        <v>1011</v>
      </c>
      <c r="F99" s="51" t="s">
        <v>868</v>
      </c>
      <c r="G99" s="24" t="s">
        <v>869</v>
      </c>
      <c r="H99" s="51" t="s">
        <v>870</v>
      </c>
      <c r="I99" s="51" t="s">
        <v>871</v>
      </c>
      <c r="J99" s="52"/>
    </row>
    <row r="100" spans="3:10">
      <c r="C100" s="23"/>
      <c r="D100" s="51" t="s">
        <v>1012</v>
      </c>
      <c r="E100" s="51" t="s">
        <v>1013</v>
      </c>
      <c r="F100" s="51" t="s">
        <v>868</v>
      </c>
      <c r="G100" s="25" t="s">
        <v>881</v>
      </c>
      <c r="H100" s="51" t="s">
        <v>870</v>
      </c>
      <c r="I100" s="51" t="s">
        <v>871</v>
      </c>
      <c r="J100" s="52"/>
    </row>
    <row r="101" spans="3:10">
      <c r="C101" s="23"/>
      <c r="D101" s="51" t="s">
        <v>1014</v>
      </c>
      <c r="E101" s="51" t="s">
        <v>1015</v>
      </c>
      <c r="F101" s="51" t="s">
        <v>868</v>
      </c>
      <c r="G101" s="25" t="s">
        <v>881</v>
      </c>
      <c r="H101" s="51" t="s">
        <v>870</v>
      </c>
      <c r="I101" s="51" t="s">
        <v>871</v>
      </c>
      <c r="J101" s="52"/>
    </row>
    <row r="102" spans="3:10">
      <c r="C102" s="23"/>
      <c r="D102" s="51" t="s">
        <v>1016</v>
      </c>
      <c r="E102" s="51" t="s">
        <v>1017</v>
      </c>
      <c r="F102" s="51" t="s">
        <v>868</v>
      </c>
      <c r="G102" s="26" t="s">
        <v>892</v>
      </c>
      <c r="H102" s="51" t="s">
        <v>870</v>
      </c>
      <c r="I102" s="51" t="s">
        <v>871</v>
      </c>
      <c r="J102" s="52"/>
    </row>
    <row r="103" spans="3:10">
      <c r="C103" s="27"/>
      <c r="D103" s="53" t="s">
        <v>194</v>
      </c>
      <c r="E103" s="53" t="s">
        <v>1018</v>
      </c>
      <c r="F103" s="53" t="s">
        <v>868</v>
      </c>
      <c r="G103" s="28" t="s">
        <v>869</v>
      </c>
      <c r="H103" s="53" t="s">
        <v>870</v>
      </c>
      <c r="I103" s="53" t="s">
        <v>871</v>
      </c>
      <c r="J103" s="54"/>
    </row>
    <row r="104" spans="3:10">
      <c r="C104" s="22" t="s">
        <v>859</v>
      </c>
      <c r="D104" s="22" t="s">
        <v>860</v>
      </c>
      <c r="E104" s="22" t="s">
        <v>861</v>
      </c>
      <c r="F104" s="22" t="s">
        <v>862</v>
      </c>
      <c r="G104" s="22" t="s">
        <v>863</v>
      </c>
      <c r="H104" s="22" t="s">
        <v>864</v>
      </c>
      <c r="I104" s="22" t="s">
        <v>865</v>
      </c>
      <c r="J104" s="22" t="s">
        <v>866</v>
      </c>
    </row>
    <row r="105" spans="3:10">
      <c r="C105" s="23"/>
      <c r="D105" s="51" t="s">
        <v>197</v>
      </c>
      <c r="E105" s="51" t="s">
        <v>1019</v>
      </c>
      <c r="F105" s="51" t="s">
        <v>868</v>
      </c>
      <c r="G105" s="24" t="s">
        <v>869</v>
      </c>
      <c r="H105" s="51" t="s">
        <v>870</v>
      </c>
      <c r="I105" s="51" t="s">
        <v>871</v>
      </c>
      <c r="J105" s="52"/>
    </row>
    <row r="106" spans="3:10">
      <c r="C106" s="23"/>
      <c r="D106" s="51" t="s">
        <v>1020</v>
      </c>
      <c r="E106" s="51" t="s">
        <v>1021</v>
      </c>
      <c r="F106" s="51" t="s">
        <v>868</v>
      </c>
      <c r="G106" s="24" t="s">
        <v>869</v>
      </c>
      <c r="H106" s="51" t="s">
        <v>870</v>
      </c>
      <c r="I106" s="51" t="s">
        <v>871</v>
      </c>
      <c r="J106" s="52"/>
    </row>
    <row r="107" spans="3:10">
      <c r="C107" s="23"/>
      <c r="D107" s="51" t="s">
        <v>199</v>
      </c>
      <c r="E107" s="51" t="s">
        <v>1022</v>
      </c>
      <c r="F107" s="51" t="s">
        <v>868</v>
      </c>
      <c r="G107" s="24" t="s">
        <v>869</v>
      </c>
      <c r="H107" s="51" t="s">
        <v>870</v>
      </c>
      <c r="I107" s="51" t="s">
        <v>871</v>
      </c>
      <c r="J107" s="52"/>
    </row>
    <row r="108" spans="3:10">
      <c r="C108" s="23"/>
      <c r="D108" s="51" t="s">
        <v>201</v>
      </c>
      <c r="E108" s="51" t="s">
        <v>1023</v>
      </c>
      <c r="F108" s="51" t="s">
        <v>868</v>
      </c>
      <c r="G108" s="24" t="s">
        <v>869</v>
      </c>
      <c r="H108" s="51" t="s">
        <v>870</v>
      </c>
      <c r="I108" s="51" t="s">
        <v>871</v>
      </c>
      <c r="J108" s="52"/>
    </row>
    <row r="109" spans="3:10">
      <c r="C109" s="23"/>
      <c r="D109" s="51" t="s">
        <v>203</v>
      </c>
      <c r="E109" s="51" t="s">
        <v>1024</v>
      </c>
      <c r="F109" s="51" t="s">
        <v>868</v>
      </c>
      <c r="G109" s="24" t="s">
        <v>869</v>
      </c>
      <c r="H109" s="51" t="s">
        <v>870</v>
      </c>
      <c r="I109" s="51" t="s">
        <v>871</v>
      </c>
      <c r="J109" s="52"/>
    </row>
    <row r="110" spans="3:10">
      <c r="C110" s="23"/>
      <c r="D110" s="51" t="s">
        <v>205</v>
      </c>
      <c r="E110" s="51" t="s">
        <v>1025</v>
      </c>
      <c r="F110" s="51" t="s">
        <v>868</v>
      </c>
      <c r="G110" s="24" t="s">
        <v>869</v>
      </c>
      <c r="H110" s="51" t="s">
        <v>870</v>
      </c>
      <c r="I110" s="51" t="s">
        <v>871</v>
      </c>
      <c r="J110" s="52"/>
    </row>
    <row r="111" spans="3:10">
      <c r="C111" s="23"/>
      <c r="D111" s="51" t="s">
        <v>207</v>
      </c>
      <c r="E111" s="51" t="s">
        <v>1026</v>
      </c>
      <c r="F111" s="51" t="s">
        <v>868</v>
      </c>
      <c r="G111" s="24" t="s">
        <v>869</v>
      </c>
      <c r="H111" s="51" t="s">
        <v>870</v>
      </c>
      <c r="I111" s="51" t="s">
        <v>871</v>
      </c>
      <c r="J111" s="52"/>
    </row>
    <row r="112" spans="3:10">
      <c r="C112" s="23"/>
      <c r="D112" s="51" t="s">
        <v>209</v>
      </c>
      <c r="E112" s="51" t="s">
        <v>1027</v>
      </c>
      <c r="F112" s="51" t="s">
        <v>868</v>
      </c>
      <c r="G112" s="24" t="s">
        <v>869</v>
      </c>
      <c r="H112" s="51" t="s">
        <v>870</v>
      </c>
      <c r="I112" s="51" t="s">
        <v>871</v>
      </c>
      <c r="J112" s="52"/>
    </row>
    <row r="113" spans="3:10">
      <c r="C113" s="23"/>
      <c r="D113" s="51" t="s">
        <v>211</v>
      </c>
      <c r="E113" s="51" t="s">
        <v>1028</v>
      </c>
      <c r="F113" s="51" t="s">
        <v>868</v>
      </c>
      <c r="G113" s="24" t="s">
        <v>869</v>
      </c>
      <c r="H113" s="51" t="s">
        <v>870</v>
      </c>
      <c r="I113" s="51" t="s">
        <v>871</v>
      </c>
      <c r="J113" s="52"/>
    </row>
    <row r="114" spans="3:10">
      <c r="C114" s="23"/>
      <c r="D114" s="51" t="s">
        <v>213</v>
      </c>
      <c r="E114" s="51" t="s">
        <v>1029</v>
      </c>
      <c r="F114" s="51" t="s">
        <v>868</v>
      </c>
      <c r="G114" s="24" t="s">
        <v>869</v>
      </c>
      <c r="H114" s="51" t="s">
        <v>870</v>
      </c>
      <c r="I114" s="51" t="s">
        <v>871</v>
      </c>
      <c r="J114" s="52"/>
    </row>
    <row r="115" spans="3:10">
      <c r="C115" s="23"/>
      <c r="D115" s="51" t="s">
        <v>1030</v>
      </c>
      <c r="E115" s="51" t="s">
        <v>1031</v>
      </c>
      <c r="F115" s="51" t="s">
        <v>868</v>
      </c>
      <c r="G115" s="29" t="s">
        <v>1032</v>
      </c>
      <c r="H115" s="51" t="s">
        <v>871</v>
      </c>
      <c r="I115" s="51" t="s">
        <v>871</v>
      </c>
      <c r="J115" s="52"/>
    </row>
    <row r="116" spans="3:10">
      <c r="C116" s="23"/>
      <c r="D116" s="51" t="s">
        <v>215</v>
      </c>
      <c r="E116" s="51" t="s">
        <v>1033</v>
      </c>
      <c r="F116" s="51" t="s">
        <v>868</v>
      </c>
      <c r="G116" s="24" t="s">
        <v>869</v>
      </c>
      <c r="H116" s="51" t="s">
        <v>870</v>
      </c>
      <c r="I116" s="51" t="s">
        <v>871</v>
      </c>
      <c r="J116" s="52"/>
    </row>
    <row r="117" spans="3:10">
      <c r="C117" s="23"/>
      <c r="D117" s="51" t="s">
        <v>1034</v>
      </c>
      <c r="E117" s="51" t="s">
        <v>1035</v>
      </c>
      <c r="F117" s="51" t="s">
        <v>868</v>
      </c>
      <c r="G117" s="26" t="s">
        <v>892</v>
      </c>
      <c r="H117" s="51" t="s">
        <v>870</v>
      </c>
      <c r="I117" s="51" t="s">
        <v>871</v>
      </c>
      <c r="J117" s="52"/>
    </row>
    <row r="118" spans="3:10">
      <c r="C118" s="23"/>
      <c r="D118" s="51" t="s">
        <v>217</v>
      </c>
      <c r="E118" s="51" t="s">
        <v>1036</v>
      </c>
      <c r="F118" s="51" t="s">
        <v>868</v>
      </c>
      <c r="G118" s="24" t="s">
        <v>869</v>
      </c>
      <c r="H118" s="51" t="s">
        <v>870</v>
      </c>
      <c r="I118" s="51" t="s">
        <v>871</v>
      </c>
      <c r="J118" s="52"/>
    </row>
    <row r="119" spans="3:10">
      <c r="C119" s="23"/>
      <c r="D119" s="51" t="s">
        <v>220</v>
      </c>
      <c r="E119" s="51" t="s">
        <v>1037</v>
      </c>
      <c r="F119" s="51" t="s">
        <v>868</v>
      </c>
      <c r="G119" s="24" t="s">
        <v>869</v>
      </c>
      <c r="H119" s="51" t="s">
        <v>870</v>
      </c>
      <c r="I119" s="51" t="s">
        <v>871</v>
      </c>
      <c r="J119" s="52"/>
    </row>
    <row r="120" spans="3:10">
      <c r="C120" s="23"/>
      <c r="D120" s="51" t="s">
        <v>1038</v>
      </c>
      <c r="E120" s="51" t="s">
        <v>1039</v>
      </c>
      <c r="F120" s="51" t="s">
        <v>868</v>
      </c>
      <c r="G120" s="26" t="s">
        <v>892</v>
      </c>
      <c r="H120" s="51" t="s">
        <v>870</v>
      </c>
      <c r="I120" s="51" t="s">
        <v>871</v>
      </c>
      <c r="J120" s="52"/>
    </row>
    <row r="121" spans="3:10">
      <c r="C121" s="23"/>
      <c r="D121" s="51" t="s">
        <v>1040</v>
      </c>
      <c r="E121" s="51" t="s">
        <v>1041</v>
      </c>
      <c r="F121" s="51" t="s">
        <v>960</v>
      </c>
      <c r="G121" s="29" t="s">
        <v>1032</v>
      </c>
      <c r="H121" s="51" t="s">
        <v>871</v>
      </c>
      <c r="I121" s="51" t="s">
        <v>871</v>
      </c>
      <c r="J121" s="52"/>
    </row>
    <row r="122" spans="3:10">
      <c r="C122" s="23"/>
      <c r="D122" s="51" t="s">
        <v>222</v>
      </c>
      <c r="E122" s="51" t="s">
        <v>1042</v>
      </c>
      <c r="F122" s="51" t="s">
        <v>868</v>
      </c>
      <c r="G122" s="24" t="s">
        <v>869</v>
      </c>
      <c r="H122" s="51" t="s">
        <v>870</v>
      </c>
      <c r="I122" s="51" t="s">
        <v>871</v>
      </c>
      <c r="J122" s="52"/>
    </row>
    <row r="123" spans="3:10">
      <c r="C123" s="23"/>
      <c r="D123" s="51" t="s">
        <v>224</v>
      </c>
      <c r="E123" s="51" t="s">
        <v>1043</v>
      </c>
      <c r="F123" s="51" t="s">
        <v>868</v>
      </c>
      <c r="G123" s="24" t="s">
        <v>869</v>
      </c>
      <c r="H123" s="51" t="s">
        <v>870</v>
      </c>
      <c r="I123" s="51" t="s">
        <v>871</v>
      </c>
      <c r="J123" s="52"/>
    </row>
    <row r="124" spans="3:10">
      <c r="C124" s="23"/>
      <c r="D124" s="51" t="s">
        <v>227</v>
      </c>
      <c r="E124" s="51" t="s">
        <v>1044</v>
      </c>
      <c r="F124" s="51" t="s">
        <v>868</v>
      </c>
      <c r="G124" s="24" t="s">
        <v>869</v>
      </c>
      <c r="H124" s="51" t="s">
        <v>870</v>
      </c>
      <c r="I124" s="51" t="s">
        <v>871</v>
      </c>
      <c r="J124" s="52"/>
    </row>
    <row r="125" spans="3:10">
      <c r="C125" s="23"/>
      <c r="D125" s="51" t="s">
        <v>1045</v>
      </c>
      <c r="E125" s="51" t="s">
        <v>1046</v>
      </c>
      <c r="F125" s="51" t="s">
        <v>868</v>
      </c>
      <c r="G125" s="24" t="s">
        <v>869</v>
      </c>
      <c r="H125" s="51" t="s">
        <v>870</v>
      </c>
      <c r="I125" s="51" t="s">
        <v>871</v>
      </c>
      <c r="J125" s="52"/>
    </row>
    <row r="126" spans="3:10">
      <c r="C126" s="23"/>
      <c r="D126" s="51" t="s">
        <v>230</v>
      </c>
      <c r="E126" s="51" t="s">
        <v>1047</v>
      </c>
      <c r="F126" s="51" t="s">
        <v>868</v>
      </c>
      <c r="G126" s="24" t="s">
        <v>869</v>
      </c>
      <c r="H126" s="51" t="s">
        <v>870</v>
      </c>
      <c r="I126" s="51" t="s">
        <v>871</v>
      </c>
      <c r="J126" s="52"/>
    </row>
    <row r="127" spans="3:10">
      <c r="C127" s="23"/>
      <c r="D127" s="51" t="s">
        <v>1048</v>
      </c>
      <c r="E127" s="51" t="s">
        <v>1049</v>
      </c>
      <c r="F127" s="51" t="s">
        <v>880</v>
      </c>
      <c r="G127" s="25" t="s">
        <v>881</v>
      </c>
      <c r="H127" s="51" t="s">
        <v>870</v>
      </c>
      <c r="I127" s="51" t="s">
        <v>871</v>
      </c>
      <c r="J127" s="52"/>
    </row>
    <row r="128" spans="3:10">
      <c r="C128" s="23"/>
      <c r="D128" s="51" t="s">
        <v>233</v>
      </c>
      <c r="E128" s="51" t="s">
        <v>1050</v>
      </c>
      <c r="F128" s="51" t="s">
        <v>868</v>
      </c>
      <c r="G128" s="24" t="s">
        <v>869</v>
      </c>
      <c r="H128" s="51" t="s">
        <v>870</v>
      </c>
      <c r="I128" s="51" t="s">
        <v>871</v>
      </c>
      <c r="J128" s="52"/>
    </row>
    <row r="129" spans="3:10">
      <c r="C129" s="23"/>
      <c r="D129" s="51" t="s">
        <v>236</v>
      </c>
      <c r="E129" s="51" t="s">
        <v>1051</v>
      </c>
      <c r="F129" s="51" t="s">
        <v>868</v>
      </c>
      <c r="G129" s="24" t="s">
        <v>869</v>
      </c>
      <c r="H129" s="51" t="s">
        <v>870</v>
      </c>
      <c r="I129" s="51" t="s">
        <v>871</v>
      </c>
      <c r="J129" s="52"/>
    </row>
    <row r="130" spans="3:10">
      <c r="C130" s="23"/>
      <c r="D130" s="51" t="s">
        <v>239</v>
      </c>
      <c r="E130" s="51" t="s">
        <v>1052</v>
      </c>
      <c r="F130" s="51" t="s">
        <v>868</v>
      </c>
      <c r="G130" s="24" t="s">
        <v>869</v>
      </c>
      <c r="H130" s="51" t="s">
        <v>870</v>
      </c>
      <c r="I130" s="51" t="s">
        <v>871</v>
      </c>
      <c r="J130" s="52"/>
    </row>
    <row r="131" spans="3:10">
      <c r="C131" s="23"/>
      <c r="D131" s="51" t="s">
        <v>1053</v>
      </c>
      <c r="E131" s="51" t="s">
        <v>1054</v>
      </c>
      <c r="F131" s="51" t="s">
        <v>868</v>
      </c>
      <c r="G131" s="25" t="s">
        <v>881</v>
      </c>
      <c r="H131" s="51" t="s">
        <v>870</v>
      </c>
      <c r="I131" s="51" t="s">
        <v>871</v>
      </c>
      <c r="J131" s="52"/>
    </row>
    <row r="132" spans="3:10">
      <c r="C132" s="23"/>
      <c r="D132" s="51" t="s">
        <v>241</v>
      </c>
      <c r="E132" s="51" t="s">
        <v>1055</v>
      </c>
      <c r="F132" s="51" t="s">
        <v>868</v>
      </c>
      <c r="G132" s="24" t="s">
        <v>869</v>
      </c>
      <c r="H132" s="51" t="s">
        <v>870</v>
      </c>
      <c r="I132" s="51" t="s">
        <v>871</v>
      </c>
      <c r="J132" s="52"/>
    </row>
    <row r="133" spans="3:10">
      <c r="C133" s="23"/>
      <c r="D133" s="51" t="s">
        <v>244</v>
      </c>
      <c r="E133" s="51" t="s">
        <v>1056</v>
      </c>
      <c r="F133" s="51" t="s">
        <v>868</v>
      </c>
      <c r="G133" s="24" t="s">
        <v>869</v>
      </c>
      <c r="H133" s="51" t="s">
        <v>870</v>
      </c>
      <c r="I133" s="51" t="s">
        <v>871</v>
      </c>
      <c r="J133" s="52"/>
    </row>
    <row r="134" spans="3:10">
      <c r="C134" s="23"/>
      <c r="D134" s="51" t="s">
        <v>247</v>
      </c>
      <c r="E134" s="51" t="s">
        <v>1057</v>
      </c>
      <c r="F134" s="51" t="s">
        <v>868</v>
      </c>
      <c r="G134" s="24" t="s">
        <v>869</v>
      </c>
      <c r="H134" s="51" t="s">
        <v>870</v>
      </c>
      <c r="I134" s="51" t="s">
        <v>871</v>
      </c>
      <c r="J134" s="52"/>
    </row>
    <row r="135" spans="3:10">
      <c r="C135" s="23"/>
      <c r="D135" s="51" t="s">
        <v>250</v>
      </c>
      <c r="E135" s="51" t="s">
        <v>1058</v>
      </c>
      <c r="F135" s="51" t="s">
        <v>868</v>
      </c>
      <c r="G135" s="24" t="s">
        <v>869</v>
      </c>
      <c r="H135" s="51" t="s">
        <v>870</v>
      </c>
      <c r="I135" s="51" t="s">
        <v>871</v>
      </c>
      <c r="J135" s="52"/>
    </row>
    <row r="136" spans="3:10">
      <c r="C136" s="23"/>
      <c r="D136" s="51" t="s">
        <v>253</v>
      </c>
      <c r="E136" s="51" t="s">
        <v>1059</v>
      </c>
      <c r="F136" s="51" t="s">
        <v>868</v>
      </c>
      <c r="G136" s="24" t="s">
        <v>869</v>
      </c>
      <c r="H136" s="51" t="s">
        <v>870</v>
      </c>
      <c r="I136" s="51" t="s">
        <v>871</v>
      </c>
      <c r="J136" s="52"/>
    </row>
    <row r="137" spans="3:10">
      <c r="C137" s="23"/>
      <c r="D137" s="51" t="s">
        <v>255</v>
      </c>
      <c r="E137" s="51" t="s">
        <v>1060</v>
      </c>
      <c r="F137" s="51" t="s">
        <v>868</v>
      </c>
      <c r="G137" s="24" t="s">
        <v>869</v>
      </c>
      <c r="H137" s="51" t="s">
        <v>870</v>
      </c>
      <c r="I137" s="51" t="s">
        <v>871</v>
      </c>
      <c r="J137" s="52"/>
    </row>
    <row r="138" spans="3:10">
      <c r="C138" s="23"/>
      <c r="D138" s="51" t="s">
        <v>1061</v>
      </c>
      <c r="E138" s="51" t="s">
        <v>1062</v>
      </c>
      <c r="F138" s="51" t="s">
        <v>868</v>
      </c>
      <c r="G138" s="24" t="s">
        <v>869</v>
      </c>
      <c r="H138" s="51" t="s">
        <v>870</v>
      </c>
      <c r="I138" s="51" t="s">
        <v>871</v>
      </c>
      <c r="J138" s="52"/>
    </row>
    <row r="139" spans="3:10">
      <c r="C139" s="23"/>
      <c r="D139" s="51" t="s">
        <v>258</v>
      </c>
      <c r="E139" s="51" t="s">
        <v>1063</v>
      </c>
      <c r="F139" s="51" t="s">
        <v>868</v>
      </c>
      <c r="G139" s="24" t="s">
        <v>869</v>
      </c>
      <c r="H139" s="51" t="s">
        <v>870</v>
      </c>
      <c r="I139" s="51" t="s">
        <v>871</v>
      </c>
      <c r="J139" s="52"/>
    </row>
    <row r="140" spans="3:10">
      <c r="C140" s="23"/>
      <c r="D140" s="51" t="s">
        <v>1064</v>
      </c>
      <c r="E140" s="51" t="s">
        <v>1065</v>
      </c>
      <c r="F140" s="51" t="s">
        <v>868</v>
      </c>
      <c r="G140" s="25" t="s">
        <v>881</v>
      </c>
      <c r="H140" s="51" t="s">
        <v>870</v>
      </c>
      <c r="I140" s="51" t="s">
        <v>871</v>
      </c>
      <c r="J140" s="52"/>
    </row>
    <row r="141" spans="3:10">
      <c r="C141" s="23"/>
      <c r="D141" s="51" t="s">
        <v>260</v>
      </c>
      <c r="E141" s="51" t="s">
        <v>1066</v>
      </c>
      <c r="F141" s="51" t="s">
        <v>868</v>
      </c>
      <c r="G141" s="24" t="s">
        <v>869</v>
      </c>
      <c r="H141" s="51" t="s">
        <v>870</v>
      </c>
      <c r="I141" s="51" t="s">
        <v>871</v>
      </c>
      <c r="J141" s="52"/>
    </row>
    <row r="142" spans="3:10">
      <c r="C142" s="23"/>
      <c r="D142" s="51" t="s">
        <v>1067</v>
      </c>
      <c r="E142" s="51" t="s">
        <v>1068</v>
      </c>
      <c r="F142" s="51" t="s">
        <v>868</v>
      </c>
      <c r="G142" s="25" t="s">
        <v>881</v>
      </c>
      <c r="H142" s="51" t="s">
        <v>870</v>
      </c>
      <c r="I142" s="51" t="s">
        <v>871</v>
      </c>
      <c r="J142" s="52"/>
    </row>
    <row r="143" spans="3:10">
      <c r="C143" s="23"/>
      <c r="D143" s="51" t="s">
        <v>263</v>
      </c>
      <c r="E143" s="51" t="s">
        <v>1069</v>
      </c>
      <c r="F143" s="51" t="s">
        <v>868</v>
      </c>
      <c r="G143" s="24" t="s">
        <v>869</v>
      </c>
      <c r="H143" s="51" t="s">
        <v>870</v>
      </c>
      <c r="I143" s="51" t="s">
        <v>871</v>
      </c>
      <c r="J143" s="52"/>
    </row>
    <row r="144" spans="3:10">
      <c r="C144" s="23"/>
      <c r="D144" s="51" t="s">
        <v>265</v>
      </c>
      <c r="E144" s="51" t="s">
        <v>1070</v>
      </c>
      <c r="F144" s="51" t="s">
        <v>868</v>
      </c>
      <c r="G144" s="24" t="s">
        <v>869</v>
      </c>
      <c r="H144" s="51" t="s">
        <v>870</v>
      </c>
      <c r="I144" s="51" t="s">
        <v>871</v>
      </c>
      <c r="J144" s="52"/>
    </row>
    <row r="145" spans="3:10">
      <c r="C145" s="23"/>
      <c r="D145" s="51" t="s">
        <v>1071</v>
      </c>
      <c r="E145" s="51" t="s">
        <v>1072</v>
      </c>
      <c r="F145" s="51" t="s">
        <v>868</v>
      </c>
      <c r="G145" s="24" t="s">
        <v>869</v>
      </c>
      <c r="H145" s="51" t="s">
        <v>870</v>
      </c>
      <c r="I145" s="51" t="s">
        <v>871</v>
      </c>
      <c r="J145" s="52"/>
    </row>
    <row r="146" spans="3:10">
      <c r="C146" s="23"/>
      <c r="D146" s="51" t="s">
        <v>267</v>
      </c>
      <c r="E146" s="51" t="s">
        <v>1073</v>
      </c>
      <c r="F146" s="51" t="s">
        <v>868</v>
      </c>
      <c r="G146" s="24" t="s">
        <v>869</v>
      </c>
      <c r="H146" s="51" t="s">
        <v>870</v>
      </c>
      <c r="I146" s="51" t="s">
        <v>871</v>
      </c>
      <c r="J146" s="52"/>
    </row>
    <row r="147" spans="3:10">
      <c r="C147" s="23"/>
      <c r="D147" s="51" t="s">
        <v>269</v>
      </c>
      <c r="E147" s="51" t="s">
        <v>1074</v>
      </c>
      <c r="F147" s="51" t="s">
        <v>868</v>
      </c>
      <c r="G147" s="24" t="s">
        <v>869</v>
      </c>
      <c r="H147" s="51" t="s">
        <v>870</v>
      </c>
      <c r="I147" s="51" t="s">
        <v>871</v>
      </c>
      <c r="J147" s="52"/>
    </row>
    <row r="148" spans="3:10">
      <c r="C148" s="23"/>
      <c r="D148" s="51" t="s">
        <v>1075</v>
      </c>
      <c r="E148" s="51" t="s">
        <v>1076</v>
      </c>
      <c r="F148" s="51" t="s">
        <v>868</v>
      </c>
      <c r="G148" s="24" t="s">
        <v>869</v>
      </c>
      <c r="H148" s="51" t="s">
        <v>870</v>
      </c>
      <c r="I148" s="51" t="s">
        <v>871</v>
      </c>
      <c r="J148" s="52"/>
    </row>
    <row r="149" spans="3:10">
      <c r="C149" s="23"/>
      <c r="D149" s="51" t="s">
        <v>271</v>
      </c>
      <c r="E149" s="51" t="s">
        <v>1077</v>
      </c>
      <c r="F149" s="51" t="s">
        <v>868</v>
      </c>
      <c r="G149" s="24" t="s">
        <v>869</v>
      </c>
      <c r="H149" s="51" t="s">
        <v>870</v>
      </c>
      <c r="I149" s="51" t="s">
        <v>871</v>
      </c>
      <c r="J149" s="52"/>
    </row>
    <row r="150" spans="3:10">
      <c r="C150" s="23"/>
      <c r="D150" s="51" t="s">
        <v>1078</v>
      </c>
      <c r="E150" s="51" t="s">
        <v>1079</v>
      </c>
      <c r="F150" s="51" t="s">
        <v>868</v>
      </c>
      <c r="G150" s="25" t="s">
        <v>881</v>
      </c>
      <c r="H150" s="51" t="s">
        <v>870</v>
      </c>
      <c r="I150" s="51" t="s">
        <v>871</v>
      </c>
      <c r="J150" s="52"/>
    </row>
    <row r="151" spans="3:10">
      <c r="C151" s="23"/>
      <c r="D151" s="51" t="s">
        <v>1080</v>
      </c>
      <c r="E151" s="51" t="s">
        <v>1081</v>
      </c>
      <c r="F151" s="51" t="s">
        <v>868</v>
      </c>
      <c r="G151" s="24" t="s">
        <v>869</v>
      </c>
      <c r="H151" s="51" t="s">
        <v>870</v>
      </c>
      <c r="I151" s="51" t="s">
        <v>871</v>
      </c>
      <c r="J151" s="52"/>
    </row>
    <row r="152" spans="3:10">
      <c r="C152" s="27"/>
      <c r="D152" s="53" t="s">
        <v>273</v>
      </c>
      <c r="E152" s="53" t="s">
        <v>1082</v>
      </c>
      <c r="F152" s="53" t="s">
        <v>868</v>
      </c>
      <c r="G152" s="28" t="s">
        <v>869</v>
      </c>
      <c r="H152" s="53" t="s">
        <v>870</v>
      </c>
      <c r="I152" s="53" t="s">
        <v>871</v>
      </c>
      <c r="J152" s="54"/>
    </row>
    <row r="153" spans="3:10">
      <c r="C153" s="23"/>
      <c r="D153" s="51" t="s">
        <v>276</v>
      </c>
      <c r="E153" s="51" t="s">
        <v>1083</v>
      </c>
      <c r="F153" s="51" t="s">
        <v>868</v>
      </c>
      <c r="G153" s="24" t="s">
        <v>869</v>
      </c>
      <c r="H153" s="51" t="s">
        <v>870</v>
      </c>
      <c r="I153" s="51" t="s">
        <v>871</v>
      </c>
      <c r="J153" s="52"/>
    </row>
    <row r="154" spans="3:10">
      <c r="C154" s="23"/>
      <c r="D154" s="51" t="s">
        <v>278</v>
      </c>
      <c r="E154" s="51" t="s">
        <v>1084</v>
      </c>
      <c r="F154" s="51" t="s">
        <v>868</v>
      </c>
      <c r="G154" s="24" t="s">
        <v>869</v>
      </c>
      <c r="H154" s="51" t="s">
        <v>870</v>
      </c>
      <c r="I154" s="51" t="s">
        <v>871</v>
      </c>
      <c r="J154" s="52"/>
    </row>
    <row r="155" spans="3:10">
      <c r="C155" s="22" t="s">
        <v>859</v>
      </c>
      <c r="D155" s="22" t="s">
        <v>860</v>
      </c>
      <c r="E155" s="22" t="s">
        <v>861</v>
      </c>
      <c r="F155" s="22" t="s">
        <v>862</v>
      </c>
      <c r="G155" s="22" t="s">
        <v>863</v>
      </c>
      <c r="H155" s="22" t="s">
        <v>864</v>
      </c>
      <c r="I155" s="22" t="s">
        <v>865</v>
      </c>
      <c r="J155" s="22" t="s">
        <v>866</v>
      </c>
    </row>
    <row r="156" spans="3:10">
      <c r="C156" s="23"/>
      <c r="D156" s="51" t="s">
        <v>280</v>
      </c>
      <c r="E156" s="51" t="s">
        <v>1085</v>
      </c>
      <c r="F156" s="51" t="s">
        <v>868</v>
      </c>
      <c r="G156" s="24" t="s">
        <v>869</v>
      </c>
      <c r="H156" s="51" t="s">
        <v>870</v>
      </c>
      <c r="I156" s="51" t="s">
        <v>871</v>
      </c>
      <c r="J156" s="52"/>
    </row>
    <row r="157" spans="3:10">
      <c r="C157" s="23"/>
      <c r="D157" s="51" t="s">
        <v>1086</v>
      </c>
      <c r="E157" s="51" t="s">
        <v>1087</v>
      </c>
      <c r="F157" s="51" t="s">
        <v>868</v>
      </c>
      <c r="G157" s="24" t="s">
        <v>869</v>
      </c>
      <c r="H157" s="51" t="s">
        <v>870</v>
      </c>
      <c r="I157" s="51" t="s">
        <v>871</v>
      </c>
      <c r="J157" s="52"/>
    </row>
    <row r="158" spans="3:10">
      <c r="C158" s="23"/>
      <c r="D158" s="51" t="s">
        <v>282</v>
      </c>
      <c r="E158" s="51" t="s">
        <v>1088</v>
      </c>
      <c r="F158" s="51" t="s">
        <v>868</v>
      </c>
      <c r="G158" s="24" t="s">
        <v>869</v>
      </c>
      <c r="H158" s="51" t="s">
        <v>870</v>
      </c>
      <c r="I158" s="51" t="s">
        <v>871</v>
      </c>
      <c r="J158" s="52"/>
    </row>
    <row r="159" spans="3:10">
      <c r="C159" s="23"/>
      <c r="D159" s="51" t="s">
        <v>1089</v>
      </c>
      <c r="E159" s="51" t="s">
        <v>1090</v>
      </c>
      <c r="F159" s="51" t="s">
        <v>868</v>
      </c>
      <c r="G159" s="24" t="s">
        <v>869</v>
      </c>
      <c r="H159" s="51" t="s">
        <v>870</v>
      </c>
      <c r="I159" s="51" t="s">
        <v>871</v>
      </c>
      <c r="J159" s="52"/>
    </row>
    <row r="160" spans="3:10">
      <c r="C160" s="23"/>
      <c r="D160" s="51" t="s">
        <v>284</v>
      </c>
      <c r="E160" s="51" t="s">
        <v>1091</v>
      </c>
      <c r="F160" s="51" t="s">
        <v>868</v>
      </c>
      <c r="G160" s="24" t="s">
        <v>869</v>
      </c>
      <c r="H160" s="51" t="s">
        <v>870</v>
      </c>
      <c r="I160" s="51" t="s">
        <v>871</v>
      </c>
      <c r="J160" s="52"/>
    </row>
    <row r="161" spans="3:10">
      <c r="C161" s="23"/>
      <c r="D161" s="51" t="s">
        <v>286</v>
      </c>
      <c r="E161" s="51" t="s">
        <v>1092</v>
      </c>
      <c r="F161" s="51" t="s">
        <v>868</v>
      </c>
      <c r="G161" s="24" t="s">
        <v>869</v>
      </c>
      <c r="H161" s="51" t="s">
        <v>870</v>
      </c>
      <c r="I161" s="51" t="s">
        <v>871</v>
      </c>
      <c r="J161" s="52"/>
    </row>
    <row r="162" spans="3:10">
      <c r="C162" s="23"/>
      <c r="D162" s="51" t="s">
        <v>1093</v>
      </c>
      <c r="E162" s="51" t="s">
        <v>1094</v>
      </c>
      <c r="F162" s="51" t="s">
        <v>868</v>
      </c>
      <c r="G162" s="24" t="s">
        <v>869</v>
      </c>
      <c r="H162" s="51" t="s">
        <v>870</v>
      </c>
      <c r="I162" s="51" t="s">
        <v>871</v>
      </c>
      <c r="J162" s="52"/>
    </row>
    <row r="163" spans="3:10">
      <c r="C163" s="23"/>
      <c r="D163" s="51" t="s">
        <v>288</v>
      </c>
      <c r="E163" s="51" t="s">
        <v>1095</v>
      </c>
      <c r="F163" s="51" t="s">
        <v>868</v>
      </c>
      <c r="G163" s="24" t="s">
        <v>869</v>
      </c>
      <c r="H163" s="51" t="s">
        <v>870</v>
      </c>
      <c r="I163" s="51" t="s">
        <v>871</v>
      </c>
      <c r="J163" s="52"/>
    </row>
    <row r="164" spans="3:10">
      <c r="C164" s="23"/>
      <c r="D164" s="51" t="s">
        <v>1096</v>
      </c>
      <c r="E164" s="51" t="s">
        <v>1097</v>
      </c>
      <c r="F164" s="51" t="s">
        <v>868</v>
      </c>
      <c r="G164" s="24" t="s">
        <v>869</v>
      </c>
      <c r="H164" s="51" t="s">
        <v>870</v>
      </c>
      <c r="I164" s="51" t="s">
        <v>871</v>
      </c>
      <c r="J164" s="52"/>
    </row>
    <row r="165" spans="3:10">
      <c r="C165" s="23"/>
      <c r="D165" s="51" t="s">
        <v>290</v>
      </c>
      <c r="E165" s="51" t="s">
        <v>1098</v>
      </c>
      <c r="F165" s="51" t="s">
        <v>868</v>
      </c>
      <c r="G165" s="24" t="s">
        <v>869</v>
      </c>
      <c r="H165" s="51" t="s">
        <v>870</v>
      </c>
      <c r="I165" s="51" t="s">
        <v>871</v>
      </c>
      <c r="J165" s="52"/>
    </row>
    <row r="166" spans="3:10">
      <c r="C166" s="23"/>
      <c r="D166" s="51" t="s">
        <v>293</v>
      </c>
      <c r="E166" s="51" t="s">
        <v>1099</v>
      </c>
      <c r="F166" s="51" t="s">
        <v>868</v>
      </c>
      <c r="G166" s="24" t="s">
        <v>869</v>
      </c>
      <c r="H166" s="51" t="s">
        <v>870</v>
      </c>
      <c r="I166" s="51" t="s">
        <v>871</v>
      </c>
      <c r="J166" s="52"/>
    </row>
    <row r="167" spans="3:10">
      <c r="C167" s="23"/>
      <c r="D167" s="51" t="s">
        <v>1100</v>
      </c>
      <c r="E167" s="51" t="s">
        <v>1101</v>
      </c>
      <c r="F167" s="51" t="s">
        <v>868</v>
      </c>
      <c r="G167" s="24" t="s">
        <v>869</v>
      </c>
      <c r="H167" s="51" t="s">
        <v>870</v>
      </c>
      <c r="I167" s="51" t="s">
        <v>871</v>
      </c>
      <c r="J167" s="52"/>
    </row>
    <row r="168" spans="3:10">
      <c r="C168" s="23"/>
      <c r="D168" s="51" t="s">
        <v>296</v>
      </c>
      <c r="E168" s="51" t="s">
        <v>1102</v>
      </c>
      <c r="F168" s="51" t="s">
        <v>868</v>
      </c>
      <c r="G168" s="24" t="s">
        <v>869</v>
      </c>
      <c r="H168" s="51" t="s">
        <v>870</v>
      </c>
      <c r="I168" s="51" t="s">
        <v>871</v>
      </c>
      <c r="J168" s="52"/>
    </row>
    <row r="169" spans="3:10">
      <c r="C169" s="23"/>
      <c r="D169" s="51" t="s">
        <v>1103</v>
      </c>
      <c r="E169" s="51" t="s">
        <v>1104</v>
      </c>
      <c r="F169" s="51" t="s">
        <v>868</v>
      </c>
      <c r="G169" s="24" t="s">
        <v>869</v>
      </c>
      <c r="H169" s="51" t="s">
        <v>870</v>
      </c>
      <c r="I169" s="51" t="s">
        <v>871</v>
      </c>
      <c r="J169" s="52"/>
    </row>
    <row r="170" spans="3:10">
      <c r="C170" s="23"/>
      <c r="D170" s="51" t="s">
        <v>1105</v>
      </c>
      <c r="E170" s="51" t="s">
        <v>1106</v>
      </c>
      <c r="F170" s="51" t="s">
        <v>868</v>
      </c>
      <c r="G170" s="24" t="s">
        <v>869</v>
      </c>
      <c r="H170" s="51" t="s">
        <v>870</v>
      </c>
      <c r="I170" s="51" t="s">
        <v>871</v>
      </c>
      <c r="J170" s="52"/>
    </row>
    <row r="171" spans="3:10">
      <c r="C171" s="23"/>
      <c r="D171" s="51" t="s">
        <v>299</v>
      </c>
      <c r="E171" s="51" t="s">
        <v>1107</v>
      </c>
      <c r="F171" s="51" t="s">
        <v>868</v>
      </c>
      <c r="G171" s="24" t="s">
        <v>869</v>
      </c>
      <c r="H171" s="51" t="s">
        <v>870</v>
      </c>
      <c r="I171" s="51" t="s">
        <v>871</v>
      </c>
      <c r="J171" s="52"/>
    </row>
    <row r="172" spans="3:10">
      <c r="C172" s="23"/>
      <c r="D172" s="51" t="s">
        <v>1108</v>
      </c>
      <c r="E172" s="51" t="s">
        <v>1109</v>
      </c>
      <c r="F172" s="51" t="s">
        <v>880</v>
      </c>
      <c r="G172" s="24" t="s">
        <v>869</v>
      </c>
      <c r="H172" s="51" t="s">
        <v>870</v>
      </c>
      <c r="I172" s="51" t="s">
        <v>871</v>
      </c>
      <c r="J172" s="52"/>
    </row>
    <row r="173" spans="3:10">
      <c r="C173" s="23"/>
      <c r="D173" s="51" t="s">
        <v>1110</v>
      </c>
      <c r="E173" s="51" t="s">
        <v>1111</v>
      </c>
      <c r="F173" s="51" t="s">
        <v>868</v>
      </c>
      <c r="G173" s="25" t="s">
        <v>881</v>
      </c>
      <c r="H173" s="51" t="s">
        <v>870</v>
      </c>
      <c r="I173" s="51" t="s">
        <v>871</v>
      </c>
      <c r="J173" s="52"/>
    </row>
    <row r="174" spans="3:10">
      <c r="C174" s="23"/>
      <c r="D174" s="51" t="s">
        <v>1112</v>
      </c>
      <c r="E174" s="51" t="s">
        <v>1113</v>
      </c>
      <c r="F174" s="51" t="s">
        <v>880</v>
      </c>
      <c r="G174" s="25" t="s">
        <v>881</v>
      </c>
      <c r="H174" s="51" t="s">
        <v>870</v>
      </c>
      <c r="I174" s="51" t="s">
        <v>871</v>
      </c>
      <c r="J174" s="52"/>
    </row>
    <row r="175" spans="3:10">
      <c r="C175" s="23"/>
      <c r="D175" s="51" t="s">
        <v>302</v>
      </c>
      <c r="E175" s="51" t="s">
        <v>1114</v>
      </c>
      <c r="F175" s="51" t="s">
        <v>868</v>
      </c>
      <c r="G175" s="24" t="s">
        <v>869</v>
      </c>
      <c r="H175" s="51" t="s">
        <v>870</v>
      </c>
      <c r="I175" s="51" t="s">
        <v>871</v>
      </c>
      <c r="J175" s="52"/>
    </row>
    <row r="176" spans="3:10">
      <c r="C176" s="23"/>
      <c r="D176" s="51" t="s">
        <v>1115</v>
      </c>
      <c r="E176" s="51" t="s">
        <v>1116</v>
      </c>
      <c r="F176" s="51" t="s">
        <v>868</v>
      </c>
      <c r="G176" s="25" t="s">
        <v>881</v>
      </c>
      <c r="H176" s="51" t="s">
        <v>870</v>
      </c>
      <c r="I176" s="51" t="s">
        <v>871</v>
      </c>
      <c r="J176" s="52"/>
    </row>
    <row r="177" spans="3:10">
      <c r="C177" s="23"/>
      <c r="D177" s="51" t="s">
        <v>304</v>
      </c>
      <c r="E177" s="51" t="s">
        <v>1117</v>
      </c>
      <c r="F177" s="51" t="s">
        <v>868</v>
      </c>
      <c r="G177" s="24" t="s">
        <v>869</v>
      </c>
      <c r="H177" s="51" t="s">
        <v>870</v>
      </c>
      <c r="I177" s="51" t="s">
        <v>871</v>
      </c>
      <c r="J177" s="52"/>
    </row>
    <row r="178" spans="3:10">
      <c r="C178" s="23"/>
      <c r="D178" s="51" t="s">
        <v>1118</v>
      </c>
      <c r="E178" s="51" t="s">
        <v>1119</v>
      </c>
      <c r="F178" s="51" t="s">
        <v>868</v>
      </c>
      <c r="G178" s="24" t="s">
        <v>869</v>
      </c>
      <c r="H178" s="51" t="s">
        <v>870</v>
      </c>
      <c r="I178" s="51" t="s">
        <v>871</v>
      </c>
      <c r="J178" s="52"/>
    </row>
    <row r="179" spans="3:10">
      <c r="C179" s="23"/>
      <c r="D179" s="51" t="s">
        <v>306</v>
      </c>
      <c r="E179" s="51" t="s">
        <v>1120</v>
      </c>
      <c r="F179" s="51" t="s">
        <v>868</v>
      </c>
      <c r="G179" s="24" t="s">
        <v>869</v>
      </c>
      <c r="H179" s="51" t="s">
        <v>870</v>
      </c>
      <c r="I179" s="51" t="s">
        <v>871</v>
      </c>
      <c r="J179" s="52"/>
    </row>
    <row r="180" spans="3:10">
      <c r="C180" s="23"/>
      <c r="D180" s="51" t="s">
        <v>309</v>
      </c>
      <c r="E180" s="51" t="s">
        <v>1121</v>
      </c>
      <c r="F180" s="51" t="s">
        <v>868</v>
      </c>
      <c r="G180" s="24" t="s">
        <v>869</v>
      </c>
      <c r="H180" s="51" t="s">
        <v>870</v>
      </c>
      <c r="I180" s="51" t="s">
        <v>871</v>
      </c>
      <c r="J180" s="52"/>
    </row>
    <row r="181" spans="3:10">
      <c r="C181" s="23"/>
      <c r="D181" s="51" t="s">
        <v>311</v>
      </c>
      <c r="E181" s="51" t="s">
        <v>1122</v>
      </c>
      <c r="F181" s="51" t="s">
        <v>868</v>
      </c>
      <c r="G181" s="24" t="s">
        <v>869</v>
      </c>
      <c r="H181" s="51" t="s">
        <v>870</v>
      </c>
      <c r="I181" s="51" t="s">
        <v>871</v>
      </c>
      <c r="J181" s="52"/>
    </row>
    <row r="182" spans="3:10">
      <c r="C182" s="23"/>
      <c r="D182" s="51" t="s">
        <v>313</v>
      </c>
      <c r="E182" s="51" t="s">
        <v>1123</v>
      </c>
      <c r="F182" s="51" t="s">
        <v>868</v>
      </c>
      <c r="G182" s="24" t="s">
        <v>869</v>
      </c>
      <c r="H182" s="51" t="s">
        <v>870</v>
      </c>
      <c r="I182" s="51" t="s">
        <v>871</v>
      </c>
      <c r="J182" s="52"/>
    </row>
    <row r="183" spans="3:10">
      <c r="C183" s="23"/>
      <c r="D183" s="51" t="s">
        <v>1124</v>
      </c>
      <c r="E183" s="51" t="s">
        <v>1125</v>
      </c>
      <c r="F183" s="51" t="s">
        <v>868</v>
      </c>
      <c r="G183" s="25" t="s">
        <v>881</v>
      </c>
      <c r="H183" s="51" t="s">
        <v>870</v>
      </c>
      <c r="I183" s="51" t="s">
        <v>871</v>
      </c>
      <c r="J183" s="52"/>
    </row>
    <row r="184" spans="3:10">
      <c r="C184" s="23"/>
      <c r="D184" s="51" t="s">
        <v>1126</v>
      </c>
      <c r="E184" s="51" t="s">
        <v>1127</v>
      </c>
      <c r="F184" s="51" t="s">
        <v>880</v>
      </c>
      <c r="G184" s="25" t="s">
        <v>881</v>
      </c>
      <c r="H184" s="51" t="s">
        <v>870</v>
      </c>
      <c r="I184" s="51" t="s">
        <v>871</v>
      </c>
      <c r="J184" s="52"/>
    </row>
    <row r="185" spans="3:10">
      <c r="C185" s="23"/>
      <c r="D185" s="51" t="s">
        <v>1128</v>
      </c>
      <c r="E185" s="51" t="s">
        <v>1129</v>
      </c>
      <c r="F185" s="51" t="s">
        <v>868</v>
      </c>
      <c r="G185" s="26" t="s">
        <v>892</v>
      </c>
      <c r="H185" s="51" t="s">
        <v>870</v>
      </c>
      <c r="I185" s="51" t="s">
        <v>871</v>
      </c>
      <c r="J185" s="52"/>
    </row>
    <row r="186" spans="3:10">
      <c r="C186" s="23"/>
      <c r="D186" s="51" t="s">
        <v>1130</v>
      </c>
      <c r="E186" s="51" t="s">
        <v>1131</v>
      </c>
      <c r="F186" s="51" t="s">
        <v>880</v>
      </c>
      <c r="G186" s="25" t="s">
        <v>881</v>
      </c>
      <c r="H186" s="51" t="s">
        <v>870</v>
      </c>
      <c r="I186" s="51" t="s">
        <v>871</v>
      </c>
      <c r="J186" s="52"/>
    </row>
    <row r="187" spans="3:10">
      <c r="C187" s="23"/>
      <c r="D187" s="51" t="s">
        <v>315</v>
      </c>
      <c r="E187" s="51" t="s">
        <v>1132</v>
      </c>
      <c r="F187" s="51" t="s">
        <v>868</v>
      </c>
      <c r="G187" s="24" t="s">
        <v>869</v>
      </c>
      <c r="H187" s="51" t="s">
        <v>870</v>
      </c>
      <c r="I187" s="51" t="s">
        <v>871</v>
      </c>
      <c r="J187" s="52"/>
    </row>
    <row r="188" spans="3:10">
      <c r="C188" s="23"/>
      <c r="D188" s="51" t="s">
        <v>317</v>
      </c>
      <c r="E188" s="51" t="s">
        <v>1133</v>
      </c>
      <c r="F188" s="51" t="s">
        <v>868</v>
      </c>
      <c r="G188" s="24" t="s">
        <v>869</v>
      </c>
      <c r="H188" s="51" t="s">
        <v>870</v>
      </c>
      <c r="I188" s="51" t="s">
        <v>871</v>
      </c>
      <c r="J188" s="52"/>
    </row>
    <row r="189" spans="3:10">
      <c r="C189" s="23"/>
      <c r="D189" s="51" t="s">
        <v>1134</v>
      </c>
      <c r="E189" s="51" t="s">
        <v>1135</v>
      </c>
      <c r="F189" s="51" t="s">
        <v>868</v>
      </c>
      <c r="G189" s="24" t="s">
        <v>869</v>
      </c>
      <c r="H189" s="51" t="s">
        <v>870</v>
      </c>
      <c r="I189" s="51" t="s">
        <v>871</v>
      </c>
      <c r="J189" s="52"/>
    </row>
    <row r="190" spans="3:10">
      <c r="C190" s="23"/>
      <c r="D190" s="51" t="s">
        <v>320</v>
      </c>
      <c r="E190" s="51" t="s">
        <v>1136</v>
      </c>
      <c r="F190" s="51" t="s">
        <v>868</v>
      </c>
      <c r="G190" s="24" t="s">
        <v>869</v>
      </c>
      <c r="H190" s="51" t="s">
        <v>870</v>
      </c>
      <c r="I190" s="51" t="s">
        <v>871</v>
      </c>
      <c r="J190" s="52"/>
    </row>
    <row r="191" spans="3:10">
      <c r="C191" s="23"/>
      <c r="D191" s="51" t="s">
        <v>1137</v>
      </c>
      <c r="E191" s="51" t="s">
        <v>1138</v>
      </c>
      <c r="F191" s="51" t="s">
        <v>868</v>
      </c>
      <c r="G191" s="26" t="s">
        <v>892</v>
      </c>
      <c r="H191" s="51" t="s">
        <v>870</v>
      </c>
      <c r="I191" s="51" t="s">
        <v>871</v>
      </c>
      <c r="J191" s="52"/>
    </row>
    <row r="192" spans="3:10">
      <c r="C192" s="23"/>
      <c r="D192" s="51" t="s">
        <v>322</v>
      </c>
      <c r="E192" s="51" t="s">
        <v>1139</v>
      </c>
      <c r="F192" s="51" t="s">
        <v>868</v>
      </c>
      <c r="G192" s="24" t="s">
        <v>869</v>
      </c>
      <c r="H192" s="51" t="s">
        <v>870</v>
      </c>
      <c r="I192" s="51" t="s">
        <v>871</v>
      </c>
      <c r="J192" s="52"/>
    </row>
    <row r="193" spans="3:10">
      <c r="C193" s="23"/>
      <c r="D193" s="51" t="s">
        <v>324</v>
      </c>
      <c r="E193" s="51" t="s">
        <v>1140</v>
      </c>
      <c r="F193" s="51" t="s">
        <v>868</v>
      </c>
      <c r="G193" s="24" t="s">
        <v>869</v>
      </c>
      <c r="H193" s="51" t="s">
        <v>870</v>
      </c>
      <c r="I193" s="51" t="s">
        <v>871</v>
      </c>
      <c r="J193" s="52"/>
    </row>
    <row r="194" spans="3:10">
      <c r="C194" s="23"/>
      <c r="D194" s="51" t="s">
        <v>1141</v>
      </c>
      <c r="E194" s="51" t="s">
        <v>1142</v>
      </c>
      <c r="F194" s="51" t="s">
        <v>868</v>
      </c>
      <c r="G194" s="24" t="s">
        <v>869</v>
      </c>
      <c r="H194" s="51" t="s">
        <v>870</v>
      </c>
      <c r="I194" s="51" t="s">
        <v>871</v>
      </c>
      <c r="J194" s="52"/>
    </row>
    <row r="195" spans="3:10">
      <c r="C195" s="23"/>
      <c r="D195" s="51" t="s">
        <v>1143</v>
      </c>
      <c r="E195" s="51" t="s">
        <v>1144</v>
      </c>
      <c r="F195" s="51" t="s">
        <v>868</v>
      </c>
      <c r="G195" s="26" t="s">
        <v>892</v>
      </c>
      <c r="H195" s="51" t="s">
        <v>870</v>
      </c>
      <c r="I195" s="51" t="s">
        <v>871</v>
      </c>
      <c r="J195" s="52"/>
    </row>
    <row r="196" spans="3:10">
      <c r="C196" s="23"/>
      <c r="D196" s="51" t="s">
        <v>326</v>
      </c>
      <c r="E196" s="51" t="s">
        <v>1145</v>
      </c>
      <c r="F196" s="51" t="s">
        <v>868</v>
      </c>
      <c r="G196" s="24" t="s">
        <v>869</v>
      </c>
      <c r="H196" s="51" t="s">
        <v>870</v>
      </c>
      <c r="I196" s="51" t="s">
        <v>871</v>
      </c>
      <c r="J196" s="52"/>
    </row>
    <row r="197" spans="3:10">
      <c r="C197" s="23"/>
      <c r="D197" s="51" t="s">
        <v>329</v>
      </c>
      <c r="E197" s="51" t="s">
        <v>1146</v>
      </c>
      <c r="F197" s="51" t="s">
        <v>868</v>
      </c>
      <c r="G197" s="24" t="s">
        <v>869</v>
      </c>
      <c r="H197" s="51" t="s">
        <v>870</v>
      </c>
      <c r="I197" s="51" t="s">
        <v>871</v>
      </c>
      <c r="J197" s="52"/>
    </row>
    <row r="198" spans="3:10">
      <c r="C198" s="23"/>
      <c r="D198" s="51" t="s">
        <v>1147</v>
      </c>
      <c r="E198" s="51" t="s">
        <v>1148</v>
      </c>
      <c r="F198" s="51" t="s">
        <v>868</v>
      </c>
      <c r="G198" s="24" t="s">
        <v>869</v>
      </c>
      <c r="H198" s="51" t="s">
        <v>870</v>
      </c>
      <c r="I198" s="51" t="s">
        <v>871</v>
      </c>
      <c r="J198" s="52"/>
    </row>
    <row r="199" spans="3:10">
      <c r="C199" s="23"/>
      <c r="D199" s="51" t="s">
        <v>332</v>
      </c>
      <c r="E199" s="51" t="s">
        <v>1149</v>
      </c>
      <c r="F199" s="51" t="s">
        <v>868</v>
      </c>
      <c r="G199" s="24" t="s">
        <v>869</v>
      </c>
      <c r="H199" s="51" t="s">
        <v>870</v>
      </c>
      <c r="I199" s="51" t="s">
        <v>871</v>
      </c>
      <c r="J199" s="52"/>
    </row>
    <row r="200" spans="3:10">
      <c r="C200" s="23"/>
      <c r="D200" s="51" t="s">
        <v>1150</v>
      </c>
      <c r="E200" s="51" t="s">
        <v>1151</v>
      </c>
      <c r="F200" s="51" t="s">
        <v>868</v>
      </c>
      <c r="G200" s="26" t="s">
        <v>892</v>
      </c>
      <c r="H200" s="51" t="s">
        <v>870</v>
      </c>
      <c r="I200" s="51" t="s">
        <v>871</v>
      </c>
      <c r="J200" s="52"/>
    </row>
    <row r="201" spans="3:10">
      <c r="C201" s="23"/>
      <c r="D201" s="51" t="s">
        <v>335</v>
      </c>
      <c r="E201" s="51" t="s">
        <v>1152</v>
      </c>
      <c r="F201" s="51" t="s">
        <v>868</v>
      </c>
      <c r="G201" s="24" t="s">
        <v>869</v>
      </c>
      <c r="H201" s="51" t="s">
        <v>870</v>
      </c>
      <c r="I201" s="51" t="s">
        <v>871</v>
      </c>
      <c r="J201" s="52"/>
    </row>
    <row r="202" spans="3:10">
      <c r="C202" s="23"/>
      <c r="D202" s="51" t="s">
        <v>337</v>
      </c>
      <c r="E202" s="51" t="s">
        <v>1153</v>
      </c>
      <c r="F202" s="51" t="s">
        <v>868</v>
      </c>
      <c r="G202" s="24" t="s">
        <v>869</v>
      </c>
      <c r="H202" s="51" t="s">
        <v>870</v>
      </c>
      <c r="I202" s="51" t="s">
        <v>871</v>
      </c>
      <c r="J202" s="52"/>
    </row>
    <row r="203" spans="3:10">
      <c r="C203" s="23"/>
      <c r="D203" s="51" t="s">
        <v>340</v>
      </c>
      <c r="E203" s="51" t="s">
        <v>1154</v>
      </c>
      <c r="F203" s="51" t="s">
        <v>868</v>
      </c>
      <c r="G203" s="24" t="s">
        <v>869</v>
      </c>
      <c r="H203" s="51" t="s">
        <v>870</v>
      </c>
      <c r="I203" s="51" t="s">
        <v>871</v>
      </c>
      <c r="J203" s="52"/>
    </row>
    <row r="204" spans="3:10">
      <c r="C204" s="23"/>
      <c r="D204" s="51" t="s">
        <v>1155</v>
      </c>
      <c r="E204" s="51" t="s">
        <v>1156</v>
      </c>
      <c r="F204" s="51" t="s">
        <v>868</v>
      </c>
      <c r="G204" s="25" t="s">
        <v>881</v>
      </c>
      <c r="H204" s="51" t="s">
        <v>870</v>
      </c>
      <c r="I204" s="51" t="s">
        <v>871</v>
      </c>
      <c r="J204" s="52"/>
    </row>
    <row r="205" spans="3:10">
      <c r="C205" s="27"/>
      <c r="D205" s="53" t="s">
        <v>343</v>
      </c>
      <c r="E205" s="53" t="s">
        <v>1157</v>
      </c>
      <c r="F205" s="53" t="s">
        <v>868</v>
      </c>
      <c r="G205" s="28" t="s">
        <v>869</v>
      </c>
      <c r="H205" s="53" t="s">
        <v>870</v>
      </c>
      <c r="I205" s="53" t="s">
        <v>871</v>
      </c>
      <c r="J205" s="54"/>
    </row>
    <row r="206" spans="3:10">
      <c r="C206" s="22" t="s">
        <v>859</v>
      </c>
      <c r="D206" s="22" t="s">
        <v>860</v>
      </c>
      <c r="E206" s="22" t="s">
        <v>861</v>
      </c>
      <c r="F206" s="22" t="s">
        <v>862</v>
      </c>
      <c r="G206" s="22" t="s">
        <v>863</v>
      </c>
      <c r="H206" s="22" t="s">
        <v>864</v>
      </c>
      <c r="I206" s="22" t="s">
        <v>865</v>
      </c>
      <c r="J206" s="22" t="s">
        <v>866</v>
      </c>
    </row>
    <row r="207" spans="3:10">
      <c r="C207" s="23"/>
      <c r="D207" s="51" t="s">
        <v>345</v>
      </c>
      <c r="E207" s="51" t="s">
        <v>1158</v>
      </c>
      <c r="F207" s="51" t="s">
        <v>868</v>
      </c>
      <c r="G207" s="24" t="s">
        <v>869</v>
      </c>
      <c r="H207" s="51" t="s">
        <v>870</v>
      </c>
      <c r="I207" s="51" t="s">
        <v>871</v>
      </c>
      <c r="J207" s="52"/>
    </row>
    <row r="208" spans="3:10">
      <c r="C208" s="23"/>
      <c r="D208" s="51" t="s">
        <v>1159</v>
      </c>
      <c r="E208" s="51" t="s">
        <v>1160</v>
      </c>
      <c r="F208" s="51" t="s">
        <v>868</v>
      </c>
      <c r="G208" s="26" t="s">
        <v>892</v>
      </c>
      <c r="H208" s="51" t="s">
        <v>870</v>
      </c>
      <c r="I208" s="51" t="s">
        <v>871</v>
      </c>
      <c r="J208" s="52"/>
    </row>
    <row r="209" spans="3:10">
      <c r="C209" s="23"/>
      <c r="D209" s="51" t="s">
        <v>1161</v>
      </c>
      <c r="E209" s="51" t="s">
        <v>1162</v>
      </c>
      <c r="F209" s="51" t="s">
        <v>868</v>
      </c>
      <c r="G209" s="25" t="s">
        <v>881</v>
      </c>
      <c r="H209" s="51" t="s">
        <v>870</v>
      </c>
      <c r="I209" s="51" t="s">
        <v>871</v>
      </c>
      <c r="J209" s="52"/>
    </row>
    <row r="210" spans="3:10">
      <c r="C210" s="23"/>
      <c r="D210" s="51" t="s">
        <v>1163</v>
      </c>
      <c r="E210" s="51" t="s">
        <v>1164</v>
      </c>
      <c r="F210" s="51" t="s">
        <v>868</v>
      </c>
      <c r="G210" s="26" t="s">
        <v>892</v>
      </c>
      <c r="H210" s="51" t="s">
        <v>870</v>
      </c>
      <c r="I210" s="51" t="s">
        <v>871</v>
      </c>
      <c r="J210" s="52"/>
    </row>
    <row r="211" spans="3:10">
      <c r="C211" s="23"/>
      <c r="D211" s="51" t="s">
        <v>348</v>
      </c>
      <c r="E211" s="51" t="s">
        <v>1165</v>
      </c>
      <c r="F211" s="51" t="s">
        <v>868</v>
      </c>
      <c r="G211" s="24" t="s">
        <v>869</v>
      </c>
      <c r="H211" s="51" t="s">
        <v>870</v>
      </c>
      <c r="I211" s="51" t="s">
        <v>871</v>
      </c>
      <c r="J211" s="52"/>
    </row>
    <row r="212" spans="3:10">
      <c r="C212" s="23"/>
      <c r="D212" s="51" t="s">
        <v>1166</v>
      </c>
      <c r="E212" s="51" t="s">
        <v>1167</v>
      </c>
      <c r="F212" s="51" t="s">
        <v>880</v>
      </c>
      <c r="G212" s="25" t="s">
        <v>881</v>
      </c>
      <c r="H212" s="51" t="s">
        <v>870</v>
      </c>
      <c r="I212" s="51" t="s">
        <v>871</v>
      </c>
      <c r="J212" s="52"/>
    </row>
    <row r="213" spans="3:10">
      <c r="C213" s="23"/>
      <c r="D213" s="51" t="s">
        <v>350</v>
      </c>
      <c r="E213" s="51" t="s">
        <v>1168</v>
      </c>
      <c r="F213" s="51" t="s">
        <v>868</v>
      </c>
      <c r="G213" s="24" t="s">
        <v>869</v>
      </c>
      <c r="H213" s="51" t="s">
        <v>870</v>
      </c>
      <c r="I213" s="51" t="s">
        <v>871</v>
      </c>
      <c r="J213" s="52"/>
    </row>
    <row r="214" spans="3:10">
      <c r="C214" s="23"/>
      <c r="D214" s="51" t="s">
        <v>1169</v>
      </c>
      <c r="E214" s="51" t="s">
        <v>1170</v>
      </c>
      <c r="F214" s="51" t="s">
        <v>880</v>
      </c>
      <c r="G214" s="25" t="s">
        <v>881</v>
      </c>
      <c r="H214" s="51" t="s">
        <v>870</v>
      </c>
      <c r="I214" s="51" t="s">
        <v>1171</v>
      </c>
      <c r="J214" s="52"/>
    </row>
    <row r="215" spans="3:10">
      <c r="C215" s="23"/>
      <c r="D215" s="51" t="s">
        <v>1172</v>
      </c>
      <c r="E215" s="51" t="s">
        <v>1173</v>
      </c>
      <c r="F215" s="51" t="s">
        <v>868</v>
      </c>
      <c r="G215" s="29" t="s">
        <v>1032</v>
      </c>
      <c r="H215" s="51" t="s">
        <v>871</v>
      </c>
      <c r="I215" s="51" t="s">
        <v>871</v>
      </c>
      <c r="J215" s="52"/>
    </row>
    <row r="216" spans="3:10">
      <c r="C216" s="23"/>
      <c r="D216" s="51" t="s">
        <v>353</v>
      </c>
      <c r="E216" s="51" t="s">
        <v>1174</v>
      </c>
      <c r="F216" s="51" t="s">
        <v>868</v>
      </c>
      <c r="G216" s="24" t="s">
        <v>869</v>
      </c>
      <c r="H216" s="51" t="s">
        <v>870</v>
      </c>
      <c r="I216" s="51" t="s">
        <v>871</v>
      </c>
      <c r="J216" s="52"/>
    </row>
    <row r="217" spans="3:10">
      <c r="C217" s="23"/>
      <c r="D217" s="51" t="s">
        <v>355</v>
      </c>
      <c r="E217" s="51" t="s">
        <v>1175</v>
      </c>
      <c r="F217" s="51" t="s">
        <v>868</v>
      </c>
      <c r="G217" s="24" t="s">
        <v>869</v>
      </c>
      <c r="H217" s="51" t="s">
        <v>870</v>
      </c>
      <c r="I217" s="51" t="s">
        <v>871</v>
      </c>
      <c r="J217" s="52"/>
    </row>
    <row r="218" spans="3:10">
      <c r="C218" s="23"/>
      <c r="D218" s="51" t="s">
        <v>358</v>
      </c>
      <c r="E218" s="51" t="s">
        <v>1176</v>
      </c>
      <c r="F218" s="51" t="s">
        <v>868</v>
      </c>
      <c r="G218" s="24" t="s">
        <v>869</v>
      </c>
      <c r="H218" s="51" t="s">
        <v>870</v>
      </c>
      <c r="I218" s="51" t="s">
        <v>871</v>
      </c>
      <c r="J218" s="52"/>
    </row>
    <row r="219" spans="3:10">
      <c r="C219" s="23"/>
      <c r="D219" s="51" t="s">
        <v>361</v>
      </c>
      <c r="E219" s="51" t="s">
        <v>1177</v>
      </c>
      <c r="F219" s="51" t="s">
        <v>868</v>
      </c>
      <c r="G219" s="24" t="s">
        <v>869</v>
      </c>
      <c r="H219" s="51" t="s">
        <v>870</v>
      </c>
      <c r="I219" s="51" t="s">
        <v>871</v>
      </c>
      <c r="J219" s="52"/>
    </row>
    <row r="220" spans="3:10">
      <c r="C220" s="23"/>
      <c r="D220" s="51" t="s">
        <v>1178</v>
      </c>
      <c r="E220" s="51" t="s">
        <v>1179</v>
      </c>
      <c r="F220" s="51" t="s">
        <v>868</v>
      </c>
      <c r="G220" s="25" t="s">
        <v>881</v>
      </c>
      <c r="H220" s="51" t="s">
        <v>870</v>
      </c>
      <c r="I220" s="51" t="s">
        <v>871</v>
      </c>
      <c r="J220" s="52"/>
    </row>
    <row r="221" spans="3:10">
      <c r="C221" s="23"/>
      <c r="D221" s="51" t="s">
        <v>1180</v>
      </c>
      <c r="E221" s="51" t="s">
        <v>1181</v>
      </c>
      <c r="F221" s="51" t="s">
        <v>868</v>
      </c>
      <c r="G221" s="25" t="s">
        <v>881</v>
      </c>
      <c r="H221" s="51" t="s">
        <v>870</v>
      </c>
      <c r="I221" s="51" t="s">
        <v>871</v>
      </c>
      <c r="J221" s="52"/>
    </row>
    <row r="222" spans="3:10">
      <c r="C222" s="23"/>
      <c r="D222" s="51" t="s">
        <v>363</v>
      </c>
      <c r="E222" s="51" t="s">
        <v>1182</v>
      </c>
      <c r="F222" s="51" t="s">
        <v>868</v>
      </c>
      <c r="G222" s="24" t="s">
        <v>869</v>
      </c>
      <c r="H222" s="51" t="s">
        <v>870</v>
      </c>
      <c r="I222" s="51" t="s">
        <v>871</v>
      </c>
      <c r="J222" s="52"/>
    </row>
    <row r="223" spans="3:10">
      <c r="C223" s="23"/>
      <c r="D223" s="51" t="s">
        <v>1183</v>
      </c>
      <c r="E223" s="51" t="s">
        <v>1184</v>
      </c>
      <c r="F223" s="51" t="s">
        <v>868</v>
      </c>
      <c r="G223" s="25" t="s">
        <v>881</v>
      </c>
      <c r="H223" s="51" t="s">
        <v>870</v>
      </c>
      <c r="I223" s="51" t="s">
        <v>871</v>
      </c>
      <c r="J223" s="52"/>
    </row>
    <row r="224" spans="3:10">
      <c r="C224" s="23"/>
      <c r="D224" s="51" t="s">
        <v>365</v>
      </c>
      <c r="E224" s="51" t="s">
        <v>1185</v>
      </c>
      <c r="F224" s="51" t="s">
        <v>868</v>
      </c>
      <c r="G224" s="24" t="s">
        <v>869</v>
      </c>
      <c r="H224" s="51" t="s">
        <v>870</v>
      </c>
      <c r="I224" s="51" t="s">
        <v>871</v>
      </c>
      <c r="J224" s="52"/>
    </row>
    <row r="225" spans="3:10">
      <c r="C225" s="23"/>
      <c r="D225" s="51" t="s">
        <v>367</v>
      </c>
      <c r="E225" s="51" t="s">
        <v>1186</v>
      </c>
      <c r="F225" s="51" t="s">
        <v>868</v>
      </c>
      <c r="G225" s="24" t="s">
        <v>869</v>
      </c>
      <c r="H225" s="51" t="s">
        <v>870</v>
      </c>
      <c r="I225" s="51" t="s">
        <v>871</v>
      </c>
      <c r="J225" s="52"/>
    </row>
    <row r="226" spans="3:10">
      <c r="C226" s="23"/>
      <c r="D226" s="51" t="s">
        <v>1187</v>
      </c>
      <c r="E226" s="51" t="s">
        <v>1188</v>
      </c>
      <c r="F226" s="51" t="s">
        <v>868</v>
      </c>
      <c r="G226" s="24" t="s">
        <v>869</v>
      </c>
      <c r="H226" s="51" t="s">
        <v>870</v>
      </c>
      <c r="I226" s="51" t="s">
        <v>871</v>
      </c>
      <c r="J226" s="52"/>
    </row>
    <row r="227" spans="3:10">
      <c r="C227" s="23"/>
      <c r="D227" s="51" t="s">
        <v>1189</v>
      </c>
      <c r="E227" s="51" t="s">
        <v>1190</v>
      </c>
      <c r="F227" s="51" t="s">
        <v>868</v>
      </c>
      <c r="G227" s="25" t="s">
        <v>881</v>
      </c>
      <c r="H227" s="51" t="s">
        <v>870</v>
      </c>
      <c r="I227" s="51" t="s">
        <v>871</v>
      </c>
      <c r="J227" s="52"/>
    </row>
    <row r="228" spans="3:10">
      <c r="C228" s="23"/>
      <c r="D228" s="51" t="s">
        <v>1191</v>
      </c>
      <c r="E228" s="51" t="s">
        <v>1192</v>
      </c>
      <c r="F228" s="51" t="s">
        <v>868</v>
      </c>
      <c r="G228" s="24" t="s">
        <v>869</v>
      </c>
      <c r="H228" s="51" t="s">
        <v>870</v>
      </c>
      <c r="I228" s="51" t="s">
        <v>871</v>
      </c>
      <c r="J228" s="52"/>
    </row>
    <row r="229" spans="3:10">
      <c r="C229" s="23"/>
      <c r="D229" s="51" t="s">
        <v>369</v>
      </c>
      <c r="E229" s="51" t="s">
        <v>1193</v>
      </c>
      <c r="F229" s="51" t="s">
        <v>868</v>
      </c>
      <c r="G229" s="24" t="s">
        <v>869</v>
      </c>
      <c r="H229" s="51" t="s">
        <v>870</v>
      </c>
      <c r="I229" s="51" t="s">
        <v>871</v>
      </c>
      <c r="J229" s="52"/>
    </row>
    <row r="230" spans="3:10">
      <c r="C230" s="23"/>
      <c r="D230" s="51" t="s">
        <v>371</v>
      </c>
      <c r="E230" s="51" t="s">
        <v>1194</v>
      </c>
      <c r="F230" s="51" t="s">
        <v>868</v>
      </c>
      <c r="G230" s="24" t="s">
        <v>869</v>
      </c>
      <c r="H230" s="51" t="s">
        <v>870</v>
      </c>
      <c r="I230" s="51" t="s">
        <v>871</v>
      </c>
      <c r="J230" s="52"/>
    </row>
    <row r="231" spans="3:10">
      <c r="C231" s="23"/>
      <c r="D231" s="51" t="s">
        <v>1195</v>
      </c>
      <c r="E231" s="51" t="s">
        <v>1196</v>
      </c>
      <c r="F231" s="51" t="s">
        <v>868</v>
      </c>
      <c r="G231" s="24" t="s">
        <v>869</v>
      </c>
      <c r="H231" s="51" t="s">
        <v>870</v>
      </c>
      <c r="I231" s="51" t="s">
        <v>871</v>
      </c>
      <c r="J231" s="52"/>
    </row>
    <row r="232" spans="3:10">
      <c r="C232" s="23"/>
      <c r="D232" s="51" t="s">
        <v>1197</v>
      </c>
      <c r="E232" s="51" t="s">
        <v>1198</v>
      </c>
      <c r="F232" s="51" t="s">
        <v>868</v>
      </c>
      <c r="G232" s="24" t="s">
        <v>869</v>
      </c>
      <c r="H232" s="51" t="s">
        <v>870</v>
      </c>
      <c r="I232" s="51" t="s">
        <v>871</v>
      </c>
      <c r="J232" s="52"/>
    </row>
    <row r="233" spans="3:10">
      <c r="C233" s="23"/>
      <c r="D233" s="51" t="s">
        <v>1199</v>
      </c>
      <c r="E233" s="51" t="s">
        <v>1200</v>
      </c>
      <c r="F233" s="51" t="s">
        <v>868</v>
      </c>
      <c r="G233" s="24" t="s">
        <v>869</v>
      </c>
      <c r="H233" s="51" t="s">
        <v>870</v>
      </c>
      <c r="I233" s="51" t="s">
        <v>871</v>
      </c>
      <c r="J233" s="52"/>
    </row>
    <row r="234" spans="3:10">
      <c r="C234" s="23"/>
      <c r="D234" s="51" t="s">
        <v>374</v>
      </c>
      <c r="E234" s="51" t="s">
        <v>1201</v>
      </c>
      <c r="F234" s="51" t="s">
        <v>868</v>
      </c>
      <c r="G234" s="24" t="s">
        <v>869</v>
      </c>
      <c r="H234" s="51" t="s">
        <v>870</v>
      </c>
      <c r="I234" s="51" t="s">
        <v>871</v>
      </c>
      <c r="J234" s="52"/>
    </row>
    <row r="235" spans="3:10">
      <c r="C235" s="23"/>
      <c r="D235" s="51" t="s">
        <v>1202</v>
      </c>
      <c r="E235" s="51" t="s">
        <v>1203</v>
      </c>
      <c r="F235" s="51" t="s">
        <v>868</v>
      </c>
      <c r="G235" s="26" t="s">
        <v>892</v>
      </c>
      <c r="H235" s="51" t="s">
        <v>870</v>
      </c>
      <c r="I235" s="51" t="s">
        <v>871</v>
      </c>
      <c r="J235" s="52"/>
    </row>
    <row r="236" spans="3:10">
      <c r="C236" s="23"/>
      <c r="D236" s="51" t="s">
        <v>1204</v>
      </c>
      <c r="E236" s="51" t="s">
        <v>1205</v>
      </c>
      <c r="F236" s="51" t="s">
        <v>868</v>
      </c>
      <c r="G236" s="24" t="s">
        <v>869</v>
      </c>
      <c r="H236" s="51" t="s">
        <v>870</v>
      </c>
      <c r="I236" s="51" t="s">
        <v>871</v>
      </c>
      <c r="J236" s="52"/>
    </row>
    <row r="237" spans="3:10">
      <c r="C237" s="23"/>
      <c r="D237" s="51" t="s">
        <v>376</v>
      </c>
      <c r="E237" s="51" t="s">
        <v>1206</v>
      </c>
      <c r="F237" s="51" t="s">
        <v>868</v>
      </c>
      <c r="G237" s="24" t="s">
        <v>869</v>
      </c>
      <c r="H237" s="51" t="s">
        <v>870</v>
      </c>
      <c r="I237" s="51" t="s">
        <v>871</v>
      </c>
      <c r="J237" s="52"/>
    </row>
    <row r="238" spans="3:10">
      <c r="C238" s="23"/>
      <c r="D238" s="51" t="s">
        <v>1207</v>
      </c>
      <c r="E238" s="51" t="s">
        <v>1208</v>
      </c>
      <c r="F238" s="51" t="s">
        <v>868</v>
      </c>
      <c r="G238" s="25" t="s">
        <v>881</v>
      </c>
      <c r="H238" s="51" t="s">
        <v>870</v>
      </c>
      <c r="I238" s="51" t="s">
        <v>871</v>
      </c>
      <c r="J238" s="52"/>
    </row>
    <row r="239" spans="3:10">
      <c r="C239" s="23"/>
      <c r="D239" s="51" t="s">
        <v>1209</v>
      </c>
      <c r="E239" s="51" t="s">
        <v>1210</v>
      </c>
      <c r="F239" s="51" t="s">
        <v>868</v>
      </c>
      <c r="G239" s="24" t="s">
        <v>869</v>
      </c>
      <c r="H239" s="51" t="s">
        <v>870</v>
      </c>
      <c r="I239" s="51" t="s">
        <v>871</v>
      </c>
      <c r="J239" s="52"/>
    </row>
    <row r="240" spans="3:10">
      <c r="C240" s="23"/>
      <c r="D240" s="51" t="s">
        <v>379</v>
      </c>
      <c r="E240" s="51" t="s">
        <v>1211</v>
      </c>
      <c r="F240" s="51" t="s">
        <v>868</v>
      </c>
      <c r="G240" s="24" t="s">
        <v>869</v>
      </c>
      <c r="H240" s="51" t="s">
        <v>870</v>
      </c>
      <c r="I240" s="51" t="s">
        <v>871</v>
      </c>
      <c r="J240" s="52"/>
    </row>
    <row r="241" spans="3:10">
      <c r="C241" s="23"/>
      <c r="D241" s="51" t="s">
        <v>1212</v>
      </c>
      <c r="E241" s="51" t="s">
        <v>1213</v>
      </c>
      <c r="F241" s="51" t="s">
        <v>868</v>
      </c>
      <c r="G241" s="24" t="s">
        <v>869</v>
      </c>
      <c r="H241" s="51" t="s">
        <v>870</v>
      </c>
      <c r="I241" s="51" t="s">
        <v>871</v>
      </c>
      <c r="J241" s="52"/>
    </row>
    <row r="242" spans="3:10">
      <c r="C242" s="23"/>
      <c r="D242" s="51" t="s">
        <v>381</v>
      </c>
      <c r="E242" s="51" t="s">
        <v>1214</v>
      </c>
      <c r="F242" s="51" t="s">
        <v>868</v>
      </c>
      <c r="G242" s="24" t="s">
        <v>869</v>
      </c>
      <c r="H242" s="51" t="s">
        <v>870</v>
      </c>
      <c r="I242" s="51" t="s">
        <v>871</v>
      </c>
      <c r="J242" s="52"/>
    </row>
    <row r="243" spans="3:10">
      <c r="C243" s="23"/>
      <c r="D243" s="51" t="s">
        <v>1215</v>
      </c>
      <c r="E243" s="51" t="s">
        <v>1216</v>
      </c>
      <c r="F243" s="51" t="s">
        <v>868</v>
      </c>
      <c r="G243" s="25" t="s">
        <v>881</v>
      </c>
      <c r="H243" s="51" t="s">
        <v>870</v>
      </c>
      <c r="I243" s="51" t="s">
        <v>871</v>
      </c>
      <c r="J243" s="52"/>
    </row>
    <row r="244" spans="3:10">
      <c r="C244" s="23"/>
      <c r="D244" s="51" t="s">
        <v>1217</v>
      </c>
      <c r="E244" s="51" t="s">
        <v>1218</v>
      </c>
      <c r="F244" s="51" t="s">
        <v>868</v>
      </c>
      <c r="G244" s="25" t="s">
        <v>881</v>
      </c>
      <c r="H244" s="51" t="s">
        <v>870</v>
      </c>
      <c r="I244" s="51" t="s">
        <v>871</v>
      </c>
      <c r="J244" s="52"/>
    </row>
    <row r="245" spans="3:10">
      <c r="C245" s="23"/>
      <c r="D245" s="51" t="s">
        <v>384</v>
      </c>
      <c r="E245" s="51" t="s">
        <v>1219</v>
      </c>
      <c r="F245" s="51" t="s">
        <v>868</v>
      </c>
      <c r="G245" s="24" t="s">
        <v>869</v>
      </c>
      <c r="H245" s="51" t="s">
        <v>870</v>
      </c>
      <c r="I245" s="51" t="s">
        <v>871</v>
      </c>
      <c r="J245" s="52"/>
    </row>
    <row r="246" spans="3:10">
      <c r="C246" s="23"/>
      <c r="D246" s="51" t="s">
        <v>1220</v>
      </c>
      <c r="E246" s="51" t="s">
        <v>1221</v>
      </c>
      <c r="F246" s="51" t="s">
        <v>868</v>
      </c>
      <c r="G246" s="24" t="s">
        <v>869</v>
      </c>
      <c r="H246" s="51" t="s">
        <v>870</v>
      </c>
      <c r="I246" s="51" t="s">
        <v>871</v>
      </c>
      <c r="J246" s="52"/>
    </row>
    <row r="247" spans="3:10">
      <c r="C247" s="23"/>
      <c r="D247" s="51" t="s">
        <v>1222</v>
      </c>
      <c r="E247" s="51" t="s">
        <v>1223</v>
      </c>
      <c r="F247" s="51" t="s">
        <v>868</v>
      </c>
      <c r="G247" s="25" t="s">
        <v>881</v>
      </c>
      <c r="H247" s="51" t="s">
        <v>870</v>
      </c>
      <c r="I247" s="51" t="s">
        <v>871</v>
      </c>
      <c r="J247" s="52"/>
    </row>
    <row r="248" spans="3:10">
      <c r="C248" s="23"/>
      <c r="D248" s="51" t="s">
        <v>1224</v>
      </c>
      <c r="E248" s="51" t="s">
        <v>1225</v>
      </c>
      <c r="F248" s="51" t="s">
        <v>868</v>
      </c>
      <c r="G248" s="24" t="s">
        <v>869</v>
      </c>
      <c r="H248" s="51" t="s">
        <v>870</v>
      </c>
      <c r="I248" s="51" t="s">
        <v>871</v>
      </c>
      <c r="J248" s="52"/>
    </row>
    <row r="249" spans="3:10">
      <c r="C249" s="23"/>
      <c r="D249" s="51" t="s">
        <v>1226</v>
      </c>
      <c r="E249" s="51" t="s">
        <v>1227</v>
      </c>
      <c r="F249" s="51" t="s">
        <v>868</v>
      </c>
      <c r="G249" s="25" t="s">
        <v>881</v>
      </c>
      <c r="H249" s="51" t="s">
        <v>870</v>
      </c>
      <c r="I249" s="51" t="s">
        <v>871</v>
      </c>
      <c r="J249" s="52"/>
    </row>
    <row r="250" spans="3:10">
      <c r="C250" s="23"/>
      <c r="D250" s="51" t="s">
        <v>1228</v>
      </c>
      <c r="E250" s="51" t="s">
        <v>1229</v>
      </c>
      <c r="F250" s="51" t="s">
        <v>880</v>
      </c>
      <c r="G250" s="24" t="s">
        <v>869</v>
      </c>
      <c r="H250" s="51" t="s">
        <v>870</v>
      </c>
      <c r="I250" s="51" t="s">
        <v>871</v>
      </c>
      <c r="J250" s="52"/>
    </row>
    <row r="251" spans="3:10">
      <c r="C251" s="23"/>
      <c r="D251" s="51" t="s">
        <v>387</v>
      </c>
      <c r="E251" s="51" t="s">
        <v>1230</v>
      </c>
      <c r="F251" s="51" t="s">
        <v>868</v>
      </c>
      <c r="G251" s="24" t="s">
        <v>869</v>
      </c>
      <c r="H251" s="51" t="s">
        <v>870</v>
      </c>
      <c r="I251" s="51" t="s">
        <v>871</v>
      </c>
      <c r="J251" s="52"/>
    </row>
    <row r="252" spans="3:10">
      <c r="C252" s="23"/>
      <c r="D252" s="51" t="s">
        <v>1231</v>
      </c>
      <c r="E252" s="51" t="s">
        <v>1232</v>
      </c>
      <c r="F252" s="51" t="s">
        <v>868</v>
      </c>
      <c r="G252" s="24" t="s">
        <v>869</v>
      </c>
      <c r="H252" s="51" t="s">
        <v>870</v>
      </c>
      <c r="I252" s="51" t="s">
        <v>871</v>
      </c>
      <c r="J252" s="52"/>
    </row>
    <row r="253" spans="3:10">
      <c r="C253" s="23"/>
      <c r="D253" s="51" t="s">
        <v>1233</v>
      </c>
      <c r="E253" s="51" t="s">
        <v>1234</v>
      </c>
      <c r="F253" s="51" t="s">
        <v>868</v>
      </c>
      <c r="G253" s="24" t="s">
        <v>869</v>
      </c>
      <c r="H253" s="51" t="s">
        <v>870</v>
      </c>
      <c r="I253" s="51" t="s">
        <v>871</v>
      </c>
      <c r="J253" s="52"/>
    </row>
    <row r="254" spans="3:10">
      <c r="C254" s="23"/>
      <c r="D254" s="51" t="s">
        <v>390</v>
      </c>
      <c r="E254" s="51" t="s">
        <v>1235</v>
      </c>
      <c r="F254" s="51" t="s">
        <v>868</v>
      </c>
      <c r="G254" s="24" t="s">
        <v>869</v>
      </c>
      <c r="H254" s="51" t="s">
        <v>870</v>
      </c>
      <c r="I254" s="51" t="s">
        <v>871</v>
      </c>
      <c r="J254" s="52"/>
    </row>
    <row r="255" spans="3:10">
      <c r="C255" s="27"/>
      <c r="D255" s="53" t="s">
        <v>1236</v>
      </c>
      <c r="E255" s="53" t="s">
        <v>1237</v>
      </c>
      <c r="F255" s="53" t="s">
        <v>868</v>
      </c>
      <c r="G255" s="30" t="s">
        <v>881</v>
      </c>
      <c r="H255" s="53" t="s">
        <v>870</v>
      </c>
      <c r="I255" s="53" t="s">
        <v>871</v>
      </c>
      <c r="J255" s="54"/>
    </row>
    <row r="256" spans="3:10">
      <c r="C256" s="23"/>
      <c r="D256" s="51" t="s">
        <v>393</v>
      </c>
      <c r="E256" s="51" t="s">
        <v>1238</v>
      </c>
      <c r="F256" s="51" t="s">
        <v>868</v>
      </c>
      <c r="G256" s="24" t="s">
        <v>869</v>
      </c>
      <c r="H256" s="51" t="s">
        <v>870</v>
      </c>
      <c r="I256" s="51" t="s">
        <v>871</v>
      </c>
      <c r="J256" s="52"/>
    </row>
    <row r="257" spans="3:10">
      <c r="C257" s="23"/>
      <c r="D257" s="51" t="s">
        <v>395</v>
      </c>
      <c r="E257" s="51" t="s">
        <v>1239</v>
      </c>
      <c r="F257" s="51" t="s">
        <v>868</v>
      </c>
      <c r="G257" s="24" t="s">
        <v>869</v>
      </c>
      <c r="H257" s="51" t="s">
        <v>870</v>
      </c>
      <c r="I257" s="51" t="s">
        <v>871</v>
      </c>
      <c r="J257" s="52"/>
    </row>
    <row r="258" spans="3:10">
      <c r="C258" s="23"/>
      <c r="D258" s="51" t="s">
        <v>1240</v>
      </c>
      <c r="E258" s="51" t="s">
        <v>1241</v>
      </c>
      <c r="F258" s="51" t="s">
        <v>868</v>
      </c>
      <c r="G258" s="24" t="s">
        <v>869</v>
      </c>
      <c r="H258" s="51" t="s">
        <v>870</v>
      </c>
      <c r="I258" s="51" t="s">
        <v>871</v>
      </c>
      <c r="J258" s="52"/>
    </row>
    <row r="259" spans="3:10">
      <c r="C259" s="23"/>
      <c r="D259" s="51" t="s">
        <v>398</v>
      </c>
      <c r="E259" s="51" t="s">
        <v>1242</v>
      </c>
      <c r="F259" s="51" t="s">
        <v>868</v>
      </c>
      <c r="G259" s="24" t="s">
        <v>869</v>
      </c>
      <c r="H259" s="51" t="s">
        <v>870</v>
      </c>
      <c r="I259" s="51" t="s">
        <v>871</v>
      </c>
      <c r="J259" s="52"/>
    </row>
    <row r="260" spans="3:10">
      <c r="C260" s="23"/>
      <c r="D260" s="51" t="s">
        <v>400</v>
      </c>
      <c r="E260" s="51" t="s">
        <v>1243</v>
      </c>
      <c r="F260" s="51" t="s">
        <v>868</v>
      </c>
      <c r="G260" s="24" t="s">
        <v>869</v>
      </c>
      <c r="H260" s="51" t="s">
        <v>870</v>
      </c>
      <c r="I260" s="51" t="s">
        <v>871</v>
      </c>
      <c r="J260" s="52"/>
    </row>
    <row r="261" spans="3:10">
      <c r="C261" s="23"/>
      <c r="D261" s="51" t="s">
        <v>1244</v>
      </c>
      <c r="E261" s="51" t="s">
        <v>1245</v>
      </c>
      <c r="F261" s="51" t="s">
        <v>868</v>
      </c>
      <c r="G261" s="24" t="s">
        <v>869</v>
      </c>
      <c r="H261" s="51" t="s">
        <v>870</v>
      </c>
      <c r="I261" s="51" t="s">
        <v>871</v>
      </c>
      <c r="J261" s="52"/>
    </row>
    <row r="262" spans="3:10">
      <c r="C262" s="23"/>
      <c r="D262" s="51" t="s">
        <v>402</v>
      </c>
      <c r="E262" s="51" t="s">
        <v>1246</v>
      </c>
      <c r="F262" s="51" t="s">
        <v>868</v>
      </c>
      <c r="G262" s="24" t="s">
        <v>869</v>
      </c>
      <c r="H262" s="51" t="s">
        <v>870</v>
      </c>
      <c r="I262" s="51" t="s">
        <v>871</v>
      </c>
      <c r="J262" s="52"/>
    </row>
    <row r="263" spans="3:10">
      <c r="C263" s="23"/>
      <c r="D263" s="51" t="s">
        <v>404</v>
      </c>
      <c r="E263" s="51" t="s">
        <v>1247</v>
      </c>
      <c r="F263" s="51" t="s">
        <v>868</v>
      </c>
      <c r="G263" s="24" t="s">
        <v>869</v>
      </c>
      <c r="H263" s="51" t="s">
        <v>870</v>
      </c>
      <c r="I263" s="51" t="s">
        <v>871</v>
      </c>
      <c r="J263" s="52"/>
    </row>
    <row r="264" spans="3:10">
      <c r="C264" s="23"/>
      <c r="D264" s="51" t="s">
        <v>1248</v>
      </c>
      <c r="E264" s="51" t="s">
        <v>1249</v>
      </c>
      <c r="F264" s="51" t="s">
        <v>868</v>
      </c>
      <c r="G264" s="24" t="s">
        <v>869</v>
      </c>
      <c r="H264" s="51" t="s">
        <v>870</v>
      </c>
      <c r="I264" s="51" t="s">
        <v>871</v>
      </c>
      <c r="J264" s="52"/>
    </row>
    <row r="265" spans="3:10">
      <c r="C265" s="23"/>
      <c r="D265" s="51" t="s">
        <v>406</v>
      </c>
      <c r="E265" s="51" t="s">
        <v>1250</v>
      </c>
      <c r="F265" s="51" t="s">
        <v>868</v>
      </c>
      <c r="G265" s="24" t="s">
        <v>869</v>
      </c>
      <c r="H265" s="51" t="s">
        <v>870</v>
      </c>
      <c r="I265" s="51" t="s">
        <v>871</v>
      </c>
      <c r="J265" s="52"/>
    </row>
    <row r="266" spans="3:10">
      <c r="C266" s="23"/>
      <c r="D266" s="51" t="s">
        <v>1251</v>
      </c>
      <c r="E266" s="51" t="s">
        <v>1252</v>
      </c>
      <c r="F266" s="51" t="s">
        <v>868</v>
      </c>
      <c r="G266" s="26" t="s">
        <v>892</v>
      </c>
      <c r="H266" s="51" t="s">
        <v>870</v>
      </c>
      <c r="I266" s="51" t="s">
        <v>871</v>
      </c>
      <c r="J266" s="52"/>
    </row>
    <row r="267" spans="3:10">
      <c r="C267" s="23"/>
      <c r="D267" s="51" t="s">
        <v>411</v>
      </c>
      <c r="E267" s="51" t="s">
        <v>1253</v>
      </c>
      <c r="F267" s="51" t="s">
        <v>868</v>
      </c>
      <c r="G267" s="24" t="s">
        <v>869</v>
      </c>
      <c r="H267" s="51" t="s">
        <v>870</v>
      </c>
      <c r="I267" s="51" t="s">
        <v>871</v>
      </c>
      <c r="J267" s="52"/>
    </row>
    <row r="268" spans="3:10">
      <c r="C268" s="23"/>
      <c r="D268" s="51" t="s">
        <v>414</v>
      </c>
      <c r="E268" s="51" t="s">
        <v>1254</v>
      </c>
      <c r="F268" s="51" t="s">
        <v>868</v>
      </c>
      <c r="G268" s="24" t="s">
        <v>869</v>
      </c>
      <c r="H268" s="51" t="s">
        <v>870</v>
      </c>
      <c r="I268" s="51" t="s">
        <v>871</v>
      </c>
      <c r="J268" s="52"/>
    </row>
    <row r="269" spans="3:10">
      <c r="C269" s="23"/>
      <c r="D269" s="51" t="s">
        <v>417</v>
      </c>
      <c r="E269" s="51" t="s">
        <v>1255</v>
      </c>
      <c r="F269" s="51" t="s">
        <v>868</v>
      </c>
      <c r="G269" s="24" t="s">
        <v>869</v>
      </c>
      <c r="H269" s="51" t="s">
        <v>870</v>
      </c>
      <c r="I269" s="51" t="s">
        <v>871</v>
      </c>
      <c r="J269" s="52"/>
    </row>
    <row r="270" spans="3:10">
      <c r="C270" s="23"/>
      <c r="D270" s="51" t="s">
        <v>420</v>
      </c>
      <c r="E270" s="51" t="s">
        <v>1256</v>
      </c>
      <c r="F270" s="51" t="s">
        <v>868</v>
      </c>
      <c r="G270" s="24" t="s">
        <v>869</v>
      </c>
      <c r="H270" s="51" t="s">
        <v>870</v>
      </c>
      <c r="I270" s="51" t="s">
        <v>871</v>
      </c>
      <c r="J270" s="52"/>
    </row>
    <row r="271" spans="3:10">
      <c r="C271" s="23"/>
      <c r="D271" s="51" t="s">
        <v>422</v>
      </c>
      <c r="E271" s="51" t="s">
        <v>1257</v>
      </c>
      <c r="F271" s="51" t="s">
        <v>868</v>
      </c>
      <c r="G271" s="24" t="s">
        <v>869</v>
      </c>
      <c r="H271" s="51" t="s">
        <v>870</v>
      </c>
      <c r="I271" s="51" t="s">
        <v>871</v>
      </c>
      <c r="J271" s="52"/>
    </row>
    <row r="272" spans="3:10">
      <c r="C272" s="23"/>
      <c r="D272" s="51" t="s">
        <v>426</v>
      </c>
      <c r="E272" s="51" t="s">
        <v>1258</v>
      </c>
      <c r="F272" s="51" t="s">
        <v>868</v>
      </c>
      <c r="G272" s="24" t="s">
        <v>869</v>
      </c>
      <c r="H272" s="51" t="s">
        <v>870</v>
      </c>
      <c r="I272" s="51" t="s">
        <v>871</v>
      </c>
      <c r="J272" s="52"/>
    </row>
    <row r="273" spans="3:10">
      <c r="C273" s="23"/>
      <c r="D273" s="51" t="s">
        <v>428</v>
      </c>
      <c r="E273" s="51" t="s">
        <v>1259</v>
      </c>
      <c r="F273" s="51" t="s">
        <v>868</v>
      </c>
      <c r="G273" s="24" t="s">
        <v>869</v>
      </c>
      <c r="H273" s="51" t="s">
        <v>870</v>
      </c>
      <c r="I273" s="51" t="s">
        <v>871</v>
      </c>
      <c r="J273" s="52"/>
    </row>
    <row r="274" spans="3:10">
      <c r="C274" s="23"/>
      <c r="D274" s="51" t="s">
        <v>1260</v>
      </c>
      <c r="E274" s="51" t="s">
        <v>1261</v>
      </c>
      <c r="F274" s="51" t="s">
        <v>868</v>
      </c>
      <c r="G274" s="26" t="s">
        <v>892</v>
      </c>
      <c r="H274" s="51" t="s">
        <v>870</v>
      </c>
      <c r="I274" s="51" t="s">
        <v>871</v>
      </c>
      <c r="J274" s="52"/>
    </row>
    <row r="275" spans="3:10">
      <c r="C275" s="23"/>
      <c r="D275" s="51" t="s">
        <v>1262</v>
      </c>
      <c r="E275" s="51" t="s">
        <v>1263</v>
      </c>
      <c r="F275" s="51" t="s">
        <v>868</v>
      </c>
      <c r="G275" s="24" t="s">
        <v>869</v>
      </c>
      <c r="H275" s="51" t="s">
        <v>870</v>
      </c>
      <c r="I275" s="51" t="s">
        <v>871</v>
      </c>
      <c r="J275" s="52"/>
    </row>
    <row r="276" spans="3:10">
      <c r="C276" s="23"/>
      <c r="D276" s="51" t="s">
        <v>1264</v>
      </c>
      <c r="E276" s="51" t="s">
        <v>1265</v>
      </c>
      <c r="F276" s="51" t="s">
        <v>868</v>
      </c>
      <c r="G276" s="24" t="s">
        <v>869</v>
      </c>
      <c r="H276" s="51" t="s">
        <v>870</v>
      </c>
      <c r="I276" s="51" t="s">
        <v>871</v>
      </c>
      <c r="J276" s="52"/>
    </row>
    <row r="277" spans="3:10">
      <c r="C277" s="23"/>
      <c r="D277" s="51" t="s">
        <v>1266</v>
      </c>
      <c r="E277" s="51" t="s">
        <v>1267</v>
      </c>
      <c r="F277" s="51" t="s">
        <v>868</v>
      </c>
      <c r="G277" s="25" t="s">
        <v>881</v>
      </c>
      <c r="H277" s="51" t="s">
        <v>870</v>
      </c>
      <c r="I277" s="51" t="s">
        <v>871</v>
      </c>
      <c r="J277" s="52"/>
    </row>
    <row r="278" spans="3:10">
      <c r="C278" s="23"/>
      <c r="D278" s="51" t="s">
        <v>1268</v>
      </c>
      <c r="E278" s="51" t="s">
        <v>1269</v>
      </c>
      <c r="F278" s="51" t="s">
        <v>868</v>
      </c>
      <c r="G278" s="24" t="s">
        <v>869</v>
      </c>
      <c r="H278" s="51" t="s">
        <v>870</v>
      </c>
      <c r="I278" s="51" t="s">
        <v>871</v>
      </c>
      <c r="J278" s="52"/>
    </row>
    <row r="279" spans="3:10">
      <c r="C279" s="23"/>
      <c r="D279" s="51" t="s">
        <v>430</v>
      </c>
      <c r="E279" s="51" t="s">
        <v>1270</v>
      </c>
      <c r="F279" s="51" t="s">
        <v>868</v>
      </c>
      <c r="G279" s="24" t="s">
        <v>869</v>
      </c>
      <c r="H279" s="51" t="s">
        <v>870</v>
      </c>
      <c r="I279" s="51" t="s">
        <v>871</v>
      </c>
      <c r="J279" s="52"/>
    </row>
    <row r="280" spans="3:10">
      <c r="C280" s="23"/>
      <c r="D280" s="51" t="s">
        <v>1271</v>
      </c>
      <c r="E280" s="51" t="s">
        <v>1272</v>
      </c>
      <c r="F280" s="51" t="s">
        <v>868</v>
      </c>
      <c r="G280" s="24" t="s">
        <v>869</v>
      </c>
      <c r="H280" s="51" t="s">
        <v>870</v>
      </c>
      <c r="I280" s="51" t="s">
        <v>871</v>
      </c>
      <c r="J280" s="52"/>
    </row>
    <row r="281" spans="3:10">
      <c r="C281" s="23"/>
      <c r="D281" s="51" t="s">
        <v>1273</v>
      </c>
      <c r="E281" s="51" t="s">
        <v>1274</v>
      </c>
      <c r="F281" s="51" t="s">
        <v>960</v>
      </c>
      <c r="G281" s="29" t="s">
        <v>1032</v>
      </c>
      <c r="H281" s="51" t="s">
        <v>871</v>
      </c>
      <c r="I281" s="51" t="s">
        <v>871</v>
      </c>
      <c r="J281" s="52"/>
    </row>
    <row r="282" spans="3:10">
      <c r="C282" s="23"/>
      <c r="D282" s="51" t="s">
        <v>1275</v>
      </c>
      <c r="E282" s="51" t="s">
        <v>1276</v>
      </c>
      <c r="F282" s="51" t="s">
        <v>868</v>
      </c>
      <c r="G282" s="24" t="s">
        <v>869</v>
      </c>
      <c r="H282" s="51" t="s">
        <v>870</v>
      </c>
      <c r="I282" s="51" t="s">
        <v>871</v>
      </c>
      <c r="J282" s="52"/>
    </row>
    <row r="283" spans="3:10">
      <c r="C283" s="23"/>
      <c r="D283" s="51" t="s">
        <v>1277</v>
      </c>
      <c r="E283" s="51" t="s">
        <v>1278</v>
      </c>
      <c r="F283" s="51" t="s">
        <v>868</v>
      </c>
      <c r="G283" s="25" t="s">
        <v>881</v>
      </c>
      <c r="H283" s="51" t="s">
        <v>870</v>
      </c>
      <c r="I283" s="51" t="s">
        <v>871</v>
      </c>
      <c r="J283" s="52"/>
    </row>
    <row r="284" spans="3:10">
      <c r="C284" s="23"/>
      <c r="D284" s="51" t="s">
        <v>1279</v>
      </c>
      <c r="E284" s="51" t="s">
        <v>1280</v>
      </c>
      <c r="F284" s="51" t="s">
        <v>868</v>
      </c>
      <c r="G284" s="25" t="s">
        <v>881</v>
      </c>
      <c r="H284" s="51" t="s">
        <v>870</v>
      </c>
      <c r="I284" s="51" t="s">
        <v>871</v>
      </c>
      <c r="J284" s="52"/>
    </row>
    <row r="285" spans="3:10">
      <c r="C285" s="23"/>
      <c r="D285" s="51" t="s">
        <v>432</v>
      </c>
      <c r="E285" s="51" t="s">
        <v>1281</v>
      </c>
      <c r="F285" s="51" t="s">
        <v>868</v>
      </c>
      <c r="G285" s="24" t="s">
        <v>869</v>
      </c>
      <c r="H285" s="51" t="s">
        <v>870</v>
      </c>
      <c r="I285" s="51" t="s">
        <v>871</v>
      </c>
      <c r="J285" s="52"/>
    </row>
    <row r="286" spans="3:10">
      <c r="C286" s="23"/>
      <c r="D286" s="51" t="s">
        <v>1282</v>
      </c>
      <c r="E286" s="51" t="s">
        <v>1283</v>
      </c>
      <c r="F286" s="51" t="s">
        <v>868</v>
      </c>
      <c r="G286" s="24" t="s">
        <v>869</v>
      </c>
      <c r="H286" s="51" t="s">
        <v>870</v>
      </c>
      <c r="I286" s="51" t="s">
        <v>871</v>
      </c>
      <c r="J286" s="52"/>
    </row>
    <row r="287" spans="3:10">
      <c r="C287" s="23"/>
      <c r="D287" s="51" t="s">
        <v>435</v>
      </c>
      <c r="E287" s="51" t="s">
        <v>1284</v>
      </c>
      <c r="F287" s="51" t="s">
        <v>868</v>
      </c>
      <c r="G287" s="24" t="s">
        <v>869</v>
      </c>
      <c r="H287" s="51" t="s">
        <v>870</v>
      </c>
      <c r="I287" s="51" t="s">
        <v>871</v>
      </c>
      <c r="J287" s="52"/>
    </row>
    <row r="288" spans="3:10">
      <c r="C288" s="23"/>
      <c r="D288" s="51" t="s">
        <v>437</v>
      </c>
      <c r="E288" s="51" t="s">
        <v>1285</v>
      </c>
      <c r="F288" s="51" t="s">
        <v>868</v>
      </c>
      <c r="G288" s="24" t="s">
        <v>869</v>
      </c>
      <c r="H288" s="51" t="s">
        <v>870</v>
      </c>
      <c r="I288" s="51" t="s">
        <v>871</v>
      </c>
      <c r="J288" s="52"/>
    </row>
    <row r="289" spans="3:10">
      <c r="C289" s="23"/>
      <c r="D289" s="51" t="s">
        <v>1286</v>
      </c>
      <c r="E289" s="51" t="s">
        <v>1287</v>
      </c>
      <c r="F289" s="51" t="s">
        <v>868</v>
      </c>
      <c r="G289" s="24" t="s">
        <v>869</v>
      </c>
      <c r="H289" s="51" t="s">
        <v>870</v>
      </c>
      <c r="I289" s="51" t="s">
        <v>871</v>
      </c>
      <c r="J289" s="52"/>
    </row>
    <row r="290" spans="3:10">
      <c r="C290" s="23"/>
      <c r="D290" s="51" t="s">
        <v>439</v>
      </c>
      <c r="E290" s="51" t="s">
        <v>1288</v>
      </c>
      <c r="F290" s="51" t="s">
        <v>868</v>
      </c>
      <c r="G290" s="24" t="s">
        <v>869</v>
      </c>
      <c r="H290" s="51" t="s">
        <v>870</v>
      </c>
      <c r="I290" s="51" t="s">
        <v>871</v>
      </c>
      <c r="J290" s="52"/>
    </row>
    <row r="291" spans="3:10">
      <c r="C291" s="23"/>
      <c r="D291" s="51" t="s">
        <v>442</v>
      </c>
      <c r="E291" s="51" t="s">
        <v>1289</v>
      </c>
      <c r="F291" s="51" t="s">
        <v>868</v>
      </c>
      <c r="G291" s="24" t="s">
        <v>869</v>
      </c>
      <c r="H291" s="51" t="s">
        <v>870</v>
      </c>
      <c r="I291" s="51" t="s">
        <v>871</v>
      </c>
      <c r="J291" s="52"/>
    </row>
    <row r="292" spans="3:10">
      <c r="C292" s="23"/>
      <c r="D292" s="51" t="s">
        <v>445</v>
      </c>
      <c r="E292" s="51" t="s">
        <v>1290</v>
      </c>
      <c r="F292" s="51" t="s">
        <v>868</v>
      </c>
      <c r="G292" s="24" t="s">
        <v>869</v>
      </c>
      <c r="H292" s="51" t="s">
        <v>870</v>
      </c>
      <c r="I292" s="51" t="s">
        <v>871</v>
      </c>
      <c r="J292" s="52"/>
    </row>
    <row r="293" spans="3:10">
      <c r="C293" s="23"/>
      <c r="D293" s="51" t="s">
        <v>447</v>
      </c>
      <c r="E293" s="51" t="s">
        <v>1291</v>
      </c>
      <c r="F293" s="51" t="s">
        <v>868</v>
      </c>
      <c r="G293" s="24" t="s">
        <v>869</v>
      </c>
      <c r="H293" s="51" t="s">
        <v>870</v>
      </c>
      <c r="I293" s="51" t="s">
        <v>871</v>
      </c>
      <c r="J293" s="52"/>
    </row>
    <row r="294" spans="3:10">
      <c r="C294" s="23"/>
      <c r="D294" s="51" t="s">
        <v>449</v>
      </c>
      <c r="E294" s="51" t="s">
        <v>1292</v>
      </c>
      <c r="F294" s="51" t="s">
        <v>868</v>
      </c>
      <c r="G294" s="24" t="s">
        <v>869</v>
      </c>
      <c r="H294" s="51" t="s">
        <v>870</v>
      </c>
      <c r="I294" s="51" t="s">
        <v>871</v>
      </c>
      <c r="J294" s="52"/>
    </row>
    <row r="295" spans="3:10">
      <c r="C295" s="23"/>
      <c r="D295" s="51" t="s">
        <v>452</v>
      </c>
      <c r="E295" s="51" t="s">
        <v>1293</v>
      </c>
      <c r="F295" s="51" t="s">
        <v>868</v>
      </c>
      <c r="G295" s="24" t="s">
        <v>869</v>
      </c>
      <c r="H295" s="51" t="s">
        <v>870</v>
      </c>
      <c r="I295" s="51" t="s">
        <v>871</v>
      </c>
      <c r="J295" s="52"/>
    </row>
    <row r="296" spans="3:10">
      <c r="C296" s="23"/>
      <c r="D296" s="51" t="s">
        <v>454</v>
      </c>
      <c r="E296" s="51" t="s">
        <v>1294</v>
      </c>
      <c r="F296" s="51" t="s">
        <v>868</v>
      </c>
      <c r="G296" s="24" t="s">
        <v>869</v>
      </c>
      <c r="H296" s="51" t="s">
        <v>870</v>
      </c>
      <c r="I296" s="51" t="s">
        <v>871</v>
      </c>
      <c r="J296" s="52"/>
    </row>
    <row r="297" spans="3:10">
      <c r="C297" s="23"/>
      <c r="D297" s="51" t="s">
        <v>457</v>
      </c>
      <c r="E297" s="51" t="s">
        <v>1295</v>
      </c>
      <c r="F297" s="51" t="s">
        <v>868</v>
      </c>
      <c r="G297" s="24" t="s">
        <v>869</v>
      </c>
      <c r="H297" s="51" t="s">
        <v>870</v>
      </c>
      <c r="I297" s="51" t="s">
        <v>871</v>
      </c>
      <c r="J297" s="52"/>
    </row>
    <row r="298" spans="3:10">
      <c r="C298" s="23"/>
      <c r="D298" s="51" t="s">
        <v>1296</v>
      </c>
      <c r="E298" s="51" t="s">
        <v>1297</v>
      </c>
      <c r="F298" s="51" t="s">
        <v>868</v>
      </c>
      <c r="G298" s="24" t="s">
        <v>869</v>
      </c>
      <c r="H298" s="51" t="s">
        <v>870</v>
      </c>
      <c r="I298" s="51" t="s">
        <v>871</v>
      </c>
      <c r="J298" s="52"/>
    </row>
    <row r="299" spans="3:10">
      <c r="C299" s="23"/>
      <c r="D299" s="51" t="s">
        <v>459</v>
      </c>
      <c r="E299" s="51" t="s">
        <v>1298</v>
      </c>
      <c r="F299" s="51" t="s">
        <v>868</v>
      </c>
      <c r="G299" s="24" t="s">
        <v>869</v>
      </c>
      <c r="H299" s="51" t="s">
        <v>870</v>
      </c>
      <c r="I299" s="51" t="s">
        <v>871</v>
      </c>
      <c r="J299" s="52"/>
    </row>
    <row r="300" spans="3:10">
      <c r="C300" s="23"/>
      <c r="D300" s="51" t="s">
        <v>1299</v>
      </c>
      <c r="E300" s="51" t="s">
        <v>1300</v>
      </c>
      <c r="F300" s="51" t="s">
        <v>868</v>
      </c>
      <c r="G300" s="31" t="s">
        <v>1301</v>
      </c>
      <c r="H300" s="51" t="s">
        <v>870</v>
      </c>
      <c r="I300" s="51" t="s">
        <v>871</v>
      </c>
      <c r="J300" s="52"/>
    </row>
    <row r="301" spans="3:10">
      <c r="C301" s="23"/>
      <c r="D301" s="51" t="s">
        <v>461</v>
      </c>
      <c r="E301" s="51" t="s">
        <v>1302</v>
      </c>
      <c r="F301" s="51" t="s">
        <v>868</v>
      </c>
      <c r="G301" s="24" t="s">
        <v>869</v>
      </c>
      <c r="H301" s="51" t="s">
        <v>870</v>
      </c>
      <c r="I301" s="51" t="s">
        <v>871</v>
      </c>
      <c r="J301" s="52"/>
    </row>
    <row r="302" spans="3:10">
      <c r="C302" s="23"/>
      <c r="D302" s="51" t="s">
        <v>1303</v>
      </c>
      <c r="E302" s="51" t="s">
        <v>1304</v>
      </c>
      <c r="F302" s="51" t="s">
        <v>868</v>
      </c>
      <c r="G302" s="24" t="s">
        <v>869</v>
      </c>
      <c r="H302" s="51" t="s">
        <v>870</v>
      </c>
      <c r="I302" s="51" t="s">
        <v>871</v>
      </c>
      <c r="J302" s="52"/>
    </row>
    <row r="303" spans="3:10">
      <c r="C303" s="23"/>
      <c r="D303" s="51" t="s">
        <v>463</v>
      </c>
      <c r="E303" s="51" t="s">
        <v>1305</v>
      </c>
      <c r="F303" s="51" t="s">
        <v>868</v>
      </c>
      <c r="G303" s="24" t="s">
        <v>869</v>
      </c>
      <c r="H303" s="51" t="s">
        <v>870</v>
      </c>
      <c r="I303" s="51" t="s">
        <v>871</v>
      </c>
      <c r="J303" s="52"/>
    </row>
    <row r="304" spans="3:10">
      <c r="C304" s="23"/>
      <c r="D304" s="51" t="s">
        <v>465</v>
      </c>
      <c r="E304" s="51" t="s">
        <v>1306</v>
      </c>
      <c r="F304" s="51" t="s">
        <v>868</v>
      </c>
      <c r="G304" s="24" t="s">
        <v>869</v>
      </c>
      <c r="H304" s="51" t="s">
        <v>870</v>
      </c>
      <c r="I304" s="51" t="s">
        <v>871</v>
      </c>
      <c r="J304" s="52"/>
    </row>
    <row r="305" spans="3:10">
      <c r="C305" s="27"/>
      <c r="D305" s="53" t="s">
        <v>468</v>
      </c>
      <c r="E305" s="53" t="s">
        <v>1307</v>
      </c>
      <c r="F305" s="53" t="s">
        <v>868</v>
      </c>
      <c r="G305" s="28" t="s">
        <v>869</v>
      </c>
      <c r="H305" s="53" t="s">
        <v>870</v>
      </c>
      <c r="I305" s="53" t="s">
        <v>871</v>
      </c>
      <c r="J305" s="54"/>
    </row>
    <row r="306" spans="3:10">
      <c r="C306" s="23"/>
      <c r="D306" s="51" t="s">
        <v>1308</v>
      </c>
      <c r="E306" s="51" t="s">
        <v>1309</v>
      </c>
      <c r="F306" s="51" t="s">
        <v>868</v>
      </c>
      <c r="G306" s="24" t="s">
        <v>869</v>
      </c>
      <c r="H306" s="51" t="s">
        <v>870</v>
      </c>
      <c r="I306" s="51" t="s">
        <v>871</v>
      </c>
      <c r="J306" s="52"/>
    </row>
    <row r="307" spans="3:10">
      <c r="C307" s="23"/>
      <c r="D307" s="51" t="s">
        <v>470</v>
      </c>
      <c r="E307" s="51" t="s">
        <v>1310</v>
      </c>
      <c r="F307" s="51" t="s">
        <v>868</v>
      </c>
      <c r="G307" s="24" t="s">
        <v>869</v>
      </c>
      <c r="H307" s="51" t="s">
        <v>870</v>
      </c>
      <c r="I307" s="51" t="s">
        <v>871</v>
      </c>
      <c r="J307" s="52"/>
    </row>
    <row r="308" spans="3:10">
      <c r="C308" s="23"/>
      <c r="D308" s="51" t="s">
        <v>472</v>
      </c>
      <c r="E308" s="51" t="s">
        <v>1311</v>
      </c>
      <c r="F308" s="51" t="s">
        <v>868</v>
      </c>
      <c r="G308" s="24" t="s">
        <v>869</v>
      </c>
      <c r="H308" s="51" t="s">
        <v>870</v>
      </c>
      <c r="I308" s="51" t="s">
        <v>871</v>
      </c>
      <c r="J308" s="52"/>
    </row>
    <row r="309" spans="3:10">
      <c r="C309" s="23"/>
      <c r="D309" s="51" t="s">
        <v>1312</v>
      </c>
      <c r="E309" s="51" t="s">
        <v>1313</v>
      </c>
      <c r="F309" s="51" t="s">
        <v>868</v>
      </c>
      <c r="G309" s="25" t="s">
        <v>881</v>
      </c>
      <c r="H309" s="51" t="s">
        <v>870</v>
      </c>
      <c r="I309" s="51" t="s">
        <v>871</v>
      </c>
      <c r="J309" s="52"/>
    </row>
    <row r="310" spans="3:10">
      <c r="C310" s="23"/>
      <c r="D310" s="51" t="s">
        <v>1314</v>
      </c>
      <c r="E310" s="51" t="s">
        <v>1315</v>
      </c>
      <c r="F310" s="51" t="s">
        <v>868</v>
      </c>
      <c r="G310" s="26" t="s">
        <v>892</v>
      </c>
      <c r="H310" s="51" t="s">
        <v>870</v>
      </c>
      <c r="I310" s="51" t="s">
        <v>871</v>
      </c>
      <c r="J310" s="52"/>
    </row>
    <row r="311" spans="3:10">
      <c r="C311" s="23"/>
      <c r="D311" s="51" t="s">
        <v>474</v>
      </c>
      <c r="E311" s="51" t="s">
        <v>1316</v>
      </c>
      <c r="F311" s="51" t="s">
        <v>868</v>
      </c>
      <c r="G311" s="24" t="s">
        <v>869</v>
      </c>
      <c r="H311" s="51" t="s">
        <v>870</v>
      </c>
      <c r="I311" s="51" t="s">
        <v>871</v>
      </c>
      <c r="J311" s="52"/>
    </row>
    <row r="312" spans="3:10">
      <c r="C312" s="23"/>
      <c r="D312" s="51" t="s">
        <v>477</v>
      </c>
      <c r="E312" s="51" t="s">
        <v>1317</v>
      </c>
      <c r="F312" s="51" t="s">
        <v>868</v>
      </c>
      <c r="G312" s="24" t="s">
        <v>869</v>
      </c>
      <c r="H312" s="51" t="s">
        <v>870</v>
      </c>
      <c r="I312" s="51" t="s">
        <v>871</v>
      </c>
      <c r="J312" s="52"/>
    </row>
    <row r="313" spans="3:10">
      <c r="C313" s="23"/>
      <c r="D313" s="51" t="s">
        <v>480</v>
      </c>
      <c r="E313" s="51" t="s">
        <v>1318</v>
      </c>
      <c r="F313" s="51" t="s">
        <v>868</v>
      </c>
      <c r="G313" s="24" t="s">
        <v>869</v>
      </c>
      <c r="H313" s="51" t="s">
        <v>870</v>
      </c>
      <c r="I313" s="51" t="s">
        <v>871</v>
      </c>
      <c r="J313" s="52"/>
    </row>
    <row r="314" spans="3:10">
      <c r="C314" s="23"/>
      <c r="D314" s="51" t="s">
        <v>483</v>
      </c>
      <c r="E314" s="51" t="s">
        <v>1319</v>
      </c>
      <c r="F314" s="51" t="s">
        <v>868</v>
      </c>
      <c r="G314" s="26" t="s">
        <v>892</v>
      </c>
      <c r="H314" s="51" t="s">
        <v>870</v>
      </c>
      <c r="I314" s="51" t="s">
        <v>871</v>
      </c>
      <c r="J314" s="52"/>
    </row>
    <row r="315" spans="3:10">
      <c r="C315" s="23"/>
      <c r="D315" s="51" t="s">
        <v>1320</v>
      </c>
      <c r="E315" s="51" t="s">
        <v>1321</v>
      </c>
      <c r="F315" s="51" t="s">
        <v>868</v>
      </c>
      <c r="G315" s="24" t="s">
        <v>869</v>
      </c>
      <c r="H315" s="51" t="s">
        <v>870</v>
      </c>
      <c r="I315" s="51" t="s">
        <v>871</v>
      </c>
      <c r="J315" s="52"/>
    </row>
    <row r="316" spans="3:10">
      <c r="C316" s="23"/>
      <c r="D316" s="51" t="s">
        <v>1322</v>
      </c>
      <c r="E316" s="51" t="s">
        <v>1323</v>
      </c>
      <c r="F316" s="51" t="s">
        <v>868</v>
      </c>
      <c r="G316" s="25" t="s">
        <v>881</v>
      </c>
      <c r="H316" s="51" t="s">
        <v>870</v>
      </c>
      <c r="I316" s="51" t="s">
        <v>871</v>
      </c>
      <c r="J316" s="52"/>
    </row>
    <row r="317" spans="3:10">
      <c r="C317" s="23"/>
      <c r="D317" s="51" t="s">
        <v>1324</v>
      </c>
      <c r="E317" s="51" t="s">
        <v>1325</v>
      </c>
      <c r="F317" s="51" t="s">
        <v>868</v>
      </c>
      <c r="G317" s="24" t="s">
        <v>869</v>
      </c>
      <c r="H317" s="51" t="s">
        <v>870</v>
      </c>
      <c r="I317" s="51" t="s">
        <v>871</v>
      </c>
      <c r="J317" s="52"/>
    </row>
    <row r="318" spans="3:10">
      <c r="C318" s="23"/>
      <c r="D318" s="51" t="s">
        <v>485</v>
      </c>
      <c r="E318" s="51" t="s">
        <v>1326</v>
      </c>
      <c r="F318" s="51" t="s">
        <v>868</v>
      </c>
      <c r="G318" s="24" t="s">
        <v>869</v>
      </c>
      <c r="H318" s="51" t="s">
        <v>870</v>
      </c>
      <c r="I318" s="51" t="s">
        <v>871</v>
      </c>
      <c r="J318" s="52"/>
    </row>
    <row r="319" spans="3:10">
      <c r="C319" s="23"/>
      <c r="D319" s="51" t="s">
        <v>1327</v>
      </c>
      <c r="E319" s="51" t="s">
        <v>1328</v>
      </c>
      <c r="F319" s="51" t="s">
        <v>868</v>
      </c>
      <c r="G319" s="24" t="s">
        <v>869</v>
      </c>
      <c r="H319" s="51" t="s">
        <v>870</v>
      </c>
      <c r="I319" s="51" t="s">
        <v>871</v>
      </c>
      <c r="J319" s="52"/>
    </row>
    <row r="320" spans="3:10">
      <c r="C320" s="23"/>
      <c r="D320" s="51" t="s">
        <v>487</v>
      </c>
      <c r="E320" s="51" t="s">
        <v>1329</v>
      </c>
      <c r="F320" s="51" t="s">
        <v>868</v>
      </c>
      <c r="G320" s="24" t="s">
        <v>869</v>
      </c>
      <c r="H320" s="51" t="s">
        <v>870</v>
      </c>
      <c r="I320" s="51" t="s">
        <v>871</v>
      </c>
      <c r="J320" s="52"/>
    </row>
    <row r="321" spans="3:10">
      <c r="C321" s="23"/>
      <c r="D321" s="51" t="s">
        <v>490</v>
      </c>
      <c r="E321" s="51" t="s">
        <v>1330</v>
      </c>
      <c r="F321" s="51" t="s">
        <v>868</v>
      </c>
      <c r="G321" s="24" t="s">
        <v>869</v>
      </c>
      <c r="H321" s="51" t="s">
        <v>870</v>
      </c>
      <c r="I321" s="51" t="s">
        <v>871</v>
      </c>
      <c r="J321" s="52"/>
    </row>
    <row r="322" spans="3:10">
      <c r="C322" s="23"/>
      <c r="D322" s="51" t="s">
        <v>492</v>
      </c>
      <c r="E322" s="51" t="s">
        <v>1331</v>
      </c>
      <c r="F322" s="51" t="s">
        <v>868</v>
      </c>
      <c r="G322" s="24" t="s">
        <v>869</v>
      </c>
      <c r="H322" s="51" t="s">
        <v>870</v>
      </c>
      <c r="I322" s="51" t="s">
        <v>871</v>
      </c>
      <c r="J322" s="52"/>
    </row>
    <row r="323" spans="3:10">
      <c r="C323" s="23"/>
      <c r="D323" s="51" t="s">
        <v>494</v>
      </c>
      <c r="E323" s="51" t="s">
        <v>1332</v>
      </c>
      <c r="F323" s="51" t="s">
        <v>868</v>
      </c>
      <c r="G323" s="24" t="s">
        <v>869</v>
      </c>
      <c r="H323" s="51" t="s">
        <v>870</v>
      </c>
      <c r="I323" s="51" t="s">
        <v>871</v>
      </c>
      <c r="J323" s="52"/>
    </row>
    <row r="324" spans="3:10">
      <c r="C324" s="23"/>
      <c r="D324" s="51" t="s">
        <v>497</v>
      </c>
      <c r="E324" s="51" t="s">
        <v>1333</v>
      </c>
      <c r="F324" s="51" t="s">
        <v>868</v>
      </c>
      <c r="G324" s="24" t="s">
        <v>869</v>
      </c>
      <c r="H324" s="51" t="s">
        <v>870</v>
      </c>
      <c r="I324" s="51" t="s">
        <v>871</v>
      </c>
      <c r="J324" s="52"/>
    </row>
    <row r="325" spans="3:10">
      <c r="C325" s="23"/>
      <c r="D325" s="51" t="s">
        <v>499</v>
      </c>
      <c r="E325" s="51" t="s">
        <v>1334</v>
      </c>
      <c r="F325" s="51" t="s">
        <v>868</v>
      </c>
      <c r="G325" s="24" t="s">
        <v>869</v>
      </c>
      <c r="H325" s="51" t="s">
        <v>870</v>
      </c>
      <c r="I325" s="51" t="s">
        <v>871</v>
      </c>
      <c r="J325" s="52"/>
    </row>
    <row r="326" spans="3:10">
      <c r="C326" s="23"/>
      <c r="D326" s="51" t="s">
        <v>501</v>
      </c>
      <c r="E326" s="51" t="s">
        <v>1335</v>
      </c>
      <c r="F326" s="51" t="s">
        <v>868</v>
      </c>
      <c r="G326" s="24" t="s">
        <v>869</v>
      </c>
      <c r="H326" s="51" t="s">
        <v>870</v>
      </c>
      <c r="I326" s="51" t="s">
        <v>871</v>
      </c>
      <c r="J326" s="52"/>
    </row>
    <row r="327" spans="3:10">
      <c r="C327" s="23"/>
      <c r="D327" s="51" t="s">
        <v>1336</v>
      </c>
      <c r="E327" s="51" t="s">
        <v>1337</v>
      </c>
      <c r="F327" s="51" t="s">
        <v>868</v>
      </c>
      <c r="G327" s="24" t="s">
        <v>869</v>
      </c>
      <c r="H327" s="51" t="s">
        <v>870</v>
      </c>
      <c r="I327" s="51" t="s">
        <v>871</v>
      </c>
      <c r="J327" s="52"/>
    </row>
    <row r="328" spans="3:10">
      <c r="C328" s="23"/>
      <c r="D328" s="51" t="s">
        <v>503</v>
      </c>
      <c r="E328" s="51" t="s">
        <v>1338</v>
      </c>
      <c r="F328" s="51" t="s">
        <v>868</v>
      </c>
      <c r="G328" s="24" t="s">
        <v>869</v>
      </c>
      <c r="H328" s="51" t="s">
        <v>870</v>
      </c>
      <c r="I328" s="51" t="s">
        <v>871</v>
      </c>
      <c r="J328" s="52"/>
    </row>
    <row r="329" spans="3:10">
      <c r="C329" s="23"/>
      <c r="D329" s="51" t="s">
        <v>505</v>
      </c>
      <c r="E329" s="51" t="s">
        <v>1339</v>
      </c>
      <c r="F329" s="51" t="s">
        <v>868</v>
      </c>
      <c r="G329" s="24" t="s">
        <v>869</v>
      </c>
      <c r="H329" s="51" t="s">
        <v>870</v>
      </c>
      <c r="I329" s="51" t="s">
        <v>871</v>
      </c>
      <c r="J329" s="52"/>
    </row>
    <row r="330" spans="3:10">
      <c r="C330" s="23"/>
      <c r="D330" s="51" t="s">
        <v>1340</v>
      </c>
      <c r="E330" s="51" t="s">
        <v>1341</v>
      </c>
      <c r="F330" s="51" t="s">
        <v>868</v>
      </c>
      <c r="G330" s="25" t="s">
        <v>881</v>
      </c>
      <c r="H330" s="51" t="s">
        <v>870</v>
      </c>
      <c r="I330" s="51" t="s">
        <v>871</v>
      </c>
      <c r="J330" s="52"/>
    </row>
    <row r="331" spans="3:10">
      <c r="C331" s="23"/>
      <c r="D331" s="51" t="s">
        <v>507</v>
      </c>
      <c r="E331" s="51" t="s">
        <v>1342</v>
      </c>
      <c r="F331" s="51" t="s">
        <v>868</v>
      </c>
      <c r="G331" s="24" t="s">
        <v>869</v>
      </c>
      <c r="H331" s="51" t="s">
        <v>870</v>
      </c>
      <c r="I331" s="51" t="s">
        <v>871</v>
      </c>
      <c r="J331" s="52"/>
    </row>
    <row r="332" spans="3:10">
      <c r="C332" s="23"/>
      <c r="D332" s="51" t="s">
        <v>510</v>
      </c>
      <c r="E332" s="51" t="s">
        <v>1343</v>
      </c>
      <c r="F332" s="51" t="s">
        <v>868</v>
      </c>
      <c r="G332" s="24" t="s">
        <v>869</v>
      </c>
      <c r="H332" s="51" t="s">
        <v>870</v>
      </c>
      <c r="I332" s="51" t="s">
        <v>871</v>
      </c>
      <c r="J332" s="52"/>
    </row>
    <row r="333" spans="3:10">
      <c r="C333" s="23"/>
      <c r="D333" s="51" t="s">
        <v>1344</v>
      </c>
      <c r="E333" s="51" t="s">
        <v>1345</v>
      </c>
      <c r="F333" s="51" t="s">
        <v>868</v>
      </c>
      <c r="G333" s="24" t="s">
        <v>869</v>
      </c>
      <c r="H333" s="51" t="s">
        <v>870</v>
      </c>
      <c r="I333" s="51" t="s">
        <v>871</v>
      </c>
      <c r="J333" s="52"/>
    </row>
    <row r="334" spans="3:10">
      <c r="C334" s="23"/>
      <c r="D334" s="51" t="s">
        <v>1346</v>
      </c>
      <c r="E334" s="51" t="s">
        <v>1347</v>
      </c>
      <c r="F334" s="51" t="s">
        <v>868</v>
      </c>
      <c r="G334" s="29" t="s">
        <v>1032</v>
      </c>
      <c r="H334" s="51" t="s">
        <v>871</v>
      </c>
      <c r="I334" s="51" t="s">
        <v>871</v>
      </c>
      <c r="J334" s="52"/>
    </row>
    <row r="335" spans="3:10">
      <c r="C335" s="23"/>
      <c r="D335" s="51" t="s">
        <v>1348</v>
      </c>
      <c r="E335" s="51" t="s">
        <v>1349</v>
      </c>
      <c r="F335" s="51" t="s">
        <v>960</v>
      </c>
      <c r="G335" s="25" t="s">
        <v>881</v>
      </c>
      <c r="H335" s="51" t="s">
        <v>870</v>
      </c>
      <c r="I335" s="51" t="s">
        <v>961</v>
      </c>
      <c r="J335" s="52"/>
    </row>
    <row r="336" spans="3:10">
      <c r="C336" s="23"/>
      <c r="D336" s="51" t="s">
        <v>1350</v>
      </c>
      <c r="E336" s="51" t="s">
        <v>1351</v>
      </c>
      <c r="F336" s="51" t="s">
        <v>868</v>
      </c>
      <c r="G336" s="24" t="s">
        <v>869</v>
      </c>
      <c r="H336" s="51" t="s">
        <v>870</v>
      </c>
      <c r="I336" s="51" t="s">
        <v>871</v>
      </c>
      <c r="J336" s="52"/>
    </row>
    <row r="337" spans="3:10">
      <c r="C337" s="23"/>
      <c r="D337" s="51" t="s">
        <v>1352</v>
      </c>
      <c r="E337" s="51" t="s">
        <v>1353</v>
      </c>
      <c r="F337" s="51" t="s">
        <v>868</v>
      </c>
      <c r="G337" s="24" t="s">
        <v>869</v>
      </c>
      <c r="H337" s="51" t="s">
        <v>870</v>
      </c>
      <c r="I337" s="51" t="s">
        <v>871</v>
      </c>
      <c r="J337" s="52"/>
    </row>
    <row r="338" spans="3:10">
      <c r="C338" s="23"/>
      <c r="D338" s="51" t="s">
        <v>1354</v>
      </c>
      <c r="E338" s="51" t="s">
        <v>1355</v>
      </c>
      <c r="F338" s="51" t="s">
        <v>868</v>
      </c>
      <c r="G338" s="24" t="s">
        <v>869</v>
      </c>
      <c r="H338" s="51" t="s">
        <v>870</v>
      </c>
      <c r="I338" s="51" t="s">
        <v>871</v>
      </c>
      <c r="J338" s="52"/>
    </row>
    <row r="339" spans="3:10">
      <c r="C339" s="23"/>
      <c r="D339" s="51" t="s">
        <v>1356</v>
      </c>
      <c r="E339" s="51" t="s">
        <v>1357</v>
      </c>
      <c r="F339" s="51" t="s">
        <v>868</v>
      </c>
      <c r="G339" s="25" t="s">
        <v>881</v>
      </c>
      <c r="H339" s="51" t="s">
        <v>870</v>
      </c>
      <c r="I339" s="51" t="s">
        <v>871</v>
      </c>
      <c r="J339" s="52"/>
    </row>
    <row r="340" spans="3:10">
      <c r="C340" s="23"/>
      <c r="D340" s="51" t="s">
        <v>512</v>
      </c>
      <c r="E340" s="51" t="s">
        <v>1358</v>
      </c>
      <c r="F340" s="51" t="s">
        <v>868</v>
      </c>
      <c r="G340" s="24" t="s">
        <v>869</v>
      </c>
      <c r="H340" s="51" t="s">
        <v>870</v>
      </c>
      <c r="I340" s="51" t="s">
        <v>871</v>
      </c>
      <c r="J340" s="52"/>
    </row>
    <row r="341" spans="3:10">
      <c r="C341" s="23"/>
      <c r="D341" s="51" t="s">
        <v>1359</v>
      </c>
      <c r="E341" s="51" t="s">
        <v>1360</v>
      </c>
      <c r="F341" s="51" t="s">
        <v>868</v>
      </c>
      <c r="G341" s="25" t="s">
        <v>881</v>
      </c>
      <c r="H341" s="51" t="s">
        <v>870</v>
      </c>
      <c r="I341" s="51" t="s">
        <v>871</v>
      </c>
      <c r="J341" s="52"/>
    </row>
    <row r="342" spans="3:10">
      <c r="C342" s="23"/>
      <c r="D342" s="51" t="s">
        <v>1361</v>
      </c>
      <c r="E342" s="51" t="s">
        <v>1362</v>
      </c>
      <c r="F342" s="51" t="s">
        <v>868</v>
      </c>
      <c r="G342" s="24" t="s">
        <v>869</v>
      </c>
      <c r="H342" s="51" t="s">
        <v>870</v>
      </c>
      <c r="I342" s="51" t="s">
        <v>871</v>
      </c>
      <c r="J342" s="52"/>
    </row>
    <row r="343" spans="3:10">
      <c r="C343" s="23"/>
      <c r="D343" s="51" t="s">
        <v>514</v>
      </c>
      <c r="E343" s="51" t="s">
        <v>1363</v>
      </c>
      <c r="F343" s="51" t="s">
        <v>868</v>
      </c>
      <c r="G343" s="24" t="s">
        <v>869</v>
      </c>
      <c r="H343" s="51" t="s">
        <v>870</v>
      </c>
      <c r="I343" s="51" t="s">
        <v>871</v>
      </c>
      <c r="J343" s="52"/>
    </row>
    <row r="344" spans="3:10">
      <c r="C344" s="23"/>
      <c r="D344" s="51" t="s">
        <v>516</v>
      </c>
      <c r="E344" s="51" t="s">
        <v>1364</v>
      </c>
      <c r="F344" s="51" t="s">
        <v>868</v>
      </c>
      <c r="G344" s="24" t="s">
        <v>869</v>
      </c>
      <c r="H344" s="51" t="s">
        <v>870</v>
      </c>
      <c r="I344" s="51" t="s">
        <v>871</v>
      </c>
      <c r="J344" s="52"/>
    </row>
    <row r="345" spans="3:10">
      <c r="C345" s="23"/>
      <c r="D345" s="51" t="s">
        <v>518</v>
      </c>
      <c r="E345" s="51" t="s">
        <v>1365</v>
      </c>
      <c r="F345" s="51" t="s">
        <v>880</v>
      </c>
      <c r="G345" s="24" t="s">
        <v>869</v>
      </c>
      <c r="H345" s="51" t="s">
        <v>870</v>
      </c>
      <c r="I345" s="51" t="s">
        <v>871</v>
      </c>
      <c r="J345" s="52"/>
    </row>
    <row r="346" spans="3:10">
      <c r="C346" s="23"/>
      <c r="D346" s="51" t="s">
        <v>521</v>
      </c>
      <c r="E346" s="51" t="s">
        <v>1366</v>
      </c>
      <c r="F346" s="51" t="s">
        <v>868</v>
      </c>
      <c r="G346" s="24" t="s">
        <v>869</v>
      </c>
      <c r="H346" s="51" t="s">
        <v>870</v>
      </c>
      <c r="I346" s="51" t="s">
        <v>871</v>
      </c>
      <c r="J346" s="52"/>
    </row>
    <row r="347" spans="3:10">
      <c r="C347" s="23"/>
      <c r="D347" s="51" t="s">
        <v>1367</v>
      </c>
      <c r="E347" s="51" t="s">
        <v>1368</v>
      </c>
      <c r="F347" s="51" t="s">
        <v>868</v>
      </c>
      <c r="G347" s="24" t="s">
        <v>869</v>
      </c>
      <c r="H347" s="51" t="s">
        <v>870</v>
      </c>
      <c r="I347" s="51" t="s">
        <v>871</v>
      </c>
      <c r="J347" s="52"/>
    </row>
    <row r="348" spans="3:10">
      <c r="C348" s="23"/>
      <c r="D348" s="51" t="s">
        <v>523</v>
      </c>
      <c r="E348" s="51" t="s">
        <v>1369</v>
      </c>
      <c r="F348" s="51" t="s">
        <v>868</v>
      </c>
      <c r="G348" s="24" t="s">
        <v>869</v>
      </c>
      <c r="H348" s="51" t="s">
        <v>870</v>
      </c>
      <c r="I348" s="51" t="s">
        <v>871</v>
      </c>
      <c r="J348" s="52"/>
    </row>
    <row r="349" spans="3:10">
      <c r="C349" s="23"/>
      <c r="D349" s="51" t="s">
        <v>1370</v>
      </c>
      <c r="E349" s="51" t="s">
        <v>1371</v>
      </c>
      <c r="F349" s="51" t="s">
        <v>868</v>
      </c>
      <c r="G349" s="25" t="s">
        <v>881</v>
      </c>
      <c r="H349" s="51" t="s">
        <v>870</v>
      </c>
      <c r="I349" s="51" t="s">
        <v>871</v>
      </c>
      <c r="J349" s="52"/>
    </row>
    <row r="350" spans="3:10">
      <c r="C350" s="23"/>
      <c r="D350" s="51" t="s">
        <v>526</v>
      </c>
      <c r="E350" s="51" t="s">
        <v>1372</v>
      </c>
      <c r="F350" s="51" t="s">
        <v>868</v>
      </c>
      <c r="G350" s="24" t="s">
        <v>869</v>
      </c>
      <c r="H350" s="51" t="s">
        <v>870</v>
      </c>
      <c r="I350" s="51" t="s">
        <v>871</v>
      </c>
      <c r="J350" s="52"/>
    </row>
    <row r="351" spans="3:10">
      <c r="C351" s="23"/>
      <c r="D351" s="51" t="s">
        <v>1373</v>
      </c>
      <c r="E351" s="51" t="s">
        <v>1374</v>
      </c>
      <c r="F351" s="51" t="s">
        <v>880</v>
      </c>
      <c r="G351" s="26" t="s">
        <v>892</v>
      </c>
      <c r="H351" s="51" t="s">
        <v>870</v>
      </c>
      <c r="I351" s="51" t="s">
        <v>871</v>
      </c>
      <c r="J351" s="52"/>
    </row>
    <row r="352" spans="3:10">
      <c r="C352" s="23"/>
      <c r="D352" s="51" t="s">
        <v>528</v>
      </c>
      <c r="E352" s="51" t="s">
        <v>1375</v>
      </c>
      <c r="F352" s="51" t="s">
        <v>868</v>
      </c>
      <c r="G352" s="24" t="s">
        <v>869</v>
      </c>
      <c r="H352" s="51" t="s">
        <v>870</v>
      </c>
      <c r="I352" s="51" t="s">
        <v>871</v>
      </c>
      <c r="J352" s="52"/>
    </row>
    <row r="353" spans="3:10">
      <c r="C353" s="23"/>
      <c r="D353" s="51" t="s">
        <v>1376</v>
      </c>
      <c r="E353" s="51" t="s">
        <v>1377</v>
      </c>
      <c r="F353" s="51" t="s">
        <v>868</v>
      </c>
      <c r="G353" s="25" t="s">
        <v>881</v>
      </c>
      <c r="H353" s="51" t="s">
        <v>870</v>
      </c>
      <c r="I353" s="51" t="s">
        <v>871</v>
      </c>
      <c r="J353" s="52"/>
    </row>
    <row r="354" spans="3:10">
      <c r="C354" s="23"/>
      <c r="D354" s="51" t="s">
        <v>531</v>
      </c>
      <c r="E354" s="51" t="s">
        <v>1378</v>
      </c>
      <c r="F354" s="51" t="s">
        <v>868</v>
      </c>
      <c r="G354" s="24" t="s">
        <v>869</v>
      </c>
      <c r="H354" s="51" t="s">
        <v>870</v>
      </c>
      <c r="I354" s="51" t="s">
        <v>871</v>
      </c>
      <c r="J354" s="52"/>
    </row>
    <row r="355" spans="3:10">
      <c r="C355" s="27"/>
      <c r="D355" s="53" t="s">
        <v>533</v>
      </c>
      <c r="E355" s="53" t="s">
        <v>1379</v>
      </c>
      <c r="F355" s="53" t="s">
        <v>868</v>
      </c>
      <c r="G355" s="28" t="s">
        <v>869</v>
      </c>
      <c r="H355" s="53" t="s">
        <v>870</v>
      </c>
      <c r="I355" s="53" t="s">
        <v>871</v>
      </c>
      <c r="J355" s="54"/>
    </row>
    <row r="356" spans="3:10">
      <c r="C356" s="23"/>
      <c r="D356" s="51" t="s">
        <v>1380</v>
      </c>
      <c r="E356" s="51" t="s">
        <v>1381</v>
      </c>
      <c r="F356" s="51" t="s">
        <v>868</v>
      </c>
      <c r="G356" s="24" t="s">
        <v>869</v>
      </c>
      <c r="H356" s="51" t="s">
        <v>870</v>
      </c>
      <c r="I356" s="51" t="s">
        <v>871</v>
      </c>
      <c r="J356" s="52"/>
    </row>
    <row r="357" spans="3:10">
      <c r="C357" s="23"/>
      <c r="D357" s="51" t="s">
        <v>535</v>
      </c>
      <c r="E357" s="51" t="s">
        <v>1382</v>
      </c>
      <c r="F357" s="51" t="s">
        <v>868</v>
      </c>
      <c r="G357" s="24" t="s">
        <v>869</v>
      </c>
      <c r="H357" s="51" t="s">
        <v>870</v>
      </c>
      <c r="I357" s="51" t="s">
        <v>871</v>
      </c>
      <c r="J357" s="52"/>
    </row>
    <row r="358" spans="3:10">
      <c r="C358" s="23"/>
      <c r="D358" s="51" t="s">
        <v>537</v>
      </c>
      <c r="E358" s="51" t="s">
        <v>1383</v>
      </c>
      <c r="F358" s="51" t="s">
        <v>868</v>
      </c>
      <c r="G358" s="24" t="s">
        <v>869</v>
      </c>
      <c r="H358" s="51" t="s">
        <v>870</v>
      </c>
      <c r="I358" s="51" t="s">
        <v>871</v>
      </c>
      <c r="J358" s="52"/>
    </row>
    <row r="359" spans="3:10">
      <c r="C359" s="23"/>
      <c r="D359" s="51" t="s">
        <v>1384</v>
      </c>
      <c r="E359" s="51" t="s">
        <v>1385</v>
      </c>
      <c r="F359" s="51" t="s">
        <v>868</v>
      </c>
      <c r="G359" s="26" t="s">
        <v>892</v>
      </c>
      <c r="H359" s="51" t="s">
        <v>870</v>
      </c>
      <c r="I359" s="51" t="s">
        <v>871</v>
      </c>
      <c r="J359" s="52"/>
    </row>
    <row r="360" spans="3:10">
      <c r="C360" s="23"/>
      <c r="D360" s="51" t="s">
        <v>539</v>
      </c>
      <c r="E360" s="51" t="s">
        <v>1386</v>
      </c>
      <c r="F360" s="51" t="s">
        <v>868</v>
      </c>
      <c r="G360" s="24" t="s">
        <v>869</v>
      </c>
      <c r="H360" s="51" t="s">
        <v>870</v>
      </c>
      <c r="I360" s="51" t="s">
        <v>871</v>
      </c>
      <c r="J360" s="52"/>
    </row>
    <row r="361" spans="3:10">
      <c r="C361" s="23"/>
      <c r="D361" s="51" t="s">
        <v>541</v>
      </c>
      <c r="E361" s="51" t="s">
        <v>1387</v>
      </c>
      <c r="F361" s="51" t="s">
        <v>868</v>
      </c>
      <c r="G361" s="24" t="s">
        <v>869</v>
      </c>
      <c r="H361" s="51" t="s">
        <v>870</v>
      </c>
      <c r="I361" s="51" t="s">
        <v>871</v>
      </c>
      <c r="J361" s="52"/>
    </row>
    <row r="362" spans="3:10">
      <c r="C362" s="23"/>
      <c r="D362" s="51" t="s">
        <v>39</v>
      </c>
      <c r="E362" s="51" t="s">
        <v>1388</v>
      </c>
      <c r="F362" s="51" t="s">
        <v>880</v>
      </c>
      <c r="G362" s="24" t="s">
        <v>869</v>
      </c>
      <c r="H362" s="51" t="s">
        <v>870</v>
      </c>
      <c r="I362" s="51" t="s">
        <v>871</v>
      </c>
      <c r="J362" s="52"/>
    </row>
    <row r="363" spans="3:10">
      <c r="C363" s="23"/>
      <c r="D363" s="51" t="s">
        <v>544</v>
      </c>
      <c r="E363" s="51" t="s">
        <v>1389</v>
      </c>
      <c r="F363" s="51" t="s">
        <v>880</v>
      </c>
      <c r="G363" s="24" t="s">
        <v>869</v>
      </c>
      <c r="H363" s="51" t="s">
        <v>870</v>
      </c>
      <c r="I363" s="51" t="s">
        <v>871</v>
      </c>
      <c r="J363" s="52"/>
    </row>
    <row r="364" spans="3:10">
      <c r="C364" s="23"/>
      <c r="D364" s="51" t="s">
        <v>546</v>
      </c>
      <c r="E364" s="51" t="s">
        <v>1390</v>
      </c>
      <c r="F364" s="51" t="s">
        <v>880</v>
      </c>
      <c r="G364" s="24" t="s">
        <v>869</v>
      </c>
      <c r="H364" s="51" t="s">
        <v>870</v>
      </c>
      <c r="I364" s="51" t="s">
        <v>871</v>
      </c>
      <c r="J364" s="52"/>
    </row>
    <row r="365" spans="3:10">
      <c r="C365" s="23"/>
      <c r="D365" s="51" t="s">
        <v>1391</v>
      </c>
      <c r="E365" s="51" t="s">
        <v>1392</v>
      </c>
      <c r="F365" s="51" t="s">
        <v>868</v>
      </c>
      <c r="G365" s="25" t="s">
        <v>881</v>
      </c>
      <c r="H365" s="51" t="s">
        <v>870</v>
      </c>
      <c r="I365" s="51" t="s">
        <v>871</v>
      </c>
      <c r="J365" s="52"/>
    </row>
    <row r="366" spans="3:10">
      <c r="C366" s="23"/>
      <c r="D366" s="51" t="s">
        <v>1393</v>
      </c>
      <c r="E366" s="51" t="s">
        <v>1394</v>
      </c>
      <c r="F366" s="51" t="s">
        <v>868</v>
      </c>
      <c r="G366" s="25" t="s">
        <v>881</v>
      </c>
      <c r="H366" s="51" t="s">
        <v>870</v>
      </c>
      <c r="I366" s="51" t="s">
        <v>871</v>
      </c>
      <c r="J366" s="52"/>
    </row>
    <row r="367" spans="3:10">
      <c r="C367" s="23"/>
      <c r="D367" s="51" t="s">
        <v>548</v>
      </c>
      <c r="E367" s="51" t="s">
        <v>1395</v>
      </c>
      <c r="F367" s="51" t="s">
        <v>868</v>
      </c>
      <c r="G367" s="24" t="s">
        <v>869</v>
      </c>
      <c r="H367" s="51" t="s">
        <v>870</v>
      </c>
      <c r="I367" s="51" t="s">
        <v>871</v>
      </c>
      <c r="J367" s="52"/>
    </row>
    <row r="368" spans="3:10">
      <c r="C368" s="23"/>
      <c r="D368" s="51" t="s">
        <v>551</v>
      </c>
      <c r="E368" s="51" t="s">
        <v>1396</v>
      </c>
      <c r="F368" s="51" t="s">
        <v>868</v>
      </c>
      <c r="G368" s="24" t="s">
        <v>869</v>
      </c>
      <c r="H368" s="51" t="s">
        <v>870</v>
      </c>
      <c r="I368" s="51" t="s">
        <v>871</v>
      </c>
      <c r="J368" s="52"/>
    </row>
    <row r="369" spans="3:10">
      <c r="C369" s="23"/>
      <c r="D369" s="51" t="s">
        <v>1397</v>
      </c>
      <c r="E369" s="51" t="s">
        <v>1398</v>
      </c>
      <c r="F369" s="51" t="s">
        <v>868</v>
      </c>
      <c r="G369" s="24" t="s">
        <v>869</v>
      </c>
      <c r="H369" s="51" t="s">
        <v>870</v>
      </c>
      <c r="I369" s="51" t="s">
        <v>871</v>
      </c>
      <c r="J369" s="52"/>
    </row>
    <row r="370" spans="3:10">
      <c r="C370" s="23"/>
      <c r="D370" s="51" t="s">
        <v>1399</v>
      </c>
      <c r="E370" s="51" t="s">
        <v>1400</v>
      </c>
      <c r="F370" s="51" t="s">
        <v>868</v>
      </c>
      <c r="G370" s="25" t="s">
        <v>881</v>
      </c>
      <c r="H370" s="51" t="s">
        <v>870</v>
      </c>
      <c r="I370" s="51" t="s">
        <v>871</v>
      </c>
      <c r="J370" s="52"/>
    </row>
    <row r="371" spans="3:10">
      <c r="C371" s="23"/>
      <c r="D371" s="51" t="s">
        <v>1401</v>
      </c>
      <c r="E371" s="51" t="s">
        <v>1402</v>
      </c>
      <c r="F371" s="51" t="s">
        <v>960</v>
      </c>
      <c r="G371" s="24" t="s">
        <v>869</v>
      </c>
      <c r="H371" s="51" t="s">
        <v>870</v>
      </c>
      <c r="I371" s="51" t="s">
        <v>961</v>
      </c>
      <c r="J371" s="52"/>
    </row>
    <row r="372" spans="3:10">
      <c r="C372" s="23"/>
      <c r="D372" s="51" t="s">
        <v>1403</v>
      </c>
      <c r="E372" s="51" t="s">
        <v>1404</v>
      </c>
      <c r="F372" s="51" t="s">
        <v>868</v>
      </c>
      <c r="G372" s="25" t="s">
        <v>881</v>
      </c>
      <c r="H372" s="51" t="s">
        <v>870</v>
      </c>
      <c r="I372" s="51" t="s">
        <v>871</v>
      </c>
      <c r="J372" s="52"/>
    </row>
    <row r="373" spans="3:10">
      <c r="C373" s="23"/>
      <c r="D373" s="51" t="s">
        <v>1405</v>
      </c>
      <c r="E373" s="51" t="s">
        <v>1406</v>
      </c>
      <c r="F373" s="51" t="s">
        <v>868</v>
      </c>
      <c r="G373" s="24" t="s">
        <v>869</v>
      </c>
      <c r="H373" s="51" t="s">
        <v>870</v>
      </c>
      <c r="I373" s="51" t="s">
        <v>871</v>
      </c>
      <c r="J373" s="52"/>
    </row>
    <row r="374" spans="3:10">
      <c r="C374" s="23"/>
      <c r="D374" s="51" t="s">
        <v>1407</v>
      </c>
      <c r="E374" s="51" t="s">
        <v>1408</v>
      </c>
      <c r="F374" s="51" t="s">
        <v>868</v>
      </c>
      <c r="G374" s="24" t="s">
        <v>869</v>
      </c>
      <c r="H374" s="51" t="s">
        <v>870</v>
      </c>
      <c r="I374" s="51" t="s">
        <v>871</v>
      </c>
      <c r="J374" s="52"/>
    </row>
    <row r="375" spans="3:10">
      <c r="C375" s="23"/>
      <c r="D375" s="51" t="s">
        <v>553</v>
      </c>
      <c r="E375" s="51" t="s">
        <v>1409</v>
      </c>
      <c r="F375" s="51" t="s">
        <v>868</v>
      </c>
      <c r="G375" s="24" t="s">
        <v>869</v>
      </c>
      <c r="H375" s="51" t="s">
        <v>870</v>
      </c>
      <c r="I375" s="51" t="s">
        <v>871</v>
      </c>
      <c r="J375" s="52"/>
    </row>
    <row r="376" spans="3:10">
      <c r="C376" s="23"/>
      <c r="D376" s="51" t="s">
        <v>1410</v>
      </c>
      <c r="E376" s="51" t="s">
        <v>1411</v>
      </c>
      <c r="F376" s="51" t="s">
        <v>868</v>
      </c>
      <c r="G376" s="24" t="s">
        <v>869</v>
      </c>
      <c r="H376" s="51" t="s">
        <v>870</v>
      </c>
      <c r="I376" s="51" t="s">
        <v>871</v>
      </c>
      <c r="J376" s="52"/>
    </row>
    <row r="377" spans="3:10">
      <c r="C377" s="23"/>
      <c r="D377" s="51" t="s">
        <v>555</v>
      </c>
      <c r="E377" s="51" t="s">
        <v>1412</v>
      </c>
      <c r="F377" s="51" t="s">
        <v>868</v>
      </c>
      <c r="G377" s="24" t="s">
        <v>869</v>
      </c>
      <c r="H377" s="51" t="s">
        <v>870</v>
      </c>
      <c r="I377" s="51" t="s">
        <v>871</v>
      </c>
      <c r="J377" s="52"/>
    </row>
    <row r="378" spans="3:10">
      <c r="C378" s="23"/>
      <c r="D378" s="51" t="s">
        <v>557</v>
      </c>
      <c r="E378" s="51" t="s">
        <v>1413</v>
      </c>
      <c r="F378" s="51" t="s">
        <v>868</v>
      </c>
      <c r="G378" s="24" t="s">
        <v>869</v>
      </c>
      <c r="H378" s="51" t="s">
        <v>870</v>
      </c>
      <c r="I378" s="51" t="s">
        <v>871</v>
      </c>
      <c r="J378" s="52"/>
    </row>
    <row r="379" spans="3:10">
      <c r="C379" s="23"/>
      <c r="D379" s="51" t="s">
        <v>1414</v>
      </c>
      <c r="E379" s="51" t="s">
        <v>1415</v>
      </c>
      <c r="F379" s="51" t="s">
        <v>868</v>
      </c>
      <c r="G379" s="25" t="s">
        <v>881</v>
      </c>
      <c r="H379" s="51" t="s">
        <v>870</v>
      </c>
      <c r="I379" s="51" t="s">
        <v>871</v>
      </c>
      <c r="J379" s="52"/>
    </row>
    <row r="380" spans="3:10">
      <c r="C380" s="23"/>
      <c r="D380" s="51" t="s">
        <v>559</v>
      </c>
      <c r="E380" s="51" t="s">
        <v>1416</v>
      </c>
      <c r="F380" s="51" t="s">
        <v>868</v>
      </c>
      <c r="G380" s="24" t="s">
        <v>869</v>
      </c>
      <c r="H380" s="51" t="s">
        <v>870</v>
      </c>
      <c r="I380" s="51" t="s">
        <v>871</v>
      </c>
      <c r="J380" s="52"/>
    </row>
    <row r="381" spans="3:10">
      <c r="C381" s="23"/>
      <c r="D381" s="51" t="s">
        <v>561</v>
      </c>
      <c r="E381" s="51" t="s">
        <v>1417</v>
      </c>
      <c r="F381" s="51" t="s">
        <v>868</v>
      </c>
      <c r="G381" s="24" t="s">
        <v>869</v>
      </c>
      <c r="H381" s="51" t="s">
        <v>870</v>
      </c>
      <c r="I381" s="51" t="s">
        <v>871</v>
      </c>
      <c r="J381" s="52"/>
    </row>
    <row r="382" spans="3:10">
      <c r="C382" s="23"/>
      <c r="D382" s="51" t="s">
        <v>563</v>
      </c>
      <c r="E382" s="51" t="s">
        <v>1418</v>
      </c>
      <c r="F382" s="51" t="s">
        <v>868</v>
      </c>
      <c r="G382" s="24" t="s">
        <v>869</v>
      </c>
      <c r="H382" s="51" t="s">
        <v>870</v>
      </c>
      <c r="I382" s="51" t="s">
        <v>871</v>
      </c>
      <c r="J382" s="52"/>
    </row>
    <row r="383" spans="3:10">
      <c r="C383" s="23"/>
      <c r="D383" s="51" t="s">
        <v>565</v>
      </c>
      <c r="E383" s="51" t="s">
        <v>1419</v>
      </c>
      <c r="F383" s="51" t="s">
        <v>868</v>
      </c>
      <c r="G383" s="24" t="s">
        <v>869</v>
      </c>
      <c r="H383" s="51" t="s">
        <v>870</v>
      </c>
      <c r="I383" s="51" t="s">
        <v>871</v>
      </c>
      <c r="J383" s="52"/>
    </row>
    <row r="384" spans="3:10">
      <c r="C384" s="23"/>
      <c r="D384" s="51" t="s">
        <v>568</v>
      </c>
      <c r="E384" s="51" t="s">
        <v>1420</v>
      </c>
      <c r="F384" s="51" t="s">
        <v>868</v>
      </c>
      <c r="G384" s="24" t="s">
        <v>869</v>
      </c>
      <c r="H384" s="51" t="s">
        <v>870</v>
      </c>
      <c r="I384" s="51" t="s">
        <v>871</v>
      </c>
      <c r="J384" s="52"/>
    </row>
    <row r="385" spans="3:10">
      <c r="C385" s="23"/>
      <c r="D385" s="51" t="s">
        <v>570</v>
      </c>
      <c r="E385" s="51" t="s">
        <v>1421</v>
      </c>
      <c r="F385" s="51" t="s">
        <v>868</v>
      </c>
      <c r="G385" s="24" t="s">
        <v>869</v>
      </c>
      <c r="H385" s="51" t="s">
        <v>870</v>
      </c>
      <c r="I385" s="51" t="s">
        <v>871</v>
      </c>
      <c r="J385" s="52"/>
    </row>
    <row r="386" spans="3:10">
      <c r="C386" s="23"/>
      <c r="D386" s="51" t="s">
        <v>1422</v>
      </c>
      <c r="E386" s="51" t="s">
        <v>1423</v>
      </c>
      <c r="F386" s="51" t="s">
        <v>868</v>
      </c>
      <c r="G386" s="25" t="s">
        <v>881</v>
      </c>
      <c r="H386" s="51" t="s">
        <v>870</v>
      </c>
      <c r="I386" s="51" t="s">
        <v>871</v>
      </c>
      <c r="J386" s="52"/>
    </row>
    <row r="387" spans="3:10">
      <c r="C387" s="23"/>
      <c r="D387" s="51" t="s">
        <v>572</v>
      </c>
      <c r="E387" s="51" t="s">
        <v>1424</v>
      </c>
      <c r="F387" s="51" t="s">
        <v>868</v>
      </c>
      <c r="G387" s="24" t="s">
        <v>869</v>
      </c>
      <c r="H387" s="51" t="s">
        <v>870</v>
      </c>
      <c r="I387" s="51" t="s">
        <v>871</v>
      </c>
      <c r="J387" s="52"/>
    </row>
    <row r="388" spans="3:10">
      <c r="C388" s="23"/>
      <c r="D388" s="51" t="s">
        <v>574</v>
      </c>
      <c r="E388" s="51" t="s">
        <v>1425</v>
      </c>
      <c r="F388" s="51" t="s">
        <v>868</v>
      </c>
      <c r="G388" s="24" t="s">
        <v>869</v>
      </c>
      <c r="H388" s="51" t="s">
        <v>870</v>
      </c>
      <c r="I388" s="51" t="s">
        <v>871</v>
      </c>
      <c r="J388" s="52"/>
    </row>
    <row r="389" spans="3:10">
      <c r="C389" s="23"/>
      <c r="D389" s="51" t="s">
        <v>576</v>
      </c>
      <c r="E389" s="51" t="s">
        <v>1426</v>
      </c>
      <c r="F389" s="51" t="s">
        <v>868</v>
      </c>
      <c r="G389" s="24" t="s">
        <v>869</v>
      </c>
      <c r="H389" s="51" t="s">
        <v>870</v>
      </c>
      <c r="I389" s="51" t="s">
        <v>871</v>
      </c>
      <c r="J389" s="52"/>
    </row>
    <row r="390" spans="3:10">
      <c r="C390" s="23"/>
      <c r="D390" s="51" t="s">
        <v>578</v>
      </c>
      <c r="E390" s="51" t="s">
        <v>1427</v>
      </c>
      <c r="F390" s="51" t="s">
        <v>868</v>
      </c>
      <c r="G390" s="24" t="s">
        <v>869</v>
      </c>
      <c r="H390" s="51" t="s">
        <v>870</v>
      </c>
      <c r="I390" s="51" t="s">
        <v>871</v>
      </c>
      <c r="J390" s="52"/>
    </row>
    <row r="391" spans="3:10">
      <c r="C391" s="23"/>
      <c r="D391" s="51" t="s">
        <v>1428</v>
      </c>
      <c r="E391" s="51" t="s">
        <v>1429</v>
      </c>
      <c r="F391" s="51" t="s">
        <v>868</v>
      </c>
      <c r="G391" s="24" t="s">
        <v>869</v>
      </c>
      <c r="H391" s="51" t="s">
        <v>870</v>
      </c>
      <c r="I391" s="51" t="s">
        <v>871</v>
      </c>
      <c r="J391" s="52"/>
    </row>
    <row r="392" spans="3:10">
      <c r="C392" s="23"/>
      <c r="D392" s="51" t="s">
        <v>1430</v>
      </c>
      <c r="E392" s="51" t="s">
        <v>1431</v>
      </c>
      <c r="F392" s="51" t="s">
        <v>868</v>
      </c>
      <c r="G392" s="24" t="s">
        <v>869</v>
      </c>
      <c r="H392" s="51" t="s">
        <v>870</v>
      </c>
      <c r="I392" s="51" t="s">
        <v>871</v>
      </c>
      <c r="J392" s="52"/>
    </row>
    <row r="393" spans="3:10">
      <c r="C393" s="23"/>
      <c r="D393" s="51" t="s">
        <v>1432</v>
      </c>
      <c r="E393" s="51" t="s">
        <v>1433</v>
      </c>
      <c r="F393" s="51" t="s">
        <v>868</v>
      </c>
      <c r="G393" s="24" t="s">
        <v>869</v>
      </c>
      <c r="H393" s="51" t="s">
        <v>870</v>
      </c>
      <c r="I393" s="51" t="s">
        <v>871</v>
      </c>
      <c r="J393" s="52"/>
    </row>
    <row r="394" spans="3:10">
      <c r="C394" s="23"/>
      <c r="D394" s="51" t="s">
        <v>580</v>
      </c>
      <c r="E394" s="51" t="s">
        <v>1434</v>
      </c>
      <c r="F394" s="51" t="s">
        <v>868</v>
      </c>
      <c r="G394" s="24" t="s">
        <v>869</v>
      </c>
      <c r="H394" s="51" t="s">
        <v>870</v>
      </c>
      <c r="I394" s="51" t="s">
        <v>871</v>
      </c>
      <c r="J394" s="52"/>
    </row>
    <row r="395" spans="3:10">
      <c r="C395" s="23"/>
      <c r="D395" s="51" t="s">
        <v>1435</v>
      </c>
      <c r="E395" s="51" t="s">
        <v>1436</v>
      </c>
      <c r="F395" s="51" t="s">
        <v>868</v>
      </c>
      <c r="G395" s="24" t="s">
        <v>869</v>
      </c>
      <c r="H395" s="51" t="s">
        <v>870</v>
      </c>
      <c r="I395" s="51" t="s">
        <v>871</v>
      </c>
      <c r="J395" s="52"/>
    </row>
    <row r="396" spans="3:10">
      <c r="C396" s="23"/>
      <c r="D396" s="51" t="s">
        <v>1437</v>
      </c>
      <c r="E396" s="51" t="s">
        <v>1438</v>
      </c>
      <c r="F396" s="51" t="s">
        <v>868</v>
      </c>
      <c r="G396" s="24" t="s">
        <v>869</v>
      </c>
      <c r="H396" s="51" t="s">
        <v>870</v>
      </c>
      <c r="I396" s="51" t="s">
        <v>871</v>
      </c>
      <c r="J396" s="52"/>
    </row>
    <row r="397" spans="3:10">
      <c r="C397" s="23"/>
      <c r="D397" s="51" t="s">
        <v>1439</v>
      </c>
      <c r="E397" s="51" t="s">
        <v>1440</v>
      </c>
      <c r="F397" s="51" t="s">
        <v>868</v>
      </c>
      <c r="G397" s="24" t="s">
        <v>869</v>
      </c>
      <c r="H397" s="51" t="s">
        <v>870</v>
      </c>
      <c r="I397" s="51" t="s">
        <v>871</v>
      </c>
      <c r="J397" s="52"/>
    </row>
    <row r="398" spans="3:10">
      <c r="C398" s="23"/>
      <c r="D398" s="51" t="s">
        <v>582</v>
      </c>
      <c r="E398" s="51" t="s">
        <v>1441</v>
      </c>
      <c r="F398" s="51" t="s">
        <v>868</v>
      </c>
      <c r="G398" s="24" t="s">
        <v>869</v>
      </c>
      <c r="H398" s="51" t="s">
        <v>870</v>
      </c>
      <c r="I398" s="51" t="s">
        <v>871</v>
      </c>
      <c r="J398" s="52"/>
    </row>
    <row r="399" spans="3:10">
      <c r="C399" s="23"/>
      <c r="D399" s="51" t="s">
        <v>584</v>
      </c>
      <c r="E399" s="51" t="s">
        <v>1442</v>
      </c>
      <c r="F399" s="51" t="s">
        <v>868</v>
      </c>
      <c r="G399" s="24" t="s">
        <v>869</v>
      </c>
      <c r="H399" s="51" t="s">
        <v>870</v>
      </c>
      <c r="I399" s="51" t="s">
        <v>871</v>
      </c>
      <c r="J399" s="52"/>
    </row>
    <row r="400" spans="3:10">
      <c r="C400" s="23"/>
      <c r="D400" s="51" t="s">
        <v>1443</v>
      </c>
      <c r="E400" s="51" t="s">
        <v>1444</v>
      </c>
      <c r="F400" s="51" t="s">
        <v>868</v>
      </c>
      <c r="G400" s="25" t="s">
        <v>881</v>
      </c>
      <c r="H400" s="51" t="s">
        <v>870</v>
      </c>
      <c r="I400" s="51" t="s">
        <v>871</v>
      </c>
      <c r="J400" s="52"/>
    </row>
    <row r="401" spans="3:10">
      <c r="C401" s="23"/>
      <c r="D401" s="51" t="s">
        <v>586</v>
      </c>
      <c r="E401" s="51" t="s">
        <v>1445</v>
      </c>
      <c r="F401" s="51" t="s">
        <v>868</v>
      </c>
      <c r="G401" s="24" t="s">
        <v>869</v>
      </c>
      <c r="H401" s="51" t="s">
        <v>870</v>
      </c>
      <c r="I401" s="51" t="s">
        <v>871</v>
      </c>
      <c r="J401" s="52"/>
    </row>
    <row r="402" spans="3:10">
      <c r="C402" s="23"/>
      <c r="D402" s="51" t="s">
        <v>1446</v>
      </c>
      <c r="E402" s="51" t="s">
        <v>1447</v>
      </c>
      <c r="F402" s="51" t="s">
        <v>868</v>
      </c>
      <c r="G402" s="24" t="s">
        <v>869</v>
      </c>
      <c r="H402" s="51" t="s">
        <v>870</v>
      </c>
      <c r="I402" s="51" t="s">
        <v>871</v>
      </c>
      <c r="J402" s="52"/>
    </row>
    <row r="403" spans="3:10">
      <c r="C403" s="23"/>
      <c r="D403" s="51" t="s">
        <v>588</v>
      </c>
      <c r="E403" s="51" t="s">
        <v>1448</v>
      </c>
      <c r="F403" s="51" t="s">
        <v>868</v>
      </c>
      <c r="G403" s="24" t="s">
        <v>869</v>
      </c>
      <c r="H403" s="51" t="s">
        <v>870</v>
      </c>
      <c r="I403" s="51" t="s">
        <v>871</v>
      </c>
      <c r="J403" s="52"/>
    </row>
    <row r="404" spans="3:10">
      <c r="C404" s="23"/>
      <c r="D404" s="51" t="s">
        <v>591</v>
      </c>
      <c r="E404" s="51" t="s">
        <v>1449</v>
      </c>
      <c r="F404" s="51" t="s">
        <v>868</v>
      </c>
      <c r="G404" s="24" t="s">
        <v>869</v>
      </c>
      <c r="H404" s="51" t="s">
        <v>870</v>
      </c>
      <c r="I404" s="51" t="s">
        <v>871</v>
      </c>
      <c r="J404" s="52"/>
    </row>
    <row r="405" spans="3:10">
      <c r="C405" s="49"/>
      <c r="D405" s="55" t="s">
        <v>1450</v>
      </c>
      <c r="E405" s="32" t="s">
        <v>1451</v>
      </c>
      <c r="F405" s="55" t="s">
        <v>868</v>
      </c>
      <c r="G405" s="50" t="s">
        <v>869</v>
      </c>
      <c r="H405" s="55" t="s">
        <v>870</v>
      </c>
      <c r="I405" s="55" t="s">
        <v>871</v>
      </c>
      <c r="J405" s="56"/>
    </row>
    <row r="406" spans="3:10">
      <c r="C406" s="49"/>
      <c r="D406" s="55"/>
      <c r="E406" s="53" t="s">
        <v>1451</v>
      </c>
      <c r="F406" s="55"/>
      <c r="G406" s="50"/>
      <c r="H406" s="55"/>
      <c r="I406" s="55"/>
      <c r="J406" s="56"/>
    </row>
    <row r="407" spans="3:10">
      <c r="C407" s="23"/>
      <c r="D407" s="51" t="s">
        <v>1452</v>
      </c>
      <c r="E407" s="51" t="s">
        <v>1453</v>
      </c>
      <c r="F407" s="51" t="s">
        <v>868</v>
      </c>
      <c r="G407" s="24" t="s">
        <v>869</v>
      </c>
      <c r="H407" s="51" t="s">
        <v>870</v>
      </c>
      <c r="I407" s="51" t="s">
        <v>871</v>
      </c>
      <c r="J407" s="52"/>
    </row>
    <row r="408" spans="3:10">
      <c r="C408" s="23"/>
      <c r="D408" s="51" t="s">
        <v>1454</v>
      </c>
      <c r="E408" s="51" t="s">
        <v>1455</v>
      </c>
      <c r="F408" s="51" t="s">
        <v>868</v>
      </c>
      <c r="G408" s="24" t="s">
        <v>869</v>
      </c>
      <c r="H408" s="51" t="s">
        <v>870</v>
      </c>
      <c r="I408" s="51" t="s">
        <v>871</v>
      </c>
      <c r="J408" s="52"/>
    </row>
    <row r="409" spans="3:10">
      <c r="C409" s="23"/>
      <c r="D409" s="51" t="s">
        <v>593</v>
      </c>
      <c r="E409" s="51" t="s">
        <v>1456</v>
      </c>
      <c r="F409" s="51" t="s">
        <v>868</v>
      </c>
      <c r="G409" s="24" t="s">
        <v>869</v>
      </c>
      <c r="H409" s="51" t="s">
        <v>870</v>
      </c>
      <c r="I409" s="51" t="s">
        <v>871</v>
      </c>
      <c r="J409" s="52"/>
    </row>
    <row r="410" spans="3:10">
      <c r="C410" s="23"/>
      <c r="D410" s="51" t="s">
        <v>595</v>
      </c>
      <c r="E410" s="51" t="s">
        <v>1457</v>
      </c>
      <c r="F410" s="51" t="s">
        <v>868</v>
      </c>
      <c r="G410" s="24" t="s">
        <v>869</v>
      </c>
      <c r="H410" s="51" t="s">
        <v>870</v>
      </c>
      <c r="I410" s="51" t="s">
        <v>871</v>
      </c>
      <c r="J410" s="52"/>
    </row>
    <row r="411" spans="3:10">
      <c r="C411" s="23"/>
      <c r="D411" s="51" t="s">
        <v>597</v>
      </c>
      <c r="E411" s="51" t="s">
        <v>1458</v>
      </c>
      <c r="F411" s="51" t="s">
        <v>868</v>
      </c>
      <c r="G411" s="24" t="s">
        <v>869</v>
      </c>
      <c r="H411" s="51" t="s">
        <v>870</v>
      </c>
      <c r="I411" s="51" t="s">
        <v>871</v>
      </c>
      <c r="J411" s="52"/>
    </row>
    <row r="412" spans="3:10">
      <c r="C412" s="23"/>
      <c r="D412" s="51" t="s">
        <v>1459</v>
      </c>
      <c r="E412" s="51" t="s">
        <v>1460</v>
      </c>
      <c r="F412" s="51" t="s">
        <v>868</v>
      </c>
      <c r="G412" s="25" t="s">
        <v>881</v>
      </c>
      <c r="H412" s="51" t="s">
        <v>870</v>
      </c>
      <c r="I412" s="51" t="s">
        <v>871</v>
      </c>
      <c r="J412" s="52"/>
    </row>
    <row r="413" spans="3:10">
      <c r="C413" s="23"/>
      <c r="D413" s="51" t="s">
        <v>1461</v>
      </c>
      <c r="E413" s="51" t="s">
        <v>1462</v>
      </c>
      <c r="F413" s="51" t="s">
        <v>880</v>
      </c>
      <c r="G413" s="25" t="s">
        <v>881</v>
      </c>
      <c r="H413" s="51" t="s">
        <v>870</v>
      </c>
      <c r="I413" s="51" t="s">
        <v>871</v>
      </c>
      <c r="J413" s="52"/>
    </row>
    <row r="414" spans="3:10">
      <c r="C414" s="23"/>
      <c r="D414" s="51" t="s">
        <v>600</v>
      </c>
      <c r="E414" s="51" t="s">
        <v>1463</v>
      </c>
      <c r="F414" s="51" t="s">
        <v>868</v>
      </c>
      <c r="G414" s="24" t="s">
        <v>869</v>
      </c>
      <c r="H414" s="51" t="s">
        <v>870</v>
      </c>
      <c r="I414" s="51" t="s">
        <v>871</v>
      </c>
      <c r="J414" s="52"/>
    </row>
    <row r="415" spans="3:10">
      <c r="C415" s="23"/>
      <c r="D415" s="51" t="s">
        <v>1464</v>
      </c>
      <c r="E415" s="51" t="s">
        <v>1465</v>
      </c>
      <c r="F415" s="51" t="s">
        <v>868</v>
      </c>
      <c r="G415" s="24" t="s">
        <v>869</v>
      </c>
      <c r="H415" s="51" t="s">
        <v>870</v>
      </c>
      <c r="I415" s="51" t="s">
        <v>871</v>
      </c>
      <c r="J415" s="52"/>
    </row>
    <row r="416" spans="3:10">
      <c r="C416" s="23"/>
      <c r="D416" s="51" t="s">
        <v>1466</v>
      </c>
      <c r="E416" s="51" t="s">
        <v>1467</v>
      </c>
      <c r="F416" s="51" t="s">
        <v>880</v>
      </c>
      <c r="G416" s="25" t="s">
        <v>881</v>
      </c>
      <c r="H416" s="51" t="s">
        <v>870</v>
      </c>
      <c r="I416" s="51" t="s">
        <v>871</v>
      </c>
      <c r="J416" s="52"/>
    </row>
    <row r="417" spans="3:10">
      <c r="C417" s="23"/>
      <c r="D417" s="51" t="s">
        <v>603</v>
      </c>
      <c r="E417" s="51" t="s">
        <v>1468</v>
      </c>
      <c r="F417" s="51" t="s">
        <v>868</v>
      </c>
      <c r="G417" s="24" t="s">
        <v>869</v>
      </c>
      <c r="H417" s="51" t="s">
        <v>870</v>
      </c>
      <c r="I417" s="51" t="s">
        <v>871</v>
      </c>
      <c r="J417" s="52"/>
    </row>
    <row r="418" spans="3:10">
      <c r="C418" s="23"/>
      <c r="D418" s="51" t="s">
        <v>606</v>
      </c>
      <c r="E418" s="51" t="s">
        <v>1469</v>
      </c>
      <c r="F418" s="51" t="s">
        <v>880</v>
      </c>
      <c r="G418" s="24" t="s">
        <v>869</v>
      </c>
      <c r="H418" s="51" t="s">
        <v>870</v>
      </c>
      <c r="I418" s="51" t="s">
        <v>871</v>
      </c>
      <c r="J418" s="52"/>
    </row>
    <row r="419" spans="3:10">
      <c r="C419" s="23"/>
      <c r="D419" s="51" t="s">
        <v>608</v>
      </c>
      <c r="E419" s="51" t="s">
        <v>1470</v>
      </c>
      <c r="F419" s="51" t="s">
        <v>868</v>
      </c>
      <c r="G419" s="24" t="s">
        <v>869</v>
      </c>
      <c r="H419" s="51" t="s">
        <v>870</v>
      </c>
      <c r="I419" s="51" t="s">
        <v>871</v>
      </c>
      <c r="J419" s="52"/>
    </row>
    <row r="420" spans="3:10">
      <c r="C420" s="23"/>
      <c r="D420" s="51" t="s">
        <v>610</v>
      </c>
      <c r="E420" s="51" t="s">
        <v>1471</v>
      </c>
      <c r="F420" s="51" t="s">
        <v>868</v>
      </c>
      <c r="G420" s="24" t="s">
        <v>869</v>
      </c>
      <c r="H420" s="51" t="s">
        <v>870</v>
      </c>
      <c r="I420" s="51" t="s">
        <v>871</v>
      </c>
      <c r="J420" s="52"/>
    </row>
    <row r="421" spans="3:10">
      <c r="C421" s="23"/>
      <c r="D421" s="51" t="s">
        <v>1472</v>
      </c>
      <c r="E421" s="51" t="s">
        <v>1473</v>
      </c>
      <c r="F421" s="51" t="s">
        <v>868</v>
      </c>
      <c r="G421" s="25" t="s">
        <v>881</v>
      </c>
      <c r="H421" s="51" t="s">
        <v>870</v>
      </c>
      <c r="I421" s="51" t="s">
        <v>871</v>
      </c>
      <c r="J421" s="52"/>
    </row>
    <row r="422" spans="3:10">
      <c r="C422" s="23"/>
      <c r="D422" s="51" t="s">
        <v>1474</v>
      </c>
      <c r="E422" s="51" t="s">
        <v>1475</v>
      </c>
      <c r="F422" s="51" t="s">
        <v>868</v>
      </c>
      <c r="G422" s="24" t="s">
        <v>869</v>
      </c>
      <c r="H422" s="51" t="s">
        <v>870</v>
      </c>
      <c r="I422" s="51" t="s">
        <v>871</v>
      </c>
      <c r="J422" s="52"/>
    </row>
    <row r="423" spans="3:10">
      <c r="C423" s="23"/>
      <c r="D423" s="51" t="s">
        <v>613</v>
      </c>
      <c r="E423" s="51" t="s">
        <v>1476</v>
      </c>
      <c r="F423" s="51" t="s">
        <v>868</v>
      </c>
      <c r="G423" s="24" t="s">
        <v>869</v>
      </c>
      <c r="H423" s="51" t="s">
        <v>870</v>
      </c>
      <c r="I423" s="51" t="s">
        <v>871</v>
      </c>
      <c r="J423" s="52"/>
    </row>
    <row r="424" spans="3:10">
      <c r="C424" s="23"/>
      <c r="D424" s="51" t="s">
        <v>615</v>
      </c>
      <c r="E424" s="51" t="s">
        <v>1477</v>
      </c>
      <c r="F424" s="51" t="s">
        <v>868</v>
      </c>
      <c r="G424" s="24" t="s">
        <v>869</v>
      </c>
      <c r="H424" s="51" t="s">
        <v>870</v>
      </c>
      <c r="I424" s="51" t="s">
        <v>871</v>
      </c>
      <c r="J424" s="52"/>
    </row>
    <row r="425" spans="3:10">
      <c r="C425" s="23"/>
      <c r="D425" s="51" t="s">
        <v>1478</v>
      </c>
      <c r="E425" s="51" t="s">
        <v>1479</v>
      </c>
      <c r="F425" s="51" t="s">
        <v>868</v>
      </c>
      <c r="G425" s="24" t="s">
        <v>869</v>
      </c>
      <c r="H425" s="51" t="s">
        <v>870</v>
      </c>
      <c r="I425" s="51" t="s">
        <v>871</v>
      </c>
      <c r="J425" s="52"/>
    </row>
    <row r="426" spans="3:10">
      <c r="C426" s="23"/>
      <c r="D426" s="51" t="s">
        <v>1480</v>
      </c>
      <c r="E426" s="51" t="s">
        <v>1481</v>
      </c>
      <c r="F426" s="51" t="s">
        <v>868</v>
      </c>
      <c r="G426" s="25" t="s">
        <v>881</v>
      </c>
      <c r="H426" s="51" t="s">
        <v>870</v>
      </c>
      <c r="I426" s="51" t="s">
        <v>871</v>
      </c>
      <c r="J426" s="52"/>
    </row>
    <row r="427" spans="3:10">
      <c r="C427" s="23"/>
      <c r="D427" s="51" t="s">
        <v>1482</v>
      </c>
      <c r="E427" s="51" t="s">
        <v>1483</v>
      </c>
      <c r="F427" s="51" t="s">
        <v>868</v>
      </c>
      <c r="G427" s="24" t="s">
        <v>869</v>
      </c>
      <c r="H427" s="51" t="s">
        <v>870</v>
      </c>
      <c r="I427" s="51" t="s">
        <v>871</v>
      </c>
      <c r="J427" s="52"/>
    </row>
    <row r="428" spans="3:10">
      <c r="C428" s="23"/>
      <c r="D428" s="51" t="s">
        <v>618</v>
      </c>
      <c r="E428" s="51" t="s">
        <v>1484</v>
      </c>
      <c r="F428" s="51" t="s">
        <v>868</v>
      </c>
      <c r="G428" s="24" t="s">
        <v>869</v>
      </c>
      <c r="H428" s="51" t="s">
        <v>870</v>
      </c>
      <c r="I428" s="51" t="s">
        <v>871</v>
      </c>
      <c r="J428" s="52"/>
    </row>
    <row r="429" spans="3:10">
      <c r="C429" s="23"/>
      <c r="D429" s="51" t="s">
        <v>620</v>
      </c>
      <c r="E429" s="51" t="s">
        <v>1485</v>
      </c>
      <c r="F429" s="51" t="s">
        <v>868</v>
      </c>
      <c r="G429" s="24" t="s">
        <v>869</v>
      </c>
      <c r="H429" s="51" t="s">
        <v>870</v>
      </c>
      <c r="I429" s="51" t="s">
        <v>871</v>
      </c>
      <c r="J429" s="52"/>
    </row>
    <row r="430" spans="3:10">
      <c r="C430" s="23"/>
      <c r="D430" s="51" t="s">
        <v>1486</v>
      </c>
      <c r="E430" s="51" t="s">
        <v>1487</v>
      </c>
      <c r="F430" s="51" t="s">
        <v>868</v>
      </c>
      <c r="G430" s="24" t="s">
        <v>869</v>
      </c>
      <c r="H430" s="51" t="s">
        <v>870</v>
      </c>
      <c r="I430" s="51" t="s">
        <v>871</v>
      </c>
      <c r="J430" s="52"/>
    </row>
    <row r="431" spans="3:10">
      <c r="C431" s="23"/>
      <c r="D431" s="51" t="s">
        <v>622</v>
      </c>
      <c r="E431" s="51" t="s">
        <v>1488</v>
      </c>
      <c r="F431" s="51" t="s">
        <v>868</v>
      </c>
      <c r="G431" s="24" t="s">
        <v>869</v>
      </c>
      <c r="H431" s="51" t="s">
        <v>870</v>
      </c>
      <c r="I431" s="51" t="s">
        <v>871</v>
      </c>
      <c r="J431" s="52"/>
    </row>
    <row r="432" spans="3:10">
      <c r="C432" s="23"/>
      <c r="D432" s="51" t="s">
        <v>625</v>
      </c>
      <c r="E432" s="51" t="s">
        <v>1489</v>
      </c>
      <c r="F432" s="51" t="s">
        <v>868</v>
      </c>
      <c r="G432" s="24" t="s">
        <v>869</v>
      </c>
      <c r="H432" s="51" t="s">
        <v>870</v>
      </c>
      <c r="I432" s="51" t="s">
        <v>871</v>
      </c>
      <c r="J432" s="52"/>
    </row>
    <row r="433" spans="3:10">
      <c r="C433" s="23"/>
      <c r="D433" s="51" t="s">
        <v>1490</v>
      </c>
      <c r="E433" s="51" t="s">
        <v>1491</v>
      </c>
      <c r="F433" s="51" t="s">
        <v>960</v>
      </c>
      <c r="G433" s="25" t="s">
        <v>881</v>
      </c>
      <c r="H433" s="51" t="s">
        <v>870</v>
      </c>
      <c r="I433" s="51" t="s">
        <v>961</v>
      </c>
      <c r="J433" s="52"/>
    </row>
    <row r="434" spans="3:10">
      <c r="C434" s="23"/>
      <c r="D434" s="51" t="s">
        <v>628</v>
      </c>
      <c r="E434" s="51" t="s">
        <v>1492</v>
      </c>
      <c r="F434" s="51" t="s">
        <v>868</v>
      </c>
      <c r="G434" s="24" t="s">
        <v>869</v>
      </c>
      <c r="H434" s="51" t="s">
        <v>870</v>
      </c>
      <c r="I434" s="51" t="s">
        <v>871</v>
      </c>
      <c r="J434" s="52"/>
    </row>
    <row r="435" spans="3:10">
      <c r="C435" s="23"/>
      <c r="D435" s="51" t="s">
        <v>1493</v>
      </c>
      <c r="E435" s="51" t="s">
        <v>1494</v>
      </c>
      <c r="F435" s="51" t="s">
        <v>868</v>
      </c>
      <c r="G435" s="24" t="s">
        <v>869</v>
      </c>
      <c r="H435" s="51" t="s">
        <v>870</v>
      </c>
      <c r="I435" s="51" t="s">
        <v>871</v>
      </c>
      <c r="J435" s="52"/>
    </row>
    <row r="436" spans="3:10">
      <c r="C436" s="23"/>
      <c r="D436" s="51" t="s">
        <v>630</v>
      </c>
      <c r="E436" s="51" t="s">
        <v>1495</v>
      </c>
      <c r="F436" s="51" t="s">
        <v>868</v>
      </c>
      <c r="G436" s="24" t="s">
        <v>869</v>
      </c>
      <c r="H436" s="51" t="s">
        <v>870</v>
      </c>
      <c r="I436" s="51" t="s">
        <v>871</v>
      </c>
      <c r="J436" s="52"/>
    </row>
    <row r="437" spans="3:10">
      <c r="C437" s="23"/>
      <c r="D437" s="51" t="s">
        <v>1496</v>
      </c>
      <c r="E437" s="51" t="s">
        <v>1497</v>
      </c>
      <c r="F437" s="51" t="s">
        <v>868</v>
      </c>
      <c r="G437" s="24" t="s">
        <v>869</v>
      </c>
      <c r="H437" s="51" t="s">
        <v>870</v>
      </c>
      <c r="I437" s="51" t="s">
        <v>871</v>
      </c>
      <c r="J437" s="52"/>
    </row>
    <row r="438" spans="3:10">
      <c r="C438" s="23"/>
      <c r="D438" s="51" t="s">
        <v>632</v>
      </c>
      <c r="E438" s="51" t="s">
        <v>1498</v>
      </c>
      <c r="F438" s="51" t="s">
        <v>868</v>
      </c>
      <c r="G438" s="24" t="s">
        <v>869</v>
      </c>
      <c r="H438" s="51" t="s">
        <v>870</v>
      </c>
      <c r="I438" s="51" t="s">
        <v>871</v>
      </c>
      <c r="J438" s="52"/>
    </row>
    <row r="439" spans="3:10">
      <c r="C439" s="23"/>
      <c r="D439" s="51" t="s">
        <v>1499</v>
      </c>
      <c r="E439" s="51" t="s">
        <v>1500</v>
      </c>
      <c r="F439" s="51" t="s">
        <v>868</v>
      </c>
      <c r="G439" s="24" t="s">
        <v>869</v>
      </c>
      <c r="H439" s="51" t="s">
        <v>870</v>
      </c>
      <c r="I439" s="51" t="s">
        <v>871</v>
      </c>
      <c r="J439" s="52"/>
    </row>
    <row r="440" spans="3:10">
      <c r="C440" s="23"/>
      <c r="D440" s="51" t="s">
        <v>635</v>
      </c>
      <c r="E440" s="51" t="s">
        <v>1501</v>
      </c>
      <c r="F440" s="51" t="s">
        <v>868</v>
      </c>
      <c r="G440" s="24" t="s">
        <v>869</v>
      </c>
      <c r="H440" s="51" t="s">
        <v>870</v>
      </c>
      <c r="I440" s="51" t="s">
        <v>871</v>
      </c>
      <c r="J440" s="52"/>
    </row>
    <row r="441" spans="3:10">
      <c r="C441" s="23"/>
      <c r="D441" s="51" t="s">
        <v>1502</v>
      </c>
      <c r="E441" s="51" t="s">
        <v>1503</v>
      </c>
      <c r="F441" s="51" t="s">
        <v>868</v>
      </c>
      <c r="G441" s="25" t="s">
        <v>881</v>
      </c>
      <c r="H441" s="51" t="s">
        <v>870</v>
      </c>
      <c r="I441" s="51" t="s">
        <v>871</v>
      </c>
      <c r="J441" s="52"/>
    </row>
    <row r="442" spans="3:10">
      <c r="C442" s="23"/>
      <c r="D442" s="51" t="s">
        <v>1504</v>
      </c>
      <c r="E442" s="51" t="s">
        <v>1505</v>
      </c>
      <c r="F442" s="51" t="s">
        <v>868</v>
      </c>
      <c r="G442" s="25" t="s">
        <v>881</v>
      </c>
      <c r="H442" s="51" t="s">
        <v>870</v>
      </c>
      <c r="I442" s="51" t="s">
        <v>871</v>
      </c>
      <c r="J442" s="52"/>
    </row>
    <row r="443" spans="3:10">
      <c r="C443" s="23"/>
      <c r="D443" s="51" t="s">
        <v>637</v>
      </c>
      <c r="E443" s="51" t="s">
        <v>1506</v>
      </c>
      <c r="F443" s="51" t="s">
        <v>868</v>
      </c>
      <c r="G443" s="24" t="s">
        <v>869</v>
      </c>
      <c r="H443" s="51" t="s">
        <v>870</v>
      </c>
      <c r="I443" s="51" t="s">
        <v>871</v>
      </c>
      <c r="J443" s="52"/>
    </row>
    <row r="444" spans="3:10">
      <c r="C444" s="23"/>
      <c r="D444" s="51" t="s">
        <v>1507</v>
      </c>
      <c r="E444" s="51" t="s">
        <v>1508</v>
      </c>
      <c r="F444" s="51" t="s">
        <v>868</v>
      </c>
      <c r="G444" s="24" t="s">
        <v>869</v>
      </c>
      <c r="H444" s="51" t="s">
        <v>870</v>
      </c>
      <c r="I444" s="51" t="s">
        <v>871</v>
      </c>
      <c r="J444" s="52"/>
    </row>
    <row r="445" spans="3:10">
      <c r="C445" s="23"/>
      <c r="D445" s="51" t="s">
        <v>1509</v>
      </c>
      <c r="E445" s="51" t="s">
        <v>1510</v>
      </c>
      <c r="F445" s="51" t="s">
        <v>868</v>
      </c>
      <c r="G445" s="24" t="s">
        <v>869</v>
      </c>
      <c r="H445" s="51" t="s">
        <v>870</v>
      </c>
      <c r="I445" s="51" t="s">
        <v>871</v>
      </c>
      <c r="J445" s="52"/>
    </row>
    <row r="446" spans="3:10">
      <c r="C446" s="23"/>
      <c r="D446" s="51" t="s">
        <v>639</v>
      </c>
      <c r="E446" s="51" t="s">
        <v>1511</v>
      </c>
      <c r="F446" s="51" t="s">
        <v>868</v>
      </c>
      <c r="G446" s="24" t="s">
        <v>869</v>
      </c>
      <c r="H446" s="51" t="s">
        <v>870</v>
      </c>
      <c r="I446" s="51" t="s">
        <v>871</v>
      </c>
      <c r="J446" s="52"/>
    </row>
    <row r="447" spans="3:10">
      <c r="C447" s="23"/>
      <c r="D447" s="51" t="s">
        <v>641</v>
      </c>
      <c r="E447" s="51" t="s">
        <v>1512</v>
      </c>
      <c r="F447" s="51" t="s">
        <v>868</v>
      </c>
      <c r="G447" s="24" t="s">
        <v>869</v>
      </c>
      <c r="H447" s="51" t="s">
        <v>870</v>
      </c>
      <c r="I447" s="51" t="s">
        <v>871</v>
      </c>
      <c r="J447" s="52"/>
    </row>
    <row r="448" spans="3:10">
      <c r="C448" s="23"/>
      <c r="D448" s="51" t="s">
        <v>643</v>
      </c>
      <c r="E448" s="51" t="s">
        <v>1513</v>
      </c>
      <c r="F448" s="51" t="s">
        <v>868</v>
      </c>
      <c r="G448" s="24" t="s">
        <v>869</v>
      </c>
      <c r="H448" s="51" t="s">
        <v>870</v>
      </c>
      <c r="I448" s="51" t="s">
        <v>871</v>
      </c>
      <c r="J448" s="52"/>
    </row>
    <row r="449" spans="3:10">
      <c r="C449" s="23"/>
      <c r="D449" s="51" t="s">
        <v>1514</v>
      </c>
      <c r="E449" s="51" t="s">
        <v>1515</v>
      </c>
      <c r="F449" s="51" t="s">
        <v>868</v>
      </c>
      <c r="G449" s="24" t="s">
        <v>869</v>
      </c>
      <c r="H449" s="51" t="s">
        <v>870</v>
      </c>
      <c r="I449" s="51" t="s">
        <v>871</v>
      </c>
      <c r="J449" s="52"/>
    </row>
    <row r="450" spans="3:10">
      <c r="C450" s="23"/>
      <c r="D450" s="51" t="s">
        <v>646</v>
      </c>
      <c r="E450" s="51" t="s">
        <v>1516</v>
      </c>
      <c r="F450" s="51" t="s">
        <v>868</v>
      </c>
      <c r="G450" s="24" t="s">
        <v>869</v>
      </c>
      <c r="H450" s="51" t="s">
        <v>870</v>
      </c>
      <c r="I450" s="51" t="s">
        <v>871</v>
      </c>
      <c r="J450" s="52"/>
    </row>
    <row r="451" spans="3:10">
      <c r="C451" s="23"/>
      <c r="D451" s="51" t="s">
        <v>1517</v>
      </c>
      <c r="E451" s="51" t="s">
        <v>1518</v>
      </c>
      <c r="F451" s="51" t="s">
        <v>868</v>
      </c>
      <c r="G451" s="24" t="s">
        <v>869</v>
      </c>
      <c r="H451" s="51" t="s">
        <v>870</v>
      </c>
      <c r="I451" s="51" t="s">
        <v>871</v>
      </c>
      <c r="J451" s="52"/>
    </row>
    <row r="452" spans="3:10">
      <c r="C452" s="23"/>
      <c r="D452" s="51" t="s">
        <v>649</v>
      </c>
      <c r="E452" s="51" t="s">
        <v>1519</v>
      </c>
      <c r="F452" s="51" t="s">
        <v>868</v>
      </c>
      <c r="G452" s="24" t="s">
        <v>869</v>
      </c>
      <c r="H452" s="51" t="s">
        <v>870</v>
      </c>
      <c r="I452" s="51" t="s">
        <v>871</v>
      </c>
      <c r="J452" s="52"/>
    </row>
    <row r="453" spans="3:10">
      <c r="C453" s="23"/>
      <c r="D453" s="51" t="s">
        <v>652</v>
      </c>
      <c r="E453" s="51" t="s">
        <v>1520</v>
      </c>
      <c r="F453" s="51" t="s">
        <v>868</v>
      </c>
      <c r="G453" s="24" t="s">
        <v>869</v>
      </c>
      <c r="H453" s="51" t="s">
        <v>870</v>
      </c>
      <c r="I453" s="51" t="s">
        <v>871</v>
      </c>
      <c r="J453" s="52"/>
    </row>
    <row r="454" spans="3:10">
      <c r="C454" s="23"/>
      <c r="D454" s="51" t="s">
        <v>1521</v>
      </c>
      <c r="E454" s="51" t="s">
        <v>1522</v>
      </c>
      <c r="F454" s="51" t="s">
        <v>868</v>
      </c>
      <c r="G454" s="24" t="s">
        <v>869</v>
      </c>
      <c r="H454" s="51" t="s">
        <v>870</v>
      </c>
      <c r="I454" s="51" t="s">
        <v>871</v>
      </c>
      <c r="J454" s="52"/>
    </row>
    <row r="455" spans="3:10">
      <c r="C455" s="27"/>
      <c r="D455" s="53" t="s">
        <v>1523</v>
      </c>
      <c r="E455" s="53" t="s">
        <v>1524</v>
      </c>
      <c r="F455" s="53" t="s">
        <v>868</v>
      </c>
      <c r="G455" s="28" t="s">
        <v>869</v>
      </c>
      <c r="H455" s="53" t="s">
        <v>870</v>
      </c>
      <c r="I455" s="53" t="s">
        <v>871</v>
      </c>
      <c r="J455" s="54"/>
    </row>
    <row r="456" spans="3:10">
      <c r="C456" s="23"/>
      <c r="D456" s="51" t="s">
        <v>655</v>
      </c>
      <c r="E456" s="51" t="s">
        <v>1525</v>
      </c>
      <c r="F456" s="51" t="s">
        <v>868</v>
      </c>
      <c r="G456" s="24" t="s">
        <v>869</v>
      </c>
      <c r="H456" s="51" t="s">
        <v>870</v>
      </c>
      <c r="I456" s="51" t="s">
        <v>871</v>
      </c>
      <c r="J456" s="52"/>
    </row>
    <row r="457" spans="3:10">
      <c r="C457" s="23"/>
      <c r="D457" s="51" t="s">
        <v>1526</v>
      </c>
      <c r="E457" s="51" t="s">
        <v>1527</v>
      </c>
      <c r="F457" s="51" t="s">
        <v>868</v>
      </c>
      <c r="G457" s="24" t="s">
        <v>869</v>
      </c>
      <c r="H457" s="51" t="s">
        <v>870</v>
      </c>
      <c r="I457" s="51" t="s">
        <v>871</v>
      </c>
      <c r="J457" s="52"/>
    </row>
    <row r="458" spans="3:10">
      <c r="C458" s="23"/>
      <c r="D458" s="51" t="s">
        <v>1528</v>
      </c>
      <c r="E458" s="51" t="s">
        <v>1529</v>
      </c>
      <c r="F458" s="51" t="s">
        <v>868</v>
      </c>
      <c r="G458" s="24" t="s">
        <v>869</v>
      </c>
      <c r="H458" s="51" t="s">
        <v>870</v>
      </c>
      <c r="I458" s="51" t="s">
        <v>871</v>
      </c>
      <c r="J458" s="52"/>
    </row>
    <row r="459" spans="3:10">
      <c r="C459" s="23"/>
      <c r="D459" s="51" t="s">
        <v>657</v>
      </c>
      <c r="E459" s="51" t="s">
        <v>1530</v>
      </c>
      <c r="F459" s="51" t="s">
        <v>868</v>
      </c>
      <c r="G459" s="24" t="s">
        <v>869</v>
      </c>
      <c r="H459" s="51" t="s">
        <v>870</v>
      </c>
      <c r="I459" s="51" t="s">
        <v>871</v>
      </c>
      <c r="J459" s="52"/>
    </row>
    <row r="460" spans="3:10">
      <c r="C460" s="23"/>
      <c r="D460" s="51" t="s">
        <v>660</v>
      </c>
      <c r="E460" s="51" t="s">
        <v>1531</v>
      </c>
      <c r="F460" s="51" t="s">
        <v>868</v>
      </c>
      <c r="G460" s="24" t="s">
        <v>869</v>
      </c>
      <c r="H460" s="51" t="s">
        <v>870</v>
      </c>
      <c r="I460" s="51" t="s">
        <v>871</v>
      </c>
      <c r="J460" s="52"/>
    </row>
    <row r="461" spans="3:10">
      <c r="C461" s="23"/>
      <c r="D461" s="51" t="s">
        <v>662</v>
      </c>
      <c r="E461" s="51" t="s">
        <v>1532</v>
      </c>
      <c r="F461" s="51" t="s">
        <v>868</v>
      </c>
      <c r="G461" s="24" t="s">
        <v>869</v>
      </c>
      <c r="H461" s="51" t="s">
        <v>870</v>
      </c>
      <c r="I461" s="51" t="s">
        <v>871</v>
      </c>
      <c r="J461" s="52"/>
    </row>
    <row r="462" spans="3:10">
      <c r="C462" s="23"/>
      <c r="D462" s="51" t="s">
        <v>664</v>
      </c>
      <c r="E462" s="51" t="s">
        <v>1533</v>
      </c>
      <c r="F462" s="51" t="s">
        <v>868</v>
      </c>
      <c r="G462" s="24" t="s">
        <v>869</v>
      </c>
      <c r="H462" s="51" t="s">
        <v>870</v>
      </c>
      <c r="I462" s="51" t="s">
        <v>871</v>
      </c>
      <c r="J462" s="52"/>
    </row>
    <row r="463" spans="3:10">
      <c r="C463" s="23"/>
      <c r="D463" s="51" t="s">
        <v>666</v>
      </c>
      <c r="E463" s="51" t="s">
        <v>1534</v>
      </c>
      <c r="F463" s="51" t="s">
        <v>868</v>
      </c>
      <c r="G463" s="24" t="s">
        <v>869</v>
      </c>
      <c r="H463" s="51" t="s">
        <v>870</v>
      </c>
      <c r="I463" s="51" t="s">
        <v>871</v>
      </c>
      <c r="J463" s="52"/>
    </row>
    <row r="464" spans="3:10">
      <c r="C464" s="23"/>
      <c r="D464" s="51" t="s">
        <v>1535</v>
      </c>
      <c r="E464" s="51" t="s">
        <v>1536</v>
      </c>
      <c r="F464" s="51" t="s">
        <v>868</v>
      </c>
      <c r="G464" s="25" t="s">
        <v>881</v>
      </c>
      <c r="H464" s="51" t="s">
        <v>870</v>
      </c>
      <c r="I464" s="51" t="s">
        <v>871</v>
      </c>
      <c r="J464" s="52"/>
    </row>
    <row r="465" spans="3:10">
      <c r="C465" s="23"/>
      <c r="D465" s="51" t="s">
        <v>668</v>
      </c>
      <c r="E465" s="51" t="s">
        <v>1537</v>
      </c>
      <c r="F465" s="51" t="s">
        <v>868</v>
      </c>
      <c r="G465" s="24" t="s">
        <v>869</v>
      </c>
      <c r="H465" s="51" t="s">
        <v>870</v>
      </c>
      <c r="I465" s="51" t="s">
        <v>871</v>
      </c>
      <c r="J465" s="52"/>
    </row>
    <row r="466" spans="3:10">
      <c r="C466" s="23"/>
      <c r="D466" s="51" t="s">
        <v>1538</v>
      </c>
      <c r="E466" s="51" t="s">
        <v>1539</v>
      </c>
      <c r="F466" s="51" t="s">
        <v>868</v>
      </c>
      <c r="G466" s="25" t="s">
        <v>881</v>
      </c>
      <c r="H466" s="51" t="s">
        <v>870</v>
      </c>
      <c r="I466" s="51" t="s">
        <v>871</v>
      </c>
      <c r="J466" s="52"/>
    </row>
    <row r="467" spans="3:10">
      <c r="C467" s="23"/>
      <c r="D467" s="51" t="s">
        <v>670</v>
      </c>
      <c r="E467" s="51" t="s">
        <v>1540</v>
      </c>
      <c r="F467" s="51" t="s">
        <v>868</v>
      </c>
      <c r="G467" s="24" t="s">
        <v>869</v>
      </c>
      <c r="H467" s="51" t="s">
        <v>870</v>
      </c>
      <c r="I467" s="51" t="s">
        <v>871</v>
      </c>
      <c r="J467" s="52"/>
    </row>
    <row r="468" spans="3:10">
      <c r="C468" s="23"/>
      <c r="D468" s="51" t="s">
        <v>672</v>
      </c>
      <c r="E468" s="51" t="s">
        <v>1541</v>
      </c>
      <c r="F468" s="51" t="s">
        <v>868</v>
      </c>
      <c r="G468" s="24" t="s">
        <v>869</v>
      </c>
      <c r="H468" s="51" t="s">
        <v>870</v>
      </c>
      <c r="I468" s="51" t="s">
        <v>871</v>
      </c>
      <c r="J468" s="52"/>
    </row>
    <row r="469" spans="3:10">
      <c r="C469" s="23"/>
      <c r="D469" s="51" t="s">
        <v>675</v>
      </c>
      <c r="E469" s="51" t="s">
        <v>1542</v>
      </c>
      <c r="F469" s="51" t="s">
        <v>868</v>
      </c>
      <c r="G469" s="24" t="s">
        <v>869</v>
      </c>
      <c r="H469" s="51" t="s">
        <v>870</v>
      </c>
      <c r="I469" s="51" t="s">
        <v>871</v>
      </c>
      <c r="J469" s="52"/>
    </row>
    <row r="470" spans="3:10">
      <c r="C470" s="23"/>
      <c r="D470" s="51" t="s">
        <v>677</v>
      </c>
      <c r="E470" s="51" t="s">
        <v>1543</v>
      </c>
      <c r="F470" s="51" t="s">
        <v>868</v>
      </c>
      <c r="G470" s="24" t="s">
        <v>869</v>
      </c>
      <c r="H470" s="51" t="s">
        <v>870</v>
      </c>
      <c r="I470" s="51" t="s">
        <v>871</v>
      </c>
      <c r="J470" s="52"/>
    </row>
    <row r="471" spans="3:10">
      <c r="C471" s="23"/>
      <c r="D471" s="51" t="s">
        <v>1544</v>
      </c>
      <c r="E471" s="51" t="s">
        <v>1545</v>
      </c>
      <c r="F471" s="51" t="s">
        <v>868</v>
      </c>
      <c r="G471" s="24" t="s">
        <v>869</v>
      </c>
      <c r="H471" s="51" t="s">
        <v>870</v>
      </c>
      <c r="I471" s="51" t="s">
        <v>871</v>
      </c>
      <c r="J471" s="52"/>
    </row>
    <row r="472" spans="3:10">
      <c r="C472" s="23"/>
      <c r="D472" s="51" t="s">
        <v>679</v>
      </c>
      <c r="E472" s="51" t="s">
        <v>1546</v>
      </c>
      <c r="F472" s="51" t="s">
        <v>868</v>
      </c>
      <c r="G472" s="24" t="s">
        <v>869</v>
      </c>
      <c r="H472" s="51" t="s">
        <v>870</v>
      </c>
      <c r="I472" s="51" t="s">
        <v>871</v>
      </c>
      <c r="J472" s="52"/>
    </row>
    <row r="473" spans="3:10">
      <c r="C473" s="23"/>
      <c r="D473" s="51" t="s">
        <v>1547</v>
      </c>
      <c r="E473" s="51" t="s">
        <v>1548</v>
      </c>
      <c r="F473" s="51" t="s">
        <v>868</v>
      </c>
      <c r="G473" s="24" t="s">
        <v>869</v>
      </c>
      <c r="H473" s="51" t="s">
        <v>870</v>
      </c>
      <c r="I473" s="51" t="s">
        <v>871</v>
      </c>
      <c r="J473" s="52"/>
    </row>
    <row r="474" spans="3:10">
      <c r="C474" s="23"/>
      <c r="D474" s="51" t="s">
        <v>1549</v>
      </c>
      <c r="E474" s="51" t="s">
        <v>1550</v>
      </c>
      <c r="F474" s="51" t="s">
        <v>868</v>
      </c>
      <c r="G474" s="24" t="s">
        <v>869</v>
      </c>
      <c r="H474" s="51" t="s">
        <v>870</v>
      </c>
      <c r="I474" s="51" t="s">
        <v>871</v>
      </c>
      <c r="J474" s="52"/>
    </row>
    <row r="475" spans="3:10">
      <c r="C475" s="23"/>
      <c r="D475" s="51" t="s">
        <v>681</v>
      </c>
      <c r="E475" s="51" t="s">
        <v>1551</v>
      </c>
      <c r="F475" s="51" t="s">
        <v>868</v>
      </c>
      <c r="G475" s="24" t="s">
        <v>869</v>
      </c>
      <c r="H475" s="51" t="s">
        <v>870</v>
      </c>
      <c r="I475" s="51" t="s">
        <v>871</v>
      </c>
      <c r="J475" s="52"/>
    </row>
    <row r="476" spans="3:10">
      <c r="C476" s="23"/>
      <c r="D476" s="51" t="s">
        <v>1552</v>
      </c>
      <c r="E476" s="51" t="s">
        <v>1553</v>
      </c>
      <c r="F476" s="51" t="s">
        <v>868</v>
      </c>
      <c r="G476" s="24" t="s">
        <v>869</v>
      </c>
      <c r="H476" s="51" t="s">
        <v>870</v>
      </c>
      <c r="I476" s="51" t="s">
        <v>871</v>
      </c>
      <c r="J476" s="52"/>
    </row>
    <row r="477" spans="3:10">
      <c r="C477" s="23"/>
      <c r="D477" s="51" t="s">
        <v>1554</v>
      </c>
      <c r="E477" s="51" t="s">
        <v>1555</v>
      </c>
      <c r="F477" s="51" t="s">
        <v>868</v>
      </c>
      <c r="G477" s="24" t="s">
        <v>869</v>
      </c>
      <c r="H477" s="51" t="s">
        <v>870</v>
      </c>
      <c r="I477" s="51" t="s">
        <v>871</v>
      </c>
      <c r="J477" s="52"/>
    </row>
    <row r="478" spans="3:10">
      <c r="C478" s="23"/>
      <c r="D478" s="51" t="s">
        <v>1556</v>
      </c>
      <c r="E478" s="51" t="s">
        <v>1557</v>
      </c>
      <c r="F478" s="51" t="s">
        <v>868</v>
      </c>
      <c r="G478" s="24" t="s">
        <v>869</v>
      </c>
      <c r="H478" s="51" t="s">
        <v>870</v>
      </c>
      <c r="I478" s="51" t="s">
        <v>871</v>
      </c>
      <c r="J478" s="52"/>
    </row>
    <row r="479" spans="3:10">
      <c r="C479" s="23"/>
      <c r="D479" s="51" t="s">
        <v>684</v>
      </c>
      <c r="E479" s="51" t="s">
        <v>1558</v>
      </c>
      <c r="F479" s="51" t="s">
        <v>868</v>
      </c>
      <c r="G479" s="24" t="s">
        <v>869</v>
      </c>
      <c r="H479" s="51" t="s">
        <v>870</v>
      </c>
      <c r="I479" s="51" t="s">
        <v>871</v>
      </c>
      <c r="J479" s="52"/>
    </row>
    <row r="480" spans="3:10">
      <c r="C480" s="23"/>
      <c r="D480" s="51" t="s">
        <v>1559</v>
      </c>
      <c r="E480" s="51" t="s">
        <v>1560</v>
      </c>
      <c r="F480" s="51" t="s">
        <v>960</v>
      </c>
      <c r="G480" s="25" t="s">
        <v>881</v>
      </c>
      <c r="H480" s="51" t="s">
        <v>870</v>
      </c>
      <c r="I480" s="51" t="s">
        <v>961</v>
      </c>
      <c r="J480" s="52"/>
    </row>
    <row r="481" spans="3:10">
      <c r="C481" s="23"/>
      <c r="D481" s="51" t="s">
        <v>1561</v>
      </c>
      <c r="E481" s="51" t="s">
        <v>1562</v>
      </c>
      <c r="F481" s="51" t="s">
        <v>868</v>
      </c>
      <c r="G481" s="24" t="s">
        <v>869</v>
      </c>
      <c r="H481" s="51" t="s">
        <v>870</v>
      </c>
      <c r="I481" s="51" t="s">
        <v>871</v>
      </c>
      <c r="J481" s="52"/>
    </row>
    <row r="482" spans="3:10">
      <c r="C482" s="23"/>
      <c r="D482" s="51" t="s">
        <v>687</v>
      </c>
      <c r="E482" s="51" t="s">
        <v>1563</v>
      </c>
      <c r="F482" s="51" t="s">
        <v>868</v>
      </c>
      <c r="G482" s="24" t="s">
        <v>869</v>
      </c>
      <c r="H482" s="51" t="s">
        <v>870</v>
      </c>
      <c r="I482" s="51" t="s">
        <v>871</v>
      </c>
      <c r="J482" s="52"/>
    </row>
    <row r="483" spans="3:10">
      <c r="C483" s="23"/>
      <c r="D483" s="51" t="s">
        <v>689</v>
      </c>
      <c r="E483" s="51" t="s">
        <v>1564</v>
      </c>
      <c r="F483" s="51" t="s">
        <v>868</v>
      </c>
      <c r="G483" s="24" t="s">
        <v>869</v>
      </c>
      <c r="H483" s="51" t="s">
        <v>870</v>
      </c>
      <c r="I483" s="51" t="s">
        <v>871</v>
      </c>
      <c r="J483" s="52"/>
    </row>
    <row r="484" spans="3:10">
      <c r="C484" s="23"/>
      <c r="D484" s="51" t="s">
        <v>1565</v>
      </c>
      <c r="E484" s="51" t="s">
        <v>1566</v>
      </c>
      <c r="F484" s="51" t="s">
        <v>868</v>
      </c>
      <c r="G484" s="24" t="s">
        <v>869</v>
      </c>
      <c r="H484" s="51" t="s">
        <v>870</v>
      </c>
      <c r="I484" s="51" t="s">
        <v>871</v>
      </c>
      <c r="J484" s="52"/>
    </row>
    <row r="485" spans="3:10">
      <c r="C485" s="23"/>
      <c r="D485" s="51" t="s">
        <v>693</v>
      </c>
      <c r="E485" s="51" t="s">
        <v>1567</v>
      </c>
      <c r="F485" s="51" t="s">
        <v>868</v>
      </c>
      <c r="G485" s="24" t="s">
        <v>869</v>
      </c>
      <c r="H485" s="51" t="s">
        <v>870</v>
      </c>
      <c r="I485" s="51" t="s">
        <v>871</v>
      </c>
      <c r="J485" s="52"/>
    </row>
    <row r="486" spans="3:10">
      <c r="C486" s="23"/>
      <c r="D486" s="51" t="s">
        <v>696</v>
      </c>
      <c r="E486" s="51" t="s">
        <v>1568</v>
      </c>
      <c r="F486" s="51" t="s">
        <v>868</v>
      </c>
      <c r="G486" s="24" t="s">
        <v>869</v>
      </c>
      <c r="H486" s="51" t="s">
        <v>870</v>
      </c>
      <c r="I486" s="51" t="s">
        <v>871</v>
      </c>
      <c r="J486" s="52"/>
    </row>
    <row r="487" spans="3:10">
      <c r="C487" s="23"/>
      <c r="D487" s="51" t="s">
        <v>1569</v>
      </c>
      <c r="E487" s="51" t="s">
        <v>1570</v>
      </c>
      <c r="F487" s="51" t="s">
        <v>868</v>
      </c>
      <c r="G487" s="25" t="s">
        <v>881</v>
      </c>
      <c r="H487" s="51" t="s">
        <v>870</v>
      </c>
      <c r="I487" s="51" t="s">
        <v>871</v>
      </c>
      <c r="J487" s="52"/>
    </row>
    <row r="488" spans="3:10">
      <c r="C488" s="23"/>
      <c r="D488" s="51" t="s">
        <v>1571</v>
      </c>
      <c r="E488" s="51" t="s">
        <v>1572</v>
      </c>
      <c r="F488" s="51" t="s">
        <v>868</v>
      </c>
      <c r="G488" s="25" t="s">
        <v>881</v>
      </c>
      <c r="H488" s="51" t="s">
        <v>870</v>
      </c>
      <c r="I488" s="51" t="s">
        <v>871</v>
      </c>
      <c r="J488" s="52"/>
    </row>
    <row r="489" spans="3:10">
      <c r="C489" s="23"/>
      <c r="D489" s="51" t="s">
        <v>698</v>
      </c>
      <c r="E489" s="51" t="s">
        <v>1573</v>
      </c>
      <c r="F489" s="51" t="s">
        <v>868</v>
      </c>
      <c r="G489" s="24" t="s">
        <v>869</v>
      </c>
      <c r="H489" s="51" t="s">
        <v>870</v>
      </c>
      <c r="I489" s="51" t="s">
        <v>871</v>
      </c>
      <c r="J489" s="52"/>
    </row>
    <row r="490" spans="3:10">
      <c r="C490" s="23"/>
      <c r="D490" s="51" t="s">
        <v>700</v>
      </c>
      <c r="E490" s="51" t="s">
        <v>1574</v>
      </c>
      <c r="F490" s="51" t="s">
        <v>868</v>
      </c>
      <c r="G490" s="24" t="s">
        <v>869</v>
      </c>
      <c r="H490" s="51" t="s">
        <v>870</v>
      </c>
      <c r="I490" s="51" t="s">
        <v>871</v>
      </c>
      <c r="J490" s="52"/>
    </row>
    <row r="491" spans="3:10">
      <c r="C491" s="23"/>
      <c r="D491" s="51" t="s">
        <v>702</v>
      </c>
      <c r="E491" s="51" t="s">
        <v>1575</v>
      </c>
      <c r="F491" s="51" t="s">
        <v>868</v>
      </c>
      <c r="G491" s="24" t="s">
        <v>869</v>
      </c>
      <c r="H491" s="51" t="s">
        <v>870</v>
      </c>
      <c r="I491" s="51" t="s">
        <v>871</v>
      </c>
      <c r="J491" s="52"/>
    </row>
    <row r="492" spans="3:10">
      <c r="C492" s="23"/>
      <c r="D492" s="51" t="s">
        <v>1576</v>
      </c>
      <c r="E492" s="51" t="s">
        <v>1577</v>
      </c>
      <c r="F492" s="51" t="s">
        <v>868</v>
      </c>
      <c r="G492" s="24" t="s">
        <v>869</v>
      </c>
      <c r="H492" s="51" t="s">
        <v>870</v>
      </c>
      <c r="I492" s="51" t="s">
        <v>871</v>
      </c>
      <c r="J492" s="52"/>
    </row>
    <row r="493" spans="3:10">
      <c r="C493" s="23"/>
      <c r="D493" s="51" t="s">
        <v>1578</v>
      </c>
      <c r="E493" s="51" t="s">
        <v>1579</v>
      </c>
      <c r="F493" s="51" t="s">
        <v>868</v>
      </c>
      <c r="G493" s="25" t="s">
        <v>881</v>
      </c>
      <c r="H493" s="51" t="s">
        <v>870</v>
      </c>
      <c r="I493" s="51" t="s">
        <v>871</v>
      </c>
      <c r="J493" s="52"/>
    </row>
    <row r="494" spans="3:10">
      <c r="C494" s="23"/>
      <c r="D494" s="51" t="s">
        <v>704</v>
      </c>
      <c r="E494" s="51" t="s">
        <v>1580</v>
      </c>
      <c r="F494" s="51" t="s">
        <v>868</v>
      </c>
      <c r="G494" s="24" t="s">
        <v>869</v>
      </c>
      <c r="H494" s="51" t="s">
        <v>870</v>
      </c>
      <c r="I494" s="51" t="s">
        <v>871</v>
      </c>
      <c r="J494" s="52"/>
    </row>
    <row r="495" spans="3:10">
      <c r="C495" s="23"/>
      <c r="D495" s="51" t="s">
        <v>1581</v>
      </c>
      <c r="E495" s="51" t="s">
        <v>1582</v>
      </c>
      <c r="F495" s="51" t="s">
        <v>868</v>
      </c>
      <c r="G495" s="26" t="s">
        <v>892</v>
      </c>
      <c r="H495" s="51" t="s">
        <v>870</v>
      </c>
      <c r="I495" s="51" t="s">
        <v>871</v>
      </c>
      <c r="J495" s="52"/>
    </row>
    <row r="496" spans="3:10">
      <c r="C496" s="23"/>
      <c r="D496" s="51" t="s">
        <v>1583</v>
      </c>
      <c r="E496" s="51" t="s">
        <v>1584</v>
      </c>
      <c r="F496" s="51" t="s">
        <v>868</v>
      </c>
      <c r="G496" s="24" t="s">
        <v>869</v>
      </c>
      <c r="H496" s="51" t="s">
        <v>870</v>
      </c>
      <c r="I496" s="51" t="s">
        <v>871</v>
      </c>
      <c r="J496" s="52"/>
    </row>
    <row r="497" spans="3:10">
      <c r="C497" s="23"/>
      <c r="D497" s="51" t="s">
        <v>706</v>
      </c>
      <c r="E497" s="51" t="s">
        <v>1585</v>
      </c>
      <c r="F497" s="51" t="s">
        <v>868</v>
      </c>
      <c r="G497" s="24" t="s">
        <v>869</v>
      </c>
      <c r="H497" s="51" t="s">
        <v>870</v>
      </c>
      <c r="I497" s="51" t="s">
        <v>871</v>
      </c>
      <c r="J497" s="52"/>
    </row>
    <row r="498" spans="3:10">
      <c r="C498" s="23"/>
      <c r="D498" s="51" t="s">
        <v>709</v>
      </c>
      <c r="E498" s="51" t="s">
        <v>1586</v>
      </c>
      <c r="F498" s="51" t="s">
        <v>868</v>
      </c>
      <c r="G498" s="24" t="s">
        <v>869</v>
      </c>
      <c r="H498" s="51" t="s">
        <v>870</v>
      </c>
      <c r="I498" s="51" t="s">
        <v>871</v>
      </c>
      <c r="J498" s="52"/>
    </row>
    <row r="499" spans="3:10">
      <c r="C499" s="23"/>
      <c r="D499" s="51" t="s">
        <v>1587</v>
      </c>
      <c r="E499" s="51" t="s">
        <v>1588</v>
      </c>
      <c r="F499" s="51" t="s">
        <v>868</v>
      </c>
      <c r="G499" s="26" t="s">
        <v>892</v>
      </c>
      <c r="H499" s="51" t="s">
        <v>870</v>
      </c>
      <c r="I499" s="51" t="s">
        <v>871</v>
      </c>
      <c r="J499" s="52"/>
    </row>
    <row r="500" spans="3:10">
      <c r="C500" s="23"/>
      <c r="D500" s="51" t="s">
        <v>1589</v>
      </c>
      <c r="E500" s="51" t="s">
        <v>1590</v>
      </c>
      <c r="F500" s="51" t="s">
        <v>868</v>
      </c>
      <c r="G500" s="24" t="s">
        <v>869</v>
      </c>
      <c r="H500" s="51" t="s">
        <v>870</v>
      </c>
      <c r="I500" s="51" t="s">
        <v>871</v>
      </c>
      <c r="J500" s="52"/>
    </row>
    <row r="501" spans="3:10">
      <c r="C501" s="23"/>
      <c r="D501" s="51" t="s">
        <v>711</v>
      </c>
      <c r="E501" s="51" t="s">
        <v>1591</v>
      </c>
      <c r="F501" s="51" t="s">
        <v>868</v>
      </c>
      <c r="G501" s="24" t="s">
        <v>869</v>
      </c>
      <c r="H501" s="51" t="s">
        <v>870</v>
      </c>
      <c r="I501" s="51" t="s">
        <v>871</v>
      </c>
      <c r="J501" s="52"/>
    </row>
    <row r="502" spans="3:10">
      <c r="C502" s="23"/>
      <c r="D502" s="51" t="s">
        <v>713</v>
      </c>
      <c r="E502" s="51" t="s">
        <v>1592</v>
      </c>
      <c r="F502" s="51" t="s">
        <v>868</v>
      </c>
      <c r="G502" s="24" t="s">
        <v>869</v>
      </c>
      <c r="H502" s="51" t="s">
        <v>870</v>
      </c>
      <c r="I502" s="51" t="s">
        <v>871</v>
      </c>
      <c r="J502" s="52"/>
    </row>
    <row r="503" spans="3:10">
      <c r="C503" s="23"/>
      <c r="D503" s="51" t="s">
        <v>715</v>
      </c>
      <c r="E503" s="51" t="s">
        <v>1593</v>
      </c>
      <c r="F503" s="51" t="s">
        <v>868</v>
      </c>
      <c r="G503" s="24" t="s">
        <v>869</v>
      </c>
      <c r="H503" s="51" t="s">
        <v>870</v>
      </c>
      <c r="I503" s="51" t="s">
        <v>871</v>
      </c>
      <c r="J503" s="52"/>
    </row>
    <row r="504" spans="3:10">
      <c r="C504" s="23"/>
      <c r="D504" s="51" t="s">
        <v>1594</v>
      </c>
      <c r="E504" s="51" t="s">
        <v>1595</v>
      </c>
      <c r="F504" s="51" t="s">
        <v>868</v>
      </c>
      <c r="G504" s="25" t="s">
        <v>881</v>
      </c>
      <c r="H504" s="51" t="s">
        <v>870</v>
      </c>
      <c r="I504" s="51" t="s">
        <v>871</v>
      </c>
      <c r="J504" s="52"/>
    </row>
    <row r="505" spans="3:10">
      <c r="C505" s="23"/>
      <c r="D505" s="51" t="s">
        <v>717</v>
      </c>
      <c r="E505" s="51" t="s">
        <v>1596</v>
      </c>
      <c r="F505" s="51" t="s">
        <v>868</v>
      </c>
      <c r="G505" s="24" t="s">
        <v>869</v>
      </c>
      <c r="H505" s="51" t="s">
        <v>870</v>
      </c>
      <c r="I505" s="51" t="s">
        <v>871</v>
      </c>
      <c r="J505" s="52"/>
    </row>
    <row r="506" spans="3:10">
      <c r="C506" s="27"/>
      <c r="D506" s="53" t="s">
        <v>1597</v>
      </c>
      <c r="E506" s="53" t="s">
        <v>1598</v>
      </c>
      <c r="F506" s="53" t="s">
        <v>868</v>
      </c>
      <c r="G506" s="28" t="s">
        <v>869</v>
      </c>
      <c r="H506" s="53" t="s">
        <v>870</v>
      </c>
      <c r="I506" s="53" t="s">
        <v>871</v>
      </c>
      <c r="J506" s="54"/>
    </row>
    <row r="507" spans="3:10">
      <c r="C507" s="23"/>
      <c r="D507" s="51" t="s">
        <v>1599</v>
      </c>
      <c r="E507" s="51" t="s">
        <v>1600</v>
      </c>
      <c r="F507" s="51" t="s">
        <v>868</v>
      </c>
      <c r="G507" s="24" t="s">
        <v>869</v>
      </c>
      <c r="H507" s="51" t="s">
        <v>870</v>
      </c>
      <c r="I507" s="51" t="s">
        <v>871</v>
      </c>
      <c r="J507" s="52"/>
    </row>
    <row r="508" spans="3:10">
      <c r="C508" s="23"/>
      <c r="D508" s="51" t="s">
        <v>1601</v>
      </c>
      <c r="E508" s="51" t="s">
        <v>1602</v>
      </c>
      <c r="F508" s="51" t="s">
        <v>868</v>
      </c>
      <c r="G508" s="24" t="s">
        <v>869</v>
      </c>
      <c r="H508" s="51" t="s">
        <v>870</v>
      </c>
      <c r="I508" s="51" t="s">
        <v>871</v>
      </c>
      <c r="J508" s="52"/>
    </row>
    <row r="509" spans="3:10">
      <c r="C509" s="23"/>
      <c r="D509" s="51" t="s">
        <v>720</v>
      </c>
      <c r="E509" s="51" t="s">
        <v>1603</v>
      </c>
      <c r="F509" s="51" t="s">
        <v>868</v>
      </c>
      <c r="G509" s="24" t="s">
        <v>869</v>
      </c>
      <c r="H509" s="51" t="s">
        <v>870</v>
      </c>
      <c r="I509" s="51" t="s">
        <v>871</v>
      </c>
      <c r="J509" s="52"/>
    </row>
    <row r="510" spans="3:10">
      <c r="C510" s="23"/>
      <c r="D510" s="51" t="s">
        <v>1604</v>
      </c>
      <c r="E510" s="51" t="s">
        <v>1605</v>
      </c>
      <c r="F510" s="51" t="s">
        <v>868</v>
      </c>
      <c r="G510" s="24" t="s">
        <v>869</v>
      </c>
      <c r="H510" s="51" t="s">
        <v>870</v>
      </c>
      <c r="I510" s="51" t="s">
        <v>871</v>
      </c>
      <c r="J510" s="52"/>
    </row>
    <row r="511" spans="3:10">
      <c r="C511" s="23"/>
      <c r="D511" s="51" t="s">
        <v>722</v>
      </c>
      <c r="E511" s="51" t="s">
        <v>1606</v>
      </c>
      <c r="F511" s="51" t="s">
        <v>868</v>
      </c>
      <c r="G511" s="24" t="s">
        <v>869</v>
      </c>
      <c r="H511" s="51" t="s">
        <v>870</v>
      </c>
      <c r="I511" s="51" t="s">
        <v>871</v>
      </c>
      <c r="J511" s="52"/>
    </row>
    <row r="512" spans="3:10">
      <c r="C512" s="23"/>
      <c r="D512" s="51" t="s">
        <v>724</v>
      </c>
      <c r="E512" s="51" t="s">
        <v>1607</v>
      </c>
      <c r="F512" s="51" t="s">
        <v>868</v>
      </c>
      <c r="G512" s="24" t="s">
        <v>869</v>
      </c>
      <c r="H512" s="51" t="s">
        <v>870</v>
      </c>
      <c r="I512" s="51" t="s">
        <v>871</v>
      </c>
      <c r="J512" s="52"/>
    </row>
    <row r="513" spans="3:10">
      <c r="C513" s="23"/>
      <c r="D513" s="51" t="s">
        <v>1608</v>
      </c>
      <c r="E513" s="51" t="s">
        <v>1609</v>
      </c>
      <c r="F513" s="51" t="s">
        <v>868</v>
      </c>
      <c r="G513" s="26" t="s">
        <v>892</v>
      </c>
      <c r="H513" s="51" t="s">
        <v>870</v>
      </c>
      <c r="I513" s="51" t="s">
        <v>871</v>
      </c>
      <c r="J513" s="52"/>
    </row>
    <row r="514" spans="3:10">
      <c r="C514" s="23"/>
      <c r="D514" s="51" t="s">
        <v>726</v>
      </c>
      <c r="E514" s="51" t="s">
        <v>1610</v>
      </c>
      <c r="F514" s="51" t="s">
        <v>868</v>
      </c>
      <c r="G514" s="24" t="s">
        <v>869</v>
      </c>
      <c r="H514" s="51" t="s">
        <v>870</v>
      </c>
      <c r="I514" s="51" t="s">
        <v>871</v>
      </c>
      <c r="J514" s="52"/>
    </row>
    <row r="515" spans="3:10">
      <c r="C515" s="23"/>
      <c r="D515" s="51" t="s">
        <v>1611</v>
      </c>
      <c r="E515" s="51" t="s">
        <v>1612</v>
      </c>
      <c r="F515" s="51" t="s">
        <v>868</v>
      </c>
      <c r="G515" s="24" t="s">
        <v>869</v>
      </c>
      <c r="H515" s="51" t="s">
        <v>870</v>
      </c>
      <c r="I515" s="51" t="s">
        <v>871</v>
      </c>
      <c r="J515" s="52"/>
    </row>
    <row r="516" spans="3:10">
      <c r="C516" s="23"/>
      <c r="D516" s="51" t="s">
        <v>728</v>
      </c>
      <c r="E516" s="51" t="s">
        <v>1613</v>
      </c>
      <c r="F516" s="51" t="s">
        <v>868</v>
      </c>
      <c r="G516" s="24" t="s">
        <v>869</v>
      </c>
      <c r="H516" s="51" t="s">
        <v>870</v>
      </c>
      <c r="I516" s="51" t="s">
        <v>871</v>
      </c>
      <c r="J516" s="52"/>
    </row>
    <row r="517" spans="3:10">
      <c r="C517" s="23"/>
      <c r="D517" s="51" t="s">
        <v>730</v>
      </c>
      <c r="E517" s="51" t="s">
        <v>1614</v>
      </c>
      <c r="F517" s="51" t="s">
        <v>868</v>
      </c>
      <c r="G517" s="24" t="s">
        <v>869</v>
      </c>
      <c r="H517" s="51" t="s">
        <v>870</v>
      </c>
      <c r="I517" s="51" t="s">
        <v>871</v>
      </c>
      <c r="J517" s="52"/>
    </row>
    <row r="518" spans="3:10">
      <c r="C518" s="23"/>
      <c r="D518" s="51" t="s">
        <v>732</v>
      </c>
      <c r="E518" s="51" t="s">
        <v>1615</v>
      </c>
      <c r="F518" s="51" t="s">
        <v>868</v>
      </c>
      <c r="G518" s="24" t="s">
        <v>869</v>
      </c>
      <c r="H518" s="51" t="s">
        <v>870</v>
      </c>
      <c r="I518" s="51" t="s">
        <v>871</v>
      </c>
      <c r="J518" s="52"/>
    </row>
    <row r="519" spans="3:10">
      <c r="C519" s="23"/>
      <c r="D519" s="51" t="s">
        <v>1616</v>
      </c>
      <c r="E519" s="51" t="s">
        <v>1617</v>
      </c>
      <c r="F519" s="51" t="s">
        <v>868</v>
      </c>
      <c r="G519" s="25" t="s">
        <v>881</v>
      </c>
      <c r="H519" s="51" t="s">
        <v>870</v>
      </c>
      <c r="I519" s="51" t="s">
        <v>871</v>
      </c>
      <c r="J519" s="52"/>
    </row>
    <row r="520" spans="3:10">
      <c r="C520" s="23"/>
      <c r="D520" s="51" t="s">
        <v>1618</v>
      </c>
      <c r="E520" s="51" t="s">
        <v>1619</v>
      </c>
      <c r="F520" s="51" t="s">
        <v>868</v>
      </c>
      <c r="G520" s="25" t="s">
        <v>881</v>
      </c>
      <c r="H520" s="51" t="s">
        <v>870</v>
      </c>
      <c r="I520" s="51" t="s">
        <v>871</v>
      </c>
      <c r="J520" s="52"/>
    </row>
    <row r="521" spans="3:10">
      <c r="C521" s="23"/>
      <c r="D521" s="51" t="s">
        <v>734</v>
      </c>
      <c r="E521" s="51" t="s">
        <v>1620</v>
      </c>
      <c r="F521" s="51" t="s">
        <v>868</v>
      </c>
      <c r="G521" s="24" t="s">
        <v>869</v>
      </c>
      <c r="H521" s="51" t="s">
        <v>870</v>
      </c>
      <c r="I521" s="51" t="s">
        <v>871</v>
      </c>
      <c r="J521" s="52"/>
    </row>
    <row r="522" spans="3:10">
      <c r="C522" s="23"/>
      <c r="D522" s="51" t="s">
        <v>737</v>
      </c>
      <c r="E522" s="51" t="s">
        <v>1621</v>
      </c>
      <c r="F522" s="51" t="s">
        <v>868</v>
      </c>
      <c r="G522" s="24" t="s">
        <v>869</v>
      </c>
      <c r="H522" s="51" t="s">
        <v>870</v>
      </c>
      <c r="I522" s="51" t="s">
        <v>871</v>
      </c>
      <c r="J522" s="52"/>
    </row>
    <row r="523" spans="3:10">
      <c r="C523" s="23"/>
      <c r="D523" s="51" t="s">
        <v>740</v>
      </c>
      <c r="E523" s="51" t="s">
        <v>1622</v>
      </c>
      <c r="F523" s="51" t="s">
        <v>868</v>
      </c>
      <c r="G523" s="24" t="s">
        <v>869</v>
      </c>
      <c r="H523" s="51" t="s">
        <v>870</v>
      </c>
      <c r="I523" s="51" t="s">
        <v>871</v>
      </c>
      <c r="J523" s="52"/>
    </row>
    <row r="524" spans="3:10">
      <c r="C524" s="23"/>
      <c r="D524" s="51" t="s">
        <v>743</v>
      </c>
      <c r="E524" s="51" t="s">
        <v>1623</v>
      </c>
      <c r="F524" s="51" t="s">
        <v>868</v>
      </c>
      <c r="G524" s="24" t="s">
        <v>869</v>
      </c>
      <c r="H524" s="51" t="s">
        <v>870</v>
      </c>
      <c r="I524" s="51" t="s">
        <v>871</v>
      </c>
      <c r="J524" s="52"/>
    </row>
    <row r="525" spans="3:10">
      <c r="C525" s="23"/>
      <c r="D525" s="51" t="s">
        <v>746</v>
      </c>
      <c r="E525" s="51" t="s">
        <v>1624</v>
      </c>
      <c r="F525" s="51" t="s">
        <v>868</v>
      </c>
      <c r="G525" s="24" t="s">
        <v>869</v>
      </c>
      <c r="H525" s="51" t="s">
        <v>870</v>
      </c>
      <c r="I525" s="51" t="s">
        <v>871</v>
      </c>
      <c r="J525" s="52"/>
    </row>
    <row r="526" spans="3:10">
      <c r="C526" s="23"/>
      <c r="D526" s="51" t="s">
        <v>748</v>
      </c>
      <c r="E526" s="51" t="s">
        <v>1625</v>
      </c>
      <c r="F526" s="51" t="s">
        <v>868</v>
      </c>
      <c r="G526" s="24" t="s">
        <v>869</v>
      </c>
      <c r="H526" s="51" t="s">
        <v>870</v>
      </c>
      <c r="I526" s="51" t="s">
        <v>871</v>
      </c>
      <c r="J526" s="52"/>
    </row>
    <row r="527" spans="3:10">
      <c r="C527" s="23"/>
      <c r="D527" s="51" t="s">
        <v>1626</v>
      </c>
      <c r="E527" s="51" t="s">
        <v>1627</v>
      </c>
      <c r="F527" s="51" t="s">
        <v>868</v>
      </c>
      <c r="G527" s="25" t="s">
        <v>881</v>
      </c>
      <c r="H527" s="51" t="s">
        <v>870</v>
      </c>
      <c r="I527" s="51" t="s">
        <v>871</v>
      </c>
      <c r="J527" s="52"/>
    </row>
    <row r="528" spans="3:10">
      <c r="C528" s="23"/>
      <c r="D528" s="51" t="s">
        <v>23</v>
      </c>
      <c r="E528" s="51" t="s">
        <v>1628</v>
      </c>
      <c r="F528" s="51" t="s">
        <v>868</v>
      </c>
      <c r="G528" s="25" t="s">
        <v>881</v>
      </c>
      <c r="H528" s="51" t="s">
        <v>870</v>
      </c>
      <c r="I528" s="51" t="s">
        <v>871</v>
      </c>
      <c r="J528" s="52"/>
    </row>
    <row r="529" spans="3:10">
      <c r="C529" s="23"/>
      <c r="D529" s="51" t="s">
        <v>1629</v>
      </c>
      <c r="E529" s="51" t="s">
        <v>1630</v>
      </c>
      <c r="F529" s="51" t="s">
        <v>868</v>
      </c>
      <c r="G529" s="24" t="s">
        <v>869</v>
      </c>
      <c r="H529" s="51" t="s">
        <v>870</v>
      </c>
      <c r="I529" s="51" t="s">
        <v>961</v>
      </c>
      <c r="J529" s="52"/>
    </row>
    <row r="530" spans="3:10">
      <c r="C530" s="23"/>
      <c r="D530" s="51" t="s">
        <v>750</v>
      </c>
      <c r="E530" s="51" t="s">
        <v>1631</v>
      </c>
      <c r="F530" s="51" t="s">
        <v>868</v>
      </c>
      <c r="G530" s="24" t="s">
        <v>869</v>
      </c>
      <c r="H530" s="51" t="s">
        <v>870</v>
      </c>
      <c r="I530" s="51" t="s">
        <v>871</v>
      </c>
      <c r="J530" s="52"/>
    </row>
    <row r="531" spans="3:10">
      <c r="C531" s="23"/>
      <c r="D531" s="51" t="s">
        <v>752</v>
      </c>
      <c r="E531" s="51" t="s">
        <v>1632</v>
      </c>
      <c r="F531" s="51" t="s">
        <v>868</v>
      </c>
      <c r="G531" s="24" t="s">
        <v>869</v>
      </c>
      <c r="H531" s="51" t="s">
        <v>870</v>
      </c>
      <c r="I531" s="51" t="s">
        <v>871</v>
      </c>
      <c r="J531" s="52"/>
    </row>
    <row r="532" spans="3:10">
      <c r="C532" s="23"/>
      <c r="D532" s="51" t="s">
        <v>1633</v>
      </c>
      <c r="E532" s="51" t="s">
        <v>1634</v>
      </c>
      <c r="F532" s="51" t="s">
        <v>868</v>
      </c>
      <c r="G532" s="25" t="s">
        <v>881</v>
      </c>
      <c r="H532" s="51" t="s">
        <v>870</v>
      </c>
      <c r="I532" s="51" t="s">
        <v>871</v>
      </c>
      <c r="J532" s="52"/>
    </row>
    <row r="533" spans="3:10">
      <c r="C533" s="23"/>
      <c r="D533" s="51" t="s">
        <v>754</v>
      </c>
      <c r="E533" s="51" t="s">
        <v>1635</v>
      </c>
      <c r="F533" s="51" t="s">
        <v>868</v>
      </c>
      <c r="G533" s="24" t="s">
        <v>869</v>
      </c>
      <c r="H533" s="51" t="s">
        <v>870</v>
      </c>
      <c r="I533" s="51" t="s">
        <v>871</v>
      </c>
      <c r="J533" s="52"/>
    </row>
    <row r="534" spans="3:10">
      <c r="C534" s="23"/>
      <c r="D534" s="51" t="s">
        <v>1636</v>
      </c>
      <c r="E534" s="51" t="s">
        <v>1637</v>
      </c>
      <c r="F534" s="51" t="s">
        <v>868</v>
      </c>
      <c r="G534" s="24" t="s">
        <v>869</v>
      </c>
      <c r="H534" s="51" t="s">
        <v>870</v>
      </c>
      <c r="I534" s="51" t="s">
        <v>871</v>
      </c>
      <c r="J534" s="52"/>
    </row>
    <row r="535" spans="3:10">
      <c r="C535" s="23"/>
      <c r="D535" s="51" t="s">
        <v>1638</v>
      </c>
      <c r="E535" s="51" t="s">
        <v>1639</v>
      </c>
      <c r="F535" s="51" t="s">
        <v>868</v>
      </c>
      <c r="G535" s="24" t="s">
        <v>869</v>
      </c>
      <c r="H535" s="51" t="s">
        <v>870</v>
      </c>
      <c r="I535" s="51" t="s">
        <v>871</v>
      </c>
      <c r="J535" s="52"/>
    </row>
    <row r="536" spans="3:10">
      <c r="C536" s="23"/>
      <c r="D536" s="51" t="s">
        <v>1640</v>
      </c>
      <c r="E536" s="51" t="s">
        <v>1641</v>
      </c>
      <c r="F536" s="51" t="s">
        <v>868</v>
      </c>
      <c r="G536" s="31" t="s">
        <v>1301</v>
      </c>
      <c r="H536" s="51" t="s">
        <v>870</v>
      </c>
      <c r="I536" s="51" t="s">
        <v>871</v>
      </c>
      <c r="J536" s="52"/>
    </row>
    <row r="537" spans="3:10">
      <c r="C537" s="23"/>
      <c r="D537" s="51" t="s">
        <v>756</v>
      </c>
      <c r="E537" s="51" t="s">
        <v>1642</v>
      </c>
      <c r="F537" s="51" t="s">
        <v>868</v>
      </c>
      <c r="G537" s="24" t="s">
        <v>869</v>
      </c>
      <c r="H537" s="51" t="s">
        <v>870</v>
      </c>
      <c r="I537" s="51" t="s">
        <v>871</v>
      </c>
      <c r="J537" s="52"/>
    </row>
    <row r="538" spans="3:10">
      <c r="C538" s="23"/>
      <c r="D538" s="51" t="s">
        <v>758</v>
      </c>
      <c r="E538" s="51" t="s">
        <v>1643</v>
      </c>
      <c r="F538" s="51" t="s">
        <v>868</v>
      </c>
      <c r="G538" s="24" t="s">
        <v>869</v>
      </c>
      <c r="H538" s="51" t="s">
        <v>870</v>
      </c>
      <c r="I538" s="51" t="s">
        <v>871</v>
      </c>
      <c r="J538" s="52"/>
    </row>
    <row r="539" spans="3:10">
      <c r="C539" s="23"/>
      <c r="D539" s="51" t="s">
        <v>1644</v>
      </c>
      <c r="E539" s="51" t="s">
        <v>1645</v>
      </c>
      <c r="F539" s="51" t="s">
        <v>868</v>
      </c>
      <c r="G539" s="25" t="s">
        <v>881</v>
      </c>
      <c r="H539" s="51" t="s">
        <v>870</v>
      </c>
      <c r="I539" s="51" t="s">
        <v>871</v>
      </c>
      <c r="J539" s="52"/>
    </row>
    <row r="540" spans="3:10">
      <c r="C540" s="23"/>
      <c r="D540" s="51" t="s">
        <v>760</v>
      </c>
      <c r="E540" s="51" t="s">
        <v>1646</v>
      </c>
      <c r="F540" s="51" t="s">
        <v>868</v>
      </c>
      <c r="G540" s="24" t="s">
        <v>869</v>
      </c>
      <c r="H540" s="51" t="s">
        <v>870</v>
      </c>
      <c r="I540" s="51" t="s">
        <v>871</v>
      </c>
      <c r="J540" s="52"/>
    </row>
    <row r="541" spans="3:10">
      <c r="C541" s="23"/>
      <c r="D541" s="51" t="s">
        <v>762</v>
      </c>
      <c r="E541" s="51" t="s">
        <v>1647</v>
      </c>
      <c r="F541" s="51" t="s">
        <v>868</v>
      </c>
      <c r="G541" s="24" t="s">
        <v>869</v>
      </c>
      <c r="H541" s="51" t="s">
        <v>870</v>
      </c>
      <c r="I541" s="51" t="s">
        <v>871</v>
      </c>
      <c r="J541" s="52"/>
    </row>
    <row r="542" spans="3:10">
      <c r="C542" s="23"/>
      <c r="D542" s="51" t="s">
        <v>764</v>
      </c>
      <c r="E542" s="51" t="s">
        <v>1648</v>
      </c>
      <c r="F542" s="51" t="s">
        <v>868</v>
      </c>
      <c r="G542" s="24" t="s">
        <v>869</v>
      </c>
      <c r="H542" s="51" t="s">
        <v>870</v>
      </c>
      <c r="I542" s="51" t="s">
        <v>871</v>
      </c>
      <c r="J542" s="52"/>
    </row>
    <row r="543" spans="3:10">
      <c r="C543" s="23"/>
      <c r="D543" s="51" t="s">
        <v>1649</v>
      </c>
      <c r="E543" s="51" t="s">
        <v>1650</v>
      </c>
      <c r="F543" s="51" t="s">
        <v>868</v>
      </c>
      <c r="G543" s="24" t="s">
        <v>869</v>
      </c>
      <c r="H543" s="51" t="s">
        <v>870</v>
      </c>
      <c r="I543" s="51" t="s">
        <v>871</v>
      </c>
      <c r="J543" s="52"/>
    </row>
    <row r="544" spans="3:10">
      <c r="C544" s="23"/>
      <c r="D544" s="51" t="s">
        <v>767</v>
      </c>
      <c r="E544" s="51" t="s">
        <v>1651</v>
      </c>
      <c r="F544" s="51" t="s">
        <v>868</v>
      </c>
      <c r="G544" s="24" t="s">
        <v>869</v>
      </c>
      <c r="H544" s="51" t="s">
        <v>870</v>
      </c>
      <c r="I544" s="51" t="s">
        <v>871</v>
      </c>
      <c r="J544" s="52"/>
    </row>
    <row r="545" spans="3:10">
      <c r="C545" s="23"/>
      <c r="D545" s="51" t="s">
        <v>769</v>
      </c>
      <c r="E545" s="51" t="s">
        <v>1652</v>
      </c>
      <c r="F545" s="51" t="s">
        <v>868</v>
      </c>
      <c r="G545" s="24" t="s">
        <v>869</v>
      </c>
      <c r="H545" s="51" t="s">
        <v>870</v>
      </c>
      <c r="I545" s="51" t="s">
        <v>871</v>
      </c>
      <c r="J545" s="52"/>
    </row>
    <row r="546" spans="3:10">
      <c r="C546" s="23"/>
      <c r="D546" s="51" t="s">
        <v>771</v>
      </c>
      <c r="E546" s="51" t="s">
        <v>1653</v>
      </c>
      <c r="F546" s="51" t="s">
        <v>868</v>
      </c>
      <c r="G546" s="24" t="s">
        <v>869</v>
      </c>
      <c r="H546" s="51" t="s">
        <v>870</v>
      </c>
      <c r="I546" s="51" t="s">
        <v>871</v>
      </c>
      <c r="J546" s="52"/>
    </row>
    <row r="547" spans="3:10">
      <c r="C547" s="23"/>
      <c r="D547" s="51" t="s">
        <v>774</v>
      </c>
      <c r="E547" s="51" t="s">
        <v>1654</v>
      </c>
      <c r="F547" s="51" t="s">
        <v>868</v>
      </c>
      <c r="G547" s="24" t="s">
        <v>869</v>
      </c>
      <c r="H547" s="51" t="s">
        <v>870</v>
      </c>
      <c r="I547" s="51" t="s">
        <v>871</v>
      </c>
      <c r="J547" s="52"/>
    </row>
    <row r="548" spans="3:10">
      <c r="C548" s="23"/>
      <c r="D548" s="51" t="s">
        <v>776</v>
      </c>
      <c r="E548" s="51" t="s">
        <v>1655</v>
      </c>
      <c r="F548" s="51" t="s">
        <v>868</v>
      </c>
      <c r="G548" s="24" t="s">
        <v>869</v>
      </c>
      <c r="H548" s="51" t="s">
        <v>870</v>
      </c>
      <c r="I548" s="51" t="s">
        <v>871</v>
      </c>
      <c r="J548" s="52"/>
    </row>
    <row r="549" spans="3:10">
      <c r="C549" s="23"/>
      <c r="D549" s="51" t="s">
        <v>1656</v>
      </c>
      <c r="E549" s="51" t="s">
        <v>1657</v>
      </c>
      <c r="F549" s="51" t="s">
        <v>960</v>
      </c>
      <c r="G549" s="25" t="s">
        <v>881</v>
      </c>
      <c r="H549" s="51" t="s">
        <v>870</v>
      </c>
      <c r="I549" s="51" t="s">
        <v>961</v>
      </c>
      <c r="J549" s="52"/>
    </row>
    <row r="550" spans="3:10">
      <c r="C550" s="23"/>
      <c r="D550" s="51" t="s">
        <v>778</v>
      </c>
      <c r="E550" s="51" t="s">
        <v>1658</v>
      </c>
      <c r="F550" s="51" t="s">
        <v>868</v>
      </c>
      <c r="G550" s="24" t="s">
        <v>869</v>
      </c>
      <c r="H550" s="51" t="s">
        <v>870</v>
      </c>
      <c r="I550" s="51" t="s">
        <v>871</v>
      </c>
      <c r="J550" s="52"/>
    </row>
    <row r="551" spans="3:10">
      <c r="C551" s="23"/>
      <c r="D551" s="51" t="s">
        <v>780</v>
      </c>
      <c r="E551" s="51" t="s">
        <v>1659</v>
      </c>
      <c r="F551" s="51" t="s">
        <v>868</v>
      </c>
      <c r="G551" s="24" t="s">
        <v>869</v>
      </c>
      <c r="H551" s="51" t="s">
        <v>870</v>
      </c>
      <c r="I551" s="51" t="s">
        <v>871</v>
      </c>
      <c r="J551" s="52"/>
    </row>
    <row r="552" spans="3:10">
      <c r="C552" s="23"/>
      <c r="D552" s="51" t="s">
        <v>782</v>
      </c>
      <c r="E552" s="51" t="s">
        <v>1660</v>
      </c>
      <c r="F552" s="51" t="s">
        <v>868</v>
      </c>
      <c r="G552" s="24" t="s">
        <v>869</v>
      </c>
      <c r="H552" s="51" t="s">
        <v>870</v>
      </c>
      <c r="I552" s="51" t="s">
        <v>871</v>
      </c>
      <c r="J552" s="52"/>
    </row>
    <row r="553" spans="3:10">
      <c r="C553" s="23"/>
      <c r="D553" s="51" t="s">
        <v>784</v>
      </c>
      <c r="E553" s="51" t="s">
        <v>1661</v>
      </c>
      <c r="F553" s="51" t="s">
        <v>868</v>
      </c>
      <c r="G553" s="24" t="s">
        <v>869</v>
      </c>
      <c r="H553" s="51" t="s">
        <v>870</v>
      </c>
      <c r="I553" s="51" t="s">
        <v>871</v>
      </c>
      <c r="J553" s="52"/>
    </row>
    <row r="554" spans="3:10">
      <c r="C554" s="23"/>
      <c r="D554" s="51" t="s">
        <v>786</v>
      </c>
      <c r="E554" s="51" t="s">
        <v>1662</v>
      </c>
      <c r="F554" s="51" t="s">
        <v>868</v>
      </c>
      <c r="G554" s="24" t="s">
        <v>869</v>
      </c>
      <c r="H554" s="51" t="s">
        <v>870</v>
      </c>
      <c r="I554" s="51" t="s">
        <v>871</v>
      </c>
      <c r="J554" s="52"/>
    </row>
    <row r="555" spans="3:10">
      <c r="C555" s="23"/>
      <c r="D555" s="51" t="s">
        <v>788</v>
      </c>
      <c r="E555" s="51" t="s">
        <v>1663</v>
      </c>
      <c r="F555" s="51" t="s">
        <v>868</v>
      </c>
      <c r="G555" s="24" t="s">
        <v>869</v>
      </c>
      <c r="H555" s="51" t="s">
        <v>870</v>
      </c>
      <c r="I555" s="51" t="s">
        <v>871</v>
      </c>
      <c r="J555" s="52"/>
    </row>
    <row r="556" spans="3:10">
      <c r="C556" s="27"/>
      <c r="D556" s="53" t="s">
        <v>1664</v>
      </c>
      <c r="E556" s="53" t="s">
        <v>1665</v>
      </c>
      <c r="F556" s="53" t="s">
        <v>868</v>
      </c>
      <c r="G556" s="30" t="s">
        <v>881</v>
      </c>
      <c r="H556" s="53" t="s">
        <v>870</v>
      </c>
      <c r="I556" s="53" t="s">
        <v>871</v>
      </c>
      <c r="J556" s="54"/>
    </row>
    <row r="557" spans="3:10">
      <c r="C557" s="23"/>
      <c r="D557" s="51" t="s">
        <v>790</v>
      </c>
      <c r="E557" s="51" t="s">
        <v>1666</v>
      </c>
      <c r="F557" s="51" t="s">
        <v>868</v>
      </c>
      <c r="G557" s="24" t="s">
        <v>869</v>
      </c>
      <c r="H557" s="51" t="s">
        <v>870</v>
      </c>
      <c r="I557" s="51" t="s">
        <v>871</v>
      </c>
      <c r="J557" s="52"/>
    </row>
    <row r="558" spans="3:10">
      <c r="C558" s="23"/>
      <c r="D558" s="51" t="s">
        <v>1667</v>
      </c>
      <c r="E558" s="51" t="s">
        <v>1668</v>
      </c>
      <c r="F558" s="51" t="s">
        <v>880</v>
      </c>
      <c r="G558" s="25" t="s">
        <v>881</v>
      </c>
      <c r="H558" s="51" t="s">
        <v>870</v>
      </c>
      <c r="I558" s="51" t="s">
        <v>871</v>
      </c>
      <c r="J558" s="52"/>
    </row>
    <row r="559" spans="3:10">
      <c r="C559" s="23"/>
      <c r="D559" s="51" t="s">
        <v>793</v>
      </c>
      <c r="E559" s="51" t="s">
        <v>1669</v>
      </c>
      <c r="F559" s="51" t="s">
        <v>868</v>
      </c>
      <c r="G559" s="24" t="s">
        <v>869</v>
      </c>
      <c r="H559" s="51" t="s">
        <v>870</v>
      </c>
      <c r="I559" s="51" t="s">
        <v>871</v>
      </c>
      <c r="J559" s="52"/>
    </row>
    <row r="560" spans="3:10">
      <c r="C560" s="23"/>
      <c r="D560" s="51" t="s">
        <v>795</v>
      </c>
      <c r="E560" s="51" t="s">
        <v>1670</v>
      </c>
      <c r="F560" s="51" t="s">
        <v>868</v>
      </c>
      <c r="G560" s="24" t="s">
        <v>869</v>
      </c>
      <c r="H560" s="51" t="s">
        <v>870</v>
      </c>
      <c r="I560" s="51" t="s">
        <v>871</v>
      </c>
      <c r="J560" s="52"/>
    </row>
    <row r="561" spans="3:10">
      <c r="C561" s="23"/>
      <c r="D561" s="51" t="s">
        <v>798</v>
      </c>
      <c r="E561" s="51" t="s">
        <v>1671</v>
      </c>
      <c r="F561" s="51" t="s">
        <v>868</v>
      </c>
      <c r="G561" s="24" t="s">
        <v>869</v>
      </c>
      <c r="H561" s="51" t="s">
        <v>870</v>
      </c>
      <c r="I561" s="51" t="s">
        <v>871</v>
      </c>
      <c r="J561" s="52"/>
    </row>
    <row r="562" spans="3:10">
      <c r="C562" s="23"/>
      <c r="D562" s="51" t="s">
        <v>1672</v>
      </c>
      <c r="E562" s="51" t="s">
        <v>1673</v>
      </c>
      <c r="F562" s="51" t="s">
        <v>868</v>
      </c>
      <c r="G562" s="24" t="s">
        <v>869</v>
      </c>
      <c r="H562" s="51" t="s">
        <v>870</v>
      </c>
      <c r="I562" s="51" t="s">
        <v>871</v>
      </c>
      <c r="J562" s="52"/>
    </row>
    <row r="563" spans="3:10">
      <c r="C563" s="23"/>
      <c r="D563" s="51" t="s">
        <v>1674</v>
      </c>
      <c r="E563" s="51" t="s">
        <v>1675</v>
      </c>
      <c r="F563" s="51" t="s">
        <v>868</v>
      </c>
      <c r="G563" s="24" t="s">
        <v>869</v>
      </c>
      <c r="H563" s="51" t="s">
        <v>870</v>
      </c>
      <c r="I563" s="51" t="s">
        <v>871</v>
      </c>
      <c r="J563" s="52"/>
    </row>
    <row r="564" spans="3:10">
      <c r="C564" s="23"/>
      <c r="D564" s="51" t="s">
        <v>1676</v>
      </c>
      <c r="E564" s="51" t="s">
        <v>1677</v>
      </c>
      <c r="F564" s="51" t="s">
        <v>868</v>
      </c>
      <c r="G564" s="24" t="s">
        <v>869</v>
      </c>
      <c r="H564" s="51" t="s">
        <v>870</v>
      </c>
      <c r="I564" s="51" t="s">
        <v>871</v>
      </c>
      <c r="J564" s="52"/>
    </row>
    <row r="565" spans="3:10">
      <c r="C565" s="23"/>
      <c r="D565" s="51" t="s">
        <v>1678</v>
      </c>
      <c r="E565" s="51" t="s">
        <v>1679</v>
      </c>
      <c r="F565" s="51" t="s">
        <v>868</v>
      </c>
      <c r="G565" s="24" t="s">
        <v>869</v>
      </c>
      <c r="H565" s="51" t="s">
        <v>870</v>
      </c>
      <c r="I565" s="51" t="s">
        <v>871</v>
      </c>
      <c r="J565" s="52"/>
    </row>
    <row r="566" spans="3:10">
      <c r="C566" s="23"/>
      <c r="D566" s="51" t="s">
        <v>1680</v>
      </c>
      <c r="E566" s="51" t="s">
        <v>1681</v>
      </c>
      <c r="F566" s="51" t="s">
        <v>868</v>
      </c>
      <c r="G566" s="24" t="s">
        <v>869</v>
      </c>
      <c r="H566" s="51" t="s">
        <v>870</v>
      </c>
      <c r="I566" s="51" t="s">
        <v>871</v>
      </c>
      <c r="J566" s="52"/>
    </row>
    <row r="567" spans="3:10">
      <c r="C567" s="23"/>
      <c r="D567" s="51" t="s">
        <v>800</v>
      </c>
      <c r="E567" s="51" t="s">
        <v>1682</v>
      </c>
      <c r="F567" s="51" t="s">
        <v>868</v>
      </c>
      <c r="G567" s="24" t="s">
        <v>869</v>
      </c>
      <c r="H567" s="51" t="s">
        <v>870</v>
      </c>
      <c r="I567" s="51" t="s">
        <v>871</v>
      </c>
      <c r="J567" s="52"/>
    </row>
    <row r="568" spans="3:10">
      <c r="C568" s="23"/>
      <c r="D568" s="51" t="s">
        <v>1683</v>
      </c>
      <c r="E568" s="51" t="s">
        <v>1684</v>
      </c>
      <c r="F568" s="51" t="s">
        <v>868</v>
      </c>
      <c r="G568" s="24" t="s">
        <v>869</v>
      </c>
      <c r="H568" s="51" t="s">
        <v>870</v>
      </c>
      <c r="I568" s="51" t="s">
        <v>871</v>
      </c>
      <c r="J568" s="52"/>
    </row>
    <row r="569" spans="3:10">
      <c r="C569" s="23"/>
      <c r="D569" s="51" t="s">
        <v>802</v>
      </c>
      <c r="E569" s="51" t="s">
        <v>1685</v>
      </c>
      <c r="F569" s="51" t="s">
        <v>868</v>
      </c>
      <c r="G569" s="24" t="s">
        <v>869</v>
      </c>
      <c r="H569" s="51" t="s">
        <v>870</v>
      </c>
      <c r="I569" s="51" t="s">
        <v>871</v>
      </c>
      <c r="J569" s="52"/>
    </row>
    <row r="570" spans="3:10">
      <c r="C570" s="23"/>
      <c r="D570" s="51" t="s">
        <v>1686</v>
      </c>
      <c r="E570" s="51" t="s">
        <v>1687</v>
      </c>
      <c r="F570" s="51" t="s">
        <v>868</v>
      </c>
      <c r="G570" s="24" t="s">
        <v>869</v>
      </c>
      <c r="H570" s="51" t="s">
        <v>870</v>
      </c>
      <c r="I570" s="51" t="s">
        <v>871</v>
      </c>
      <c r="J570" s="52"/>
    </row>
    <row r="571" spans="3:10">
      <c r="C571" s="23"/>
      <c r="D571" s="51" t="s">
        <v>1688</v>
      </c>
      <c r="E571" s="51" t="s">
        <v>1689</v>
      </c>
      <c r="F571" s="51" t="s">
        <v>868</v>
      </c>
      <c r="G571" s="24" t="s">
        <v>869</v>
      </c>
      <c r="H571" s="51" t="s">
        <v>870</v>
      </c>
      <c r="I571" s="51" t="s">
        <v>871</v>
      </c>
      <c r="J571" s="52"/>
    </row>
    <row r="572" spans="3:10">
      <c r="C572" s="23"/>
      <c r="D572" s="51" t="s">
        <v>1690</v>
      </c>
      <c r="E572" s="51" t="s">
        <v>1691</v>
      </c>
      <c r="F572" s="51" t="s">
        <v>868</v>
      </c>
      <c r="G572" s="25" t="s">
        <v>881</v>
      </c>
      <c r="H572" s="51" t="s">
        <v>870</v>
      </c>
      <c r="I572" s="51" t="s">
        <v>871</v>
      </c>
      <c r="J572" s="52"/>
    </row>
    <row r="573" spans="3:10">
      <c r="C573" s="23"/>
      <c r="D573" s="51" t="s">
        <v>805</v>
      </c>
      <c r="E573" s="51" t="s">
        <v>1692</v>
      </c>
      <c r="F573" s="51" t="s">
        <v>868</v>
      </c>
      <c r="G573" s="24" t="s">
        <v>869</v>
      </c>
      <c r="H573" s="51" t="s">
        <v>870</v>
      </c>
      <c r="I573" s="51" t="s">
        <v>871</v>
      </c>
      <c r="J573" s="52"/>
    </row>
    <row r="574" spans="3:10">
      <c r="C574" s="23"/>
      <c r="D574" s="51" t="s">
        <v>807</v>
      </c>
      <c r="E574" s="51" t="s">
        <v>1693</v>
      </c>
      <c r="F574" s="51" t="s">
        <v>868</v>
      </c>
      <c r="G574" s="24" t="s">
        <v>869</v>
      </c>
      <c r="H574" s="51" t="s">
        <v>870</v>
      </c>
      <c r="I574" s="51" t="s">
        <v>871</v>
      </c>
      <c r="J574" s="52"/>
    </row>
    <row r="575" spans="3:10">
      <c r="C575" s="23"/>
      <c r="D575" s="51" t="s">
        <v>810</v>
      </c>
      <c r="E575" s="51" t="s">
        <v>1694</v>
      </c>
      <c r="F575" s="51" t="s">
        <v>868</v>
      </c>
      <c r="G575" s="24" t="s">
        <v>869</v>
      </c>
      <c r="H575" s="51" t="s">
        <v>870</v>
      </c>
      <c r="I575" s="51" t="s">
        <v>871</v>
      </c>
      <c r="J575" s="52"/>
    </row>
    <row r="576" spans="3:10">
      <c r="C576" s="23"/>
      <c r="D576" s="51" t="s">
        <v>813</v>
      </c>
      <c r="E576" s="51" t="s">
        <v>1695</v>
      </c>
      <c r="F576" s="51" t="s">
        <v>868</v>
      </c>
      <c r="G576" s="24" t="s">
        <v>869</v>
      </c>
      <c r="H576" s="51" t="s">
        <v>870</v>
      </c>
      <c r="I576" s="51" t="s">
        <v>871</v>
      </c>
      <c r="J576" s="52"/>
    </row>
    <row r="577" spans="3:10">
      <c r="C577" s="23"/>
      <c r="D577" s="51" t="s">
        <v>1696</v>
      </c>
      <c r="E577" s="51" t="s">
        <v>1697</v>
      </c>
      <c r="F577" s="51" t="s">
        <v>868</v>
      </c>
      <c r="G577" s="25" t="s">
        <v>881</v>
      </c>
      <c r="H577" s="51" t="s">
        <v>870</v>
      </c>
      <c r="I577" s="51" t="s">
        <v>871</v>
      </c>
      <c r="J577" s="52"/>
    </row>
    <row r="578" spans="3:10">
      <c r="C578" s="23"/>
      <c r="D578" s="51" t="s">
        <v>816</v>
      </c>
      <c r="E578" s="51" t="s">
        <v>1698</v>
      </c>
      <c r="F578" s="51" t="s">
        <v>868</v>
      </c>
      <c r="G578" s="24" t="s">
        <v>869</v>
      </c>
      <c r="H578" s="51" t="s">
        <v>870</v>
      </c>
      <c r="I578" s="51" t="s">
        <v>871</v>
      </c>
      <c r="J578" s="52"/>
    </row>
    <row r="579" spans="3:10">
      <c r="C579" s="23"/>
      <c r="D579" s="51" t="s">
        <v>1699</v>
      </c>
      <c r="E579" s="51" t="s">
        <v>1700</v>
      </c>
      <c r="F579" s="51" t="s">
        <v>868</v>
      </c>
      <c r="G579" s="25" t="s">
        <v>881</v>
      </c>
      <c r="H579" s="51" t="s">
        <v>870</v>
      </c>
      <c r="I579" s="51" t="s">
        <v>871</v>
      </c>
      <c r="J579" s="52"/>
    </row>
    <row r="580" spans="3:10">
      <c r="C580" s="23"/>
      <c r="D580" s="51" t="s">
        <v>818</v>
      </c>
      <c r="E580" s="51" t="s">
        <v>1701</v>
      </c>
      <c r="F580" s="51" t="s">
        <v>868</v>
      </c>
      <c r="G580" s="24" t="s">
        <v>869</v>
      </c>
      <c r="H580" s="51" t="s">
        <v>870</v>
      </c>
      <c r="I580" s="51" t="s">
        <v>871</v>
      </c>
      <c r="J580" s="52"/>
    </row>
    <row r="581" spans="3:10">
      <c r="C581" s="23"/>
      <c r="D581" s="51" t="s">
        <v>1702</v>
      </c>
      <c r="E581" s="51" t="s">
        <v>1703</v>
      </c>
      <c r="F581" s="51" t="s">
        <v>868</v>
      </c>
      <c r="G581" s="24" t="s">
        <v>869</v>
      </c>
      <c r="H581" s="51" t="s">
        <v>870</v>
      </c>
      <c r="I581" s="51" t="s">
        <v>871</v>
      </c>
      <c r="J581" s="52"/>
    </row>
    <row r="582" spans="3:10">
      <c r="C582" s="23"/>
      <c r="D582" s="51" t="s">
        <v>820</v>
      </c>
      <c r="E582" s="51" t="s">
        <v>1704</v>
      </c>
      <c r="F582" s="51" t="s">
        <v>868</v>
      </c>
      <c r="G582" s="24" t="s">
        <v>869</v>
      </c>
      <c r="H582" s="51" t="s">
        <v>870</v>
      </c>
      <c r="I582" s="51" t="s">
        <v>871</v>
      </c>
      <c r="J582" s="52"/>
    </row>
    <row r="583" spans="3:10">
      <c r="C583" s="23"/>
      <c r="D583" s="51" t="s">
        <v>822</v>
      </c>
      <c r="E583" s="51" t="s">
        <v>1705</v>
      </c>
      <c r="F583" s="51" t="s">
        <v>868</v>
      </c>
      <c r="G583" s="24" t="s">
        <v>869</v>
      </c>
      <c r="H583" s="51" t="s">
        <v>870</v>
      </c>
      <c r="I583" s="51" t="s">
        <v>871</v>
      </c>
      <c r="J583" s="52"/>
    </row>
    <row r="584" spans="3:10">
      <c r="C584" s="23"/>
      <c r="D584" s="51" t="s">
        <v>1706</v>
      </c>
      <c r="E584" s="51" t="s">
        <v>1707</v>
      </c>
      <c r="F584" s="51" t="s">
        <v>868</v>
      </c>
      <c r="G584" s="25" t="s">
        <v>881</v>
      </c>
      <c r="H584" s="51" t="s">
        <v>870</v>
      </c>
      <c r="I584" s="51" t="s">
        <v>871</v>
      </c>
      <c r="J584" s="52"/>
    </row>
    <row r="585" spans="3:10">
      <c r="C585" s="23"/>
      <c r="D585" s="51" t="s">
        <v>1708</v>
      </c>
      <c r="E585" s="51" t="s">
        <v>1709</v>
      </c>
      <c r="F585" s="51" t="s">
        <v>868</v>
      </c>
      <c r="G585" s="25" t="s">
        <v>881</v>
      </c>
      <c r="H585" s="51" t="s">
        <v>870</v>
      </c>
      <c r="I585" s="51" t="s">
        <v>871</v>
      </c>
      <c r="J585" s="52"/>
    </row>
    <row r="586" spans="3:10">
      <c r="C586" s="23"/>
      <c r="D586" s="51" t="s">
        <v>824</v>
      </c>
      <c r="E586" s="51" t="s">
        <v>1710</v>
      </c>
      <c r="F586" s="51" t="s">
        <v>868</v>
      </c>
      <c r="G586" s="24" t="s">
        <v>869</v>
      </c>
      <c r="H586" s="51" t="s">
        <v>870</v>
      </c>
      <c r="I586" s="51" t="s">
        <v>871</v>
      </c>
      <c r="J586" s="52"/>
    </row>
    <row r="587" spans="3:10">
      <c r="C587" s="23"/>
      <c r="D587" s="51" t="s">
        <v>826</v>
      </c>
      <c r="E587" s="51" t="s">
        <v>1711</v>
      </c>
      <c r="F587" s="51" t="s">
        <v>868</v>
      </c>
      <c r="G587" s="24" t="s">
        <v>869</v>
      </c>
      <c r="H587" s="51" t="s">
        <v>870</v>
      </c>
      <c r="I587" s="51" t="s">
        <v>871</v>
      </c>
      <c r="J587" s="52"/>
    </row>
    <row r="588" spans="3:10">
      <c r="C588" s="23"/>
      <c r="D588" s="51" t="s">
        <v>829</v>
      </c>
      <c r="E588" s="51" t="s">
        <v>1712</v>
      </c>
      <c r="F588" s="51" t="s">
        <v>868</v>
      </c>
      <c r="G588" s="24" t="s">
        <v>869</v>
      </c>
      <c r="H588" s="51" t="s">
        <v>870</v>
      </c>
      <c r="I588" s="51" t="s">
        <v>871</v>
      </c>
      <c r="J588" s="52"/>
    </row>
    <row r="589" spans="3:10">
      <c r="C589" s="23"/>
      <c r="D589" s="51" t="s">
        <v>832</v>
      </c>
      <c r="E589" s="51" t="s">
        <v>1713</v>
      </c>
      <c r="F589" s="51" t="s">
        <v>868</v>
      </c>
      <c r="G589" s="24" t="s">
        <v>869</v>
      </c>
      <c r="H589" s="51" t="s">
        <v>870</v>
      </c>
      <c r="I589" s="51" t="s">
        <v>871</v>
      </c>
      <c r="J589" s="52"/>
    </row>
    <row r="590" spans="3:10">
      <c r="C590" s="23"/>
      <c r="D590" s="51" t="s">
        <v>1714</v>
      </c>
      <c r="E590" s="51" t="s">
        <v>1715</v>
      </c>
      <c r="F590" s="51" t="s">
        <v>868</v>
      </c>
      <c r="G590" s="26" t="s">
        <v>892</v>
      </c>
      <c r="H590" s="51" t="s">
        <v>870</v>
      </c>
      <c r="I590" s="51" t="s">
        <v>871</v>
      </c>
      <c r="J590" s="52"/>
    </row>
    <row r="591" spans="3:10">
      <c r="C591" s="23"/>
      <c r="D591" s="51" t="s">
        <v>835</v>
      </c>
      <c r="E591" s="51" t="s">
        <v>1716</v>
      </c>
      <c r="F591" s="51" t="s">
        <v>868</v>
      </c>
      <c r="G591" s="26" t="s">
        <v>892</v>
      </c>
      <c r="H591" s="51" t="s">
        <v>870</v>
      </c>
      <c r="I591" s="51" t="s">
        <v>871</v>
      </c>
      <c r="J591" s="52"/>
    </row>
    <row r="592" spans="3:10">
      <c r="C592" s="23"/>
      <c r="D592" s="51" t="s">
        <v>837</v>
      </c>
      <c r="E592" s="51" t="s">
        <v>1717</v>
      </c>
      <c r="F592" s="51" t="s">
        <v>868</v>
      </c>
      <c r="G592" s="24" t="s">
        <v>869</v>
      </c>
      <c r="H592" s="51" t="s">
        <v>870</v>
      </c>
      <c r="I592" s="51" t="s">
        <v>871</v>
      </c>
      <c r="J592" s="52"/>
    </row>
    <row r="593" spans="3:10">
      <c r="C593" s="23"/>
      <c r="D593" s="51" t="s">
        <v>1718</v>
      </c>
      <c r="E593" s="51" t="s">
        <v>1719</v>
      </c>
      <c r="F593" s="51" t="s">
        <v>868</v>
      </c>
      <c r="G593" s="25" t="s">
        <v>881</v>
      </c>
      <c r="H593" s="51" t="s">
        <v>870</v>
      </c>
      <c r="I593" s="51" t="s">
        <v>871</v>
      </c>
      <c r="J593" s="52"/>
    </row>
    <row r="594" spans="3:10">
      <c r="C594" s="23"/>
      <c r="D594" s="51" t="s">
        <v>839</v>
      </c>
      <c r="E594" s="51" t="s">
        <v>1720</v>
      </c>
      <c r="F594" s="51" t="s">
        <v>868</v>
      </c>
      <c r="G594" s="24" t="s">
        <v>869</v>
      </c>
      <c r="H594" s="51" t="s">
        <v>870</v>
      </c>
      <c r="I594" s="51" t="s">
        <v>871</v>
      </c>
      <c r="J594" s="52"/>
    </row>
    <row r="595" spans="3:10">
      <c r="C595" s="23"/>
      <c r="D595" s="51" t="s">
        <v>841</v>
      </c>
      <c r="E595" s="51" t="s">
        <v>1721</v>
      </c>
      <c r="F595" s="51" t="s">
        <v>868</v>
      </c>
      <c r="G595" s="24" t="s">
        <v>869</v>
      </c>
      <c r="H595" s="51" t="s">
        <v>870</v>
      </c>
      <c r="I595" s="51" t="s">
        <v>871</v>
      </c>
      <c r="J595" s="52"/>
    </row>
    <row r="596" spans="3:10">
      <c r="C596" s="23"/>
      <c r="D596" s="51" t="s">
        <v>1722</v>
      </c>
      <c r="E596" s="51" t="s">
        <v>1723</v>
      </c>
      <c r="F596" s="51" t="s">
        <v>868</v>
      </c>
      <c r="G596" s="24" t="s">
        <v>869</v>
      </c>
      <c r="H596" s="51" t="s">
        <v>870</v>
      </c>
      <c r="I596" s="51" t="s">
        <v>871</v>
      </c>
      <c r="J596" s="52"/>
    </row>
    <row r="597" spans="3:10">
      <c r="C597" s="23"/>
      <c r="D597" s="51" t="s">
        <v>1724</v>
      </c>
      <c r="E597" s="51" t="s">
        <v>1725</v>
      </c>
      <c r="F597" s="51" t="s">
        <v>868</v>
      </c>
      <c r="G597" s="24" t="s">
        <v>869</v>
      </c>
      <c r="H597" s="51" t="s">
        <v>870</v>
      </c>
      <c r="I597" s="51" t="s">
        <v>871</v>
      </c>
      <c r="J597" s="52"/>
    </row>
    <row r="598" spans="3:10">
      <c r="C598" s="23"/>
      <c r="D598" s="51" t="s">
        <v>843</v>
      </c>
      <c r="E598" s="51" t="s">
        <v>1726</v>
      </c>
      <c r="F598" s="51" t="s">
        <v>868</v>
      </c>
      <c r="G598" s="24" t="s">
        <v>869</v>
      </c>
      <c r="H598" s="51" t="s">
        <v>870</v>
      </c>
      <c r="I598" s="51" t="s">
        <v>871</v>
      </c>
      <c r="J598" s="52"/>
    </row>
    <row r="599" spans="3:10">
      <c r="C599" s="23"/>
      <c r="D599" s="51" t="s">
        <v>1727</v>
      </c>
      <c r="E599" s="51" t="s">
        <v>1728</v>
      </c>
      <c r="F599" s="51" t="s">
        <v>868</v>
      </c>
      <c r="G599" s="24" t="s">
        <v>869</v>
      </c>
      <c r="H599" s="51" t="s">
        <v>870</v>
      </c>
      <c r="I599" s="51" t="s">
        <v>871</v>
      </c>
      <c r="J599" s="52"/>
    </row>
    <row r="600" spans="3:10">
      <c r="C600" s="23"/>
      <c r="D600" s="51" t="s">
        <v>1729</v>
      </c>
      <c r="E600" s="51" t="s">
        <v>1730</v>
      </c>
      <c r="F600" s="51" t="s">
        <v>868</v>
      </c>
      <c r="G600" s="24" t="s">
        <v>869</v>
      </c>
      <c r="H600" s="51" t="s">
        <v>870</v>
      </c>
      <c r="I600" s="51" t="s">
        <v>871</v>
      </c>
      <c r="J600" s="52"/>
    </row>
    <row r="601" spans="3:10">
      <c r="C601" s="23"/>
      <c r="D601" s="51" t="s">
        <v>845</v>
      </c>
      <c r="E601" s="51" t="s">
        <v>1731</v>
      </c>
      <c r="F601" s="51" t="s">
        <v>868</v>
      </c>
      <c r="G601" s="24" t="s">
        <v>869</v>
      </c>
      <c r="H601" s="51" t="s">
        <v>870</v>
      </c>
      <c r="I601" s="51" t="s">
        <v>871</v>
      </c>
      <c r="J601" s="52"/>
    </row>
    <row r="602" spans="3:10">
      <c r="C602" s="23"/>
      <c r="D602" s="51" t="s">
        <v>1732</v>
      </c>
      <c r="E602" s="51" t="s">
        <v>1733</v>
      </c>
      <c r="F602" s="51" t="s">
        <v>868</v>
      </c>
      <c r="G602" s="24" t="s">
        <v>869</v>
      </c>
      <c r="H602" s="51" t="s">
        <v>870</v>
      </c>
      <c r="I602" s="51" t="s">
        <v>871</v>
      </c>
      <c r="J602" s="52"/>
    </row>
    <row r="603" spans="3:10">
      <c r="C603" s="23"/>
      <c r="D603" s="51" t="s">
        <v>848</v>
      </c>
      <c r="E603" s="51" t="s">
        <v>1734</v>
      </c>
      <c r="F603" s="51" t="s">
        <v>868</v>
      </c>
      <c r="G603" s="24" t="s">
        <v>869</v>
      </c>
      <c r="H603" s="51" t="s">
        <v>870</v>
      </c>
      <c r="I603" s="51" t="s">
        <v>871</v>
      </c>
      <c r="J603" s="52"/>
    </row>
    <row r="604" spans="3:10">
      <c r="C604" s="23"/>
      <c r="D604" s="51" t="s">
        <v>850</v>
      </c>
      <c r="E604" s="51" t="s">
        <v>1735</v>
      </c>
      <c r="F604" s="51" t="s">
        <v>868</v>
      </c>
      <c r="G604" s="24" t="s">
        <v>869</v>
      </c>
      <c r="H604" s="51" t="s">
        <v>870</v>
      </c>
      <c r="I604" s="51" t="s">
        <v>871</v>
      </c>
      <c r="J604" s="52"/>
    </row>
    <row r="605" spans="3:10">
      <c r="C605" s="23"/>
      <c r="D605" s="51" t="s">
        <v>1736</v>
      </c>
      <c r="E605" s="51" t="s">
        <v>1737</v>
      </c>
      <c r="F605" s="51" t="s">
        <v>868</v>
      </c>
      <c r="G605" s="26" t="s">
        <v>892</v>
      </c>
      <c r="H605" s="51" t="s">
        <v>870</v>
      </c>
      <c r="I605" s="51" t="s">
        <v>871</v>
      </c>
      <c r="J605" s="52"/>
    </row>
    <row r="606" spans="3:10">
      <c r="C606" s="27"/>
      <c r="D606" s="53" t="s">
        <v>1738</v>
      </c>
      <c r="E606" s="53" t="s">
        <v>1739</v>
      </c>
      <c r="F606" s="53" t="s">
        <v>868</v>
      </c>
      <c r="G606" s="28" t="s">
        <v>869</v>
      </c>
      <c r="H606" s="53" t="s">
        <v>870</v>
      </c>
      <c r="I606" s="53" t="s">
        <v>871</v>
      </c>
      <c r="J606" s="54"/>
    </row>
    <row r="607" spans="3:10">
      <c r="C607" s="23"/>
      <c r="D607" s="51" t="s">
        <v>1740</v>
      </c>
      <c r="E607" s="51" t="s">
        <v>1741</v>
      </c>
      <c r="F607" s="51" t="s">
        <v>868</v>
      </c>
      <c r="G607" s="24" t="s">
        <v>869</v>
      </c>
      <c r="H607" s="51" t="s">
        <v>870</v>
      </c>
      <c r="I607" s="51" t="s">
        <v>871</v>
      </c>
      <c r="J607" s="52"/>
    </row>
  </sheetData>
  <mergeCells count="7">
    <mergeCell ref="J405:J406"/>
    <mergeCell ref="C405:C406"/>
    <mergeCell ref="D405:D406"/>
    <mergeCell ref="F405:F406"/>
    <mergeCell ref="G405:G406"/>
    <mergeCell ref="H405:H406"/>
    <mergeCell ref="I405:I406"/>
  </mergeCells>
  <hyperlinks>
    <hyperlink ref="C3" r:id="rId1" display="https://amp.vexpenses.com/settings/membros-de-equipe/895944" xr:uid="{2BF38B27-4EE2-4102-883C-06043A3016BB}"/>
    <hyperlink ref="C4" r:id="rId2" display="https://amp.vexpenses.com/settings/membros-de-equipe/923558" xr:uid="{67F3584C-20F4-4A1D-BE86-843FA6437EEA}"/>
    <hyperlink ref="C5" r:id="rId3" display="https://amp.vexpenses.com/settings/membros-de-equipe/895945" xr:uid="{145968C3-FF55-4727-A5F3-D4C70FC88DF4}"/>
    <hyperlink ref="C6" r:id="rId4" display="https://amp.vexpenses.com/settings/membros-de-equipe/895946" xr:uid="{A55D3933-85A9-4842-920F-61ACA28378DD}"/>
    <hyperlink ref="C7" r:id="rId5" display="https://amp.vexpenses.com/settings/membros-de-equipe/1071869" xr:uid="{F0D18D48-F79E-411F-BC4A-E3A51CC04C69}"/>
    <hyperlink ref="C8" r:id="rId6" display="https://amp.vexpenses.com/settings/membros-de-equipe/895947" xr:uid="{2E1C46F4-80DA-4620-881E-27FC28A661DE}"/>
    <hyperlink ref="C9" r:id="rId7" display="https://amp.vexpenses.com/settings/membros-de-equipe/895948" xr:uid="{073C7B5B-9CD2-4AF2-B092-BACC90B41C17}"/>
    <hyperlink ref="C10" r:id="rId8" display="https://amp.vexpenses.com/settings/membros-de-equipe/895949" xr:uid="{E9587B3A-0476-42C5-87DE-EFC2E7CE96C8}"/>
    <hyperlink ref="C11" r:id="rId9" display="https://amp.vexpenses.com/settings/membros-de-equipe/978182" xr:uid="{77B376BB-FFE1-407D-9AFC-F93BF2F4A9FB}"/>
    <hyperlink ref="C12" r:id="rId10" display="https://amp.vexpenses.com/settings/membros-de-equipe/895950" xr:uid="{69ED0ED4-B661-40B7-B345-1ABAFD144443}"/>
    <hyperlink ref="C13" r:id="rId11" display="https://amp.vexpenses.com/settings/membros-de-equipe/895951" xr:uid="{9DB9A912-7A85-4AF0-8C97-6CF37EAD84C9}"/>
    <hyperlink ref="C14" r:id="rId12" display="https://amp.vexpenses.com/settings/membros-de-equipe/895952" xr:uid="{5EB48269-5035-447B-9D22-865972C667B6}"/>
    <hyperlink ref="C15" r:id="rId13" display="https://amp.vexpenses.com/settings/membros-de-equipe/895954" xr:uid="{A0CA5DA3-1DF4-48E0-9337-5E8835F7BE98}"/>
    <hyperlink ref="C16" r:id="rId14" display="https://amp.vexpenses.com/settings/membros-de-equipe/895955" xr:uid="{3873D34B-DEB7-41AF-B56E-60F1AD415939}"/>
    <hyperlink ref="C17" r:id="rId15" display="https://amp.vexpenses.com/settings/membros-de-equipe/895956" xr:uid="{41033C75-5126-4050-81EA-0F5282F5A9C6}"/>
    <hyperlink ref="C18" r:id="rId16" display="https://amp.vexpenses.com/settings/membros-de-equipe/985870" xr:uid="{13DC07F2-81A1-4367-8902-68060CEFFD31}"/>
    <hyperlink ref="C19" r:id="rId17" display="https://amp.vexpenses.com/settings/membros-de-equipe/916910" xr:uid="{9C636108-2AB3-404C-9664-95502AC73CAF}"/>
    <hyperlink ref="C20" r:id="rId18" display="https://amp.vexpenses.com/settings/membros-de-equipe/895957" xr:uid="{B10B0811-072B-4677-B8FC-1F70711F2046}"/>
    <hyperlink ref="C21" r:id="rId19" display="https://amp.vexpenses.com/settings/membros-de-equipe/929763" xr:uid="{1B7463E7-347E-4F5D-A0D0-3EA74BF6521B}"/>
    <hyperlink ref="C22" r:id="rId20" display="https://amp.vexpenses.com/settings/membros-de-equipe/895959" xr:uid="{739ECA44-B2D8-4CF1-B0C1-78E407C6CE60}"/>
    <hyperlink ref="C23" r:id="rId21" display="https://amp.vexpenses.com/settings/membros-de-equipe/895961" xr:uid="{1C0B0556-ADBB-4364-B73A-3A88975BB320}"/>
    <hyperlink ref="C24" r:id="rId22" display="https://amp.vexpenses.com/settings/membros-de-equipe/895962" xr:uid="{1987FD2A-60B0-4C63-B0E1-0026BE026AA6}"/>
    <hyperlink ref="C25" r:id="rId23" display="https://amp.vexpenses.com/settings/membros-de-equipe/1063501" xr:uid="{6AB0D8A7-4977-40BA-BC15-6B728955C3BE}"/>
    <hyperlink ref="C26" r:id="rId24" display="https://amp.vexpenses.com/settings/membros-de-equipe/895963" xr:uid="{B2EED30B-6C82-468F-80CF-D1A2854663BE}"/>
    <hyperlink ref="C27" r:id="rId25" display="https://amp.vexpenses.com/settings/membros-de-equipe/895964" xr:uid="{41B53A1F-FC24-40BD-80BE-EDBBE9336482}"/>
    <hyperlink ref="C28" r:id="rId26" display="https://amp.vexpenses.com/settings/membros-de-equipe/1071873" xr:uid="{DCC213ED-AB4C-4E86-938F-073454A0DB2D}"/>
    <hyperlink ref="C29" r:id="rId27" display="https://amp.vexpenses.com/settings/membros-de-equipe/895965" xr:uid="{860D53B2-E86A-4D48-8DEC-5513777ADB34}"/>
    <hyperlink ref="C30" r:id="rId28" display="https://amp.vexpenses.com/settings/membros-de-equipe/917314" xr:uid="{3D6CADFA-8145-4D18-BC85-E446D9F828B4}"/>
    <hyperlink ref="C31" r:id="rId29" display="https://amp.vexpenses.com/settings/membros-de-equipe/895966" xr:uid="{8137F928-B13D-489D-BA1E-1900D215137A}"/>
    <hyperlink ref="C32" r:id="rId30" display="https://amp.vexpenses.com/settings/membros-de-equipe/895967" xr:uid="{CD391DFA-0EE7-4765-9D68-1CB258904DFD}"/>
    <hyperlink ref="C33" r:id="rId31" display="https://amp.vexpenses.com/settings/membros-de-equipe/895968" xr:uid="{62AEEB7B-88B0-4FA6-9956-E98AE64DCC4D}"/>
    <hyperlink ref="C34" r:id="rId32" display="https://amp.vexpenses.com/settings/membros-de-equipe/1133255" xr:uid="{F98F2638-1C80-40D6-8F51-67EEC39F03B8}"/>
    <hyperlink ref="C35" r:id="rId33" display="https://amp.vexpenses.com/settings/membros-de-equipe/917318" xr:uid="{5ACD5EF5-BFD4-4852-96BC-D9F175E16C22}"/>
    <hyperlink ref="C36" r:id="rId34" display="https://amp.vexpenses.com/settings/membros-de-equipe/1033749" xr:uid="{910902D5-31A1-49FD-8E50-4EF81466E163}"/>
    <hyperlink ref="C37" r:id="rId35" display="https://amp.vexpenses.com/settings/membros-de-equipe/1106575" xr:uid="{A9A1B6FB-920B-437B-B858-4A0AFA7CB260}"/>
    <hyperlink ref="C38" r:id="rId36" display="https://amp.vexpenses.com/settings/membros-de-equipe/895969" xr:uid="{64BBCDC8-76B3-4389-9CC3-5E2E1CD5C49E}"/>
    <hyperlink ref="C39" r:id="rId37" display="https://amp.vexpenses.com/settings/membros-de-equipe/918852" xr:uid="{7A4233F5-873C-4EB7-AD63-55356288A374}"/>
    <hyperlink ref="C40" r:id="rId38" display="https://amp.vexpenses.com/settings/membros-de-equipe/895970" xr:uid="{7460BF90-B8C5-40FB-8E14-79F0599BA977}"/>
    <hyperlink ref="C41" r:id="rId39" display="https://amp.vexpenses.com/settings/membros-de-equipe/1063505" xr:uid="{A128B186-CB68-481C-8197-54E101BEB47C}"/>
    <hyperlink ref="C42" r:id="rId40" display="https://amp.vexpenses.com/settings/membros-de-equipe/895972" xr:uid="{09642CDF-18EB-46D6-982E-0A8406F02D77}"/>
    <hyperlink ref="C43" r:id="rId41" display="https://amp.vexpenses.com/settings/membros-de-equipe/966263" xr:uid="{F545476D-AC59-4303-8F1B-7263C0333A1F}"/>
    <hyperlink ref="C44" r:id="rId42" display="https://amp.vexpenses.com/settings/membros-de-equipe/895974" xr:uid="{7D52B45C-01D9-41AC-88CF-D717E3A7D08A}"/>
    <hyperlink ref="C45" r:id="rId43" display="https://amp.vexpenses.com/settings/membros-de-equipe/929757" xr:uid="{579CF052-F340-4157-BB58-4BC2FCB465C2}"/>
    <hyperlink ref="C46" r:id="rId44" display="https://amp.vexpenses.com/settings/membros-de-equipe/895977" xr:uid="{F9C2F4DB-831F-45FF-9263-92D85D6B3150}"/>
    <hyperlink ref="C47" r:id="rId45" display="https://amp.vexpenses.com/settings/membros-de-equipe/895978" xr:uid="{0D307A6B-7D28-42D6-AD14-17B0BBE89EB1}"/>
    <hyperlink ref="C48" r:id="rId46" display="https://amp.vexpenses.com/settings/membros-de-equipe/1054492" xr:uid="{3C6AC742-6077-42CC-915F-43412943421A}"/>
    <hyperlink ref="C49" r:id="rId47" display="https://amp.vexpenses.com/settings/membros-de-equipe/1114311" xr:uid="{B9633C61-9727-4B1D-9D4E-DAA1CFAF95DB}"/>
    <hyperlink ref="C50" r:id="rId48" display="https://amp.vexpenses.com/settings/membros-de-equipe/1040950" xr:uid="{F385E99A-EDDC-419B-8F0B-988D2B34C095}"/>
    <hyperlink ref="C51" r:id="rId49" display="https://amp.vexpenses.com/settings/membros-de-equipe/934784" xr:uid="{E8D79027-27D2-4BAE-97C2-35854FCCF90D}"/>
    <hyperlink ref="C52" r:id="rId50" display="https://amp.vexpenses.com/settings/membros-de-equipe/1059840" xr:uid="{D00A45C4-E2A3-4D18-8040-ABB19AB11E36}"/>
    <hyperlink ref="C54" r:id="rId51" display="https://amp.vexpenses.com/settings/membros-de-equipe/917324" xr:uid="{EBC03A50-E354-40BD-BFE5-B2E1181C1F8F}"/>
    <hyperlink ref="C55" r:id="rId52" display="https://amp.vexpenses.com/settings/membros-de-equipe/895982" xr:uid="{40104C6E-0CB8-4127-8ABB-CE123C0FAB56}"/>
    <hyperlink ref="C56" r:id="rId53" display="https://amp.vexpenses.com/settings/membros-de-equipe/895983" xr:uid="{927D99CE-E9F3-4692-8888-ED9A11AA84E4}"/>
    <hyperlink ref="C57" r:id="rId54" display="https://amp.vexpenses.com/settings/membros-de-equipe/895984" xr:uid="{A9E1EEC9-DCAC-4D3A-9C0D-4EA73BB27D8C}"/>
    <hyperlink ref="C58" r:id="rId55" display="https://amp.vexpenses.com/settings/membros-de-equipe/895985" xr:uid="{C91AEE88-4904-445C-8841-304028746BF4}"/>
    <hyperlink ref="C59" r:id="rId56" display="https://amp.vexpenses.com/settings/membros-de-equipe/916889" xr:uid="{77BDC71C-B80D-4F46-8DFA-8F157EF3B00D}"/>
    <hyperlink ref="C60" r:id="rId57" display="https://amp.vexpenses.com/settings/membros-de-equipe/895986" xr:uid="{C5BC0106-CCD2-4201-9CFD-B681B96100F3}"/>
    <hyperlink ref="C61" r:id="rId58" display="https://amp.vexpenses.com/settings/membros-de-equipe/891977" xr:uid="{22CA23E2-2D0B-4BF3-8D36-9212F1F988C8}"/>
    <hyperlink ref="C62" r:id="rId59" display="https://amp.vexpenses.com/settings/membros-de-equipe/895988" xr:uid="{72FCB33E-D43F-4505-A618-CAA57A3D68E7}"/>
    <hyperlink ref="C63" r:id="rId60" display="https://amp.vexpenses.com/settings/membros-de-equipe/1115604" xr:uid="{59EAFFF6-50F6-4ECD-825D-DF20631CEF05}"/>
    <hyperlink ref="C64" r:id="rId61" display="https://amp.vexpenses.com/settings/membros-de-equipe/1047085" xr:uid="{1FF7D997-34D6-41B1-8DDA-8A3F11B60B22}"/>
    <hyperlink ref="C65" r:id="rId62" display="https://amp.vexpenses.com/settings/membros-de-equipe/895991" xr:uid="{398FF27C-D1EA-4FC2-8CC4-2A314EFAEE1C}"/>
    <hyperlink ref="C66" r:id="rId63" display="https://amp.vexpenses.com/settings/membros-de-equipe/895992" xr:uid="{1F012DC9-42A5-46DD-8F44-01206DE3F7FC}"/>
    <hyperlink ref="C67" r:id="rId64" display="https://amp.vexpenses.com/settings/membros-de-equipe/895993" xr:uid="{93B16F71-1422-4A29-B906-17749479D867}"/>
    <hyperlink ref="C68" r:id="rId65" display="https://amp.vexpenses.com/settings/membros-de-equipe/895994" xr:uid="{6EC57D69-BE6E-455F-BB3D-2BD8D3445D35}"/>
    <hyperlink ref="C69" r:id="rId66" display="https://amp.vexpenses.com/settings/membros-de-equipe/982780" xr:uid="{CDD8E1FD-5197-47AB-8CF8-AADC6F6B7F49}"/>
    <hyperlink ref="C70" r:id="rId67" display="https://amp.vexpenses.com/settings/membros-de-equipe/920071" xr:uid="{E9978B10-0034-44DC-9BD1-9E4DAA473FE1}"/>
    <hyperlink ref="C71" r:id="rId68" display="https://amp.vexpenses.com/settings/membros-de-equipe/1083302" xr:uid="{90E64983-840A-45BE-B36F-637070350EF2}"/>
    <hyperlink ref="C72" r:id="rId69" display="https://amp.vexpenses.com/settings/membros-de-equipe/895996" xr:uid="{426B92B2-44F8-4896-9D7A-7688A7D18464}"/>
    <hyperlink ref="C73" r:id="rId70" display="https://amp.vexpenses.com/settings/membros-de-equipe/973987" xr:uid="{E4C895FF-45C3-41BE-A91D-368DD52FC90D}"/>
    <hyperlink ref="C74" r:id="rId71" display="https://amp.vexpenses.com/settings/membros-de-equipe/895997" xr:uid="{1F14DBF8-45E0-44DA-AAA1-9DCF9A1717FB}"/>
    <hyperlink ref="C75" r:id="rId72" display="https://amp.vexpenses.com/settings/membros-de-equipe/917085" xr:uid="{CFFAC7CA-7D59-4453-852F-3A926BC2B502}"/>
    <hyperlink ref="C76" r:id="rId73" display="https://amp.vexpenses.com/settings/membros-de-equipe/930416" xr:uid="{6A965D4B-AFC2-4DCF-B610-974AEC101D1D}"/>
    <hyperlink ref="C77" r:id="rId74" display="https://amp.vexpenses.com/settings/membros-de-equipe/895999" xr:uid="{7EC45D92-3FF2-4F71-9629-0B867E1B6840}"/>
    <hyperlink ref="C78" r:id="rId75" display="https://amp.vexpenses.com/settings/membros-de-equipe/896000" xr:uid="{3F574875-E280-44BE-AB3F-33C5444EEA56}"/>
    <hyperlink ref="C79" r:id="rId76" display="https://amp.vexpenses.com/settings/membros-de-equipe/896001" xr:uid="{FB61C979-397D-48BB-997A-F93EB88750F1}"/>
    <hyperlink ref="C80" r:id="rId77" display="https://amp.vexpenses.com/settings/membros-de-equipe/1017677" xr:uid="{033A8325-49F4-4999-8A21-CB78D5FD616F}"/>
    <hyperlink ref="C81" r:id="rId78" display="https://amp.vexpenses.com/settings/membros-de-equipe/896002" xr:uid="{7B554533-EB3C-4487-9546-B49BDD593DB6}"/>
    <hyperlink ref="C82" r:id="rId79" display="https://amp.vexpenses.com/settings/membros-de-equipe/896003" xr:uid="{556789B0-1080-4D14-BCBC-B9FE801281E7}"/>
    <hyperlink ref="C83" r:id="rId80" display="https://amp.vexpenses.com/settings/membros-de-equipe/1129186" xr:uid="{30A517D1-1014-497D-B1AE-C245BAFBB14E}"/>
    <hyperlink ref="C84" r:id="rId81" display="https://amp.vexpenses.com/settings/membros-de-equipe/896004" xr:uid="{3B927E6F-3B2E-4137-B576-19DF3A4FB7BF}"/>
    <hyperlink ref="C85" r:id="rId82" display="https://amp.vexpenses.com/settings/membros-de-equipe/1068617" xr:uid="{C8398E86-1DE0-49AE-ABFB-B7EB812680AE}"/>
    <hyperlink ref="C86" r:id="rId83" display="https://amp.vexpenses.com/settings/membros-de-equipe/896006" xr:uid="{F50D96B1-151A-4B7E-9EFD-36FC71F2C815}"/>
    <hyperlink ref="C87" r:id="rId84" display="https://amp.vexpenses.com/settings/membros-de-equipe/896007" xr:uid="{6882DA00-FC16-4471-BD07-2658C7FE198E}"/>
    <hyperlink ref="C88" r:id="rId85" display="https://amp.vexpenses.com/settings/membros-de-equipe/896008" xr:uid="{7516DD24-6877-4EB8-A81F-AA6939F622CD}"/>
    <hyperlink ref="C89" r:id="rId86" display="https://amp.vexpenses.com/settings/membros-de-equipe/1010642" xr:uid="{77BC9C90-1C88-4D31-9F9F-98B6F6AF5EFC}"/>
    <hyperlink ref="C90" r:id="rId87" display="https://amp.vexpenses.com/settings/membros-de-equipe/896009" xr:uid="{5573D053-618D-4BB1-9381-6385D61F2518}"/>
    <hyperlink ref="C91" r:id="rId88" display="https://amp.vexpenses.com/settings/membros-de-equipe/896010" xr:uid="{895BA84E-971F-4180-84C1-36A799478CCF}"/>
    <hyperlink ref="C92" r:id="rId89" display="https://amp.vexpenses.com/settings/membros-de-equipe/896011" xr:uid="{A9E3E813-D063-4EDD-B2F3-1DB70E3B1AFF}"/>
    <hyperlink ref="C93" r:id="rId90" display="https://amp.vexpenses.com/settings/membros-de-equipe/896012" xr:uid="{605F6578-61AA-4D84-AF46-B845CAFB0A17}"/>
    <hyperlink ref="C94" r:id="rId91" display="https://amp.vexpenses.com/settings/membros-de-equipe/896015" xr:uid="{FD0CA5DD-851A-45C2-B595-71922C70E64B}"/>
    <hyperlink ref="C95" r:id="rId92" display="https://amp.vexpenses.com/settings/membros-de-equipe/930924" xr:uid="{6A0613B2-A609-436C-AAB1-A2FF2AA2E5EB}"/>
    <hyperlink ref="C96" r:id="rId93" display="https://amp.vexpenses.com/settings/membros-de-equipe/896017" xr:uid="{E152B063-E92B-4FAD-9B06-8C0CC6DADCE3}"/>
    <hyperlink ref="C97" r:id="rId94" display="https://amp.vexpenses.com/settings/membros-de-equipe/896018" xr:uid="{E5259DCA-9594-4341-98BC-89F8736287E9}"/>
    <hyperlink ref="C98" r:id="rId95" display="https://amp.vexpenses.com/settings/membros-de-equipe/896019" xr:uid="{E435BE55-C21B-4F8D-A715-B06B13933EF8}"/>
    <hyperlink ref="C99" r:id="rId96" display="https://amp.vexpenses.com/settings/membros-de-equipe/952397" xr:uid="{5E1D0135-1374-41B8-A648-69CD3044BD36}"/>
    <hyperlink ref="C100" r:id="rId97" display="https://amp.vexpenses.com/settings/membros-de-equipe/896020" xr:uid="{CBCC183B-19A9-45FA-AAC0-1E953188E988}"/>
    <hyperlink ref="C101" r:id="rId98" display="https://amp.vexpenses.com/settings/membros-de-equipe/896021" xr:uid="{3807A5C2-B627-4366-B831-29418358183B}"/>
    <hyperlink ref="C102" r:id="rId99" display="https://amp.vexpenses.com/settings/membros-de-equipe/999640" xr:uid="{257DB4EE-1EEB-432D-9885-C9A6CEB1B510}"/>
    <hyperlink ref="C103" r:id="rId100" display="https://amp.vexpenses.com/settings/membros-de-equipe/896023" xr:uid="{81003AD6-26F1-4010-9704-34623D17C784}"/>
    <hyperlink ref="C105" r:id="rId101" display="https://amp.vexpenses.com/settings/membros-de-equipe/1129756" xr:uid="{7473034D-A91A-406D-8838-BFC6286BE297}"/>
    <hyperlink ref="C106" r:id="rId102" display="https://amp.vexpenses.com/settings/membros-de-equipe/1079004" xr:uid="{52C828C2-C363-4C67-A004-15EA31F33CB7}"/>
    <hyperlink ref="C107" r:id="rId103" display="https://amp.vexpenses.com/settings/membros-de-equipe/896024" xr:uid="{5BBB56A6-D8AF-4218-A0BE-485EE91CAB15}"/>
    <hyperlink ref="C108" r:id="rId104" display="https://amp.vexpenses.com/settings/membros-de-equipe/896025" xr:uid="{04761AF8-EB87-43C2-BB8D-94E28A177EAC}"/>
    <hyperlink ref="C109" r:id="rId105" display="https://amp.vexpenses.com/settings/membros-de-equipe/896026" xr:uid="{C2204D09-A893-4353-B26D-3FBFD5B1803D}"/>
    <hyperlink ref="C110" r:id="rId106" display="https://amp.vexpenses.com/settings/membros-de-equipe/896027" xr:uid="{02DA1CE8-5E43-4B02-86F0-D1D2A0D2E776}"/>
    <hyperlink ref="C111" r:id="rId107" display="https://amp.vexpenses.com/settings/membros-de-equipe/896028" xr:uid="{3144DBD3-CBCF-4A6D-9F03-811CDD81F08A}"/>
    <hyperlink ref="C112" r:id="rId108" display="https://amp.vexpenses.com/settings/membros-de-equipe/896030" xr:uid="{1E4F88B7-4FC9-4C40-8DA3-972414E45F16}"/>
    <hyperlink ref="C113" r:id="rId109" display="https://amp.vexpenses.com/settings/membros-de-equipe/896031" xr:uid="{677A045C-04F6-4F65-8168-AB0C1F891DFB}"/>
    <hyperlink ref="C114" r:id="rId110" display="https://amp.vexpenses.com/settings/membros-de-equipe/896033" xr:uid="{EC3C37BB-1ADA-4508-92BB-2E07953617F0}"/>
    <hyperlink ref="C115" r:id="rId111" display="https://amp.vexpenses.com/settings/membros-de-equipe/930403" xr:uid="{E884E6CC-902D-498D-88DA-ECDBBF9F5B5A}"/>
    <hyperlink ref="C116" r:id="rId112" display="https://amp.vexpenses.com/settings/membros-de-equipe/935041" xr:uid="{59168885-C704-46ED-8BC4-53B1E2B40913}"/>
    <hyperlink ref="C117" r:id="rId113" display="https://amp.vexpenses.com/settings/membros-de-equipe/1147652" xr:uid="{7F1FD8B8-FE34-4007-AC6A-6EA8531549A0}"/>
    <hyperlink ref="C118" r:id="rId114" display="https://amp.vexpenses.com/settings/membros-de-equipe/896035" xr:uid="{3EA26549-4859-4BCF-BCEC-5B6B79E18FB0}"/>
    <hyperlink ref="C119" r:id="rId115" display="https://amp.vexpenses.com/settings/membros-de-equipe/896036" xr:uid="{177F5B6A-48CC-4C72-9993-BB681DE9BA11}"/>
    <hyperlink ref="C120" r:id="rId116" display="https://amp.vexpenses.com/settings/membros-de-equipe/1077041" xr:uid="{81FE122F-478D-4478-9E0E-935708C667C1}"/>
    <hyperlink ref="C121" r:id="rId117" display="https://amp.vexpenses.com/settings/membros-de-equipe/890792" xr:uid="{0F19EDC1-4ECD-479C-9333-E62DAD9EAD2C}"/>
    <hyperlink ref="C122" r:id="rId118" display="https://amp.vexpenses.com/settings/membros-de-equipe/896037" xr:uid="{F2526DC4-60F7-4ADE-8D6E-6DC9A6C08E6B}"/>
    <hyperlink ref="C123" r:id="rId119" display="https://amp.vexpenses.com/settings/membros-de-equipe/916919" xr:uid="{E04685C2-AE62-4847-8C5E-1E17BF019670}"/>
    <hyperlink ref="C124" r:id="rId120" display="https://amp.vexpenses.com/settings/membros-de-equipe/896040" xr:uid="{B5D59660-5375-4DF0-8DAC-E6AADDBA4961}"/>
    <hyperlink ref="C125" r:id="rId121" display="https://amp.vexpenses.com/settings/membros-de-equipe/923635" xr:uid="{1B554B9E-C2A6-43ED-82CC-BA7D30682A71}"/>
    <hyperlink ref="C126" r:id="rId122" display="https://amp.vexpenses.com/settings/membros-de-equipe/896419" xr:uid="{361B8CAD-9CFB-4CA0-9057-6F99CE652A52}"/>
    <hyperlink ref="C127" r:id="rId123" display="https://amp.vexpenses.com/settings/membros-de-equipe/896041" xr:uid="{C53A3CA1-C586-4D43-8DA1-38793117BC5A}"/>
    <hyperlink ref="C128" r:id="rId124" display="https://amp.vexpenses.com/settings/membros-de-equipe/896044" xr:uid="{BC8E9039-427D-452E-BC68-186176D49DF8}"/>
    <hyperlink ref="C129" r:id="rId125" display="https://amp.vexpenses.com/settings/membros-de-equipe/917345" xr:uid="{FB1A410A-3470-4650-973B-56319D48AE49}"/>
    <hyperlink ref="C130" r:id="rId126" display="https://amp.vexpenses.com/settings/membros-de-equipe/896045" xr:uid="{2D1E6BA2-A822-417E-9B69-462397E0A9E6}"/>
    <hyperlink ref="C131" r:id="rId127" display="https://amp.vexpenses.com/settings/membros-de-equipe/896047" xr:uid="{FC623A74-C0AA-4AD8-BA2D-3D3C035842DB}"/>
    <hyperlink ref="C132" r:id="rId128" display="https://amp.vexpenses.com/settings/membros-de-equipe/896048" xr:uid="{4413F484-EEA3-42BF-B06C-1C7EBD8EB966}"/>
    <hyperlink ref="C133" r:id="rId129" display="https://amp.vexpenses.com/settings/membros-de-equipe/966214" xr:uid="{75FA8475-4FAE-4A59-96B1-3BC7619FEEE4}"/>
    <hyperlink ref="C134" r:id="rId130" display="https://amp.vexpenses.com/settings/membros-de-equipe/1066365" xr:uid="{EB961B93-B60C-442F-91D7-02B214FADC12}"/>
    <hyperlink ref="C135" r:id="rId131" display="https://amp.vexpenses.com/settings/membros-de-equipe/985850" xr:uid="{7F53F50F-7444-4756-8006-A59AC3BEB3D2}"/>
    <hyperlink ref="C136" r:id="rId132" display="https://amp.vexpenses.com/settings/membros-de-equipe/896049" xr:uid="{FE75F6D5-F2C6-4064-8C41-CB1176D0763C}"/>
    <hyperlink ref="C137" r:id="rId133" display="https://amp.vexpenses.com/settings/membros-de-equipe/1033724" xr:uid="{F9F8320B-BD89-4E05-893C-9E1292BAE697}"/>
    <hyperlink ref="C138" r:id="rId134" display="https://amp.vexpenses.com/settings/membros-de-equipe/896050" xr:uid="{0AE6B453-770D-481E-8D0C-F9681597CB66}"/>
    <hyperlink ref="C139" r:id="rId135" display="https://amp.vexpenses.com/settings/membros-de-equipe/896051" xr:uid="{727D9DE1-5BC5-475E-B0E6-4714CA8EA555}"/>
    <hyperlink ref="C140" r:id="rId136" display="https://amp.vexpenses.com/settings/membros-de-equipe/1088600" xr:uid="{A788C2CE-D937-41E7-AC52-8352FDE3854D}"/>
    <hyperlink ref="C141" r:id="rId137" display="https://amp.vexpenses.com/settings/membros-de-equipe/896052" xr:uid="{E064E6B5-170B-42A9-802A-01EEDBBEB65A}"/>
    <hyperlink ref="C142" r:id="rId138" display="https://amp.vexpenses.com/settings/membros-de-equipe/1077048" xr:uid="{870D7732-8726-419F-9179-62047409EC8D}"/>
    <hyperlink ref="C143" r:id="rId139" display="https://amp.vexpenses.com/settings/membros-de-equipe/896053" xr:uid="{118A0E53-C7F4-4458-A9FF-1FD562B46A65}"/>
    <hyperlink ref="C144" r:id="rId140" display="https://amp.vexpenses.com/settings/membros-de-equipe/896054" xr:uid="{697B64C6-1E05-48F3-AB33-90E88E0F663E}"/>
    <hyperlink ref="C145" r:id="rId141" display="https://amp.vexpenses.com/settings/membros-de-equipe/896055" xr:uid="{0CA3B2BE-CE7A-4E36-B334-E468A1A0FAE4}"/>
    <hyperlink ref="C146" r:id="rId142" display="https://amp.vexpenses.com/settings/membros-de-equipe/896057" xr:uid="{F5350DF9-1C3C-45A8-A89D-92DEE875E2F7}"/>
    <hyperlink ref="C147" r:id="rId143" display="https://amp.vexpenses.com/settings/membros-de-equipe/896058" xr:uid="{FB9E2CE7-049D-4988-8361-6AC6D22CC7C3}"/>
    <hyperlink ref="C148" r:id="rId144" display="https://amp.vexpenses.com/settings/membros-de-equipe/896059" xr:uid="{C09C67C1-A9EA-4B83-86E9-3E89C29B3C87}"/>
    <hyperlink ref="C149" r:id="rId145" display="https://amp.vexpenses.com/settings/membros-de-equipe/896061" xr:uid="{02DC7D86-2BBC-4A24-A777-0D5414E8D64B}"/>
    <hyperlink ref="C150" r:id="rId146" display="https://amp.vexpenses.com/settings/membros-de-equipe/974110" xr:uid="{216DD78A-E2BD-4A5B-B577-AF61F38377B4}"/>
    <hyperlink ref="C151" r:id="rId147" display="https://amp.vexpenses.com/settings/membros-de-equipe/927175" xr:uid="{17A3EC45-CC81-4089-B9EE-2FCFED91127C}"/>
    <hyperlink ref="C152" r:id="rId148" display="https://amp.vexpenses.com/settings/membros-de-equipe/896063" xr:uid="{F0038B0B-A1DD-4DE5-858A-349154582C0C}"/>
    <hyperlink ref="C153" r:id="rId149" display="https://amp.vexpenses.com/settings/membros-de-equipe/896064" xr:uid="{A07DAF7A-A9A5-4829-BF9B-B7F1C692B9CD}"/>
    <hyperlink ref="C154" r:id="rId150" display="https://amp.vexpenses.com/settings/membros-de-equipe/896066" xr:uid="{B873DA81-A35C-4F0E-8352-20EA414B36D0}"/>
    <hyperlink ref="C156" r:id="rId151" display="https://amp.vexpenses.com/settings/membros-de-equipe/896067" xr:uid="{40D0EAF1-0EAE-42E3-AF69-FF1BB1A79F5E}"/>
    <hyperlink ref="C157" r:id="rId152" display="https://amp.vexpenses.com/settings/membros-de-equipe/896068" xr:uid="{B052E9A7-1DD2-493D-B62B-74DDECE1FAFF}"/>
    <hyperlink ref="C158" r:id="rId153" display="https://amp.vexpenses.com/settings/membros-de-equipe/896069" xr:uid="{735ED17B-D51D-40FF-98F4-9BFCAF2C47F9}"/>
    <hyperlink ref="C159" r:id="rId154" display="https://amp.vexpenses.com/settings/membros-de-equipe/930406" xr:uid="{35854041-1B30-4DE0-9D11-D7A8015755EF}"/>
    <hyperlink ref="C160" r:id="rId155" display="https://amp.vexpenses.com/settings/membros-de-equipe/896070" xr:uid="{0B133B72-A7B4-4436-AE96-385EB67C61E9}"/>
    <hyperlink ref="C161" r:id="rId156" display="https://amp.vexpenses.com/settings/membros-de-equipe/896071" xr:uid="{FC3D29BA-7BD8-4348-95F8-B2B5B4CF8FFF}"/>
    <hyperlink ref="C162" r:id="rId157" display="https://amp.vexpenses.com/settings/membros-de-equipe/972167" xr:uid="{81C1DA37-F081-4708-9973-80F99704A97A}"/>
    <hyperlink ref="C163" r:id="rId158" display="https://amp.vexpenses.com/settings/membros-de-equipe/896072" xr:uid="{317F25D1-490B-491F-92BE-3EE0FAC20359}"/>
    <hyperlink ref="C164" r:id="rId159" display="https://amp.vexpenses.com/settings/membros-de-equipe/896073" xr:uid="{CE3017BD-8228-4C4E-B277-339D7E367AB6}"/>
    <hyperlink ref="C165" r:id="rId160" display="https://amp.vexpenses.com/settings/membros-de-equipe/896074" xr:uid="{F4F8A802-A115-4203-A954-BEC0135D7DCF}"/>
    <hyperlink ref="C166" r:id="rId161" display="https://amp.vexpenses.com/settings/membros-de-equipe/896075" xr:uid="{07E2A0B9-23C8-4424-AD32-0E5040DA5B79}"/>
    <hyperlink ref="C167" r:id="rId162" display="https://amp.vexpenses.com/settings/membros-de-equipe/915374" xr:uid="{FF40C56E-85FC-404E-BF56-C08D3A8A2D93}"/>
    <hyperlink ref="C168" r:id="rId163" display="https://amp.vexpenses.com/settings/membros-de-equipe/920845" xr:uid="{BCA64F7E-8547-4490-A415-DFE80129FE8A}"/>
    <hyperlink ref="C169" r:id="rId164" display="https://amp.vexpenses.com/settings/membros-de-equipe/896077" xr:uid="{2709CE28-5291-4A76-8AA2-2812306FBDBB}"/>
    <hyperlink ref="C170" r:id="rId165" display="https://amp.vexpenses.com/settings/membros-de-equipe/1063498" xr:uid="{5F44BEDE-20A6-4B77-AE47-EE108D703DA7}"/>
    <hyperlink ref="C171" r:id="rId166" display="https://amp.vexpenses.com/settings/membros-de-equipe/946535" xr:uid="{AA8DCC59-91B2-4D2E-A7B6-568FD2D7BB01}"/>
    <hyperlink ref="C172" r:id="rId167" display="https://amp.vexpenses.com/settings/membros-de-equipe/896079" xr:uid="{F88CC70E-2029-4A40-AA69-F1592C6DE49C}"/>
    <hyperlink ref="C173" r:id="rId168" display="https://amp.vexpenses.com/settings/membros-de-equipe/922738" xr:uid="{E9EEAB12-C1D3-478E-8D3F-82993394E937}"/>
    <hyperlink ref="C174" r:id="rId169" display="https://amp.vexpenses.com/settings/membros-de-equipe/896080" xr:uid="{6DCBE07E-DF40-4E60-9FEB-B4A900CA2541}"/>
    <hyperlink ref="C175" r:id="rId170" display="https://amp.vexpenses.com/settings/membros-de-equipe/961468" xr:uid="{6AA575DA-8EE3-4E90-8D0F-468CB4824E65}"/>
    <hyperlink ref="C176" r:id="rId171" display="https://amp.vexpenses.com/settings/membros-de-equipe/896081" xr:uid="{4330D114-3295-41BC-BCA0-A0A1606187A2}"/>
    <hyperlink ref="C177" r:id="rId172" display="https://amp.vexpenses.com/settings/membros-de-equipe/896082" xr:uid="{C2E29037-9242-48FE-860D-DD16A6BEA3B8}"/>
    <hyperlink ref="C178" r:id="rId173" display="https://amp.vexpenses.com/settings/membros-de-equipe/1079003" xr:uid="{22E3E395-A743-4B42-BB94-DE06D61FA979}"/>
    <hyperlink ref="C179" r:id="rId174" display="https://amp.vexpenses.com/settings/membros-de-equipe/896083" xr:uid="{443C2C0E-027D-4CC1-B8BA-50420371C983}"/>
    <hyperlink ref="C180" r:id="rId175" display="https://amp.vexpenses.com/settings/membros-de-equipe/1109486" xr:uid="{47FC183B-DE82-47C3-8E05-58C59649BDC4}"/>
    <hyperlink ref="C181" r:id="rId176" display="https://amp.vexpenses.com/settings/membros-de-equipe/896084" xr:uid="{A1E7A838-5CC0-4C98-AD0A-12DAA6C3482B}"/>
    <hyperlink ref="C182" r:id="rId177" display="https://amp.vexpenses.com/settings/membros-de-equipe/896085" xr:uid="{570CDDB4-86D2-49EE-B203-CCF18022F297}"/>
    <hyperlink ref="C183" r:id="rId178" display="https://amp.vexpenses.com/settings/membros-de-equipe/1077948" xr:uid="{B6DB2C57-135E-487C-B121-C40A6382F2DE}"/>
    <hyperlink ref="C184" r:id="rId179" display="https://amp.vexpenses.com/settings/membros-de-equipe/946138" xr:uid="{E9CCCD21-5610-45A3-AF92-2D2B1F7026E7}"/>
    <hyperlink ref="C185" r:id="rId180" display="https://amp.vexpenses.com/settings/membros-de-equipe/896087" xr:uid="{AD1C49FC-3482-4CC2-9B00-5CFE7CD351D8}"/>
    <hyperlink ref="C186" r:id="rId181" display="https://amp.vexpenses.com/settings/membros-de-equipe/896088" xr:uid="{637F019A-52D3-4080-B5AE-5F28DDE3C46A}"/>
    <hyperlink ref="C187" r:id="rId182" display="https://amp.vexpenses.com/settings/membros-de-equipe/1072512" xr:uid="{EBE7C89A-CEE5-4287-B90A-529471364436}"/>
    <hyperlink ref="C188" r:id="rId183" display="https://amp.vexpenses.com/settings/membros-de-equipe/896090" xr:uid="{0FFD91AA-4340-49C8-8501-CF2DACF5AD57}"/>
    <hyperlink ref="C189" r:id="rId184" display="https://amp.vexpenses.com/settings/membros-de-equipe/1071875" xr:uid="{3FC75CCC-ABA8-4E0B-B4DB-F0799BEACB96}"/>
    <hyperlink ref="C190" r:id="rId185" display="https://amp.vexpenses.com/settings/membros-de-equipe/944251" xr:uid="{71E2ED37-F367-47CF-BCAE-0291AAEA6E1B}"/>
    <hyperlink ref="C191" r:id="rId186" display="https://amp.vexpenses.com/settings/membros-de-equipe/917078" xr:uid="{F542D44C-3FEF-4ABF-81A7-56FD0D300A2F}"/>
    <hyperlink ref="C192" r:id="rId187" display="https://amp.vexpenses.com/settings/membros-de-equipe/896091" xr:uid="{9C75874B-E662-4145-B0D4-68E3BC55128C}"/>
    <hyperlink ref="C193" r:id="rId188" display="https://amp.vexpenses.com/settings/membros-de-equipe/896092" xr:uid="{99412436-ACB2-4073-BE3D-4C609EA7AC0B}"/>
    <hyperlink ref="C194" r:id="rId189" display="https://amp.vexpenses.com/settings/membros-de-equipe/896093" xr:uid="{B294DC43-9CC4-433C-8DC9-AC81B571CA2B}"/>
    <hyperlink ref="C195" r:id="rId190" display="https://amp.vexpenses.com/settings/membros-de-equipe/896094" xr:uid="{F472B4CC-9CE8-4172-B233-1483D14A2C4C}"/>
    <hyperlink ref="C196" r:id="rId191" display="https://amp.vexpenses.com/settings/membros-de-equipe/896095" xr:uid="{E66336FE-2026-4F4B-B3D6-1E4DE5D433FD}"/>
    <hyperlink ref="C197" r:id="rId192" display="https://amp.vexpenses.com/settings/membros-de-equipe/896096" xr:uid="{94CAC86B-45C7-451C-93EE-483B497DA314}"/>
    <hyperlink ref="C198" r:id="rId193" display="https://amp.vexpenses.com/settings/membros-de-equipe/1068618" xr:uid="{C763D406-B127-4457-AD96-A5ED986D765F}"/>
    <hyperlink ref="C199" r:id="rId194" display="https://amp.vexpenses.com/settings/membros-de-equipe/940437" xr:uid="{D22BE625-2F7F-4D17-823F-B5A396740A09}"/>
    <hyperlink ref="C200" r:id="rId195" display="https://amp.vexpenses.com/settings/membros-de-equipe/896099" xr:uid="{A7D77B77-4290-4FCF-B0E0-7642603FCD94}"/>
    <hyperlink ref="C201" r:id="rId196" display="https://amp.vexpenses.com/settings/membros-de-equipe/896101" xr:uid="{5C443559-7E2D-45F9-8B41-614FB12034F0}"/>
    <hyperlink ref="C202" r:id="rId197" display="https://amp.vexpenses.com/settings/membros-de-equipe/961342" xr:uid="{2CFE4D0F-8D6C-4FBA-8E7C-56356A24F4AA}"/>
    <hyperlink ref="C203" r:id="rId198" display="https://amp.vexpenses.com/settings/membros-de-equipe/896102" xr:uid="{50FB1FE7-CBF0-4B96-A327-6CDE54A9498C}"/>
    <hyperlink ref="C204" r:id="rId199" display="https://amp.vexpenses.com/settings/membros-de-equipe/896103" xr:uid="{97F2C024-5138-42C6-BB5E-27D1A637FDEB}"/>
    <hyperlink ref="C205" r:id="rId200" display="https://amp.vexpenses.com/settings/membros-de-equipe/896104" xr:uid="{B147B4F7-F1EE-4B5B-9402-EE85254E57ED}"/>
    <hyperlink ref="C207" r:id="rId201" display="https://amp.vexpenses.com/settings/membros-de-equipe/896106" xr:uid="{D80EE723-606D-44F2-9CDA-85F7D8477E48}"/>
    <hyperlink ref="C208" r:id="rId202" display="https://amp.vexpenses.com/settings/membros-de-equipe/1142235" xr:uid="{D89315D2-D39B-4AF0-B42C-03A1CAFB0BB9}"/>
    <hyperlink ref="C209" r:id="rId203" display="https://amp.vexpenses.com/settings/membros-de-equipe/896107" xr:uid="{B8AB8C27-ADE7-4E41-89DB-3167B35A884F}"/>
    <hyperlink ref="C210" r:id="rId204" display="https://amp.vexpenses.com/settings/membros-de-equipe/917075" xr:uid="{960CD1B8-9C07-4110-B62D-3A2154D7EF3E}"/>
    <hyperlink ref="C211" r:id="rId205" display="https://amp.vexpenses.com/settings/membros-de-equipe/917058" xr:uid="{4B80F283-6400-45AA-BF80-9645047E9C04}"/>
    <hyperlink ref="C212" r:id="rId206" display="https://amp.vexpenses.com/settings/membros-de-equipe/896111" xr:uid="{688CFF91-4CCB-40D4-A37A-2609AF5F4B05}"/>
    <hyperlink ref="C213" r:id="rId207" display="https://amp.vexpenses.com/settings/membros-de-equipe/927567" xr:uid="{3B0749CB-AEDF-432B-96BD-443C521E10E5}"/>
    <hyperlink ref="C214" r:id="rId208" display="https://amp.vexpenses.com/settings/membros-de-equipe/896113" xr:uid="{2269F6F7-2967-4B5D-B74F-C3B951F9CBBC}"/>
    <hyperlink ref="C215" r:id="rId209" display="https://amp.vexpenses.com/settings/membros-de-equipe/930400" xr:uid="{C1C6AE5B-4E98-47ED-8733-1033E28D1B13}"/>
    <hyperlink ref="C216" r:id="rId210" display="https://amp.vexpenses.com/settings/membros-de-equipe/896115" xr:uid="{858F7D8D-BCDB-402D-90F3-1EEADC331AAC}"/>
    <hyperlink ref="C217" r:id="rId211" display="https://amp.vexpenses.com/settings/membros-de-equipe/1064227" xr:uid="{5AB04F32-32B0-4FB4-A630-57D56CC085AD}"/>
    <hyperlink ref="C218" r:id="rId212" display="https://amp.vexpenses.com/settings/membros-de-equipe/896117" xr:uid="{7EC2C963-9C88-4D39-AE4E-24B529FFDAEF}"/>
    <hyperlink ref="C219" r:id="rId213" display="https://amp.vexpenses.com/settings/membros-de-equipe/896421" xr:uid="{B19C7285-5513-44E4-8E1D-0A9444B37893}"/>
    <hyperlink ref="C220" r:id="rId214" display="https://amp.vexpenses.com/settings/membros-de-equipe/896118" xr:uid="{70EFCD16-3743-4CA9-B9A5-5095E6C0A71E}"/>
    <hyperlink ref="C221" r:id="rId215" display="https://amp.vexpenses.com/settings/membros-de-equipe/1001575" xr:uid="{D67FD456-B6A0-42D8-AD42-8B0942CDE0EC}"/>
    <hyperlink ref="C222" r:id="rId216" display="https://amp.vexpenses.com/settings/membros-de-equipe/896119" xr:uid="{12C14DD6-45EF-4688-ACBE-49E6503B7EB1}"/>
    <hyperlink ref="C223" r:id="rId217" display="https://amp.vexpenses.com/settings/membros-de-equipe/929756" xr:uid="{0479801A-0E6B-42F2-AEE9-0B57904C61A1}"/>
    <hyperlink ref="C224" r:id="rId218" display="https://amp.vexpenses.com/settings/membros-de-equipe/896120" xr:uid="{37B1562F-E41F-42AA-840B-C0075937FE78}"/>
    <hyperlink ref="C225" r:id="rId219" display="https://amp.vexpenses.com/settings/membros-de-equipe/896121" xr:uid="{A9FA2AD2-9D44-4933-9830-1BDA6D38CA19}"/>
    <hyperlink ref="C226" r:id="rId220" display="https://amp.vexpenses.com/settings/membros-de-equipe/916905" xr:uid="{446C7C5C-A431-4C76-B546-BC018CFDC9AC}"/>
    <hyperlink ref="C227" r:id="rId221" display="https://amp.vexpenses.com/settings/membros-de-equipe/929761" xr:uid="{823042CB-CF35-4C0C-93B9-758CF79F596E}"/>
    <hyperlink ref="C228" r:id="rId222" display="https://amp.vexpenses.com/settings/membros-de-equipe/896123" xr:uid="{41284DEB-4454-41DA-9A8D-8CE2E1948CE1}"/>
    <hyperlink ref="C229" r:id="rId223" display="https://amp.vexpenses.com/settings/membros-de-equipe/896124" xr:uid="{C90D8B7B-0DD9-4EB2-928D-37351824DF5C}"/>
    <hyperlink ref="C230" r:id="rId224" display="https://amp.vexpenses.com/settings/membros-de-equipe/1106565" xr:uid="{C5B88D4D-081A-4B75-B14B-E03E30C17CBC}"/>
    <hyperlink ref="C231" r:id="rId225" display="https://amp.vexpenses.com/settings/membros-de-equipe/916374" xr:uid="{6E855BDA-9B12-4698-8583-287FE93B11E3}"/>
    <hyperlink ref="C232" r:id="rId226" display="https://amp.vexpenses.com/settings/membros-de-equipe/978280" xr:uid="{9DB8CE27-0743-44D9-B952-CC48D0FB86F1}"/>
    <hyperlink ref="C233" r:id="rId227" display="https://amp.vexpenses.com/settings/membros-de-equipe/896127" xr:uid="{B34047F8-24CD-4523-8977-0AEE81A35232}"/>
    <hyperlink ref="C234" r:id="rId228" display="https://amp.vexpenses.com/settings/membros-de-equipe/896128" xr:uid="{1E93F562-590A-4DFD-BCFB-D7AA47AC93EC}"/>
    <hyperlink ref="C235" r:id="rId229" display="https://amp.vexpenses.com/settings/membros-de-equipe/1033564" xr:uid="{0261BE3B-A422-460C-95B9-11F34FB37DF3}"/>
    <hyperlink ref="C236" r:id="rId230" display="https://amp.vexpenses.com/settings/membros-de-equipe/896131" xr:uid="{4CD02046-05D6-4CC4-BE96-A277F213663A}"/>
    <hyperlink ref="C237" r:id="rId231" display="https://amp.vexpenses.com/settings/membros-de-equipe/896132" xr:uid="{92ACBF0C-0EF3-4562-BEB6-E4E5246D5A45}"/>
    <hyperlink ref="C238" r:id="rId232" display="https://amp.vexpenses.com/settings/membros-de-equipe/1077949" xr:uid="{F59FB145-C2BC-4AB8-86A3-351F1E4E091B}"/>
    <hyperlink ref="C239" r:id="rId233" display="https://amp.vexpenses.com/settings/membros-de-equipe/1116216" xr:uid="{7D7C4B6F-9482-491A-8B48-3D8392D71FDA}"/>
    <hyperlink ref="C240" r:id="rId234" display="https://amp.vexpenses.com/settings/membros-de-equipe/917353" xr:uid="{0D2F318B-03C6-47B0-B137-44006692244A}"/>
    <hyperlink ref="C241" r:id="rId235" display="https://amp.vexpenses.com/settings/membros-de-equipe/1063503" xr:uid="{E1B101AE-BB5F-440E-B674-0C7593413B93}"/>
    <hyperlink ref="C242" r:id="rId236" display="https://amp.vexpenses.com/settings/membros-de-equipe/896133" xr:uid="{9F47EBD2-04FD-4082-B11D-0EEB2C2D790B}"/>
    <hyperlink ref="C243" r:id="rId237" display="https://amp.vexpenses.com/settings/membros-de-equipe/1073274" xr:uid="{E21D8079-E263-4DE5-BEAB-E1806800276B}"/>
    <hyperlink ref="C244" r:id="rId238" display="https://amp.vexpenses.com/settings/membros-de-equipe/1133218" xr:uid="{A67A4F6D-9C69-4A6D-B633-450C942FA04B}"/>
    <hyperlink ref="C245" r:id="rId239" display="https://amp.vexpenses.com/settings/membros-de-equipe/997009" xr:uid="{993FA5A9-E1CD-4C9D-B08D-F444CDBF9B24}"/>
    <hyperlink ref="C246" r:id="rId240" display="https://amp.vexpenses.com/settings/membros-de-equipe/922784" xr:uid="{2F4D89BB-4FBD-422F-BAD7-4A9FE9D5EA8B}"/>
    <hyperlink ref="C247" r:id="rId241" display="https://amp.vexpenses.com/settings/membros-de-equipe/1148704" xr:uid="{C768AF90-303F-4953-B3AB-7CA352F251F5}"/>
    <hyperlink ref="C248" r:id="rId242" display="https://amp.vexpenses.com/settings/membros-de-equipe/1147591" xr:uid="{7E0DAEF1-F1D8-454F-86AF-FE693AF91EE8}"/>
    <hyperlink ref="C249" r:id="rId243" display="https://amp.vexpenses.com/settings/membros-de-equipe/916921" xr:uid="{A8565ACB-3D8C-4E86-9DBA-0AD580259D45}"/>
    <hyperlink ref="C250" r:id="rId244" display="https://amp.vexpenses.com/settings/membros-de-equipe/896135" xr:uid="{A2A1E83E-44D5-4AAB-BB2E-E479358A58EE}"/>
    <hyperlink ref="C251" r:id="rId245" display="https://amp.vexpenses.com/settings/membros-de-equipe/1033558" xr:uid="{E917FE0D-CCF7-41CC-9EE9-B0F093074E2E}"/>
    <hyperlink ref="C252" r:id="rId246" display="https://amp.vexpenses.com/settings/membros-de-equipe/1068611" xr:uid="{A4E3A1FE-16DE-451D-9891-E7F4BF66DC1D}"/>
    <hyperlink ref="C253" r:id="rId247" display="https://amp.vexpenses.com/settings/membros-de-equipe/896137" xr:uid="{54396A83-4B63-44DC-8F4B-434D8DCC1F61}"/>
    <hyperlink ref="C254" r:id="rId248" display="https://amp.vexpenses.com/settings/membros-de-equipe/954733" xr:uid="{225A77BF-2047-455B-B3F2-F161C08F2961}"/>
    <hyperlink ref="C255" r:id="rId249" display="https://amp.vexpenses.com/settings/membros-de-equipe/896138" xr:uid="{9408CB2D-1C77-46CE-BF87-67605EFC2571}"/>
    <hyperlink ref="C256" r:id="rId250" display="https://amp.vexpenses.com/settings/membros-de-equipe/1106552" xr:uid="{F7ECEE5A-035B-495C-B577-E5AAE7416B59}"/>
    <hyperlink ref="C257" r:id="rId251" display="https://amp.vexpenses.com/settings/membros-de-equipe/896140" xr:uid="{A8B66942-7DD6-4677-89BD-6573876489AC}"/>
    <hyperlink ref="C258" r:id="rId252" display="https://amp.vexpenses.com/settings/membros-de-equipe/896141" xr:uid="{90876068-48B3-45B7-BA0D-658CEF38D8CB}"/>
    <hyperlink ref="C259" r:id="rId253" display="https://amp.vexpenses.com/settings/membros-de-equipe/896142" xr:uid="{322E7A67-241B-4093-BD2C-FCFEA4D4B4D4}"/>
    <hyperlink ref="C260" r:id="rId254" display="https://amp.vexpenses.com/settings/membros-de-equipe/896143" xr:uid="{3CB45ECF-D868-4B59-874C-D2258098402F}"/>
    <hyperlink ref="C261" r:id="rId255" display="https://amp.vexpenses.com/settings/membros-de-equipe/923893" xr:uid="{2D1E2E7C-BFA7-40E1-A37A-1F559E13571D}"/>
    <hyperlink ref="C262" r:id="rId256" display="https://amp.vexpenses.com/settings/membros-de-equipe/896144" xr:uid="{6E462393-F901-4CC6-8E36-98709FED682C}"/>
    <hyperlink ref="C263" r:id="rId257" display="https://amp.vexpenses.com/settings/membros-de-equipe/896145" xr:uid="{9CEEBD06-26C5-4047-B665-D89A491EDE77}"/>
    <hyperlink ref="C264" r:id="rId258" display="https://amp.vexpenses.com/settings/membros-de-equipe/1055662" xr:uid="{47EE82B2-F8B7-41E0-882D-3BFC90630713}"/>
    <hyperlink ref="C265" r:id="rId259" display="https://amp.vexpenses.com/settings/membros-de-equipe/1149595" xr:uid="{71CD19AF-510F-4349-A145-B045E6299154}"/>
    <hyperlink ref="C266" r:id="rId260" display="https://amp.vexpenses.com/settings/membros-de-equipe/958951" xr:uid="{86E83F74-7D25-4BD3-A6EA-E1E774EE348E}"/>
    <hyperlink ref="C267" r:id="rId261" display="https://amp.vexpenses.com/settings/membros-de-equipe/969231" xr:uid="{589796BC-774E-40D3-95D5-A477CC672C5A}"/>
    <hyperlink ref="C268" r:id="rId262" display="https://amp.vexpenses.com/settings/membros-de-equipe/896148" xr:uid="{66D80B38-BFF9-4564-BAEE-48FE25D174C6}"/>
    <hyperlink ref="C269" r:id="rId263" display="https://amp.vexpenses.com/settings/membros-de-equipe/896149" xr:uid="{890876AE-1B5F-4CD9-8E7C-801A16115511}"/>
    <hyperlink ref="C270" r:id="rId264" display="https://amp.vexpenses.com/settings/membros-de-equipe/1090880" xr:uid="{00600C40-F347-4414-B7E2-E7FF24C0E997}"/>
    <hyperlink ref="C271" r:id="rId265" display="https://amp.vexpenses.com/settings/membros-de-equipe/896150" xr:uid="{319478E5-90CC-4FBC-B221-6B0929AA3AA7}"/>
    <hyperlink ref="C272" r:id="rId266" display="https://amp.vexpenses.com/settings/membros-de-equipe/923651" xr:uid="{721AFCB5-2C9C-46B1-A13E-958591EDC20D}"/>
    <hyperlink ref="C273" r:id="rId267" display="https://amp.vexpenses.com/settings/membros-de-equipe/896151" xr:uid="{1FFD023D-C8A5-4CD8-B244-AAAB3D9FC35A}"/>
    <hyperlink ref="C274" r:id="rId268" display="https://amp.vexpenses.com/settings/membros-de-equipe/896152" xr:uid="{530541A3-99C9-4F02-AF18-E022DFE319F8}"/>
    <hyperlink ref="C275" r:id="rId269" display="https://amp.vexpenses.com/settings/membros-de-equipe/896153" xr:uid="{3DE1B5C4-20B9-4BAA-BA2A-12F9F191B94C}"/>
    <hyperlink ref="C276" r:id="rId270" display="https://amp.vexpenses.com/settings/membros-de-equipe/896154" xr:uid="{F17B7613-A4BF-47A9-A0C2-EC96ED7DC44C}"/>
    <hyperlink ref="C277" r:id="rId271" display="https://amp.vexpenses.com/settings/membros-de-equipe/1119271" xr:uid="{E9990530-A4FF-4F65-80CD-A360172298D7}"/>
    <hyperlink ref="C278" r:id="rId272" display="https://amp.vexpenses.com/settings/membros-de-equipe/896156" xr:uid="{F54FF810-1A42-456E-89D3-F9C6F4985C9F}"/>
    <hyperlink ref="C279" r:id="rId273" display="https://amp.vexpenses.com/settings/membros-de-equipe/896157" xr:uid="{60628B3B-1575-4A88-974F-6E37035D6937}"/>
    <hyperlink ref="C280" r:id="rId274" display="https://amp.vexpenses.com/settings/membros-de-equipe/896158" xr:uid="{72AA3728-86DD-4588-B4AE-C97C5C854213}"/>
    <hyperlink ref="C281" r:id="rId275" display="https://amp.vexpenses.com/settings/membros-de-equipe/931414" xr:uid="{DD8DB22F-472E-4BDD-8078-C1DCD296ACBD}"/>
    <hyperlink ref="C282" r:id="rId276" display="https://amp.vexpenses.com/settings/membros-de-equipe/896159" xr:uid="{398D2C7B-22DA-4980-8AEA-CD84FBD9A2FF}"/>
    <hyperlink ref="C283" r:id="rId277" display="https://amp.vexpenses.com/settings/membros-de-equipe/978440" xr:uid="{9467D884-16E7-403F-9D73-C311A36ACDF1}"/>
    <hyperlink ref="C284" r:id="rId278" display="https://amp.vexpenses.com/settings/membros-de-equipe/1148953" xr:uid="{BA93CD4B-0D6D-488A-B5E1-928A289A8AD6}"/>
    <hyperlink ref="C285" r:id="rId279" display="https://amp.vexpenses.com/settings/membros-de-equipe/978694" xr:uid="{4BF85172-C34C-4005-AC26-0D190A876BA0}"/>
    <hyperlink ref="C286" r:id="rId280" display="https://amp.vexpenses.com/settings/membros-de-equipe/1072283" xr:uid="{36C6E722-F224-4542-B33B-34CEF0B4A785}"/>
    <hyperlink ref="C287" r:id="rId281" display="https://amp.vexpenses.com/settings/membros-de-equipe/930413" xr:uid="{E182E31C-0F8F-4CEC-A036-261CA1C477F9}"/>
    <hyperlink ref="C288" r:id="rId282" display="https://amp.vexpenses.com/settings/membros-de-equipe/896161" xr:uid="{74B8F850-512C-477E-BDDF-27709EDC40EE}"/>
    <hyperlink ref="C289" r:id="rId283" display="https://amp.vexpenses.com/settings/membros-de-equipe/896162" xr:uid="{0DA21D16-5B04-472D-BDEB-9ED348B5B0C0}"/>
    <hyperlink ref="C290" r:id="rId284" display="https://amp.vexpenses.com/settings/membros-de-equipe/896163" xr:uid="{4F362AB9-FEF1-47A1-9F2F-F6205F255BB3}"/>
    <hyperlink ref="C291" r:id="rId285" display="https://amp.vexpenses.com/settings/membros-de-equipe/916884" xr:uid="{094BDD0B-0C12-41A1-97F9-13B6BD3AB9B7}"/>
    <hyperlink ref="C292" r:id="rId286" display="https://amp.vexpenses.com/settings/membros-de-equipe/986346" xr:uid="{D38AC812-F45A-4050-A794-F79628854B50}"/>
    <hyperlink ref="C293" r:id="rId287" display="https://amp.vexpenses.com/settings/membros-de-equipe/1008341" xr:uid="{661B2018-E83F-40A2-942D-277190D48CDD}"/>
    <hyperlink ref="C294" r:id="rId288" display="https://amp.vexpenses.com/settings/membros-de-equipe/896164" xr:uid="{84155E54-9F25-4EFE-A9C8-F07D3C8DF051}"/>
    <hyperlink ref="C295" r:id="rId289" display="https://amp.vexpenses.com/settings/membros-de-equipe/1106549" xr:uid="{107BC89B-5084-457C-A93F-2956F2CD747D}"/>
    <hyperlink ref="C296" r:id="rId290" display="https://amp.vexpenses.com/settings/membros-de-equipe/896165" xr:uid="{C784ED37-0CE7-4321-9D58-98213EC9F083}"/>
    <hyperlink ref="C297" r:id="rId291" display="https://amp.vexpenses.com/settings/membros-de-equipe/896166" xr:uid="{A841A25C-9207-4ECD-A8AD-55D2F8B08404}"/>
    <hyperlink ref="C298" r:id="rId292" display="https://amp.vexpenses.com/settings/membros-de-equipe/1114315" xr:uid="{1BF4AC14-5F73-4DE2-BCF0-25409DE9197B}"/>
    <hyperlink ref="C299" r:id="rId293" display="https://amp.vexpenses.com/settings/membros-de-equipe/999216" xr:uid="{D639C26B-FA02-4C0C-A2BB-E5D483D93B0B}"/>
    <hyperlink ref="C300" r:id="rId294" display="https://amp.vexpenses.com/settings/membros-de-equipe/1079549" xr:uid="{0A4B9B84-BEB7-4CBA-9C08-4E3D79FAAEF9}"/>
    <hyperlink ref="C301" r:id="rId295" display="https://amp.vexpenses.com/settings/membros-de-equipe/896168" xr:uid="{354E9197-E950-4227-BAC5-EE68BC219195}"/>
    <hyperlink ref="C302" r:id="rId296" display="https://amp.vexpenses.com/settings/membros-de-equipe/896170" xr:uid="{C75A1514-DF2A-4982-827C-38D3FE770B25}"/>
    <hyperlink ref="C303" r:id="rId297" display="https://amp.vexpenses.com/settings/membros-de-equipe/896171" xr:uid="{8907CC38-32EC-446B-AFEC-7D60C2F23DD7}"/>
    <hyperlink ref="C304" r:id="rId298" display="https://amp.vexpenses.com/settings/membros-de-equipe/896172" xr:uid="{92871D32-98A8-418A-90EB-9D4E1DB43C54}"/>
    <hyperlink ref="C305" r:id="rId299" display="https://amp.vexpenses.com/settings/membros-de-equipe/896173" xr:uid="{6E1D7287-2EAF-402D-8BF8-72230D8488C5}"/>
    <hyperlink ref="C306" r:id="rId300" display="https://amp.vexpenses.com/settings/membros-de-equipe/896174" xr:uid="{0541D57D-79EB-4089-91C3-DD43DC595F55}"/>
    <hyperlink ref="C307" r:id="rId301" display="https://amp.vexpenses.com/settings/membros-de-equipe/957803" xr:uid="{1B80C78D-E050-4DB0-82AE-67323AB2FAE8}"/>
    <hyperlink ref="C308" r:id="rId302" display="https://amp.vexpenses.com/settings/membros-de-equipe/896175" xr:uid="{747E0038-4DFE-4242-8402-E37EBD34CBAB}"/>
    <hyperlink ref="C309" r:id="rId303" display="https://amp.vexpenses.com/settings/membros-de-equipe/1088602" xr:uid="{10652DBF-233A-4B2A-A8B1-FAE870884BF7}"/>
    <hyperlink ref="C310" r:id="rId304" display="https://amp.vexpenses.com/settings/membros-de-equipe/896177" xr:uid="{69EB0F1F-1F93-4767-9FDB-DB3DE4E304F0}"/>
    <hyperlink ref="C311" r:id="rId305" display="https://amp.vexpenses.com/settings/membros-de-equipe/896178" xr:uid="{F684F55E-DC0A-4CB0-AF74-4BB698F2C1E4}"/>
    <hyperlink ref="C312" r:id="rId306" display="https://amp.vexpenses.com/settings/membros-de-equipe/896179" xr:uid="{952B481E-2CEA-40C5-A833-544087C15D57}"/>
    <hyperlink ref="C313" r:id="rId307" display="https://amp.vexpenses.com/settings/membros-de-equipe/896180" xr:uid="{4F3F633D-D45D-4A2A-B656-0D3AC011B84D}"/>
    <hyperlink ref="C314" r:id="rId308" display="https://amp.vexpenses.com/settings/membros-de-equipe/896181" xr:uid="{4C98D6E6-44B6-4FA7-878B-2220F021EBDB}"/>
    <hyperlink ref="C315" r:id="rId309" display="https://amp.vexpenses.com/settings/membros-de-equipe/1063490" xr:uid="{94D19035-5938-416A-8384-C150AF6AC93C}"/>
    <hyperlink ref="C316" r:id="rId310" display="https://amp.vexpenses.com/settings/membros-de-equipe/1072503" xr:uid="{BB0A959C-F4DF-42ED-A2B2-5E67E94E40DE}"/>
    <hyperlink ref="C317" r:id="rId311" display="https://amp.vexpenses.com/settings/membros-de-equipe/896183" xr:uid="{950C242E-44F9-452A-9215-83DB8BB77D03}"/>
    <hyperlink ref="C318" r:id="rId312" display="https://amp.vexpenses.com/settings/membros-de-equipe/896184" xr:uid="{8E3BA6B0-8683-40BF-AA85-98B2991053B2}"/>
    <hyperlink ref="C319" r:id="rId313" display="https://amp.vexpenses.com/settings/membros-de-equipe/921535" xr:uid="{F35AF401-7628-4719-9BEF-3621A8AC7B92}"/>
    <hyperlink ref="C320" r:id="rId314" display="https://amp.vexpenses.com/settings/membros-de-equipe/896185" xr:uid="{33CE0255-1C40-4FB9-A1B3-3F5380D129BC}"/>
    <hyperlink ref="C321" r:id="rId315" display="https://amp.vexpenses.com/settings/membros-de-equipe/896186" xr:uid="{A54E0ACC-CD9E-430D-935F-F5322202F713}"/>
    <hyperlink ref="C322" r:id="rId316" display="https://amp.vexpenses.com/settings/membros-de-equipe/896188" xr:uid="{37F8DD1E-B526-4C05-A9F1-AB302D9D649F}"/>
    <hyperlink ref="C323" r:id="rId317" display="https://amp.vexpenses.com/settings/membros-de-equipe/1148946" xr:uid="{64DB06ED-614E-4B34-B1ED-03621CCCBBA9}"/>
    <hyperlink ref="C324" r:id="rId318" display="https://amp.vexpenses.com/settings/membros-de-equipe/896189" xr:uid="{AABBB748-4940-4D2C-98D6-77EB20063A76}"/>
    <hyperlink ref="C325" r:id="rId319" display="https://amp.vexpenses.com/settings/membros-de-equipe/1008337" xr:uid="{946E5AAE-4B6F-49C8-B4B5-4F1FC7170F69}"/>
    <hyperlink ref="C326" r:id="rId320" display="https://amp.vexpenses.com/settings/membros-de-equipe/958523" xr:uid="{69A12C05-6748-48B3-A8F3-878DB1AF0C58}"/>
    <hyperlink ref="C327" r:id="rId321" display="https://amp.vexpenses.com/settings/membros-de-equipe/896191" xr:uid="{22C54309-CEEB-4CB3-8573-55F2CC473FC3}"/>
    <hyperlink ref="C328" r:id="rId322" display="https://amp.vexpenses.com/settings/membros-de-equipe/896192" xr:uid="{A1552432-BEE1-4AAE-A4A3-7A2912FE7635}"/>
    <hyperlink ref="C329" r:id="rId323" display="https://amp.vexpenses.com/settings/membros-de-equipe/896193" xr:uid="{12913354-4F80-4916-8BF8-25A06A927248}"/>
    <hyperlink ref="C330" r:id="rId324" display="https://amp.vexpenses.com/settings/membros-de-equipe/896196" xr:uid="{EF9FA7EA-2A45-49E0-93BF-4D676DC38E74}"/>
    <hyperlink ref="C331" r:id="rId325" display="https://amp.vexpenses.com/settings/membros-de-equipe/896198" xr:uid="{18AEBD6B-802D-453F-AF1A-20BBBBCB04C9}"/>
    <hyperlink ref="C332" r:id="rId326" display="https://amp.vexpenses.com/settings/membros-de-equipe/896199" xr:uid="{0EF25543-81A5-4936-91B9-BDF0E0E60932}"/>
    <hyperlink ref="C333" r:id="rId327" display="https://amp.vexpenses.com/settings/membros-de-equipe/896200" xr:uid="{38AAA8CB-A26B-4C6F-93D9-265315902BB6}"/>
    <hyperlink ref="C334" r:id="rId328" display="https://amp.vexpenses.com/settings/membros-de-equipe/1109992" xr:uid="{45410A3E-2603-41A0-B4B3-0829BEA3070F}"/>
    <hyperlink ref="C335" r:id="rId329" display="https://amp.vexpenses.com/settings/membros-de-equipe/946419" xr:uid="{3F770F53-7E36-4FD7-A0AC-1B90FA27C772}"/>
    <hyperlink ref="C336" r:id="rId330" display="https://amp.vexpenses.com/settings/membros-de-equipe/896203" xr:uid="{A2215439-1E35-48F0-8005-D62F9F328883}"/>
    <hyperlink ref="C337" r:id="rId331" display="https://amp.vexpenses.com/settings/membros-de-equipe/896204" xr:uid="{3750DF27-F57B-41D0-B083-974EE80AC884}"/>
    <hyperlink ref="C338" r:id="rId332" display="https://amp.vexpenses.com/settings/membros-de-equipe/1068601" xr:uid="{52DCB891-20F2-4A91-B939-246FC6F45AD7}"/>
    <hyperlink ref="C339" r:id="rId333" display="https://amp.vexpenses.com/settings/membros-de-equipe/1109484" xr:uid="{E320617B-8A4C-4BF0-8711-8EEB6F6B8AC7}"/>
    <hyperlink ref="C340" r:id="rId334" display="https://amp.vexpenses.com/settings/membros-de-equipe/923628" xr:uid="{CA7DAF10-FFC0-4E74-B41E-DC881C0343B4}"/>
    <hyperlink ref="C341" r:id="rId335" display="https://amp.vexpenses.com/settings/membros-de-equipe/896205" xr:uid="{7A5643BE-957E-40B3-851A-BAD7D3F163F5}"/>
    <hyperlink ref="C342" r:id="rId336" display="https://amp.vexpenses.com/settings/membros-de-equipe/1079553" xr:uid="{EFEA5197-8B1C-4DE3-BBA0-5E766F51AB7C}"/>
    <hyperlink ref="C343" r:id="rId337" display="https://amp.vexpenses.com/settings/membros-de-equipe/1008342" xr:uid="{4F3B66ED-B512-4CC8-80EB-0F8C81E86450}"/>
    <hyperlink ref="C344" r:id="rId338" display="https://amp.vexpenses.com/settings/membros-de-equipe/998959" xr:uid="{CF2FBBC9-C3E2-4423-B7D1-3D32CF1F0A85}"/>
    <hyperlink ref="C345" r:id="rId339" display="https://amp.vexpenses.com/settings/membros-de-equipe/896206" xr:uid="{5820C831-1B78-4454-A4EC-40D798D27D39}"/>
    <hyperlink ref="C346" r:id="rId340" display="https://amp.vexpenses.com/settings/membros-de-equipe/1106567" xr:uid="{158D8537-50C7-4650-92CC-5261C15874A8}"/>
    <hyperlink ref="C347" r:id="rId341" display="https://amp.vexpenses.com/settings/membros-de-equipe/896207" xr:uid="{FB88F9AB-6489-4527-8F5E-E841D6808058}"/>
    <hyperlink ref="C348" r:id="rId342" display="https://amp.vexpenses.com/settings/membros-de-equipe/1117250" xr:uid="{45149A19-49D6-460B-80E3-C16A2AD12524}"/>
    <hyperlink ref="C349" r:id="rId343" display="https://amp.vexpenses.com/settings/membros-de-equipe/916936" xr:uid="{CEA79D66-4A8F-45AF-AE23-C08EA0A319D9}"/>
    <hyperlink ref="C350" r:id="rId344" display="https://amp.vexpenses.com/settings/membros-de-equipe/896208" xr:uid="{77A031F1-D0BB-4CA5-8053-5D1E33F3A442}"/>
    <hyperlink ref="C351" r:id="rId345" display="https://amp.vexpenses.com/settings/membros-de-equipe/1010665" xr:uid="{7EB2FEAA-DF3D-4DB8-B08E-723D4E5C8F74}"/>
    <hyperlink ref="C352" r:id="rId346" display="https://amp.vexpenses.com/settings/membros-de-equipe/1023033" xr:uid="{A81E7F7F-BE84-4461-8CB5-32B1A113DC24}"/>
    <hyperlink ref="C353" r:id="rId347" display="https://amp.vexpenses.com/settings/membros-de-equipe/896210" xr:uid="{2D0DE57D-B0AF-46BB-A9AE-77B54463B0E5}"/>
    <hyperlink ref="C354" r:id="rId348" display="https://amp.vexpenses.com/settings/membros-de-equipe/896211" xr:uid="{CF42F058-9263-4FAF-934D-14C3F31C0FB5}"/>
    <hyperlink ref="C355" r:id="rId349" display="https://amp.vexpenses.com/settings/membros-de-equipe/922276" xr:uid="{DC9267D2-4A19-4EC4-96CE-4BE1F28026E5}"/>
    <hyperlink ref="C356" r:id="rId350" display="https://amp.vexpenses.com/settings/membros-de-equipe/896212" xr:uid="{39C8BA1E-5409-425E-9B25-9294C1E7DAD9}"/>
    <hyperlink ref="C357" r:id="rId351" display="https://amp.vexpenses.com/settings/membros-de-equipe/896213" xr:uid="{7D8847C5-AFE9-49FC-9A26-496B4E16AE88}"/>
    <hyperlink ref="C358" r:id="rId352" display="https://amp.vexpenses.com/settings/membros-de-equipe/896214" xr:uid="{C6DC4031-7423-43A1-83BC-E3B32523DEBA}"/>
    <hyperlink ref="C359" r:id="rId353" display="https://amp.vexpenses.com/settings/membros-de-equipe/917049" xr:uid="{934C5BA6-B964-4BB2-B5D8-EF1CD323304D}"/>
    <hyperlink ref="C360" r:id="rId354" display="https://amp.vexpenses.com/settings/membros-de-equipe/896215" xr:uid="{365336AF-3693-44AB-86C8-03D582055E62}"/>
    <hyperlink ref="C361" r:id="rId355" display="https://amp.vexpenses.com/settings/membros-de-equipe/961469" xr:uid="{B57549E8-9914-44E1-B086-7D15F849F29B}"/>
    <hyperlink ref="C362" r:id="rId356" display="https://amp.vexpenses.com/settings/membros-de-equipe/1091438" xr:uid="{3E0DD134-016E-4028-981E-0E6B49ACCBF7}"/>
    <hyperlink ref="C363" r:id="rId357" display="https://amp.vexpenses.com/settings/membros-de-equipe/896216" xr:uid="{0B91CA01-ACFD-44B5-B371-D43B9030F7B6}"/>
    <hyperlink ref="C364" r:id="rId358" display="https://amp.vexpenses.com/settings/membros-de-equipe/896217" xr:uid="{E9564E23-1D7A-40BB-A794-2F2BCBAB2BE4}"/>
    <hyperlink ref="C365" r:id="rId359" display="https://amp.vexpenses.com/settings/membros-de-equipe/896218" xr:uid="{477EEAF4-1C95-4A3F-9C28-CBE9A9488439}"/>
    <hyperlink ref="C366" r:id="rId360" display="https://amp.vexpenses.com/settings/membros-de-equipe/916906" xr:uid="{3972ED5A-8D82-4D6F-9C72-EEE4E14930D6}"/>
    <hyperlink ref="C367" r:id="rId361" display="https://amp.vexpenses.com/settings/membros-de-equipe/1011271" xr:uid="{2BEA618D-D4EF-4EA2-96B1-AD860AB29AAF}"/>
    <hyperlink ref="C368" r:id="rId362" display="https://amp.vexpenses.com/settings/membros-de-equipe/896219" xr:uid="{26E25E38-85AA-42CD-9EFA-32C2953CF0E8}"/>
    <hyperlink ref="C369" r:id="rId363" display="https://amp.vexpenses.com/settings/membros-de-equipe/896220" xr:uid="{F21FE679-02BF-4261-B0DB-72959CDE51E3}"/>
    <hyperlink ref="C370" r:id="rId364" display="https://amp.vexpenses.com/settings/membros-de-equipe/1109481" xr:uid="{5CE8C5AC-2043-4A5F-922D-69B2F475037F}"/>
    <hyperlink ref="C371" r:id="rId365" display="https://amp.vexpenses.com/settings/membros-de-equipe/891904" xr:uid="{E3810281-0C23-4688-965F-6515B8DD41A0}"/>
    <hyperlink ref="C372" r:id="rId366" display="https://amp.vexpenses.com/settings/membros-de-equipe/896221" xr:uid="{CB402A89-DA3B-4079-9692-03D54FE489C3}"/>
    <hyperlink ref="C373" r:id="rId367" display="https://amp.vexpenses.com/settings/membros-de-equipe/923895" xr:uid="{A27BF0D4-3FB7-478B-ABAA-A1D841ECF64B}"/>
    <hyperlink ref="C374" r:id="rId368" display="https://amp.vexpenses.com/settings/membros-de-equipe/1114308" xr:uid="{D0EC344D-6503-4B49-A544-D3897A9946DC}"/>
    <hyperlink ref="C375" r:id="rId369" display="https://amp.vexpenses.com/settings/membros-de-equipe/896222" xr:uid="{A9F9C64E-54AA-4AFD-ACB0-51ABF93FEBF5}"/>
    <hyperlink ref="C376" r:id="rId370" display="https://amp.vexpenses.com/settings/membros-de-equipe/1061873" xr:uid="{CD2B775F-0889-4068-B631-8FBC79360244}"/>
    <hyperlink ref="C377" r:id="rId371" display="https://amp.vexpenses.com/settings/membros-de-equipe/979939" xr:uid="{DDA3D597-1297-4A39-8EBE-2E8D98037EFD}"/>
    <hyperlink ref="C378" r:id="rId372" display="https://amp.vexpenses.com/settings/membros-de-equipe/896423" xr:uid="{5A7D9D09-F0AC-4FBA-91EC-3A524585F14B}"/>
    <hyperlink ref="C379" r:id="rId373" display="https://amp.vexpenses.com/settings/membros-de-equipe/917361" xr:uid="{B383502F-3E02-4163-A8DF-CC31CB95657F}"/>
    <hyperlink ref="C380" r:id="rId374" display="https://amp.vexpenses.com/settings/membros-de-equipe/1040939" xr:uid="{CBDAAE61-F891-4BC9-9EC7-9714FE916708}"/>
    <hyperlink ref="C381" r:id="rId375" display="https://amp.vexpenses.com/settings/membros-de-equipe/896223" xr:uid="{0A0A9C3B-ACA1-4A98-B04C-5D11598F24A2}"/>
    <hyperlink ref="C382" r:id="rId376" display="https://amp.vexpenses.com/settings/membros-de-equipe/896224" xr:uid="{C86F8B99-AD97-4793-AA53-410E37069E6B}"/>
    <hyperlink ref="C383" r:id="rId377" display="https://amp.vexpenses.com/settings/membros-de-equipe/1010647" xr:uid="{5D93CF36-C8B7-4413-A27A-5B0152CBF7BE}"/>
    <hyperlink ref="C384" r:id="rId378" display="https://amp.vexpenses.com/settings/membros-de-equipe/896225" xr:uid="{E4DA8620-B86A-4187-87C6-234F2E85150A}"/>
    <hyperlink ref="C385" r:id="rId379" display="https://amp.vexpenses.com/settings/membros-de-equipe/896226" xr:uid="{A4DA83F7-2E57-4AC2-8529-4BC3BC710167}"/>
    <hyperlink ref="C386" r:id="rId380" display="https://amp.vexpenses.com/settings/membros-de-equipe/925993" xr:uid="{6DA4370D-6847-4FB0-9C57-794435BC0EA3}"/>
    <hyperlink ref="C387" r:id="rId381" display="https://amp.vexpenses.com/settings/membros-de-equipe/896227" xr:uid="{FF02242E-0167-485F-B2F7-F4C50CE0F67C}"/>
    <hyperlink ref="C388" r:id="rId382" display="https://amp.vexpenses.com/settings/membros-de-equipe/896228" xr:uid="{D70C9849-95ED-48F0-8B5D-5D8B6A42F245}"/>
    <hyperlink ref="C389" r:id="rId383" display="https://amp.vexpenses.com/settings/membros-de-equipe/896229" xr:uid="{2AEDFF32-9FD9-459E-94B1-324D20DB899E}"/>
    <hyperlink ref="C390" r:id="rId384" display="https://amp.vexpenses.com/settings/membros-de-equipe/896230" xr:uid="{0C2C4D50-AF24-40F5-95E6-85CDA467DBAA}"/>
    <hyperlink ref="C391" r:id="rId385" display="https://amp.vexpenses.com/settings/membros-de-equipe/896231" xr:uid="{6DED62A6-2BBC-4FF7-ADDD-803F031E0A78}"/>
    <hyperlink ref="C392" r:id="rId386" display="https://amp.vexpenses.com/settings/membros-de-equipe/916932" xr:uid="{D6D6C3FD-0385-4DDB-A453-CBCA5DCE501A}"/>
    <hyperlink ref="C393" r:id="rId387" display="https://amp.vexpenses.com/settings/membros-de-equipe/970758" xr:uid="{CD32DA56-A94C-43AB-8A09-32BAACE3DED6}"/>
    <hyperlink ref="C394" r:id="rId388" display="https://amp.vexpenses.com/settings/membros-de-equipe/896232" xr:uid="{C97E8502-EE5D-49C6-9720-BFEE17F77559}"/>
    <hyperlink ref="C395" r:id="rId389" display="https://amp.vexpenses.com/settings/membros-de-equipe/896233" xr:uid="{64CC4E4D-3832-4544-8C99-C6B4B139202E}"/>
    <hyperlink ref="C396" r:id="rId390" display="https://amp.vexpenses.com/settings/membros-de-equipe/1087695" xr:uid="{113E8037-16B5-4202-B412-93049654AD43}"/>
    <hyperlink ref="C397" r:id="rId391" display="https://amp.vexpenses.com/settings/membros-de-equipe/896235" xr:uid="{BBCC3F75-6F92-4089-BF47-02A32A20BF47}"/>
    <hyperlink ref="C398" r:id="rId392" display="https://amp.vexpenses.com/settings/membros-de-equipe/896236" xr:uid="{9471ACB1-8B26-4266-9D93-F980CE9B88B9}"/>
    <hyperlink ref="C399" r:id="rId393" display="https://amp.vexpenses.com/settings/membros-de-equipe/896237" xr:uid="{B89C9D8C-514C-41BA-956A-4180509E0128}"/>
    <hyperlink ref="C400" r:id="rId394" display="https://amp.vexpenses.com/settings/membros-de-equipe/916912" xr:uid="{4848EB27-69EC-47A7-BEA4-3D6538510B5B}"/>
    <hyperlink ref="C401" r:id="rId395" display="https://amp.vexpenses.com/settings/membros-de-equipe/896238" xr:uid="{AEB8AF82-D23B-420C-9526-28E2F7D1605B}"/>
    <hyperlink ref="C402" r:id="rId396" display="https://amp.vexpenses.com/settings/membros-de-equipe/896240" xr:uid="{D3307319-BE78-4619-8C46-CE074A974819}"/>
    <hyperlink ref="C403" r:id="rId397" display="https://amp.vexpenses.com/settings/membros-de-equipe/896241" xr:uid="{19721F42-E1B4-4208-B04C-67FCF82B4444}"/>
    <hyperlink ref="C404" r:id="rId398" display="https://amp.vexpenses.com/settings/membros-de-equipe/896242" xr:uid="{2EA6B39C-3451-490B-A9DA-F55A696E1C5F}"/>
    <hyperlink ref="C405" r:id="rId399" display="https://amp.vexpenses.com/settings/membros-de-equipe/896243" xr:uid="{02263AB5-8710-4619-862B-C804C780C79E}"/>
    <hyperlink ref="C407" r:id="rId400" display="https://amp.vexpenses.com/settings/membros-de-equipe/1130776" xr:uid="{F949FC07-8E6B-443D-B6A3-0DAEEC878CBC}"/>
    <hyperlink ref="C408" r:id="rId401" display="https://amp.vexpenses.com/settings/membros-de-equipe/917057" xr:uid="{4B7109B1-7285-4C1A-B934-1A18C9F30238}"/>
    <hyperlink ref="C409" r:id="rId402" display="https://amp.vexpenses.com/settings/membros-de-equipe/917365" xr:uid="{83261D6C-C619-4DE3-A8C4-DDBA54903EB1}"/>
    <hyperlink ref="C410" r:id="rId403" display="https://amp.vexpenses.com/settings/membros-de-equipe/896244" xr:uid="{E646335A-36B2-4E51-AD84-08A26AEF16F0}"/>
    <hyperlink ref="C411" r:id="rId404" display="https://amp.vexpenses.com/settings/membros-de-equipe/896245" xr:uid="{15AB4BA7-6336-41E2-9E03-7E862AA1A547}"/>
    <hyperlink ref="C412" r:id="rId405" display="https://amp.vexpenses.com/settings/membros-de-equipe/948926" xr:uid="{CCDDB760-CDBE-4F0B-AAEA-B798F118150F}"/>
    <hyperlink ref="C413" r:id="rId406" display="https://amp.vexpenses.com/settings/membros-de-equipe/929759" xr:uid="{959020C9-D044-4634-BBB0-41B61046D7A3}"/>
    <hyperlink ref="C414" r:id="rId407" display="https://amp.vexpenses.com/settings/membros-de-equipe/896246" xr:uid="{1598F9AF-0B2F-4E4B-B924-60151652AE2A}"/>
    <hyperlink ref="C415" r:id="rId408" display="https://amp.vexpenses.com/settings/membros-de-equipe/1059425" xr:uid="{89BF79D8-20EF-48BE-84A5-057F53A7872B}"/>
    <hyperlink ref="C416" r:id="rId409" display="https://amp.vexpenses.com/settings/membros-de-equipe/896249" xr:uid="{CC1A534C-3A3C-4257-AF18-302BEE7EFFED}"/>
    <hyperlink ref="C417" r:id="rId410" display="https://amp.vexpenses.com/settings/membros-de-equipe/896250" xr:uid="{C8A839DD-B736-49A7-B56F-01315CFBF06A}"/>
    <hyperlink ref="C418" r:id="rId411" display="https://amp.vexpenses.com/settings/membros-de-equipe/913936" xr:uid="{721A8294-1416-4F09-BD6B-40846584A933}"/>
    <hyperlink ref="C419" r:id="rId412" display="https://amp.vexpenses.com/settings/membros-de-equipe/896251" xr:uid="{55ED52AC-272E-4057-8563-ACFFCAF05BD8}"/>
    <hyperlink ref="C420" r:id="rId413" display="https://amp.vexpenses.com/settings/membros-de-equipe/896425" xr:uid="{D5F8B892-BC42-46E9-8ED4-F2808E417DF5}"/>
    <hyperlink ref="C421" r:id="rId414" display="https://amp.vexpenses.com/settings/membros-de-equipe/896252" xr:uid="{95F8D492-D31F-4CB5-A793-6962F8CF4610}"/>
    <hyperlink ref="C422" r:id="rId415" display="https://amp.vexpenses.com/settings/membros-de-equipe/896253" xr:uid="{C6B68DEA-37BB-4AEE-86F5-4B3DD7BFB337}"/>
    <hyperlink ref="C423" r:id="rId416" display="https://amp.vexpenses.com/settings/membros-de-equipe/1001913" xr:uid="{153DC10E-1B16-42E4-AA9C-53349C1EBF43}"/>
    <hyperlink ref="C424" r:id="rId417" display="https://amp.vexpenses.com/settings/membros-de-equipe/896254" xr:uid="{0743390E-A3F5-40F2-98FD-D14FAF172798}"/>
    <hyperlink ref="C425" r:id="rId418" display="https://amp.vexpenses.com/settings/membros-de-equipe/1068608" xr:uid="{7A1942AA-9C1E-4361-A3A8-B44C2C802B74}"/>
    <hyperlink ref="C426" r:id="rId419" display="https://amp.vexpenses.com/settings/membros-de-equipe/896333" xr:uid="{8770631D-5A8C-4C61-9E61-CBD0B39FB451}"/>
    <hyperlink ref="C427" r:id="rId420" display="https://amp.vexpenses.com/settings/membros-de-equipe/896255" xr:uid="{C97EAFDA-A840-4F56-8A12-8B5144FFDC8B}"/>
    <hyperlink ref="C428" r:id="rId421" display="https://amp.vexpenses.com/settings/membros-de-equipe/896257" xr:uid="{0D6B96F8-2604-46FF-B130-ACE07D333E02}"/>
    <hyperlink ref="C429" r:id="rId422" display="https://amp.vexpenses.com/settings/membros-de-equipe/1100052" xr:uid="{8411CA38-CBE4-43E4-ADF8-57E5F3975EE3}"/>
    <hyperlink ref="C430" r:id="rId423" display="https://amp.vexpenses.com/settings/membros-de-equipe/896258" xr:uid="{6F273953-DB44-4BA0-9865-814B3FAF51BF}"/>
    <hyperlink ref="C431" r:id="rId424" display="https://amp.vexpenses.com/settings/membros-de-equipe/896259" xr:uid="{DF55F063-6C75-4CE6-8EA2-F92B71A0B6F0}"/>
    <hyperlink ref="C432" r:id="rId425" display="https://amp.vexpenses.com/settings/membros-de-equipe/1109482" xr:uid="{347083CE-FAB2-4EA4-A917-BA45167678F3}"/>
    <hyperlink ref="C433" r:id="rId426" display="https://amp.vexpenses.com/settings/membros-de-equipe/891980" xr:uid="{F8462E70-5236-43AE-8F81-5A42D5BAD0F3}"/>
    <hyperlink ref="C434" r:id="rId427" display="https://amp.vexpenses.com/settings/membros-de-equipe/896262" xr:uid="{698596F9-A39C-4ED0-961B-8B8F26D4B831}"/>
    <hyperlink ref="C435" r:id="rId428" display="https://amp.vexpenses.com/settings/membros-de-equipe/1026117" xr:uid="{175F9243-CC75-4A2E-BE58-2FF97D880F55}"/>
    <hyperlink ref="C436" r:id="rId429" display="https://amp.vexpenses.com/settings/membros-de-equipe/896264" xr:uid="{E0E732C6-E75C-4A75-8B53-F97084853AE2}"/>
    <hyperlink ref="C437" r:id="rId430" display="https://amp.vexpenses.com/settings/membros-de-equipe/1128510" xr:uid="{DC09434E-DBF5-4388-9872-502C77190288}"/>
    <hyperlink ref="C438" r:id="rId431" display="https://amp.vexpenses.com/settings/membros-de-equipe/924050" xr:uid="{DB6BDC1D-7332-4AB8-9E2B-26876BED5891}"/>
    <hyperlink ref="C439" r:id="rId432" display="https://amp.vexpenses.com/settings/membros-de-equipe/1007813" xr:uid="{5B6F8670-DD88-474A-9A3B-9BFF902A667F}"/>
    <hyperlink ref="C440" r:id="rId433" display="https://amp.vexpenses.com/settings/membros-de-equipe/917363" xr:uid="{24DD5396-6E7D-4839-B4FE-9E556DE5F932}"/>
    <hyperlink ref="C441" r:id="rId434" display="https://amp.vexpenses.com/settings/membros-de-equipe/896267" xr:uid="{531E82A2-4C37-4396-9C3E-4E54964D7AC8}"/>
    <hyperlink ref="C442" r:id="rId435" display="https://amp.vexpenses.com/settings/membros-de-equipe/896268" xr:uid="{75E41293-2CC0-4BE3-A11E-5B384BEDF903}"/>
    <hyperlink ref="C443" r:id="rId436" display="https://amp.vexpenses.com/settings/membros-de-equipe/896269" xr:uid="{E3174A39-457F-4815-BEAB-7267405483E1}"/>
    <hyperlink ref="C444" r:id="rId437" display="https://amp.vexpenses.com/settings/membros-de-equipe/967438" xr:uid="{B590D0AC-8E36-4B2F-BB1E-3A7B70BA821E}"/>
    <hyperlink ref="C445" r:id="rId438" display="https://amp.vexpenses.com/settings/membros-de-equipe/896270" xr:uid="{1CEF5E78-80F6-4679-A489-C3ECDBD5587E}"/>
    <hyperlink ref="C446" r:id="rId439" display="https://amp.vexpenses.com/settings/membros-de-equipe/896271" xr:uid="{0F49DE58-35BB-4574-8766-CA7587139255}"/>
    <hyperlink ref="C447" r:id="rId440" display="https://amp.vexpenses.com/settings/membros-de-equipe/896272" xr:uid="{383A8631-413F-4C9A-BD28-DA796418E869}"/>
    <hyperlink ref="C448" r:id="rId441" display="https://amp.vexpenses.com/settings/membros-de-equipe/896274" xr:uid="{6E5BCCBB-C2F0-4A99-9AB1-9B680FD1D2A1}"/>
    <hyperlink ref="C449" r:id="rId442" display="https://amp.vexpenses.com/settings/membros-de-equipe/896275" xr:uid="{3383F8E9-312B-4C1F-BD3A-67DE36891259}"/>
    <hyperlink ref="C450" r:id="rId443" display="https://amp.vexpenses.com/settings/membros-de-equipe/1042864" xr:uid="{8ED3880B-023D-4654-A84A-7F7DEA7751AC}"/>
    <hyperlink ref="C451" r:id="rId444" display="https://amp.vexpenses.com/settings/membros-de-equipe/896276" xr:uid="{50FFFFDD-B0FB-4639-8941-FB43D05FF34D}"/>
    <hyperlink ref="C452" r:id="rId445" display="https://amp.vexpenses.com/settings/membros-de-equipe/896277" xr:uid="{ADB7954F-42C9-4419-BE43-088650FFFC52}"/>
    <hyperlink ref="C453" r:id="rId446" display="https://amp.vexpenses.com/settings/membros-de-equipe/896279" xr:uid="{5BC0A92E-8DBD-49F1-956E-8B0E40EA68F3}"/>
    <hyperlink ref="C454" r:id="rId447" display="https://amp.vexpenses.com/settings/membros-de-equipe/1063494" xr:uid="{9D94CB3E-2006-41FA-96D8-E2E278BD5C92}"/>
    <hyperlink ref="C455" r:id="rId448" display="https://amp.vexpenses.com/settings/membros-de-equipe/896281" xr:uid="{1E61F46C-05B9-4EED-9141-6597F7EE2FEF}"/>
    <hyperlink ref="C456" r:id="rId449" display="https://amp.vexpenses.com/settings/membros-de-equipe/896282" xr:uid="{48C925F9-C334-4982-8C6A-43CF04D03C6B}"/>
    <hyperlink ref="C457" r:id="rId450" display="https://amp.vexpenses.com/settings/membros-de-equipe/1079585" xr:uid="{130D4C1C-251A-4DA5-8819-25DC58E204BA}"/>
    <hyperlink ref="C458" r:id="rId451" display="https://amp.vexpenses.com/settings/membros-de-equipe/896284" xr:uid="{20D9CAB3-A3F1-4E39-AEAF-040446DDD11E}"/>
    <hyperlink ref="C459" r:id="rId452" display="https://amp.vexpenses.com/settings/membros-de-equipe/896285" xr:uid="{1A5285AA-5A04-4ADD-B2E8-C98E1E15F6F2}"/>
    <hyperlink ref="C460" r:id="rId453" display="https://amp.vexpenses.com/settings/membros-de-equipe/896286" xr:uid="{F34C291D-4DC9-4C5B-AD93-4AC6C03716A9}"/>
    <hyperlink ref="C461" r:id="rId454" display="https://amp.vexpenses.com/settings/membros-de-equipe/921927" xr:uid="{D1565852-05FE-44C2-A3E9-E953CBA11F45}"/>
    <hyperlink ref="C462" r:id="rId455" display="https://amp.vexpenses.com/settings/membros-de-equipe/896287" xr:uid="{48D1DFAD-A83F-409F-A316-E8482381511D}"/>
    <hyperlink ref="C463" r:id="rId456" display="https://amp.vexpenses.com/settings/membros-de-equipe/896288" xr:uid="{33CA54CD-D4A1-4CB3-997F-633EC11B6204}"/>
    <hyperlink ref="C464" r:id="rId457" display="https://amp.vexpenses.com/settings/membros-de-equipe/1127608" xr:uid="{64765398-83E9-484E-851A-E62AD26CE2A0}"/>
    <hyperlink ref="C465" r:id="rId458" display="https://amp.vexpenses.com/settings/membros-de-equipe/896289" xr:uid="{E592D32A-DC0B-4A02-839B-7453FC527BD5}"/>
    <hyperlink ref="C466" r:id="rId459" display="https://amp.vexpenses.com/settings/membros-de-equipe/896290" xr:uid="{435F4E2B-F60F-42D4-8F2B-FF62D277F714}"/>
    <hyperlink ref="C467" r:id="rId460" display="https://amp.vexpenses.com/settings/membros-de-equipe/896291" xr:uid="{22E57746-E050-4E11-ADF9-ADA3CE306B40}"/>
    <hyperlink ref="C468" r:id="rId461" display="https://amp.vexpenses.com/settings/membros-de-equipe/896292" xr:uid="{AD21B61D-5F29-40CC-90EC-059DE1E83BEE}"/>
    <hyperlink ref="C469" r:id="rId462" display="https://amp.vexpenses.com/settings/membros-de-equipe/896293" xr:uid="{17616EFA-011F-423E-9D53-7B2323E83B23}"/>
    <hyperlink ref="C470" r:id="rId463" display="https://amp.vexpenses.com/settings/membros-de-equipe/896295" xr:uid="{09E02CE3-D652-4334-93D6-5E98BB0AEE6C}"/>
    <hyperlink ref="C471" r:id="rId464" display="https://amp.vexpenses.com/settings/membros-de-equipe/1071871" xr:uid="{227F9119-EB68-437D-BBE9-0B63382EE47A}"/>
    <hyperlink ref="C472" r:id="rId465" display="https://amp.vexpenses.com/settings/membros-de-equipe/973950" xr:uid="{51282BF7-66CB-44D2-846A-955247CCA5E6}"/>
    <hyperlink ref="C473" r:id="rId466" display="https://amp.vexpenses.com/settings/membros-de-equipe/1117098" xr:uid="{ED57E02C-ED24-4240-8835-EC6C3AB47C2F}"/>
    <hyperlink ref="C474" r:id="rId467" display="https://amp.vexpenses.com/settings/membros-de-equipe/896296" xr:uid="{850F4B12-CFF8-4AC6-B379-6BC057A7773A}"/>
    <hyperlink ref="C475" r:id="rId468" display="https://amp.vexpenses.com/settings/membros-de-equipe/896297" xr:uid="{CC7B76D2-BF1A-4962-A3EC-641605AAD06F}"/>
    <hyperlink ref="C476" r:id="rId469" display="https://amp.vexpenses.com/settings/membros-de-equipe/1063495" xr:uid="{E020B877-3A38-4D00-8426-EBDD782476D1}"/>
    <hyperlink ref="C477" r:id="rId470" display="https://amp.vexpenses.com/settings/membros-de-equipe/896298" xr:uid="{C885EFD6-C6A6-4BFF-ABAB-02D4B8201C40}"/>
    <hyperlink ref="C478" r:id="rId471" display="https://amp.vexpenses.com/settings/membros-de-equipe/1054503" xr:uid="{9373806A-F874-4CCC-8487-9539023BFF16}"/>
    <hyperlink ref="C479" r:id="rId472" display="https://amp.vexpenses.com/settings/membros-de-equipe/1056032" xr:uid="{C4A671CC-DFA3-4BF6-B6B3-EBCAD9015D9A}"/>
    <hyperlink ref="C480" r:id="rId473" display="https://amp.vexpenses.com/settings/membros-de-equipe/891978" xr:uid="{DC106F1F-5C8C-4AB9-8C27-A989CF290352}"/>
    <hyperlink ref="C481" r:id="rId474" display="https://amp.vexpenses.com/settings/membros-de-equipe/1087712" xr:uid="{D528A954-BB4F-4EE5-B275-70BBE06C4F48}"/>
    <hyperlink ref="C482" r:id="rId475" display="https://amp.vexpenses.com/settings/membros-de-equipe/918849" xr:uid="{35277553-8CB9-4E65-B356-ED5496E8A134}"/>
    <hyperlink ref="C483" r:id="rId476" display="https://amp.vexpenses.com/settings/membros-de-equipe/896299" xr:uid="{31369E29-90F6-44B6-ADE8-0FBC1DC0C060}"/>
    <hyperlink ref="C484" r:id="rId477" display="https://amp.vexpenses.com/settings/membros-de-equipe/1116911" xr:uid="{0A6C3AF8-CF1D-407B-8B4A-1A81F00CC42E}"/>
    <hyperlink ref="C485" r:id="rId478" display="https://amp.vexpenses.com/settings/membros-de-equipe/896300" xr:uid="{229F75F0-DE8A-4A4F-BECF-F41F6D6D3FEC}"/>
    <hyperlink ref="C486" r:id="rId479" display="https://amp.vexpenses.com/settings/membros-de-equipe/896301" xr:uid="{91C7C519-0215-44CD-B22F-8DCD88829B69}"/>
    <hyperlink ref="C487" r:id="rId480" display="https://amp.vexpenses.com/settings/membros-de-equipe/896302" xr:uid="{ECA80572-C56F-4FCB-8D89-69ADE0099D86}"/>
    <hyperlink ref="C488" r:id="rId481" display="https://amp.vexpenses.com/settings/membros-de-equipe/1065237" xr:uid="{9A68DD88-8D30-4859-ABC7-6A2FD6D65930}"/>
    <hyperlink ref="C489" r:id="rId482" display="https://amp.vexpenses.com/settings/membros-de-equipe/896303" xr:uid="{A5D5F90B-884B-4935-BF96-E197D576C2BA}"/>
    <hyperlink ref="C490" r:id="rId483" display="https://amp.vexpenses.com/settings/membros-de-equipe/896304" xr:uid="{2B99F2E8-0AC2-46E9-B704-1D0A8084DE44}"/>
    <hyperlink ref="C491" r:id="rId484" display="https://amp.vexpenses.com/settings/membros-de-equipe/1109495" xr:uid="{DF68EFCA-2D07-4A17-AFA8-ACC97E5402C6}"/>
    <hyperlink ref="C492" r:id="rId485" display="https://amp.vexpenses.com/settings/membros-de-equipe/921795" xr:uid="{1018B730-11A7-44C6-AF86-40826A620590}"/>
    <hyperlink ref="C493" r:id="rId486" display="https://amp.vexpenses.com/settings/membros-de-equipe/1147698" xr:uid="{B7340622-A040-4DD1-9D0A-806CA87D9049}"/>
    <hyperlink ref="C494" r:id="rId487" display="https://amp.vexpenses.com/settings/membros-de-equipe/996627" xr:uid="{65D1D464-78C4-467A-80E6-5F29A174FFB8}"/>
    <hyperlink ref="C495" r:id="rId488" display="https://amp.vexpenses.com/settings/membros-de-equipe/928994" xr:uid="{83AFD308-1318-4DC5-A88D-76F7B0BBF36A}"/>
    <hyperlink ref="C496" r:id="rId489" display="https://amp.vexpenses.com/settings/membros-de-equipe/1100042" xr:uid="{DD85FD94-B2BA-40CF-BE56-C1A8C7F442DA}"/>
    <hyperlink ref="C497" r:id="rId490" display="https://amp.vexpenses.com/settings/membros-de-equipe/896306" xr:uid="{8C6FF2C4-E46B-468D-94D6-A685D79152D6}"/>
    <hyperlink ref="C498" r:id="rId491" display="https://amp.vexpenses.com/settings/membros-de-equipe/896308" xr:uid="{F27219DF-5F61-4FCC-B14D-00C06D3965F2}"/>
    <hyperlink ref="C499" r:id="rId492" display="https://amp.vexpenses.com/settings/membros-de-equipe/1035869" xr:uid="{BF351473-54AA-4AD2-B5E9-45D5EBD2C21D}"/>
    <hyperlink ref="C500" r:id="rId493" display="https://amp.vexpenses.com/settings/membros-de-equipe/1025223" xr:uid="{68918FE8-C3B1-414B-A46A-129D3764B048}"/>
    <hyperlink ref="C501" r:id="rId494" display="https://amp.vexpenses.com/settings/membros-de-equipe/896311" xr:uid="{9E88A11E-97FE-4777-8989-BA201F56EC0D}"/>
    <hyperlink ref="C502" r:id="rId495" display="https://amp.vexpenses.com/settings/membros-de-equipe/896313" xr:uid="{119C3A03-C2DE-4339-BF0E-1FB65F2A99CB}"/>
    <hyperlink ref="C503" r:id="rId496" display="https://amp.vexpenses.com/settings/membros-de-equipe/896314" xr:uid="{57EA102F-89DC-4986-AE52-6A8B9E1158AD}"/>
    <hyperlink ref="C504" r:id="rId497" display="https://amp.vexpenses.com/settings/membros-de-equipe/917081" xr:uid="{8B869C87-3897-45F0-A912-C08A627AF5E0}"/>
    <hyperlink ref="C505" r:id="rId498" display="https://amp.vexpenses.com/settings/membros-de-equipe/896315" xr:uid="{74951955-874A-4080-9575-1E8C4F39D367}"/>
    <hyperlink ref="C506" r:id="rId499" display="https://amp.vexpenses.com/settings/membros-de-equipe/1072510" xr:uid="{2B7F77DF-B8FD-4B1F-8611-712FB8871AAA}"/>
    <hyperlink ref="C507" r:id="rId500" display="https://amp.vexpenses.com/settings/membros-de-equipe/922275" xr:uid="{34678AC7-5243-402D-AFD8-B40FCCA9C960}"/>
    <hyperlink ref="C508" r:id="rId501" display="https://amp.vexpenses.com/settings/membros-de-equipe/950558" xr:uid="{EF43C736-5B02-46CF-82EA-D4C1B8BD75E5}"/>
    <hyperlink ref="C509" r:id="rId502" display="https://amp.vexpenses.com/settings/membros-de-equipe/896316" xr:uid="{686E631C-39CB-47D7-9B64-0A1EB4A22E1B}"/>
    <hyperlink ref="C510" r:id="rId503" display="https://amp.vexpenses.com/settings/membros-de-equipe/896317" xr:uid="{6C214C4C-4FE6-4CB3-A8CD-9BD1595EB78C}"/>
    <hyperlink ref="C511" r:id="rId504" display="https://amp.vexpenses.com/settings/membros-de-equipe/896318" xr:uid="{214D4AF4-701C-4E1D-B62A-9DA2C7013FA8}"/>
    <hyperlink ref="C512" r:id="rId505" display="https://amp.vexpenses.com/settings/membros-de-equipe/896319" xr:uid="{33BA4A7A-4C78-455D-8937-3D2E975C8F32}"/>
    <hyperlink ref="C513" r:id="rId506" display="https://amp.vexpenses.com/settings/membros-de-equipe/1033729" xr:uid="{D49B0E63-9FC2-45A9-B9F5-3B954D47327D}"/>
    <hyperlink ref="C514" r:id="rId507" display="https://amp.vexpenses.com/settings/membros-de-equipe/896322" xr:uid="{758E8E4B-0C3E-49C1-82AA-8048BFD4CBF9}"/>
    <hyperlink ref="C515" r:id="rId508" display="https://amp.vexpenses.com/settings/membros-de-equipe/896325" xr:uid="{A4D94CAB-BF47-41D6-B205-ED33CD972030}"/>
    <hyperlink ref="C516" r:id="rId509" display="https://amp.vexpenses.com/settings/membros-de-equipe/896326" xr:uid="{C496B340-1B09-4CAB-BF39-221CE0DBA0C1}"/>
    <hyperlink ref="C517" r:id="rId510" display="https://amp.vexpenses.com/settings/membros-de-equipe/1106584" xr:uid="{42A63719-7842-4EAD-B515-1CA26C69B4C7}"/>
    <hyperlink ref="C518" r:id="rId511" display="https://amp.vexpenses.com/settings/membros-de-equipe/896327" xr:uid="{62A31A1A-6CB6-4750-9B12-33C9E13A8910}"/>
    <hyperlink ref="C519" r:id="rId512" display="https://amp.vexpenses.com/settings/membros-de-equipe/1110286" xr:uid="{A07D39BB-5FDA-41A7-B20F-E0326E012CE6}"/>
    <hyperlink ref="C520" r:id="rId513" display="https://amp.vexpenses.com/settings/membros-de-equipe/917069" xr:uid="{3D5D50DB-3DB3-49D6-A613-DAE0F674C012}"/>
    <hyperlink ref="C521" r:id="rId514" display="https://amp.vexpenses.com/settings/membros-de-equipe/896329" xr:uid="{6DE20DA8-D8BB-4708-A077-3752257FB6F6}"/>
    <hyperlink ref="C522" r:id="rId515" display="https://amp.vexpenses.com/settings/membros-de-equipe/896330" xr:uid="{D08F03AC-5FAB-41B5-AC72-8723D170E633}"/>
    <hyperlink ref="C523" r:id="rId516" display="https://amp.vexpenses.com/settings/membros-de-equipe/963612" xr:uid="{0CB85F86-9434-40B8-8C04-9A02E1D1AF63}"/>
    <hyperlink ref="C524" r:id="rId517" display="https://amp.vexpenses.com/settings/membros-de-equipe/896331" xr:uid="{5F4AAE54-FBE3-40C9-AA7A-F614B52D201F}"/>
    <hyperlink ref="C525" r:id="rId518" display="https://amp.vexpenses.com/settings/membros-de-equipe/896332" xr:uid="{F66B7731-D300-475F-A0AD-797A429376F1}"/>
    <hyperlink ref="C526" r:id="rId519" display="https://amp.vexpenses.com/settings/membros-de-equipe/1106577" xr:uid="{03FBEEDE-F26D-46CF-A3FE-EB8E03E4C6C1}"/>
    <hyperlink ref="C527" r:id="rId520" display="https://amp.vexpenses.com/settings/membros-de-equipe/1148495" xr:uid="{7EA65BC9-D7CA-422D-8B75-09608CBA6DA1}"/>
    <hyperlink ref="C528" r:id="rId521" display="https://amp.vexpenses.com/settings/membros-de-equipe/896357" xr:uid="{FA8DFD3B-1DAE-401D-ACE2-97026EDD7A38}"/>
    <hyperlink ref="C529" r:id="rId522" display="https://amp.vexpenses.com/settings/membros-de-equipe/896335" xr:uid="{D416CC47-E3C4-482F-91C1-5801F9EDD639}"/>
    <hyperlink ref="C530" r:id="rId523" display="https://amp.vexpenses.com/settings/membros-de-equipe/928097" xr:uid="{5513857E-815A-4392-A742-7C693CA4E927}"/>
    <hyperlink ref="C531" r:id="rId524" display="https://amp.vexpenses.com/settings/membros-de-equipe/896336" xr:uid="{C279E038-25E2-42B9-BB9C-6483BEEB4A4C}"/>
    <hyperlink ref="C532" r:id="rId525" display="https://amp.vexpenses.com/settings/membros-de-equipe/917059" xr:uid="{930D4C5B-F209-47DC-8C3F-18D002D6CC35}"/>
    <hyperlink ref="C533" r:id="rId526" display="https://amp.vexpenses.com/settings/membros-de-equipe/1088596" xr:uid="{FC6E41CE-55AD-4470-B534-CAD9EFE3D4AA}"/>
    <hyperlink ref="C534" r:id="rId527" display="https://amp.vexpenses.com/settings/membros-de-equipe/1083299" xr:uid="{2BB04530-5B64-4D3A-9E1B-A6DA6102EFCA}"/>
    <hyperlink ref="C535" r:id="rId528" display="https://amp.vexpenses.com/settings/membros-de-equipe/1142278" xr:uid="{C92829E5-0325-4D33-8EF7-7A36E119FE33}"/>
    <hyperlink ref="C536" r:id="rId529" display="https://amp.vexpenses.com/settings/membros-de-equipe/1137282" xr:uid="{1EE549D8-4FA3-476A-9C41-96B31C7EC30C}"/>
    <hyperlink ref="C537" r:id="rId530" display="https://amp.vexpenses.com/settings/membros-de-equipe/896339" xr:uid="{C7B9EEEA-A40B-475F-9ED7-6C2410D858FF}"/>
    <hyperlink ref="C538" r:id="rId531" display="https://amp.vexpenses.com/settings/membros-de-equipe/896340" xr:uid="{A838CD1B-F1B0-4B19-AD1A-7757E0B43F72}"/>
    <hyperlink ref="C539" r:id="rId532" display="https://amp.vexpenses.com/settings/membros-de-equipe/896342" xr:uid="{59DBFC00-942C-4160-B3A1-E9D534A4D4D1}"/>
    <hyperlink ref="C540" r:id="rId533" display="https://amp.vexpenses.com/settings/membros-de-equipe/896343" xr:uid="{9114B52F-6F2B-43D9-8936-4DA0B0B5C4C7}"/>
    <hyperlink ref="C541" r:id="rId534" display="https://amp.vexpenses.com/settings/membros-de-equipe/896344" xr:uid="{9F87BF4E-FF0E-4F96-9C1C-6431FB03A40F}"/>
    <hyperlink ref="C542" r:id="rId535" display="https://amp.vexpenses.com/settings/membros-de-equipe/896346" xr:uid="{EB20CFED-B79A-456B-9AE5-7D6574BC5912}"/>
    <hyperlink ref="C543" r:id="rId536" display="https://amp.vexpenses.com/settings/membros-de-equipe/1100086" xr:uid="{0EF9145C-0102-4950-98B0-56F6A59041FB}"/>
    <hyperlink ref="C544" r:id="rId537" display="https://amp.vexpenses.com/settings/membros-de-equipe/1109493" xr:uid="{D437EE82-D52C-4B26-86AD-3D1238258F9E}"/>
    <hyperlink ref="C545" r:id="rId538" display="https://amp.vexpenses.com/settings/membros-de-equipe/896348" xr:uid="{39569520-E9CC-4C37-B3DE-B14214C67A0B}"/>
    <hyperlink ref="C546" r:id="rId539" display="https://amp.vexpenses.com/settings/membros-de-equipe/896349" xr:uid="{318E8AB9-AA7C-44E6-8200-3E3621D3B242}"/>
    <hyperlink ref="C547" r:id="rId540" display="https://amp.vexpenses.com/settings/membros-de-equipe/896351" xr:uid="{63AAB283-8D57-467B-982F-431273DE6E3D}"/>
    <hyperlink ref="C548" r:id="rId541" display="https://amp.vexpenses.com/settings/membros-de-equipe/896352" xr:uid="{349566E2-7551-47A0-AB80-366AC2598843}"/>
    <hyperlink ref="C549" r:id="rId542" display="https://amp.vexpenses.com/settings/membros-de-equipe/891979" xr:uid="{4F1F6E15-1664-4E95-8C62-49559170073A}"/>
    <hyperlink ref="C550" r:id="rId543" display="https://amp.vexpenses.com/settings/membros-de-equipe/896353" xr:uid="{8EF234B8-F6DB-407F-B126-0B013438417F}"/>
    <hyperlink ref="C551" r:id="rId544" display="https://amp.vexpenses.com/settings/membros-de-equipe/1023020" xr:uid="{F121237A-C646-4D1A-9286-6573C92A4385}"/>
    <hyperlink ref="C552" r:id="rId545" display="https://amp.vexpenses.com/settings/membros-de-equipe/1117262" xr:uid="{B88C21E5-B4ED-4999-B6A3-AFECDFF3EE62}"/>
    <hyperlink ref="C553" r:id="rId546" display="https://amp.vexpenses.com/settings/membros-de-equipe/1010644" xr:uid="{4BF2C50A-45D4-45CA-AD0C-057040E8B4D2}"/>
    <hyperlink ref="C554" r:id="rId547" display="https://amp.vexpenses.com/settings/membros-de-equipe/920862" xr:uid="{2BD3ABB0-3B75-404E-A070-01BDF1FDE977}"/>
    <hyperlink ref="C555" r:id="rId548" display="https://amp.vexpenses.com/settings/membros-de-equipe/896355" xr:uid="{BB12EDB7-0735-42C9-8DB0-705E0A513D30}"/>
    <hyperlink ref="C556" r:id="rId549" display="https://amp.vexpenses.com/settings/membros-de-equipe/917051" xr:uid="{E6D2F704-A9A2-4D24-AB1E-AACD45E1EA28}"/>
    <hyperlink ref="C557" r:id="rId550" display="https://amp.vexpenses.com/settings/membros-de-equipe/896356" xr:uid="{978F1564-9E2D-4D11-8EC7-BD49A2E6A297}"/>
    <hyperlink ref="C558" r:id="rId551" display="https://amp.vexpenses.com/settings/membros-de-equipe/896397" xr:uid="{7B1A2A94-1B5D-4ADB-8132-3C578A811225}"/>
    <hyperlink ref="C559" r:id="rId552" display="https://amp.vexpenses.com/settings/membros-de-equipe/896358" xr:uid="{409DE4F3-A8D1-4AEC-9F65-FD62D1932F1F}"/>
    <hyperlink ref="C560" r:id="rId553" display="https://amp.vexpenses.com/settings/membros-de-equipe/1100082" xr:uid="{D33D132B-B329-478B-8281-FB589A8CC020}"/>
    <hyperlink ref="C561" r:id="rId554" display="https://amp.vexpenses.com/settings/membros-de-equipe/930440" xr:uid="{CF0D6E89-5CB7-4877-9D5E-2859ACF0824A}"/>
    <hyperlink ref="C562" r:id="rId555" display="https://amp.vexpenses.com/settings/membros-de-equipe/1063497" xr:uid="{635B47BC-6411-4A5D-B113-A3A669BFC6F7}"/>
    <hyperlink ref="C563" r:id="rId556" display="https://amp.vexpenses.com/settings/membros-de-equipe/1060225" xr:uid="{C4FA57D8-B325-4C5B-9434-67C8DC34438E}"/>
    <hyperlink ref="C564" r:id="rId557" display="https://amp.vexpenses.com/settings/membros-de-equipe/896359" xr:uid="{6BA021D8-6698-4B85-9390-462B56A9B645}"/>
    <hyperlink ref="C565" r:id="rId558" display="https://amp.vexpenses.com/settings/membros-de-equipe/896360" xr:uid="{C4FB6CE4-A0E5-45F1-B8BA-859A43FF3780}"/>
    <hyperlink ref="C566" r:id="rId559" display="https://amp.vexpenses.com/settings/membros-de-equipe/896361" xr:uid="{B5879BFB-F508-438D-A5BE-4C8E501C04D5}"/>
    <hyperlink ref="C567" r:id="rId560" display="https://amp.vexpenses.com/settings/membros-de-equipe/920855" xr:uid="{E204A697-D309-4F61-B32F-1BB6FB4DF939}"/>
    <hyperlink ref="C568" r:id="rId561" display="https://amp.vexpenses.com/settings/membros-de-equipe/896362" xr:uid="{174F45DD-FF92-4128-AFA3-71987C8CBC43}"/>
    <hyperlink ref="C569" r:id="rId562" display="https://amp.vexpenses.com/settings/membros-de-equipe/896363" xr:uid="{D275492B-EDA5-482D-80D6-00F2D675BF9A}"/>
    <hyperlink ref="C570" r:id="rId563" display="https://amp.vexpenses.com/settings/membros-de-equipe/896364" xr:uid="{5EF3DF77-681E-4D1A-9313-A9ACB17FD9FF}"/>
    <hyperlink ref="C571" r:id="rId564" display="https://amp.vexpenses.com/settings/membros-de-equipe/896365" xr:uid="{32B6E5BB-0AF1-48EB-8440-7DB576927C48}"/>
    <hyperlink ref="C572" r:id="rId565" display="https://amp.vexpenses.com/settings/membros-de-equipe/917052" xr:uid="{A33F221F-2493-4F88-85E2-599925D8F48D}"/>
    <hyperlink ref="C573" r:id="rId566" display="https://amp.vexpenses.com/settings/membros-de-equipe/896366" xr:uid="{6CE42024-7B1B-418E-95DC-4056931E484B}"/>
    <hyperlink ref="C574" r:id="rId567" display="https://amp.vexpenses.com/settings/membros-de-equipe/896367" xr:uid="{CF4DFD11-AD01-467D-A38B-DF09110FE690}"/>
    <hyperlink ref="C575" r:id="rId568" display="https://amp.vexpenses.com/settings/membros-de-equipe/968562" xr:uid="{EE5B425B-9617-4377-8906-1AF2334BEE98}"/>
    <hyperlink ref="C576" r:id="rId569" display="https://amp.vexpenses.com/settings/membros-de-equipe/1023079" xr:uid="{9A90AA0C-BD95-4718-83BA-A255AEF89D08}"/>
    <hyperlink ref="C577" r:id="rId570" display="https://amp.vexpenses.com/settings/membros-de-equipe/1077951" xr:uid="{3BFFA783-B869-4434-B654-79F144F37B36}"/>
    <hyperlink ref="C578" r:id="rId571" display="https://amp.vexpenses.com/settings/membros-de-equipe/896369" xr:uid="{090281A6-83B6-436E-90BA-38794CB98726}"/>
    <hyperlink ref="C579" r:id="rId572" display="https://amp.vexpenses.com/settings/membros-de-equipe/931255" xr:uid="{58620F40-7707-4B62-8213-0330087A007C}"/>
    <hyperlink ref="C580" r:id="rId573" display="https://amp.vexpenses.com/settings/membros-de-equipe/896373" xr:uid="{DEBA3057-4739-460F-91A9-50F7812D2107}"/>
    <hyperlink ref="C581" r:id="rId574" display="https://amp.vexpenses.com/settings/membros-de-equipe/1068619" xr:uid="{D6C6D535-64D7-4787-880A-B56FD5E820FD}"/>
    <hyperlink ref="C582" r:id="rId575" display="https://amp.vexpenses.com/settings/membros-de-equipe/920868" xr:uid="{77489C60-D201-4ADB-9135-05C4F685CC68}"/>
    <hyperlink ref="C583" r:id="rId576" display="https://amp.vexpenses.com/settings/membros-de-equipe/1073268" xr:uid="{58443F98-8A6F-4EA4-8605-631D7825DAFC}"/>
    <hyperlink ref="C584" r:id="rId577" display="https://amp.vexpenses.com/settings/membros-de-equipe/985833" xr:uid="{6C56B76C-CA4B-45DD-B4B5-3992A645CF23}"/>
    <hyperlink ref="C585" r:id="rId578" display="https://amp.vexpenses.com/settings/membros-de-equipe/917368" xr:uid="{4B2FD26E-A4F2-46B2-96FF-CB37F492593B}"/>
    <hyperlink ref="C586" r:id="rId579" display="https://amp.vexpenses.com/settings/membros-de-equipe/896424" xr:uid="{0074083E-8BB2-414E-A414-D3D8433DFE85}"/>
    <hyperlink ref="C587" r:id="rId580" display="https://amp.vexpenses.com/settings/membros-de-equipe/896376" xr:uid="{C9647144-F386-4810-B65C-D08535FE7474}"/>
    <hyperlink ref="C588" r:id="rId581" display="https://amp.vexpenses.com/settings/membros-de-equipe/896378" xr:uid="{C75608ED-BE53-48CC-9343-17D2537F45DC}"/>
    <hyperlink ref="C589" r:id="rId582" display="https://amp.vexpenses.com/settings/membros-de-equipe/923842" xr:uid="{32AC89D3-7B21-48AB-9E29-251AF1682A29}"/>
    <hyperlink ref="C590" r:id="rId583" display="https://amp.vexpenses.com/settings/membros-de-equipe/1077047" xr:uid="{7051E79E-EC84-4997-946E-C782CCF2B085}"/>
    <hyperlink ref="C591" r:id="rId584" display="https://amp.vexpenses.com/settings/membros-de-equipe/896380" xr:uid="{8E5B8250-2DEA-48B5-8B14-35CACDB28D25}"/>
    <hyperlink ref="C592" r:id="rId585" display="https://amp.vexpenses.com/settings/membros-de-equipe/896381" xr:uid="{F15DD9B2-3ACC-44B4-895E-016F9E8BDB2F}"/>
    <hyperlink ref="C593" r:id="rId586" display="https://amp.vexpenses.com/settings/membros-de-equipe/896384" xr:uid="{6D3A8C77-3A9D-4ECC-80E9-CD20511F2466}"/>
    <hyperlink ref="C594" r:id="rId587" display="https://amp.vexpenses.com/settings/membros-de-equipe/1149023" xr:uid="{5CA2523C-C411-4A12-B95D-84739D7A2940}"/>
    <hyperlink ref="C595" r:id="rId588" display="https://amp.vexpenses.com/settings/membros-de-equipe/896385" xr:uid="{F4D94B2C-49F7-4A59-95DB-F74BE10EEF85}"/>
    <hyperlink ref="C596" r:id="rId589" display="https://amp.vexpenses.com/settings/membros-de-equipe/896387" xr:uid="{211A3BE4-20AC-496A-B19A-9A071317F914}"/>
    <hyperlink ref="C597" r:id="rId590" display="https://amp.vexpenses.com/settings/membros-de-equipe/896388" xr:uid="{C369474A-D9D1-484E-8949-33A2933755C0}"/>
    <hyperlink ref="C598" r:id="rId591" display="https://amp.vexpenses.com/settings/membros-de-equipe/896389" xr:uid="{E25F4D0C-EEF1-4941-9685-C3F0F82EF4A1}"/>
    <hyperlink ref="C599" r:id="rId592" display="https://amp.vexpenses.com/settings/membros-de-equipe/1061896" xr:uid="{ADB983B3-00CB-42A6-9DAB-448EBDE142D9}"/>
    <hyperlink ref="C600" r:id="rId593" display="https://amp.vexpenses.com/settings/membros-de-equipe/896390" xr:uid="{BBAB2C87-73BD-4147-96D2-1A7D4479D409}"/>
    <hyperlink ref="C601" r:id="rId594" display="https://amp.vexpenses.com/settings/membros-de-equipe/896391" xr:uid="{3CE16D3D-3DE3-4118-86B5-B4E56E4029D9}"/>
    <hyperlink ref="C602" r:id="rId595" display="https://amp.vexpenses.com/settings/membros-de-equipe/896392" xr:uid="{805BD7B9-6532-4AF0-AA5C-54E77F4E6793}"/>
    <hyperlink ref="C603" r:id="rId596" display="https://amp.vexpenses.com/settings/membros-de-equipe/896394" xr:uid="{76C6523C-EBAB-428A-980F-D348B688F0B9}"/>
    <hyperlink ref="C604" r:id="rId597" display="https://amp.vexpenses.com/settings/membros-de-equipe/916366" xr:uid="{809A99B1-B38E-464B-8DE7-41E81242547B}"/>
    <hyperlink ref="C605" r:id="rId598" display="https://amp.vexpenses.com/settings/membros-de-equipe/1056326" xr:uid="{7A375A0B-9206-4069-B1E5-6D1B11CD51B4}"/>
    <hyperlink ref="C606" r:id="rId599" display="https://amp.vexpenses.com/settings/membros-de-equipe/921921" xr:uid="{3BD1D106-5059-457A-A7D7-C501B1CD0FF8}"/>
    <hyperlink ref="C607" r:id="rId600" display="https://amp.vexpenses.com/settings/membros-de-equipe/896395" xr:uid="{7F85D96B-68F3-4841-BBAB-45A6F7FF2531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1C013056DBEB44B841F0D8CC3FAF52D" ma:contentTypeVersion="23" ma:contentTypeDescription="Crie um novo documento." ma:contentTypeScope="" ma:versionID="78a095c9dad9364c32232caad5e98509">
  <xsd:schema xmlns:xsd="http://www.w3.org/2001/XMLSchema" xmlns:xs="http://www.w3.org/2001/XMLSchema" xmlns:p="http://schemas.microsoft.com/office/2006/metadata/properties" xmlns:ns2="403907c6-2b54-4b58-a47d-941b221e6233" xmlns:ns3="b1d6eb27-c974-4ca9-9eb5-035131d2e23b" xmlns:ns4="32ecf995-73db-46f9-a681-4562d1c02515" targetNamespace="http://schemas.microsoft.com/office/2006/metadata/properties" ma:root="true" ma:fieldsID="358baa02182544e6cde4c0140ce3dda7" ns2:_="" ns3:_="" ns4:_="">
    <xsd:import namespace="403907c6-2b54-4b58-a47d-941b221e6233"/>
    <xsd:import namespace="b1d6eb27-c974-4ca9-9eb5-035131d2e23b"/>
    <xsd:import namespace="32ecf995-73db-46f9-a681-4562d1c0251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EventHashCode" minOccurs="0"/>
                <xsd:element ref="ns3:MediaServiceGenerationTim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_Flow_SignoffStatus" minOccurs="0"/>
                <xsd:element ref="ns3:Cart_x00e3_o" minOccurs="0"/>
                <xsd:element ref="ns3:NomedoColaborador" minOccurs="0"/>
                <xsd:element ref="ns3:CPF" minOccurs="0"/>
                <xsd:element ref="ns3:IDdochamado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3907c6-2b54-4b58-a47d-941b221e623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Hash de Dica de Compartilhamento" ma:internalName="SharingHintHash" ma:readOnly="true">
      <xsd:simpleType>
        <xsd:restriction base="dms:Text"/>
      </xsd:simpleType>
    </xsd:element>
    <xsd:element name="SharedWithDetails" ma:index="1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d6eb27-c974-4ca9-9eb5-035131d2e2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c13fd9-4e76-4e02-ae30-ace2a04b9b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Cart_x00e3_o" ma:index="24" nillable="true" ma:displayName="Cartão" ma:format="Dropdown" ma:internalName="Cart_x00e3_o">
      <xsd:simpleType>
        <xsd:restriction base="dms:Text">
          <xsd:maxLength value="255"/>
        </xsd:restriction>
      </xsd:simpleType>
    </xsd:element>
    <xsd:element name="NomedoColaborador" ma:index="25" nillable="true" ma:displayName="Nome do Colaborador" ma:format="Dropdown" ma:internalName="NomedoColaborador">
      <xsd:simpleType>
        <xsd:restriction base="dms:Text">
          <xsd:maxLength value="255"/>
        </xsd:restriction>
      </xsd:simpleType>
    </xsd:element>
    <xsd:element name="CPF" ma:index="26" nillable="true" ma:displayName="CPF" ma:format="Dropdown" ma:internalName="CPF">
      <xsd:simpleType>
        <xsd:restriction base="dms:Text">
          <xsd:maxLength value="255"/>
        </xsd:restriction>
      </xsd:simpleType>
    </xsd:element>
    <xsd:element name="IDdochamado" ma:index="27" nillable="true" ma:displayName="ID do chamado" ma:format="Dropdown" ma:internalName="IDdochamado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cf995-73db-46f9-a681-4562d1c02515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ed28a3c-4af3-4f9e-a8a1-221510fda1dd}" ma:internalName="TaxCatchAll" ma:showField="CatchAllData" ma:web="32ecf995-73db-46f9-a681-4562d1c025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medoColaborador xmlns="b1d6eb27-c974-4ca9-9eb5-035131d2e23b" xsi:nil="true"/>
    <Cart_x00e3_o xmlns="b1d6eb27-c974-4ca9-9eb5-035131d2e23b" xsi:nil="true"/>
    <CPF xmlns="b1d6eb27-c974-4ca9-9eb5-035131d2e23b" xsi:nil="true"/>
    <lcf76f155ced4ddcb4097134ff3c332f xmlns="b1d6eb27-c974-4ca9-9eb5-035131d2e23b">
      <Terms xmlns="http://schemas.microsoft.com/office/infopath/2007/PartnerControls"/>
    </lcf76f155ced4ddcb4097134ff3c332f>
    <_Flow_SignoffStatus xmlns="b1d6eb27-c974-4ca9-9eb5-035131d2e23b" xsi:nil="true"/>
    <TaxCatchAll xmlns="32ecf995-73db-46f9-a681-4562d1c02515" xsi:nil="true"/>
    <IDdochamado xmlns="b1d6eb27-c974-4ca9-9eb5-035131d2e23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3BDA97-027F-4EE3-8C0E-6C95036E4884}"/>
</file>

<file path=customXml/itemProps2.xml><?xml version="1.0" encoding="utf-8"?>
<ds:datastoreItem xmlns:ds="http://schemas.openxmlformats.org/officeDocument/2006/customXml" ds:itemID="{0F20597C-8CBB-4700-91E3-96D180DD30D9}"/>
</file>

<file path=customXml/itemProps3.xml><?xml version="1.0" encoding="utf-8"?>
<ds:datastoreItem xmlns:ds="http://schemas.openxmlformats.org/officeDocument/2006/customXml" ds:itemID="{65F96EC3-3831-4AAC-8DAE-AB7B40466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Andrey Cardoso Reginaldo</dc:creator>
  <cp:keywords/>
  <dc:description/>
  <cp:lastModifiedBy>Andrey Cardoso Reginaldo</cp:lastModifiedBy>
  <cp:revision/>
  <dcterms:created xsi:type="dcterms:W3CDTF">2026-05-11T13:41:10Z</dcterms:created>
  <dcterms:modified xsi:type="dcterms:W3CDTF">2026-06-23T14:56:21Z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0x010100B1C013056DBEB44B841F0D8CC3FAF52D</vt:lpwstr>
  </property>
  <property fmtid="{D5CDD505-2E9C-101B-9397-08002B2CF9AE}" pid="3" name="MediaServiceImageTags">
    <vt:lpwstr/>
  </property>
</Properties>
</file>