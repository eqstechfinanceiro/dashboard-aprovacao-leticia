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B871ADC-962F-400A-BD2A-3DF8C0CD4199}" xr6:coauthVersionLast="47" xr6:coauthVersionMax="47" xr10:uidLastSave="{00000000-0000-0000-0000-000000000000}"/>
  <bookViews>
    <workbookView xWindow="-120" yWindow="-120" windowWidth="20730" windowHeight="11160" xr2:uid="{8FF55715-00B5-4B6C-A2AD-BDC13CC77C85}"/>
  </bookViews>
  <sheets>
    <sheet name="1 QZ JUNHO" sheetId="1" r:id="rId1"/>
    <sheet name="RETIRAR" sheetId="3" state="hidden" r:id="rId2"/>
    <sheet name="STATUS CARTAO" sheetId="2" state="hidden" r:id="rId3"/>
  </sheets>
  <definedNames>
    <definedName name="_xlnm._FilterDatabase" localSheetId="1" hidden="1">RETIRAR!$B$2:$L$59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1" l="1"/>
  <c r="S8" i="1" l="1"/>
  <c r="S7" i="1"/>
  <c r="S9" i="1"/>
  <c r="S11" i="1"/>
  <c r="S22" i="1"/>
  <c r="S15" i="1"/>
  <c r="S18" i="1"/>
  <c r="S16" i="1"/>
  <c r="S13" i="1"/>
  <c r="S12" i="1"/>
  <c r="S10" i="1"/>
  <c r="S17" i="1"/>
  <c r="S21" i="1"/>
  <c r="S19" i="1"/>
  <c r="S46" i="1"/>
  <c r="S31" i="1"/>
  <c r="S14" i="1"/>
  <c r="S23" i="1"/>
  <c r="S28" i="1"/>
  <c r="S25" i="1"/>
  <c r="S44" i="1"/>
  <c r="S29" i="1"/>
  <c r="S32" i="1"/>
  <c r="S24" i="1"/>
  <c r="S26" i="1"/>
  <c r="S43" i="1"/>
  <c r="S34" i="1"/>
  <c r="S27" i="1"/>
  <c r="S48" i="1"/>
  <c r="S37" i="1"/>
  <c r="S47" i="1"/>
  <c r="S51" i="1"/>
  <c r="S30" i="1"/>
  <c r="S33" i="1"/>
  <c r="S39" i="1"/>
  <c r="S42" i="1"/>
  <c r="S38" i="1"/>
  <c r="S20" i="1"/>
  <c r="S45" i="1"/>
  <c r="S40" i="1"/>
  <c r="S36" i="1"/>
  <c r="S35" i="1"/>
  <c r="S41" i="1"/>
  <c r="S49" i="1"/>
  <c r="S50" i="1"/>
  <c r="L5" i="1" l="1"/>
  <c r="M5" i="1"/>
  <c r="I5" i="1"/>
  <c r="K5" i="1"/>
  <c r="O51" i="1"/>
  <c r="O9" i="1"/>
  <c r="O35" i="1"/>
  <c r="O30" i="1"/>
  <c r="O41" i="1"/>
  <c r="O44" i="1"/>
  <c r="O23" i="1"/>
  <c r="O50" i="1"/>
  <c r="O7" i="1"/>
  <c r="O22" i="1"/>
  <c r="O46" i="1"/>
  <c r="O21" i="1"/>
  <c r="O43" i="1"/>
  <c r="O38" i="1"/>
  <c r="O13" i="1"/>
  <c r="O14" i="1"/>
  <c r="O28" i="1"/>
  <c r="O39" i="1"/>
  <c r="O36" i="1"/>
  <c r="O40" i="1"/>
  <c r="O47" i="1"/>
  <c r="O16" i="1"/>
  <c r="O34" i="1"/>
  <c r="O32" i="1"/>
  <c r="O20" i="1"/>
  <c r="O49" i="1"/>
  <c r="O11" i="1"/>
  <c r="O26" i="1"/>
  <c r="O42" i="1"/>
  <c r="O45" i="1"/>
  <c r="O27" i="1"/>
  <c r="O48" i="1"/>
  <c r="O15" i="1"/>
  <c r="O8" i="1"/>
  <c r="O19" i="1"/>
  <c r="O18" i="1"/>
  <c r="O31" i="1"/>
  <c r="O17" i="1"/>
  <c r="O24" i="1"/>
  <c r="O37" i="1"/>
  <c r="O12" i="1"/>
  <c r="O33" i="1"/>
  <c r="O25" i="1"/>
  <c r="O10" i="1"/>
  <c r="O29" i="1"/>
  <c r="O5" i="1" l="1"/>
  <c r="N39" i="1" l="1"/>
  <c r="P39" i="1" s="1"/>
  <c r="N7" i="1"/>
  <c r="P7" i="1" s="1"/>
  <c r="N16" i="1"/>
  <c r="P16" i="1" s="1"/>
  <c r="N51" i="1"/>
  <c r="P51" i="1" s="1"/>
  <c r="N35" i="1"/>
  <c r="P35" i="1" s="1"/>
  <c r="N9" i="1"/>
  <c r="P9" i="1" s="1"/>
  <c r="N10" i="1"/>
  <c r="P10" i="1" s="1"/>
  <c r="N21" i="1"/>
  <c r="P21" i="1" s="1"/>
  <c r="N38" i="1"/>
  <c r="P38" i="1" s="1"/>
  <c r="N11" i="1"/>
  <c r="P11" i="1" s="1"/>
  <c r="N15" i="1"/>
  <c r="P15" i="1" s="1"/>
  <c r="N33" i="1"/>
  <c r="P33" i="1" s="1"/>
  <c r="N42" i="1"/>
  <c r="P42" i="1" s="1"/>
  <c r="N13" i="1"/>
  <c r="P13" i="1" s="1"/>
  <c r="N20" i="1"/>
  <c r="P20" i="1" s="1"/>
  <c r="N29" i="1"/>
  <c r="P29" i="1" s="1"/>
  <c r="N8" i="1"/>
  <c r="P8" i="1" s="1"/>
  <c r="N30" i="1"/>
  <c r="P30" i="1" s="1"/>
  <c r="N14" i="1"/>
  <c r="P14" i="1" s="1"/>
  <c r="N40" i="1"/>
  <c r="P40" i="1" s="1"/>
  <c r="N45" i="1"/>
  <c r="P45" i="1" s="1"/>
  <c r="N48" i="1"/>
  <c r="P48" i="1" s="1"/>
  <c r="N44" i="1"/>
  <c r="P44" i="1" s="1"/>
  <c r="N22" i="1"/>
  <c r="P22" i="1" s="1"/>
  <c r="N49" i="1"/>
  <c r="P49" i="1" s="1"/>
  <c r="N50" i="1"/>
  <c r="P50" i="1" s="1"/>
  <c r="N25" i="1"/>
  <c r="P25" i="1" s="1"/>
  <c r="N41" i="1"/>
  <c r="P41" i="1" s="1"/>
  <c r="N28" i="1"/>
  <c r="P28" i="1" s="1"/>
  <c r="N47" i="1"/>
  <c r="P47" i="1" s="1"/>
  <c r="N34" i="1"/>
  <c r="P34" i="1" s="1"/>
  <c r="N18" i="1"/>
  <c r="P18" i="1" s="1"/>
  <c r="N17" i="1"/>
  <c r="P17" i="1" s="1"/>
  <c r="N12" i="1"/>
  <c r="P12" i="1" s="1"/>
  <c r="N46" i="1"/>
  <c r="P46" i="1" s="1"/>
  <c r="N43" i="1"/>
  <c r="P43" i="1" s="1"/>
  <c r="N31" i="1"/>
  <c r="P31" i="1" s="1"/>
  <c r="N36" i="1"/>
  <c r="P36" i="1" s="1"/>
  <c r="N26" i="1"/>
  <c r="P26" i="1" s="1"/>
  <c r="N24" i="1"/>
  <c r="P24" i="1" s="1"/>
  <c r="N27" i="1"/>
  <c r="P27" i="1" s="1"/>
  <c r="N32" i="1"/>
  <c r="P32" i="1" s="1"/>
  <c r="N19" i="1"/>
  <c r="P19" i="1" s="1"/>
  <c r="N37" i="1"/>
  <c r="P37" i="1" s="1"/>
  <c r="R18" i="1" l="1"/>
  <c r="R44" i="1"/>
  <c r="R20" i="1"/>
  <c r="R10" i="1"/>
  <c r="R24" i="1"/>
  <c r="R36" i="1"/>
  <c r="R48" i="1"/>
  <c r="R13" i="1"/>
  <c r="R9" i="1"/>
  <c r="R29" i="1"/>
  <c r="R31" i="1"/>
  <c r="R28" i="1"/>
  <c r="R45" i="1"/>
  <c r="R42" i="1"/>
  <c r="R35" i="1"/>
  <c r="R22" i="1"/>
  <c r="R47" i="1"/>
  <c r="R43" i="1"/>
  <c r="R41" i="1"/>
  <c r="R40" i="1"/>
  <c r="R33" i="1"/>
  <c r="R51" i="1"/>
  <c r="R26" i="1"/>
  <c r="R19" i="1"/>
  <c r="R46" i="1"/>
  <c r="R25" i="1"/>
  <c r="R14" i="1"/>
  <c r="R15" i="1"/>
  <c r="R16" i="1"/>
  <c r="R34" i="1"/>
  <c r="R32" i="1"/>
  <c r="R12" i="1"/>
  <c r="R50" i="1"/>
  <c r="R30" i="1"/>
  <c r="R11" i="1"/>
  <c r="R7" i="1"/>
  <c r="R21" i="1"/>
  <c r="R37" i="1"/>
  <c r="R27" i="1"/>
  <c r="R17" i="1"/>
  <c r="R49" i="1"/>
  <c r="R8" i="1"/>
  <c r="R38" i="1"/>
  <c r="R39" i="1"/>
  <c r="N23" i="1"/>
  <c r="P23" i="1" s="1"/>
  <c r="R23" i="1" l="1"/>
  <c r="J5" i="1"/>
  <c r="R5" i="1" l="1"/>
  <c r="N5" i="1"/>
  <c r="P5" i="1" l="1"/>
</calcChain>
</file>

<file path=xl/sharedStrings.xml><?xml version="1.0" encoding="utf-8"?>
<sst xmlns="http://schemas.openxmlformats.org/spreadsheetml/2006/main" count="4384" uniqueCount="1428">
  <si>
    <t>COLABORADOR</t>
  </si>
  <si>
    <t>CPF</t>
  </si>
  <si>
    <t>SITUAÇÃO</t>
  </si>
  <si>
    <t>REGIONAL</t>
  </si>
  <si>
    <t>CENTRO DE CUSTO</t>
  </si>
  <si>
    <t>GESTOR</t>
  </si>
  <si>
    <t>DIRETOR</t>
  </si>
  <si>
    <t>SALDO REEMBOLSAR</t>
  </si>
  <si>
    <t>SALDO FINAL</t>
  </si>
  <si>
    <t>1ª QZ</t>
  </si>
  <si>
    <t>SALDO CARTAO</t>
  </si>
  <si>
    <t xml:space="preserve">Adiantamento </t>
  </si>
  <si>
    <t>CARGA PARCIAL</t>
  </si>
  <si>
    <t>REEMBOLSO</t>
  </si>
  <si>
    <t>STATUS DO CARTÃO</t>
  </si>
  <si>
    <t>JONAS CAVALCANTI DE OLIVEIRA</t>
  </si>
  <si>
    <t>ATIVO</t>
  </si>
  <si>
    <t>REGIONAL NE</t>
  </si>
  <si>
    <t>GERSON OLIVEIRA</t>
  </si>
  <si>
    <t>ROGERIO SCATAMBULO</t>
  </si>
  <si>
    <t>Cartão ativo</t>
  </si>
  <si>
    <t>CAIO FRANCESCONI RIBEIRO</t>
  </si>
  <si>
    <t>REGIONAL SC</t>
  </si>
  <si>
    <t>LEANDRO MARCUSSO</t>
  </si>
  <si>
    <t>EVERSON GAIDSTIECHI</t>
  </si>
  <si>
    <t>MARCO AURELIO DE ANDRADE MORAES</t>
  </si>
  <si>
    <t>REGIONAL CO</t>
  </si>
  <si>
    <t>CEF AM AC RR</t>
  </si>
  <si>
    <t>ANGELICA SOARES</t>
  </si>
  <si>
    <t>ALESSANDRO RODRIGO PASTRELLI</t>
  </si>
  <si>
    <t>JAEDER RODRIGUES JUNIOR</t>
  </si>
  <si>
    <t>07505987607</t>
  </si>
  <si>
    <t>REGIONAL MG</t>
  </si>
  <si>
    <t>CEF NORDESTE MG</t>
  </si>
  <si>
    <t>HUGO ALEXANDRE</t>
  </si>
  <si>
    <t>MARCOS CARIAS</t>
  </si>
  <si>
    <t>LEANDRO FIGUEREDO BELCHIOR</t>
  </si>
  <si>
    <t>REGIONAL SP</t>
  </si>
  <si>
    <t>LEANDRO NUNES</t>
  </si>
  <si>
    <t>SANDRO CAPISTRANO</t>
  </si>
  <si>
    <t>CEF BAURU SP</t>
  </si>
  <si>
    <t>VICTOR SIGOLO PINHEIRO PIMENTA</t>
  </si>
  <si>
    <t>LUDGERO HORACIO DE OLIVEIRA</t>
  </si>
  <si>
    <t>06576198922</t>
  </si>
  <si>
    <t>CEF NORTE PR</t>
  </si>
  <si>
    <t>UBIRAJARA DE ARAUJO TEIXEIRA</t>
  </si>
  <si>
    <t>LUCIANO JOSE DO AMARAL PEREIRA</t>
  </si>
  <si>
    <t>REGIONAL RJ</t>
  </si>
  <si>
    <t>ALLAN JEFFERSON</t>
  </si>
  <si>
    <t>TERCILA DA SILVA LOPES</t>
  </si>
  <si>
    <t>ICARO MEDEIROS SILVA</t>
  </si>
  <si>
    <t>REGIONAL CLARO INFRA NORDESTE</t>
  </si>
  <si>
    <t>CLARO INFRA NORDESTE</t>
  </si>
  <si>
    <t>FELIPE JOSE</t>
  </si>
  <si>
    <t>FLAVIO FERNANDES DOS REIS LIMA</t>
  </si>
  <si>
    <t>01767960107</t>
  </si>
  <si>
    <t>TELEFONICA CO</t>
  </si>
  <si>
    <t>ENZIO CARVALHO DA MOTA</t>
  </si>
  <si>
    <t>ANGELICA SOARES AMARANTE SILVA</t>
  </si>
  <si>
    <t>CHARLES NEVES MATTIUZZI</t>
  </si>
  <si>
    <t>REGIONAL ES</t>
  </si>
  <si>
    <t>VINICIUS LOCATELLY</t>
  </si>
  <si>
    <t>CARLOS RENATO PACHECO DA SILVA</t>
  </si>
  <si>
    <t>90443306087</t>
  </si>
  <si>
    <t>REGIONAL RS</t>
  </si>
  <si>
    <t>CEF LESTE GAUCHO RS</t>
  </si>
  <si>
    <t>ALEXANDRE GROSS</t>
  </si>
  <si>
    <t>DAVID DA SILVA PEREIRA</t>
  </si>
  <si>
    <t>ANDRE PINHEIRO BALOTIN</t>
  </si>
  <si>
    <t>REGIONAL CLARO INFRA SUL</t>
  </si>
  <si>
    <t>BRUNO EDUARDO</t>
  </si>
  <si>
    <t>ADSON SANTOS DA SILVA</t>
  </si>
  <si>
    <t>ULISSES FERREIRA DE OLIVEIRA</t>
  </si>
  <si>
    <t>RODRIGO VANZETTA</t>
  </si>
  <si>
    <t>CEF NORTE GAUCHO RS</t>
  </si>
  <si>
    <t>CLERITON BACILA DOS SANTOS</t>
  </si>
  <si>
    <t>CLAUDIO DONIZETE DA SILVA</t>
  </si>
  <si>
    <t>TRIBUNAL DE JUSTICA PR</t>
  </si>
  <si>
    <t>LUCAS MARTINS MACAN</t>
  </si>
  <si>
    <t>HELDER USTULIN</t>
  </si>
  <si>
    <t>TRIBUNAL DE JUSTICA SP</t>
  </si>
  <si>
    <t>PAOLA CAROLINI BARBOSA</t>
  </si>
  <si>
    <t>ANTONIO FERREIRA DE MENDONCA NETO</t>
  </si>
  <si>
    <t>FELIPE MORAES COSTA DE BRITTO</t>
  </si>
  <si>
    <t>GUILHERME MATEUS VAZ DOS SANTOS</t>
  </si>
  <si>
    <t>TELEFONICA SP</t>
  </si>
  <si>
    <t>DAVID DE OLIVEIRA FRIGERIO</t>
  </si>
  <si>
    <t>SANDRO BARRETO DE SOUZA</t>
  </si>
  <si>
    <t>78021324953</t>
  </si>
  <si>
    <t>CEF SUL SC</t>
  </si>
  <si>
    <t>FERNANDO RODRIGUES DUARTE</t>
  </si>
  <si>
    <t>CLARO CO</t>
  </si>
  <si>
    <t>ROBERTO DOMINGUES PEREIRA</t>
  </si>
  <si>
    <t>GUSTAVO RODRIGUES FARIA</t>
  </si>
  <si>
    <t>FABIO APARECIDO DE SOUSA PEREIRA</t>
  </si>
  <si>
    <t>LEANDRO PINTO NUNES</t>
  </si>
  <si>
    <t>RAFAEL AMORIM VELLO</t>
  </si>
  <si>
    <t>FRANCINILDO JACKSON DE ALMEIDA ARAUJO</t>
  </si>
  <si>
    <t>NEUDO SAMPIETRO</t>
  </si>
  <si>
    <t>CLARO INFRA SC</t>
  </si>
  <si>
    <t>DHIEGO RIBEIRO DINIZ</t>
  </si>
  <si>
    <t>CEF GOIANIA CO</t>
  </si>
  <si>
    <t>SARA ARAGAO DA SILVA BARBOSA</t>
  </si>
  <si>
    <t>THIAGO PEREIRA DE LIMA</t>
  </si>
  <si>
    <t>EDER AUGUSTO DE ARAUJO CARVALHO</t>
  </si>
  <si>
    <t>03985382638</t>
  </si>
  <si>
    <t>CLARO INFRA MG</t>
  </si>
  <si>
    <t>JAQUELINE LEVATI PEREIRA</t>
  </si>
  <si>
    <t>MILTON FERREIRA DAS NEVES JUNIOR</t>
  </si>
  <si>
    <t>05100355581</t>
  </si>
  <si>
    <t>ACELEN AR</t>
  </si>
  <si>
    <t>RODRIGO ROBERTO DE SOUZA</t>
  </si>
  <si>
    <t>05664820969</t>
  </si>
  <si>
    <t>BB GRANDE FLORIANOPOLIS SC</t>
  </si>
  <si>
    <t>LUCAS PEREIRA GONCALVES</t>
  </si>
  <si>
    <t>NET LESTE MG</t>
  </si>
  <si>
    <t>ANDRE ARANHA MEISTER</t>
  </si>
  <si>
    <t>DAVID VICHI DE BRITO</t>
  </si>
  <si>
    <t>MICHAEL RODRIGUES SANTOS</t>
  </si>
  <si>
    <t>CEF SP SUL</t>
  </si>
  <si>
    <t>RODRIGO SANTOS DA SILVA</t>
  </si>
  <si>
    <t>05504962706</t>
  </si>
  <si>
    <t>BANCO ITAU RJ</t>
  </si>
  <si>
    <t>BEATRIZ SILVA DE SIQUEIRA</t>
  </si>
  <si>
    <t>JUNIO VICENTE BARBOSA</t>
  </si>
  <si>
    <t>10054353670</t>
  </si>
  <si>
    <t>HIGOR LUIZ CERQUEIRA</t>
  </si>
  <si>
    <t>DEISE SOARES DE CAMPOS</t>
  </si>
  <si>
    <t>WESLLEY GABRIEL DA SILVA CARDOSO</t>
  </si>
  <si>
    <t>THIAGO LEANDRO DOS SANTOS</t>
  </si>
  <si>
    <t>PAULO DE FREITAS PEREIRA</t>
  </si>
  <si>
    <t>LARISSA SANTOS DA SILVA</t>
  </si>
  <si>
    <t>MARCELO DE SOUZA DALA VEDOVA</t>
  </si>
  <si>
    <t>FABIO DA CONCEICAO LIMA</t>
  </si>
  <si>
    <t>EMERSON LEITE DE BARROS</t>
  </si>
  <si>
    <t>WELERSON PUFF RODRIGUES</t>
  </si>
  <si>
    <t>ROGERIO MACARIO PINTO</t>
  </si>
  <si>
    <t>ADILSON MELLO DE CAMARGO</t>
  </si>
  <si>
    <t>CARLOS EDUARDO SCATAMBULO</t>
  </si>
  <si>
    <t>FRANCO CARLOS DALLACQUA</t>
  </si>
  <si>
    <t>RONALDO RUFINO SANTANA</t>
  </si>
  <si>
    <t>29758827855</t>
  </si>
  <si>
    <t>CEF PIRACICABA SP</t>
  </si>
  <si>
    <t>MATEUS DE CARVALHO BERTOL</t>
  </si>
  <si>
    <t>EDUARDO ANDREY VENSON SILVA</t>
  </si>
  <si>
    <t>EDMAR FERREIRA CARDOSO</t>
  </si>
  <si>
    <t>ODAIR CIRCO SOARES</t>
  </si>
  <si>
    <t>EVERTON CAMARGO DE LOURETO</t>
  </si>
  <si>
    <t>ADMILSON DOS SANTOS GALAN</t>
  </si>
  <si>
    <t>LUIZ GUSTAVO DI GIORGIO</t>
  </si>
  <si>
    <t>PAULO NILTON COSTA MOREIRA</t>
  </si>
  <si>
    <t>45159599053</t>
  </si>
  <si>
    <t>CEF EXTREMO SUL RS</t>
  </si>
  <si>
    <t>LUCAS RODRIGUES DE MOURA GALVAO</t>
  </si>
  <si>
    <t>04013986175</t>
  </si>
  <si>
    <t>TELEFONICA NE</t>
  </si>
  <si>
    <t>DOUGLAS WESLEN CARDOSO DOS SANTOS</t>
  </si>
  <si>
    <t>MARCOS SEGER</t>
  </si>
  <si>
    <t>97135631900</t>
  </si>
  <si>
    <t>JAIME ALVES DE ABREU SILVA</t>
  </si>
  <si>
    <t>MATHEUS FERNANDES GUIMARAES</t>
  </si>
  <si>
    <t>ANDERSON BICA PEREZ</t>
  </si>
  <si>
    <t>00053957040</t>
  </si>
  <si>
    <t>NET PORTO ALEGRE RS</t>
  </si>
  <si>
    <t>RENATO PARREIRAS</t>
  </si>
  <si>
    <t>FLAVIO HENRIQUE ALVES ROMERO</t>
  </si>
  <si>
    <t>CARLOS ROBERTO DE CARVALHO PERES</t>
  </si>
  <si>
    <t>BRUNO EDUARDO DE SOUZA</t>
  </si>
  <si>
    <t>ADM FILIAL SC</t>
  </si>
  <si>
    <t>GENISSON DE PAIVA FERREIRA</t>
  </si>
  <si>
    <t>JAFER DA FONTOURA AHMAD</t>
  </si>
  <si>
    <t>CRISTIANO ANESIO GOMES DO NASCIMENTO</t>
  </si>
  <si>
    <t>CEF INTERIOR RJ</t>
  </si>
  <si>
    <t>EDSON VEIGA SILVEIRA</t>
  </si>
  <si>
    <t>62063774072</t>
  </si>
  <si>
    <t>ERICSON PINHEIRO DOS SANTOS</t>
  </si>
  <si>
    <t>29157549850</t>
  </si>
  <si>
    <t>CEF FACILITIES SP</t>
  </si>
  <si>
    <t>LEANDRO DE MENEZES ASSUNCAO</t>
  </si>
  <si>
    <t>RODRIGO BOLDO</t>
  </si>
  <si>
    <t>LUCAS HENRIQUE ALVES DE OLIVEIRA</t>
  </si>
  <si>
    <t>ALAN RODRIGO SILVA ANDRADE</t>
  </si>
  <si>
    <t>ARTHUR GOMES DE PAULO</t>
  </si>
  <si>
    <t>MICHEL VINHORTE DE SOUZA</t>
  </si>
  <si>
    <t>BRUNO OLIVEIRA DIAS</t>
  </si>
  <si>
    <t>ALAERTE JACINTO JUNIOR</t>
  </si>
  <si>
    <t>PTB AREAS VERDES SC</t>
  </si>
  <si>
    <t>JOSE WILKESON OLIVEIRA SILVA</t>
  </si>
  <si>
    <t>FRANCIELLY FELIX CAVALCANTE DE ANDRADE</t>
  </si>
  <si>
    <t>09276240446</t>
  </si>
  <si>
    <t>JORGE NEGRI NETO</t>
  </si>
  <si>
    <t>JOELSON FERREIRA DOS SANTOS</t>
  </si>
  <si>
    <t>07690263623</t>
  </si>
  <si>
    <t>CEF SUDESTE MG</t>
  </si>
  <si>
    <t>FABIO PROVESI</t>
  </si>
  <si>
    <t>05731312958</t>
  </si>
  <si>
    <t>BB SERET SC</t>
  </si>
  <si>
    <t>BEN HUR MENDES OLIVEIRA</t>
  </si>
  <si>
    <t>LUIZ PAULO SILVA SOUSA JUNIOR</t>
  </si>
  <si>
    <t>GIOVANI DONNANTUONI</t>
  </si>
  <si>
    <t>DIEGO DE ALCANTARA MOTA MENDES</t>
  </si>
  <si>
    <t>VANDERLEI DE SOUZA NORONHA JUNIOR</t>
  </si>
  <si>
    <t>BRUNA LAIS AZEVEDO CUNHA</t>
  </si>
  <si>
    <t>07747008406</t>
  </si>
  <si>
    <t>ALEX SANDRO PEREIRA MARQUES</t>
  </si>
  <si>
    <t>AMANDA CRISTINA DA SILVA</t>
  </si>
  <si>
    <t>ERICO BRUNO DA SILVA MATOS</t>
  </si>
  <si>
    <t>DMITRI MORAIS DA SILVA</t>
  </si>
  <si>
    <t>VICTOR MIGUEL PALARO</t>
  </si>
  <si>
    <t>ANDRE LUIZ SANTANA</t>
  </si>
  <si>
    <t>RAFAEL NATAL LACHI</t>
  </si>
  <si>
    <t>EDIBERTO GEORGE RELIQUIAS</t>
  </si>
  <si>
    <t>ARTUR JACO PAGANI DE SOUZA</t>
  </si>
  <si>
    <t>ALIRIO THOMAZ VALENTIM</t>
  </si>
  <si>
    <t>Cartão não vinculado</t>
  </si>
  <si>
    <t>GILMAR DUARTE LACERDA</t>
  </si>
  <si>
    <t>MARCELO CARVALHO DA SILVA</t>
  </si>
  <si>
    <t>RODRIGO ROQUE</t>
  </si>
  <si>
    <t>JOELSON JUNIOR MARTINS DE GOES</t>
  </si>
  <si>
    <t>ADRIANO FRANCISCO DE PAULA</t>
  </si>
  <si>
    <t>EDEVALDO DUTRA GONCALVES</t>
  </si>
  <si>
    <t>MARCOS VINICIUS DE SOUZA ALVES</t>
  </si>
  <si>
    <t>11823866603</t>
  </si>
  <si>
    <t>VINICIUS PEIXOTO BONETTI</t>
  </si>
  <si>
    <t>JEAN FABIO OLIVERIO</t>
  </si>
  <si>
    <t>MARCEL DA HORA CARVALHO</t>
  </si>
  <si>
    <t>01730674500</t>
  </si>
  <si>
    <t>POLICIA FEDERAL BA</t>
  </si>
  <si>
    <t>CAIOS VINICIUS NUNES BROERING</t>
  </si>
  <si>
    <t>07053418952</t>
  </si>
  <si>
    <t>HELDER ARCHANJO FERREIRA</t>
  </si>
  <si>
    <t>06439531670</t>
  </si>
  <si>
    <t>UELITON SANTANA SANTOS</t>
  </si>
  <si>
    <t>03686605597</t>
  </si>
  <si>
    <t>TRANSPETRO BA</t>
  </si>
  <si>
    <t>FABIANA CAMILA BARBOSA DE MORAES LIMA</t>
  </si>
  <si>
    <t>JAZEMIR DE SANTANA MARQUES</t>
  </si>
  <si>
    <t>MARCIO BOUZAS FERREIRA</t>
  </si>
  <si>
    <t>07318362780</t>
  </si>
  <si>
    <t>VTAL CYBER RJ</t>
  </si>
  <si>
    <t>DOMINIQUE SILVA DE SOUZA</t>
  </si>
  <si>
    <t>ADSON ARAUJO DA SILVA</t>
  </si>
  <si>
    <t>94551804304</t>
  </si>
  <si>
    <t>LEONARDO ORESTES SOARES</t>
  </si>
  <si>
    <t>LEANDRO SOUSA</t>
  </si>
  <si>
    <t>ALTAIR BERTOL</t>
  </si>
  <si>
    <t>EDIPO SANTOS BARRETO</t>
  </si>
  <si>
    <t>DANIEL DA SILVA LOPES</t>
  </si>
  <si>
    <t>94288259053</t>
  </si>
  <si>
    <t>NET APOIO SC</t>
  </si>
  <si>
    <t>JOSE EUSTAQUIO DE SOUZA</t>
  </si>
  <si>
    <t>STEPHANIE THAINARA DE OLIVEIRA ROCHA DA COSTA</t>
  </si>
  <si>
    <t>ADM FILIAL MG</t>
  </si>
  <si>
    <t>ANTONIO MARCOS CAMARGO</t>
  </si>
  <si>
    <t>THALITA MANCILIO DIAS GONDIM</t>
  </si>
  <si>
    <t>SERGIO ESTEVAM DEBIAZI</t>
  </si>
  <si>
    <t>ANTONIO DE PADUA LEITE</t>
  </si>
  <si>
    <t>SIDNEI FRANCISCO DA SILVA</t>
  </si>
  <si>
    <t>MARLON ARAUJO</t>
  </si>
  <si>
    <t>VALDIR LEONARDO VOIGT</t>
  </si>
  <si>
    <t>ARTHUR SANTOS DE OLIVEIRA</t>
  </si>
  <si>
    <t>MARCO AURELIO DE LIMA</t>
  </si>
  <si>
    <t>CLEITON DA SILVA MONTALVAO</t>
  </si>
  <si>
    <t>RAFAEL CARNIEL DA SILVA</t>
  </si>
  <si>
    <t>ADAUTO JOSE PEREIRA</t>
  </si>
  <si>
    <t>CLAUDEMIR MOREIRA</t>
  </si>
  <si>
    <t>75609444004</t>
  </si>
  <si>
    <t>CLAYTON DE OLIVEIRA</t>
  </si>
  <si>
    <t>CLARO INFRA PR</t>
  </si>
  <si>
    <t>RICARDO DORNELES NEITZKE</t>
  </si>
  <si>
    <t>CLEBERSON APARECIDO BORGES DOS SANTOS</t>
  </si>
  <si>
    <t>RODRIGO FRANCISCO CORREA</t>
  </si>
  <si>
    <t>03059202940</t>
  </si>
  <si>
    <t>JACKSON NATAN RODRIGUES DA SILVA</t>
  </si>
  <si>
    <t>01456786288</t>
  </si>
  <si>
    <t>BB NORTE OESTE PR</t>
  </si>
  <si>
    <t>ADIVAR ANTONIO DA SILVA JUNIOR</t>
  </si>
  <si>
    <t>LUCAS DE PAULA SILVA</t>
  </si>
  <si>
    <t>08204909977</t>
  </si>
  <si>
    <t>THIEGO LEANDRO ALVES DE OLIVEIRA</t>
  </si>
  <si>
    <t>KATIA RESENDE DA SILVA</t>
  </si>
  <si>
    <t>45154701836</t>
  </si>
  <si>
    <t>GABRIEL HENRIQUE DALL AGNOL</t>
  </si>
  <si>
    <t>ROBSON FURTADO</t>
  </si>
  <si>
    <t>PEDRO DO NASCIMENTO FARO</t>
  </si>
  <si>
    <t>FRANCIONE DE SOUZA LUCENA</t>
  </si>
  <si>
    <t>47331178253</t>
  </si>
  <si>
    <t>MAURICIO JOSE CARDOSO</t>
  </si>
  <si>
    <t>GHC ARCON RS</t>
  </si>
  <si>
    <t>MAURICIO TRINDADE DE CAMARGO</t>
  </si>
  <si>
    <t>WAGNER RAFAEL GERHARDT</t>
  </si>
  <si>
    <t>JONAS PAULO DE MATOS</t>
  </si>
  <si>
    <t>LEANDRO APARECIDO JAQUES</t>
  </si>
  <si>
    <t>CRISTIANO DA SILVA VALADARES</t>
  </si>
  <si>
    <t>VANDERLEI DOS SANTOS</t>
  </si>
  <si>
    <t>EMERSON CHOUBI PRADO</t>
  </si>
  <si>
    <t>DIEGO DOS SANTOS DE JESUS</t>
  </si>
  <si>
    <t>RAUL ADRIANO DOS SANTOS</t>
  </si>
  <si>
    <t>MARCEL GOMES DE OLIVEIRA</t>
  </si>
  <si>
    <t>WILLIAM NORONHA TEIXEIRA</t>
  </si>
  <si>
    <t>02013700008</t>
  </si>
  <si>
    <t>NET APOIO RS</t>
  </si>
  <si>
    <t>HUGO NUNES DA SILVA</t>
  </si>
  <si>
    <t>TIAGO DE JESUS ARAUJO</t>
  </si>
  <si>
    <t>04661413199</t>
  </si>
  <si>
    <t>SILMARA CHAVES</t>
  </si>
  <si>
    <t>JORGE ANTONIO VARGAS DA SILVA</t>
  </si>
  <si>
    <t>JOAO DA SILVA VIANA</t>
  </si>
  <si>
    <t>FRANCISCO VALDENIR DE SOUSA</t>
  </si>
  <si>
    <t>DELVANO AILTON DA SILVA</t>
  </si>
  <si>
    <t>LUCAS CARVALHO DE SOUZA</t>
  </si>
  <si>
    <t>JEFFERSON NAZARENO SILVA FREITAS</t>
  </si>
  <si>
    <t>08103183776</t>
  </si>
  <si>
    <t>JOSE NILDA DA CUNHA</t>
  </si>
  <si>
    <t>FILIPE MENEZES KLING</t>
  </si>
  <si>
    <t>10664298710</t>
  </si>
  <si>
    <t>PTB CENPES RJ</t>
  </si>
  <si>
    <t>JULIANO MESSIAS MOREIRA DE LIMA</t>
  </si>
  <si>
    <t>PITER ROBSON DA SILVA</t>
  </si>
  <si>
    <t>LUIS FELIPE RAYMUNDO GARCIA</t>
  </si>
  <si>
    <t>EDERSON LUIS BARROS DA ROSA</t>
  </si>
  <si>
    <t>04614285988</t>
  </si>
  <si>
    <t>EDER MEDICI</t>
  </si>
  <si>
    <t>JESSICA DE MIRANDA MEDEIROS FELICIANO</t>
  </si>
  <si>
    <t>SIDNEI MACHADO</t>
  </si>
  <si>
    <t>CLAUDINEI VICENTE DE LIMA</t>
  </si>
  <si>
    <t>DIEGO GRIME DE MELO</t>
  </si>
  <si>
    <t>TIAGO FERNANDES SANTOS DE OLIVEIRA</t>
  </si>
  <si>
    <t>ADAN LEONARDO SOUZA BATISTA</t>
  </si>
  <si>
    <t>MICHEL DOS SANTOS VENANCIO</t>
  </si>
  <si>
    <t>CREOL APARECIDO DOS SANTOS</t>
  </si>
  <si>
    <t>ALEXANDRE DA SILVEIRA GROSS</t>
  </si>
  <si>
    <t>ROBSON DOS SANTOS GUEDES</t>
  </si>
  <si>
    <t>ALLAN CRISTIAN DA CUNHA</t>
  </si>
  <si>
    <t>NIVALDO THIAGO DA CRUZ SANTOS</t>
  </si>
  <si>
    <t>04442316929</t>
  </si>
  <si>
    <t>LUCIANO JOSE DA CUNHA</t>
  </si>
  <si>
    <t>DOUGLAS BRUCK MACHADO</t>
  </si>
  <si>
    <t>ANTONIO JOSE PEREIRA DA SILVA</t>
  </si>
  <si>
    <t>08326260401</t>
  </si>
  <si>
    <t>LUAN THIAGO DA SILVA</t>
  </si>
  <si>
    <t>JOSE DO PRADO ROSA</t>
  </si>
  <si>
    <t>LEANDRO APARECIDO PEREIRA DA SILVA STEFANINI</t>
  </si>
  <si>
    <t>36020922839</t>
  </si>
  <si>
    <t>RODRIGO FRANCISCO DE SOUSA</t>
  </si>
  <si>
    <t>MARCIO DA COSTA JOAO</t>
  </si>
  <si>
    <t>02524841936</t>
  </si>
  <si>
    <t>BB CENOP CURITIBA PR</t>
  </si>
  <si>
    <t>MARCIO CORREA DA SILVA</t>
  </si>
  <si>
    <t>MURILO DE ALMEIDA</t>
  </si>
  <si>
    <t>PAULO ALEXANDRE DE AMORIM</t>
  </si>
  <si>
    <t>DENILSO DIDONE</t>
  </si>
  <si>
    <t>ANDERSON RICARDO VIEIRA</t>
  </si>
  <si>
    <t>CARLOS FRANCISCO GODOY</t>
  </si>
  <si>
    <t>ISAIAS DA SILVA</t>
  </si>
  <si>
    <t>04083479965</t>
  </si>
  <si>
    <t>LAERCIO SOARES CANABARRO</t>
  </si>
  <si>
    <t>58763376091</t>
  </si>
  <si>
    <t>JACSSON MAYLON CASTRO CORREA</t>
  </si>
  <si>
    <t>10206563957</t>
  </si>
  <si>
    <t>DOUGLAS TIAGO DE OLIVEIRA</t>
  </si>
  <si>
    <t>08492402989</t>
  </si>
  <si>
    <t>CLAUDIO RENALDI NUNES</t>
  </si>
  <si>
    <t>02705722955</t>
  </si>
  <si>
    <t>JHEFERSON DIASSIS</t>
  </si>
  <si>
    <t>WELTON GERALDO WROBLEWSKI</t>
  </si>
  <si>
    <t>91443130982</t>
  </si>
  <si>
    <t>JEFERSON ZAMPRONIO DA SILVA</t>
  </si>
  <si>
    <t>ELIANDRO BRUNING</t>
  </si>
  <si>
    <t>00461757923</t>
  </si>
  <si>
    <t>JEFERSON ADRIANO WERNER</t>
  </si>
  <si>
    <t>08935547905</t>
  </si>
  <si>
    <t>JOSEANE DA SILVA SOUZA</t>
  </si>
  <si>
    <t>71944885234</t>
  </si>
  <si>
    <t>WAGNER DOS SANTOS PEREIRA</t>
  </si>
  <si>
    <t>94512043004</t>
  </si>
  <si>
    <t>BB SHOPPING ESTACAO PR</t>
  </si>
  <si>
    <t>SAULO ARAUJO DE PAULA</t>
  </si>
  <si>
    <t>CLAUDEMIR GREGOSKI RODRIGUES</t>
  </si>
  <si>
    <t>05144026958</t>
  </si>
  <si>
    <t>CEF FACILITIES CURITIBA PR</t>
  </si>
  <si>
    <t>EVERSON ESTEVES DOS SANTOS</t>
  </si>
  <si>
    <t>ABNER ANDRADE CAVALCANTE</t>
  </si>
  <si>
    <t>02027745203</t>
  </si>
  <si>
    <t>ADEMARCIO DUARTE LOPES</t>
  </si>
  <si>
    <t>AGNO CHRISTIAN DE LIMA TELES</t>
  </si>
  <si>
    <t>06911519624</t>
  </si>
  <si>
    <t>ALESSANDRO DE OLIVEIRA AZEVEDO</t>
  </si>
  <si>
    <t>27494577858</t>
  </si>
  <si>
    <t>ALISON FERREIRA DA SILVA</t>
  </si>
  <si>
    <t>Cadastro pendente</t>
  </si>
  <si>
    <t>ALISSON RODRIGO RAMBO</t>
  </si>
  <si>
    <t>ALLAN JEFFERSON BRANCO RODRIGUES</t>
  </si>
  <si>
    <t>ALVARO RAMON PRIMERA CASTILLO</t>
  </si>
  <si>
    <t>ANDRE VALERIO DE PAIVA</t>
  </si>
  <si>
    <t>ANDRESA INDIRA SANTANA AGGIO</t>
  </si>
  <si>
    <t>ARLEY HENRIQUE DE SOUZA LUZ</t>
  </si>
  <si>
    <t>AURO MOREIRA PEDROSO</t>
  </si>
  <si>
    <t>32060157900</t>
  </si>
  <si>
    <t>BRUNA LAIS DOS SANTOS PESSOA</t>
  </si>
  <si>
    <t>13459423625</t>
  </si>
  <si>
    <t>ASSEMBLEIA LEGISLATIVA MG</t>
  </si>
  <si>
    <t>BRUNO DE SOUZA PACHECO</t>
  </si>
  <si>
    <t>BRUNO FERREIRA DE SOUZA RODRIGUES</t>
  </si>
  <si>
    <t>CAMILA DE OLIVEIRA VELOSO</t>
  </si>
  <si>
    <t>CARLOS ALEXANDRE GIGI</t>
  </si>
  <si>
    <t>CARLOS NASCIMENTO NONATO JUNIOR</t>
  </si>
  <si>
    <t>CLAUDINEI AMARAL</t>
  </si>
  <si>
    <t>10433881844</t>
  </si>
  <si>
    <t>CLEVERSON PAULOUSKI</t>
  </si>
  <si>
    <t>DANIEL SANTOS DE ASSUNCAO</t>
  </si>
  <si>
    <t>97592439549</t>
  </si>
  <si>
    <t>BANCO ITAU BA</t>
  </si>
  <si>
    <t>DANIELA CARVALHO STAHLER</t>
  </si>
  <si>
    <t>DANILO ZANATTA LUCIANO</t>
  </si>
  <si>
    <t>DEBORA ARAUJO FIGUEIREDO</t>
  </si>
  <si>
    <t>85225720030</t>
  </si>
  <si>
    <t>DRF NOVO HAMBURGO RS</t>
  </si>
  <si>
    <t>DENIS FERREIRA DA SILVA</t>
  </si>
  <si>
    <t>DIEGO JOSE DE PAULO</t>
  </si>
  <si>
    <t>01553544692</t>
  </si>
  <si>
    <t>DIVAN ALVES DE AMORIM</t>
  </si>
  <si>
    <t>EDSON CALIXTO THOMAZ</t>
  </si>
  <si>
    <t>05765681719</t>
  </si>
  <si>
    <t>EDUARDO SANTOS</t>
  </si>
  <si>
    <t>91270529072</t>
  </si>
  <si>
    <t>FABIO DIOGO BITTENCOURT</t>
  </si>
  <si>
    <t>FABIO HENRIQUE PECORARI CRUZ</t>
  </si>
  <si>
    <t>FABIO MARTINS BORGES</t>
  </si>
  <si>
    <t>FELIPE JOSE DE ALBUQUERQUE OLIVEIRA</t>
  </si>
  <si>
    <t>GERSON PEREIRA</t>
  </si>
  <si>
    <t>38950693291</t>
  </si>
  <si>
    <t>GUILHERME FERREIRA DA SILVA</t>
  </si>
  <si>
    <t>GUILHERME MOTTA RIBEIRO SILVA</t>
  </si>
  <si>
    <t>11178519740</t>
  </si>
  <si>
    <t>CEF ES</t>
  </si>
  <si>
    <t>HEDER SILVA CAMPODONICO</t>
  </si>
  <si>
    <t>HIGOR KELVYN SILVA AMORIM</t>
  </si>
  <si>
    <t>HUGO ALEXANDRE DE SOUSA</t>
  </si>
  <si>
    <t>07646535630</t>
  </si>
  <si>
    <t>HUGO DELLA JUSTINA</t>
  </si>
  <si>
    <t>03031202902</t>
  </si>
  <si>
    <t>FROTA</t>
  </si>
  <si>
    <t>GUILHERME FORTKAMP</t>
  </si>
  <si>
    <t>THIAGO NEVES</t>
  </si>
  <si>
    <t>IVO LUCIANO DA SILVA WAGNER JUNIOR</t>
  </si>
  <si>
    <t>JAIR ASSIS DA SILVA</t>
  </si>
  <si>
    <t>60377348953</t>
  </si>
  <si>
    <t>JAQUELINE ONORIO DOS SANTOS ALVES</t>
  </si>
  <si>
    <t>37258325875</t>
  </si>
  <si>
    <t>JOAO ALEXANDRE LIMA</t>
  </si>
  <si>
    <t>JOSE CARLOS BATISTA</t>
  </si>
  <si>
    <t>JOSE CLAUDIO RIBEIRO</t>
  </si>
  <si>
    <t>61158852649</t>
  </si>
  <si>
    <t>JOSE JONAS FURLANETTO</t>
  </si>
  <si>
    <t>55889913115</t>
  </si>
  <si>
    <t>JOSE NEI DOS SANTOS DUTRA</t>
  </si>
  <si>
    <t>JUSTINO NOGUEIRA PEIXOTO JUNIOR</t>
  </si>
  <si>
    <t>KLEBER SILVA DA SILVA</t>
  </si>
  <si>
    <t>LEANDRO DE QUADROS</t>
  </si>
  <si>
    <t>LEANDRO GUSMAO MUNIZ</t>
  </si>
  <si>
    <t>13126691790</t>
  </si>
  <si>
    <t>LEONARDO MURATORI ATHAYDE</t>
  </si>
  <si>
    <t>LUCAS HENRIQUE CORREA DOS SANTOS</t>
  </si>
  <si>
    <t>LUCAS HENRIQUE PINHO</t>
  </si>
  <si>
    <t>45211709861</t>
  </si>
  <si>
    <t>LUCIANO DA SILVA DE PAULA</t>
  </si>
  <si>
    <t>LUIZ FERNANDO CAVALHEIRO</t>
  </si>
  <si>
    <t>03898579980</t>
  </si>
  <si>
    <t>MARCELO DE ANDRADE CALVETTI</t>
  </si>
  <si>
    <t>02587708052</t>
  </si>
  <si>
    <t>MARCELO GIMENEZ ARGEMON</t>
  </si>
  <si>
    <t>95073272153</t>
  </si>
  <si>
    <t>CEF FACILITIES CAMPINAS SP</t>
  </si>
  <si>
    <t>MARCELO PEREIRA LIMA</t>
  </si>
  <si>
    <t>10254434894</t>
  </si>
  <si>
    <t>BB CAMPINAS SP</t>
  </si>
  <si>
    <t>MARIA EDUARDA ARAGAO</t>
  </si>
  <si>
    <t>10363402950</t>
  </si>
  <si>
    <t>MAURO PEDRO SAUGO</t>
  </si>
  <si>
    <t>MOISES DOS SANTOS CABRAL</t>
  </si>
  <si>
    <t>68746458204</t>
  </si>
  <si>
    <t>CEF FAC RO</t>
  </si>
  <si>
    <t>NORMAN CRANI PORTELLA</t>
  </si>
  <si>
    <t>ORESTE BARBOSA DA SILVA JUNIOR</t>
  </si>
  <si>
    <t>25075562850</t>
  </si>
  <si>
    <t>OSCAR DOMINGO PALARO</t>
  </si>
  <si>
    <t>PALOMA CARLOS SPINOLA</t>
  </si>
  <si>
    <t>PATRICK ANTONIEVICZ ALVES</t>
  </si>
  <si>
    <t>06456801923</t>
  </si>
  <si>
    <t>PRISCILA GOTARDO PEREIRA</t>
  </si>
  <si>
    <t>05168980945</t>
  </si>
  <si>
    <t>RAFAEL PORTO ALVES DA CRUZ</t>
  </si>
  <si>
    <t>RAFAEL RAMOS DAS NEVES</t>
  </si>
  <si>
    <t>RAMON GOMES TEIXEIRA</t>
  </si>
  <si>
    <t>RAQUEL PANTOJA SANTOS</t>
  </si>
  <si>
    <t>89395140259</t>
  </si>
  <si>
    <t>CEF BELEM FACILITIES PA</t>
  </si>
  <si>
    <t>RICARDO MURCIA GARCIA FILHO</t>
  </si>
  <si>
    <t>27668763830</t>
  </si>
  <si>
    <t>RICARDO ZORZETTO</t>
  </si>
  <si>
    <t>00539580040</t>
  </si>
  <si>
    <t>CEF QUERENCIA RS</t>
  </si>
  <si>
    <t>RODRIGO JOSE DE PAULA</t>
  </si>
  <si>
    <t>03348917956</t>
  </si>
  <si>
    <t>ROGERIO GOMES DE OLIVEIRA</t>
  </si>
  <si>
    <t>89591640030</t>
  </si>
  <si>
    <t>RONALDO DE MATOS LELIS</t>
  </si>
  <si>
    <t>47502843604</t>
  </si>
  <si>
    <t>RUBENS BELO HERBSTER</t>
  </si>
  <si>
    <t>SANDRO QUITERIO LOPES DOS SANTOS</t>
  </si>
  <si>
    <t>SILVIO ODELI FILHO</t>
  </si>
  <si>
    <t>07634898910</t>
  </si>
  <si>
    <t>SILVIO VINICIUS PINHEIRO GOES</t>
  </si>
  <si>
    <t>51182084168</t>
  </si>
  <si>
    <t>TEOFILO TOLLENDAL PACHECO</t>
  </si>
  <si>
    <t>26687333836</t>
  </si>
  <si>
    <t>THIAGO DE MEDEIROS VANZELER</t>
  </si>
  <si>
    <t>11590627733</t>
  </si>
  <si>
    <t>TIAGO DE OLIVEIRA PAIVA</t>
  </si>
  <si>
    <t>TULIO VELOSO HONORATO</t>
  </si>
  <si>
    <t>12609931670</t>
  </si>
  <si>
    <t>BB SUDESTE MG</t>
  </si>
  <si>
    <t>UELITON CANDIDO</t>
  </si>
  <si>
    <t>10354623621</t>
  </si>
  <si>
    <t>NET SUL MG</t>
  </si>
  <si>
    <t>WALTER DE CAMPOS NUNES NETO</t>
  </si>
  <si>
    <t>99114160030</t>
  </si>
  <si>
    <t>CLARO INFRA RS</t>
  </si>
  <si>
    <t>WELLINGTON ARION TAVARES</t>
  </si>
  <si>
    <t>WILLIAM SANTANA NUNES</t>
  </si>
  <si>
    <t>95417400068</t>
  </si>
  <si>
    <t>EDUARDO FRAGA DOS REIS</t>
  </si>
  <si>
    <t>GLEIDE CONCEICAO NASCIMENTO ALVES</t>
  </si>
  <si>
    <t>HERICA CRISTINY MESQUITA SANTOS FERNANDES</t>
  </si>
  <si>
    <t>HUGO AZEVEDO SANTOS</t>
  </si>
  <si>
    <t>JULIO CESAR DE SOUZA</t>
  </si>
  <si>
    <t>01857561902</t>
  </si>
  <si>
    <t>MARCIO CAMPOS RIBEIRO</t>
  </si>
  <si>
    <t>17427326822</t>
  </si>
  <si>
    <t>NILTON SANTOS DA SILVA</t>
  </si>
  <si>
    <t>TANDARA MARIA DO VALES PEREIRA ALVES</t>
  </si>
  <si>
    <t>THIAGO SEPULVEDA CUNHA</t>
  </si>
  <si>
    <t>47111830865</t>
  </si>
  <si>
    <t>WEDER MARTINS</t>
  </si>
  <si>
    <t>JOSE CLEBER BECKMAN CORDEIRO</t>
  </si>
  <si>
    <t>CHARLYTON COSTA ANDRADE</t>
  </si>
  <si>
    <t>UFPR APOIO PR</t>
  </si>
  <si>
    <t>Cobrança</t>
  </si>
  <si>
    <t>Nome</t>
  </si>
  <si>
    <t>E-mail</t>
  </si>
  <si>
    <t>Tipo de usuário</t>
  </si>
  <si>
    <t>Status do Cartão</t>
  </si>
  <si>
    <t>Permissão de Uso</t>
  </si>
  <si>
    <t>Permissão de Gestão</t>
  </si>
  <si>
    <t>Ações</t>
  </si>
  <si>
    <t>abner.cavalcante@eqsengenharia.com.br</t>
  </si>
  <si>
    <t>Normal</t>
  </si>
  <si>
    <t>Portador de Cartão</t>
  </si>
  <si>
    <t>Sem permissão</t>
  </si>
  <si>
    <t>adan.batista@eqsengenharia.com.br</t>
  </si>
  <si>
    <t>adautojosepereira@yahoo.com.br</t>
  </si>
  <si>
    <t>ctba_projetos@hotmail.com</t>
  </si>
  <si>
    <t>ADILSON ANTONIO JACINTO</t>
  </si>
  <si>
    <t>dirson4867@yahoo.com</t>
  </si>
  <si>
    <t>adilsoncamargo@eqseng.com.br</t>
  </si>
  <si>
    <t>ADILSON RODRIGUES FERREIRA</t>
  </si>
  <si>
    <t>adilson.ferreira@eqsengenharia.com.br</t>
  </si>
  <si>
    <t>Intermediário</t>
  </si>
  <si>
    <t>adivarjunior@gmail.com</t>
  </si>
  <si>
    <t>ADMILSON DA SILVA FARIAS</t>
  </si>
  <si>
    <t>admilsonfarias2016@gmail.com</t>
  </si>
  <si>
    <t>admilsongalan@gmail.com</t>
  </si>
  <si>
    <t>ADRIANA DA CONCEICAO PEREIRA DE MELO</t>
  </si>
  <si>
    <t>adriana.melo@eqsengenharia.com.br</t>
  </si>
  <si>
    <t>ADRIANE CARON</t>
  </si>
  <si>
    <t>adriane.caron@eqseng.com.br</t>
  </si>
  <si>
    <t>ADRIANO BORGES TEIXEIRA</t>
  </si>
  <si>
    <t>adrianoteixeiraeletricista@gmail.com</t>
  </si>
  <si>
    <t>adriano.paula@eqsengenharia.com.br</t>
  </si>
  <si>
    <t>adson.silva@eqsengenharia.com.br</t>
  </si>
  <si>
    <t>adson.santos@eqsengenharia.com.br</t>
  </si>
  <si>
    <t>AFONSO FIORELLO CARVALHO</t>
  </si>
  <si>
    <t>afonso.fiorello@eqsengenharia.com.br</t>
  </si>
  <si>
    <t>agno.teles@eqsengenharia.com.br</t>
  </si>
  <si>
    <t>AILTON MENDES AGUILAR</t>
  </si>
  <si>
    <t>ailtonaguilarmg@gmail.com</t>
  </si>
  <si>
    <t>alaerte.junior@eqsengenharia.com.br</t>
  </si>
  <si>
    <t>alan.andrade@eqseng.com.br</t>
  </si>
  <si>
    <t>ALAN WAGNER MEDEIROS DE SOUZA</t>
  </si>
  <si>
    <t>alan.peacv@gmail.com</t>
  </si>
  <si>
    <t>ALEKSANDER GONCALVES DE ALMEIDA</t>
  </si>
  <si>
    <t>aleksalmeida1988@gmail.com</t>
  </si>
  <si>
    <t>alessandrooa@bol.com.br</t>
  </si>
  <si>
    <t>pastrellia044@gmail.com</t>
  </si>
  <si>
    <t>ALEX CARVALHO DOS SANTOS</t>
  </si>
  <si>
    <t>alexcarvalhosantos05@gmail.com</t>
  </si>
  <si>
    <t>ALEX DOS SANTOS</t>
  </si>
  <si>
    <t>alex.dos.santos@hotmail.com</t>
  </si>
  <si>
    <t>alex.marques@eqsengenharia.com.br</t>
  </si>
  <si>
    <t>ALEX SANDRO RAMBO</t>
  </si>
  <si>
    <t>alexrambo88@gmail.com</t>
  </si>
  <si>
    <t>alexandre.gross@eqsengenharia.com.br</t>
  </si>
  <si>
    <t>ALEXANDRE PIRES DE JESUS</t>
  </si>
  <si>
    <t>pireseqs@gmail.com</t>
  </si>
  <si>
    <t>ALEXSANDRO RAULINO DOS SANTOS</t>
  </si>
  <si>
    <t>alexsandroraulino843@gmail.com</t>
  </si>
  <si>
    <t>ALEXSANDRO SANTOS DA CONCEICAO</t>
  </si>
  <si>
    <t>alexsandro.conceicao@eqsengenharia.com.br</t>
  </si>
  <si>
    <t>alirio.valentim@eqseng.com.br</t>
  </si>
  <si>
    <t>alisonsilva-artur@hotmail.com</t>
  </si>
  <si>
    <t>alisson.rambo@eqseng.com.br</t>
  </si>
  <si>
    <t>ALLANCRISTIAN20@HOTMAIL.COM</t>
  </si>
  <si>
    <t>allan.rodrigues@eqsengenharia.com.br</t>
  </si>
  <si>
    <t>ALMIR DA SILVA SOARES</t>
  </si>
  <si>
    <t>almirdasilvasoares@gmail.com</t>
  </si>
  <si>
    <t>jocabertol@gmail.com</t>
  </si>
  <si>
    <t>primeraalvaro51@gmail.com</t>
  </si>
  <si>
    <t>amanda.cristina@eqsengenharia.com.br</t>
  </si>
  <si>
    <t>AMARAL RODRIGUES NUNES</t>
  </si>
  <si>
    <t>AMARALNUNES2012@HOTMAIL.COM</t>
  </si>
  <si>
    <t>anderson.perez@eqsengenharia.com.br</t>
  </si>
  <si>
    <t>ANDERSON FERNANDES DE ALMEIDA</t>
  </si>
  <si>
    <t>dyttofernandesalmeida1@gmail.com</t>
  </si>
  <si>
    <t>ANDERSON GOMES</t>
  </si>
  <si>
    <t>eqsengenharia.jlle@gmail.com</t>
  </si>
  <si>
    <t>ANDERSON LUIS GONCALVES</t>
  </si>
  <si>
    <t>andygoncalves011@gmail.com</t>
  </si>
  <si>
    <t>ANDERSON MARTINS ELIZEU</t>
  </si>
  <si>
    <t>elizeuandersonmartins@gmail.com</t>
  </si>
  <si>
    <t>anderson.vieira@eqsengenharia.com.br</t>
  </si>
  <si>
    <t>andre.meister@eqsengenharia.com.br</t>
  </si>
  <si>
    <t>ANDRE DE MOURA ESCOBAR</t>
  </si>
  <si>
    <t>andre.escobar@eqseng.com.br</t>
  </si>
  <si>
    <t>ANDRE LUIZ DOS SANTOS OLIVEIRA</t>
  </si>
  <si>
    <t>andre.oliveira.supervisor.telecom@gmail.com</t>
  </si>
  <si>
    <t>andre.santana@eqsengenharia.com.br</t>
  </si>
  <si>
    <t>andre.balotin@eqsengenharia.com.br</t>
  </si>
  <si>
    <t>toxcroen@gmail.com</t>
  </si>
  <si>
    <t>ANDREA ANTUNES GOMES</t>
  </si>
  <si>
    <t>andrea.antunes@eqsengenharia.com.br</t>
  </si>
  <si>
    <t>andresa.aggio@eqsengenharia.com.br</t>
  </si>
  <si>
    <t>ANDREY CARDOSO REGINALDO</t>
  </si>
  <si>
    <t>andrey.reginaldo@eqsengenharia.com.br</t>
  </si>
  <si>
    <t>Administrador</t>
  </si>
  <si>
    <t>Gestor de Contas</t>
  </si>
  <si>
    <t>ANELISE MENDONCA DE AVILA</t>
  </si>
  <si>
    <t>anelise@eqsengenharia.com.br</t>
  </si>
  <si>
    <t>Angelica Sampaio Sousa</t>
  </si>
  <si>
    <t>angelica.sousa@eqsengenharia.com.br</t>
  </si>
  <si>
    <t>angelica.amarante@eqsengenharia.com.br</t>
  </si>
  <si>
    <t>antonio@eqseng.com.br</t>
  </si>
  <si>
    <t>adimendonca@gmail.com</t>
  </si>
  <si>
    <t>antonio.j1.silva26@gmail.com</t>
  </si>
  <si>
    <t>camargo0713@hotmail.com</t>
  </si>
  <si>
    <t>ANTONIO MARCOS DE SOUZA</t>
  </si>
  <si>
    <t>amssouzaeqs@hotmail.com</t>
  </si>
  <si>
    <t>arley.luz@eqsengenharia.com.br</t>
  </si>
  <si>
    <t>ARNALDO VARGAS NETO</t>
  </si>
  <si>
    <t>arnaldo211vargas@gmail.com</t>
  </si>
  <si>
    <t>arthur.gomes@eqsengenharia.com.br</t>
  </si>
  <si>
    <t>arthursantos58@live.com</t>
  </si>
  <si>
    <t>arturpagani@gmail.com</t>
  </si>
  <si>
    <t>ATILA LOPES DE MOURA</t>
  </si>
  <si>
    <t>atila_moura@hotmail.com</t>
  </si>
  <si>
    <t>auro.pedroso@eqsengenharia.com.br</t>
  </si>
  <si>
    <t>beatriz.siqueira@eqseng.com.br</t>
  </si>
  <si>
    <t>mmcanoas@hotmail.com</t>
  </si>
  <si>
    <t>brunalais_ac@hotmail.com</t>
  </si>
  <si>
    <t>bruna.pessoa@eqsengenharia.com.br</t>
  </si>
  <si>
    <t>bruninhopacheco44@gmail.com</t>
  </si>
  <si>
    <t>bruno@eqsengenharia.com.br</t>
  </si>
  <si>
    <t>BRUNO EDUARDO SOLANO</t>
  </si>
  <si>
    <t>bruno.solano@eqsengenharia.com.br</t>
  </si>
  <si>
    <t>brunoenf02@icloud.com</t>
  </si>
  <si>
    <t>BRUNO LOPES DE CAMARGO</t>
  </si>
  <si>
    <t>brunolopes15061991@gmail.com</t>
  </si>
  <si>
    <t>bruno.dias@eqsengenharia.com.br</t>
  </si>
  <si>
    <t>caio.ribeiro@eqsengenharia.com.br</t>
  </si>
  <si>
    <t>caios.nunes@eqsengenharia.com.br</t>
  </si>
  <si>
    <t>CAMILA DE FRANCA FARIA</t>
  </si>
  <si>
    <t>camila.faria@eqsengenharia.com.br</t>
  </si>
  <si>
    <t>camila.veloso@bcb.gov.br</t>
  </si>
  <si>
    <t>CAMILA DOS SANTOS DO LIVRAMENTO</t>
  </si>
  <si>
    <t>camila@eqsengenharia.com.br</t>
  </si>
  <si>
    <t>carlos.gigi@eqseng.com.br</t>
  </si>
  <si>
    <t>carlos.eduardo@eqsengenharia.com.br</t>
  </si>
  <si>
    <t>godoy.equisul@gmail.com</t>
  </si>
  <si>
    <t>CARLOS GONZAGA ARAGAO</t>
  </si>
  <si>
    <t>caixa@eqsengenharia.com.br</t>
  </si>
  <si>
    <t>CARLOS HENRIQUE VARGAS DOS SANTOS</t>
  </si>
  <si>
    <t>carlos.santos@eqseng.com.br</t>
  </si>
  <si>
    <t>carlosengenheiro33@gmail.com</t>
  </si>
  <si>
    <t>crenps@gmail.com</t>
  </si>
  <si>
    <t>carlos.peres@eqsengenharia.com.br</t>
  </si>
  <si>
    <t>CAROLINE DA SILVA</t>
  </si>
  <si>
    <t>caroline@eqsengenharia.com.br</t>
  </si>
  <si>
    <t>CASSIANO DOS SANTOS LYRA</t>
  </si>
  <si>
    <t>ecaslyra@gmail.com</t>
  </si>
  <si>
    <t>CELSO ROGERIO DE OLIVEIRA</t>
  </si>
  <si>
    <t>celso.rogerio@eqsengenharia.com.br</t>
  </si>
  <si>
    <t>cmattyuzzy@gmail.com</t>
  </si>
  <si>
    <t>charlyton.andrade@eqsengenharia.com.br</t>
  </si>
  <si>
    <t>CINTIA DOS SANTOS RABELO</t>
  </si>
  <si>
    <t>cintia.rabelo@eqsengenharia.com.br</t>
  </si>
  <si>
    <t>claudemir.rodrigues@eqsengenharia.com.br</t>
  </si>
  <si>
    <t>claudemir.moreura054@gmail.com</t>
  </si>
  <si>
    <t>amaralclaudinei@hotmail.com</t>
  </si>
  <si>
    <t>claudinei.lima@eqsengenharia.com.br</t>
  </si>
  <si>
    <t>claudiodonizete8321@gmail.com</t>
  </si>
  <si>
    <t>clrenaldinunes@gmail.com</t>
  </si>
  <si>
    <t>claytonpr@gmail.com</t>
  </si>
  <si>
    <t>binhoclebersonsantos@gmail.com</t>
  </si>
  <si>
    <t>CLEDIVALDO DINIZ BERNARDO</t>
  </si>
  <si>
    <t>DINIZCLEDIVALDO@GMAIL.COM</t>
  </si>
  <si>
    <t>Cartão não habilitado</t>
  </si>
  <si>
    <t>cleiton.montalvao@eqsengenharia.com.br</t>
  </si>
  <si>
    <t>CLEOMIRIO FERREIRA DOS SANTOS</t>
  </si>
  <si>
    <t>cleomirio.santos@eqsengenharia.com.br</t>
  </si>
  <si>
    <t>cleriton.santos@hotmail.com</t>
  </si>
  <si>
    <t>bmx_sdr@hotmail.com</t>
  </si>
  <si>
    <t>CLOVIS RICARDO PALHARES E CORDEIRO</t>
  </si>
  <si>
    <t>clovisricardo@hotmail.com</t>
  </si>
  <si>
    <t>conf</t>
  </si>
  <si>
    <t>conf@eqsengenharia.com.br</t>
  </si>
  <si>
    <t>creol.santos@gmail.com</t>
  </si>
  <si>
    <t>cristiano.anesio@gmail.com</t>
  </si>
  <si>
    <t>cristianovaladares4@gmail.com</t>
  </si>
  <si>
    <t>DANIEL CANTUARIO DA SILVEIRA</t>
  </si>
  <si>
    <t>silveirad139@gmail.com</t>
  </si>
  <si>
    <t>daniel.lopes@eqsengenharia.com.br</t>
  </si>
  <si>
    <t>DANIEL DUARTE ALVES</t>
  </si>
  <si>
    <t>daniel.duarte@eqsengenharia.com.br</t>
  </si>
  <si>
    <t>dsassuncao@hotmail.com</t>
  </si>
  <si>
    <t>daniela.carvalho@eqsengenharia.com.br</t>
  </si>
  <si>
    <t>danilo.zanatta@eqseng.com.br</t>
  </si>
  <si>
    <t>DARLAN SPIER PAZ</t>
  </si>
  <si>
    <t>darlan@eqsengenharia.com.br</t>
  </si>
  <si>
    <t>davidspereira92@gmail.com</t>
  </si>
  <si>
    <t>david.frigerio@eqsengenharia.com.br</t>
  </si>
  <si>
    <t>david.brito@eqsengenharia.com.br</t>
  </si>
  <si>
    <t>deboraaf2017@gmail.com</t>
  </si>
  <si>
    <t>deise@eqsengenharia.com.br</t>
  </si>
  <si>
    <t>delvano.silva@eqsengenharia.com.br</t>
  </si>
  <si>
    <t>DEMETRIUS LOPES GIANGROSSI</t>
  </si>
  <si>
    <t>demetriusgiangrossi@gmail.com</t>
  </si>
  <si>
    <t>denilsodidone@gmail.com</t>
  </si>
  <si>
    <t>DENILSON PERRIM NAVARRO</t>
  </si>
  <si>
    <t>denilson.navarro@eqsengenharia.com.br</t>
  </si>
  <si>
    <t>denis.silva@eqsengenharia.com.br</t>
  </si>
  <si>
    <t>DENIVALDO GONCALVES MIRANDA</t>
  </si>
  <si>
    <t>denisvzp@gmail.com</t>
  </si>
  <si>
    <t>dhiego.diniz@eqsengenharia.com.br</t>
  </si>
  <si>
    <t>diegoalcan@hotmail.com</t>
  </si>
  <si>
    <t>diego.jesus_92@hotmail.com</t>
  </si>
  <si>
    <t>diego.grime@gmail.com</t>
  </si>
  <si>
    <t>diegojpudi@hotmail.com</t>
  </si>
  <si>
    <t>DIONATAN PATRICK SOUZA DIAS</t>
  </si>
  <si>
    <t>dionatan.conceito@gmail.com</t>
  </si>
  <si>
    <t>divanmiroma@gmail.com</t>
  </si>
  <si>
    <t>DIVANIA RITA DE SOUSA ASSIS FREITAS</t>
  </si>
  <si>
    <t>divaniarita@yahoo.com.br</t>
  </si>
  <si>
    <t>DJONATAN JULIO GORGES VENTURI</t>
  </si>
  <si>
    <t>djony254@gmail.com</t>
  </si>
  <si>
    <t>dmitri92silva@gmail.com</t>
  </si>
  <si>
    <t>dominique.souza@eqseng.com.br</t>
  </si>
  <si>
    <t>bruckdoug@gmail.com</t>
  </si>
  <si>
    <t>odouglastiago@gmail.com</t>
  </si>
  <si>
    <t>DOUGLAS VENTURA SILVEIRA</t>
  </si>
  <si>
    <t>douglas.silveira@eqseng.com.br</t>
  </si>
  <si>
    <t>drywtop@outlook.com</t>
  </si>
  <si>
    <t>DYONES ONOFRE HORACIO DE OLIVEIRA</t>
  </si>
  <si>
    <t>mdmargoso@yahoo.com.br</t>
  </si>
  <si>
    <t>edercarvalho@eqsengenharia.com.br</t>
  </si>
  <si>
    <t>eder.medici@gmail.com</t>
  </si>
  <si>
    <t>EDERSON GUIZOLFI PEREIRA</t>
  </si>
  <si>
    <t>ederson.pereira@eqseng.com.br</t>
  </si>
  <si>
    <t>Ederson_tjmsn@hotmail.com</t>
  </si>
  <si>
    <t>EDERSON STRELOW</t>
  </si>
  <si>
    <t>strelowederson@gmail.com</t>
  </si>
  <si>
    <t>ede_dutra@hotmail.com</t>
  </si>
  <si>
    <t>ediberto@eqseng.com.br</t>
  </si>
  <si>
    <t>EDILENE CRISTIANA DA SILVA ZIMMERMANN</t>
  </si>
  <si>
    <t>cristiana.zimmermann@eqsengenharia.com.br</t>
  </si>
  <si>
    <t>edipo.barreto@eqsengenharia.com.br</t>
  </si>
  <si>
    <t>EDISON FERREIRA GONCALVES</t>
  </si>
  <si>
    <t>edisonfgoncalves@gmail.com</t>
  </si>
  <si>
    <t>EDJUNIO FERNANDES DE SANTANA</t>
  </si>
  <si>
    <t>juniof66.jf@gmail.com</t>
  </si>
  <si>
    <t>edmar.cardoso@eqsengenharia.com.br</t>
  </si>
  <si>
    <t>EDMAR RODRIGUES MOTA</t>
  </si>
  <si>
    <t>edmar@eqsengenharia.com.br</t>
  </si>
  <si>
    <t>EDNALDO DE ALMEIDA SANTOS</t>
  </si>
  <si>
    <t>EDNALDOALMEIDA.NI@GMAIL.COM</t>
  </si>
  <si>
    <t>EDNEI SANTOS SANTANA</t>
  </si>
  <si>
    <t>ednei.santana@eqsengenharia.com.br</t>
  </si>
  <si>
    <t>CALITHOMAZ.EDSON@HOTMAIL.COM</t>
  </si>
  <si>
    <t>EDSON DA SILVA DELLINGHAUSEN</t>
  </si>
  <si>
    <t>edsondellin@yahoo.com.br</t>
  </si>
  <si>
    <t>edson.silveira@eqsengenharia.com.br</t>
  </si>
  <si>
    <t>EDUARDA CONCEICAO DE ALMEIDA</t>
  </si>
  <si>
    <t>eduarda.almeida@eqsengenharia.com.br</t>
  </si>
  <si>
    <t>eduardo.silva@eqsengenharia.com.br</t>
  </si>
  <si>
    <t>eduardo.reis@eqsengenharia.com.br</t>
  </si>
  <si>
    <t>eduardo.santos@eqsengenharia.com.br</t>
  </si>
  <si>
    <t>eliandrobruning@hotmail.com</t>
  </si>
  <si>
    <t>ELIANDRO CUNHA DO NASCIMENTO</t>
  </si>
  <si>
    <t>eliandrocunha2017@hotmail.com</t>
  </si>
  <si>
    <t>ELIO PEREIRA NETO</t>
  </si>
  <si>
    <t>elio@eqsengenharia.com.br</t>
  </si>
  <si>
    <t>ELISA SILVA SCHNEIDER</t>
  </si>
  <si>
    <t>elisa.schneider@eqsengenharia.com.br</t>
  </si>
  <si>
    <t>ELOI JOSE DE FIGUEIREDO NETO</t>
  </si>
  <si>
    <t>eloi@eqsengenharia.com.br</t>
  </si>
  <si>
    <t>emerson.prado@eqseng.com.br</t>
  </si>
  <si>
    <t>emerson1002barros@gmail.com</t>
  </si>
  <si>
    <t>ENIOIR NOGUEIRA ANTUNES</t>
  </si>
  <si>
    <t>mannykantunes@gmail.com</t>
  </si>
  <si>
    <t>enzio.mota@eqsengenharia.com.br</t>
  </si>
  <si>
    <t>ERASMO PEREIRA MONTEIRO</t>
  </si>
  <si>
    <t>erasmopemo@gmail.com</t>
  </si>
  <si>
    <t>matosbrunomatos89@gmail.com</t>
  </si>
  <si>
    <t>ericsonjucap@gmail.com</t>
  </si>
  <si>
    <t>ERIVAN RODRIGUES GOMES</t>
  </si>
  <si>
    <t>erivan.gomes@eqseng.com.br</t>
  </si>
  <si>
    <t>EVERSON CESAR GAIDSTIECHI</t>
  </si>
  <si>
    <t>everson@eqsengenharia.com.br</t>
  </si>
  <si>
    <t>eversonesteves7@gmail.com</t>
  </si>
  <si>
    <t>everton.loureto@eqsengenharia.com.br</t>
  </si>
  <si>
    <t>EVERTON REIS DO NASCIMENTO</t>
  </si>
  <si>
    <t>ereisdonascimento@gmail.com</t>
  </si>
  <si>
    <t>fabiana.lima@eqsengenharia.com.br</t>
  </si>
  <si>
    <t>FABIANO LITTER</t>
  </si>
  <si>
    <t>fabianolitter@gmail.com</t>
  </si>
  <si>
    <t>fabio.pereira@eqsengenharia.com.br</t>
  </si>
  <si>
    <t>FABIOLIMA01@YAHOO.COM.BR</t>
  </si>
  <si>
    <t>fabio.hidelma@gmail.com</t>
  </si>
  <si>
    <t>fabiohenriquepcruz@gmail.com</t>
  </si>
  <si>
    <t>fabinhomborges0304@gmail.com</t>
  </si>
  <si>
    <t>provesi85@gmail.com</t>
  </si>
  <si>
    <t>FABIO RAFAEL RIBEIRO</t>
  </si>
  <si>
    <t>fabiorafael.email@gmail.com</t>
  </si>
  <si>
    <t>FABIO RODRIGUES JUREVICZ</t>
  </si>
  <si>
    <t>frj3455@gmail.com</t>
  </si>
  <si>
    <t>FABRICIO SANTOS DA COSTA</t>
  </si>
  <si>
    <t>fscsantos82@yahoo.com.br</t>
  </si>
  <si>
    <t>felipe.albuquerque@eqsengenharia.com.br</t>
  </si>
  <si>
    <t>FELIPE MELILLO FONTAN</t>
  </si>
  <si>
    <t>felipe.fontan@eqsengenharia.com.br</t>
  </si>
  <si>
    <t>FELIPE-BRITTO@HOTMAIL.COM</t>
  </si>
  <si>
    <t>FERNANDA ARAGAO</t>
  </si>
  <si>
    <t>fernanda@eqsengenharia.com.br</t>
  </si>
  <si>
    <t>Gestor Financeiro</t>
  </si>
  <si>
    <t>FERNANDO DE MELO</t>
  </si>
  <si>
    <t>ffernandinhodmelo@gmail.com</t>
  </si>
  <si>
    <t>fernando.duarte@eqsengenharia.com.br</t>
  </si>
  <si>
    <t>filipekling.eqs@petrobras.com.br</t>
  </si>
  <si>
    <t>flavio.fernandes@eqsengenharia.com.br</t>
  </si>
  <si>
    <t>flavio.romero@eqsengenharia.com.br</t>
  </si>
  <si>
    <t>FLAVIO PATRICIO DA LUZ</t>
  </si>
  <si>
    <t>flaviopatrono77@gmail.com</t>
  </si>
  <si>
    <t>FLAVIO PEREIRA DE SOUZA</t>
  </si>
  <si>
    <t>flavio.p.souza.prestserv@petrobras.com.br</t>
  </si>
  <si>
    <t>francielly.andrade@outlook.com</t>
  </si>
  <si>
    <t>FRANCIMARIO BEZERRA DA SILVA</t>
  </si>
  <si>
    <t>b.francimario@yahoo.com</t>
  </si>
  <si>
    <t>francinildo.araujo@eqsengenharia.com.br</t>
  </si>
  <si>
    <t>francione.souza.lucena@gmail.com</t>
  </si>
  <si>
    <t>FRANCISCA VALERIA LIMA PORTELA</t>
  </si>
  <si>
    <t>francisca.portela@eqsengenharia.com.br</t>
  </si>
  <si>
    <t>FRANCISCO MICHAEL CASTRO FERNANDES</t>
  </si>
  <si>
    <t>MICHAEL_CFERNANDES@HOTMAIL.COM</t>
  </si>
  <si>
    <t>FRANCISCO RICARDO DOS SANTOS</t>
  </si>
  <si>
    <t>francisco.ricardosantos@gmail.com</t>
  </si>
  <si>
    <t>franvalsousafv@gmail.com</t>
  </si>
  <si>
    <t>franco_dallacqua@hotmail.com</t>
  </si>
  <si>
    <t>FREDERICO PEDROSO FERNANDES</t>
  </si>
  <si>
    <t>frederico.pedroso@eqsengenharia.com.br</t>
  </si>
  <si>
    <t>GABRIEL CABRAL DA SILVA</t>
  </si>
  <si>
    <t>Gaelcabral0@outlook.com</t>
  </si>
  <si>
    <t>GABRIEL EGGER</t>
  </si>
  <si>
    <t>gabriel.egger@eqseng.com.br</t>
  </si>
  <si>
    <t>gabriel.agnol@eqseng.com.br</t>
  </si>
  <si>
    <t>GABRIELA DALLA VECHIA MONTEIRO</t>
  </si>
  <si>
    <t>adm.claro.pr@eqsengenharia.com.br</t>
  </si>
  <si>
    <t>GEFERSON FLORIANO PRICHULA</t>
  </si>
  <si>
    <t>gefersonprichula@gmail.com</t>
  </si>
  <si>
    <t>genisson.ferreira@eqseng.com.br</t>
  </si>
  <si>
    <t>GERRY ARYAGUINO FERNANDES DE SOUSA</t>
  </si>
  <si>
    <t>gerryfernandes33@gmail.com</t>
  </si>
  <si>
    <t>GERSON ALMEIDA DE ANDRADE</t>
  </si>
  <si>
    <t>gerson.andrade@eqsengenharia.com.br</t>
  </si>
  <si>
    <t>gerson.pereira.gerson@gmail.com</t>
  </si>
  <si>
    <t>GILBERTO DE ALMEIDA</t>
  </si>
  <si>
    <t>gibaalfa@gmail.com</t>
  </si>
  <si>
    <t>gilmar.lacerda@eqsengenharia.com.br</t>
  </si>
  <si>
    <t>GILSON CRISTIANO FLORES BRUM</t>
  </si>
  <si>
    <t>gilsoncbr@hotmail.com</t>
  </si>
  <si>
    <t>GILSON DOS SANTOS PIAUILINO</t>
  </si>
  <si>
    <t>quimbagilson@gmail.com</t>
  </si>
  <si>
    <t>giovani.dunnantuoni@eqsengenharia.com.br</t>
  </si>
  <si>
    <t>GISELE CRISTINE DE SOUZA</t>
  </si>
  <si>
    <t>gisele.souza@eqsengenharia.com.br</t>
  </si>
  <si>
    <t>Giulliano filipe de almeida</t>
  </si>
  <si>
    <t>giulliano.almeida@eqsengenharia.com.br</t>
  </si>
  <si>
    <t>GLAUBER RODRIGUES DA SILVA</t>
  </si>
  <si>
    <t>glauber.silva@eqseng.com.br</t>
  </si>
  <si>
    <t>GLAUBERTY CANDIDO COELHO</t>
  </si>
  <si>
    <t>GLAUBERTYJOGLAU@HOTMAIL.COM</t>
  </si>
  <si>
    <t>GLAUCIO GONCALVES DE OLIVEIRA</t>
  </si>
  <si>
    <t>glaucio@eqsengenharia.com.br</t>
  </si>
  <si>
    <t>gleide.alves@eqsengenharia.com.br</t>
  </si>
  <si>
    <t>GUILHERME DE MATTOS NASCIMENTO ROSA</t>
  </si>
  <si>
    <t>aureliomattos127@gmail.com</t>
  </si>
  <si>
    <t>GUILHERME FELIPPE DE MEDEIROS</t>
  </si>
  <si>
    <t>guilherme.medeiros@eqsengenharia.com.br</t>
  </si>
  <si>
    <t>g.ferreira3093@gmail.com</t>
  </si>
  <si>
    <t>GUILHERME FORTKAMP PROENCA</t>
  </si>
  <si>
    <t>guilherme.proenca@eqsengenharia.com.br</t>
  </si>
  <si>
    <t>guilhermemateus31@outlook.com</t>
  </si>
  <si>
    <t>guilherme.silva@eqsengenharia.com.br</t>
  </si>
  <si>
    <t>GUSTAVO GONCALVES DA SILVA</t>
  </si>
  <si>
    <t>gustavodeosorio@hotmail.com</t>
  </si>
  <si>
    <t>gustavorfaria1000@gmail.com</t>
  </si>
  <si>
    <t>hedersilva22@hotmail.com</t>
  </si>
  <si>
    <t>HEITOR MAURMANN LEITAO</t>
  </si>
  <si>
    <t>heitormaurmann@gmail.com</t>
  </si>
  <si>
    <t>helder.ferreira@eqsengenharia.com.br</t>
  </si>
  <si>
    <t>helder.ustulin@eqsengenharia.com.br</t>
  </si>
  <si>
    <t>HENRIQUE ALMEIDA LAIGNIER</t>
  </si>
  <si>
    <t>henrique.laignier@eqsengenharia.com.br</t>
  </si>
  <si>
    <t>herica.fernandes@eqsengenharia.com.br</t>
  </si>
  <si>
    <t>HERLANDSON BRUNO CARNEIRO MATIAS</t>
  </si>
  <si>
    <t>herlandson.matias@eqsengenharia.com.br</t>
  </si>
  <si>
    <t>SILVAHIGOR356@GMAIL.COM</t>
  </si>
  <si>
    <t>higorlcerqueira@gmail.com</t>
  </si>
  <si>
    <t>hugo.alexandre@eqsengenharia.com.br</t>
  </si>
  <si>
    <t>hugo.santos@eqsengenharia.com.br</t>
  </si>
  <si>
    <t>hugo@eqsengenharia.com.br</t>
  </si>
  <si>
    <t>hugoeletric@gmail.com</t>
  </si>
  <si>
    <t>icaro.medeiros5532@gmail.com</t>
  </si>
  <si>
    <t>IGOR LOPES VARGAS</t>
  </si>
  <si>
    <t>igorvargas51@gmail.com</t>
  </si>
  <si>
    <t>ILMAR FONTES VIEIRA</t>
  </si>
  <si>
    <t>ilmarfontesvieira@gmail.com</t>
  </si>
  <si>
    <t>INEBAM RODRIGUES PORTO NETO</t>
  </si>
  <si>
    <t>inebamporto@yahoo.com.br</t>
  </si>
  <si>
    <t>ISABELA FERNANDA DA SILVA SOUZA</t>
  </si>
  <si>
    <t>isabela.silva@eqsengenharia.com.br</t>
  </si>
  <si>
    <t>ISABELE CRISTINE OLIVEIRA DA SILVA</t>
  </si>
  <si>
    <t>isabele.silva@eqsengenharia.com.br</t>
  </si>
  <si>
    <t>isaiasnego4@gmail.com</t>
  </si>
  <si>
    <t>ISAQUE HENRIQUE BARPP TITONI</t>
  </si>
  <si>
    <t>isaquehenrique_@hotmail.com</t>
  </si>
  <si>
    <t>Ismael</t>
  </si>
  <si>
    <t>ismael@maistisolucoes.com.br</t>
  </si>
  <si>
    <t>ISMAEL WEBER</t>
  </si>
  <si>
    <t>ismael.weber85@gmail.com</t>
  </si>
  <si>
    <t>ITAMAR SOUZA LOPES</t>
  </si>
  <si>
    <t>ITAMARLOPES@GMAIL.COM</t>
  </si>
  <si>
    <t>IURI ANDERSON PORTO</t>
  </si>
  <si>
    <t>eng.iurianderson@ymail.com</t>
  </si>
  <si>
    <t>LOGISTICA@EQSENGENHARIA.COM.BR</t>
  </si>
  <si>
    <t>IVON RAMOS MIRANDA</t>
  </si>
  <si>
    <t>ivonr.m.325@gmail.com</t>
  </si>
  <si>
    <t>jackson.silva@eqsengenharia.com.br</t>
  </si>
  <si>
    <t>jacssonmaylon693@gmail.com</t>
  </si>
  <si>
    <t>JADERSON ARAUJO FERREIRA</t>
  </si>
  <si>
    <t>jaderson.ferreira@eqsengenharia.com.br</t>
  </si>
  <si>
    <t>jaeder.junior@gmail.com</t>
  </si>
  <si>
    <t>jafer.ahmad@eqsengenharia.com.br</t>
  </si>
  <si>
    <t>jaime.silva@eqsengenharia.com.br</t>
  </si>
  <si>
    <t>JAIRASSIS@HOTMAIL.COM</t>
  </si>
  <si>
    <t>Jaqueline.pereira@eqsengenharia.com.br</t>
  </si>
  <si>
    <t>jaquelineonorioa@hotmail.com</t>
  </si>
  <si>
    <t>jazemir.marques@eqsengenharia.com.br</t>
  </si>
  <si>
    <t>jeanfabiooliverio@gmail.com</t>
  </si>
  <si>
    <t>JEAN LUCAS DA LUZ FERREIRA</t>
  </si>
  <si>
    <t>jeanlucasdaluzboletos@gmail.com</t>
  </si>
  <si>
    <t>JWERNER95@OUTLOOK.COM</t>
  </si>
  <si>
    <t>JEFERSON MELO BOPSIN</t>
  </si>
  <si>
    <t>jebopsin@hotmail.com</t>
  </si>
  <si>
    <t>Cadastro reprovado</t>
  </si>
  <si>
    <t>zamproniodasilva@gmail.com</t>
  </si>
  <si>
    <t>JEFFERSON DA SILVA</t>
  </si>
  <si>
    <t>Jefferson.silva@eqseng.com.br</t>
  </si>
  <si>
    <t>jeffersonnfreitas.36@gmail.com</t>
  </si>
  <si>
    <t>jessicamirandamedeiros@outlook.com</t>
  </si>
  <si>
    <t>jhefersondiassis@hotmail.com</t>
  </si>
  <si>
    <t>JOAO AGOSTINHO DA COSTA REIS</t>
  </si>
  <si>
    <t>agostinho.eletronica@gmail.com</t>
  </si>
  <si>
    <t>ALEXANDRELIMASJBV@OUTLOOK.COM</t>
  </si>
  <si>
    <t>joaoviana631@gmail.com</t>
  </si>
  <si>
    <t>JOAO ELIAS ESTOCHER LEAL</t>
  </si>
  <si>
    <t>jonestockler@gmail.com</t>
  </si>
  <si>
    <t>JOAO MARCELO MARTINS DA SILVA BARBOSA</t>
  </si>
  <si>
    <t>joao.barbosa@eqsengenharia.com.br</t>
  </si>
  <si>
    <t>joelson.santos@eqsengenharia.com.br</t>
  </si>
  <si>
    <t>joelson001@gmail.com</t>
  </si>
  <si>
    <t>Jcavalcanti2412@gmail.com</t>
  </si>
  <si>
    <t>desplanchesjonas@gmail.com</t>
  </si>
  <si>
    <t>JONATA OLIVEIRA DA SILVA</t>
  </si>
  <si>
    <t>jonatafilhomiguel@gmail.com</t>
  </si>
  <si>
    <t>JONES ALEXANDRE DIAS CARVALHO</t>
  </si>
  <si>
    <t>carvalhojon7@gmail.com</t>
  </si>
  <si>
    <t>JORDAN DA SILVA ROCHA VIDAL</t>
  </si>
  <si>
    <t>cefmanaus@eqsengenharia.com.br</t>
  </si>
  <si>
    <t>jorge.vargas@eqsengenharia.com.br</t>
  </si>
  <si>
    <t>JORGE LUIZ MOREIRA CARDOSO</t>
  </si>
  <si>
    <t>jorge.cardoso@eqsengenharia.com.br</t>
  </si>
  <si>
    <t>jorge.neto@eqsengenharia.com.br</t>
  </si>
  <si>
    <t>jose.batista@eqsengenharia.com.br</t>
  </si>
  <si>
    <t>avnribeiro@hotmail.com</t>
  </si>
  <si>
    <t>jbeckmancordeiro@gmail.com</t>
  </si>
  <si>
    <t>zepradoeqs@gmail.com</t>
  </si>
  <si>
    <t>jose.eustaquio@eqsengenharia.com.br</t>
  </si>
  <si>
    <t>jose.furlanetto@eqsengenharia.com.br</t>
  </si>
  <si>
    <t>JOSE MARCOS PEREIRA VAZ</t>
  </si>
  <si>
    <t>josevazcsl.53@gmail.com</t>
  </si>
  <si>
    <t>nei.engeman@gmail.com</t>
  </si>
  <si>
    <t>josenildodacunha@hotmail.com</t>
  </si>
  <si>
    <t>JOSE VALDOIR LEITE</t>
  </si>
  <si>
    <t>valdoir@eqseng.com.br</t>
  </si>
  <si>
    <t>jose.oliveira@eqsengenharia.com.br</t>
  </si>
  <si>
    <t>joseane.souza@eqsengenharia.com.br</t>
  </si>
  <si>
    <t>JUAN CARLOS PANTOJA AMANAJAS</t>
  </si>
  <si>
    <t>juan.amanajas@gmail.com</t>
  </si>
  <si>
    <t>JUAN FANGIO LUCAS DOS SANTOS</t>
  </si>
  <si>
    <t>juan.santos@eqsengenharia.com.br</t>
  </si>
  <si>
    <t>JULIA FIGUEIREDO NECHEL</t>
  </si>
  <si>
    <t>julia.nechel@eqsengenharia.com.br</t>
  </si>
  <si>
    <t>JULIA SCHURHAUS PERETTI</t>
  </si>
  <si>
    <t>julia.peretti@eqsengenharia.com.br</t>
  </si>
  <si>
    <t>JULIANA RIBEIRO RAMOS</t>
  </si>
  <si>
    <t>qualidade@eqsengenharia.com.br</t>
  </si>
  <si>
    <t>JULIANO MACHADO DE MIRANDA</t>
  </si>
  <si>
    <t>julianomachdodemiranda5@gmail.com</t>
  </si>
  <si>
    <t>JULIANO MACIEL MELGARE</t>
  </si>
  <si>
    <t>juliano.melgare@eqsengenharia.com.br</t>
  </si>
  <si>
    <t>Julianomessiassk8@gmail.com</t>
  </si>
  <si>
    <t>JULIANO SALBEGO ROSBACK</t>
  </si>
  <si>
    <t>rosbackj@hotmail.com</t>
  </si>
  <si>
    <t>JULIO CESAR ARAUJO VIEIRA</t>
  </si>
  <si>
    <t>juliocav0801@gmail.com</t>
  </si>
  <si>
    <t>JULIOCS62@LIVE.COM</t>
  </si>
  <si>
    <t>juniovb7@hotmail.com</t>
  </si>
  <si>
    <t>justino.nogueira@eqsengenharia.com.br</t>
  </si>
  <si>
    <t>katiaaclf98@gmail.com</t>
  </si>
  <si>
    <t>KEVIN WILLIAMS COUTINHO BEZERRA PENA</t>
  </si>
  <si>
    <t>marketing@eqsengenharia.com.br</t>
  </si>
  <si>
    <t>kleber4766@gmail.com</t>
  </si>
  <si>
    <t>KLEITON DE ALMEIDA TORRES</t>
  </si>
  <si>
    <t>kleitontorres@gmail.com</t>
  </si>
  <si>
    <t>lscanabarro@yahoo.com.br</t>
  </si>
  <si>
    <t>LARISSA MOTA GAIA ALBUQUERQUE</t>
  </si>
  <si>
    <t>larissa.gaia@eqsengenharia.com.br</t>
  </si>
  <si>
    <t>larissa.silva@eqseng.com.br</t>
  </si>
  <si>
    <t>LAURO FURTADO NETO</t>
  </si>
  <si>
    <t>lauro.neto@eqsengenharia.com.br</t>
  </si>
  <si>
    <t>leandjaques@gmail.com</t>
  </si>
  <si>
    <t>LEANDROAPSTEFANINI@GMAIL.COM</t>
  </si>
  <si>
    <t>LEANDRO AUGUSTO KOHL</t>
  </si>
  <si>
    <t>leandroaugustokohl@gmail.com</t>
  </si>
  <si>
    <t>leandrodemenezesassuncao@gmail.com</t>
  </si>
  <si>
    <t>leandro@eqsengenharia.com.br</t>
  </si>
  <si>
    <t>LEANDRO EGAS</t>
  </si>
  <si>
    <t>leandro.egas@eqseng.com.br</t>
  </si>
  <si>
    <t>leandro.figueredo@eqsengenharia.com.br</t>
  </si>
  <si>
    <t>LEANDRO.GMUNIZ@OUTLOOK.COM</t>
  </si>
  <si>
    <t>leandro.marcusso@eqsengenharia.com.br</t>
  </si>
  <si>
    <t>leandro.nunes@eqsengenharia.com.br</t>
  </si>
  <si>
    <t>souza@eqsengenharia.com.br</t>
  </si>
  <si>
    <t>LEANDRO TONANI</t>
  </si>
  <si>
    <t>leandro.tonani@gmail.com</t>
  </si>
  <si>
    <t>LEONARDO ALVES JACINTO</t>
  </si>
  <si>
    <t>leonardoperacionalstte@gmail.com</t>
  </si>
  <si>
    <t>leonardo.athayde@eqsengenharia.com.br</t>
  </si>
  <si>
    <t>leonardo_orestes@hotmail.com</t>
  </si>
  <si>
    <t>LEONARDO SCHNEIDER AVILA</t>
  </si>
  <si>
    <t>leuavila@hotmail.com</t>
  </si>
  <si>
    <t>LEONARDO SIMOES DA SILVA</t>
  </si>
  <si>
    <t>leonardosimoeslgae@gmail.com</t>
  </si>
  <si>
    <t>LETICIA ANGENITA SCHEIMANN BAUER</t>
  </si>
  <si>
    <t>leticia@eqsengenharia.com.br</t>
  </si>
  <si>
    <t>LISANDRO DA SILVA LOURENCO</t>
  </si>
  <si>
    <t>lisandro.123silva@gmail.com</t>
  </si>
  <si>
    <t>LOI BATISTA ANTUNES SARAIVA</t>
  </si>
  <si>
    <t>loibatistaantunessaraiva@gmail.com</t>
  </si>
  <si>
    <t>LUAN DOS SANTOS LACERDA</t>
  </si>
  <si>
    <t>luansapphire@gmail.com</t>
  </si>
  <si>
    <t>luan.silva@eqseng.com.br</t>
  </si>
  <si>
    <t>LUCAS ALECSANDER RIBEIRO</t>
  </si>
  <si>
    <t>lucas.ribeiro@eqsengenharia.com.br</t>
  </si>
  <si>
    <t>luucascarvalho@outlook.com</t>
  </si>
  <si>
    <t>lucasdepaulasilva2411@gmail.com</t>
  </si>
  <si>
    <t>LUCAS DIOVANI CASTRO BERNARDO</t>
  </si>
  <si>
    <t>lucas.bernado@eqseng.com.br</t>
  </si>
  <si>
    <t>lucas.alves@eqsengenharia.com.br</t>
  </si>
  <si>
    <t>lucas.santos@eqsengenharia.com.br</t>
  </si>
  <si>
    <t>lucas1.cta1@gmail.com</t>
  </si>
  <si>
    <t>lucas.macan@eqsengenharia.com.br</t>
  </si>
  <si>
    <t>lucas_pe18@hotmail.com</t>
  </si>
  <si>
    <t>lucas.galvao@eqsengenharia.com.br</t>
  </si>
  <si>
    <t>LUCIANA APARECIDA SIMAO DA SILVA</t>
  </si>
  <si>
    <t>luciana.silva@eqsengenharia.com.br</t>
  </si>
  <si>
    <t>lucianoreal13@gmail.com</t>
  </si>
  <si>
    <t>lucianoljc@hotmail.com</t>
  </si>
  <si>
    <t>luciano.pereira@eqseng.com.br</t>
  </si>
  <si>
    <t>ludgeroh@gmail.com</t>
  </si>
  <si>
    <t>LUIS CARLOS BROERING</t>
  </si>
  <si>
    <t>luis.broering@eqsengenharia.com.br</t>
  </si>
  <si>
    <t>LUIS CARLOS GARCIA SANTOS</t>
  </si>
  <si>
    <t>lgsanttt@hotmail.com</t>
  </si>
  <si>
    <t>LUIS FELIPE COSTA</t>
  </si>
  <si>
    <t>luis.costa@eqsengenharia.com.br</t>
  </si>
  <si>
    <t>luis.felipe.1992@gmail.com</t>
  </si>
  <si>
    <t>LUIS HENRIQUE DA SILVA BUHL</t>
  </si>
  <si>
    <t>luisbuhll@gmail.com</t>
  </si>
  <si>
    <t>LUIZ ANTONIO DE SOUZA JUNIOR</t>
  </si>
  <si>
    <t>luiz.junior@eqsengenharia.com.br</t>
  </si>
  <si>
    <t>LUIZ CLAUDIO DOS SANTOS</t>
  </si>
  <si>
    <t>luizclaudior7@hotmail.com</t>
  </si>
  <si>
    <t>fernandolwt@gmail.com</t>
  </si>
  <si>
    <t>luiz.giorgio@eqseng.com.br</t>
  </si>
  <si>
    <t>LUIZ HUMBERTO LEMES</t>
  </si>
  <si>
    <t>luizhumbertolemes@outlook.com</t>
  </si>
  <si>
    <t>luiz.silva@eqsengenharia.com.br</t>
  </si>
  <si>
    <t>MANOEL QUIRINO NETO</t>
  </si>
  <si>
    <t>eletricmano@gmail.com</t>
  </si>
  <si>
    <t>marcel.hcssa@gmail.com</t>
  </si>
  <si>
    <t>eng.marcelgomes@gmail.com</t>
  </si>
  <si>
    <t>MARCELA CARVALHO LEITAO</t>
  </si>
  <si>
    <t>marcela.carvalho@eqsengenharia.com.br</t>
  </si>
  <si>
    <t>MARCELO BRIG CAMPINA</t>
  </si>
  <si>
    <t>marcelocampina77@gmail.com</t>
  </si>
  <si>
    <t>marcelo.silva@eqsengenharia.com.br</t>
  </si>
  <si>
    <t>marcelo.calvertti@eqsengenharia.com.br</t>
  </si>
  <si>
    <t>marcelo.vedova@yahoo.com.br</t>
  </si>
  <si>
    <t>marcelo.argemon@eqseng.com.br</t>
  </si>
  <si>
    <t>MARCELO JUNIOR DE AZEVEDO TEIXEIRA</t>
  </si>
  <si>
    <t>marcelo.teixeira@eqseng.com.br</t>
  </si>
  <si>
    <t>MARCELO MARCHI DURIGON JUNIOR</t>
  </si>
  <si>
    <t>marcelo.junior@eqsengenharia.com.br</t>
  </si>
  <si>
    <t>mpllima13@gmail.com</t>
  </si>
  <si>
    <t>MARCELO WELTER</t>
  </si>
  <si>
    <t>welter1377@gmail.com</t>
  </si>
  <si>
    <t>MARCIA CRISTINA DA CUNHA SCATAMBULO</t>
  </si>
  <si>
    <t>marcia.s@eqsengenharia.com.br</t>
  </si>
  <si>
    <t>marcio.ferreira@eqseng.com.br</t>
  </si>
  <si>
    <t>marcio.ribeiro@eqsengenharia.com.br</t>
  </si>
  <si>
    <t>marcio.correa@eqsengenharia.com.br</t>
  </si>
  <si>
    <t>marcio.joao@eqsengenharia.com.br</t>
  </si>
  <si>
    <t>MARCIO FERNANDES DE ARAUJO</t>
  </si>
  <si>
    <t>mkmanutencao10@gmail.com</t>
  </si>
  <si>
    <t>MARCIO ROBERTO DA SILVA</t>
  </si>
  <si>
    <t>051998306818m@gmail.com</t>
  </si>
  <si>
    <t>marco.moraes@eqsengenharia.com.br</t>
  </si>
  <si>
    <t>marco.lima@eqsengenharia.com.br</t>
  </si>
  <si>
    <t>MARCOS ALESSANDRO SILVA GOMES</t>
  </si>
  <si>
    <t>marcosalessandro870@gmail.com</t>
  </si>
  <si>
    <t>MARCOS AURELIO CARIAS ASSIS</t>
  </si>
  <si>
    <t>marcos@eqsengenharia.com.br</t>
  </si>
  <si>
    <t>MARCOS LUIZ SCHULTZ</t>
  </si>
  <si>
    <t>schultzmarcos@yahoo.com.br</t>
  </si>
  <si>
    <t>seger@eqsengenharia.com.br</t>
  </si>
  <si>
    <t>marcosvinicius@eqsengenharia.com.br</t>
  </si>
  <si>
    <t>MARIA CRISTINA DE OLIVEIRA NEVES</t>
  </si>
  <si>
    <t>maria.neves@eqsengenharia.com.br</t>
  </si>
  <si>
    <t>maria.aragao@eqsengenharia.com.br</t>
  </si>
  <si>
    <t>marlonaraujo1991@hotmail.com</t>
  </si>
  <si>
    <t>MATEUS DANTAS MIRANDA</t>
  </si>
  <si>
    <t>mateus.miranda@eqsengenharia.com.br</t>
  </si>
  <si>
    <t>mateus.bertol@yahoo.com.br</t>
  </si>
  <si>
    <t>MATEUS FLOR GUESSER</t>
  </si>
  <si>
    <t>mateus.guesser@eqsengenharia.com.br</t>
  </si>
  <si>
    <t>matheus.guimaraes@eqseng.com.br</t>
  </si>
  <si>
    <t>MAURICIO DA SILVEIRA GUIMARAES</t>
  </si>
  <si>
    <t>mauricio.guimaraes@eqsengenharia.com.br</t>
  </si>
  <si>
    <t>mauricio.jose@eqseng.com.br</t>
  </si>
  <si>
    <t>MAURICIO SIMOES FARIAS JUNIOR</t>
  </si>
  <si>
    <t>mauricio.junior@eqseng.com.br</t>
  </si>
  <si>
    <t>mauricio.camargo@eqseng.com.br</t>
  </si>
  <si>
    <t>MAURO DE OLIVEIRA CERINO</t>
  </si>
  <si>
    <t>maurocerino2013@hotmail.com</t>
  </si>
  <si>
    <t>MAURO FERREIRA DIAS</t>
  </si>
  <si>
    <t>maurokombi2022@gmail.com</t>
  </si>
  <si>
    <t>mauro.saugo@gmail.com</t>
  </si>
  <si>
    <t>MAYKON JEAN RIBEIRO FERREIRA</t>
  </si>
  <si>
    <t>maykon1.bnu@gmail.com</t>
  </si>
  <si>
    <t>MELSO CEZAR DA SILVA NETO</t>
  </si>
  <si>
    <t>melsocezar@gmail.com</t>
  </si>
  <si>
    <t>michael.santos@eqseng.com.br</t>
  </si>
  <si>
    <t>michel.venancio29@gmail.com</t>
  </si>
  <si>
    <t>michellmvs@gmail.com</t>
  </si>
  <si>
    <t>MIGUEL JOAO DINIS MOTA</t>
  </si>
  <si>
    <t>mjdmota@gmail.com</t>
  </si>
  <si>
    <t>milton.neves@eqsengenharia.com.br</t>
  </si>
  <si>
    <t>MILTON FLECK PITROWSKI</t>
  </si>
  <si>
    <t>milton.pitrowski@eqseng.com.br</t>
  </si>
  <si>
    <t>moises.cabral@eqsengenharia.com.br</t>
  </si>
  <si>
    <t>murilo.almeida@eqsengenharia.com.br</t>
  </si>
  <si>
    <t>NELSON FILIPE MARTINS DA SILVA</t>
  </si>
  <si>
    <t>nelsonfilipe316@gmail.com</t>
  </si>
  <si>
    <t>NERTAN DE CASTRO MAIA</t>
  </si>
  <si>
    <t>nertancastromaia@gmail.com</t>
  </si>
  <si>
    <t>neudoengeman@gmail.com</t>
  </si>
  <si>
    <t>NILSON SILVA DOS SANTOS JUNIOR</t>
  </si>
  <si>
    <t>nilsonjuniooor@gmail.com</t>
  </si>
  <si>
    <t>NILTON FARIAS JUNIOR</t>
  </si>
  <si>
    <t>nilton.farias@eqseng.com.br</t>
  </si>
  <si>
    <t>niltondepaoli@gmail.com</t>
  </si>
  <si>
    <t>thiagonival@hotmail.com</t>
  </si>
  <si>
    <t>NORMAMCP2012@GMAIL.COM</t>
  </si>
  <si>
    <t>odairsoares.eqsengenharia@gmail.com</t>
  </si>
  <si>
    <t>oreste.junior@eqseng.com.br</t>
  </si>
  <si>
    <t>ORIELSON CORREA</t>
  </si>
  <si>
    <t>orieslon.eqs@gmail.com</t>
  </si>
  <si>
    <t>oscar.palaro22@gmail.com</t>
  </si>
  <si>
    <t>OSMAN DOS SANTOS MORAIS JUNIOR</t>
  </si>
  <si>
    <t>osmanjunior@hotmail.com</t>
  </si>
  <si>
    <t>paloma.spinola@eqsengenharia.com.br</t>
  </si>
  <si>
    <t>paolacarolini@hotmail.com</t>
  </si>
  <si>
    <t>patrickantonievicz@gmail.com</t>
  </si>
  <si>
    <t>pamorim22@gmail.com</t>
  </si>
  <si>
    <t>PAULO AUGUSTO OLIVEIRA LIMA</t>
  </si>
  <si>
    <t>1991paulinho03@gmail.com</t>
  </si>
  <si>
    <t>paulo92freitas@gmail.com</t>
  </si>
  <si>
    <t>PAULO HENRIQUE SOARES BAZZO</t>
  </si>
  <si>
    <t>boenosoares3@gmail.com</t>
  </si>
  <si>
    <t>PAULO MARQUES TAVARES</t>
  </si>
  <si>
    <t>paulomarquestavares2019@gmail.com</t>
  </si>
  <si>
    <t>paulonilton.costa@gmail.com</t>
  </si>
  <si>
    <t>PAULO OLDAIR CUNHA PINTO</t>
  </si>
  <si>
    <t>paulo.oldair.cunha@gmail.com</t>
  </si>
  <si>
    <t>PAULO TIAGO SANTOS DA SILVA</t>
  </si>
  <si>
    <t>tiagoomoi@gmail.com</t>
  </si>
  <si>
    <t>PEDRO ALBERTO AMBROSIO ROCHA</t>
  </si>
  <si>
    <t>pedroalbertor19@gmail.com</t>
  </si>
  <si>
    <t>penfaro02@gmail.com</t>
  </si>
  <si>
    <t>PEDRO HENRIQUE MARTINS BOTELHO</t>
  </si>
  <si>
    <t>pedro.botelho@eqsengenharia.com.br</t>
  </si>
  <si>
    <t>PEDRO LUIS PIRES DOS SANTOS</t>
  </si>
  <si>
    <t>pedropires.luis@gmail.com</t>
  </si>
  <si>
    <t>terpiprs@hotmail.com</t>
  </si>
  <si>
    <t>priscila.pereira@eqsengenharia.com.br</t>
  </si>
  <si>
    <t>Rafael Almeida Lopes</t>
  </si>
  <si>
    <t>rafael.lopes@eqseng.com.br</t>
  </si>
  <si>
    <t>rafael.vello@eqsengenharia.com.br</t>
  </si>
  <si>
    <t>carnielrafael3@gmail.com</t>
  </si>
  <si>
    <t>RAFAEL DORNELLES</t>
  </si>
  <si>
    <t>rafael.dornelles@eqseng.com.br</t>
  </si>
  <si>
    <t>RAFAEL MENESES</t>
  </si>
  <si>
    <t>rafael.meneses@eqsengenharia.com.br</t>
  </si>
  <si>
    <t>rafael_natal_lachi@hotmail.com</t>
  </si>
  <si>
    <t>rafael.cruz@eqsengenharia.com.br</t>
  </si>
  <si>
    <t>rafael.ramos@eqsengenharia.com.br</t>
  </si>
  <si>
    <t>RAFAEL ROCHA MOURA</t>
  </si>
  <si>
    <t>rafael.moura@eqsengenharia.com.br</t>
  </si>
  <si>
    <t>RAFAEL SAMPAIO DE SA</t>
  </si>
  <si>
    <t>rafael.sa@eqsengenharia.com.br</t>
  </si>
  <si>
    <t>RGTSSA@GMAIL.COM</t>
  </si>
  <si>
    <t>RAMONY AVYSSON GOMES DA SILVA</t>
  </si>
  <si>
    <t>ramony.silva@eqsengenharia.com.br</t>
  </si>
  <si>
    <t>RANIERI HIKARU YAMASHITA RAMOS</t>
  </si>
  <si>
    <t>ranieri.ramos@eqsengenharia.com.br</t>
  </si>
  <si>
    <t>raquel.pantoja@eqsengenharia.com.br</t>
  </si>
  <si>
    <t>adriano_rsraul@outlook.com</t>
  </si>
  <si>
    <t>RAYMUNDO FABIO PINHEIRO DE SOUZA</t>
  </si>
  <si>
    <t>raymundo.souza.prestserv@petrobras.com.br</t>
  </si>
  <si>
    <t>RENAN VICTORIO DE LIMA</t>
  </si>
  <si>
    <t>renan.lima@eqseng.com.br</t>
  </si>
  <si>
    <t>renato.parreiras@eqsengenharia.com.br</t>
  </si>
  <si>
    <t>ricardo.dorneles@eqseng.com.br</t>
  </si>
  <si>
    <t>ricardo.filho@eqseng.com.br</t>
  </si>
  <si>
    <t>RICARDO NASCIMENTO LUIZ</t>
  </si>
  <si>
    <t>ricardo.luiz@eqseng.com.br</t>
  </si>
  <si>
    <t>ricazorzetto@gmail.com</t>
  </si>
  <si>
    <t>RIQUELME DE OLIVEIRA E SILVA</t>
  </si>
  <si>
    <t>riquelmepoa@gmail.com</t>
  </si>
  <si>
    <t>ROBERT RUFINO DE SOUZA CAETANO</t>
  </si>
  <si>
    <t>robert.caetano@eqsengenharia.com.br</t>
  </si>
  <si>
    <t>ROBERTO ALIAGA</t>
  </si>
  <si>
    <t>roberto.aliaga@eqsengenharia.com.br</t>
  </si>
  <si>
    <t>robertodominguespereira@outlook.com</t>
  </si>
  <si>
    <t>ROBSON DA LUZ DA SILVA</t>
  </si>
  <si>
    <t>robsondaluzdasilva@hotmail.com</t>
  </si>
  <si>
    <t>robson.guedes@eqseng.com.br</t>
  </si>
  <si>
    <t>robsonfurtado3284@gmail.com</t>
  </si>
  <si>
    <t>RODRIGO ALFAMA FURTADO</t>
  </si>
  <si>
    <t>rodrigo.furtado@eqsengenharia.com.br</t>
  </si>
  <si>
    <t>rodrigo.boldo@eqsengenharia.com.br</t>
  </si>
  <si>
    <t>RODRIGO DE SOUZA ROSA</t>
  </si>
  <si>
    <t>rodrigo.equisul@hotmail.com</t>
  </si>
  <si>
    <t>rodrigo.fran.correa@gmail.com</t>
  </si>
  <si>
    <t>rodrigo.sousa25@outlook.com</t>
  </si>
  <si>
    <t>rodrigo@eqsengenharia.com.br</t>
  </si>
  <si>
    <t>RODRIGO PIMENTEL FARIA</t>
  </si>
  <si>
    <t>rodrigo.faria@eqsengenharia.com.br</t>
  </si>
  <si>
    <t>RODRIGO RIOS VELOSO</t>
  </si>
  <si>
    <t>RODRIGORIOSVELOSO@HOTMAIL.COM</t>
  </si>
  <si>
    <t>rodrigo.roberto@eqseng.com.br</t>
  </si>
  <si>
    <t>rodrigosc@eqseng.com.br</t>
  </si>
  <si>
    <t>rodrigo.santosdasilva@gmail.com</t>
  </si>
  <si>
    <t>rodrigo.vanzetta@eqsengenharia.com.br</t>
  </si>
  <si>
    <t>rogerio.oliveira@eqsengenharia.com.br</t>
  </si>
  <si>
    <t>rogeriomacariopinto@gmail.com</t>
  </si>
  <si>
    <t>Rogério Rodrigues Araujo</t>
  </si>
  <si>
    <t>rogeriorodriguesaraujo1969@gmail.com</t>
  </si>
  <si>
    <t>rogerio.s@eqsengenharia.com.br</t>
  </si>
  <si>
    <t>RONALDO DE CARVALHO</t>
  </si>
  <si>
    <t>ronaldo.carvalho@eqsengenharia.com.br</t>
  </si>
  <si>
    <t>ronaldo.lelis@eqsengenharia.com.br</t>
  </si>
  <si>
    <t>ronaldorsantana@gmail.com</t>
  </si>
  <si>
    <t>RONIO JOSE ROSA</t>
  </si>
  <si>
    <t>roniojoserosa@gmail.com</t>
  </si>
  <si>
    <t>rubens.herbester@eqsengenharia.com.br</t>
  </si>
  <si>
    <t>RUDINEI MACHADO RODRIGUES</t>
  </si>
  <si>
    <t>rudinho3108@gmail.com</t>
  </si>
  <si>
    <t>Samuel Alves Pinto</t>
  </si>
  <si>
    <t>samuelalvespinto82@gmail.com</t>
  </si>
  <si>
    <t>SANDRO ADRIANO PRIMO</t>
  </si>
  <si>
    <t>sandrogorete2022@gmail.com</t>
  </si>
  <si>
    <t>sandro.barreto@eqsengenharia.com.br</t>
  </si>
  <si>
    <t>capistrano@eqseng.com.br</t>
  </si>
  <si>
    <t>sandroquiteriolopes@gmail.com</t>
  </si>
  <si>
    <t>sara.barbosa@eqseng.com.br</t>
  </si>
  <si>
    <t>sauloap30@gmail.com</t>
  </si>
  <si>
    <t>sergio.debiazi@eqseng.com.br</t>
  </si>
  <si>
    <t>SHELDA CRISTINE LIMA TRINDADE</t>
  </si>
  <si>
    <t>shelda.trindade@eqsengenharia.com.br</t>
  </si>
  <si>
    <t>sidney010409@gmail.com</t>
  </si>
  <si>
    <t>sidneimachado1979@gmail.com</t>
  </si>
  <si>
    <t>silmara@eqsengenharia.com.br</t>
  </si>
  <si>
    <t>silvio.odeli.filho@gmail.com</t>
  </si>
  <si>
    <t>silvio.goes@eqsengenharia.com.br</t>
  </si>
  <si>
    <t>STEFANI OLIVEIRA ALVES</t>
  </si>
  <si>
    <t>stefani.alves@eqsengenharia.com.br</t>
  </si>
  <si>
    <t>rh.mg@eqsengenharia.com.br</t>
  </si>
  <si>
    <t>tandara.alves@eqsengenharia.com.br</t>
  </si>
  <si>
    <t>teofilo.pacheco@eqseng.com.br</t>
  </si>
  <si>
    <t>TERCILA.lopes@eqsengenharia.com.br</t>
  </si>
  <si>
    <t>thalita.gondim@eqseng.com.br</t>
  </si>
  <si>
    <t>thiago_vanzeler@hotmail.com</t>
  </si>
  <si>
    <t>THIAGO DUARTE VARGAS</t>
  </si>
  <si>
    <t>duarte@eqsengenharia.com.br</t>
  </si>
  <si>
    <t>thiago.santos@eqseng.com.br</t>
  </si>
  <si>
    <t>THIAGO NEVES DE FREITAS</t>
  </si>
  <si>
    <t>thiago@eqsengenharia.com.br</t>
  </si>
  <si>
    <t>thiagolima.benco@gmail.com</t>
  </si>
  <si>
    <t>thiago.sepulveda@eqsengenharia.com.br</t>
  </si>
  <si>
    <t>thiego.oliveira@eqseng.com.br</t>
  </si>
  <si>
    <t>THUANE DE OLIVEIRA MILSONI</t>
  </si>
  <si>
    <t>milsonithuane@gmail.com</t>
  </si>
  <si>
    <t>TIAGO ALVES PINTO</t>
  </si>
  <si>
    <t>tiago.alves@eqseng.com.br</t>
  </si>
  <si>
    <t>TIAGO BEZERRA CAMARGO</t>
  </si>
  <si>
    <t>tiagobcamargo8985@gmail.com</t>
  </si>
  <si>
    <t>TIAGO BRANCO DE BARROS</t>
  </si>
  <si>
    <t>tiago.branco@eqsengenharia.com.br</t>
  </si>
  <si>
    <t>TIAGO DE FREITAS KAISER</t>
  </si>
  <si>
    <t>kaiserclimatizacao@gmail.com</t>
  </si>
  <si>
    <t>TIAGO_JESUS_ARAUJO@HOTMAIL.COM</t>
  </si>
  <si>
    <t>tiagopaiva@eqsengenharia.com.br</t>
  </si>
  <si>
    <t>tiago.oliveira.afe@gmail.com</t>
  </si>
  <si>
    <t>TIAGO LUIZ MARTINS</t>
  </si>
  <si>
    <t>tiago@eqseng.com.br</t>
  </si>
  <si>
    <t>TOBIAS DA CRUZ</t>
  </si>
  <si>
    <t>tobiasdc@universo.univates.br</t>
  </si>
  <si>
    <t>TONY RAMOS VENANCIO</t>
  </si>
  <si>
    <t>tony.ramoscv.123@gmail.com</t>
  </si>
  <si>
    <t>velosoengenhariaeletrica@gmail.com</t>
  </si>
  <si>
    <t>birateixeira@gmail.com</t>
  </si>
  <si>
    <t>ueliton.candido@eqsengenharia.com.br</t>
  </si>
  <si>
    <t>ueliton.santos@eqsengenharia.com.br</t>
  </si>
  <si>
    <t>UESIO DA SILVA SIMOES</t>
  </si>
  <si>
    <t>uesiosimoes@gmail.com</t>
  </si>
  <si>
    <t>ulisses.oliveira@eqsengenharia.com.br</t>
  </si>
  <si>
    <t>VALDEMIR ANTONIO CORREA JUNIOR</t>
  </si>
  <si>
    <t>valdemir@eqsengenharia.com.br</t>
  </si>
  <si>
    <t>valdir.voigt@eqsengenharia.com.br</t>
  </si>
  <si>
    <t>VALDOIR NOGUEIRA ANTUNES</t>
  </si>
  <si>
    <t>valdoir.nogueira.antunes@gmail.com</t>
  </si>
  <si>
    <t>JUNNIORNORONHA9@GMAIL.COM</t>
  </si>
  <si>
    <t>vanderleid1@yahoo.com.br</t>
  </si>
  <si>
    <t>VICTOR HUGO MONTEIRO FREIRE</t>
  </si>
  <si>
    <t>victorhugo_mf@outlook.com</t>
  </si>
  <si>
    <t>VICTOR LEONARDO LIMA DA CRUZ</t>
  </si>
  <si>
    <t>victorcruz2201@gmail.com</t>
  </si>
  <si>
    <t>victor23pb@gmail.com</t>
  </si>
  <si>
    <t>victor@eqseng.com.br</t>
  </si>
  <si>
    <t>viniciuspeixotobonetti@gmail.com</t>
  </si>
  <si>
    <t>wagner.pereira@eqsengenharia.com.br</t>
  </si>
  <si>
    <t>WAGNER FERNANDES DA SILVA</t>
  </si>
  <si>
    <t>wagner.fsilva99@gmail.com</t>
  </si>
  <si>
    <t>wagner.gerhardt@eqsengenharia.com.br</t>
  </si>
  <si>
    <t>walternn79@gmail.com</t>
  </si>
  <si>
    <t>WANDEILSON EMIDIO MARTINS PEREIRA</t>
  </si>
  <si>
    <t>wanmartinss10@gmail.com</t>
  </si>
  <si>
    <t>weder.martins@eqsengenharia.com.br</t>
  </si>
  <si>
    <t>welerson.rodrigues@eqsengenharia.com.br</t>
  </si>
  <si>
    <t>welltadaniela@bol.com.br</t>
  </si>
  <si>
    <t>WELLINGTON SILVA DE AGUIAR</t>
  </si>
  <si>
    <t>wellingtonaguiar205@gmail.com</t>
  </si>
  <si>
    <t>geraldowelton1@gmail.com</t>
  </si>
  <si>
    <t>WERYKSON ISRAEL DE BEM PIRES</t>
  </si>
  <si>
    <t>werykson.pires@eqsengenharia.com.br</t>
  </si>
  <si>
    <t>WESLEY CARLOS AUGUSTO</t>
  </si>
  <si>
    <t>wesley.daiane@hotmail.com</t>
  </si>
  <si>
    <t>wesleygabriel30@hotmail.com</t>
  </si>
  <si>
    <t>WILKINSON KECIO SILVA BARBOSA</t>
  </si>
  <si>
    <t>wilkinson.barbosa@gmail.com</t>
  </si>
  <si>
    <t>teixeira.will@gmail.com</t>
  </si>
  <si>
    <t>william.nunes@eqsengenharia.com.br</t>
  </si>
  <si>
    <t>WILLIAN CARLOS RODRIGUES VIEIRA</t>
  </si>
  <si>
    <t>willy_1604@yahoo.com.br</t>
  </si>
  <si>
    <t>WILSON JOAQUIM CAMPOS</t>
  </si>
  <si>
    <t>wilson.campos@eqseng.com.br</t>
  </si>
  <si>
    <t>WILSON LUIZ CABRAL</t>
  </si>
  <si>
    <t>wilson.cabral@eqsengenharia.com.br</t>
  </si>
  <si>
    <t>REEMBOLSO CORRETO</t>
  </si>
  <si>
    <t>REEMBOLSO FEITO</t>
  </si>
  <si>
    <t>RETIRAR</t>
  </si>
  <si>
    <t>Carga RECEBIDA</t>
  </si>
  <si>
    <t>Carga CORRETA</t>
  </si>
  <si>
    <t>Carga DIFERENÇA</t>
  </si>
  <si>
    <t>GESTÃO DE CAIXA</t>
  </si>
  <si>
    <t>STEFANI</t>
  </si>
  <si>
    <t>ANDREY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</si>
</sst>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Arial"/>
      <family val="2"/>
    </font>
    <font>
      <sz val="7"/>
      <color rgb="FF222222"/>
      <name val="Arial"/>
      <family val="2"/>
    </font>
    <font>
      <sz val="7"/>
      <color rgb="FF008C1F"/>
      <name val="Arial"/>
      <family val="2"/>
    </font>
    <font>
      <sz val="7"/>
      <color rgb="FFCD7F09"/>
      <name val="Arial"/>
      <family val="2"/>
    </font>
    <font>
      <sz val="7"/>
      <color rgb="FF3FA1FF"/>
      <name val="Arial"/>
      <family val="2"/>
    </font>
    <font>
      <sz val="7"/>
      <color rgb="FF444444"/>
      <name val="Arial"/>
      <family val="2"/>
    </font>
    <font>
      <sz val="7"/>
      <color rgb="FF9D0505"/>
      <name val="Arial"/>
      <family val="2"/>
    </font>
    <font>
      <sz val="7"/>
      <color rgb="FFFCFCFC"/>
      <name val="Poppins"/>
      <family val="2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theme="6"/>
      </patternFill>
    </fill>
    <fill>
      <patternFill patternType="solid">
        <fgColor theme="5" tint="-0.499984740745262"/>
        <bgColor theme="6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ECF6FF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4">
    <xf numFmtId="0" fontId="0" fillId="0" borderId="0" xfId="0"/>
    <xf numFmtId="1" fontId="3" fillId="2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49" fontId="3" fillId="10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3" fillId="4" borderId="1" xfId="0" applyNumberFormat="1" applyFont="1" applyFill="1" applyBorder="1" applyAlignment="1">
      <alignment horizontal="center" vertical="center"/>
    </xf>
    <xf numFmtId="164" fontId="3" fillId="2" borderId="1" xfId="0" quotePrefix="1" applyNumberFormat="1" applyFont="1" applyFill="1" applyBorder="1" applyAlignment="1">
      <alignment horizontal="center" vertical="center"/>
    </xf>
    <xf numFmtId="164" fontId="2" fillId="6" borderId="0" xfId="0" applyNumberFormat="1" applyFont="1" applyFill="1"/>
    <xf numFmtId="164" fontId="2" fillId="7" borderId="0" xfId="0" applyNumberFormat="1" applyFont="1" applyFill="1"/>
    <xf numFmtId="164" fontId="3" fillId="11" borderId="1" xfId="0" applyNumberFormat="1" applyFont="1" applyFill="1" applyBorder="1" applyAlignment="1">
      <alignment horizontal="center" vertical="center"/>
    </xf>
    <xf numFmtId="164" fontId="1" fillId="5" borderId="0" xfId="0" applyNumberFormat="1" applyFont="1" applyFill="1"/>
    <xf numFmtId="0" fontId="5" fillId="0" borderId="0" xfId="0" applyFont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9" fontId="2" fillId="13" borderId="0" xfId="0" applyNumberFormat="1" applyFont="1" applyFill="1" applyAlignment="1">
      <alignment horizontal="center"/>
    </xf>
    <xf numFmtId="44" fontId="4" fillId="0" borderId="0" xfId="0" applyNumberFormat="1" applyFont="1"/>
    <xf numFmtId="0" fontId="7" fillId="14" borderId="0" xfId="0" applyFont="1" applyFill="1" applyAlignment="1">
      <alignment horizontal="left" vertical="center"/>
    </xf>
    <xf numFmtId="0" fontId="8" fillId="15" borderId="0" xfId="0" applyFont="1" applyFill="1" applyAlignment="1">
      <alignment horizontal="center" vertical="center"/>
    </xf>
    <xf numFmtId="0" fontId="6" fillId="15" borderId="0" xfId="1" applyFill="1" applyAlignment="1">
      <alignment horizontal="center" vertical="center"/>
    </xf>
    <xf numFmtId="0" fontId="8" fillId="15" borderId="0" xfId="0" applyFont="1" applyFill="1" applyAlignment="1">
      <alignment vertical="center"/>
    </xf>
    <xf numFmtId="0" fontId="9" fillId="15" borderId="0" xfId="0" applyFont="1" applyFill="1" applyAlignment="1">
      <alignment vertical="center"/>
    </xf>
    <xf numFmtId="0" fontId="10" fillId="15" borderId="0" xfId="0" applyFont="1" applyFill="1" applyAlignment="1">
      <alignment vertical="center"/>
    </xf>
    <xf numFmtId="0" fontId="11" fillId="15" borderId="0" xfId="0" applyFont="1" applyFill="1" applyAlignment="1">
      <alignment vertical="center"/>
    </xf>
    <xf numFmtId="0" fontId="8" fillId="16" borderId="0" xfId="0" applyFont="1" applyFill="1" applyAlignment="1">
      <alignment horizontal="center" vertical="center"/>
    </xf>
    <xf numFmtId="0" fontId="6" fillId="16" borderId="0" xfId="1" applyFill="1" applyAlignment="1">
      <alignment horizontal="center" vertical="center"/>
    </xf>
    <xf numFmtId="0" fontId="8" fillId="16" borderId="0" xfId="0" applyFont="1" applyFill="1" applyAlignment="1">
      <alignment vertical="center"/>
    </xf>
    <xf numFmtId="0" fontId="9" fillId="16" borderId="0" xfId="0" applyFont="1" applyFill="1" applyAlignment="1">
      <alignment vertical="center"/>
    </xf>
    <xf numFmtId="0" fontId="12" fillId="15" borderId="0" xfId="0" applyFont="1" applyFill="1" applyAlignment="1">
      <alignment vertical="center"/>
    </xf>
    <xf numFmtId="0" fontId="10" fillId="16" borderId="0" xfId="0" applyFont="1" applyFill="1" applyAlignment="1">
      <alignment vertical="center"/>
    </xf>
    <xf numFmtId="0" fontId="13" fillId="15" borderId="0" xfId="0" applyFont="1" applyFill="1" applyAlignment="1">
      <alignment vertical="center"/>
    </xf>
    <xf numFmtId="0" fontId="14" fillId="16" borderId="0" xfId="0" applyFont="1" applyFill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4" fontId="5" fillId="8" borderId="0" xfId="0" applyNumberFormat="1" applyFont="1" applyFill="1" applyAlignment="1">
      <alignment horizontal="center" vertical="center"/>
    </xf>
    <xf numFmtId="164" fontId="2" fillId="7" borderId="3" xfId="0" applyNumberFormat="1" applyFont="1" applyFill="1" applyBorder="1"/>
    <xf numFmtId="0" fontId="4" fillId="17" borderId="0" xfId="0" applyFont="1" applyFill="1"/>
    <xf numFmtId="0" fontId="4" fillId="17" borderId="0" xfId="0" applyFont="1" applyFill="1" applyAlignment="1">
      <alignment horizontal="center"/>
    </xf>
    <xf numFmtId="44" fontId="4" fillId="17" borderId="0" xfId="0" applyNumberFormat="1" applyFont="1" applyFill="1"/>
    <xf numFmtId="0" fontId="4" fillId="17" borderId="4" xfId="0" applyFont="1" applyFill="1" applyBorder="1"/>
    <xf numFmtId="0" fontId="4" fillId="17" borderId="4" xfId="0" applyFont="1" applyFill="1" applyBorder="1" applyAlignment="1">
      <alignment horizontal="center"/>
    </xf>
    <xf numFmtId="44" fontId="4" fillId="17" borderId="4" xfId="0" applyNumberFormat="1" applyFont="1" applyFill="1" applyBorder="1"/>
    <xf numFmtId="0" fontId="3" fillId="12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44" fontId="0" fillId="0" borderId="0" xfId="0" applyNumberFormat="1"/>
    <xf numFmtId="0" fontId="1" fillId="18" borderId="0" xfId="0" applyFont="1" applyFill="1"/>
    <xf numFmtId="164" fontId="1" fillId="9" borderId="0" xfId="0" applyNumberFormat="1" applyFont="1" applyFill="1"/>
    <xf numFmtId="0" fontId="1" fillId="12" borderId="0" xfId="0" applyFont="1" applyFill="1"/>
    <xf numFmtId="164" fontId="5" fillId="19" borderId="0" xfId="0" applyNumberFormat="1" applyFont="1" applyFill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0" fontId="6" fillId="16" borderId="0" xfId="1" applyFill="1" applyAlignment="1">
      <alignment horizontal="center" vertical="center"/>
    </xf>
    <xf numFmtId="0" fontId="8" fillId="16" borderId="0" xfId="0" applyFont="1" applyFill="1" applyAlignment="1">
      <alignment vertical="center"/>
    </xf>
    <xf numFmtId="0" fontId="9" fillId="16" borderId="0" xfId="0" applyFont="1" applyFill="1" applyAlignment="1">
      <alignment vertical="center"/>
    </xf>
  </cellXfs>
  <cellStyles count="2">
    <cellStyle name="Hiperlink" xfId="1" builtinId="8"/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sz val="10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90557B-1E5B-4287-97E4-ECB692DC023A}" name="Tabela1" displayName="Tabela1" ref="B6:S51" totalsRowShown="0">
  <autoFilter ref="B6:S51" xr:uid="{9890557B-1E5B-4287-97E4-ECB692DC023A}"/>
  <tableColumns count="18">
    <tableColumn id="1" xr3:uid="{E3E1C849-4424-44C7-BF22-59B0969BCBBE}" name="COLABORADOR" dataDxfId="24"/>
    <tableColumn id="2" xr3:uid="{F019196E-ED01-46F7-B85F-399BFBE8A744}" name="CPF" dataDxfId="23"/>
    <tableColumn id="3" xr3:uid="{F0D7A5E5-A9F5-4A33-920C-B59D0F579725}" name="GESTÃO DE CAIXA" dataDxfId="22"/>
    <tableColumn id="4" xr3:uid="{3F40BFB8-4856-4A03-ACBE-DF9E375A1230}" name="REGIONAL" dataDxfId="21"/>
    <tableColumn id="5" xr3:uid="{FE5E8E8A-9B97-4401-AAF4-07288DE09887}" name="CENTRO DE CUSTO" dataDxfId="20"/>
    <tableColumn id="6" xr3:uid="{476BF7D4-C3A8-462E-976E-71E163B32A8B}" name="GESTOR" dataDxfId="19"/>
    <tableColumn id="7" xr3:uid="{BA5EB00F-0211-4192-9E5E-3662FDFF35E5}" name="DIRETOR" dataDxfId="18"/>
    <tableColumn id="18" xr3:uid="{800167E7-DD06-47C9-9A40-4D84F9BFF24A}" name="SALDO REEMBOLSAR" dataDxfId="17"/>
    <tableColumn id="8" xr3:uid="{BE96F36A-843F-4A6E-B422-B4357D51B036}" name="SALDO FINAL" dataDxfId="16"/>
    <tableColumn id="9" xr3:uid="{72674CD5-D091-4666-A818-460DB9468231}" name="1ª QZ" dataDxfId="15"/>
    <tableColumn id="10" xr3:uid="{122598D4-90DA-4EC3-9882-19AC58D7D7DA}" name="SALDO CARTAO" dataDxfId="14"/>
    <tableColumn id="11" xr3:uid="{E771A5F2-117A-427E-A393-4FBB4FED7DE8}" name="Adiantamento " dataDxfId="13"/>
    <tableColumn id="12" xr3:uid="{00E331BC-C625-4958-B44F-95F071C26F22}" name="CARGA PARCIAL" dataDxfId="12">
      <calculatedColumnFormula>Tabela1[[#This Row],[1ª QZ]]-Tabela1[[#This Row],[SALDO FINAL]]-Tabela1[[#This Row],[SALDO CARTAO]]-Tabela1[[#This Row],[Adiantamento ]]</calculatedColumnFormula>
    </tableColumn>
    <tableColumn id="13" xr3:uid="{CC6C7D48-72DE-40F9-BBDA-1CDE7CFEC6B7}" name="REEMBOLSO" dataDxfId="11">
      <calculatedColumnFormula>Tabela1[[#This Row],[SALDO REEMBOLSAR]]*$O$4</calculatedColumnFormula>
    </tableColumn>
    <tableColumn id="14" xr3:uid="{598CADA8-4B1A-4121-8111-A6DF679CED04}" name="Carga CORRETA" dataDxfId="10">
      <calculatedColumnFormula>IF(Tabela1[[#This Row],[CARGA PARCIAL]]&lt;0,0,Tabela1[[#This Row],[CARGA PARCIAL]])+Tabela1[[#This Row],[REEMBOLSO]]</calculatedColumnFormula>
    </tableColumn>
    <tableColumn id="15" xr3:uid="{2E964194-F9B8-4462-837B-9454C0019787}" name="Carga RECEBIDA"/>
    <tableColumn id="17" xr3:uid="{68F32E9E-F1E2-489C-95BC-178C59AF3983}" name="Carga DIFERENÇA" dataDxfId="9">
      <calculatedColumnFormula>Tabela1[[#This Row],[Carga CORRETA]]-Tabela1[[#This Row],[Carga RECEBIDA]]</calculatedColumnFormula>
    </tableColumn>
    <tableColumn id="16" xr3:uid="{38FE18B0-EB87-467E-8D33-14AAAC754EDC}" name="STATUS DO CARTÃO" dataDxfId="8">
      <calculatedColumnFormula>_xlfn.XLOOKUP(Tabela1[[#This Row],[COLABORADOR]],'STATUS CARTAO'!D:D,'STATUS CARTAO'!G:G)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amp.vexpenses.com/settings/membros-de-equipe/890792" TargetMode="External"/><Relationship Id="rId21" Type="http://schemas.openxmlformats.org/officeDocument/2006/relationships/hyperlink" Target="https://amp.vexpenses.com/settings/membros-de-equipe/895961" TargetMode="External"/><Relationship Id="rId324" Type="http://schemas.openxmlformats.org/officeDocument/2006/relationships/hyperlink" Target="https://amp.vexpenses.com/settings/membros-de-equipe/896196" TargetMode="External"/><Relationship Id="rId531" Type="http://schemas.openxmlformats.org/officeDocument/2006/relationships/hyperlink" Target="https://amp.vexpenses.com/settings/membros-de-equipe/896340" TargetMode="External"/><Relationship Id="rId170" Type="http://schemas.openxmlformats.org/officeDocument/2006/relationships/hyperlink" Target="https://amp.vexpenses.com/settings/membros-de-equipe/961468" TargetMode="External"/><Relationship Id="rId268" Type="http://schemas.openxmlformats.org/officeDocument/2006/relationships/hyperlink" Target="https://amp.vexpenses.com/settings/membros-de-equipe/896152" TargetMode="External"/><Relationship Id="rId475" Type="http://schemas.openxmlformats.org/officeDocument/2006/relationships/hyperlink" Target="https://amp.vexpenses.com/settings/membros-de-equipe/918849" TargetMode="External"/><Relationship Id="rId32" Type="http://schemas.openxmlformats.org/officeDocument/2006/relationships/hyperlink" Target="https://amp.vexpenses.com/settings/membros-de-equipe/1133255" TargetMode="External"/><Relationship Id="rId128" Type="http://schemas.openxmlformats.org/officeDocument/2006/relationships/hyperlink" Target="https://amp.vexpenses.com/settings/membros-de-equipe/896048" TargetMode="External"/><Relationship Id="rId335" Type="http://schemas.openxmlformats.org/officeDocument/2006/relationships/hyperlink" Target="https://amp.vexpenses.com/settings/membros-de-equipe/896205" TargetMode="External"/><Relationship Id="rId542" Type="http://schemas.openxmlformats.org/officeDocument/2006/relationships/hyperlink" Target="https://amp.vexpenses.com/settings/membros-de-equipe/891979" TargetMode="External"/><Relationship Id="rId181" Type="http://schemas.openxmlformats.org/officeDocument/2006/relationships/hyperlink" Target="https://amp.vexpenses.com/settings/membros-de-equipe/896088" TargetMode="External"/><Relationship Id="rId402" Type="http://schemas.openxmlformats.org/officeDocument/2006/relationships/hyperlink" Target="https://amp.vexpenses.com/settings/membros-de-equipe/917365" TargetMode="External"/><Relationship Id="rId279" Type="http://schemas.openxmlformats.org/officeDocument/2006/relationships/hyperlink" Target="https://amp.vexpenses.com/settings/membros-de-equipe/978694" TargetMode="External"/><Relationship Id="rId486" Type="http://schemas.openxmlformats.org/officeDocument/2006/relationships/hyperlink" Target="https://amp.vexpenses.com/settings/membros-de-equipe/1147698" TargetMode="External"/><Relationship Id="rId43" Type="http://schemas.openxmlformats.org/officeDocument/2006/relationships/hyperlink" Target="https://amp.vexpenses.com/settings/membros-de-equipe/929757" TargetMode="External"/><Relationship Id="rId139" Type="http://schemas.openxmlformats.org/officeDocument/2006/relationships/hyperlink" Target="https://amp.vexpenses.com/settings/membros-de-equipe/896053" TargetMode="External"/><Relationship Id="rId346" Type="http://schemas.openxmlformats.org/officeDocument/2006/relationships/hyperlink" Target="https://amp.vexpenses.com/settings/membros-de-equipe/1023033" TargetMode="External"/><Relationship Id="rId553" Type="http://schemas.openxmlformats.org/officeDocument/2006/relationships/hyperlink" Target="https://amp.vexpenses.com/settings/membros-de-equipe/1100082" TargetMode="External"/><Relationship Id="rId192" Type="http://schemas.openxmlformats.org/officeDocument/2006/relationships/hyperlink" Target="https://amp.vexpenses.com/settings/membros-de-equipe/896096" TargetMode="External"/><Relationship Id="rId206" Type="http://schemas.openxmlformats.org/officeDocument/2006/relationships/hyperlink" Target="https://amp.vexpenses.com/settings/membros-de-equipe/896111" TargetMode="External"/><Relationship Id="rId413" Type="http://schemas.openxmlformats.org/officeDocument/2006/relationships/hyperlink" Target="https://amp.vexpenses.com/settings/membros-de-equipe/896425" TargetMode="External"/><Relationship Id="rId497" Type="http://schemas.openxmlformats.org/officeDocument/2006/relationships/hyperlink" Target="https://amp.vexpenses.com/settings/membros-de-equipe/917081" TargetMode="External"/><Relationship Id="rId357" Type="http://schemas.openxmlformats.org/officeDocument/2006/relationships/hyperlink" Target="https://amp.vexpenses.com/settings/membros-de-equipe/896216" TargetMode="External"/><Relationship Id="rId54" Type="http://schemas.openxmlformats.org/officeDocument/2006/relationships/hyperlink" Target="https://amp.vexpenses.com/settings/membros-de-equipe/895984" TargetMode="External"/><Relationship Id="rId217" Type="http://schemas.openxmlformats.org/officeDocument/2006/relationships/hyperlink" Target="https://amp.vexpenses.com/settings/membros-de-equipe/929756" TargetMode="External"/><Relationship Id="rId564" Type="http://schemas.openxmlformats.org/officeDocument/2006/relationships/hyperlink" Target="https://amp.vexpenses.com/settings/membros-de-equipe/896365" TargetMode="External"/><Relationship Id="rId424" Type="http://schemas.openxmlformats.org/officeDocument/2006/relationships/hyperlink" Target="https://amp.vexpenses.com/settings/membros-de-equipe/896259" TargetMode="External"/><Relationship Id="rId270" Type="http://schemas.openxmlformats.org/officeDocument/2006/relationships/hyperlink" Target="https://amp.vexpenses.com/settings/membros-de-equipe/896154" TargetMode="External"/><Relationship Id="rId65" Type="http://schemas.openxmlformats.org/officeDocument/2006/relationships/hyperlink" Target="https://amp.vexpenses.com/settings/membros-de-equipe/895994" TargetMode="External"/><Relationship Id="rId130" Type="http://schemas.openxmlformats.org/officeDocument/2006/relationships/hyperlink" Target="https://amp.vexpenses.com/settings/membros-de-equipe/1066365" TargetMode="External"/><Relationship Id="rId368" Type="http://schemas.openxmlformats.org/officeDocument/2006/relationships/hyperlink" Target="https://amp.vexpenses.com/settings/membros-de-equipe/1114308" TargetMode="External"/><Relationship Id="rId575" Type="http://schemas.openxmlformats.org/officeDocument/2006/relationships/hyperlink" Target="https://amp.vexpenses.com/settings/membros-de-equipe/920868" TargetMode="External"/><Relationship Id="rId228" Type="http://schemas.openxmlformats.org/officeDocument/2006/relationships/hyperlink" Target="https://amp.vexpenses.com/settings/membros-de-equipe/896128" TargetMode="External"/><Relationship Id="rId435" Type="http://schemas.openxmlformats.org/officeDocument/2006/relationships/hyperlink" Target="https://amp.vexpenses.com/settings/membros-de-equipe/896268" TargetMode="External"/><Relationship Id="rId281" Type="http://schemas.openxmlformats.org/officeDocument/2006/relationships/hyperlink" Target="https://amp.vexpenses.com/settings/membros-de-equipe/930413" TargetMode="External"/><Relationship Id="rId502" Type="http://schemas.openxmlformats.org/officeDocument/2006/relationships/hyperlink" Target="https://amp.vexpenses.com/settings/membros-de-equipe/896316" TargetMode="External"/><Relationship Id="rId76" Type="http://schemas.openxmlformats.org/officeDocument/2006/relationships/hyperlink" Target="https://amp.vexpenses.com/settings/membros-de-equipe/896001" TargetMode="External"/><Relationship Id="rId141" Type="http://schemas.openxmlformats.org/officeDocument/2006/relationships/hyperlink" Target="https://amp.vexpenses.com/settings/membros-de-equipe/896055" TargetMode="External"/><Relationship Id="rId379" Type="http://schemas.openxmlformats.org/officeDocument/2006/relationships/hyperlink" Target="https://amp.vexpenses.com/settings/membros-de-equipe/896226" TargetMode="External"/><Relationship Id="rId586" Type="http://schemas.openxmlformats.org/officeDocument/2006/relationships/hyperlink" Target="https://amp.vexpenses.com/settings/membros-de-equipe/896384" TargetMode="External"/><Relationship Id="rId7" Type="http://schemas.openxmlformats.org/officeDocument/2006/relationships/hyperlink" Target="https://amp.vexpenses.com/settings/membros-de-equipe/895948" TargetMode="External"/><Relationship Id="rId239" Type="http://schemas.openxmlformats.org/officeDocument/2006/relationships/hyperlink" Target="https://amp.vexpenses.com/settings/membros-de-equipe/997009" TargetMode="External"/><Relationship Id="rId446" Type="http://schemas.openxmlformats.org/officeDocument/2006/relationships/hyperlink" Target="https://amp.vexpenses.com/settings/membros-de-equipe/896279" TargetMode="External"/><Relationship Id="rId292" Type="http://schemas.openxmlformats.org/officeDocument/2006/relationships/hyperlink" Target="https://amp.vexpenses.com/settings/membros-de-equipe/1114315" TargetMode="External"/><Relationship Id="rId306" Type="http://schemas.openxmlformats.org/officeDocument/2006/relationships/hyperlink" Target="https://amp.vexpenses.com/settings/membros-de-equipe/896179" TargetMode="External"/><Relationship Id="rId87" Type="http://schemas.openxmlformats.org/officeDocument/2006/relationships/hyperlink" Target="https://amp.vexpenses.com/settings/membros-de-equipe/896009" TargetMode="External"/><Relationship Id="rId513" Type="http://schemas.openxmlformats.org/officeDocument/2006/relationships/hyperlink" Target="https://amp.vexpenses.com/settings/membros-de-equipe/917069" TargetMode="External"/><Relationship Id="rId597" Type="http://schemas.openxmlformats.org/officeDocument/2006/relationships/hyperlink" Target="https://amp.vexpenses.com/settings/membros-de-equipe/916366" TargetMode="External"/><Relationship Id="rId152" Type="http://schemas.openxmlformats.org/officeDocument/2006/relationships/hyperlink" Target="https://amp.vexpenses.com/settings/membros-de-equipe/896068" TargetMode="External"/><Relationship Id="rId457" Type="http://schemas.openxmlformats.org/officeDocument/2006/relationships/hyperlink" Target="https://amp.vexpenses.com/settings/membros-de-equipe/1127608" TargetMode="External"/><Relationship Id="rId261" Type="http://schemas.openxmlformats.org/officeDocument/2006/relationships/hyperlink" Target="https://amp.vexpenses.com/settings/membros-de-equipe/969231" TargetMode="External"/><Relationship Id="rId499" Type="http://schemas.openxmlformats.org/officeDocument/2006/relationships/hyperlink" Target="https://amp.vexpenses.com/settings/membros-de-equipe/1072510" TargetMode="External"/><Relationship Id="rId14" Type="http://schemas.openxmlformats.org/officeDocument/2006/relationships/hyperlink" Target="https://amp.vexpenses.com/settings/membros-de-equipe/895955" TargetMode="External"/><Relationship Id="rId56" Type="http://schemas.openxmlformats.org/officeDocument/2006/relationships/hyperlink" Target="https://amp.vexpenses.com/settings/membros-de-equipe/916889" TargetMode="External"/><Relationship Id="rId317" Type="http://schemas.openxmlformats.org/officeDocument/2006/relationships/hyperlink" Target="https://amp.vexpenses.com/settings/membros-de-equipe/1148946" TargetMode="External"/><Relationship Id="rId359" Type="http://schemas.openxmlformats.org/officeDocument/2006/relationships/hyperlink" Target="https://amp.vexpenses.com/settings/membros-de-equipe/896218" TargetMode="External"/><Relationship Id="rId524" Type="http://schemas.openxmlformats.org/officeDocument/2006/relationships/hyperlink" Target="https://amp.vexpenses.com/settings/membros-de-equipe/896336" TargetMode="External"/><Relationship Id="rId566" Type="http://schemas.openxmlformats.org/officeDocument/2006/relationships/hyperlink" Target="https://amp.vexpenses.com/settings/membros-de-equipe/896366" TargetMode="External"/><Relationship Id="rId98" Type="http://schemas.openxmlformats.org/officeDocument/2006/relationships/hyperlink" Target="https://amp.vexpenses.com/settings/membros-de-equipe/896021" TargetMode="External"/><Relationship Id="rId121" Type="http://schemas.openxmlformats.org/officeDocument/2006/relationships/hyperlink" Target="https://amp.vexpenses.com/settings/membros-de-equipe/923635" TargetMode="External"/><Relationship Id="rId163" Type="http://schemas.openxmlformats.org/officeDocument/2006/relationships/hyperlink" Target="https://amp.vexpenses.com/settings/membros-de-equipe/920845" TargetMode="External"/><Relationship Id="rId219" Type="http://schemas.openxmlformats.org/officeDocument/2006/relationships/hyperlink" Target="https://amp.vexpenses.com/settings/membros-de-equipe/896121" TargetMode="External"/><Relationship Id="rId370" Type="http://schemas.openxmlformats.org/officeDocument/2006/relationships/hyperlink" Target="https://amp.vexpenses.com/settings/membros-de-equipe/1061873" TargetMode="External"/><Relationship Id="rId426" Type="http://schemas.openxmlformats.org/officeDocument/2006/relationships/hyperlink" Target="https://amp.vexpenses.com/settings/membros-de-equipe/891980" TargetMode="External"/><Relationship Id="rId230" Type="http://schemas.openxmlformats.org/officeDocument/2006/relationships/hyperlink" Target="https://amp.vexpenses.com/settings/membros-de-equipe/896131" TargetMode="External"/><Relationship Id="rId468" Type="http://schemas.openxmlformats.org/officeDocument/2006/relationships/hyperlink" Target="https://amp.vexpenses.com/settings/membros-de-equipe/896297" TargetMode="External"/><Relationship Id="rId25" Type="http://schemas.openxmlformats.org/officeDocument/2006/relationships/hyperlink" Target="https://amp.vexpenses.com/settings/membros-de-equipe/895964" TargetMode="External"/><Relationship Id="rId67" Type="http://schemas.openxmlformats.org/officeDocument/2006/relationships/hyperlink" Target="https://amp.vexpenses.com/settings/membros-de-equipe/920071" TargetMode="External"/><Relationship Id="rId272" Type="http://schemas.openxmlformats.org/officeDocument/2006/relationships/hyperlink" Target="https://amp.vexpenses.com/settings/membros-de-equipe/896156" TargetMode="External"/><Relationship Id="rId328" Type="http://schemas.openxmlformats.org/officeDocument/2006/relationships/hyperlink" Target="https://amp.vexpenses.com/settings/membros-de-equipe/1109992" TargetMode="External"/><Relationship Id="rId535" Type="http://schemas.openxmlformats.org/officeDocument/2006/relationships/hyperlink" Target="https://amp.vexpenses.com/settings/membros-de-equipe/896346" TargetMode="External"/><Relationship Id="rId577" Type="http://schemas.openxmlformats.org/officeDocument/2006/relationships/hyperlink" Target="https://amp.vexpenses.com/settings/membros-de-equipe/985833" TargetMode="External"/><Relationship Id="rId132" Type="http://schemas.openxmlformats.org/officeDocument/2006/relationships/hyperlink" Target="https://amp.vexpenses.com/settings/membros-de-equipe/896049" TargetMode="External"/><Relationship Id="rId174" Type="http://schemas.openxmlformats.org/officeDocument/2006/relationships/hyperlink" Target="https://amp.vexpenses.com/settings/membros-de-equipe/896083" TargetMode="External"/><Relationship Id="rId381" Type="http://schemas.openxmlformats.org/officeDocument/2006/relationships/hyperlink" Target="https://amp.vexpenses.com/settings/membros-de-equipe/896227" TargetMode="External"/><Relationship Id="rId241" Type="http://schemas.openxmlformats.org/officeDocument/2006/relationships/hyperlink" Target="https://amp.vexpenses.com/settings/membros-de-equipe/1148704" TargetMode="External"/><Relationship Id="rId437" Type="http://schemas.openxmlformats.org/officeDocument/2006/relationships/hyperlink" Target="https://amp.vexpenses.com/settings/membros-de-equipe/967438" TargetMode="External"/><Relationship Id="rId479" Type="http://schemas.openxmlformats.org/officeDocument/2006/relationships/hyperlink" Target="https://amp.vexpenses.com/settings/membros-de-equipe/896301" TargetMode="External"/><Relationship Id="rId36" Type="http://schemas.openxmlformats.org/officeDocument/2006/relationships/hyperlink" Target="https://amp.vexpenses.com/settings/membros-de-equipe/895969" TargetMode="External"/><Relationship Id="rId283" Type="http://schemas.openxmlformats.org/officeDocument/2006/relationships/hyperlink" Target="https://amp.vexpenses.com/settings/membros-de-equipe/896162" TargetMode="External"/><Relationship Id="rId339" Type="http://schemas.openxmlformats.org/officeDocument/2006/relationships/hyperlink" Target="https://amp.vexpenses.com/settings/membros-de-equipe/896206" TargetMode="External"/><Relationship Id="rId490" Type="http://schemas.openxmlformats.org/officeDocument/2006/relationships/hyperlink" Target="https://amp.vexpenses.com/settings/membros-de-equipe/896306" TargetMode="External"/><Relationship Id="rId504" Type="http://schemas.openxmlformats.org/officeDocument/2006/relationships/hyperlink" Target="https://amp.vexpenses.com/settings/membros-de-equipe/896318" TargetMode="External"/><Relationship Id="rId546" Type="http://schemas.openxmlformats.org/officeDocument/2006/relationships/hyperlink" Target="https://amp.vexpenses.com/settings/membros-de-equipe/1010644" TargetMode="External"/><Relationship Id="rId78" Type="http://schemas.openxmlformats.org/officeDocument/2006/relationships/hyperlink" Target="https://amp.vexpenses.com/settings/membros-de-equipe/896002" TargetMode="External"/><Relationship Id="rId101" Type="http://schemas.openxmlformats.org/officeDocument/2006/relationships/hyperlink" Target="https://amp.vexpenses.com/settings/membros-de-equipe/1129756" TargetMode="External"/><Relationship Id="rId143" Type="http://schemas.openxmlformats.org/officeDocument/2006/relationships/hyperlink" Target="https://amp.vexpenses.com/settings/membros-de-equipe/896058" TargetMode="External"/><Relationship Id="rId185" Type="http://schemas.openxmlformats.org/officeDocument/2006/relationships/hyperlink" Target="https://amp.vexpenses.com/settings/membros-de-equipe/944251" TargetMode="External"/><Relationship Id="rId350" Type="http://schemas.openxmlformats.org/officeDocument/2006/relationships/hyperlink" Target="https://amp.vexpenses.com/settings/membros-de-equipe/896212" TargetMode="External"/><Relationship Id="rId406" Type="http://schemas.openxmlformats.org/officeDocument/2006/relationships/hyperlink" Target="https://amp.vexpenses.com/settings/membros-de-equipe/929759" TargetMode="External"/><Relationship Id="rId588" Type="http://schemas.openxmlformats.org/officeDocument/2006/relationships/hyperlink" Target="https://amp.vexpenses.com/settings/membros-de-equipe/896385" TargetMode="External"/><Relationship Id="rId9" Type="http://schemas.openxmlformats.org/officeDocument/2006/relationships/hyperlink" Target="https://amp.vexpenses.com/settings/membros-de-equipe/978182" TargetMode="External"/><Relationship Id="rId210" Type="http://schemas.openxmlformats.org/officeDocument/2006/relationships/hyperlink" Target="https://amp.vexpenses.com/settings/membros-de-equipe/896115" TargetMode="External"/><Relationship Id="rId392" Type="http://schemas.openxmlformats.org/officeDocument/2006/relationships/hyperlink" Target="https://amp.vexpenses.com/settings/membros-de-equipe/896236" TargetMode="External"/><Relationship Id="rId448" Type="http://schemas.openxmlformats.org/officeDocument/2006/relationships/hyperlink" Target="https://amp.vexpenses.com/settings/membros-de-equipe/896281" TargetMode="External"/><Relationship Id="rId252" Type="http://schemas.openxmlformats.org/officeDocument/2006/relationships/hyperlink" Target="https://amp.vexpenses.com/settings/membros-de-equipe/896141" TargetMode="External"/><Relationship Id="rId294" Type="http://schemas.openxmlformats.org/officeDocument/2006/relationships/hyperlink" Target="https://amp.vexpenses.com/settings/membros-de-equipe/1079549" TargetMode="External"/><Relationship Id="rId308" Type="http://schemas.openxmlformats.org/officeDocument/2006/relationships/hyperlink" Target="https://amp.vexpenses.com/settings/membros-de-equipe/896181" TargetMode="External"/><Relationship Id="rId515" Type="http://schemas.openxmlformats.org/officeDocument/2006/relationships/hyperlink" Target="https://amp.vexpenses.com/settings/membros-de-equipe/896330" TargetMode="External"/><Relationship Id="rId47" Type="http://schemas.openxmlformats.org/officeDocument/2006/relationships/hyperlink" Target="https://amp.vexpenses.com/settings/membros-de-equipe/1114311" TargetMode="External"/><Relationship Id="rId89" Type="http://schemas.openxmlformats.org/officeDocument/2006/relationships/hyperlink" Target="https://amp.vexpenses.com/settings/membros-de-equipe/896011" TargetMode="External"/><Relationship Id="rId112" Type="http://schemas.openxmlformats.org/officeDocument/2006/relationships/hyperlink" Target="https://amp.vexpenses.com/settings/membros-de-equipe/935041" TargetMode="External"/><Relationship Id="rId154" Type="http://schemas.openxmlformats.org/officeDocument/2006/relationships/hyperlink" Target="https://amp.vexpenses.com/settings/membros-de-equipe/930406" TargetMode="External"/><Relationship Id="rId361" Type="http://schemas.openxmlformats.org/officeDocument/2006/relationships/hyperlink" Target="https://amp.vexpenses.com/settings/membros-de-equipe/1011271" TargetMode="External"/><Relationship Id="rId557" Type="http://schemas.openxmlformats.org/officeDocument/2006/relationships/hyperlink" Target="https://amp.vexpenses.com/settings/membros-de-equipe/896359" TargetMode="External"/><Relationship Id="rId599" Type="http://schemas.openxmlformats.org/officeDocument/2006/relationships/hyperlink" Target="https://amp.vexpenses.com/settings/membros-de-equipe/921921" TargetMode="External"/><Relationship Id="rId196" Type="http://schemas.openxmlformats.org/officeDocument/2006/relationships/hyperlink" Target="https://amp.vexpenses.com/settings/membros-de-equipe/896101" TargetMode="External"/><Relationship Id="rId417" Type="http://schemas.openxmlformats.org/officeDocument/2006/relationships/hyperlink" Target="https://amp.vexpenses.com/settings/membros-de-equipe/896254" TargetMode="External"/><Relationship Id="rId459" Type="http://schemas.openxmlformats.org/officeDocument/2006/relationships/hyperlink" Target="https://amp.vexpenses.com/settings/membros-de-equipe/896290" TargetMode="External"/><Relationship Id="rId16" Type="http://schemas.openxmlformats.org/officeDocument/2006/relationships/hyperlink" Target="https://amp.vexpenses.com/settings/membros-de-equipe/985870" TargetMode="External"/><Relationship Id="rId221" Type="http://schemas.openxmlformats.org/officeDocument/2006/relationships/hyperlink" Target="https://amp.vexpenses.com/settings/membros-de-equipe/929761" TargetMode="External"/><Relationship Id="rId263" Type="http://schemas.openxmlformats.org/officeDocument/2006/relationships/hyperlink" Target="https://amp.vexpenses.com/settings/membros-de-equipe/896149" TargetMode="External"/><Relationship Id="rId319" Type="http://schemas.openxmlformats.org/officeDocument/2006/relationships/hyperlink" Target="https://amp.vexpenses.com/settings/membros-de-equipe/1008337" TargetMode="External"/><Relationship Id="rId470" Type="http://schemas.openxmlformats.org/officeDocument/2006/relationships/hyperlink" Target="https://amp.vexpenses.com/settings/membros-de-equipe/896298" TargetMode="External"/><Relationship Id="rId526" Type="http://schemas.openxmlformats.org/officeDocument/2006/relationships/hyperlink" Target="https://amp.vexpenses.com/settings/membros-de-equipe/1088596" TargetMode="External"/><Relationship Id="rId58" Type="http://schemas.openxmlformats.org/officeDocument/2006/relationships/hyperlink" Target="https://amp.vexpenses.com/settings/membros-de-equipe/891977" TargetMode="External"/><Relationship Id="rId123" Type="http://schemas.openxmlformats.org/officeDocument/2006/relationships/hyperlink" Target="https://amp.vexpenses.com/settings/membros-de-equipe/896041" TargetMode="External"/><Relationship Id="rId330" Type="http://schemas.openxmlformats.org/officeDocument/2006/relationships/hyperlink" Target="https://amp.vexpenses.com/settings/membros-de-equipe/896203" TargetMode="External"/><Relationship Id="rId568" Type="http://schemas.openxmlformats.org/officeDocument/2006/relationships/hyperlink" Target="https://amp.vexpenses.com/settings/membros-de-equipe/968562" TargetMode="External"/><Relationship Id="rId165" Type="http://schemas.openxmlformats.org/officeDocument/2006/relationships/hyperlink" Target="https://amp.vexpenses.com/settings/membros-de-equipe/1063498" TargetMode="External"/><Relationship Id="rId372" Type="http://schemas.openxmlformats.org/officeDocument/2006/relationships/hyperlink" Target="https://amp.vexpenses.com/settings/membros-de-equipe/896423" TargetMode="External"/><Relationship Id="rId428" Type="http://schemas.openxmlformats.org/officeDocument/2006/relationships/hyperlink" Target="https://amp.vexpenses.com/settings/membros-de-equipe/1026117" TargetMode="External"/><Relationship Id="rId232" Type="http://schemas.openxmlformats.org/officeDocument/2006/relationships/hyperlink" Target="https://amp.vexpenses.com/settings/membros-de-equipe/1077949" TargetMode="External"/><Relationship Id="rId274" Type="http://schemas.openxmlformats.org/officeDocument/2006/relationships/hyperlink" Target="https://amp.vexpenses.com/settings/membros-de-equipe/896158" TargetMode="External"/><Relationship Id="rId481" Type="http://schemas.openxmlformats.org/officeDocument/2006/relationships/hyperlink" Target="https://amp.vexpenses.com/settings/membros-de-equipe/1065237" TargetMode="External"/><Relationship Id="rId27" Type="http://schemas.openxmlformats.org/officeDocument/2006/relationships/hyperlink" Target="https://amp.vexpenses.com/settings/membros-de-equipe/895965" TargetMode="External"/><Relationship Id="rId69" Type="http://schemas.openxmlformats.org/officeDocument/2006/relationships/hyperlink" Target="https://amp.vexpenses.com/settings/membros-de-equipe/895996" TargetMode="External"/><Relationship Id="rId134" Type="http://schemas.openxmlformats.org/officeDocument/2006/relationships/hyperlink" Target="https://amp.vexpenses.com/settings/membros-de-equipe/896050" TargetMode="External"/><Relationship Id="rId537" Type="http://schemas.openxmlformats.org/officeDocument/2006/relationships/hyperlink" Target="https://amp.vexpenses.com/settings/membros-de-equipe/1109493" TargetMode="External"/><Relationship Id="rId579" Type="http://schemas.openxmlformats.org/officeDocument/2006/relationships/hyperlink" Target="https://amp.vexpenses.com/settings/membros-de-equipe/896424" TargetMode="External"/><Relationship Id="rId80" Type="http://schemas.openxmlformats.org/officeDocument/2006/relationships/hyperlink" Target="https://amp.vexpenses.com/settings/membros-de-equipe/1129186" TargetMode="External"/><Relationship Id="rId176" Type="http://schemas.openxmlformats.org/officeDocument/2006/relationships/hyperlink" Target="https://amp.vexpenses.com/settings/membros-de-equipe/896084" TargetMode="External"/><Relationship Id="rId341" Type="http://schemas.openxmlformats.org/officeDocument/2006/relationships/hyperlink" Target="https://amp.vexpenses.com/settings/membros-de-equipe/896207" TargetMode="External"/><Relationship Id="rId383" Type="http://schemas.openxmlformats.org/officeDocument/2006/relationships/hyperlink" Target="https://amp.vexpenses.com/settings/membros-de-equipe/896229" TargetMode="External"/><Relationship Id="rId439" Type="http://schemas.openxmlformats.org/officeDocument/2006/relationships/hyperlink" Target="https://amp.vexpenses.com/settings/membros-de-equipe/896271" TargetMode="External"/><Relationship Id="rId590" Type="http://schemas.openxmlformats.org/officeDocument/2006/relationships/hyperlink" Target="https://amp.vexpenses.com/settings/membros-de-equipe/896388" TargetMode="External"/><Relationship Id="rId201" Type="http://schemas.openxmlformats.org/officeDocument/2006/relationships/hyperlink" Target="https://amp.vexpenses.com/settings/membros-de-equipe/896106" TargetMode="External"/><Relationship Id="rId243" Type="http://schemas.openxmlformats.org/officeDocument/2006/relationships/hyperlink" Target="https://amp.vexpenses.com/settings/membros-de-equipe/916921" TargetMode="External"/><Relationship Id="rId285" Type="http://schemas.openxmlformats.org/officeDocument/2006/relationships/hyperlink" Target="https://amp.vexpenses.com/settings/membros-de-equipe/916884" TargetMode="External"/><Relationship Id="rId450" Type="http://schemas.openxmlformats.org/officeDocument/2006/relationships/hyperlink" Target="https://amp.vexpenses.com/settings/membros-de-equipe/1079585" TargetMode="External"/><Relationship Id="rId506" Type="http://schemas.openxmlformats.org/officeDocument/2006/relationships/hyperlink" Target="https://amp.vexpenses.com/settings/membros-de-equipe/1033729" TargetMode="External"/><Relationship Id="rId38" Type="http://schemas.openxmlformats.org/officeDocument/2006/relationships/hyperlink" Target="https://amp.vexpenses.com/settings/membros-de-equipe/895970" TargetMode="External"/><Relationship Id="rId103" Type="http://schemas.openxmlformats.org/officeDocument/2006/relationships/hyperlink" Target="https://amp.vexpenses.com/settings/membros-de-equipe/896024" TargetMode="External"/><Relationship Id="rId310" Type="http://schemas.openxmlformats.org/officeDocument/2006/relationships/hyperlink" Target="https://amp.vexpenses.com/settings/membros-de-equipe/1072503" TargetMode="External"/><Relationship Id="rId492" Type="http://schemas.openxmlformats.org/officeDocument/2006/relationships/hyperlink" Target="https://amp.vexpenses.com/settings/membros-de-equipe/1035869" TargetMode="External"/><Relationship Id="rId548" Type="http://schemas.openxmlformats.org/officeDocument/2006/relationships/hyperlink" Target="https://amp.vexpenses.com/settings/membros-de-equipe/896355" TargetMode="External"/><Relationship Id="rId91" Type="http://schemas.openxmlformats.org/officeDocument/2006/relationships/hyperlink" Target="https://amp.vexpenses.com/settings/membros-de-equipe/896015" TargetMode="External"/><Relationship Id="rId145" Type="http://schemas.openxmlformats.org/officeDocument/2006/relationships/hyperlink" Target="https://amp.vexpenses.com/settings/membros-de-equipe/896061" TargetMode="External"/><Relationship Id="rId187" Type="http://schemas.openxmlformats.org/officeDocument/2006/relationships/hyperlink" Target="https://amp.vexpenses.com/settings/membros-de-equipe/896091" TargetMode="External"/><Relationship Id="rId352" Type="http://schemas.openxmlformats.org/officeDocument/2006/relationships/hyperlink" Target="https://amp.vexpenses.com/settings/membros-de-equipe/896214" TargetMode="External"/><Relationship Id="rId394" Type="http://schemas.openxmlformats.org/officeDocument/2006/relationships/hyperlink" Target="https://amp.vexpenses.com/settings/membros-de-equipe/916912" TargetMode="External"/><Relationship Id="rId408" Type="http://schemas.openxmlformats.org/officeDocument/2006/relationships/hyperlink" Target="https://amp.vexpenses.com/settings/membros-de-equipe/1059425" TargetMode="External"/><Relationship Id="rId212" Type="http://schemas.openxmlformats.org/officeDocument/2006/relationships/hyperlink" Target="https://amp.vexpenses.com/settings/membros-de-equipe/896117" TargetMode="External"/><Relationship Id="rId254" Type="http://schemas.openxmlformats.org/officeDocument/2006/relationships/hyperlink" Target="https://amp.vexpenses.com/settings/membros-de-equipe/896143" TargetMode="External"/><Relationship Id="rId49" Type="http://schemas.openxmlformats.org/officeDocument/2006/relationships/hyperlink" Target="https://amp.vexpenses.com/settings/membros-de-equipe/934784" TargetMode="External"/><Relationship Id="rId114" Type="http://schemas.openxmlformats.org/officeDocument/2006/relationships/hyperlink" Target="https://amp.vexpenses.com/settings/membros-de-equipe/896035" TargetMode="External"/><Relationship Id="rId296" Type="http://schemas.openxmlformats.org/officeDocument/2006/relationships/hyperlink" Target="https://amp.vexpenses.com/settings/membros-de-equipe/896170" TargetMode="External"/><Relationship Id="rId461" Type="http://schemas.openxmlformats.org/officeDocument/2006/relationships/hyperlink" Target="https://amp.vexpenses.com/settings/membros-de-equipe/896292" TargetMode="External"/><Relationship Id="rId517" Type="http://schemas.openxmlformats.org/officeDocument/2006/relationships/hyperlink" Target="https://amp.vexpenses.com/settings/membros-de-equipe/896331" TargetMode="External"/><Relationship Id="rId559" Type="http://schemas.openxmlformats.org/officeDocument/2006/relationships/hyperlink" Target="https://amp.vexpenses.com/settings/membros-de-equipe/896361" TargetMode="External"/><Relationship Id="rId60" Type="http://schemas.openxmlformats.org/officeDocument/2006/relationships/hyperlink" Target="https://amp.vexpenses.com/settings/membros-de-equipe/1115604" TargetMode="External"/><Relationship Id="rId156" Type="http://schemas.openxmlformats.org/officeDocument/2006/relationships/hyperlink" Target="https://amp.vexpenses.com/settings/membros-de-equipe/896071" TargetMode="External"/><Relationship Id="rId198" Type="http://schemas.openxmlformats.org/officeDocument/2006/relationships/hyperlink" Target="https://amp.vexpenses.com/settings/membros-de-equipe/896102" TargetMode="External"/><Relationship Id="rId321" Type="http://schemas.openxmlformats.org/officeDocument/2006/relationships/hyperlink" Target="https://amp.vexpenses.com/settings/membros-de-equipe/896191" TargetMode="External"/><Relationship Id="rId363" Type="http://schemas.openxmlformats.org/officeDocument/2006/relationships/hyperlink" Target="https://amp.vexpenses.com/settings/membros-de-equipe/896220" TargetMode="External"/><Relationship Id="rId419" Type="http://schemas.openxmlformats.org/officeDocument/2006/relationships/hyperlink" Target="https://amp.vexpenses.com/settings/membros-de-equipe/896333" TargetMode="External"/><Relationship Id="rId570" Type="http://schemas.openxmlformats.org/officeDocument/2006/relationships/hyperlink" Target="https://amp.vexpenses.com/settings/membros-de-equipe/1077951" TargetMode="External"/><Relationship Id="rId223" Type="http://schemas.openxmlformats.org/officeDocument/2006/relationships/hyperlink" Target="https://amp.vexpenses.com/settings/membros-de-equipe/896124" TargetMode="External"/><Relationship Id="rId430" Type="http://schemas.openxmlformats.org/officeDocument/2006/relationships/hyperlink" Target="https://amp.vexpenses.com/settings/membros-de-equipe/1128510" TargetMode="External"/><Relationship Id="rId18" Type="http://schemas.openxmlformats.org/officeDocument/2006/relationships/hyperlink" Target="https://amp.vexpenses.com/settings/membros-de-equipe/895957" TargetMode="External"/><Relationship Id="rId265" Type="http://schemas.openxmlformats.org/officeDocument/2006/relationships/hyperlink" Target="https://amp.vexpenses.com/settings/membros-de-equipe/896150" TargetMode="External"/><Relationship Id="rId472" Type="http://schemas.openxmlformats.org/officeDocument/2006/relationships/hyperlink" Target="https://amp.vexpenses.com/settings/membros-de-equipe/1056032" TargetMode="External"/><Relationship Id="rId528" Type="http://schemas.openxmlformats.org/officeDocument/2006/relationships/hyperlink" Target="https://amp.vexpenses.com/settings/membros-de-equipe/1142278" TargetMode="External"/><Relationship Id="rId125" Type="http://schemas.openxmlformats.org/officeDocument/2006/relationships/hyperlink" Target="https://amp.vexpenses.com/settings/membros-de-equipe/917345" TargetMode="External"/><Relationship Id="rId167" Type="http://schemas.openxmlformats.org/officeDocument/2006/relationships/hyperlink" Target="https://amp.vexpenses.com/settings/membros-de-equipe/896079" TargetMode="External"/><Relationship Id="rId332" Type="http://schemas.openxmlformats.org/officeDocument/2006/relationships/hyperlink" Target="https://amp.vexpenses.com/settings/membros-de-equipe/1068601" TargetMode="External"/><Relationship Id="rId374" Type="http://schemas.openxmlformats.org/officeDocument/2006/relationships/hyperlink" Target="https://amp.vexpenses.com/settings/membros-de-equipe/1040939" TargetMode="External"/><Relationship Id="rId581" Type="http://schemas.openxmlformats.org/officeDocument/2006/relationships/hyperlink" Target="https://amp.vexpenses.com/settings/membros-de-equipe/896378" TargetMode="External"/><Relationship Id="rId71" Type="http://schemas.openxmlformats.org/officeDocument/2006/relationships/hyperlink" Target="https://amp.vexpenses.com/settings/membros-de-equipe/895997" TargetMode="External"/><Relationship Id="rId234" Type="http://schemas.openxmlformats.org/officeDocument/2006/relationships/hyperlink" Target="https://amp.vexpenses.com/settings/membros-de-equipe/917353" TargetMode="External"/><Relationship Id="rId2" Type="http://schemas.openxmlformats.org/officeDocument/2006/relationships/hyperlink" Target="https://amp.vexpenses.com/settings/membros-de-equipe/923558" TargetMode="External"/><Relationship Id="rId29" Type="http://schemas.openxmlformats.org/officeDocument/2006/relationships/hyperlink" Target="https://amp.vexpenses.com/settings/membros-de-equipe/895966" TargetMode="External"/><Relationship Id="rId276" Type="http://schemas.openxmlformats.org/officeDocument/2006/relationships/hyperlink" Target="https://amp.vexpenses.com/settings/membros-de-equipe/896159" TargetMode="External"/><Relationship Id="rId441" Type="http://schemas.openxmlformats.org/officeDocument/2006/relationships/hyperlink" Target="https://amp.vexpenses.com/settings/membros-de-equipe/896274" TargetMode="External"/><Relationship Id="rId483" Type="http://schemas.openxmlformats.org/officeDocument/2006/relationships/hyperlink" Target="https://amp.vexpenses.com/settings/membros-de-equipe/896304" TargetMode="External"/><Relationship Id="rId539" Type="http://schemas.openxmlformats.org/officeDocument/2006/relationships/hyperlink" Target="https://amp.vexpenses.com/settings/membros-de-equipe/896349" TargetMode="External"/><Relationship Id="rId40" Type="http://schemas.openxmlformats.org/officeDocument/2006/relationships/hyperlink" Target="https://amp.vexpenses.com/settings/membros-de-equipe/895972" TargetMode="External"/><Relationship Id="rId136" Type="http://schemas.openxmlformats.org/officeDocument/2006/relationships/hyperlink" Target="https://amp.vexpenses.com/settings/membros-de-equipe/1088600" TargetMode="External"/><Relationship Id="rId178" Type="http://schemas.openxmlformats.org/officeDocument/2006/relationships/hyperlink" Target="https://amp.vexpenses.com/settings/membros-de-equipe/1077948" TargetMode="External"/><Relationship Id="rId301" Type="http://schemas.openxmlformats.org/officeDocument/2006/relationships/hyperlink" Target="https://amp.vexpenses.com/settings/membros-de-equipe/957803" TargetMode="External"/><Relationship Id="rId343" Type="http://schemas.openxmlformats.org/officeDocument/2006/relationships/hyperlink" Target="https://amp.vexpenses.com/settings/membros-de-equipe/916936" TargetMode="External"/><Relationship Id="rId550" Type="http://schemas.openxmlformats.org/officeDocument/2006/relationships/hyperlink" Target="https://amp.vexpenses.com/settings/membros-de-equipe/896356" TargetMode="External"/><Relationship Id="rId82" Type="http://schemas.openxmlformats.org/officeDocument/2006/relationships/hyperlink" Target="https://amp.vexpenses.com/settings/membros-de-equipe/1068617" TargetMode="External"/><Relationship Id="rId203" Type="http://schemas.openxmlformats.org/officeDocument/2006/relationships/hyperlink" Target="https://amp.vexpenses.com/settings/membros-de-equipe/896107" TargetMode="External"/><Relationship Id="rId385" Type="http://schemas.openxmlformats.org/officeDocument/2006/relationships/hyperlink" Target="https://amp.vexpenses.com/settings/membros-de-equipe/896231" TargetMode="External"/><Relationship Id="rId592" Type="http://schemas.openxmlformats.org/officeDocument/2006/relationships/hyperlink" Target="https://amp.vexpenses.com/settings/membros-de-equipe/1061896" TargetMode="External"/><Relationship Id="rId245" Type="http://schemas.openxmlformats.org/officeDocument/2006/relationships/hyperlink" Target="https://amp.vexpenses.com/settings/membros-de-equipe/1033558" TargetMode="External"/><Relationship Id="rId287" Type="http://schemas.openxmlformats.org/officeDocument/2006/relationships/hyperlink" Target="https://amp.vexpenses.com/settings/membros-de-equipe/1008341" TargetMode="External"/><Relationship Id="rId410" Type="http://schemas.openxmlformats.org/officeDocument/2006/relationships/hyperlink" Target="https://amp.vexpenses.com/settings/membros-de-equipe/896250" TargetMode="External"/><Relationship Id="rId452" Type="http://schemas.openxmlformats.org/officeDocument/2006/relationships/hyperlink" Target="https://amp.vexpenses.com/settings/membros-de-equipe/896285" TargetMode="External"/><Relationship Id="rId494" Type="http://schemas.openxmlformats.org/officeDocument/2006/relationships/hyperlink" Target="https://amp.vexpenses.com/settings/membros-de-equipe/896311" TargetMode="External"/><Relationship Id="rId508" Type="http://schemas.openxmlformats.org/officeDocument/2006/relationships/hyperlink" Target="https://amp.vexpenses.com/settings/membros-de-equipe/896325" TargetMode="External"/><Relationship Id="rId105" Type="http://schemas.openxmlformats.org/officeDocument/2006/relationships/hyperlink" Target="https://amp.vexpenses.com/settings/membros-de-equipe/896026" TargetMode="External"/><Relationship Id="rId147" Type="http://schemas.openxmlformats.org/officeDocument/2006/relationships/hyperlink" Target="https://amp.vexpenses.com/settings/membros-de-equipe/927175" TargetMode="External"/><Relationship Id="rId312" Type="http://schemas.openxmlformats.org/officeDocument/2006/relationships/hyperlink" Target="https://amp.vexpenses.com/settings/membros-de-equipe/896184" TargetMode="External"/><Relationship Id="rId354" Type="http://schemas.openxmlformats.org/officeDocument/2006/relationships/hyperlink" Target="https://amp.vexpenses.com/settings/membros-de-equipe/896215" TargetMode="External"/><Relationship Id="rId51" Type="http://schemas.openxmlformats.org/officeDocument/2006/relationships/hyperlink" Target="https://amp.vexpenses.com/settings/membros-de-equipe/917324" TargetMode="External"/><Relationship Id="rId93" Type="http://schemas.openxmlformats.org/officeDocument/2006/relationships/hyperlink" Target="https://amp.vexpenses.com/settings/membros-de-equipe/896017" TargetMode="External"/><Relationship Id="rId189" Type="http://schemas.openxmlformats.org/officeDocument/2006/relationships/hyperlink" Target="https://amp.vexpenses.com/settings/membros-de-equipe/896093" TargetMode="External"/><Relationship Id="rId396" Type="http://schemas.openxmlformats.org/officeDocument/2006/relationships/hyperlink" Target="https://amp.vexpenses.com/settings/membros-de-equipe/896240" TargetMode="External"/><Relationship Id="rId561" Type="http://schemas.openxmlformats.org/officeDocument/2006/relationships/hyperlink" Target="https://amp.vexpenses.com/settings/membros-de-equipe/896362" TargetMode="External"/><Relationship Id="rId214" Type="http://schemas.openxmlformats.org/officeDocument/2006/relationships/hyperlink" Target="https://amp.vexpenses.com/settings/membros-de-equipe/896118" TargetMode="External"/><Relationship Id="rId256" Type="http://schemas.openxmlformats.org/officeDocument/2006/relationships/hyperlink" Target="https://amp.vexpenses.com/settings/membros-de-equipe/896144" TargetMode="External"/><Relationship Id="rId298" Type="http://schemas.openxmlformats.org/officeDocument/2006/relationships/hyperlink" Target="https://amp.vexpenses.com/settings/membros-de-equipe/896172" TargetMode="External"/><Relationship Id="rId421" Type="http://schemas.openxmlformats.org/officeDocument/2006/relationships/hyperlink" Target="https://amp.vexpenses.com/settings/membros-de-equipe/896257" TargetMode="External"/><Relationship Id="rId463" Type="http://schemas.openxmlformats.org/officeDocument/2006/relationships/hyperlink" Target="https://amp.vexpenses.com/settings/membros-de-equipe/896295" TargetMode="External"/><Relationship Id="rId519" Type="http://schemas.openxmlformats.org/officeDocument/2006/relationships/hyperlink" Target="https://amp.vexpenses.com/settings/membros-de-equipe/1106577" TargetMode="External"/><Relationship Id="rId116" Type="http://schemas.openxmlformats.org/officeDocument/2006/relationships/hyperlink" Target="https://amp.vexpenses.com/settings/membros-de-equipe/1077041" TargetMode="External"/><Relationship Id="rId158" Type="http://schemas.openxmlformats.org/officeDocument/2006/relationships/hyperlink" Target="https://amp.vexpenses.com/settings/membros-de-equipe/896072" TargetMode="External"/><Relationship Id="rId323" Type="http://schemas.openxmlformats.org/officeDocument/2006/relationships/hyperlink" Target="https://amp.vexpenses.com/settings/membros-de-equipe/896193" TargetMode="External"/><Relationship Id="rId530" Type="http://schemas.openxmlformats.org/officeDocument/2006/relationships/hyperlink" Target="https://amp.vexpenses.com/settings/membros-de-equipe/896339" TargetMode="External"/><Relationship Id="rId20" Type="http://schemas.openxmlformats.org/officeDocument/2006/relationships/hyperlink" Target="https://amp.vexpenses.com/settings/membros-de-equipe/895959" TargetMode="External"/><Relationship Id="rId62" Type="http://schemas.openxmlformats.org/officeDocument/2006/relationships/hyperlink" Target="https://amp.vexpenses.com/settings/membros-de-equipe/895991" TargetMode="External"/><Relationship Id="rId365" Type="http://schemas.openxmlformats.org/officeDocument/2006/relationships/hyperlink" Target="https://amp.vexpenses.com/settings/membros-de-equipe/891904" TargetMode="External"/><Relationship Id="rId572" Type="http://schemas.openxmlformats.org/officeDocument/2006/relationships/hyperlink" Target="https://amp.vexpenses.com/settings/membros-de-equipe/931255" TargetMode="External"/><Relationship Id="rId225" Type="http://schemas.openxmlformats.org/officeDocument/2006/relationships/hyperlink" Target="https://amp.vexpenses.com/settings/membros-de-equipe/916374" TargetMode="External"/><Relationship Id="rId267" Type="http://schemas.openxmlformats.org/officeDocument/2006/relationships/hyperlink" Target="https://amp.vexpenses.com/settings/membros-de-equipe/896151" TargetMode="External"/><Relationship Id="rId432" Type="http://schemas.openxmlformats.org/officeDocument/2006/relationships/hyperlink" Target="https://amp.vexpenses.com/settings/membros-de-equipe/1007813" TargetMode="External"/><Relationship Id="rId474" Type="http://schemas.openxmlformats.org/officeDocument/2006/relationships/hyperlink" Target="https://amp.vexpenses.com/settings/membros-de-equipe/1087712" TargetMode="External"/><Relationship Id="rId127" Type="http://schemas.openxmlformats.org/officeDocument/2006/relationships/hyperlink" Target="https://amp.vexpenses.com/settings/membros-de-equipe/896047" TargetMode="External"/><Relationship Id="rId31" Type="http://schemas.openxmlformats.org/officeDocument/2006/relationships/hyperlink" Target="https://amp.vexpenses.com/settings/membros-de-equipe/895968" TargetMode="External"/><Relationship Id="rId73" Type="http://schemas.openxmlformats.org/officeDocument/2006/relationships/hyperlink" Target="https://amp.vexpenses.com/settings/membros-de-equipe/930416" TargetMode="External"/><Relationship Id="rId169" Type="http://schemas.openxmlformats.org/officeDocument/2006/relationships/hyperlink" Target="https://amp.vexpenses.com/settings/membros-de-equipe/896080" TargetMode="External"/><Relationship Id="rId334" Type="http://schemas.openxmlformats.org/officeDocument/2006/relationships/hyperlink" Target="https://amp.vexpenses.com/settings/membros-de-equipe/923628" TargetMode="External"/><Relationship Id="rId376" Type="http://schemas.openxmlformats.org/officeDocument/2006/relationships/hyperlink" Target="https://amp.vexpenses.com/settings/membros-de-equipe/896224" TargetMode="External"/><Relationship Id="rId541" Type="http://schemas.openxmlformats.org/officeDocument/2006/relationships/hyperlink" Target="https://amp.vexpenses.com/settings/membros-de-equipe/896352" TargetMode="External"/><Relationship Id="rId583" Type="http://schemas.openxmlformats.org/officeDocument/2006/relationships/hyperlink" Target="https://amp.vexpenses.com/settings/membros-de-equipe/1077047" TargetMode="External"/><Relationship Id="rId4" Type="http://schemas.openxmlformats.org/officeDocument/2006/relationships/hyperlink" Target="https://amp.vexpenses.com/settings/membros-de-equipe/895946" TargetMode="External"/><Relationship Id="rId180" Type="http://schemas.openxmlformats.org/officeDocument/2006/relationships/hyperlink" Target="https://amp.vexpenses.com/settings/membros-de-equipe/896087" TargetMode="External"/><Relationship Id="rId236" Type="http://schemas.openxmlformats.org/officeDocument/2006/relationships/hyperlink" Target="https://amp.vexpenses.com/settings/membros-de-equipe/896133" TargetMode="External"/><Relationship Id="rId278" Type="http://schemas.openxmlformats.org/officeDocument/2006/relationships/hyperlink" Target="https://amp.vexpenses.com/settings/membros-de-equipe/1148953" TargetMode="External"/><Relationship Id="rId401" Type="http://schemas.openxmlformats.org/officeDocument/2006/relationships/hyperlink" Target="https://amp.vexpenses.com/settings/membros-de-equipe/917057" TargetMode="External"/><Relationship Id="rId443" Type="http://schemas.openxmlformats.org/officeDocument/2006/relationships/hyperlink" Target="https://amp.vexpenses.com/settings/membros-de-equipe/1042864" TargetMode="External"/><Relationship Id="rId303" Type="http://schemas.openxmlformats.org/officeDocument/2006/relationships/hyperlink" Target="https://amp.vexpenses.com/settings/membros-de-equipe/1088602" TargetMode="External"/><Relationship Id="rId485" Type="http://schemas.openxmlformats.org/officeDocument/2006/relationships/hyperlink" Target="https://amp.vexpenses.com/settings/membros-de-equipe/921795" TargetMode="External"/><Relationship Id="rId42" Type="http://schemas.openxmlformats.org/officeDocument/2006/relationships/hyperlink" Target="https://amp.vexpenses.com/settings/membros-de-equipe/895974" TargetMode="External"/><Relationship Id="rId84" Type="http://schemas.openxmlformats.org/officeDocument/2006/relationships/hyperlink" Target="https://amp.vexpenses.com/settings/membros-de-equipe/896007" TargetMode="External"/><Relationship Id="rId138" Type="http://schemas.openxmlformats.org/officeDocument/2006/relationships/hyperlink" Target="https://amp.vexpenses.com/settings/membros-de-equipe/1077048" TargetMode="External"/><Relationship Id="rId345" Type="http://schemas.openxmlformats.org/officeDocument/2006/relationships/hyperlink" Target="https://amp.vexpenses.com/settings/membros-de-equipe/1010665" TargetMode="External"/><Relationship Id="rId387" Type="http://schemas.openxmlformats.org/officeDocument/2006/relationships/hyperlink" Target="https://amp.vexpenses.com/settings/membros-de-equipe/970758" TargetMode="External"/><Relationship Id="rId510" Type="http://schemas.openxmlformats.org/officeDocument/2006/relationships/hyperlink" Target="https://amp.vexpenses.com/settings/membros-de-equipe/1106584" TargetMode="External"/><Relationship Id="rId552" Type="http://schemas.openxmlformats.org/officeDocument/2006/relationships/hyperlink" Target="https://amp.vexpenses.com/settings/membros-de-equipe/896358" TargetMode="External"/><Relationship Id="rId594" Type="http://schemas.openxmlformats.org/officeDocument/2006/relationships/hyperlink" Target="https://amp.vexpenses.com/settings/membros-de-equipe/896391" TargetMode="External"/><Relationship Id="rId191" Type="http://schemas.openxmlformats.org/officeDocument/2006/relationships/hyperlink" Target="https://amp.vexpenses.com/settings/membros-de-equipe/896095" TargetMode="External"/><Relationship Id="rId205" Type="http://schemas.openxmlformats.org/officeDocument/2006/relationships/hyperlink" Target="https://amp.vexpenses.com/settings/membros-de-equipe/917058" TargetMode="External"/><Relationship Id="rId247" Type="http://schemas.openxmlformats.org/officeDocument/2006/relationships/hyperlink" Target="https://amp.vexpenses.com/settings/membros-de-equipe/896137" TargetMode="External"/><Relationship Id="rId412" Type="http://schemas.openxmlformats.org/officeDocument/2006/relationships/hyperlink" Target="https://amp.vexpenses.com/settings/membros-de-equipe/896251" TargetMode="External"/><Relationship Id="rId107" Type="http://schemas.openxmlformats.org/officeDocument/2006/relationships/hyperlink" Target="https://amp.vexpenses.com/settings/membros-de-equipe/896028" TargetMode="External"/><Relationship Id="rId289" Type="http://schemas.openxmlformats.org/officeDocument/2006/relationships/hyperlink" Target="https://amp.vexpenses.com/settings/membros-de-equipe/1106549" TargetMode="External"/><Relationship Id="rId454" Type="http://schemas.openxmlformats.org/officeDocument/2006/relationships/hyperlink" Target="https://amp.vexpenses.com/settings/membros-de-equipe/921927" TargetMode="External"/><Relationship Id="rId496" Type="http://schemas.openxmlformats.org/officeDocument/2006/relationships/hyperlink" Target="https://amp.vexpenses.com/settings/membros-de-equipe/896314" TargetMode="External"/><Relationship Id="rId11" Type="http://schemas.openxmlformats.org/officeDocument/2006/relationships/hyperlink" Target="https://amp.vexpenses.com/settings/membros-de-equipe/895951" TargetMode="External"/><Relationship Id="rId53" Type="http://schemas.openxmlformats.org/officeDocument/2006/relationships/hyperlink" Target="https://amp.vexpenses.com/settings/membros-de-equipe/895983" TargetMode="External"/><Relationship Id="rId149" Type="http://schemas.openxmlformats.org/officeDocument/2006/relationships/hyperlink" Target="https://amp.vexpenses.com/settings/membros-de-equipe/896064" TargetMode="External"/><Relationship Id="rId314" Type="http://schemas.openxmlformats.org/officeDocument/2006/relationships/hyperlink" Target="https://amp.vexpenses.com/settings/membros-de-equipe/896185" TargetMode="External"/><Relationship Id="rId356" Type="http://schemas.openxmlformats.org/officeDocument/2006/relationships/hyperlink" Target="https://amp.vexpenses.com/settings/membros-de-equipe/1091438" TargetMode="External"/><Relationship Id="rId398" Type="http://schemas.openxmlformats.org/officeDocument/2006/relationships/hyperlink" Target="https://amp.vexpenses.com/settings/membros-de-equipe/896242" TargetMode="External"/><Relationship Id="rId521" Type="http://schemas.openxmlformats.org/officeDocument/2006/relationships/hyperlink" Target="https://amp.vexpenses.com/settings/membros-de-equipe/896357" TargetMode="External"/><Relationship Id="rId563" Type="http://schemas.openxmlformats.org/officeDocument/2006/relationships/hyperlink" Target="https://amp.vexpenses.com/settings/membros-de-equipe/896364" TargetMode="External"/><Relationship Id="rId95" Type="http://schemas.openxmlformats.org/officeDocument/2006/relationships/hyperlink" Target="https://amp.vexpenses.com/settings/membros-de-equipe/896019" TargetMode="External"/><Relationship Id="rId160" Type="http://schemas.openxmlformats.org/officeDocument/2006/relationships/hyperlink" Target="https://amp.vexpenses.com/settings/membros-de-equipe/896074" TargetMode="External"/><Relationship Id="rId216" Type="http://schemas.openxmlformats.org/officeDocument/2006/relationships/hyperlink" Target="https://amp.vexpenses.com/settings/membros-de-equipe/896119" TargetMode="External"/><Relationship Id="rId423" Type="http://schemas.openxmlformats.org/officeDocument/2006/relationships/hyperlink" Target="https://amp.vexpenses.com/settings/membros-de-equipe/896258" TargetMode="External"/><Relationship Id="rId258" Type="http://schemas.openxmlformats.org/officeDocument/2006/relationships/hyperlink" Target="https://amp.vexpenses.com/settings/membros-de-equipe/1055662" TargetMode="External"/><Relationship Id="rId465" Type="http://schemas.openxmlformats.org/officeDocument/2006/relationships/hyperlink" Target="https://amp.vexpenses.com/settings/membros-de-equipe/973950" TargetMode="External"/><Relationship Id="rId22" Type="http://schemas.openxmlformats.org/officeDocument/2006/relationships/hyperlink" Target="https://amp.vexpenses.com/settings/membros-de-equipe/895962" TargetMode="External"/><Relationship Id="rId64" Type="http://schemas.openxmlformats.org/officeDocument/2006/relationships/hyperlink" Target="https://amp.vexpenses.com/settings/membros-de-equipe/895993" TargetMode="External"/><Relationship Id="rId118" Type="http://schemas.openxmlformats.org/officeDocument/2006/relationships/hyperlink" Target="https://amp.vexpenses.com/settings/membros-de-equipe/896037" TargetMode="External"/><Relationship Id="rId325" Type="http://schemas.openxmlformats.org/officeDocument/2006/relationships/hyperlink" Target="https://amp.vexpenses.com/settings/membros-de-equipe/896198" TargetMode="External"/><Relationship Id="rId367" Type="http://schemas.openxmlformats.org/officeDocument/2006/relationships/hyperlink" Target="https://amp.vexpenses.com/settings/membros-de-equipe/923895" TargetMode="External"/><Relationship Id="rId532" Type="http://schemas.openxmlformats.org/officeDocument/2006/relationships/hyperlink" Target="https://amp.vexpenses.com/settings/membros-de-equipe/896342" TargetMode="External"/><Relationship Id="rId574" Type="http://schemas.openxmlformats.org/officeDocument/2006/relationships/hyperlink" Target="https://amp.vexpenses.com/settings/membros-de-equipe/1068619" TargetMode="External"/><Relationship Id="rId171" Type="http://schemas.openxmlformats.org/officeDocument/2006/relationships/hyperlink" Target="https://amp.vexpenses.com/settings/membros-de-equipe/896081" TargetMode="External"/><Relationship Id="rId227" Type="http://schemas.openxmlformats.org/officeDocument/2006/relationships/hyperlink" Target="https://amp.vexpenses.com/settings/membros-de-equipe/896127" TargetMode="External"/><Relationship Id="rId269" Type="http://schemas.openxmlformats.org/officeDocument/2006/relationships/hyperlink" Target="https://amp.vexpenses.com/settings/membros-de-equipe/896153" TargetMode="External"/><Relationship Id="rId434" Type="http://schemas.openxmlformats.org/officeDocument/2006/relationships/hyperlink" Target="https://amp.vexpenses.com/settings/membros-de-equipe/896267" TargetMode="External"/><Relationship Id="rId476" Type="http://schemas.openxmlformats.org/officeDocument/2006/relationships/hyperlink" Target="https://amp.vexpenses.com/settings/membros-de-equipe/896299" TargetMode="External"/><Relationship Id="rId33" Type="http://schemas.openxmlformats.org/officeDocument/2006/relationships/hyperlink" Target="https://amp.vexpenses.com/settings/membros-de-equipe/917318" TargetMode="External"/><Relationship Id="rId129" Type="http://schemas.openxmlformats.org/officeDocument/2006/relationships/hyperlink" Target="https://amp.vexpenses.com/settings/membros-de-equipe/966214" TargetMode="External"/><Relationship Id="rId280" Type="http://schemas.openxmlformats.org/officeDocument/2006/relationships/hyperlink" Target="https://amp.vexpenses.com/settings/membros-de-equipe/1072283" TargetMode="External"/><Relationship Id="rId336" Type="http://schemas.openxmlformats.org/officeDocument/2006/relationships/hyperlink" Target="https://amp.vexpenses.com/settings/membros-de-equipe/1079553" TargetMode="External"/><Relationship Id="rId501" Type="http://schemas.openxmlformats.org/officeDocument/2006/relationships/hyperlink" Target="https://amp.vexpenses.com/settings/membros-de-equipe/950558" TargetMode="External"/><Relationship Id="rId543" Type="http://schemas.openxmlformats.org/officeDocument/2006/relationships/hyperlink" Target="https://amp.vexpenses.com/settings/membros-de-equipe/896353" TargetMode="External"/><Relationship Id="rId75" Type="http://schemas.openxmlformats.org/officeDocument/2006/relationships/hyperlink" Target="https://amp.vexpenses.com/settings/membros-de-equipe/896000" TargetMode="External"/><Relationship Id="rId140" Type="http://schemas.openxmlformats.org/officeDocument/2006/relationships/hyperlink" Target="https://amp.vexpenses.com/settings/membros-de-equipe/896054" TargetMode="External"/><Relationship Id="rId182" Type="http://schemas.openxmlformats.org/officeDocument/2006/relationships/hyperlink" Target="https://amp.vexpenses.com/settings/membros-de-equipe/1072512" TargetMode="External"/><Relationship Id="rId378" Type="http://schemas.openxmlformats.org/officeDocument/2006/relationships/hyperlink" Target="https://amp.vexpenses.com/settings/membros-de-equipe/896225" TargetMode="External"/><Relationship Id="rId403" Type="http://schemas.openxmlformats.org/officeDocument/2006/relationships/hyperlink" Target="https://amp.vexpenses.com/settings/membros-de-equipe/896244" TargetMode="External"/><Relationship Id="rId585" Type="http://schemas.openxmlformats.org/officeDocument/2006/relationships/hyperlink" Target="https://amp.vexpenses.com/settings/membros-de-equipe/896381" TargetMode="External"/><Relationship Id="rId6" Type="http://schemas.openxmlformats.org/officeDocument/2006/relationships/hyperlink" Target="https://amp.vexpenses.com/settings/membros-de-equipe/895947" TargetMode="External"/><Relationship Id="rId238" Type="http://schemas.openxmlformats.org/officeDocument/2006/relationships/hyperlink" Target="https://amp.vexpenses.com/settings/membros-de-equipe/1133218" TargetMode="External"/><Relationship Id="rId445" Type="http://schemas.openxmlformats.org/officeDocument/2006/relationships/hyperlink" Target="https://amp.vexpenses.com/settings/membros-de-equipe/896277" TargetMode="External"/><Relationship Id="rId487" Type="http://schemas.openxmlformats.org/officeDocument/2006/relationships/hyperlink" Target="https://amp.vexpenses.com/settings/membros-de-equipe/996627" TargetMode="External"/><Relationship Id="rId291" Type="http://schemas.openxmlformats.org/officeDocument/2006/relationships/hyperlink" Target="https://amp.vexpenses.com/settings/membros-de-equipe/896166" TargetMode="External"/><Relationship Id="rId305" Type="http://schemas.openxmlformats.org/officeDocument/2006/relationships/hyperlink" Target="https://amp.vexpenses.com/settings/membros-de-equipe/896178" TargetMode="External"/><Relationship Id="rId347" Type="http://schemas.openxmlformats.org/officeDocument/2006/relationships/hyperlink" Target="https://amp.vexpenses.com/settings/membros-de-equipe/896210" TargetMode="External"/><Relationship Id="rId512" Type="http://schemas.openxmlformats.org/officeDocument/2006/relationships/hyperlink" Target="https://amp.vexpenses.com/settings/membros-de-equipe/1110286" TargetMode="External"/><Relationship Id="rId44" Type="http://schemas.openxmlformats.org/officeDocument/2006/relationships/hyperlink" Target="https://amp.vexpenses.com/settings/membros-de-equipe/895977" TargetMode="External"/><Relationship Id="rId86" Type="http://schemas.openxmlformats.org/officeDocument/2006/relationships/hyperlink" Target="https://amp.vexpenses.com/settings/membros-de-equipe/1010642" TargetMode="External"/><Relationship Id="rId151" Type="http://schemas.openxmlformats.org/officeDocument/2006/relationships/hyperlink" Target="https://amp.vexpenses.com/settings/membros-de-equipe/896067" TargetMode="External"/><Relationship Id="rId389" Type="http://schemas.openxmlformats.org/officeDocument/2006/relationships/hyperlink" Target="https://amp.vexpenses.com/settings/membros-de-equipe/896233" TargetMode="External"/><Relationship Id="rId554" Type="http://schemas.openxmlformats.org/officeDocument/2006/relationships/hyperlink" Target="https://amp.vexpenses.com/settings/membros-de-equipe/930440" TargetMode="External"/><Relationship Id="rId596" Type="http://schemas.openxmlformats.org/officeDocument/2006/relationships/hyperlink" Target="https://amp.vexpenses.com/settings/membros-de-equipe/896394" TargetMode="External"/><Relationship Id="rId193" Type="http://schemas.openxmlformats.org/officeDocument/2006/relationships/hyperlink" Target="https://amp.vexpenses.com/settings/membros-de-equipe/1068618" TargetMode="External"/><Relationship Id="rId207" Type="http://schemas.openxmlformats.org/officeDocument/2006/relationships/hyperlink" Target="https://amp.vexpenses.com/settings/membros-de-equipe/927567" TargetMode="External"/><Relationship Id="rId249" Type="http://schemas.openxmlformats.org/officeDocument/2006/relationships/hyperlink" Target="https://amp.vexpenses.com/settings/membros-de-equipe/896138" TargetMode="External"/><Relationship Id="rId414" Type="http://schemas.openxmlformats.org/officeDocument/2006/relationships/hyperlink" Target="https://amp.vexpenses.com/settings/membros-de-equipe/896252" TargetMode="External"/><Relationship Id="rId456" Type="http://schemas.openxmlformats.org/officeDocument/2006/relationships/hyperlink" Target="https://amp.vexpenses.com/settings/membros-de-equipe/896288" TargetMode="External"/><Relationship Id="rId498" Type="http://schemas.openxmlformats.org/officeDocument/2006/relationships/hyperlink" Target="https://amp.vexpenses.com/settings/membros-de-equipe/896315" TargetMode="External"/><Relationship Id="rId13" Type="http://schemas.openxmlformats.org/officeDocument/2006/relationships/hyperlink" Target="https://amp.vexpenses.com/settings/membros-de-equipe/895954" TargetMode="External"/><Relationship Id="rId109" Type="http://schemas.openxmlformats.org/officeDocument/2006/relationships/hyperlink" Target="https://amp.vexpenses.com/settings/membros-de-equipe/896031" TargetMode="External"/><Relationship Id="rId260" Type="http://schemas.openxmlformats.org/officeDocument/2006/relationships/hyperlink" Target="https://amp.vexpenses.com/settings/membros-de-equipe/958951" TargetMode="External"/><Relationship Id="rId316" Type="http://schemas.openxmlformats.org/officeDocument/2006/relationships/hyperlink" Target="https://amp.vexpenses.com/settings/membros-de-equipe/896188" TargetMode="External"/><Relationship Id="rId523" Type="http://schemas.openxmlformats.org/officeDocument/2006/relationships/hyperlink" Target="https://amp.vexpenses.com/settings/membros-de-equipe/928097" TargetMode="External"/><Relationship Id="rId55" Type="http://schemas.openxmlformats.org/officeDocument/2006/relationships/hyperlink" Target="https://amp.vexpenses.com/settings/membros-de-equipe/895985" TargetMode="External"/><Relationship Id="rId97" Type="http://schemas.openxmlformats.org/officeDocument/2006/relationships/hyperlink" Target="https://amp.vexpenses.com/settings/membros-de-equipe/896020" TargetMode="External"/><Relationship Id="rId120" Type="http://schemas.openxmlformats.org/officeDocument/2006/relationships/hyperlink" Target="https://amp.vexpenses.com/settings/membros-de-equipe/896040" TargetMode="External"/><Relationship Id="rId358" Type="http://schemas.openxmlformats.org/officeDocument/2006/relationships/hyperlink" Target="https://amp.vexpenses.com/settings/membros-de-equipe/896217" TargetMode="External"/><Relationship Id="rId565" Type="http://schemas.openxmlformats.org/officeDocument/2006/relationships/hyperlink" Target="https://amp.vexpenses.com/settings/membros-de-equipe/917052" TargetMode="External"/><Relationship Id="rId162" Type="http://schemas.openxmlformats.org/officeDocument/2006/relationships/hyperlink" Target="https://amp.vexpenses.com/settings/membros-de-equipe/915374" TargetMode="External"/><Relationship Id="rId218" Type="http://schemas.openxmlformats.org/officeDocument/2006/relationships/hyperlink" Target="https://amp.vexpenses.com/settings/membros-de-equipe/896120" TargetMode="External"/><Relationship Id="rId425" Type="http://schemas.openxmlformats.org/officeDocument/2006/relationships/hyperlink" Target="https://amp.vexpenses.com/settings/membros-de-equipe/1109482" TargetMode="External"/><Relationship Id="rId467" Type="http://schemas.openxmlformats.org/officeDocument/2006/relationships/hyperlink" Target="https://amp.vexpenses.com/settings/membros-de-equipe/896296" TargetMode="External"/><Relationship Id="rId271" Type="http://schemas.openxmlformats.org/officeDocument/2006/relationships/hyperlink" Target="https://amp.vexpenses.com/settings/membros-de-equipe/1119271" TargetMode="External"/><Relationship Id="rId24" Type="http://schemas.openxmlformats.org/officeDocument/2006/relationships/hyperlink" Target="https://amp.vexpenses.com/settings/membros-de-equipe/895963" TargetMode="External"/><Relationship Id="rId66" Type="http://schemas.openxmlformats.org/officeDocument/2006/relationships/hyperlink" Target="https://amp.vexpenses.com/settings/membros-de-equipe/982780" TargetMode="External"/><Relationship Id="rId131" Type="http://schemas.openxmlformats.org/officeDocument/2006/relationships/hyperlink" Target="https://amp.vexpenses.com/settings/membros-de-equipe/985850" TargetMode="External"/><Relationship Id="rId327" Type="http://schemas.openxmlformats.org/officeDocument/2006/relationships/hyperlink" Target="https://amp.vexpenses.com/settings/membros-de-equipe/896200" TargetMode="External"/><Relationship Id="rId369" Type="http://schemas.openxmlformats.org/officeDocument/2006/relationships/hyperlink" Target="https://amp.vexpenses.com/settings/membros-de-equipe/896222" TargetMode="External"/><Relationship Id="rId534" Type="http://schemas.openxmlformats.org/officeDocument/2006/relationships/hyperlink" Target="https://amp.vexpenses.com/settings/membros-de-equipe/896344" TargetMode="External"/><Relationship Id="rId576" Type="http://schemas.openxmlformats.org/officeDocument/2006/relationships/hyperlink" Target="https://amp.vexpenses.com/settings/membros-de-equipe/1073268" TargetMode="External"/><Relationship Id="rId173" Type="http://schemas.openxmlformats.org/officeDocument/2006/relationships/hyperlink" Target="https://amp.vexpenses.com/settings/membros-de-equipe/1079003" TargetMode="External"/><Relationship Id="rId229" Type="http://schemas.openxmlformats.org/officeDocument/2006/relationships/hyperlink" Target="https://amp.vexpenses.com/settings/membros-de-equipe/1033564" TargetMode="External"/><Relationship Id="rId380" Type="http://schemas.openxmlformats.org/officeDocument/2006/relationships/hyperlink" Target="https://amp.vexpenses.com/settings/membros-de-equipe/925993" TargetMode="External"/><Relationship Id="rId436" Type="http://schemas.openxmlformats.org/officeDocument/2006/relationships/hyperlink" Target="https://amp.vexpenses.com/settings/membros-de-equipe/896269" TargetMode="External"/><Relationship Id="rId240" Type="http://schemas.openxmlformats.org/officeDocument/2006/relationships/hyperlink" Target="https://amp.vexpenses.com/settings/membros-de-equipe/922784" TargetMode="External"/><Relationship Id="rId478" Type="http://schemas.openxmlformats.org/officeDocument/2006/relationships/hyperlink" Target="https://amp.vexpenses.com/settings/membros-de-equipe/896300" TargetMode="External"/><Relationship Id="rId35" Type="http://schemas.openxmlformats.org/officeDocument/2006/relationships/hyperlink" Target="https://amp.vexpenses.com/settings/membros-de-equipe/1106575" TargetMode="External"/><Relationship Id="rId77" Type="http://schemas.openxmlformats.org/officeDocument/2006/relationships/hyperlink" Target="https://amp.vexpenses.com/settings/membros-de-equipe/1017677" TargetMode="External"/><Relationship Id="rId100" Type="http://schemas.openxmlformats.org/officeDocument/2006/relationships/hyperlink" Target="https://amp.vexpenses.com/settings/membros-de-equipe/896023" TargetMode="External"/><Relationship Id="rId282" Type="http://schemas.openxmlformats.org/officeDocument/2006/relationships/hyperlink" Target="https://amp.vexpenses.com/settings/membros-de-equipe/896161" TargetMode="External"/><Relationship Id="rId338" Type="http://schemas.openxmlformats.org/officeDocument/2006/relationships/hyperlink" Target="https://amp.vexpenses.com/settings/membros-de-equipe/998959" TargetMode="External"/><Relationship Id="rId503" Type="http://schemas.openxmlformats.org/officeDocument/2006/relationships/hyperlink" Target="https://amp.vexpenses.com/settings/membros-de-equipe/896317" TargetMode="External"/><Relationship Id="rId545" Type="http://schemas.openxmlformats.org/officeDocument/2006/relationships/hyperlink" Target="https://amp.vexpenses.com/settings/membros-de-equipe/1117262" TargetMode="External"/><Relationship Id="rId587" Type="http://schemas.openxmlformats.org/officeDocument/2006/relationships/hyperlink" Target="https://amp.vexpenses.com/settings/membros-de-equipe/1149023" TargetMode="External"/><Relationship Id="rId8" Type="http://schemas.openxmlformats.org/officeDocument/2006/relationships/hyperlink" Target="https://amp.vexpenses.com/settings/membros-de-equipe/895949" TargetMode="External"/><Relationship Id="rId142" Type="http://schemas.openxmlformats.org/officeDocument/2006/relationships/hyperlink" Target="https://amp.vexpenses.com/settings/membros-de-equipe/896057" TargetMode="External"/><Relationship Id="rId184" Type="http://schemas.openxmlformats.org/officeDocument/2006/relationships/hyperlink" Target="https://amp.vexpenses.com/settings/membros-de-equipe/1071875" TargetMode="External"/><Relationship Id="rId391" Type="http://schemas.openxmlformats.org/officeDocument/2006/relationships/hyperlink" Target="https://amp.vexpenses.com/settings/membros-de-equipe/896235" TargetMode="External"/><Relationship Id="rId405" Type="http://schemas.openxmlformats.org/officeDocument/2006/relationships/hyperlink" Target="https://amp.vexpenses.com/settings/membros-de-equipe/948926" TargetMode="External"/><Relationship Id="rId447" Type="http://schemas.openxmlformats.org/officeDocument/2006/relationships/hyperlink" Target="https://amp.vexpenses.com/settings/membros-de-equipe/1063494" TargetMode="External"/><Relationship Id="rId251" Type="http://schemas.openxmlformats.org/officeDocument/2006/relationships/hyperlink" Target="https://amp.vexpenses.com/settings/membros-de-equipe/896140" TargetMode="External"/><Relationship Id="rId489" Type="http://schemas.openxmlformats.org/officeDocument/2006/relationships/hyperlink" Target="https://amp.vexpenses.com/settings/membros-de-equipe/1100042" TargetMode="External"/><Relationship Id="rId46" Type="http://schemas.openxmlformats.org/officeDocument/2006/relationships/hyperlink" Target="https://amp.vexpenses.com/settings/membros-de-equipe/1054492" TargetMode="External"/><Relationship Id="rId293" Type="http://schemas.openxmlformats.org/officeDocument/2006/relationships/hyperlink" Target="https://amp.vexpenses.com/settings/membros-de-equipe/999216" TargetMode="External"/><Relationship Id="rId307" Type="http://schemas.openxmlformats.org/officeDocument/2006/relationships/hyperlink" Target="https://amp.vexpenses.com/settings/membros-de-equipe/896180" TargetMode="External"/><Relationship Id="rId349" Type="http://schemas.openxmlformats.org/officeDocument/2006/relationships/hyperlink" Target="https://amp.vexpenses.com/settings/membros-de-equipe/922276" TargetMode="External"/><Relationship Id="rId514" Type="http://schemas.openxmlformats.org/officeDocument/2006/relationships/hyperlink" Target="https://amp.vexpenses.com/settings/membros-de-equipe/896329" TargetMode="External"/><Relationship Id="rId556" Type="http://schemas.openxmlformats.org/officeDocument/2006/relationships/hyperlink" Target="https://amp.vexpenses.com/settings/membros-de-equipe/1060225" TargetMode="External"/><Relationship Id="rId88" Type="http://schemas.openxmlformats.org/officeDocument/2006/relationships/hyperlink" Target="https://amp.vexpenses.com/settings/membros-de-equipe/896010" TargetMode="External"/><Relationship Id="rId111" Type="http://schemas.openxmlformats.org/officeDocument/2006/relationships/hyperlink" Target="https://amp.vexpenses.com/settings/membros-de-equipe/930403" TargetMode="External"/><Relationship Id="rId153" Type="http://schemas.openxmlformats.org/officeDocument/2006/relationships/hyperlink" Target="https://amp.vexpenses.com/settings/membros-de-equipe/896069" TargetMode="External"/><Relationship Id="rId195" Type="http://schemas.openxmlformats.org/officeDocument/2006/relationships/hyperlink" Target="https://amp.vexpenses.com/settings/membros-de-equipe/896099" TargetMode="External"/><Relationship Id="rId209" Type="http://schemas.openxmlformats.org/officeDocument/2006/relationships/hyperlink" Target="https://amp.vexpenses.com/settings/membros-de-equipe/930400" TargetMode="External"/><Relationship Id="rId360" Type="http://schemas.openxmlformats.org/officeDocument/2006/relationships/hyperlink" Target="https://amp.vexpenses.com/settings/membros-de-equipe/916906" TargetMode="External"/><Relationship Id="rId416" Type="http://schemas.openxmlformats.org/officeDocument/2006/relationships/hyperlink" Target="https://amp.vexpenses.com/settings/membros-de-equipe/1001913" TargetMode="External"/><Relationship Id="rId598" Type="http://schemas.openxmlformats.org/officeDocument/2006/relationships/hyperlink" Target="https://amp.vexpenses.com/settings/membros-de-equipe/1056326" TargetMode="External"/><Relationship Id="rId220" Type="http://schemas.openxmlformats.org/officeDocument/2006/relationships/hyperlink" Target="https://amp.vexpenses.com/settings/membros-de-equipe/916905" TargetMode="External"/><Relationship Id="rId458" Type="http://schemas.openxmlformats.org/officeDocument/2006/relationships/hyperlink" Target="https://amp.vexpenses.com/settings/membros-de-equipe/896289" TargetMode="External"/><Relationship Id="rId15" Type="http://schemas.openxmlformats.org/officeDocument/2006/relationships/hyperlink" Target="https://amp.vexpenses.com/settings/membros-de-equipe/895956" TargetMode="External"/><Relationship Id="rId57" Type="http://schemas.openxmlformats.org/officeDocument/2006/relationships/hyperlink" Target="https://amp.vexpenses.com/settings/membros-de-equipe/895986" TargetMode="External"/><Relationship Id="rId262" Type="http://schemas.openxmlformats.org/officeDocument/2006/relationships/hyperlink" Target="https://amp.vexpenses.com/settings/membros-de-equipe/896148" TargetMode="External"/><Relationship Id="rId318" Type="http://schemas.openxmlformats.org/officeDocument/2006/relationships/hyperlink" Target="https://amp.vexpenses.com/settings/membros-de-equipe/896189" TargetMode="External"/><Relationship Id="rId525" Type="http://schemas.openxmlformats.org/officeDocument/2006/relationships/hyperlink" Target="https://amp.vexpenses.com/settings/membros-de-equipe/917059" TargetMode="External"/><Relationship Id="rId567" Type="http://schemas.openxmlformats.org/officeDocument/2006/relationships/hyperlink" Target="https://amp.vexpenses.com/settings/membros-de-equipe/896367" TargetMode="External"/><Relationship Id="rId99" Type="http://schemas.openxmlformats.org/officeDocument/2006/relationships/hyperlink" Target="https://amp.vexpenses.com/settings/membros-de-equipe/999640" TargetMode="External"/><Relationship Id="rId122" Type="http://schemas.openxmlformats.org/officeDocument/2006/relationships/hyperlink" Target="https://amp.vexpenses.com/settings/membros-de-equipe/896419" TargetMode="External"/><Relationship Id="rId164" Type="http://schemas.openxmlformats.org/officeDocument/2006/relationships/hyperlink" Target="https://amp.vexpenses.com/settings/membros-de-equipe/896077" TargetMode="External"/><Relationship Id="rId371" Type="http://schemas.openxmlformats.org/officeDocument/2006/relationships/hyperlink" Target="https://amp.vexpenses.com/settings/membros-de-equipe/979939" TargetMode="External"/><Relationship Id="rId427" Type="http://schemas.openxmlformats.org/officeDocument/2006/relationships/hyperlink" Target="https://amp.vexpenses.com/settings/membros-de-equipe/896262" TargetMode="External"/><Relationship Id="rId469" Type="http://schemas.openxmlformats.org/officeDocument/2006/relationships/hyperlink" Target="https://amp.vexpenses.com/settings/membros-de-equipe/1063495" TargetMode="External"/><Relationship Id="rId26" Type="http://schemas.openxmlformats.org/officeDocument/2006/relationships/hyperlink" Target="https://amp.vexpenses.com/settings/membros-de-equipe/1071873" TargetMode="External"/><Relationship Id="rId231" Type="http://schemas.openxmlformats.org/officeDocument/2006/relationships/hyperlink" Target="https://amp.vexpenses.com/settings/membros-de-equipe/896132" TargetMode="External"/><Relationship Id="rId273" Type="http://schemas.openxmlformats.org/officeDocument/2006/relationships/hyperlink" Target="https://amp.vexpenses.com/settings/membros-de-equipe/896157" TargetMode="External"/><Relationship Id="rId329" Type="http://schemas.openxmlformats.org/officeDocument/2006/relationships/hyperlink" Target="https://amp.vexpenses.com/settings/membros-de-equipe/946419" TargetMode="External"/><Relationship Id="rId480" Type="http://schemas.openxmlformats.org/officeDocument/2006/relationships/hyperlink" Target="https://amp.vexpenses.com/settings/membros-de-equipe/896302" TargetMode="External"/><Relationship Id="rId536" Type="http://schemas.openxmlformats.org/officeDocument/2006/relationships/hyperlink" Target="https://amp.vexpenses.com/settings/membros-de-equipe/1100086" TargetMode="External"/><Relationship Id="rId68" Type="http://schemas.openxmlformats.org/officeDocument/2006/relationships/hyperlink" Target="https://amp.vexpenses.com/settings/membros-de-equipe/1083302" TargetMode="External"/><Relationship Id="rId133" Type="http://schemas.openxmlformats.org/officeDocument/2006/relationships/hyperlink" Target="https://amp.vexpenses.com/settings/membros-de-equipe/1033724" TargetMode="External"/><Relationship Id="rId175" Type="http://schemas.openxmlformats.org/officeDocument/2006/relationships/hyperlink" Target="https://amp.vexpenses.com/settings/membros-de-equipe/1109486" TargetMode="External"/><Relationship Id="rId340" Type="http://schemas.openxmlformats.org/officeDocument/2006/relationships/hyperlink" Target="https://amp.vexpenses.com/settings/membros-de-equipe/1106567" TargetMode="External"/><Relationship Id="rId578" Type="http://schemas.openxmlformats.org/officeDocument/2006/relationships/hyperlink" Target="https://amp.vexpenses.com/settings/membros-de-equipe/917368" TargetMode="External"/><Relationship Id="rId200" Type="http://schemas.openxmlformats.org/officeDocument/2006/relationships/hyperlink" Target="https://amp.vexpenses.com/settings/membros-de-equipe/896104" TargetMode="External"/><Relationship Id="rId382" Type="http://schemas.openxmlformats.org/officeDocument/2006/relationships/hyperlink" Target="https://amp.vexpenses.com/settings/membros-de-equipe/896228" TargetMode="External"/><Relationship Id="rId438" Type="http://schemas.openxmlformats.org/officeDocument/2006/relationships/hyperlink" Target="https://amp.vexpenses.com/settings/membros-de-equipe/896270" TargetMode="External"/><Relationship Id="rId242" Type="http://schemas.openxmlformats.org/officeDocument/2006/relationships/hyperlink" Target="https://amp.vexpenses.com/settings/membros-de-equipe/1147591" TargetMode="External"/><Relationship Id="rId284" Type="http://schemas.openxmlformats.org/officeDocument/2006/relationships/hyperlink" Target="https://amp.vexpenses.com/settings/membros-de-equipe/896163" TargetMode="External"/><Relationship Id="rId491" Type="http://schemas.openxmlformats.org/officeDocument/2006/relationships/hyperlink" Target="https://amp.vexpenses.com/settings/membros-de-equipe/896308" TargetMode="External"/><Relationship Id="rId505" Type="http://schemas.openxmlformats.org/officeDocument/2006/relationships/hyperlink" Target="https://amp.vexpenses.com/settings/membros-de-equipe/896319" TargetMode="External"/><Relationship Id="rId37" Type="http://schemas.openxmlformats.org/officeDocument/2006/relationships/hyperlink" Target="https://amp.vexpenses.com/settings/membros-de-equipe/918852" TargetMode="External"/><Relationship Id="rId79" Type="http://schemas.openxmlformats.org/officeDocument/2006/relationships/hyperlink" Target="https://amp.vexpenses.com/settings/membros-de-equipe/896003" TargetMode="External"/><Relationship Id="rId102" Type="http://schemas.openxmlformats.org/officeDocument/2006/relationships/hyperlink" Target="https://amp.vexpenses.com/settings/membros-de-equipe/1079004" TargetMode="External"/><Relationship Id="rId144" Type="http://schemas.openxmlformats.org/officeDocument/2006/relationships/hyperlink" Target="https://amp.vexpenses.com/settings/membros-de-equipe/896059" TargetMode="External"/><Relationship Id="rId547" Type="http://schemas.openxmlformats.org/officeDocument/2006/relationships/hyperlink" Target="https://amp.vexpenses.com/settings/membros-de-equipe/920862" TargetMode="External"/><Relationship Id="rId589" Type="http://schemas.openxmlformats.org/officeDocument/2006/relationships/hyperlink" Target="https://amp.vexpenses.com/settings/membros-de-equipe/896387" TargetMode="External"/><Relationship Id="rId90" Type="http://schemas.openxmlformats.org/officeDocument/2006/relationships/hyperlink" Target="https://amp.vexpenses.com/settings/membros-de-equipe/896012" TargetMode="External"/><Relationship Id="rId186" Type="http://schemas.openxmlformats.org/officeDocument/2006/relationships/hyperlink" Target="https://amp.vexpenses.com/settings/membros-de-equipe/917078" TargetMode="External"/><Relationship Id="rId351" Type="http://schemas.openxmlformats.org/officeDocument/2006/relationships/hyperlink" Target="https://amp.vexpenses.com/settings/membros-de-equipe/896213" TargetMode="External"/><Relationship Id="rId393" Type="http://schemas.openxmlformats.org/officeDocument/2006/relationships/hyperlink" Target="https://amp.vexpenses.com/settings/membros-de-equipe/896237" TargetMode="External"/><Relationship Id="rId407" Type="http://schemas.openxmlformats.org/officeDocument/2006/relationships/hyperlink" Target="https://amp.vexpenses.com/settings/membros-de-equipe/896246" TargetMode="External"/><Relationship Id="rId449" Type="http://schemas.openxmlformats.org/officeDocument/2006/relationships/hyperlink" Target="https://amp.vexpenses.com/settings/membros-de-equipe/896282" TargetMode="External"/><Relationship Id="rId211" Type="http://schemas.openxmlformats.org/officeDocument/2006/relationships/hyperlink" Target="https://amp.vexpenses.com/settings/membros-de-equipe/1064227" TargetMode="External"/><Relationship Id="rId253" Type="http://schemas.openxmlformats.org/officeDocument/2006/relationships/hyperlink" Target="https://amp.vexpenses.com/settings/membros-de-equipe/896142" TargetMode="External"/><Relationship Id="rId295" Type="http://schemas.openxmlformats.org/officeDocument/2006/relationships/hyperlink" Target="https://amp.vexpenses.com/settings/membros-de-equipe/896168" TargetMode="External"/><Relationship Id="rId309" Type="http://schemas.openxmlformats.org/officeDocument/2006/relationships/hyperlink" Target="https://amp.vexpenses.com/settings/membros-de-equipe/1063490" TargetMode="External"/><Relationship Id="rId460" Type="http://schemas.openxmlformats.org/officeDocument/2006/relationships/hyperlink" Target="https://amp.vexpenses.com/settings/membros-de-equipe/896291" TargetMode="External"/><Relationship Id="rId516" Type="http://schemas.openxmlformats.org/officeDocument/2006/relationships/hyperlink" Target="https://amp.vexpenses.com/settings/membros-de-equipe/963612" TargetMode="External"/><Relationship Id="rId48" Type="http://schemas.openxmlformats.org/officeDocument/2006/relationships/hyperlink" Target="https://amp.vexpenses.com/settings/membros-de-equipe/1040950" TargetMode="External"/><Relationship Id="rId113" Type="http://schemas.openxmlformats.org/officeDocument/2006/relationships/hyperlink" Target="https://amp.vexpenses.com/settings/membros-de-equipe/1147652" TargetMode="External"/><Relationship Id="rId320" Type="http://schemas.openxmlformats.org/officeDocument/2006/relationships/hyperlink" Target="https://amp.vexpenses.com/settings/membros-de-equipe/958523" TargetMode="External"/><Relationship Id="rId558" Type="http://schemas.openxmlformats.org/officeDocument/2006/relationships/hyperlink" Target="https://amp.vexpenses.com/settings/membros-de-equipe/896360" TargetMode="External"/><Relationship Id="rId155" Type="http://schemas.openxmlformats.org/officeDocument/2006/relationships/hyperlink" Target="https://amp.vexpenses.com/settings/membros-de-equipe/896070" TargetMode="External"/><Relationship Id="rId197" Type="http://schemas.openxmlformats.org/officeDocument/2006/relationships/hyperlink" Target="https://amp.vexpenses.com/settings/membros-de-equipe/961342" TargetMode="External"/><Relationship Id="rId362" Type="http://schemas.openxmlformats.org/officeDocument/2006/relationships/hyperlink" Target="https://amp.vexpenses.com/settings/membros-de-equipe/896219" TargetMode="External"/><Relationship Id="rId418" Type="http://schemas.openxmlformats.org/officeDocument/2006/relationships/hyperlink" Target="https://amp.vexpenses.com/settings/membros-de-equipe/1068608" TargetMode="External"/><Relationship Id="rId222" Type="http://schemas.openxmlformats.org/officeDocument/2006/relationships/hyperlink" Target="https://amp.vexpenses.com/settings/membros-de-equipe/896123" TargetMode="External"/><Relationship Id="rId264" Type="http://schemas.openxmlformats.org/officeDocument/2006/relationships/hyperlink" Target="https://amp.vexpenses.com/settings/membros-de-equipe/1090880" TargetMode="External"/><Relationship Id="rId471" Type="http://schemas.openxmlformats.org/officeDocument/2006/relationships/hyperlink" Target="https://amp.vexpenses.com/settings/membros-de-equipe/1054503" TargetMode="External"/><Relationship Id="rId17" Type="http://schemas.openxmlformats.org/officeDocument/2006/relationships/hyperlink" Target="https://amp.vexpenses.com/settings/membros-de-equipe/916910" TargetMode="External"/><Relationship Id="rId59" Type="http://schemas.openxmlformats.org/officeDocument/2006/relationships/hyperlink" Target="https://amp.vexpenses.com/settings/membros-de-equipe/895988" TargetMode="External"/><Relationship Id="rId124" Type="http://schemas.openxmlformats.org/officeDocument/2006/relationships/hyperlink" Target="https://amp.vexpenses.com/settings/membros-de-equipe/896044" TargetMode="External"/><Relationship Id="rId527" Type="http://schemas.openxmlformats.org/officeDocument/2006/relationships/hyperlink" Target="https://amp.vexpenses.com/settings/membros-de-equipe/1083299" TargetMode="External"/><Relationship Id="rId569" Type="http://schemas.openxmlformats.org/officeDocument/2006/relationships/hyperlink" Target="https://amp.vexpenses.com/settings/membros-de-equipe/1023079" TargetMode="External"/><Relationship Id="rId70" Type="http://schemas.openxmlformats.org/officeDocument/2006/relationships/hyperlink" Target="https://amp.vexpenses.com/settings/membros-de-equipe/973987" TargetMode="External"/><Relationship Id="rId166" Type="http://schemas.openxmlformats.org/officeDocument/2006/relationships/hyperlink" Target="https://amp.vexpenses.com/settings/membros-de-equipe/946535" TargetMode="External"/><Relationship Id="rId331" Type="http://schemas.openxmlformats.org/officeDocument/2006/relationships/hyperlink" Target="https://amp.vexpenses.com/settings/membros-de-equipe/896204" TargetMode="External"/><Relationship Id="rId373" Type="http://schemas.openxmlformats.org/officeDocument/2006/relationships/hyperlink" Target="https://amp.vexpenses.com/settings/membros-de-equipe/917361" TargetMode="External"/><Relationship Id="rId429" Type="http://schemas.openxmlformats.org/officeDocument/2006/relationships/hyperlink" Target="https://amp.vexpenses.com/settings/membros-de-equipe/896264" TargetMode="External"/><Relationship Id="rId580" Type="http://schemas.openxmlformats.org/officeDocument/2006/relationships/hyperlink" Target="https://amp.vexpenses.com/settings/membros-de-equipe/896376" TargetMode="External"/><Relationship Id="rId1" Type="http://schemas.openxmlformats.org/officeDocument/2006/relationships/hyperlink" Target="https://amp.vexpenses.com/settings/membros-de-equipe/895944" TargetMode="External"/><Relationship Id="rId233" Type="http://schemas.openxmlformats.org/officeDocument/2006/relationships/hyperlink" Target="https://amp.vexpenses.com/settings/membros-de-equipe/1116216" TargetMode="External"/><Relationship Id="rId440" Type="http://schemas.openxmlformats.org/officeDocument/2006/relationships/hyperlink" Target="https://amp.vexpenses.com/settings/membros-de-equipe/896272" TargetMode="External"/><Relationship Id="rId28" Type="http://schemas.openxmlformats.org/officeDocument/2006/relationships/hyperlink" Target="https://amp.vexpenses.com/settings/membros-de-equipe/917314" TargetMode="External"/><Relationship Id="rId275" Type="http://schemas.openxmlformats.org/officeDocument/2006/relationships/hyperlink" Target="https://amp.vexpenses.com/settings/membros-de-equipe/931414" TargetMode="External"/><Relationship Id="rId300" Type="http://schemas.openxmlformats.org/officeDocument/2006/relationships/hyperlink" Target="https://amp.vexpenses.com/settings/membros-de-equipe/896174" TargetMode="External"/><Relationship Id="rId482" Type="http://schemas.openxmlformats.org/officeDocument/2006/relationships/hyperlink" Target="https://amp.vexpenses.com/settings/membros-de-equipe/896303" TargetMode="External"/><Relationship Id="rId538" Type="http://schemas.openxmlformats.org/officeDocument/2006/relationships/hyperlink" Target="https://amp.vexpenses.com/settings/membros-de-equipe/896348" TargetMode="External"/><Relationship Id="rId81" Type="http://schemas.openxmlformats.org/officeDocument/2006/relationships/hyperlink" Target="https://amp.vexpenses.com/settings/membros-de-equipe/896004" TargetMode="External"/><Relationship Id="rId135" Type="http://schemas.openxmlformats.org/officeDocument/2006/relationships/hyperlink" Target="https://amp.vexpenses.com/settings/membros-de-equipe/896051" TargetMode="External"/><Relationship Id="rId177" Type="http://schemas.openxmlformats.org/officeDocument/2006/relationships/hyperlink" Target="https://amp.vexpenses.com/settings/membros-de-equipe/896085" TargetMode="External"/><Relationship Id="rId342" Type="http://schemas.openxmlformats.org/officeDocument/2006/relationships/hyperlink" Target="https://amp.vexpenses.com/settings/membros-de-equipe/1117250" TargetMode="External"/><Relationship Id="rId384" Type="http://schemas.openxmlformats.org/officeDocument/2006/relationships/hyperlink" Target="https://amp.vexpenses.com/settings/membros-de-equipe/896230" TargetMode="External"/><Relationship Id="rId591" Type="http://schemas.openxmlformats.org/officeDocument/2006/relationships/hyperlink" Target="https://amp.vexpenses.com/settings/membros-de-equipe/896389" TargetMode="External"/><Relationship Id="rId202" Type="http://schemas.openxmlformats.org/officeDocument/2006/relationships/hyperlink" Target="https://amp.vexpenses.com/settings/membros-de-equipe/1142235" TargetMode="External"/><Relationship Id="rId244" Type="http://schemas.openxmlformats.org/officeDocument/2006/relationships/hyperlink" Target="https://amp.vexpenses.com/settings/membros-de-equipe/896135" TargetMode="External"/><Relationship Id="rId39" Type="http://schemas.openxmlformats.org/officeDocument/2006/relationships/hyperlink" Target="https://amp.vexpenses.com/settings/membros-de-equipe/1063505" TargetMode="External"/><Relationship Id="rId286" Type="http://schemas.openxmlformats.org/officeDocument/2006/relationships/hyperlink" Target="https://amp.vexpenses.com/settings/membros-de-equipe/986346" TargetMode="External"/><Relationship Id="rId451" Type="http://schemas.openxmlformats.org/officeDocument/2006/relationships/hyperlink" Target="https://amp.vexpenses.com/settings/membros-de-equipe/896284" TargetMode="External"/><Relationship Id="rId493" Type="http://schemas.openxmlformats.org/officeDocument/2006/relationships/hyperlink" Target="https://amp.vexpenses.com/settings/membros-de-equipe/1025223" TargetMode="External"/><Relationship Id="rId507" Type="http://schemas.openxmlformats.org/officeDocument/2006/relationships/hyperlink" Target="https://amp.vexpenses.com/settings/membros-de-equipe/896322" TargetMode="External"/><Relationship Id="rId549" Type="http://schemas.openxmlformats.org/officeDocument/2006/relationships/hyperlink" Target="https://amp.vexpenses.com/settings/membros-de-equipe/917051" TargetMode="External"/><Relationship Id="rId50" Type="http://schemas.openxmlformats.org/officeDocument/2006/relationships/hyperlink" Target="https://amp.vexpenses.com/settings/membros-de-equipe/1059840" TargetMode="External"/><Relationship Id="rId104" Type="http://schemas.openxmlformats.org/officeDocument/2006/relationships/hyperlink" Target="https://amp.vexpenses.com/settings/membros-de-equipe/896025" TargetMode="External"/><Relationship Id="rId146" Type="http://schemas.openxmlformats.org/officeDocument/2006/relationships/hyperlink" Target="https://amp.vexpenses.com/settings/membros-de-equipe/974110" TargetMode="External"/><Relationship Id="rId188" Type="http://schemas.openxmlformats.org/officeDocument/2006/relationships/hyperlink" Target="https://amp.vexpenses.com/settings/membros-de-equipe/896092" TargetMode="External"/><Relationship Id="rId311" Type="http://schemas.openxmlformats.org/officeDocument/2006/relationships/hyperlink" Target="https://amp.vexpenses.com/settings/membros-de-equipe/896183" TargetMode="External"/><Relationship Id="rId353" Type="http://schemas.openxmlformats.org/officeDocument/2006/relationships/hyperlink" Target="https://amp.vexpenses.com/settings/membros-de-equipe/917049" TargetMode="External"/><Relationship Id="rId395" Type="http://schemas.openxmlformats.org/officeDocument/2006/relationships/hyperlink" Target="https://amp.vexpenses.com/settings/membros-de-equipe/896238" TargetMode="External"/><Relationship Id="rId409" Type="http://schemas.openxmlformats.org/officeDocument/2006/relationships/hyperlink" Target="https://amp.vexpenses.com/settings/membros-de-equipe/896249" TargetMode="External"/><Relationship Id="rId560" Type="http://schemas.openxmlformats.org/officeDocument/2006/relationships/hyperlink" Target="https://amp.vexpenses.com/settings/membros-de-equipe/920855" TargetMode="External"/><Relationship Id="rId92" Type="http://schemas.openxmlformats.org/officeDocument/2006/relationships/hyperlink" Target="https://amp.vexpenses.com/settings/membros-de-equipe/930924" TargetMode="External"/><Relationship Id="rId213" Type="http://schemas.openxmlformats.org/officeDocument/2006/relationships/hyperlink" Target="https://amp.vexpenses.com/settings/membros-de-equipe/896421" TargetMode="External"/><Relationship Id="rId420" Type="http://schemas.openxmlformats.org/officeDocument/2006/relationships/hyperlink" Target="https://amp.vexpenses.com/settings/membros-de-equipe/896255" TargetMode="External"/><Relationship Id="rId255" Type="http://schemas.openxmlformats.org/officeDocument/2006/relationships/hyperlink" Target="https://amp.vexpenses.com/settings/membros-de-equipe/923893" TargetMode="External"/><Relationship Id="rId297" Type="http://schemas.openxmlformats.org/officeDocument/2006/relationships/hyperlink" Target="https://amp.vexpenses.com/settings/membros-de-equipe/896171" TargetMode="External"/><Relationship Id="rId462" Type="http://schemas.openxmlformats.org/officeDocument/2006/relationships/hyperlink" Target="https://amp.vexpenses.com/settings/membros-de-equipe/896293" TargetMode="External"/><Relationship Id="rId518" Type="http://schemas.openxmlformats.org/officeDocument/2006/relationships/hyperlink" Target="https://amp.vexpenses.com/settings/membros-de-equipe/896332" TargetMode="External"/><Relationship Id="rId115" Type="http://schemas.openxmlformats.org/officeDocument/2006/relationships/hyperlink" Target="https://amp.vexpenses.com/settings/membros-de-equipe/896036" TargetMode="External"/><Relationship Id="rId157" Type="http://schemas.openxmlformats.org/officeDocument/2006/relationships/hyperlink" Target="https://amp.vexpenses.com/settings/membros-de-equipe/972167" TargetMode="External"/><Relationship Id="rId322" Type="http://schemas.openxmlformats.org/officeDocument/2006/relationships/hyperlink" Target="https://amp.vexpenses.com/settings/membros-de-equipe/896192" TargetMode="External"/><Relationship Id="rId364" Type="http://schemas.openxmlformats.org/officeDocument/2006/relationships/hyperlink" Target="https://amp.vexpenses.com/settings/membros-de-equipe/1109481" TargetMode="External"/><Relationship Id="rId61" Type="http://schemas.openxmlformats.org/officeDocument/2006/relationships/hyperlink" Target="https://amp.vexpenses.com/settings/membros-de-equipe/1047085" TargetMode="External"/><Relationship Id="rId199" Type="http://schemas.openxmlformats.org/officeDocument/2006/relationships/hyperlink" Target="https://amp.vexpenses.com/settings/membros-de-equipe/896103" TargetMode="External"/><Relationship Id="rId571" Type="http://schemas.openxmlformats.org/officeDocument/2006/relationships/hyperlink" Target="https://amp.vexpenses.com/settings/membros-de-equipe/896369" TargetMode="External"/><Relationship Id="rId19" Type="http://schemas.openxmlformats.org/officeDocument/2006/relationships/hyperlink" Target="https://amp.vexpenses.com/settings/membros-de-equipe/929763" TargetMode="External"/><Relationship Id="rId224" Type="http://schemas.openxmlformats.org/officeDocument/2006/relationships/hyperlink" Target="https://amp.vexpenses.com/settings/membros-de-equipe/1106565" TargetMode="External"/><Relationship Id="rId266" Type="http://schemas.openxmlformats.org/officeDocument/2006/relationships/hyperlink" Target="https://amp.vexpenses.com/settings/membros-de-equipe/923651" TargetMode="External"/><Relationship Id="rId431" Type="http://schemas.openxmlformats.org/officeDocument/2006/relationships/hyperlink" Target="https://amp.vexpenses.com/settings/membros-de-equipe/924050" TargetMode="External"/><Relationship Id="rId473" Type="http://schemas.openxmlformats.org/officeDocument/2006/relationships/hyperlink" Target="https://amp.vexpenses.com/settings/membros-de-equipe/891978" TargetMode="External"/><Relationship Id="rId529" Type="http://schemas.openxmlformats.org/officeDocument/2006/relationships/hyperlink" Target="https://amp.vexpenses.com/settings/membros-de-equipe/1137282" TargetMode="External"/><Relationship Id="rId30" Type="http://schemas.openxmlformats.org/officeDocument/2006/relationships/hyperlink" Target="https://amp.vexpenses.com/settings/membros-de-equipe/895967" TargetMode="External"/><Relationship Id="rId126" Type="http://schemas.openxmlformats.org/officeDocument/2006/relationships/hyperlink" Target="https://amp.vexpenses.com/settings/membros-de-equipe/896045" TargetMode="External"/><Relationship Id="rId168" Type="http://schemas.openxmlformats.org/officeDocument/2006/relationships/hyperlink" Target="https://amp.vexpenses.com/settings/membros-de-equipe/922738" TargetMode="External"/><Relationship Id="rId333" Type="http://schemas.openxmlformats.org/officeDocument/2006/relationships/hyperlink" Target="https://amp.vexpenses.com/settings/membros-de-equipe/1109484" TargetMode="External"/><Relationship Id="rId540" Type="http://schemas.openxmlformats.org/officeDocument/2006/relationships/hyperlink" Target="https://amp.vexpenses.com/settings/membros-de-equipe/896351" TargetMode="External"/><Relationship Id="rId72" Type="http://schemas.openxmlformats.org/officeDocument/2006/relationships/hyperlink" Target="https://amp.vexpenses.com/settings/membros-de-equipe/917085" TargetMode="External"/><Relationship Id="rId375" Type="http://schemas.openxmlformats.org/officeDocument/2006/relationships/hyperlink" Target="https://amp.vexpenses.com/settings/membros-de-equipe/896223" TargetMode="External"/><Relationship Id="rId582" Type="http://schemas.openxmlformats.org/officeDocument/2006/relationships/hyperlink" Target="https://amp.vexpenses.com/settings/membros-de-equipe/923842" TargetMode="External"/><Relationship Id="rId3" Type="http://schemas.openxmlformats.org/officeDocument/2006/relationships/hyperlink" Target="https://amp.vexpenses.com/settings/membros-de-equipe/895945" TargetMode="External"/><Relationship Id="rId235" Type="http://schemas.openxmlformats.org/officeDocument/2006/relationships/hyperlink" Target="https://amp.vexpenses.com/settings/membros-de-equipe/1063503" TargetMode="External"/><Relationship Id="rId277" Type="http://schemas.openxmlformats.org/officeDocument/2006/relationships/hyperlink" Target="https://amp.vexpenses.com/settings/membros-de-equipe/978440" TargetMode="External"/><Relationship Id="rId400" Type="http://schemas.openxmlformats.org/officeDocument/2006/relationships/hyperlink" Target="https://amp.vexpenses.com/settings/membros-de-equipe/1130776" TargetMode="External"/><Relationship Id="rId442" Type="http://schemas.openxmlformats.org/officeDocument/2006/relationships/hyperlink" Target="https://amp.vexpenses.com/settings/membros-de-equipe/896275" TargetMode="External"/><Relationship Id="rId484" Type="http://schemas.openxmlformats.org/officeDocument/2006/relationships/hyperlink" Target="https://amp.vexpenses.com/settings/membros-de-equipe/1109495" TargetMode="External"/><Relationship Id="rId137" Type="http://schemas.openxmlformats.org/officeDocument/2006/relationships/hyperlink" Target="https://amp.vexpenses.com/settings/membros-de-equipe/896052" TargetMode="External"/><Relationship Id="rId302" Type="http://schemas.openxmlformats.org/officeDocument/2006/relationships/hyperlink" Target="https://amp.vexpenses.com/settings/membros-de-equipe/896175" TargetMode="External"/><Relationship Id="rId344" Type="http://schemas.openxmlformats.org/officeDocument/2006/relationships/hyperlink" Target="https://amp.vexpenses.com/settings/membros-de-equipe/896208" TargetMode="External"/><Relationship Id="rId41" Type="http://schemas.openxmlformats.org/officeDocument/2006/relationships/hyperlink" Target="https://amp.vexpenses.com/settings/membros-de-equipe/966263" TargetMode="External"/><Relationship Id="rId83" Type="http://schemas.openxmlformats.org/officeDocument/2006/relationships/hyperlink" Target="https://amp.vexpenses.com/settings/membros-de-equipe/896006" TargetMode="External"/><Relationship Id="rId179" Type="http://schemas.openxmlformats.org/officeDocument/2006/relationships/hyperlink" Target="https://amp.vexpenses.com/settings/membros-de-equipe/946138" TargetMode="External"/><Relationship Id="rId386" Type="http://schemas.openxmlformats.org/officeDocument/2006/relationships/hyperlink" Target="https://amp.vexpenses.com/settings/membros-de-equipe/916932" TargetMode="External"/><Relationship Id="rId551" Type="http://schemas.openxmlformats.org/officeDocument/2006/relationships/hyperlink" Target="https://amp.vexpenses.com/settings/membros-de-equipe/896397" TargetMode="External"/><Relationship Id="rId593" Type="http://schemas.openxmlformats.org/officeDocument/2006/relationships/hyperlink" Target="https://amp.vexpenses.com/settings/membros-de-equipe/896390" TargetMode="External"/><Relationship Id="rId190" Type="http://schemas.openxmlformats.org/officeDocument/2006/relationships/hyperlink" Target="https://amp.vexpenses.com/settings/membros-de-equipe/896094" TargetMode="External"/><Relationship Id="rId204" Type="http://schemas.openxmlformats.org/officeDocument/2006/relationships/hyperlink" Target="https://amp.vexpenses.com/settings/membros-de-equipe/917075" TargetMode="External"/><Relationship Id="rId246" Type="http://schemas.openxmlformats.org/officeDocument/2006/relationships/hyperlink" Target="https://amp.vexpenses.com/settings/membros-de-equipe/1068611" TargetMode="External"/><Relationship Id="rId288" Type="http://schemas.openxmlformats.org/officeDocument/2006/relationships/hyperlink" Target="https://amp.vexpenses.com/settings/membros-de-equipe/896164" TargetMode="External"/><Relationship Id="rId411" Type="http://schemas.openxmlformats.org/officeDocument/2006/relationships/hyperlink" Target="https://amp.vexpenses.com/settings/membros-de-equipe/913936" TargetMode="External"/><Relationship Id="rId453" Type="http://schemas.openxmlformats.org/officeDocument/2006/relationships/hyperlink" Target="https://amp.vexpenses.com/settings/membros-de-equipe/896286" TargetMode="External"/><Relationship Id="rId509" Type="http://schemas.openxmlformats.org/officeDocument/2006/relationships/hyperlink" Target="https://amp.vexpenses.com/settings/membros-de-equipe/896326" TargetMode="External"/><Relationship Id="rId106" Type="http://schemas.openxmlformats.org/officeDocument/2006/relationships/hyperlink" Target="https://amp.vexpenses.com/settings/membros-de-equipe/896027" TargetMode="External"/><Relationship Id="rId313" Type="http://schemas.openxmlformats.org/officeDocument/2006/relationships/hyperlink" Target="https://amp.vexpenses.com/settings/membros-de-equipe/921535" TargetMode="External"/><Relationship Id="rId495" Type="http://schemas.openxmlformats.org/officeDocument/2006/relationships/hyperlink" Target="https://amp.vexpenses.com/settings/membros-de-equipe/896313" TargetMode="External"/><Relationship Id="rId10" Type="http://schemas.openxmlformats.org/officeDocument/2006/relationships/hyperlink" Target="https://amp.vexpenses.com/settings/membros-de-equipe/895950" TargetMode="External"/><Relationship Id="rId52" Type="http://schemas.openxmlformats.org/officeDocument/2006/relationships/hyperlink" Target="https://amp.vexpenses.com/settings/membros-de-equipe/895982" TargetMode="External"/><Relationship Id="rId94" Type="http://schemas.openxmlformats.org/officeDocument/2006/relationships/hyperlink" Target="https://amp.vexpenses.com/settings/membros-de-equipe/896018" TargetMode="External"/><Relationship Id="rId148" Type="http://schemas.openxmlformats.org/officeDocument/2006/relationships/hyperlink" Target="https://amp.vexpenses.com/settings/membros-de-equipe/896063" TargetMode="External"/><Relationship Id="rId355" Type="http://schemas.openxmlformats.org/officeDocument/2006/relationships/hyperlink" Target="https://amp.vexpenses.com/settings/membros-de-equipe/961469" TargetMode="External"/><Relationship Id="rId397" Type="http://schemas.openxmlformats.org/officeDocument/2006/relationships/hyperlink" Target="https://amp.vexpenses.com/settings/membros-de-equipe/896241" TargetMode="External"/><Relationship Id="rId520" Type="http://schemas.openxmlformats.org/officeDocument/2006/relationships/hyperlink" Target="https://amp.vexpenses.com/settings/membros-de-equipe/1148495" TargetMode="External"/><Relationship Id="rId562" Type="http://schemas.openxmlformats.org/officeDocument/2006/relationships/hyperlink" Target="https://amp.vexpenses.com/settings/membros-de-equipe/896363" TargetMode="External"/><Relationship Id="rId215" Type="http://schemas.openxmlformats.org/officeDocument/2006/relationships/hyperlink" Target="https://amp.vexpenses.com/settings/membros-de-equipe/1001575" TargetMode="External"/><Relationship Id="rId257" Type="http://schemas.openxmlformats.org/officeDocument/2006/relationships/hyperlink" Target="https://amp.vexpenses.com/settings/membros-de-equipe/896145" TargetMode="External"/><Relationship Id="rId422" Type="http://schemas.openxmlformats.org/officeDocument/2006/relationships/hyperlink" Target="https://amp.vexpenses.com/settings/membros-de-equipe/1100052" TargetMode="External"/><Relationship Id="rId464" Type="http://schemas.openxmlformats.org/officeDocument/2006/relationships/hyperlink" Target="https://amp.vexpenses.com/settings/membros-de-equipe/1071871" TargetMode="External"/><Relationship Id="rId299" Type="http://schemas.openxmlformats.org/officeDocument/2006/relationships/hyperlink" Target="https://amp.vexpenses.com/settings/membros-de-equipe/896173" TargetMode="External"/><Relationship Id="rId63" Type="http://schemas.openxmlformats.org/officeDocument/2006/relationships/hyperlink" Target="https://amp.vexpenses.com/settings/membros-de-equipe/895992" TargetMode="External"/><Relationship Id="rId159" Type="http://schemas.openxmlformats.org/officeDocument/2006/relationships/hyperlink" Target="https://amp.vexpenses.com/settings/membros-de-equipe/896073" TargetMode="External"/><Relationship Id="rId366" Type="http://schemas.openxmlformats.org/officeDocument/2006/relationships/hyperlink" Target="https://amp.vexpenses.com/settings/membros-de-equipe/896221" TargetMode="External"/><Relationship Id="rId573" Type="http://schemas.openxmlformats.org/officeDocument/2006/relationships/hyperlink" Target="https://amp.vexpenses.com/settings/membros-de-equipe/896373" TargetMode="External"/><Relationship Id="rId226" Type="http://schemas.openxmlformats.org/officeDocument/2006/relationships/hyperlink" Target="https://amp.vexpenses.com/settings/membros-de-equipe/978280" TargetMode="External"/><Relationship Id="rId433" Type="http://schemas.openxmlformats.org/officeDocument/2006/relationships/hyperlink" Target="https://amp.vexpenses.com/settings/membros-de-equipe/917363" TargetMode="External"/><Relationship Id="rId74" Type="http://schemas.openxmlformats.org/officeDocument/2006/relationships/hyperlink" Target="https://amp.vexpenses.com/settings/membros-de-equipe/895999" TargetMode="External"/><Relationship Id="rId377" Type="http://schemas.openxmlformats.org/officeDocument/2006/relationships/hyperlink" Target="https://amp.vexpenses.com/settings/membros-de-equipe/1010647" TargetMode="External"/><Relationship Id="rId500" Type="http://schemas.openxmlformats.org/officeDocument/2006/relationships/hyperlink" Target="https://amp.vexpenses.com/settings/membros-de-equipe/922275" TargetMode="External"/><Relationship Id="rId584" Type="http://schemas.openxmlformats.org/officeDocument/2006/relationships/hyperlink" Target="https://amp.vexpenses.com/settings/membros-de-equipe/896380" TargetMode="External"/><Relationship Id="rId5" Type="http://schemas.openxmlformats.org/officeDocument/2006/relationships/hyperlink" Target="https://amp.vexpenses.com/settings/membros-de-equipe/1071869" TargetMode="External"/><Relationship Id="rId237" Type="http://schemas.openxmlformats.org/officeDocument/2006/relationships/hyperlink" Target="https://amp.vexpenses.com/settings/membros-de-equipe/1073274" TargetMode="External"/><Relationship Id="rId444" Type="http://schemas.openxmlformats.org/officeDocument/2006/relationships/hyperlink" Target="https://amp.vexpenses.com/settings/membros-de-equipe/896276" TargetMode="External"/><Relationship Id="rId290" Type="http://schemas.openxmlformats.org/officeDocument/2006/relationships/hyperlink" Target="https://amp.vexpenses.com/settings/membros-de-equipe/896165" TargetMode="External"/><Relationship Id="rId304" Type="http://schemas.openxmlformats.org/officeDocument/2006/relationships/hyperlink" Target="https://amp.vexpenses.com/settings/membros-de-equipe/896177" TargetMode="External"/><Relationship Id="rId388" Type="http://schemas.openxmlformats.org/officeDocument/2006/relationships/hyperlink" Target="https://amp.vexpenses.com/settings/membros-de-equipe/896232" TargetMode="External"/><Relationship Id="rId511" Type="http://schemas.openxmlformats.org/officeDocument/2006/relationships/hyperlink" Target="https://amp.vexpenses.com/settings/membros-de-equipe/896327" TargetMode="External"/><Relationship Id="rId85" Type="http://schemas.openxmlformats.org/officeDocument/2006/relationships/hyperlink" Target="https://amp.vexpenses.com/settings/membros-de-equipe/896008" TargetMode="External"/><Relationship Id="rId150" Type="http://schemas.openxmlformats.org/officeDocument/2006/relationships/hyperlink" Target="https://amp.vexpenses.com/settings/membros-de-equipe/896066" TargetMode="External"/><Relationship Id="rId595" Type="http://schemas.openxmlformats.org/officeDocument/2006/relationships/hyperlink" Target="https://amp.vexpenses.com/settings/membros-de-equipe/896392" TargetMode="External"/><Relationship Id="rId248" Type="http://schemas.openxmlformats.org/officeDocument/2006/relationships/hyperlink" Target="https://amp.vexpenses.com/settings/membros-de-equipe/954733" TargetMode="External"/><Relationship Id="rId455" Type="http://schemas.openxmlformats.org/officeDocument/2006/relationships/hyperlink" Target="https://amp.vexpenses.com/settings/membros-de-equipe/896287" TargetMode="External"/><Relationship Id="rId12" Type="http://schemas.openxmlformats.org/officeDocument/2006/relationships/hyperlink" Target="https://amp.vexpenses.com/settings/membros-de-equipe/895952" TargetMode="External"/><Relationship Id="rId108" Type="http://schemas.openxmlformats.org/officeDocument/2006/relationships/hyperlink" Target="https://amp.vexpenses.com/settings/membros-de-equipe/896030" TargetMode="External"/><Relationship Id="rId315" Type="http://schemas.openxmlformats.org/officeDocument/2006/relationships/hyperlink" Target="https://amp.vexpenses.com/settings/membros-de-equipe/896186" TargetMode="External"/><Relationship Id="rId522" Type="http://schemas.openxmlformats.org/officeDocument/2006/relationships/hyperlink" Target="https://amp.vexpenses.com/settings/membros-de-equipe/896335" TargetMode="External"/><Relationship Id="rId96" Type="http://schemas.openxmlformats.org/officeDocument/2006/relationships/hyperlink" Target="https://amp.vexpenses.com/settings/membros-de-equipe/952397" TargetMode="External"/><Relationship Id="rId161" Type="http://schemas.openxmlformats.org/officeDocument/2006/relationships/hyperlink" Target="https://amp.vexpenses.com/settings/membros-de-equipe/896075" TargetMode="External"/><Relationship Id="rId399" Type="http://schemas.openxmlformats.org/officeDocument/2006/relationships/hyperlink" Target="https://amp.vexpenses.com/settings/membros-de-equipe/896243" TargetMode="External"/><Relationship Id="rId259" Type="http://schemas.openxmlformats.org/officeDocument/2006/relationships/hyperlink" Target="https://amp.vexpenses.com/settings/membros-de-equipe/1149595" TargetMode="External"/><Relationship Id="rId466" Type="http://schemas.openxmlformats.org/officeDocument/2006/relationships/hyperlink" Target="https://amp.vexpenses.com/settings/membros-de-equipe/1117098" TargetMode="External"/><Relationship Id="rId23" Type="http://schemas.openxmlformats.org/officeDocument/2006/relationships/hyperlink" Target="https://amp.vexpenses.com/settings/membros-de-equipe/1063501" TargetMode="External"/><Relationship Id="rId119" Type="http://schemas.openxmlformats.org/officeDocument/2006/relationships/hyperlink" Target="https://amp.vexpenses.com/settings/membros-de-equipe/916919" TargetMode="External"/><Relationship Id="rId326" Type="http://schemas.openxmlformats.org/officeDocument/2006/relationships/hyperlink" Target="https://amp.vexpenses.com/settings/membros-de-equipe/896199" TargetMode="External"/><Relationship Id="rId533" Type="http://schemas.openxmlformats.org/officeDocument/2006/relationships/hyperlink" Target="https://amp.vexpenses.com/settings/membros-de-equipe/896343" TargetMode="External"/><Relationship Id="rId172" Type="http://schemas.openxmlformats.org/officeDocument/2006/relationships/hyperlink" Target="https://amp.vexpenses.com/settings/membros-de-equipe/896082" TargetMode="External"/><Relationship Id="rId477" Type="http://schemas.openxmlformats.org/officeDocument/2006/relationships/hyperlink" Target="https://amp.vexpenses.com/settings/membros-de-equipe/1116911" TargetMode="External"/><Relationship Id="rId600" Type="http://schemas.openxmlformats.org/officeDocument/2006/relationships/hyperlink" Target="https://amp.vexpenses.com/settings/membros-de-equipe/896395" TargetMode="External"/><Relationship Id="rId337" Type="http://schemas.openxmlformats.org/officeDocument/2006/relationships/hyperlink" Target="https://amp.vexpenses.com/settings/membros-de-equipe/1008342" TargetMode="External"/><Relationship Id="rId34" Type="http://schemas.openxmlformats.org/officeDocument/2006/relationships/hyperlink" Target="https://amp.vexpenses.com/settings/membros-de-equipe/1033749" TargetMode="External"/><Relationship Id="rId544" Type="http://schemas.openxmlformats.org/officeDocument/2006/relationships/hyperlink" Target="https://amp.vexpenses.com/settings/membros-de-equipe/1023020" TargetMode="External"/><Relationship Id="rId183" Type="http://schemas.openxmlformats.org/officeDocument/2006/relationships/hyperlink" Target="https://amp.vexpenses.com/settings/membros-de-equipe/896090" TargetMode="External"/><Relationship Id="rId390" Type="http://schemas.openxmlformats.org/officeDocument/2006/relationships/hyperlink" Target="https://amp.vexpenses.com/settings/membros-de-equipe/1087695" TargetMode="External"/><Relationship Id="rId404" Type="http://schemas.openxmlformats.org/officeDocument/2006/relationships/hyperlink" Target="https://amp.vexpenses.com/settings/membros-de-equipe/896245" TargetMode="External"/><Relationship Id="rId250" Type="http://schemas.openxmlformats.org/officeDocument/2006/relationships/hyperlink" Target="https://amp.vexpenses.com/settings/membros-de-equipe/1106552" TargetMode="External"/><Relationship Id="rId488" Type="http://schemas.openxmlformats.org/officeDocument/2006/relationships/hyperlink" Target="https://amp.vexpenses.com/settings/membros-de-equipe/928994" TargetMode="External"/><Relationship Id="rId45" Type="http://schemas.openxmlformats.org/officeDocument/2006/relationships/hyperlink" Target="https://amp.vexpenses.com/settings/membros-de-equipe/895978" TargetMode="External"/><Relationship Id="rId110" Type="http://schemas.openxmlformats.org/officeDocument/2006/relationships/hyperlink" Target="https://amp.vexpenses.com/settings/membros-de-equipe/896033" TargetMode="External"/><Relationship Id="rId348" Type="http://schemas.openxmlformats.org/officeDocument/2006/relationships/hyperlink" Target="https://amp.vexpenses.com/settings/membros-de-equipe/896211" TargetMode="External"/><Relationship Id="rId555" Type="http://schemas.openxmlformats.org/officeDocument/2006/relationships/hyperlink" Target="https://amp.vexpenses.com/settings/membros-de-equipe/1063497" TargetMode="External"/><Relationship Id="rId194" Type="http://schemas.openxmlformats.org/officeDocument/2006/relationships/hyperlink" Target="https://amp.vexpenses.com/settings/membros-de-equipe/940437" TargetMode="External"/><Relationship Id="rId208" Type="http://schemas.openxmlformats.org/officeDocument/2006/relationships/hyperlink" Target="https://amp.vexpenses.com/settings/membros-de-equipe/896113" TargetMode="External"/><Relationship Id="rId415" Type="http://schemas.openxmlformats.org/officeDocument/2006/relationships/hyperlink" Target="https://amp.vexpenses.com/settings/membros-de-equipe/8962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95D1-D260-4900-8163-2E4187F4AF4D}">
  <dimension ref="B4:S51"/>
  <sheetViews>
    <sheetView showGridLines="0" tabSelected="1" topLeftCell="B1" workbookViewId="0">
      <selection activeCell="Q42" sqref="Q42"/>
    </sheetView>
  </sheetViews>
  <sheetFormatPr defaultColWidth="41" defaultRowHeight="15" x14ac:dyDescent="0.25"/>
  <cols>
    <col min="1" max="1" width="6" customWidth="1"/>
    <col min="2" max="2" width="42.28515625" bestFit="1" customWidth="1"/>
    <col min="3" max="3" width="12" bestFit="1" customWidth="1"/>
    <col min="4" max="4" width="18" style="4" customWidth="1"/>
    <col min="5" max="5" width="28.140625" customWidth="1"/>
    <col min="6" max="6" width="25.140625" customWidth="1"/>
    <col min="7" max="9" width="19.28515625" hidden="1" customWidth="1"/>
    <col min="10" max="10" width="17.140625" style="8" hidden="1" customWidth="1"/>
    <col min="11" max="11" width="14.42578125" style="8" hidden="1" customWidth="1"/>
    <col min="12" max="12" width="15.7109375" style="8" hidden="1" customWidth="1"/>
    <col min="13" max="13" width="22" style="8" hidden="1" customWidth="1"/>
    <col min="14" max="14" width="16.7109375" style="8" hidden="1" customWidth="1"/>
    <col min="15" max="15" width="17.5703125" style="8" hidden="1" customWidth="1"/>
    <col min="16" max="16" width="16.7109375" style="8" customWidth="1"/>
    <col min="17" max="18" width="19.85546875" customWidth="1"/>
    <col min="19" max="19" width="19.7109375" hidden="1" customWidth="1"/>
  </cols>
  <sheetData>
    <row r="4" spans="2:19" x14ac:dyDescent="0.25">
      <c r="O4" s="17">
        <v>0.5</v>
      </c>
    </row>
    <row r="5" spans="2:19" s="15" customFormat="1" ht="36.75" customHeight="1" thickBot="1" x14ac:dyDescent="0.3">
      <c r="I5" s="34">
        <f t="shared" ref="I5:R5" si="0">SUBTOTAL(9,I7:I51)</f>
        <v>0</v>
      </c>
      <c r="J5" s="34">
        <f t="shared" si="0"/>
        <v>12877.389999999934</v>
      </c>
      <c r="K5" s="34">
        <f t="shared" si="0"/>
        <v>75550</v>
      </c>
      <c r="L5" s="34">
        <f t="shared" si="0"/>
        <v>19148.329999999994</v>
      </c>
      <c r="M5" s="34">
        <f t="shared" si="0"/>
        <v>0</v>
      </c>
      <c r="N5" s="34">
        <f t="shared" si="0"/>
        <v>43524.280000000072</v>
      </c>
      <c r="O5" s="34">
        <f t="shared" si="0"/>
        <v>0</v>
      </c>
      <c r="P5" s="49">
        <f t="shared" si="0"/>
        <v>43524.280000000072</v>
      </c>
      <c r="Q5" s="49">
        <f t="shared" si="0"/>
        <v>11384.190000000013</v>
      </c>
      <c r="R5" s="35">
        <f t="shared" si="0"/>
        <v>32140.090000000051</v>
      </c>
    </row>
    <row r="6" spans="2:19" ht="15.75" thickBot="1" x14ac:dyDescent="0.3">
      <c r="B6" s="6" t="s">
        <v>0</v>
      </c>
      <c r="C6" s="7" t="s">
        <v>1</v>
      </c>
      <c r="D6" s="6" t="s">
        <v>1425</v>
      </c>
      <c r="E6" s="6" t="s">
        <v>3</v>
      </c>
      <c r="F6" s="2" t="s">
        <v>4</v>
      </c>
      <c r="G6" s="2" t="s">
        <v>5</v>
      </c>
      <c r="H6" s="2" t="s">
        <v>6</v>
      </c>
      <c r="I6" s="16" t="s">
        <v>7</v>
      </c>
      <c r="J6" s="9" t="s">
        <v>8</v>
      </c>
      <c r="K6" s="13" t="s">
        <v>9</v>
      </c>
      <c r="L6" s="10" t="s">
        <v>10</v>
      </c>
      <c r="M6" s="14" t="s">
        <v>11</v>
      </c>
      <c r="N6" s="11" t="s">
        <v>12</v>
      </c>
      <c r="O6" s="12" t="s">
        <v>13</v>
      </c>
      <c r="P6" s="47" t="s">
        <v>1423</v>
      </c>
      <c r="Q6" s="46" t="s">
        <v>1422</v>
      </c>
      <c r="R6" s="48" t="s">
        <v>1424</v>
      </c>
      <c r="S6" s="1" t="s">
        <v>14</v>
      </c>
    </row>
    <row r="7" spans="2:19" x14ac:dyDescent="0.25">
      <c r="B7" s="3" t="s">
        <v>513</v>
      </c>
      <c r="C7" s="3" t="s">
        <v>514</v>
      </c>
      <c r="D7" s="5" t="s">
        <v>1427</v>
      </c>
      <c r="E7" s="3" t="s">
        <v>26</v>
      </c>
      <c r="F7" s="3" t="s">
        <v>91</v>
      </c>
      <c r="G7" s="3" t="s">
        <v>28</v>
      </c>
      <c r="H7" s="3" t="s">
        <v>19</v>
      </c>
      <c r="I7" s="18">
        <v>0</v>
      </c>
      <c r="J7" s="18">
        <v>0</v>
      </c>
      <c r="K7" s="18">
        <v>5700</v>
      </c>
      <c r="L7" s="18">
        <v>0</v>
      </c>
      <c r="M7" s="18"/>
      <c r="N7" s="18">
        <f>Tabela1[[#This Row],[1ª QZ]]-Tabela1[[#This Row],[SALDO FINAL]]-Tabela1[[#This Row],[SALDO CARTAO]]-Tabela1[[#This Row],[Adiantamento ]]</f>
        <v>5700</v>
      </c>
      <c r="O7" s="18">
        <f>Tabela1[[#This Row],[SALDO REEMBOLSAR]]*$O$4</f>
        <v>0</v>
      </c>
      <c r="P7" s="18">
        <f>IF(Tabela1[[#This Row],[CARGA PARCIAL]]&lt;0,0,Tabela1[[#This Row],[CARGA PARCIAL]])+Tabela1[[#This Row],[REEMBOLSO]]</f>
        <v>5700</v>
      </c>
      <c r="Q7">
        <v>298.08000000000175</v>
      </c>
      <c r="R7" s="45">
        <f>Tabela1[[#This Row],[Carga CORRETA]]-Tabela1[[#This Row],[Carga RECEBIDA]]</f>
        <v>5401.9199999999983</v>
      </c>
      <c r="S7" t="str">
        <f>_xlfn.XLOOKUP(Tabela1[[#This Row],[COLABORADOR]],'STATUS CARTAO'!D:D,'STATUS CARTAO'!G:G)</f>
        <v>Cartão ativo</v>
      </c>
    </row>
    <row r="8" spans="2:19" x14ac:dyDescent="0.25">
      <c r="B8" s="3" t="s">
        <v>54</v>
      </c>
      <c r="C8" s="3" t="s">
        <v>55</v>
      </c>
      <c r="D8" s="5" t="s">
        <v>1427</v>
      </c>
      <c r="E8" s="3" t="s">
        <v>26</v>
      </c>
      <c r="F8" s="3" t="s">
        <v>56</v>
      </c>
      <c r="G8" s="3" t="s">
        <v>28</v>
      </c>
      <c r="H8" s="3" t="s">
        <v>19</v>
      </c>
      <c r="I8" s="18">
        <v>0</v>
      </c>
      <c r="J8" s="18">
        <v>2170.2299999999668</v>
      </c>
      <c r="K8" s="18">
        <v>5700</v>
      </c>
      <c r="L8" s="18">
        <v>93</v>
      </c>
      <c r="M8" s="18"/>
      <c r="N8" s="18">
        <f>Tabela1[[#This Row],[1ª QZ]]-Tabela1[[#This Row],[SALDO FINAL]]-Tabela1[[#This Row],[SALDO CARTAO]]-Tabela1[[#This Row],[Adiantamento ]]</f>
        <v>3436.7700000000332</v>
      </c>
      <c r="O8" s="18">
        <f>Tabela1[[#This Row],[SALDO REEMBOLSAR]]*$O$4</f>
        <v>0</v>
      </c>
      <c r="P8" s="18">
        <f>IF(Tabela1[[#This Row],[CARGA PARCIAL]]&lt;0,0,Tabela1[[#This Row],[CARGA PARCIAL]])+Tabela1[[#This Row],[REEMBOLSO]]</f>
        <v>3436.7700000000332</v>
      </c>
      <c r="Q8">
        <v>0</v>
      </c>
      <c r="R8" s="45">
        <f>Tabela1[[#This Row],[Carga CORRETA]]-Tabela1[[#This Row],[Carga RECEBIDA]]</f>
        <v>3436.7700000000332</v>
      </c>
      <c r="S8" t="str">
        <f>_xlfn.XLOOKUP(Tabela1[[#This Row],[COLABORADOR]],'STATUS CARTAO'!D:D,'STATUS CARTAO'!G:G)</f>
        <v>Cartão ativo</v>
      </c>
    </row>
    <row r="9" spans="2:19" x14ac:dyDescent="0.25">
      <c r="B9" s="3" t="s">
        <v>526</v>
      </c>
      <c r="C9" s="3" t="s">
        <v>527</v>
      </c>
      <c r="D9" s="5" t="s">
        <v>1426</v>
      </c>
      <c r="E9" s="3" t="s">
        <v>69</v>
      </c>
      <c r="F9" s="3" t="s">
        <v>528</v>
      </c>
      <c r="G9" s="3" t="s">
        <v>70</v>
      </c>
      <c r="H9" s="3" t="s">
        <v>24</v>
      </c>
      <c r="I9" s="18">
        <v>0</v>
      </c>
      <c r="J9" s="18">
        <v>0</v>
      </c>
      <c r="K9" s="18">
        <v>5600</v>
      </c>
      <c r="L9" s="18">
        <v>2789.7</v>
      </c>
      <c r="M9" s="18"/>
      <c r="N9" s="18">
        <f>Tabela1[[#This Row],[1ª QZ]]-Tabela1[[#This Row],[SALDO FINAL]]-Tabela1[[#This Row],[SALDO CARTAO]]-Tabela1[[#This Row],[Adiantamento ]]</f>
        <v>2810.3</v>
      </c>
      <c r="O9" s="18">
        <f>Tabela1[[#This Row],[SALDO REEMBOLSAR]]*$O$4</f>
        <v>0</v>
      </c>
      <c r="P9" s="18">
        <f>IF(Tabela1[[#This Row],[CARGA PARCIAL]]&lt;0,0,Tabela1[[#This Row],[CARGA PARCIAL]])+Tabela1[[#This Row],[REEMBOLSO]]</f>
        <v>2810.3</v>
      </c>
      <c r="Q9">
        <v>0</v>
      </c>
      <c r="R9" s="45">
        <f>Tabela1[[#This Row],[Carga CORRETA]]-Tabela1[[#This Row],[Carga RECEBIDA]]</f>
        <v>2810.3</v>
      </c>
      <c r="S9" t="str">
        <f>_xlfn.XLOOKUP(Tabela1[[#This Row],[COLABORADOR]],'STATUS CARTAO'!D:D,'STATUS CARTAO'!G:G)</f>
        <v>Cartão ativo</v>
      </c>
    </row>
    <row r="10" spans="2:19" x14ac:dyDescent="0.25">
      <c r="B10" s="3" t="s">
        <v>228</v>
      </c>
      <c r="C10" s="3" t="s">
        <v>229</v>
      </c>
      <c r="D10" s="5" t="s">
        <v>1426</v>
      </c>
      <c r="E10" s="3" t="s">
        <v>69</v>
      </c>
      <c r="F10" s="3" t="s">
        <v>99</v>
      </c>
      <c r="G10" s="3" t="s">
        <v>70</v>
      </c>
      <c r="H10" s="3" t="s">
        <v>24</v>
      </c>
      <c r="I10" s="18">
        <v>0</v>
      </c>
      <c r="J10" s="18">
        <v>263.70000000000704</v>
      </c>
      <c r="K10" s="18">
        <v>2520</v>
      </c>
      <c r="L10" s="18">
        <v>90.56</v>
      </c>
      <c r="M10" s="18"/>
      <c r="N10" s="18">
        <f>Tabela1[[#This Row],[1ª QZ]]-Tabela1[[#This Row],[SALDO FINAL]]-Tabela1[[#This Row],[SALDO CARTAO]]-Tabela1[[#This Row],[Adiantamento ]]</f>
        <v>2165.739999999993</v>
      </c>
      <c r="O10" s="18">
        <f>Tabela1[[#This Row],[SALDO REEMBOLSAR]]*$O$4</f>
        <v>0</v>
      </c>
      <c r="P10" s="18">
        <f>IF(Tabela1[[#This Row],[CARGA PARCIAL]]&lt;0,0,Tabela1[[#This Row],[CARGA PARCIAL]])+Tabela1[[#This Row],[REEMBOLSO]]</f>
        <v>2165.739999999993</v>
      </c>
      <c r="Q10">
        <v>0</v>
      </c>
      <c r="R10" s="45">
        <f>Tabela1[[#This Row],[Carga CORRETA]]-Tabela1[[#This Row],[Carga RECEBIDA]]</f>
        <v>2165.739999999993</v>
      </c>
      <c r="S10" t="str">
        <f>_xlfn.XLOOKUP(Tabela1[[#This Row],[COLABORADOR]],'STATUS CARTAO'!D:D,'STATUS CARTAO'!G:G)</f>
        <v>Cartão ativo</v>
      </c>
    </row>
    <row r="11" spans="2:19" x14ac:dyDescent="0.25">
      <c r="B11" s="3" t="s">
        <v>191</v>
      </c>
      <c r="C11" s="3" t="s">
        <v>192</v>
      </c>
      <c r="D11" s="5" t="s">
        <v>1427</v>
      </c>
      <c r="E11" s="3" t="s">
        <v>32</v>
      </c>
      <c r="F11" s="3" t="s">
        <v>193</v>
      </c>
      <c r="G11" s="3" t="s">
        <v>34</v>
      </c>
      <c r="H11" s="3" t="s">
        <v>35</v>
      </c>
      <c r="I11" s="18">
        <v>0</v>
      </c>
      <c r="J11" s="18">
        <v>1023.3299999999854</v>
      </c>
      <c r="K11" s="18">
        <v>5000</v>
      </c>
      <c r="L11" s="18">
        <v>2159.92</v>
      </c>
      <c r="M11" s="18"/>
      <c r="N11" s="18">
        <f>Tabela1[[#This Row],[1ª QZ]]-Tabela1[[#This Row],[SALDO FINAL]]-Tabela1[[#This Row],[SALDO CARTAO]]-Tabela1[[#This Row],[Adiantamento ]]</f>
        <v>1816.7500000000146</v>
      </c>
      <c r="O11" s="18">
        <f>Tabela1[[#This Row],[SALDO REEMBOLSAR]]*$O$4</f>
        <v>0</v>
      </c>
      <c r="P11" s="18">
        <f>IF(Tabela1[[#This Row],[CARGA PARCIAL]]&lt;0,0,Tabela1[[#This Row],[CARGA PARCIAL]])+Tabela1[[#This Row],[REEMBOLSO]]</f>
        <v>1816.7500000000146</v>
      </c>
      <c r="Q11">
        <v>0</v>
      </c>
      <c r="R11" s="45">
        <f>Tabela1[[#This Row],[Carga CORRETA]]-Tabela1[[#This Row],[Carga RECEBIDA]]</f>
        <v>1816.7500000000146</v>
      </c>
      <c r="S11" t="str">
        <f>_xlfn.XLOOKUP(Tabela1[[#This Row],[COLABORADOR]],'STATUS CARTAO'!D:D,'STATUS CARTAO'!G:G)</f>
        <v>Cartão ativo</v>
      </c>
    </row>
    <row r="12" spans="2:19" x14ac:dyDescent="0.25">
      <c r="B12" s="3" t="s">
        <v>247</v>
      </c>
      <c r="C12" s="3" t="s">
        <v>248</v>
      </c>
      <c r="D12" s="5" t="s">
        <v>1426</v>
      </c>
      <c r="E12" s="3" t="s">
        <v>22</v>
      </c>
      <c r="F12" s="3" t="s">
        <v>249</v>
      </c>
      <c r="G12" s="3" t="s">
        <v>23</v>
      </c>
      <c r="H12" s="3" t="s">
        <v>24</v>
      </c>
      <c r="I12" s="18">
        <v>0</v>
      </c>
      <c r="J12" s="18">
        <v>320.44999999999891</v>
      </c>
      <c r="K12" s="18">
        <v>2710</v>
      </c>
      <c r="L12" s="18">
        <v>0</v>
      </c>
      <c r="M12" s="18"/>
      <c r="N12" s="18">
        <f>Tabela1[[#This Row],[1ª QZ]]-Tabela1[[#This Row],[SALDO FINAL]]-Tabela1[[#This Row],[SALDO CARTAO]]-Tabela1[[#This Row],[Adiantamento ]]</f>
        <v>2389.5500000000011</v>
      </c>
      <c r="O12" s="18">
        <f>Tabela1[[#This Row],[SALDO REEMBOLSAR]]*$O$4</f>
        <v>0</v>
      </c>
      <c r="P12" s="18">
        <f>IF(Tabela1[[#This Row],[CARGA PARCIAL]]&lt;0,0,Tabela1[[#This Row],[CARGA PARCIAL]])+Tabela1[[#This Row],[REEMBOLSO]]</f>
        <v>2389.5500000000011</v>
      </c>
      <c r="Q12">
        <v>648.00000000000182</v>
      </c>
      <c r="R12" s="45">
        <f>Tabela1[[#This Row],[Carga CORRETA]]-Tabela1[[#This Row],[Carga RECEBIDA]]</f>
        <v>1741.5499999999993</v>
      </c>
      <c r="S12" t="str">
        <f>_xlfn.XLOOKUP(Tabela1[[#This Row],[COLABORADOR]],'STATUS CARTAO'!D:D,'STATUS CARTAO'!G:G)</f>
        <v>Cartão ativo</v>
      </c>
    </row>
    <row r="13" spans="2:19" x14ac:dyDescent="0.25">
      <c r="B13" s="3" t="s">
        <v>150</v>
      </c>
      <c r="C13" s="3" t="s">
        <v>151</v>
      </c>
      <c r="D13" s="5" t="s">
        <v>1427</v>
      </c>
      <c r="E13" s="3" t="s">
        <v>64</v>
      </c>
      <c r="F13" s="3" t="s">
        <v>152</v>
      </c>
      <c r="G13" s="3" t="s">
        <v>66</v>
      </c>
      <c r="H13" s="3" t="s">
        <v>24</v>
      </c>
      <c r="I13" s="18">
        <v>0</v>
      </c>
      <c r="J13" s="18">
        <v>166.27999999997294</v>
      </c>
      <c r="K13" s="18">
        <v>3000</v>
      </c>
      <c r="L13" s="18">
        <v>225.98</v>
      </c>
      <c r="M13" s="18"/>
      <c r="N13" s="18">
        <f>Tabela1[[#This Row],[1ª QZ]]-Tabela1[[#This Row],[SALDO FINAL]]-Tabela1[[#This Row],[SALDO CARTAO]]-Tabela1[[#This Row],[Adiantamento ]]</f>
        <v>2607.7400000000271</v>
      </c>
      <c r="O13" s="18">
        <f>Tabela1[[#This Row],[SALDO REEMBOLSAR]]*$O$4</f>
        <v>0</v>
      </c>
      <c r="P13" s="18">
        <f>IF(Tabela1[[#This Row],[CARGA PARCIAL]]&lt;0,0,Tabela1[[#This Row],[CARGA PARCIAL]])+Tabela1[[#This Row],[REEMBOLSO]]</f>
        <v>2607.7400000000271</v>
      </c>
      <c r="Q13">
        <v>1081.760000000027</v>
      </c>
      <c r="R13" s="45">
        <f>Tabela1[[#This Row],[Carga CORRETA]]-Tabela1[[#This Row],[Carga RECEBIDA]]</f>
        <v>1525.98</v>
      </c>
      <c r="S13" t="str">
        <f>_xlfn.XLOOKUP(Tabela1[[#This Row],[COLABORADOR]],'STATUS CARTAO'!D:D,'STATUS CARTAO'!G:G)</f>
        <v>Cartão ativo</v>
      </c>
    </row>
    <row r="14" spans="2:19" x14ac:dyDescent="0.25">
      <c r="B14" s="3" t="s">
        <v>488</v>
      </c>
      <c r="C14" s="3" t="s">
        <v>489</v>
      </c>
      <c r="D14" s="5" t="s">
        <v>1426</v>
      </c>
      <c r="E14" s="3" t="s">
        <v>22</v>
      </c>
      <c r="F14" s="3" t="s">
        <v>77</v>
      </c>
      <c r="G14" s="3" t="s">
        <v>23</v>
      </c>
      <c r="H14" s="3" t="s">
        <v>24</v>
      </c>
      <c r="I14" s="18">
        <v>0</v>
      </c>
      <c r="J14" s="18">
        <v>0</v>
      </c>
      <c r="K14" s="18">
        <v>1400</v>
      </c>
      <c r="L14" s="18">
        <v>0</v>
      </c>
      <c r="M14" s="18"/>
      <c r="N14" s="18">
        <f>Tabela1[[#This Row],[1ª QZ]]-Tabela1[[#This Row],[SALDO FINAL]]-Tabela1[[#This Row],[SALDO CARTAO]]-Tabela1[[#This Row],[Adiantamento ]]</f>
        <v>1400</v>
      </c>
      <c r="O14" s="18">
        <f>Tabela1[[#This Row],[SALDO REEMBOLSAR]]*$O$4</f>
        <v>0</v>
      </c>
      <c r="P14" s="18">
        <f>IF(Tabela1[[#This Row],[CARGA PARCIAL]]&lt;0,0,Tabela1[[#This Row],[CARGA PARCIAL]])+Tabela1[[#This Row],[REEMBOLSO]]</f>
        <v>1400</v>
      </c>
      <c r="Q14">
        <v>20.999999999996362</v>
      </c>
      <c r="R14" s="45">
        <f>Tabela1[[#This Row],[Carga CORRETA]]-Tabela1[[#This Row],[Carga RECEBIDA]]</f>
        <v>1379.0000000000036</v>
      </c>
      <c r="S14" t="str">
        <f>_xlfn.XLOOKUP(Tabela1[[#This Row],[COLABORADOR]],'STATUS CARTAO'!D:D,'STATUS CARTAO'!G:G)</f>
        <v>Cartão ativo</v>
      </c>
    </row>
    <row r="15" spans="2:19" x14ac:dyDescent="0.25">
      <c r="B15" s="3" t="s">
        <v>188</v>
      </c>
      <c r="C15" s="3" t="s">
        <v>189</v>
      </c>
      <c r="D15" s="5" t="s">
        <v>1427</v>
      </c>
      <c r="E15" s="3" t="s">
        <v>26</v>
      </c>
      <c r="F15" s="3" t="s">
        <v>27</v>
      </c>
      <c r="G15" s="3" t="s">
        <v>28</v>
      </c>
      <c r="H15" s="3" t="s">
        <v>19</v>
      </c>
      <c r="I15" s="18">
        <v>0</v>
      </c>
      <c r="J15" s="18">
        <v>390.43999999999505</v>
      </c>
      <c r="K15" s="18">
        <v>4000</v>
      </c>
      <c r="L15" s="18">
        <v>0</v>
      </c>
      <c r="M15" s="18"/>
      <c r="N15" s="18">
        <f>Tabela1[[#This Row],[1ª QZ]]-Tabela1[[#This Row],[SALDO FINAL]]-Tabela1[[#This Row],[SALDO CARTAO]]-Tabela1[[#This Row],[Adiantamento ]]</f>
        <v>3609.5600000000049</v>
      </c>
      <c r="O15" s="18">
        <f>Tabela1[[#This Row],[SALDO REEMBOLSAR]]*$O$4</f>
        <v>0</v>
      </c>
      <c r="P15" s="18">
        <f>IF(Tabela1[[#This Row],[CARGA PARCIAL]]&lt;0,0,Tabela1[[#This Row],[CARGA PARCIAL]])+Tabela1[[#This Row],[REEMBOLSO]]</f>
        <v>3609.5600000000049</v>
      </c>
      <c r="Q15">
        <v>2609.5600000000049</v>
      </c>
      <c r="R15" s="45">
        <f>Tabela1[[#This Row],[Carga CORRETA]]-Tabela1[[#This Row],[Carga RECEBIDA]]</f>
        <v>1000</v>
      </c>
      <c r="S15" t="str">
        <f>_xlfn.XLOOKUP(Tabela1[[#This Row],[COLABORADOR]],'STATUS CARTAO'!D:D,'STATUS CARTAO'!G:G)</f>
        <v>Cartão ativo</v>
      </c>
    </row>
    <row r="16" spans="2:19" x14ac:dyDescent="0.25">
      <c r="B16" s="3" t="s">
        <v>153</v>
      </c>
      <c r="C16" s="3" t="s">
        <v>154</v>
      </c>
      <c r="D16" s="5" t="s">
        <v>1427</v>
      </c>
      <c r="E16" s="3" t="s">
        <v>26</v>
      </c>
      <c r="F16" s="3" t="s">
        <v>101</v>
      </c>
      <c r="G16" s="3" t="s">
        <v>28</v>
      </c>
      <c r="H16" s="3" t="s">
        <v>19</v>
      </c>
      <c r="I16" s="18">
        <v>0</v>
      </c>
      <c r="J16" s="18">
        <v>1995.7700000000004</v>
      </c>
      <c r="K16" s="18">
        <v>3000</v>
      </c>
      <c r="L16" s="18">
        <v>5.25</v>
      </c>
      <c r="M16" s="18"/>
      <c r="N16" s="18">
        <f>Tabela1[[#This Row],[1ª QZ]]-Tabela1[[#This Row],[SALDO FINAL]]-Tabela1[[#This Row],[SALDO CARTAO]]-Tabela1[[#This Row],[Adiantamento ]]</f>
        <v>998.97999999999956</v>
      </c>
      <c r="O16" s="18">
        <f>Tabela1[[#This Row],[SALDO REEMBOLSAR]]*$O$4</f>
        <v>0</v>
      </c>
      <c r="P16" s="18">
        <f>IF(Tabela1[[#This Row],[CARGA PARCIAL]]&lt;0,0,Tabela1[[#This Row],[CARGA PARCIAL]])+Tabela1[[#This Row],[REEMBOLSO]]</f>
        <v>998.97999999999956</v>
      </c>
      <c r="Q16">
        <v>0</v>
      </c>
      <c r="R16" s="45">
        <f>Tabela1[[#This Row],[Carga CORRETA]]-Tabela1[[#This Row],[Carga RECEBIDA]]</f>
        <v>998.97999999999956</v>
      </c>
      <c r="S16" t="str">
        <f>_xlfn.XLOOKUP(Tabela1[[#This Row],[COLABORADOR]],'STATUS CARTAO'!D:D,'STATUS CARTAO'!G:G)</f>
        <v>Cartão ativo</v>
      </c>
    </row>
    <row r="17" spans="2:19" x14ac:dyDescent="0.25">
      <c r="B17" s="3" t="s">
        <v>424</v>
      </c>
      <c r="C17" s="3" t="s">
        <v>425</v>
      </c>
      <c r="D17" s="5" t="s">
        <v>1427</v>
      </c>
      <c r="E17" s="3" t="s">
        <v>64</v>
      </c>
      <c r="F17" s="3" t="s">
        <v>301</v>
      </c>
      <c r="G17" s="3" t="s">
        <v>66</v>
      </c>
      <c r="H17" s="3" t="s">
        <v>24</v>
      </c>
      <c r="I17" s="18">
        <v>0</v>
      </c>
      <c r="J17" s="18">
        <v>0</v>
      </c>
      <c r="K17" s="18">
        <v>2500</v>
      </c>
      <c r="L17" s="18">
        <v>1106.25</v>
      </c>
      <c r="M17" s="18"/>
      <c r="N17" s="18">
        <f>Tabela1[[#This Row],[1ª QZ]]-Tabela1[[#This Row],[SALDO FINAL]]-Tabela1[[#This Row],[SALDO CARTAO]]-Tabela1[[#This Row],[Adiantamento ]]</f>
        <v>1393.75</v>
      </c>
      <c r="O17" s="18">
        <f>Tabela1[[#This Row],[SALDO REEMBOLSAR]]*$O$4</f>
        <v>0</v>
      </c>
      <c r="P17" s="18">
        <f>IF(Tabela1[[#This Row],[CARGA PARCIAL]]&lt;0,0,Tabela1[[#This Row],[CARGA PARCIAL]])+Tabela1[[#This Row],[REEMBOLSO]]</f>
        <v>1393.75</v>
      </c>
      <c r="Q17">
        <v>428.7599999999893</v>
      </c>
      <c r="R17" s="45">
        <f>Tabela1[[#This Row],[Carga CORRETA]]-Tabela1[[#This Row],[Carga RECEBIDA]]</f>
        <v>964.9900000000107</v>
      </c>
      <c r="S17" t="str">
        <f>_xlfn.XLOOKUP(Tabela1[[#This Row],[COLABORADOR]],'STATUS CARTAO'!D:D,'STATUS CARTAO'!G:G)</f>
        <v>Cartão ativo</v>
      </c>
    </row>
    <row r="18" spans="2:19" x14ac:dyDescent="0.25">
      <c r="B18" s="3" t="s">
        <v>194</v>
      </c>
      <c r="C18" s="3" t="s">
        <v>195</v>
      </c>
      <c r="D18" s="5" t="s">
        <v>1426</v>
      </c>
      <c r="E18" s="3" t="s">
        <v>22</v>
      </c>
      <c r="F18" s="3" t="s">
        <v>196</v>
      </c>
      <c r="G18" s="3" t="s">
        <v>23</v>
      </c>
      <c r="H18" s="3" t="s">
        <v>24</v>
      </c>
      <c r="I18" s="18">
        <v>0</v>
      </c>
      <c r="J18" s="18">
        <v>1432.7900000000159</v>
      </c>
      <c r="K18" s="18">
        <v>3500</v>
      </c>
      <c r="L18" s="18">
        <v>24.02</v>
      </c>
      <c r="M18" s="18"/>
      <c r="N18" s="18">
        <f>Tabela1[[#This Row],[1ª QZ]]-Tabela1[[#This Row],[SALDO FINAL]]-Tabela1[[#This Row],[SALDO CARTAO]]-Tabela1[[#This Row],[Adiantamento ]]</f>
        <v>2043.1899999999841</v>
      </c>
      <c r="O18" s="18">
        <f>Tabela1[[#This Row],[SALDO REEMBOLSAR]]*$O$4</f>
        <v>0</v>
      </c>
      <c r="P18" s="18">
        <f>IF(Tabela1[[#This Row],[CARGA PARCIAL]]&lt;0,0,Tabela1[[#This Row],[CARGA PARCIAL]])+Tabela1[[#This Row],[REEMBOLSO]]</f>
        <v>2043.1899999999841</v>
      </c>
      <c r="Q18">
        <v>1375.1699999999842</v>
      </c>
      <c r="R18" s="45">
        <f>Tabela1[[#This Row],[Carga CORRETA]]-Tabela1[[#This Row],[Carga RECEBIDA]]</f>
        <v>668.02</v>
      </c>
      <c r="S18" t="str">
        <f>_xlfn.XLOOKUP(Tabela1[[#This Row],[COLABORADOR]],'STATUS CARTAO'!D:D,'STATUS CARTAO'!G:G)</f>
        <v>Cartão ativo</v>
      </c>
    </row>
    <row r="19" spans="2:19" x14ac:dyDescent="0.25">
      <c r="B19" s="3" t="s">
        <v>314</v>
      </c>
      <c r="C19" s="3" t="s">
        <v>315</v>
      </c>
      <c r="D19" s="5" t="s">
        <v>1426</v>
      </c>
      <c r="E19" s="3" t="s">
        <v>47</v>
      </c>
      <c r="F19" s="3" t="s">
        <v>316</v>
      </c>
      <c r="G19" s="3" t="s">
        <v>48</v>
      </c>
      <c r="H19" s="3" t="s">
        <v>19</v>
      </c>
      <c r="I19" s="18">
        <v>0</v>
      </c>
      <c r="J19" s="18">
        <v>0</v>
      </c>
      <c r="K19" s="18">
        <v>2000</v>
      </c>
      <c r="L19" s="18">
        <v>1480</v>
      </c>
      <c r="M19" s="18"/>
      <c r="N19" s="18">
        <f>Tabela1[[#This Row],[1ª QZ]]-Tabela1[[#This Row],[SALDO FINAL]]-Tabela1[[#This Row],[SALDO CARTAO]]-Tabela1[[#This Row],[Adiantamento ]]</f>
        <v>520</v>
      </c>
      <c r="O19" s="18">
        <f>Tabela1[[#This Row],[SALDO REEMBOLSAR]]*$O$4</f>
        <v>0</v>
      </c>
      <c r="P19" s="18">
        <f>IF(Tabela1[[#This Row],[CARGA PARCIAL]]&lt;0,0,Tabela1[[#This Row],[CARGA PARCIAL]])+Tabela1[[#This Row],[REEMBOLSO]]</f>
        <v>520</v>
      </c>
      <c r="Q19">
        <v>0</v>
      </c>
      <c r="R19" s="45">
        <f>Tabela1[[#This Row],[Carga CORRETA]]-Tabela1[[#This Row],[Carga RECEBIDA]]</f>
        <v>520</v>
      </c>
      <c r="S19" t="str">
        <f>_xlfn.XLOOKUP(Tabela1[[#This Row],[COLABORADOR]],'STATUS CARTAO'!D:D,'STATUS CARTAO'!G:G)</f>
        <v>Cartão ativo</v>
      </c>
    </row>
    <row r="20" spans="2:19" x14ac:dyDescent="0.25">
      <c r="B20" s="3" t="s">
        <v>356</v>
      </c>
      <c r="C20" s="3" t="s">
        <v>357</v>
      </c>
      <c r="D20" s="5" t="s">
        <v>1426</v>
      </c>
      <c r="E20" s="3" t="s">
        <v>22</v>
      </c>
      <c r="F20" s="3" t="s">
        <v>196</v>
      </c>
      <c r="G20" s="3" t="s">
        <v>23</v>
      </c>
      <c r="H20" s="3" t="s">
        <v>24</v>
      </c>
      <c r="I20" s="18">
        <v>0</v>
      </c>
      <c r="J20" s="18">
        <v>1.1999999999999886</v>
      </c>
      <c r="K20" s="18">
        <v>700</v>
      </c>
      <c r="L20" s="18">
        <v>218.8</v>
      </c>
      <c r="M20" s="18"/>
      <c r="N20" s="18">
        <f>Tabela1[[#This Row],[1ª QZ]]-Tabela1[[#This Row],[SALDO FINAL]]-Tabela1[[#This Row],[SALDO CARTAO]]-Tabela1[[#This Row],[Adiantamento ]]</f>
        <v>479.99999999999994</v>
      </c>
      <c r="O20" s="18">
        <f>Tabela1[[#This Row],[SALDO REEMBOLSAR]]*$O$4</f>
        <v>0</v>
      </c>
      <c r="P20" s="18">
        <f>IF(Tabela1[[#This Row],[CARGA PARCIAL]]&lt;0,0,Tabela1[[#This Row],[CARGA PARCIAL]])+Tabela1[[#This Row],[REEMBOLSO]]</f>
        <v>479.99999999999994</v>
      </c>
      <c r="Q20">
        <v>0</v>
      </c>
      <c r="R20" s="45">
        <f>Tabela1[[#This Row],[Carga CORRETA]]-Tabela1[[#This Row],[Carga RECEBIDA]]</f>
        <v>479.99999999999994</v>
      </c>
      <c r="S20" t="str">
        <f>_xlfn.XLOOKUP(Tabela1[[#This Row],[COLABORADOR]],'STATUS CARTAO'!D:D,'STATUS CARTAO'!G:G)</f>
        <v>Cartão ativo</v>
      </c>
    </row>
    <row r="21" spans="2:19" x14ac:dyDescent="0.25">
      <c r="B21" s="3" t="s">
        <v>120</v>
      </c>
      <c r="C21" s="3" t="s">
        <v>121</v>
      </c>
      <c r="D21" s="5" t="s">
        <v>1426</v>
      </c>
      <c r="E21" s="3" t="s">
        <v>47</v>
      </c>
      <c r="F21" s="3" t="s">
        <v>122</v>
      </c>
      <c r="G21" s="3" t="s">
        <v>48</v>
      </c>
      <c r="H21" s="3" t="s">
        <v>19</v>
      </c>
      <c r="I21" s="18">
        <v>0</v>
      </c>
      <c r="J21" s="18">
        <v>466.26000000000818</v>
      </c>
      <c r="K21" s="18">
        <v>2000</v>
      </c>
      <c r="L21" s="18">
        <v>1063.53</v>
      </c>
      <c r="M21" s="18"/>
      <c r="N21" s="18">
        <f>Tabela1[[#This Row],[1ª QZ]]-Tabela1[[#This Row],[SALDO FINAL]]-Tabela1[[#This Row],[SALDO CARTAO]]-Tabela1[[#This Row],[Adiantamento ]]</f>
        <v>470.20999999999185</v>
      </c>
      <c r="O21" s="18">
        <f>Tabela1[[#This Row],[SALDO REEMBOLSAR]]*$O$4</f>
        <v>0</v>
      </c>
      <c r="P21" s="18">
        <f>IF(Tabela1[[#This Row],[CARGA PARCIAL]]&lt;0,0,Tabela1[[#This Row],[CARGA PARCIAL]])+Tabela1[[#This Row],[REEMBOLSO]]</f>
        <v>470.20999999999185</v>
      </c>
      <c r="Q21">
        <v>0</v>
      </c>
      <c r="R21" s="45">
        <f>Tabela1[[#This Row],[Carga CORRETA]]-Tabela1[[#This Row],[Carga RECEBIDA]]</f>
        <v>470.20999999999185</v>
      </c>
      <c r="S21" t="str">
        <f>_xlfn.XLOOKUP(Tabela1[[#This Row],[COLABORADOR]],'STATUS CARTAO'!D:D,'STATUS CARTAO'!G:G)</f>
        <v>Cartão ativo</v>
      </c>
    </row>
    <row r="22" spans="2:19" x14ac:dyDescent="0.25">
      <c r="B22" s="3" t="s">
        <v>140</v>
      </c>
      <c r="C22" s="3" t="s">
        <v>141</v>
      </c>
      <c r="D22" s="5" t="s">
        <v>1427</v>
      </c>
      <c r="E22" s="3" t="s">
        <v>37</v>
      </c>
      <c r="F22" s="3" t="s">
        <v>142</v>
      </c>
      <c r="G22" s="3" t="s">
        <v>38</v>
      </c>
      <c r="H22" s="3" t="s">
        <v>24</v>
      </c>
      <c r="I22" s="18">
        <v>0</v>
      </c>
      <c r="J22" s="18">
        <v>1771.0899999999533</v>
      </c>
      <c r="K22" s="18">
        <v>4000</v>
      </c>
      <c r="L22" s="18">
        <v>466.86</v>
      </c>
      <c r="M22" s="18"/>
      <c r="N22" s="18">
        <f>Tabela1[[#This Row],[1ª QZ]]-Tabela1[[#This Row],[SALDO FINAL]]-Tabela1[[#This Row],[SALDO CARTAO]]-Tabela1[[#This Row],[Adiantamento ]]</f>
        <v>1762.0500000000466</v>
      </c>
      <c r="O22" s="18">
        <f>Tabela1[[#This Row],[SALDO REEMBOLSAR]]*$O$4</f>
        <v>0</v>
      </c>
      <c r="P22" s="18">
        <f>IF(Tabela1[[#This Row],[CARGA PARCIAL]]&lt;0,0,Tabela1[[#This Row],[CARGA PARCIAL]])+Tabela1[[#This Row],[REEMBOLSO]]</f>
        <v>1762.0500000000466</v>
      </c>
      <c r="Q22">
        <v>1295.1900000000464</v>
      </c>
      <c r="R22" s="45">
        <f>Tabela1[[#This Row],[Carga CORRETA]]-Tabela1[[#This Row],[Carga RECEBIDA]]</f>
        <v>466.86000000000013</v>
      </c>
      <c r="S22" t="str">
        <f>_xlfn.XLOOKUP(Tabela1[[#This Row],[COLABORADOR]],'STATUS CARTAO'!D:D,'STATUS CARTAO'!G:G)</f>
        <v>Cartão ativo</v>
      </c>
    </row>
    <row r="23" spans="2:19" x14ac:dyDescent="0.25">
      <c r="B23" s="3" t="s">
        <v>542</v>
      </c>
      <c r="C23" s="3" t="s">
        <v>543</v>
      </c>
      <c r="D23" s="5" t="s">
        <v>1427</v>
      </c>
      <c r="E23" s="3" t="s">
        <v>32</v>
      </c>
      <c r="F23" s="3" t="s">
        <v>522</v>
      </c>
      <c r="G23" s="3" t="s">
        <v>34</v>
      </c>
      <c r="H23" s="3" t="s">
        <v>35</v>
      </c>
      <c r="I23" s="18">
        <v>0</v>
      </c>
      <c r="J23" s="18">
        <v>35.699999999999989</v>
      </c>
      <c r="K23" s="18">
        <v>1200</v>
      </c>
      <c r="L23" s="18">
        <v>428.57</v>
      </c>
      <c r="M23" s="18"/>
      <c r="N23" s="18">
        <f>Tabela1[[#This Row],[1ª QZ]]-Tabela1[[#This Row],[SALDO FINAL]]-Tabela1[[#This Row],[SALDO CARTAO]]-Tabela1[[#This Row],[Adiantamento ]]</f>
        <v>735.73</v>
      </c>
      <c r="O23" s="18">
        <f>Tabela1[[#This Row],[SALDO REEMBOLSAR]]*$O$4</f>
        <v>0</v>
      </c>
      <c r="P23" s="18">
        <f>IF(Tabela1[[#This Row],[CARGA PARCIAL]]&lt;0,0,Tabela1[[#This Row],[CARGA PARCIAL]])+Tabela1[[#This Row],[REEMBOLSO]]</f>
        <v>735.73</v>
      </c>
      <c r="Q23">
        <v>307.16000000000003</v>
      </c>
      <c r="R23" s="45">
        <f>Tabela1[[#This Row],[Carga CORRETA]]-Tabela1[[#This Row],[Carga RECEBIDA]]</f>
        <v>428.57</v>
      </c>
      <c r="S23" t="str">
        <f>_xlfn.XLOOKUP(Tabela1[[#This Row],[COLABORADOR]],'STATUS CARTAO'!D:D,'STATUS CARTAO'!G:G)</f>
        <v>Cartão ativo</v>
      </c>
    </row>
    <row r="24" spans="2:19" x14ac:dyDescent="0.25">
      <c r="B24" s="3" t="s">
        <v>368</v>
      </c>
      <c r="C24" s="3" t="s">
        <v>369</v>
      </c>
      <c r="D24" s="5" t="s">
        <v>1426</v>
      </c>
      <c r="E24" s="3" t="s">
        <v>22</v>
      </c>
      <c r="F24" s="3" t="s">
        <v>77</v>
      </c>
      <c r="G24" s="3" t="s">
        <v>23</v>
      </c>
      <c r="H24" s="3" t="s">
        <v>24</v>
      </c>
      <c r="I24" s="18">
        <v>0</v>
      </c>
      <c r="J24" s="18">
        <v>0</v>
      </c>
      <c r="K24" s="18">
        <v>800</v>
      </c>
      <c r="L24" s="18">
        <v>437.79</v>
      </c>
      <c r="M24" s="18"/>
      <c r="N24" s="18">
        <f>Tabela1[[#This Row],[1ª QZ]]-Tabela1[[#This Row],[SALDO FINAL]]-Tabela1[[#This Row],[SALDO CARTAO]]-Tabela1[[#This Row],[Adiantamento ]]</f>
        <v>362.21</v>
      </c>
      <c r="O24" s="18">
        <f>Tabela1[[#This Row],[SALDO REEMBOLSAR]]*$O$4</f>
        <v>0</v>
      </c>
      <c r="P24" s="18">
        <f>IF(Tabela1[[#This Row],[CARGA PARCIAL]]&lt;0,0,Tabela1[[#This Row],[CARGA PARCIAL]])+Tabela1[[#This Row],[REEMBOLSO]]</f>
        <v>362.21</v>
      </c>
      <c r="Q24">
        <v>0</v>
      </c>
      <c r="R24" s="45">
        <f>Tabela1[[#This Row],[Carga CORRETA]]-Tabela1[[#This Row],[Carga RECEBIDA]]</f>
        <v>362.21</v>
      </c>
      <c r="S24" t="str">
        <f>_xlfn.XLOOKUP(Tabela1[[#This Row],[COLABORADOR]],'STATUS CARTAO'!D:D,'STATUS CARTAO'!G:G)</f>
        <v>Cartão ativo</v>
      </c>
    </row>
    <row r="25" spans="2:19" x14ac:dyDescent="0.25">
      <c r="B25" s="3" t="s">
        <v>265</v>
      </c>
      <c r="C25" s="3" t="s">
        <v>266</v>
      </c>
      <c r="D25" s="5" t="s">
        <v>1426</v>
      </c>
      <c r="E25" s="3" t="s">
        <v>22</v>
      </c>
      <c r="F25" s="3" t="s">
        <v>77</v>
      </c>
      <c r="G25" s="3" t="s">
        <v>23</v>
      </c>
      <c r="H25" s="3" t="s">
        <v>24</v>
      </c>
      <c r="I25" s="18">
        <v>0</v>
      </c>
      <c r="J25" s="18">
        <v>307.8999999999977</v>
      </c>
      <c r="K25" s="18">
        <v>800</v>
      </c>
      <c r="L25" s="18">
        <v>166.62</v>
      </c>
      <c r="M25" s="18"/>
      <c r="N25" s="18">
        <f>Tabela1[[#This Row],[1ª QZ]]-Tabela1[[#This Row],[SALDO FINAL]]-Tabela1[[#This Row],[SALDO CARTAO]]-Tabela1[[#This Row],[Adiantamento ]]</f>
        <v>325.48000000000229</v>
      </c>
      <c r="O25" s="18">
        <f>Tabela1[[#This Row],[SALDO REEMBOLSAR]]*$O$4</f>
        <v>0</v>
      </c>
      <c r="P25" s="18">
        <f>IF(Tabela1[[#This Row],[CARGA PARCIAL]]&lt;0,0,Tabela1[[#This Row],[CARGA PARCIAL]])+Tabela1[[#This Row],[REEMBOLSO]]</f>
        <v>325.48000000000229</v>
      </c>
      <c r="Q25">
        <v>0</v>
      </c>
      <c r="R25" s="45">
        <f>Tabela1[[#This Row],[Carga CORRETA]]-Tabela1[[#This Row],[Carga RECEBIDA]]</f>
        <v>325.48000000000229</v>
      </c>
      <c r="S25" t="str">
        <f>_xlfn.XLOOKUP(Tabela1[[#This Row],[COLABORADOR]],'STATUS CARTAO'!D:D,'STATUS CARTAO'!G:G)</f>
        <v>Cartão ativo</v>
      </c>
    </row>
    <row r="26" spans="2:19" x14ac:dyDescent="0.25">
      <c r="B26" s="3" t="s">
        <v>370</v>
      </c>
      <c r="C26" s="3" t="s">
        <v>371</v>
      </c>
      <c r="D26" s="5" t="s">
        <v>1426</v>
      </c>
      <c r="E26" s="3" t="s">
        <v>22</v>
      </c>
      <c r="F26" s="3" t="s">
        <v>77</v>
      </c>
      <c r="G26" s="3" t="s">
        <v>23</v>
      </c>
      <c r="H26" s="3" t="s">
        <v>24</v>
      </c>
      <c r="I26" s="18">
        <v>0</v>
      </c>
      <c r="J26" s="18">
        <v>87.600000000003149</v>
      </c>
      <c r="K26" s="18">
        <v>800</v>
      </c>
      <c r="L26" s="18">
        <v>396.21</v>
      </c>
      <c r="M26" s="18"/>
      <c r="N26" s="18">
        <f>Tabela1[[#This Row],[1ª QZ]]-Tabela1[[#This Row],[SALDO FINAL]]-Tabela1[[#This Row],[SALDO CARTAO]]-Tabela1[[#This Row],[Adiantamento ]]</f>
        <v>316.18999999999693</v>
      </c>
      <c r="O26" s="18">
        <f>Tabela1[[#This Row],[SALDO REEMBOLSAR]]*$O$4</f>
        <v>0</v>
      </c>
      <c r="P26" s="18">
        <f>IF(Tabela1[[#This Row],[CARGA PARCIAL]]&lt;0,0,Tabela1[[#This Row],[CARGA PARCIAL]])+Tabela1[[#This Row],[REEMBOLSO]]</f>
        <v>316.18999999999693</v>
      </c>
      <c r="Q26">
        <v>0</v>
      </c>
      <c r="R26" s="45">
        <f>Tabela1[[#This Row],[Carga CORRETA]]-Tabela1[[#This Row],[Carga RECEBIDA]]</f>
        <v>316.18999999999693</v>
      </c>
      <c r="S26" t="str">
        <f>_xlfn.XLOOKUP(Tabela1[[#This Row],[COLABORADOR]],'STATUS CARTAO'!D:D,'STATUS CARTAO'!G:G)</f>
        <v>Cartão ativo</v>
      </c>
    </row>
    <row r="27" spans="2:19" x14ac:dyDescent="0.25">
      <c r="B27" s="3" t="s">
        <v>358</v>
      </c>
      <c r="C27" s="3" t="s">
        <v>359</v>
      </c>
      <c r="D27" s="5" t="s">
        <v>1426</v>
      </c>
      <c r="E27" s="3" t="s">
        <v>22</v>
      </c>
      <c r="F27" s="3" t="s">
        <v>77</v>
      </c>
      <c r="G27" s="3" t="s">
        <v>23</v>
      </c>
      <c r="H27" s="3" t="s">
        <v>24</v>
      </c>
      <c r="I27" s="18">
        <v>0</v>
      </c>
      <c r="J27" s="18">
        <v>4.8885340220294893E-12</v>
      </c>
      <c r="K27" s="18">
        <v>800</v>
      </c>
      <c r="L27" s="18">
        <v>300.64</v>
      </c>
      <c r="M27" s="18"/>
      <c r="N27" s="18">
        <f>Tabela1[[#This Row],[1ª QZ]]-Tabela1[[#This Row],[SALDO FINAL]]-Tabela1[[#This Row],[SALDO CARTAO]]-Tabela1[[#This Row],[Adiantamento ]]</f>
        <v>499.35999999999513</v>
      </c>
      <c r="O27" s="18">
        <f>Tabela1[[#This Row],[SALDO REEMBOLSAR]]*$O$4</f>
        <v>0</v>
      </c>
      <c r="P27" s="18">
        <f>IF(Tabela1[[#This Row],[CARGA PARCIAL]]&lt;0,0,Tabela1[[#This Row],[CARGA PARCIAL]])+Tabela1[[#This Row],[REEMBOLSO]]</f>
        <v>499.35999999999513</v>
      </c>
      <c r="Q27">
        <v>198.71999999999514</v>
      </c>
      <c r="R27" s="45">
        <f>Tabela1[[#This Row],[Carga CORRETA]]-Tabela1[[#This Row],[Carga RECEBIDA]]</f>
        <v>300.64</v>
      </c>
      <c r="S27" t="str">
        <f>_xlfn.XLOOKUP(Tabela1[[#This Row],[COLABORADOR]],'STATUS CARTAO'!D:D,'STATUS CARTAO'!G:G)</f>
        <v>Cartão ativo</v>
      </c>
    </row>
    <row r="28" spans="2:19" x14ac:dyDescent="0.25">
      <c r="B28" s="3" t="s">
        <v>157</v>
      </c>
      <c r="C28" s="3" t="s">
        <v>158</v>
      </c>
      <c r="D28" s="5" t="s">
        <v>1426</v>
      </c>
      <c r="E28" s="3" t="s">
        <v>22</v>
      </c>
      <c r="F28" s="3" t="s">
        <v>547</v>
      </c>
      <c r="G28" s="3" t="s">
        <v>23</v>
      </c>
      <c r="H28" s="3" t="s">
        <v>24</v>
      </c>
      <c r="I28" s="18">
        <v>0</v>
      </c>
      <c r="J28" s="18">
        <v>291</v>
      </c>
      <c r="K28" s="18">
        <v>1000</v>
      </c>
      <c r="L28" s="18">
        <v>413</v>
      </c>
      <c r="M28" s="18"/>
      <c r="N28" s="18">
        <f>Tabela1[[#This Row],[1ª QZ]]-Tabela1[[#This Row],[SALDO FINAL]]-Tabela1[[#This Row],[SALDO CARTAO]]-Tabela1[[#This Row],[Adiantamento ]]</f>
        <v>296</v>
      </c>
      <c r="O28" s="18">
        <f>Tabela1[[#This Row],[SALDO REEMBOLSAR]]*$O$4</f>
        <v>0</v>
      </c>
      <c r="P28" s="18">
        <f>IF(Tabela1[[#This Row],[CARGA PARCIAL]]&lt;0,0,Tabela1[[#This Row],[CARGA PARCIAL]])+Tabela1[[#This Row],[REEMBOLSO]]</f>
        <v>296</v>
      </c>
      <c r="Q28">
        <v>0</v>
      </c>
      <c r="R28" s="45">
        <f>Tabela1[[#This Row],[Carga CORRETA]]-Tabela1[[#This Row],[Carga RECEBIDA]]</f>
        <v>296</v>
      </c>
      <c r="S28" t="str">
        <f>_xlfn.XLOOKUP(Tabela1[[#This Row],[COLABORADOR]],'STATUS CARTAO'!D:D,'STATUS CARTAO'!G:G)</f>
        <v>Cartão ativo</v>
      </c>
    </row>
    <row r="29" spans="2:19" x14ac:dyDescent="0.25">
      <c r="B29" s="3" t="s">
        <v>399</v>
      </c>
      <c r="C29" s="3" t="s">
        <v>400</v>
      </c>
      <c r="D29" s="5" t="s">
        <v>1427</v>
      </c>
      <c r="E29" s="3" t="s">
        <v>32</v>
      </c>
      <c r="F29" s="3" t="s">
        <v>401</v>
      </c>
      <c r="G29" s="3" t="s">
        <v>34</v>
      </c>
      <c r="H29" s="3" t="s">
        <v>35</v>
      </c>
      <c r="I29" s="18">
        <v>0</v>
      </c>
      <c r="J29" s="18">
        <v>184.59000000000009</v>
      </c>
      <c r="K29" s="18">
        <v>800</v>
      </c>
      <c r="L29" s="18">
        <v>327.29000000000002</v>
      </c>
      <c r="M29" s="18"/>
      <c r="N29" s="18">
        <f>Tabela1[[#This Row],[1ª QZ]]-Tabela1[[#This Row],[SALDO FINAL]]-Tabela1[[#This Row],[SALDO CARTAO]]-Tabela1[[#This Row],[Adiantamento ]]</f>
        <v>288.11999999999983</v>
      </c>
      <c r="O29" s="18">
        <f>Tabela1[[#This Row],[SALDO REEMBOLSAR]]*$O$4</f>
        <v>0</v>
      </c>
      <c r="P29" s="18">
        <f>IF(Tabela1[[#This Row],[CARGA PARCIAL]]&lt;0,0,Tabela1[[#This Row],[CARGA PARCIAL]])+Tabela1[[#This Row],[REEMBOLSO]]</f>
        <v>288.11999999999983</v>
      </c>
      <c r="Q29">
        <v>0</v>
      </c>
      <c r="R29" s="45">
        <f>Tabela1[[#This Row],[Carga CORRETA]]-Tabela1[[#This Row],[Carga RECEBIDA]]</f>
        <v>288.11999999999983</v>
      </c>
      <c r="S29" t="str">
        <f>_xlfn.XLOOKUP(Tabela1[[#This Row],[COLABORADOR]],'STATUS CARTAO'!D:D,'STATUS CARTAO'!G:G)</f>
        <v>Cartão ativo</v>
      </c>
    </row>
    <row r="30" spans="2:19" x14ac:dyDescent="0.25">
      <c r="B30" s="3" t="s">
        <v>523</v>
      </c>
      <c r="C30" s="3" t="s">
        <v>524</v>
      </c>
      <c r="D30" s="5" t="s">
        <v>1427</v>
      </c>
      <c r="E30" s="3" t="s">
        <v>32</v>
      </c>
      <c r="F30" s="3" t="s">
        <v>525</v>
      </c>
      <c r="G30" s="3" t="s">
        <v>34</v>
      </c>
      <c r="H30" s="3" t="s">
        <v>35</v>
      </c>
      <c r="I30" s="18">
        <v>0</v>
      </c>
      <c r="J30" s="18">
        <v>2.0199999999994134</v>
      </c>
      <c r="K30" s="18">
        <v>750</v>
      </c>
      <c r="L30" s="18">
        <v>469.9</v>
      </c>
      <c r="M30" s="18"/>
      <c r="N30" s="18">
        <f>Tabela1[[#This Row],[1ª QZ]]-Tabela1[[#This Row],[SALDO FINAL]]-Tabela1[[#This Row],[SALDO CARTAO]]-Tabela1[[#This Row],[Adiantamento ]]</f>
        <v>278.08000000000061</v>
      </c>
      <c r="O30" s="18">
        <f>Tabela1[[#This Row],[SALDO REEMBOLSAR]]*$O$4</f>
        <v>0</v>
      </c>
      <c r="P30" s="18">
        <f>IF(Tabela1[[#This Row],[CARGA PARCIAL]]&lt;0,0,Tabela1[[#This Row],[CARGA PARCIAL]])+Tabela1[[#This Row],[REEMBOLSO]]</f>
        <v>278.08000000000061</v>
      </c>
      <c r="Q30">
        <v>0</v>
      </c>
      <c r="R30" s="45">
        <f>Tabela1[[#This Row],[Carga CORRETA]]-Tabela1[[#This Row],[Carga RECEBIDA]]</f>
        <v>278.08000000000061</v>
      </c>
      <c r="S30" t="str">
        <f>_xlfn.XLOOKUP(Tabela1[[#This Row],[COLABORADOR]],'STATUS CARTAO'!D:D,'STATUS CARTAO'!G:G)</f>
        <v>Cartão ativo</v>
      </c>
    </row>
    <row r="31" spans="2:19" x14ac:dyDescent="0.25">
      <c r="B31" s="3" t="s">
        <v>175</v>
      </c>
      <c r="C31" s="3" t="s">
        <v>176</v>
      </c>
      <c r="D31" s="5" t="s">
        <v>1427</v>
      </c>
      <c r="E31" s="3" t="s">
        <v>37</v>
      </c>
      <c r="F31" s="3" t="s">
        <v>177</v>
      </c>
      <c r="G31" s="3" t="s">
        <v>38</v>
      </c>
      <c r="H31" s="3" t="s">
        <v>24</v>
      </c>
      <c r="I31" s="18">
        <v>0</v>
      </c>
      <c r="J31" s="18">
        <v>346.57000000000085</v>
      </c>
      <c r="K31" s="18">
        <v>1500</v>
      </c>
      <c r="L31" s="18">
        <v>890.97</v>
      </c>
      <c r="M31" s="18"/>
      <c r="N31" s="18">
        <f>Tabela1[[#This Row],[1ª QZ]]-Tabela1[[#This Row],[SALDO FINAL]]-Tabela1[[#This Row],[SALDO CARTAO]]-Tabela1[[#This Row],[Adiantamento ]]</f>
        <v>262.45999999999913</v>
      </c>
      <c r="O31" s="18">
        <f>Tabela1[[#This Row],[SALDO REEMBOLSAR]]*$O$4</f>
        <v>0</v>
      </c>
      <c r="P31" s="18">
        <f>IF(Tabela1[[#This Row],[CARGA PARCIAL]]&lt;0,0,Tabela1[[#This Row],[CARGA PARCIAL]])+Tabela1[[#This Row],[REEMBOLSO]]</f>
        <v>262.45999999999913</v>
      </c>
      <c r="Q31">
        <v>0</v>
      </c>
      <c r="R31" s="45">
        <f>Tabela1[[#This Row],[Carga CORRETA]]-Tabela1[[#This Row],[Carga RECEBIDA]]</f>
        <v>262.45999999999913</v>
      </c>
      <c r="S31" t="str">
        <f>_xlfn.XLOOKUP(Tabela1[[#This Row],[COLABORADOR]],'STATUS CARTAO'!D:D,'STATUS CARTAO'!G:G)</f>
        <v>Cartão ativo</v>
      </c>
    </row>
    <row r="32" spans="2:19" x14ac:dyDescent="0.25">
      <c r="B32" s="3" t="s">
        <v>342</v>
      </c>
      <c r="C32" s="3" t="s">
        <v>343</v>
      </c>
      <c r="D32" s="5" t="s">
        <v>1427</v>
      </c>
      <c r="E32" s="3" t="s">
        <v>37</v>
      </c>
      <c r="F32" s="3" t="s">
        <v>80</v>
      </c>
      <c r="G32" s="3" t="s">
        <v>38</v>
      </c>
      <c r="H32" s="3" t="s">
        <v>24</v>
      </c>
      <c r="I32" s="18">
        <v>0</v>
      </c>
      <c r="J32" s="18">
        <v>0</v>
      </c>
      <c r="K32" s="18">
        <v>800</v>
      </c>
      <c r="L32" s="18">
        <v>542.29999999999995</v>
      </c>
      <c r="M32" s="18"/>
      <c r="N32" s="18">
        <f>Tabela1[[#This Row],[1ª QZ]]-Tabela1[[#This Row],[SALDO FINAL]]-Tabela1[[#This Row],[SALDO CARTAO]]-Tabela1[[#This Row],[Adiantamento ]]</f>
        <v>257.70000000000005</v>
      </c>
      <c r="O32" s="18">
        <f>Tabela1[[#This Row],[SALDO REEMBOLSAR]]*$O$4</f>
        <v>0</v>
      </c>
      <c r="P32" s="18">
        <f>IF(Tabela1[[#This Row],[CARGA PARCIAL]]&lt;0,0,Tabela1[[#This Row],[CARGA PARCIAL]])+Tabela1[[#This Row],[REEMBOLSO]]</f>
        <v>257.70000000000005</v>
      </c>
      <c r="Q32">
        <v>0</v>
      </c>
      <c r="R32" s="45">
        <f>Tabela1[[#This Row],[Carga CORRETA]]-Tabela1[[#This Row],[Carga RECEBIDA]]</f>
        <v>257.70000000000005</v>
      </c>
      <c r="S32" t="str">
        <f>_xlfn.XLOOKUP(Tabela1[[#This Row],[COLABORADOR]],'STATUS CARTAO'!D:D,'STATUS CARTAO'!G:G)</f>
        <v>Cartão ativo</v>
      </c>
    </row>
    <row r="33" spans="2:19" x14ac:dyDescent="0.25">
      <c r="B33" s="3" t="s">
        <v>362</v>
      </c>
      <c r="C33" s="3" t="s">
        <v>363</v>
      </c>
      <c r="D33" s="5" t="s">
        <v>1426</v>
      </c>
      <c r="E33" s="3" t="s">
        <v>22</v>
      </c>
      <c r="F33" s="3" t="s">
        <v>77</v>
      </c>
      <c r="G33" s="3" t="s">
        <v>23</v>
      </c>
      <c r="H33" s="3" t="s">
        <v>24</v>
      </c>
      <c r="I33" s="18">
        <v>0</v>
      </c>
      <c r="J33" s="18">
        <v>5.1727511163335294E-12</v>
      </c>
      <c r="K33" s="18">
        <v>750</v>
      </c>
      <c r="L33" s="18">
        <v>251.32</v>
      </c>
      <c r="M33" s="18"/>
      <c r="N33" s="18">
        <f>Tabela1[[#This Row],[1ª QZ]]-Tabela1[[#This Row],[SALDO FINAL]]-Tabela1[[#This Row],[SALDO CARTAO]]-Tabela1[[#This Row],[Adiantamento ]]</f>
        <v>498.67999999999478</v>
      </c>
      <c r="O33" s="18">
        <f>Tabela1[[#This Row],[SALDO REEMBOLSAR]]*$O$4</f>
        <v>0</v>
      </c>
      <c r="P33" s="18">
        <f>IF(Tabela1[[#This Row],[CARGA PARCIAL]]&lt;0,0,Tabela1[[#This Row],[CARGA PARCIAL]])+Tabela1[[#This Row],[REEMBOLSO]]</f>
        <v>498.67999999999478</v>
      </c>
      <c r="Q33">
        <v>247.35999999999484</v>
      </c>
      <c r="R33" s="45">
        <f>Tabela1[[#This Row],[Carga CORRETA]]-Tabela1[[#This Row],[Carga RECEBIDA]]</f>
        <v>251.31999999999994</v>
      </c>
      <c r="S33" t="str">
        <f>_xlfn.XLOOKUP(Tabela1[[#This Row],[COLABORADOR]],'STATUS CARTAO'!D:D,'STATUS CARTAO'!G:G)</f>
        <v>Cartão ativo</v>
      </c>
    </row>
    <row r="34" spans="2:19" x14ac:dyDescent="0.25">
      <c r="B34" s="3" t="s">
        <v>277</v>
      </c>
      <c r="C34" s="3" t="s">
        <v>278</v>
      </c>
      <c r="D34" s="5" t="s">
        <v>1426</v>
      </c>
      <c r="E34" s="3" t="s">
        <v>22</v>
      </c>
      <c r="F34" s="3" t="s">
        <v>77</v>
      </c>
      <c r="G34" s="3" t="s">
        <v>23</v>
      </c>
      <c r="H34" s="3" t="s">
        <v>24</v>
      </c>
      <c r="I34" s="18">
        <v>0</v>
      </c>
      <c r="J34" s="18">
        <v>73.400000000002905</v>
      </c>
      <c r="K34" s="18">
        <v>800</v>
      </c>
      <c r="L34" s="18">
        <v>242.9</v>
      </c>
      <c r="M34" s="18"/>
      <c r="N34" s="18">
        <f>Tabela1[[#This Row],[1ª QZ]]-Tabela1[[#This Row],[SALDO FINAL]]-Tabela1[[#This Row],[SALDO CARTAO]]-Tabela1[[#This Row],[Adiantamento ]]</f>
        <v>483.69999999999709</v>
      </c>
      <c r="O34" s="18">
        <f>Tabela1[[#This Row],[SALDO REEMBOLSAR]]*$O$4</f>
        <v>0</v>
      </c>
      <c r="P34" s="18">
        <f>IF(Tabela1[[#This Row],[CARGA PARCIAL]]&lt;0,0,Tabela1[[#This Row],[CARGA PARCIAL]])+Tabela1[[#This Row],[REEMBOLSO]]</f>
        <v>483.69999999999709</v>
      </c>
      <c r="Q34">
        <v>240.79999999999708</v>
      </c>
      <c r="R34" s="45">
        <f>Tabela1[[#This Row],[Carga CORRETA]]-Tabela1[[#This Row],[Carga RECEBIDA]]</f>
        <v>242.9</v>
      </c>
      <c r="S34" t="str">
        <f>_xlfn.XLOOKUP(Tabela1[[#This Row],[COLABORADOR]],'STATUS CARTAO'!D:D,'STATUS CARTAO'!G:G)</f>
        <v>Cartão ativo</v>
      </c>
    </row>
    <row r="35" spans="2:19" x14ac:dyDescent="0.25">
      <c r="B35" s="3" t="s">
        <v>374</v>
      </c>
      <c r="C35" s="3" t="s">
        <v>375</v>
      </c>
      <c r="D35" s="5" t="s">
        <v>1426</v>
      </c>
      <c r="E35" s="3" t="s">
        <v>22</v>
      </c>
      <c r="F35" s="3" t="s">
        <v>376</v>
      </c>
      <c r="G35" s="3" t="s">
        <v>23</v>
      </c>
      <c r="H35" s="3" t="s">
        <v>24</v>
      </c>
      <c r="I35" s="18">
        <v>0</v>
      </c>
      <c r="J35" s="18">
        <v>9.0949470177292824E-13</v>
      </c>
      <c r="K35" s="18">
        <v>500</v>
      </c>
      <c r="L35" s="18">
        <v>280</v>
      </c>
      <c r="M35" s="18"/>
      <c r="N35" s="18">
        <f>Tabela1[[#This Row],[1ª QZ]]-Tabela1[[#This Row],[SALDO FINAL]]-Tabela1[[#This Row],[SALDO CARTAO]]-Tabela1[[#This Row],[Adiantamento ]]</f>
        <v>219.99999999999909</v>
      </c>
      <c r="O35" s="18">
        <f>Tabela1[[#This Row],[SALDO REEMBOLSAR]]*$O$4</f>
        <v>0</v>
      </c>
      <c r="P35" s="18">
        <f>IF(Tabela1[[#This Row],[CARGA PARCIAL]]&lt;0,0,Tabela1[[#This Row],[CARGA PARCIAL]])+Tabela1[[#This Row],[REEMBOLSO]]</f>
        <v>219.99999999999909</v>
      </c>
      <c r="Q35">
        <v>0</v>
      </c>
      <c r="R35" s="45">
        <f>Tabela1[[#This Row],[Carga CORRETA]]-Tabela1[[#This Row],[Carga RECEBIDA]]</f>
        <v>219.99999999999909</v>
      </c>
      <c r="S35" t="str">
        <f>_xlfn.XLOOKUP(Tabela1[[#This Row],[COLABORADOR]],'STATUS CARTAO'!D:D,'STATUS CARTAO'!G:G)</f>
        <v>Cartão ativo</v>
      </c>
    </row>
    <row r="36" spans="2:19" x14ac:dyDescent="0.25">
      <c r="B36" s="3" t="s">
        <v>345</v>
      </c>
      <c r="C36" s="3" t="s">
        <v>346</v>
      </c>
      <c r="D36" s="5" t="s">
        <v>1426</v>
      </c>
      <c r="E36" s="3" t="s">
        <v>22</v>
      </c>
      <c r="F36" s="3" t="s">
        <v>347</v>
      </c>
      <c r="G36" s="3" t="s">
        <v>23</v>
      </c>
      <c r="H36" s="3" t="s">
        <v>24</v>
      </c>
      <c r="I36" s="18">
        <v>0</v>
      </c>
      <c r="J36" s="18">
        <v>15.000000000000114</v>
      </c>
      <c r="K36" s="18">
        <v>500</v>
      </c>
      <c r="L36" s="18">
        <v>285.10000000000002</v>
      </c>
      <c r="M36" s="18"/>
      <c r="N36" s="18">
        <f>Tabela1[[#This Row],[1ª QZ]]-Tabela1[[#This Row],[SALDO FINAL]]-Tabela1[[#This Row],[SALDO CARTAO]]-Tabela1[[#This Row],[Adiantamento ]]</f>
        <v>199.89999999999986</v>
      </c>
      <c r="O36" s="18">
        <f>Tabela1[[#This Row],[SALDO REEMBOLSAR]]*$O$4</f>
        <v>0</v>
      </c>
      <c r="P36" s="18">
        <f>IF(Tabela1[[#This Row],[CARGA PARCIAL]]&lt;0,0,Tabela1[[#This Row],[CARGA PARCIAL]])+Tabela1[[#This Row],[REEMBOLSO]]</f>
        <v>199.89999999999986</v>
      </c>
      <c r="Q36">
        <v>0</v>
      </c>
      <c r="R36" s="45">
        <f>Tabela1[[#This Row],[Carga CORRETA]]-Tabela1[[#This Row],[Carga RECEBIDA]]</f>
        <v>199.89999999999986</v>
      </c>
      <c r="S36" t="str">
        <f>_xlfn.XLOOKUP(Tabela1[[#This Row],[COLABORADOR]],'STATUS CARTAO'!D:D,'STATUS CARTAO'!G:G)</f>
        <v>Cartão ativo</v>
      </c>
    </row>
    <row r="37" spans="2:19" x14ac:dyDescent="0.25">
      <c r="B37" s="3" t="s">
        <v>360</v>
      </c>
      <c r="C37" s="3" t="s">
        <v>361</v>
      </c>
      <c r="D37" s="5" t="s">
        <v>1426</v>
      </c>
      <c r="E37" s="3" t="s">
        <v>22</v>
      </c>
      <c r="F37" s="3" t="s">
        <v>77</v>
      </c>
      <c r="G37" s="3" t="s">
        <v>23</v>
      </c>
      <c r="H37" s="3" t="s">
        <v>24</v>
      </c>
      <c r="I37" s="18">
        <v>0</v>
      </c>
      <c r="J37" s="18">
        <v>4.6611603465862572E-12</v>
      </c>
      <c r="K37" s="18">
        <v>800</v>
      </c>
      <c r="L37" s="18">
        <v>162.63</v>
      </c>
      <c r="M37" s="18"/>
      <c r="N37" s="18">
        <f>Tabela1[[#This Row],[1ª QZ]]-Tabela1[[#This Row],[SALDO FINAL]]-Tabela1[[#This Row],[SALDO CARTAO]]-Tabela1[[#This Row],[Adiantamento ]]</f>
        <v>637.36999999999534</v>
      </c>
      <c r="O37" s="18">
        <f>Tabela1[[#This Row],[SALDO REEMBOLSAR]]*$O$4</f>
        <v>0</v>
      </c>
      <c r="P37" s="18">
        <f>IF(Tabela1[[#This Row],[CARGA PARCIAL]]&lt;0,0,Tabela1[[#This Row],[CARGA PARCIAL]])+Tabela1[[#This Row],[REEMBOLSO]]</f>
        <v>637.36999999999534</v>
      </c>
      <c r="Q37">
        <v>442.73999999999535</v>
      </c>
      <c r="R37" s="45">
        <f>Tabela1[[#This Row],[Carga CORRETA]]-Tabela1[[#This Row],[Carga RECEBIDA]]</f>
        <v>194.63</v>
      </c>
      <c r="S37" t="str">
        <f>_xlfn.XLOOKUP(Tabela1[[#This Row],[COLABORADOR]],'STATUS CARTAO'!D:D,'STATUS CARTAO'!G:G)</f>
        <v>Cartão ativo</v>
      </c>
    </row>
    <row r="38" spans="2:19" x14ac:dyDescent="0.25">
      <c r="B38" s="3" t="s">
        <v>490</v>
      </c>
      <c r="C38" s="3" t="s">
        <v>491</v>
      </c>
      <c r="D38" s="5" t="s">
        <v>1426</v>
      </c>
      <c r="E38" s="3" t="s">
        <v>22</v>
      </c>
      <c r="F38" s="3" t="s">
        <v>168</v>
      </c>
      <c r="G38" s="3" t="s">
        <v>23</v>
      </c>
      <c r="H38" s="3" t="s">
        <v>24</v>
      </c>
      <c r="I38" s="18">
        <v>0</v>
      </c>
      <c r="J38" s="18">
        <v>121.61999999999898</v>
      </c>
      <c r="K38" s="18">
        <v>700</v>
      </c>
      <c r="L38" s="18">
        <v>393</v>
      </c>
      <c r="M38" s="18"/>
      <c r="N38" s="18">
        <f>Tabela1[[#This Row],[1ª QZ]]-Tabela1[[#This Row],[SALDO FINAL]]-Tabela1[[#This Row],[SALDO CARTAO]]-Tabela1[[#This Row],[Adiantamento ]]</f>
        <v>185.38000000000102</v>
      </c>
      <c r="O38" s="18">
        <f>Tabela1[[#This Row],[SALDO REEMBOLSAR]]*$O$4</f>
        <v>0</v>
      </c>
      <c r="P38" s="18">
        <f>IF(Tabela1[[#This Row],[CARGA PARCIAL]]&lt;0,0,Tabela1[[#This Row],[CARGA PARCIAL]])+Tabela1[[#This Row],[REEMBOLSO]]</f>
        <v>185.38000000000102</v>
      </c>
      <c r="Q38">
        <v>0</v>
      </c>
      <c r="R38" s="45">
        <f>Tabela1[[#This Row],[Carga CORRETA]]-Tabela1[[#This Row],[Carga RECEBIDA]]</f>
        <v>185.38000000000102</v>
      </c>
      <c r="S38" t="str">
        <f>_xlfn.XLOOKUP(Tabela1[[#This Row],[COLABORADOR]],'STATUS CARTAO'!D:D,'STATUS CARTAO'!G:G)</f>
        <v>Cartão ativo</v>
      </c>
    </row>
    <row r="39" spans="2:19" x14ac:dyDescent="0.25">
      <c r="B39" s="3" t="s">
        <v>221</v>
      </c>
      <c r="C39" s="3" t="s">
        <v>222</v>
      </c>
      <c r="D39" s="5" t="s">
        <v>1427</v>
      </c>
      <c r="E39" s="3" t="s">
        <v>32</v>
      </c>
      <c r="F39" s="3" t="s">
        <v>115</v>
      </c>
      <c r="G39" s="3" t="s">
        <v>34</v>
      </c>
      <c r="H39" s="3" t="s">
        <v>35</v>
      </c>
      <c r="I39" s="18">
        <v>0</v>
      </c>
      <c r="J39" s="18">
        <v>47.899999999999977</v>
      </c>
      <c r="K39" s="18">
        <v>750</v>
      </c>
      <c r="L39" s="18">
        <v>183.39</v>
      </c>
      <c r="M39" s="18"/>
      <c r="N39" s="18">
        <f>Tabela1[[#This Row],[1ª QZ]]-Tabela1[[#This Row],[SALDO FINAL]]-Tabela1[[#This Row],[SALDO CARTAO]]-Tabela1[[#This Row],[Adiantamento ]]</f>
        <v>518.71</v>
      </c>
      <c r="O39" s="18">
        <f>Tabela1[[#This Row],[SALDO REEMBOLSAR]]*$O$4</f>
        <v>0</v>
      </c>
      <c r="P39" s="18">
        <f>IF(Tabela1[[#This Row],[CARGA PARCIAL]]&lt;0,0,Tabela1[[#This Row],[CARGA PARCIAL]])+Tabela1[[#This Row],[REEMBOLSO]]</f>
        <v>518.71</v>
      </c>
      <c r="Q39">
        <v>335.32000000000005</v>
      </c>
      <c r="R39" s="45">
        <f>Tabela1[[#This Row],[Carga CORRETA]]-Tabela1[[#This Row],[Carga RECEBIDA]]</f>
        <v>183.39</v>
      </c>
      <c r="S39" t="str">
        <f>_xlfn.XLOOKUP(Tabela1[[#This Row],[COLABORADOR]],'STATUS CARTAO'!D:D,'STATUS CARTAO'!G:G)</f>
        <v>Cartão ativo</v>
      </c>
    </row>
    <row r="40" spans="2:19" x14ac:dyDescent="0.25">
      <c r="B40" s="3" t="s">
        <v>474</v>
      </c>
      <c r="C40" s="3" t="s">
        <v>475</v>
      </c>
      <c r="D40" s="5" t="s">
        <v>1427</v>
      </c>
      <c r="E40" s="3" t="s">
        <v>37</v>
      </c>
      <c r="F40" s="3" t="s">
        <v>476</v>
      </c>
      <c r="G40" s="3" t="s">
        <v>38</v>
      </c>
      <c r="H40" s="3" t="s">
        <v>24</v>
      </c>
      <c r="I40" s="18">
        <v>0</v>
      </c>
      <c r="J40" s="18">
        <v>30.230000000000132</v>
      </c>
      <c r="K40" s="18">
        <v>500</v>
      </c>
      <c r="L40" s="18">
        <v>288.14999999999998</v>
      </c>
      <c r="M40" s="18"/>
      <c r="N40" s="18">
        <f>Tabela1[[#This Row],[1ª QZ]]-Tabela1[[#This Row],[SALDO FINAL]]-Tabela1[[#This Row],[SALDO CARTAO]]-Tabela1[[#This Row],[Adiantamento ]]</f>
        <v>181.61999999999989</v>
      </c>
      <c r="O40" s="18">
        <f>Tabela1[[#This Row],[SALDO REEMBOLSAR]]*$O$4</f>
        <v>0</v>
      </c>
      <c r="P40" s="18">
        <f>IF(Tabela1[[#This Row],[CARGA PARCIAL]]&lt;0,0,Tabela1[[#This Row],[CARGA PARCIAL]])+Tabela1[[#This Row],[REEMBOLSO]]</f>
        <v>181.61999999999989</v>
      </c>
      <c r="Q40">
        <v>0</v>
      </c>
      <c r="R40" s="45">
        <f>Tabela1[[#This Row],[Carga CORRETA]]-Tabela1[[#This Row],[Carga RECEBIDA]]</f>
        <v>181.61999999999989</v>
      </c>
      <c r="S40" t="str">
        <f>_xlfn.XLOOKUP(Tabela1[[#This Row],[COLABORADOR]],'STATUS CARTAO'!D:D,'STATUS CARTAO'!G:G)</f>
        <v>Cartão ativo</v>
      </c>
    </row>
    <row r="41" spans="2:19" x14ac:dyDescent="0.25">
      <c r="B41" s="3" t="s">
        <v>232</v>
      </c>
      <c r="C41" s="3" t="s">
        <v>233</v>
      </c>
      <c r="D41" s="5" t="s">
        <v>1427</v>
      </c>
      <c r="E41" s="3" t="s">
        <v>17</v>
      </c>
      <c r="F41" s="3" t="s">
        <v>234</v>
      </c>
      <c r="G41" s="3" t="s">
        <v>18</v>
      </c>
      <c r="H41" s="3" t="s">
        <v>19</v>
      </c>
      <c r="I41" s="18">
        <v>0</v>
      </c>
      <c r="J41" s="18">
        <v>15.40000000000191</v>
      </c>
      <c r="K41" s="18">
        <v>500</v>
      </c>
      <c r="L41" s="18">
        <v>166.5</v>
      </c>
      <c r="M41" s="18"/>
      <c r="N41" s="18">
        <f>Tabela1[[#This Row],[1ª QZ]]-Tabela1[[#This Row],[SALDO FINAL]]-Tabela1[[#This Row],[SALDO CARTAO]]-Tabela1[[#This Row],[Adiantamento ]]</f>
        <v>318.09999999999809</v>
      </c>
      <c r="O41" s="18">
        <f>Tabela1[[#This Row],[SALDO REEMBOLSAR]]*$O$4</f>
        <v>0</v>
      </c>
      <c r="P41" s="18">
        <f>IF(Tabela1[[#This Row],[CARGA PARCIAL]]&lt;0,0,Tabela1[[#This Row],[CARGA PARCIAL]])+Tabela1[[#This Row],[REEMBOLSO]]</f>
        <v>318.09999999999809</v>
      </c>
      <c r="Q41">
        <v>151.59999999999809</v>
      </c>
      <c r="R41" s="45">
        <f>Tabela1[[#This Row],[Carga CORRETA]]-Tabela1[[#This Row],[Carga RECEBIDA]]</f>
        <v>166.5</v>
      </c>
      <c r="S41" t="str">
        <f>_xlfn.XLOOKUP(Tabela1[[#This Row],[COLABORADOR]],'STATUS CARTAO'!D:D,'STATUS CARTAO'!G:G)</f>
        <v>Cartão ativo</v>
      </c>
    </row>
    <row r="42" spans="2:19" x14ac:dyDescent="0.25">
      <c r="B42" s="3" t="s">
        <v>446</v>
      </c>
      <c r="C42" s="3" t="s">
        <v>447</v>
      </c>
      <c r="D42" s="5" t="s">
        <v>1426</v>
      </c>
      <c r="E42" s="3" t="s">
        <v>22</v>
      </c>
      <c r="F42" s="3" t="s">
        <v>196</v>
      </c>
      <c r="G42" s="3" t="s">
        <v>23</v>
      </c>
      <c r="H42" s="3" t="s">
        <v>24</v>
      </c>
      <c r="I42" s="18">
        <v>0</v>
      </c>
      <c r="J42" s="18">
        <v>37.800000000002171</v>
      </c>
      <c r="K42" s="18">
        <v>700</v>
      </c>
      <c r="L42" s="18">
        <v>505.05</v>
      </c>
      <c r="M42" s="18"/>
      <c r="N42" s="18">
        <f>Tabela1[[#This Row],[1ª QZ]]-Tabela1[[#This Row],[SALDO FINAL]]-Tabela1[[#This Row],[SALDO CARTAO]]-Tabela1[[#This Row],[Adiantamento ]]</f>
        <v>157.14999999999776</v>
      </c>
      <c r="O42" s="18">
        <f>Tabela1[[#This Row],[SALDO REEMBOLSAR]]*$O$4</f>
        <v>0</v>
      </c>
      <c r="P42" s="18">
        <f>IF(Tabela1[[#This Row],[CARGA PARCIAL]]&lt;0,0,Tabela1[[#This Row],[CARGA PARCIAL]])+Tabela1[[#This Row],[REEMBOLSO]]</f>
        <v>157.14999999999776</v>
      </c>
      <c r="Q42">
        <v>0</v>
      </c>
      <c r="R42" s="45">
        <f>Tabela1[[#This Row],[Carga CORRETA]]-Tabela1[[#This Row],[Carga RECEBIDA]]</f>
        <v>157.14999999999776</v>
      </c>
      <c r="S42" t="str">
        <f>_xlfn.XLOOKUP(Tabela1[[#This Row],[COLABORADOR]],'STATUS CARTAO'!D:D,'STATUS CARTAO'!G:G)</f>
        <v>Cartão ativo</v>
      </c>
    </row>
    <row r="43" spans="2:19" x14ac:dyDescent="0.25">
      <c r="B43" s="3" t="s">
        <v>271</v>
      </c>
      <c r="C43" s="3" t="s">
        <v>272</v>
      </c>
      <c r="D43" s="5" t="s">
        <v>1426</v>
      </c>
      <c r="E43" s="3" t="s">
        <v>22</v>
      </c>
      <c r="F43" s="3" t="s">
        <v>77</v>
      </c>
      <c r="G43" s="3" t="s">
        <v>23</v>
      </c>
      <c r="H43" s="3" t="s">
        <v>24</v>
      </c>
      <c r="I43" s="18">
        <v>0</v>
      </c>
      <c r="J43" s="18">
        <v>324.6999999999972</v>
      </c>
      <c r="K43" s="18">
        <v>800</v>
      </c>
      <c r="L43" s="18">
        <v>155.66999999999999</v>
      </c>
      <c r="M43" s="18"/>
      <c r="N43" s="18">
        <f>Tabela1[[#This Row],[1ª QZ]]-Tabela1[[#This Row],[SALDO FINAL]]-Tabela1[[#This Row],[SALDO CARTAO]]-Tabela1[[#This Row],[Adiantamento ]]</f>
        <v>319.63000000000284</v>
      </c>
      <c r="O43" s="18">
        <f>Tabela1[[#This Row],[SALDO REEMBOLSAR]]*$O$4</f>
        <v>0</v>
      </c>
      <c r="P43" s="18">
        <f>IF(Tabela1[[#This Row],[CARGA PARCIAL]]&lt;0,0,Tabela1[[#This Row],[CARGA PARCIAL]])+Tabela1[[#This Row],[REEMBOLSO]]</f>
        <v>319.63000000000284</v>
      </c>
      <c r="Q43">
        <v>163.96000000000285</v>
      </c>
      <c r="R43" s="45">
        <f>Tabela1[[#This Row],[Carga CORRETA]]-Tabela1[[#This Row],[Carga RECEBIDA]]</f>
        <v>155.66999999999999</v>
      </c>
      <c r="S43" t="str">
        <f>_xlfn.XLOOKUP(Tabela1[[#This Row],[COLABORADOR]],'STATUS CARTAO'!D:D,'STATUS CARTAO'!G:G)</f>
        <v>Cartão ativo</v>
      </c>
    </row>
    <row r="44" spans="2:19" x14ac:dyDescent="0.25">
      <c r="B44" s="3" t="s">
        <v>303</v>
      </c>
      <c r="C44" s="3" t="s">
        <v>304</v>
      </c>
      <c r="D44" s="5" t="s">
        <v>1427</v>
      </c>
      <c r="E44" s="3" t="s">
        <v>37</v>
      </c>
      <c r="F44" s="3" t="s">
        <v>80</v>
      </c>
      <c r="G44" s="3" t="s">
        <v>38</v>
      </c>
      <c r="H44" s="3" t="s">
        <v>24</v>
      </c>
      <c r="I44" s="18">
        <v>0</v>
      </c>
      <c r="J44" s="18">
        <v>149.99999999999955</v>
      </c>
      <c r="K44" s="18">
        <v>800</v>
      </c>
      <c r="L44" s="18">
        <v>503</v>
      </c>
      <c r="M44" s="18"/>
      <c r="N44" s="18">
        <f>Tabela1[[#This Row],[1ª QZ]]-Tabela1[[#This Row],[SALDO FINAL]]-Tabela1[[#This Row],[SALDO CARTAO]]-Tabela1[[#This Row],[Adiantamento ]]</f>
        <v>147.00000000000045</v>
      </c>
      <c r="O44" s="18">
        <f>Tabela1[[#This Row],[SALDO REEMBOLSAR]]*$O$4</f>
        <v>0</v>
      </c>
      <c r="P44" s="18">
        <f>IF(Tabela1[[#This Row],[CARGA PARCIAL]]&lt;0,0,Tabela1[[#This Row],[CARGA PARCIAL]])+Tabela1[[#This Row],[REEMBOLSO]]</f>
        <v>147.00000000000045</v>
      </c>
      <c r="Q44">
        <v>0</v>
      </c>
      <c r="R44" s="45">
        <f>Tabela1[[#This Row],[Carga CORRETA]]-Tabela1[[#This Row],[Carga RECEBIDA]]</f>
        <v>147.00000000000045</v>
      </c>
      <c r="S44" t="str">
        <f>_xlfn.XLOOKUP(Tabela1[[#This Row],[COLABORADOR]],'STATUS CARTAO'!D:D,'STATUS CARTAO'!G:G)</f>
        <v>Cartão ativo</v>
      </c>
    </row>
    <row r="45" spans="2:19" x14ac:dyDescent="0.25">
      <c r="B45" s="3" t="s">
        <v>273</v>
      </c>
      <c r="C45" s="3" t="s">
        <v>274</v>
      </c>
      <c r="D45" s="5" t="s">
        <v>1426</v>
      </c>
      <c r="E45" s="3" t="s">
        <v>22</v>
      </c>
      <c r="F45" s="3" t="s">
        <v>275</v>
      </c>
      <c r="G45" s="3" t="s">
        <v>23</v>
      </c>
      <c r="H45" s="3" t="s">
        <v>24</v>
      </c>
      <c r="I45" s="18">
        <v>0</v>
      </c>
      <c r="J45" s="18">
        <v>15</v>
      </c>
      <c r="K45" s="18">
        <v>500</v>
      </c>
      <c r="L45" s="18">
        <v>339</v>
      </c>
      <c r="M45" s="18"/>
      <c r="N45" s="18">
        <f>Tabela1[[#This Row],[1ª QZ]]-Tabela1[[#This Row],[SALDO FINAL]]-Tabela1[[#This Row],[SALDO CARTAO]]-Tabela1[[#This Row],[Adiantamento ]]</f>
        <v>146</v>
      </c>
      <c r="O45" s="18">
        <f>Tabela1[[#This Row],[SALDO REEMBOLSAR]]*$O$4</f>
        <v>0</v>
      </c>
      <c r="P45" s="18">
        <f>IF(Tabela1[[#This Row],[CARGA PARCIAL]]&lt;0,0,Tabela1[[#This Row],[CARGA PARCIAL]])+Tabela1[[#This Row],[REEMBOLSO]]</f>
        <v>146</v>
      </c>
      <c r="Q45">
        <v>0</v>
      </c>
      <c r="R45" s="45">
        <f>Tabela1[[#This Row],[Carga CORRETA]]-Tabela1[[#This Row],[Carga RECEBIDA]]</f>
        <v>146</v>
      </c>
      <c r="S45" t="str">
        <f>_xlfn.XLOOKUP(Tabela1[[#This Row],[COLABORADOR]],'STATUS CARTAO'!D:D,'STATUS CARTAO'!G:G)</f>
        <v>Cartão ativo</v>
      </c>
    </row>
    <row r="46" spans="2:19" x14ac:dyDescent="0.25">
      <c r="B46" s="3" t="s">
        <v>111</v>
      </c>
      <c r="C46" s="3" t="s">
        <v>112</v>
      </c>
      <c r="D46" s="5" t="s">
        <v>1426</v>
      </c>
      <c r="E46" s="3" t="s">
        <v>22</v>
      </c>
      <c r="F46" s="3" t="s">
        <v>113</v>
      </c>
      <c r="G46" s="3" t="s">
        <v>23</v>
      </c>
      <c r="H46" s="3" t="s">
        <v>24</v>
      </c>
      <c r="I46" s="18">
        <v>0</v>
      </c>
      <c r="J46" s="18">
        <v>637.68999999999676</v>
      </c>
      <c r="K46" s="18">
        <v>1500</v>
      </c>
      <c r="L46" s="18">
        <v>723.58</v>
      </c>
      <c r="M46" s="18"/>
      <c r="N46" s="18">
        <f>Tabela1[[#This Row],[1ª QZ]]-Tabela1[[#This Row],[SALDO FINAL]]-Tabela1[[#This Row],[SALDO CARTAO]]-Tabela1[[#This Row],[Adiantamento ]]</f>
        <v>138.7300000000032</v>
      </c>
      <c r="O46" s="18">
        <f>Tabela1[[#This Row],[SALDO REEMBOLSAR]]*$O$4</f>
        <v>0</v>
      </c>
      <c r="P46" s="18">
        <f>IF(Tabela1[[#This Row],[CARGA PARCIAL]]&lt;0,0,Tabela1[[#This Row],[CARGA PARCIAL]])+Tabela1[[#This Row],[REEMBOLSO]]</f>
        <v>138.7300000000032</v>
      </c>
      <c r="Q46">
        <v>0</v>
      </c>
      <c r="R46" s="45">
        <f>Tabela1[[#This Row],[Carga CORRETA]]-Tabela1[[#This Row],[Carga RECEBIDA]]</f>
        <v>138.7300000000032</v>
      </c>
      <c r="S46" t="str">
        <f>_xlfn.XLOOKUP(Tabela1[[#This Row],[COLABORADOR]],'STATUS CARTAO'!D:D,'STATUS CARTAO'!G:G)</f>
        <v>Cartão ativo</v>
      </c>
    </row>
    <row r="47" spans="2:19" x14ac:dyDescent="0.25">
      <c r="B47" s="3" t="s">
        <v>467</v>
      </c>
      <c r="C47" s="3" t="s">
        <v>468</v>
      </c>
      <c r="D47" s="5" t="s">
        <v>1426</v>
      </c>
      <c r="E47" s="3" t="s">
        <v>22</v>
      </c>
      <c r="F47" s="3" t="s">
        <v>77</v>
      </c>
      <c r="G47" s="3" t="s">
        <v>23</v>
      </c>
      <c r="H47" s="3" t="s">
        <v>24</v>
      </c>
      <c r="I47" s="18">
        <v>0</v>
      </c>
      <c r="J47" s="18">
        <v>0</v>
      </c>
      <c r="K47" s="18">
        <v>800</v>
      </c>
      <c r="L47" s="18">
        <v>108.94</v>
      </c>
      <c r="M47" s="18"/>
      <c r="N47" s="18">
        <f>Tabela1[[#This Row],[1ª QZ]]-Tabela1[[#This Row],[SALDO FINAL]]-Tabela1[[#This Row],[SALDO CARTAO]]-Tabela1[[#This Row],[Adiantamento ]]</f>
        <v>691.06</v>
      </c>
      <c r="O47" s="18">
        <f>Tabela1[[#This Row],[SALDO REEMBOLSAR]]*$O$4</f>
        <v>0</v>
      </c>
      <c r="P47" s="18">
        <f>IF(Tabela1[[#This Row],[CARGA PARCIAL]]&lt;0,0,Tabela1[[#This Row],[CARGA PARCIAL]])+Tabela1[[#This Row],[REEMBOLSO]]</f>
        <v>691.06</v>
      </c>
      <c r="Q47">
        <v>556.61999999999034</v>
      </c>
      <c r="R47" s="45">
        <f>Tabela1[[#This Row],[Carga CORRETA]]-Tabela1[[#This Row],[Carga RECEBIDA]]</f>
        <v>134.4400000000096</v>
      </c>
      <c r="S47" t="str">
        <f>_xlfn.XLOOKUP(Tabela1[[#This Row],[COLABORADOR]],'STATUS CARTAO'!D:D,'STATUS CARTAO'!G:G)</f>
        <v>Cartão ativo</v>
      </c>
    </row>
    <row r="48" spans="2:19" x14ac:dyDescent="0.25">
      <c r="B48" s="3" t="s">
        <v>285</v>
      </c>
      <c r="C48" s="3" t="s">
        <v>286</v>
      </c>
      <c r="D48" s="5" t="s">
        <v>1426</v>
      </c>
      <c r="E48" s="3" t="s">
        <v>22</v>
      </c>
      <c r="F48" s="3" t="s">
        <v>77</v>
      </c>
      <c r="G48" s="3" t="s">
        <v>23</v>
      </c>
      <c r="H48" s="3" t="s">
        <v>24</v>
      </c>
      <c r="I48" s="18">
        <v>0</v>
      </c>
      <c r="J48" s="18">
        <v>151.73000000000334</v>
      </c>
      <c r="K48" s="18">
        <v>800</v>
      </c>
      <c r="L48" s="18">
        <v>131.09</v>
      </c>
      <c r="M48" s="18"/>
      <c r="N48" s="18">
        <f>Tabela1[[#This Row],[1ª QZ]]-Tabela1[[#This Row],[SALDO FINAL]]-Tabela1[[#This Row],[SALDO CARTAO]]-Tabela1[[#This Row],[Adiantamento ]]</f>
        <v>517.17999999999665</v>
      </c>
      <c r="O48" s="18">
        <f>Tabela1[[#This Row],[SALDO REEMBOLSAR]]*$O$4</f>
        <v>0</v>
      </c>
      <c r="P48" s="18">
        <f>IF(Tabela1[[#This Row],[CARGA PARCIAL]]&lt;0,0,Tabela1[[#This Row],[CARGA PARCIAL]])+Tabela1[[#This Row],[REEMBOLSO]]</f>
        <v>517.17999999999665</v>
      </c>
      <c r="Q48">
        <v>386.08999999999662</v>
      </c>
      <c r="R48" s="45">
        <f>Tabela1[[#This Row],[Carga CORRETA]]-Tabela1[[#This Row],[Carga RECEBIDA]]</f>
        <v>131.09000000000003</v>
      </c>
      <c r="S48" t="str">
        <f>_xlfn.XLOOKUP(Tabela1[[#This Row],[COLABORADOR]],'STATUS CARTAO'!D:D,'STATUS CARTAO'!G:G)</f>
        <v>Cartão ativo</v>
      </c>
    </row>
    <row r="49" spans="2:19" x14ac:dyDescent="0.25">
      <c r="B49" s="3" t="s">
        <v>372</v>
      </c>
      <c r="C49" s="3" t="s">
        <v>373</v>
      </c>
      <c r="D49" s="5" t="s">
        <v>1426</v>
      </c>
      <c r="E49" s="3" t="s">
        <v>22</v>
      </c>
      <c r="F49" s="3" t="s">
        <v>186</v>
      </c>
      <c r="G49" s="3" t="s">
        <v>23</v>
      </c>
      <c r="H49" s="3" t="s">
        <v>24</v>
      </c>
      <c r="I49" s="18">
        <v>0</v>
      </c>
      <c r="J49" s="18">
        <v>0</v>
      </c>
      <c r="K49" s="18">
        <v>350</v>
      </c>
      <c r="L49" s="18">
        <v>230</v>
      </c>
      <c r="M49" s="18"/>
      <c r="N49" s="18">
        <f>Tabela1[[#This Row],[1ª QZ]]-Tabela1[[#This Row],[SALDO FINAL]]-Tabela1[[#This Row],[SALDO CARTAO]]-Tabela1[[#This Row],[Adiantamento ]]</f>
        <v>120</v>
      </c>
      <c r="O49" s="18">
        <f>Tabela1[[#This Row],[SALDO REEMBOLSAR]]*$O$4</f>
        <v>0</v>
      </c>
      <c r="P49" s="18">
        <f>IF(Tabela1[[#This Row],[CARGA PARCIAL]]&lt;0,0,Tabela1[[#This Row],[CARGA PARCIAL]])+Tabela1[[#This Row],[REEMBOLSO]]</f>
        <v>120</v>
      </c>
      <c r="Q49">
        <v>0</v>
      </c>
      <c r="R49" s="45">
        <f>Tabela1[[#This Row],[Carga CORRETA]]-Tabela1[[#This Row],[Carga RECEBIDA]]</f>
        <v>120</v>
      </c>
      <c r="S49" t="str">
        <f>_xlfn.XLOOKUP(Tabela1[[#This Row],[COLABORADOR]],'STATUS CARTAO'!D:D,'STATUS CARTAO'!G:G)</f>
        <v>Cartão ativo</v>
      </c>
    </row>
    <row r="50" spans="2:19" x14ac:dyDescent="0.25">
      <c r="B50" s="3" t="s">
        <v>511</v>
      </c>
      <c r="C50" s="3" t="s">
        <v>512</v>
      </c>
      <c r="D50" s="5" t="s">
        <v>1426</v>
      </c>
      <c r="E50" s="3" t="s">
        <v>69</v>
      </c>
      <c r="F50" s="3" t="s">
        <v>99</v>
      </c>
      <c r="G50" s="3" t="s">
        <v>70</v>
      </c>
      <c r="H50" s="3" t="s">
        <v>24</v>
      </c>
      <c r="I50" s="18">
        <v>0</v>
      </c>
      <c r="J50" s="18">
        <v>0</v>
      </c>
      <c r="K50" s="18">
        <v>120</v>
      </c>
      <c r="L50" s="18">
        <v>0</v>
      </c>
      <c r="M50" s="18"/>
      <c r="N50" s="18">
        <f>Tabela1[[#This Row],[1ª QZ]]-Tabela1[[#This Row],[SALDO FINAL]]-Tabela1[[#This Row],[SALDO CARTAO]]-Tabela1[[#This Row],[Adiantamento ]]</f>
        <v>120</v>
      </c>
      <c r="O50" s="18">
        <f>Tabela1[[#This Row],[SALDO REEMBOLSAR]]*$O$4</f>
        <v>0</v>
      </c>
      <c r="P50" s="18">
        <f>IF(Tabela1[[#This Row],[CARGA PARCIAL]]&lt;0,0,Tabela1[[#This Row],[CARGA PARCIAL]])+Tabela1[[#This Row],[REEMBOLSO]]</f>
        <v>120</v>
      </c>
      <c r="Q50">
        <v>0</v>
      </c>
      <c r="R50" s="45">
        <f>Tabela1[[#This Row],[Carga CORRETA]]-Tabela1[[#This Row],[Carga RECEBIDA]]</f>
        <v>120</v>
      </c>
      <c r="S50" t="str">
        <f>_xlfn.XLOOKUP(Tabela1[[#This Row],[COLABORADOR]],'STATUS CARTAO'!D:D,'STATUS CARTAO'!G:G)</f>
        <v>Cartão ativo</v>
      </c>
    </row>
    <row r="51" spans="2:19" x14ac:dyDescent="0.25">
      <c r="B51" s="3" t="s">
        <v>365</v>
      </c>
      <c r="C51" s="3" t="s">
        <v>366</v>
      </c>
      <c r="D51" s="5" t="s">
        <v>1426</v>
      </c>
      <c r="E51" s="3" t="s">
        <v>22</v>
      </c>
      <c r="F51" s="3" t="s">
        <v>77</v>
      </c>
      <c r="G51" s="3" t="s">
        <v>23</v>
      </c>
      <c r="H51" s="3" t="s">
        <v>24</v>
      </c>
      <c r="I51" s="18">
        <v>0</v>
      </c>
      <c r="J51" s="18">
        <v>9.4644292403245345E-12</v>
      </c>
      <c r="K51" s="18">
        <v>800</v>
      </c>
      <c r="L51" s="18">
        <v>101.85</v>
      </c>
      <c r="M51" s="18"/>
      <c r="N51" s="18">
        <f>Tabela1[[#This Row],[1ª QZ]]-Tabela1[[#This Row],[SALDO FINAL]]-Tabela1[[#This Row],[SALDO CARTAO]]-Tabela1[[#This Row],[Adiantamento ]]</f>
        <v>698.14999999999054</v>
      </c>
      <c r="O51" s="18">
        <f>Tabela1[[#This Row],[SALDO REEMBOLSAR]]*$O$4</f>
        <v>0</v>
      </c>
      <c r="P51" s="18">
        <f>IF(Tabela1[[#This Row],[CARGA PARCIAL]]&lt;0,0,Tabela1[[#This Row],[CARGA PARCIAL]])+Tabela1[[#This Row],[REEMBOLSO]]</f>
        <v>698.14999999999054</v>
      </c>
      <c r="Q51">
        <v>596.29999999999052</v>
      </c>
      <c r="R51" s="45">
        <f>Tabela1[[#This Row],[Carga CORRETA]]-Tabela1[[#This Row],[Carga RECEBIDA]]</f>
        <v>101.85000000000002</v>
      </c>
      <c r="S51" t="str">
        <f>_xlfn.XLOOKUP(Tabela1[[#This Row],[COLABORADOR]],'STATUS CARTAO'!D:D,'STATUS CARTAO'!G:G)</f>
        <v>Cartão ativo</v>
      </c>
    </row>
  </sheetData>
  <phoneticPr fontId="15" type="noConversion"/>
  <conditionalFormatting sqref="B6">
    <cfRule type="duplicateValues" dxfId="7" priority="1"/>
    <cfRule type="duplicateValues" dxfId="6" priority="2"/>
    <cfRule type="duplicateValues" dxfId="5" priority="3"/>
  </conditionalFormatting>
  <conditionalFormatting sqref="C6">
    <cfRule type="duplicateValues" dxfId="4" priority="4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2016-AF7F-4A84-B6FD-3C3EE8D24161}">
  <sheetPr filterMode="1"/>
  <dimension ref="B1:L59"/>
  <sheetViews>
    <sheetView workbookViewId="0">
      <selection activeCell="N25" sqref="N25"/>
    </sheetView>
  </sheetViews>
  <sheetFormatPr defaultRowHeight="15" x14ac:dyDescent="0.25"/>
  <cols>
    <col min="2" max="2" width="31.85546875" bestFit="1" customWidth="1"/>
    <col min="3" max="3" width="12" hidden="1" customWidth="1"/>
    <col min="4" max="4" width="8.85546875" hidden="1" customWidth="1"/>
    <col min="5" max="5" width="28.140625" bestFit="1" customWidth="1"/>
    <col min="6" max="6" width="23.28515625" hidden="1" customWidth="1"/>
    <col min="7" max="8" width="19.28515625" hidden="1" customWidth="1"/>
    <col min="9" max="9" width="17.42578125" hidden="1" customWidth="1"/>
    <col min="10" max="10" width="18.140625" hidden="1" customWidth="1"/>
    <col min="11" max="11" width="21.5703125" hidden="1" customWidth="1"/>
    <col min="12" max="12" width="14.42578125" customWidth="1"/>
  </cols>
  <sheetData>
    <row r="1" spans="2:12" ht="15.75" thickBot="1" x14ac:dyDescent="0.3"/>
    <row r="2" spans="2:12" ht="15.75" thickBot="1" x14ac:dyDescent="0.3">
      <c r="B2" s="6" t="s">
        <v>0</v>
      </c>
      <c r="C2" s="7" t="s">
        <v>1</v>
      </c>
      <c r="D2" s="6" t="s">
        <v>2</v>
      </c>
      <c r="E2" s="6" t="s">
        <v>3</v>
      </c>
      <c r="F2" s="2" t="s">
        <v>4</v>
      </c>
      <c r="G2" s="2" t="s">
        <v>5</v>
      </c>
      <c r="H2" s="2" t="s">
        <v>6</v>
      </c>
      <c r="I2" s="16" t="s">
        <v>7</v>
      </c>
      <c r="J2" s="43" t="s">
        <v>1420</v>
      </c>
      <c r="K2" s="36" t="s">
        <v>1419</v>
      </c>
      <c r="L2" s="44" t="s">
        <v>1421</v>
      </c>
    </row>
    <row r="3" spans="2:12" x14ac:dyDescent="0.25">
      <c r="B3" s="37" t="s">
        <v>62</v>
      </c>
      <c r="C3" s="37" t="s">
        <v>63</v>
      </c>
      <c r="D3" s="38" t="s">
        <v>16</v>
      </c>
      <c r="E3" s="37" t="s">
        <v>64</v>
      </c>
      <c r="F3" s="37" t="s">
        <v>65</v>
      </c>
      <c r="G3" s="37" t="s">
        <v>66</v>
      </c>
      <c r="H3" s="37" t="s">
        <v>24</v>
      </c>
      <c r="I3" s="39">
        <v>2222.63</v>
      </c>
      <c r="J3" s="39">
        <v>1333.578</v>
      </c>
      <c r="K3" s="39">
        <v>1111.3150000000001</v>
      </c>
      <c r="L3" s="45">
        <v>222.26299999999992</v>
      </c>
    </row>
    <row r="4" spans="2:12" hidden="1" x14ac:dyDescent="0.25">
      <c r="B4" s="3" t="s">
        <v>87</v>
      </c>
      <c r="C4" s="3" t="s">
        <v>88</v>
      </c>
      <c r="D4" s="5" t="s">
        <v>16</v>
      </c>
      <c r="E4" s="3" t="s">
        <v>22</v>
      </c>
      <c r="F4" s="3" t="s">
        <v>89</v>
      </c>
      <c r="G4" s="3" t="s">
        <v>23</v>
      </c>
      <c r="H4" s="3" t="s">
        <v>24</v>
      </c>
      <c r="I4" s="18">
        <v>2038.8800000000299</v>
      </c>
      <c r="J4" s="39">
        <v>1223.3280000000179</v>
      </c>
      <c r="K4" s="18">
        <v>1019.4400000000149</v>
      </c>
      <c r="L4" s="45">
        <v>203.88800000000299</v>
      </c>
    </row>
    <row r="5" spans="2:12" hidden="1" x14ac:dyDescent="0.25">
      <c r="B5" s="37" t="s">
        <v>378</v>
      </c>
      <c r="C5" s="37" t="s">
        <v>379</v>
      </c>
      <c r="D5" s="38" t="s">
        <v>16</v>
      </c>
      <c r="E5" s="37" t="s">
        <v>22</v>
      </c>
      <c r="F5" s="37" t="s">
        <v>380</v>
      </c>
      <c r="G5" s="37" t="s">
        <v>23</v>
      </c>
      <c r="H5" s="37" t="s">
        <v>24</v>
      </c>
      <c r="I5" s="39">
        <v>1900</v>
      </c>
      <c r="J5" s="39">
        <v>1140</v>
      </c>
      <c r="K5" s="39">
        <v>950</v>
      </c>
      <c r="L5" s="45">
        <v>190</v>
      </c>
    </row>
    <row r="6" spans="2:12" x14ac:dyDescent="0.25">
      <c r="B6" s="3" t="s">
        <v>460</v>
      </c>
      <c r="C6" s="3" t="s">
        <v>461</v>
      </c>
      <c r="D6" s="5" t="s">
        <v>16</v>
      </c>
      <c r="E6" s="3" t="s">
        <v>47</v>
      </c>
      <c r="F6" s="3" t="s">
        <v>172</v>
      </c>
      <c r="G6" s="3" t="s">
        <v>48</v>
      </c>
      <c r="H6" s="3" t="s">
        <v>19</v>
      </c>
      <c r="I6" s="18">
        <v>1545</v>
      </c>
      <c r="J6" s="39">
        <v>927</v>
      </c>
      <c r="K6" s="18">
        <v>772.5</v>
      </c>
      <c r="L6" s="45">
        <v>154.5</v>
      </c>
    </row>
    <row r="7" spans="2:12" hidden="1" x14ac:dyDescent="0.25">
      <c r="B7" s="37" t="s">
        <v>471</v>
      </c>
      <c r="C7" s="37" t="s">
        <v>472</v>
      </c>
      <c r="D7" s="38" t="s">
        <v>16</v>
      </c>
      <c r="E7" s="37" t="s">
        <v>37</v>
      </c>
      <c r="F7" s="37" t="s">
        <v>473</v>
      </c>
      <c r="G7" s="37" t="s">
        <v>38</v>
      </c>
      <c r="H7" s="37" t="s">
        <v>24</v>
      </c>
      <c r="I7" s="39">
        <v>1256</v>
      </c>
      <c r="J7" s="39">
        <v>753.6</v>
      </c>
      <c r="K7" s="39">
        <v>628</v>
      </c>
      <c r="L7" s="45">
        <v>125.60000000000002</v>
      </c>
    </row>
    <row r="8" spans="2:12" hidden="1" x14ac:dyDescent="0.25">
      <c r="B8" s="3" t="s">
        <v>477</v>
      </c>
      <c r="C8" s="3" t="s">
        <v>478</v>
      </c>
      <c r="D8" s="5" t="s">
        <v>16</v>
      </c>
      <c r="E8" s="3" t="s">
        <v>22</v>
      </c>
      <c r="F8" s="3" t="s">
        <v>89</v>
      </c>
      <c r="G8" s="3" t="s">
        <v>23</v>
      </c>
      <c r="H8" s="3" t="s">
        <v>24</v>
      </c>
      <c r="I8" s="18">
        <v>960.45000000002005</v>
      </c>
      <c r="J8" s="39">
        <v>576.27000000001203</v>
      </c>
      <c r="K8" s="18">
        <v>480.22500000001003</v>
      </c>
      <c r="L8" s="45">
        <v>96.045000000002005</v>
      </c>
    </row>
    <row r="9" spans="2:12" hidden="1" x14ac:dyDescent="0.25">
      <c r="B9" s="37" t="s">
        <v>433</v>
      </c>
      <c r="C9" s="37" t="s">
        <v>434</v>
      </c>
      <c r="D9" s="38" t="s">
        <v>16</v>
      </c>
      <c r="E9" s="37" t="s">
        <v>60</v>
      </c>
      <c r="F9" s="37" t="s">
        <v>435</v>
      </c>
      <c r="G9" s="37" t="s">
        <v>61</v>
      </c>
      <c r="H9" s="37" t="s">
        <v>35</v>
      </c>
      <c r="I9" s="39">
        <v>921.0600000000486</v>
      </c>
      <c r="J9" s="39">
        <v>552.63600000002918</v>
      </c>
      <c r="K9" s="39">
        <v>460.5300000000243</v>
      </c>
      <c r="L9" s="45">
        <v>92.106000000004883</v>
      </c>
    </row>
    <row r="10" spans="2:12" hidden="1" x14ac:dyDescent="0.25">
      <c r="B10" s="3" t="s">
        <v>124</v>
      </c>
      <c r="C10" s="3" t="s">
        <v>125</v>
      </c>
      <c r="D10" s="5" t="s">
        <v>16</v>
      </c>
      <c r="E10" s="3" t="s">
        <v>32</v>
      </c>
      <c r="F10" s="3" t="s">
        <v>33</v>
      </c>
      <c r="G10" s="3" t="s">
        <v>34</v>
      </c>
      <c r="H10" s="3" t="s">
        <v>35</v>
      </c>
      <c r="I10" s="18">
        <v>848.61</v>
      </c>
      <c r="J10" s="39">
        <v>509.166</v>
      </c>
      <c r="K10" s="18">
        <v>424.30500000000001</v>
      </c>
      <c r="L10" s="45">
        <v>84.86099999999999</v>
      </c>
    </row>
    <row r="11" spans="2:12" hidden="1" x14ac:dyDescent="0.25">
      <c r="B11" s="37" t="s">
        <v>515</v>
      </c>
      <c r="C11" s="37" t="s">
        <v>516</v>
      </c>
      <c r="D11" s="38" t="s">
        <v>16</v>
      </c>
      <c r="E11" s="37" t="s">
        <v>37</v>
      </c>
      <c r="F11" s="37" t="s">
        <v>85</v>
      </c>
      <c r="G11" s="37" t="s">
        <v>38</v>
      </c>
      <c r="H11" s="37" t="s">
        <v>24</v>
      </c>
      <c r="I11" s="39">
        <v>818.79</v>
      </c>
      <c r="J11" s="39">
        <v>491.27399999999994</v>
      </c>
      <c r="K11" s="39">
        <v>409.39499999999998</v>
      </c>
      <c r="L11" s="45">
        <v>81.878999999999962</v>
      </c>
    </row>
    <row r="12" spans="2:12" x14ac:dyDescent="0.25">
      <c r="B12" s="3" t="s">
        <v>469</v>
      </c>
      <c r="C12" s="3" t="s">
        <v>470</v>
      </c>
      <c r="D12" s="5" t="s">
        <v>16</v>
      </c>
      <c r="E12" s="3" t="s">
        <v>64</v>
      </c>
      <c r="F12" s="3" t="s">
        <v>163</v>
      </c>
      <c r="G12" s="3" t="s">
        <v>66</v>
      </c>
      <c r="H12" s="3" t="s">
        <v>24</v>
      </c>
      <c r="I12" s="18">
        <v>807.82</v>
      </c>
      <c r="J12" s="39">
        <v>484.69200000000001</v>
      </c>
      <c r="K12" s="18">
        <v>403.91</v>
      </c>
      <c r="L12" s="45">
        <v>80.781999999999982</v>
      </c>
    </row>
    <row r="13" spans="2:12" hidden="1" x14ac:dyDescent="0.25">
      <c r="B13" s="37" t="s">
        <v>23</v>
      </c>
      <c r="C13" s="37" t="s">
        <v>537</v>
      </c>
      <c r="D13" s="38" t="s">
        <v>16</v>
      </c>
      <c r="E13" s="37" t="s">
        <v>22</v>
      </c>
      <c r="F13" s="37" t="s">
        <v>168</v>
      </c>
      <c r="G13" s="37" t="s">
        <v>23</v>
      </c>
      <c r="H13" s="37" t="s">
        <v>24</v>
      </c>
      <c r="I13" s="39">
        <v>806.08999999999992</v>
      </c>
      <c r="J13" s="39">
        <v>483.65399999999994</v>
      </c>
      <c r="K13" s="39">
        <v>403.04499999999996</v>
      </c>
      <c r="L13" s="45">
        <v>80.60899999999998</v>
      </c>
    </row>
    <row r="14" spans="2:12" hidden="1" x14ac:dyDescent="0.25">
      <c r="B14" s="3" t="s">
        <v>454</v>
      </c>
      <c r="C14" s="3" t="s">
        <v>455</v>
      </c>
      <c r="D14" s="5" t="s">
        <v>16</v>
      </c>
      <c r="E14" s="3" t="s">
        <v>22</v>
      </c>
      <c r="F14" s="3" t="s">
        <v>275</v>
      </c>
      <c r="G14" s="3" t="s">
        <v>23</v>
      </c>
      <c r="H14" s="3" t="s">
        <v>24</v>
      </c>
      <c r="I14" s="18">
        <v>803.22000000000116</v>
      </c>
      <c r="J14" s="39">
        <v>481.9320000000007</v>
      </c>
      <c r="K14" s="18">
        <v>401.61000000000058</v>
      </c>
      <c r="L14" s="45">
        <v>80.322000000000116</v>
      </c>
    </row>
    <row r="15" spans="2:12" hidden="1" x14ac:dyDescent="0.25">
      <c r="B15" s="37" t="s">
        <v>241</v>
      </c>
      <c r="C15" s="37" t="s">
        <v>242</v>
      </c>
      <c r="D15" s="38" t="s">
        <v>16</v>
      </c>
      <c r="E15" s="37" t="s">
        <v>51</v>
      </c>
      <c r="F15" s="37" t="s">
        <v>52</v>
      </c>
      <c r="G15" s="37" t="s">
        <v>53</v>
      </c>
      <c r="H15" s="37" t="s">
        <v>19</v>
      </c>
      <c r="I15" s="39">
        <v>796.12000000001001</v>
      </c>
      <c r="J15" s="39">
        <v>477.67200000000599</v>
      </c>
      <c r="K15" s="39">
        <v>398.060000000005</v>
      </c>
      <c r="L15" s="45">
        <v>79.61200000000099</v>
      </c>
    </row>
    <row r="16" spans="2:12" hidden="1" x14ac:dyDescent="0.25">
      <c r="B16" s="3" t="s">
        <v>338</v>
      </c>
      <c r="C16" s="3" t="s">
        <v>339</v>
      </c>
      <c r="D16" s="5" t="s">
        <v>16</v>
      </c>
      <c r="E16" s="3" t="s">
        <v>17</v>
      </c>
      <c r="F16" s="3" t="s">
        <v>155</v>
      </c>
      <c r="G16" s="3" t="s">
        <v>18</v>
      </c>
      <c r="H16" s="3" t="s">
        <v>19</v>
      </c>
      <c r="I16" s="18">
        <v>788.50000000001091</v>
      </c>
      <c r="J16" s="39">
        <v>473.1000000000065</v>
      </c>
      <c r="K16" s="18">
        <v>394.25000000000546</v>
      </c>
      <c r="L16" s="45">
        <v>78.850000000001046</v>
      </c>
    </row>
    <row r="17" spans="2:12" hidden="1" x14ac:dyDescent="0.25">
      <c r="B17" s="37" t="s">
        <v>438</v>
      </c>
      <c r="C17" s="37" t="s">
        <v>439</v>
      </c>
      <c r="D17" s="38" t="s">
        <v>16</v>
      </c>
      <c r="E17" s="37" t="s">
        <v>32</v>
      </c>
      <c r="F17" s="37" t="s">
        <v>252</v>
      </c>
      <c r="G17" s="37" t="s">
        <v>34</v>
      </c>
      <c r="H17" s="37" t="s">
        <v>35</v>
      </c>
      <c r="I17" s="39">
        <v>777.86</v>
      </c>
      <c r="J17" s="39">
        <v>466.71600000000001</v>
      </c>
      <c r="K17" s="39">
        <v>388.93</v>
      </c>
      <c r="L17" s="45">
        <v>77.786000000000001</v>
      </c>
    </row>
    <row r="18" spans="2:12" x14ac:dyDescent="0.25">
      <c r="B18" s="3" t="s">
        <v>422</v>
      </c>
      <c r="C18" s="3" t="s">
        <v>423</v>
      </c>
      <c r="D18" s="5" t="s">
        <v>16</v>
      </c>
      <c r="E18" s="3" t="s">
        <v>47</v>
      </c>
      <c r="F18" s="3" t="s">
        <v>172</v>
      </c>
      <c r="G18" s="3" t="s">
        <v>48</v>
      </c>
      <c r="H18" s="3" t="s">
        <v>19</v>
      </c>
      <c r="I18" s="18">
        <v>771.58000000001005</v>
      </c>
      <c r="J18" s="39">
        <v>462.948000000006</v>
      </c>
      <c r="K18" s="18">
        <v>385.79000000000502</v>
      </c>
      <c r="L18" s="45">
        <v>77.158000000000982</v>
      </c>
    </row>
    <row r="19" spans="2:12" hidden="1" x14ac:dyDescent="0.25">
      <c r="B19" s="37" t="s">
        <v>498</v>
      </c>
      <c r="C19" s="37" t="s">
        <v>499</v>
      </c>
      <c r="D19" s="38" t="s">
        <v>16</v>
      </c>
      <c r="E19" s="37" t="s">
        <v>37</v>
      </c>
      <c r="F19" s="37" t="s">
        <v>40</v>
      </c>
      <c r="G19" s="37" t="s">
        <v>38</v>
      </c>
      <c r="H19" s="37" t="s">
        <v>24</v>
      </c>
      <c r="I19" s="39">
        <v>769.27000000003</v>
      </c>
      <c r="J19" s="39">
        <v>461.56200000001797</v>
      </c>
      <c r="K19" s="39">
        <v>384.635000000015</v>
      </c>
      <c r="L19" s="45">
        <v>76.927000000002977</v>
      </c>
    </row>
    <row r="20" spans="2:12" x14ac:dyDescent="0.25">
      <c r="B20" s="3" t="s">
        <v>517</v>
      </c>
      <c r="C20" s="3" t="s">
        <v>518</v>
      </c>
      <c r="D20" s="5" t="s">
        <v>16</v>
      </c>
      <c r="E20" s="3" t="s">
        <v>47</v>
      </c>
      <c r="F20" s="3" t="s">
        <v>172</v>
      </c>
      <c r="G20" s="3" t="s">
        <v>48</v>
      </c>
      <c r="H20" s="3" t="s">
        <v>19</v>
      </c>
      <c r="I20" s="18">
        <v>763.57999999999447</v>
      </c>
      <c r="J20" s="39">
        <v>458.14799999999667</v>
      </c>
      <c r="K20" s="18">
        <v>381.78999999999724</v>
      </c>
      <c r="L20" s="45">
        <v>76.357999999999436</v>
      </c>
    </row>
    <row r="21" spans="2:12" x14ac:dyDescent="0.25">
      <c r="B21" s="37" t="s">
        <v>495</v>
      </c>
      <c r="C21" s="37" t="s">
        <v>496</v>
      </c>
      <c r="D21" s="38" t="s">
        <v>16</v>
      </c>
      <c r="E21" s="37" t="s">
        <v>26</v>
      </c>
      <c r="F21" s="37" t="s">
        <v>497</v>
      </c>
      <c r="G21" s="37" t="s">
        <v>28</v>
      </c>
      <c r="H21" s="37" t="s">
        <v>19</v>
      </c>
      <c r="I21" s="39">
        <v>760.81999999999971</v>
      </c>
      <c r="J21" s="39">
        <v>456.49199999999979</v>
      </c>
      <c r="K21" s="39">
        <v>380.40999999999985</v>
      </c>
      <c r="L21" s="45">
        <v>76.081999999999937</v>
      </c>
    </row>
    <row r="22" spans="2:12" hidden="1" x14ac:dyDescent="0.25">
      <c r="B22" s="3" t="s">
        <v>484</v>
      </c>
      <c r="C22" s="3" t="s">
        <v>485</v>
      </c>
      <c r="D22" s="5" t="s">
        <v>16</v>
      </c>
      <c r="E22" s="3" t="s">
        <v>37</v>
      </c>
      <c r="F22" s="3" t="s">
        <v>142</v>
      </c>
      <c r="G22" s="3" t="s">
        <v>38</v>
      </c>
      <c r="H22" s="3" t="s">
        <v>24</v>
      </c>
      <c r="I22" s="18">
        <v>751.23000000019965</v>
      </c>
      <c r="J22" s="39">
        <v>450.73800000011977</v>
      </c>
      <c r="K22" s="18">
        <v>375.61500000009983</v>
      </c>
      <c r="L22" s="45">
        <v>75.123000000019942</v>
      </c>
    </row>
    <row r="23" spans="2:12" hidden="1" x14ac:dyDescent="0.25">
      <c r="B23" s="37" t="s">
        <v>104</v>
      </c>
      <c r="C23" s="37" t="s">
        <v>105</v>
      </c>
      <c r="D23" s="38" t="s">
        <v>16</v>
      </c>
      <c r="E23" s="37" t="s">
        <v>32</v>
      </c>
      <c r="F23" s="37" t="s">
        <v>106</v>
      </c>
      <c r="G23" s="37" t="s">
        <v>34</v>
      </c>
      <c r="H23" s="37" t="s">
        <v>35</v>
      </c>
      <c r="I23" s="39">
        <v>713.4</v>
      </c>
      <c r="J23" s="39">
        <v>428.03999999999996</v>
      </c>
      <c r="K23" s="39">
        <v>356.7</v>
      </c>
      <c r="L23" s="45">
        <v>71.339999999999975</v>
      </c>
    </row>
    <row r="24" spans="2:12" hidden="1" x14ac:dyDescent="0.25">
      <c r="B24" s="3" t="s">
        <v>385</v>
      </c>
      <c r="C24" s="3" t="s">
        <v>386</v>
      </c>
      <c r="D24" s="5" t="s">
        <v>16</v>
      </c>
      <c r="E24" s="3" t="s">
        <v>32</v>
      </c>
      <c r="F24" s="3" t="s">
        <v>106</v>
      </c>
      <c r="G24" s="3" t="s">
        <v>34</v>
      </c>
      <c r="H24" s="3" t="s">
        <v>35</v>
      </c>
      <c r="I24" s="18">
        <v>686.32999999999811</v>
      </c>
      <c r="J24" s="39">
        <v>411.79799999999886</v>
      </c>
      <c r="K24" s="18">
        <v>343.16499999999905</v>
      </c>
      <c r="L24" s="45">
        <v>68.632999999999811</v>
      </c>
    </row>
    <row r="25" spans="2:12" x14ac:dyDescent="0.25">
      <c r="B25" s="37" t="s">
        <v>415</v>
      </c>
      <c r="C25" s="37" t="s">
        <v>416</v>
      </c>
      <c r="D25" s="38" t="s">
        <v>16</v>
      </c>
      <c r="E25" s="37" t="s">
        <v>64</v>
      </c>
      <c r="F25" s="37" t="s">
        <v>417</v>
      </c>
      <c r="G25" s="37" t="s">
        <v>66</v>
      </c>
      <c r="H25" s="37" t="s">
        <v>24</v>
      </c>
      <c r="I25" s="39">
        <v>669.93000000000211</v>
      </c>
      <c r="J25" s="39">
        <v>401.95800000000128</v>
      </c>
      <c r="K25" s="39">
        <v>334.96500000000106</v>
      </c>
      <c r="L25" s="45">
        <v>66.993000000000222</v>
      </c>
    </row>
    <row r="26" spans="2:12" hidden="1" x14ac:dyDescent="0.25">
      <c r="B26" s="3" t="s">
        <v>42</v>
      </c>
      <c r="C26" s="3" t="s">
        <v>43</v>
      </c>
      <c r="D26" s="5" t="s">
        <v>16</v>
      </c>
      <c r="E26" s="3" t="s">
        <v>22</v>
      </c>
      <c r="F26" s="3" t="s">
        <v>44</v>
      </c>
      <c r="G26" s="3" t="s">
        <v>23</v>
      </c>
      <c r="H26" s="3" t="s">
        <v>24</v>
      </c>
      <c r="I26" s="18">
        <v>662.47000000006005</v>
      </c>
      <c r="J26" s="39">
        <v>397.48200000003601</v>
      </c>
      <c r="K26" s="18">
        <v>331.23500000003003</v>
      </c>
      <c r="L26" s="45">
        <v>66.247000000005983</v>
      </c>
    </row>
    <row r="27" spans="2:12" x14ac:dyDescent="0.25">
      <c r="B27" s="37" t="s">
        <v>500</v>
      </c>
      <c r="C27" s="37" t="s">
        <v>501</v>
      </c>
      <c r="D27" s="38" t="s">
        <v>16</v>
      </c>
      <c r="E27" s="37" t="s">
        <v>64</v>
      </c>
      <c r="F27" s="37" t="s">
        <v>502</v>
      </c>
      <c r="G27" s="37" t="s">
        <v>66</v>
      </c>
      <c r="H27" s="37" t="s">
        <v>24</v>
      </c>
      <c r="I27" s="39">
        <v>626.94999999999345</v>
      </c>
      <c r="J27" s="39">
        <v>376.16999999999604</v>
      </c>
      <c r="K27" s="39">
        <v>313.47499999999673</v>
      </c>
      <c r="L27" s="45">
        <v>62.694999999999311</v>
      </c>
    </row>
    <row r="28" spans="2:12" x14ac:dyDescent="0.25">
      <c r="B28" s="3" t="s">
        <v>299</v>
      </c>
      <c r="C28" s="3" t="s">
        <v>300</v>
      </c>
      <c r="D28" s="5" t="s">
        <v>16</v>
      </c>
      <c r="E28" s="3" t="s">
        <v>64</v>
      </c>
      <c r="F28" s="3" t="s">
        <v>301</v>
      </c>
      <c r="G28" s="3" t="s">
        <v>66</v>
      </c>
      <c r="H28" s="3" t="s">
        <v>24</v>
      </c>
      <c r="I28" s="18">
        <v>615.35</v>
      </c>
      <c r="J28" s="39">
        <v>369.21</v>
      </c>
      <c r="K28" s="18">
        <v>307.67500000000001</v>
      </c>
      <c r="L28" s="45">
        <v>61.534999999999968</v>
      </c>
    </row>
    <row r="29" spans="2:12" hidden="1" x14ac:dyDescent="0.25">
      <c r="B29" s="37" t="s">
        <v>507</v>
      </c>
      <c r="C29" s="37" t="s">
        <v>508</v>
      </c>
      <c r="D29" s="38" t="s">
        <v>16</v>
      </c>
      <c r="E29" s="37" t="s">
        <v>32</v>
      </c>
      <c r="F29" s="37" t="s">
        <v>106</v>
      </c>
      <c r="G29" s="37" t="s">
        <v>34</v>
      </c>
      <c r="H29" s="37" t="s">
        <v>35</v>
      </c>
      <c r="I29" s="39">
        <v>558.24999999999636</v>
      </c>
      <c r="J29" s="39">
        <v>334.94999999999783</v>
      </c>
      <c r="K29" s="39">
        <v>279.12499999999818</v>
      </c>
      <c r="L29" s="45">
        <v>55.824999999999648</v>
      </c>
    </row>
    <row r="30" spans="2:12" hidden="1" x14ac:dyDescent="0.25">
      <c r="B30" s="3" t="s">
        <v>30</v>
      </c>
      <c r="C30" s="3" t="s">
        <v>31</v>
      </c>
      <c r="D30" s="5" t="s">
        <v>16</v>
      </c>
      <c r="E30" s="3" t="s">
        <v>32</v>
      </c>
      <c r="F30" s="3" t="s">
        <v>33</v>
      </c>
      <c r="G30" s="3" t="s">
        <v>34</v>
      </c>
      <c r="H30" s="3" t="s">
        <v>35</v>
      </c>
      <c r="I30" s="18">
        <v>530.14999999987776</v>
      </c>
      <c r="J30" s="39">
        <v>318.08999999992665</v>
      </c>
      <c r="K30" s="18">
        <v>265.07499999993888</v>
      </c>
      <c r="L30" s="45">
        <v>53.014999999987765</v>
      </c>
    </row>
    <row r="31" spans="2:12" x14ac:dyDescent="0.25">
      <c r="B31" s="37" t="s">
        <v>173</v>
      </c>
      <c r="C31" s="37" t="s">
        <v>174</v>
      </c>
      <c r="D31" s="38" t="s">
        <v>16</v>
      </c>
      <c r="E31" s="37" t="s">
        <v>26</v>
      </c>
      <c r="F31" s="37" t="s">
        <v>91</v>
      </c>
      <c r="G31" s="37" t="s">
        <v>28</v>
      </c>
      <c r="H31" s="37" t="s">
        <v>19</v>
      </c>
      <c r="I31" s="39">
        <v>514.26999999998588</v>
      </c>
      <c r="J31" s="39">
        <v>308.56199999999154</v>
      </c>
      <c r="K31" s="39">
        <v>257.13499999999294</v>
      </c>
      <c r="L31" s="45">
        <v>51.4269999999986</v>
      </c>
    </row>
    <row r="32" spans="2:12" x14ac:dyDescent="0.25">
      <c r="B32" s="3" t="s">
        <v>237</v>
      </c>
      <c r="C32" s="3" t="s">
        <v>238</v>
      </c>
      <c r="D32" s="5" t="s">
        <v>16</v>
      </c>
      <c r="E32" s="3" t="s">
        <v>47</v>
      </c>
      <c r="F32" s="3" t="s">
        <v>239</v>
      </c>
      <c r="G32" s="3" t="s">
        <v>48</v>
      </c>
      <c r="H32" s="3" t="s">
        <v>19</v>
      </c>
      <c r="I32" s="18">
        <v>446.35999999999694</v>
      </c>
      <c r="J32" s="39">
        <v>267.81599999999816</v>
      </c>
      <c r="K32" s="18">
        <v>223.17999999999847</v>
      </c>
      <c r="L32" s="45">
        <v>44.635999999999683</v>
      </c>
    </row>
    <row r="33" spans="2:12" hidden="1" x14ac:dyDescent="0.25">
      <c r="B33" s="37" t="s">
        <v>407</v>
      </c>
      <c r="C33" s="37" t="s">
        <v>408</v>
      </c>
      <c r="D33" s="38" t="s">
        <v>16</v>
      </c>
      <c r="E33" s="37" t="s">
        <v>22</v>
      </c>
      <c r="F33" s="37" t="s">
        <v>77</v>
      </c>
      <c r="G33" s="37" t="s">
        <v>23</v>
      </c>
      <c r="H33" s="37" t="s">
        <v>24</v>
      </c>
      <c r="I33" s="39">
        <v>419.41000000000349</v>
      </c>
      <c r="J33" s="39">
        <v>251.64600000000209</v>
      </c>
      <c r="K33" s="39">
        <v>209.70500000000175</v>
      </c>
      <c r="L33" s="45">
        <v>41.941000000000344</v>
      </c>
    </row>
    <row r="34" spans="2:12" hidden="1" x14ac:dyDescent="0.25">
      <c r="B34" s="3" t="s">
        <v>419</v>
      </c>
      <c r="C34" s="3" t="s">
        <v>420</v>
      </c>
      <c r="D34" s="5" t="s">
        <v>16</v>
      </c>
      <c r="E34" s="3" t="s">
        <v>32</v>
      </c>
      <c r="F34" s="3" t="s">
        <v>106</v>
      </c>
      <c r="G34" s="3" t="s">
        <v>34</v>
      </c>
      <c r="H34" s="3" t="s">
        <v>35</v>
      </c>
      <c r="I34" s="18">
        <v>392.67000000000007</v>
      </c>
      <c r="J34" s="39">
        <v>235.60200000000003</v>
      </c>
      <c r="K34" s="18">
        <v>196.33500000000004</v>
      </c>
      <c r="L34" s="45">
        <v>39.266999999999996</v>
      </c>
    </row>
    <row r="35" spans="2:12" x14ac:dyDescent="0.25">
      <c r="B35" s="37" t="s">
        <v>161</v>
      </c>
      <c r="C35" s="37" t="s">
        <v>162</v>
      </c>
      <c r="D35" s="38" t="s">
        <v>16</v>
      </c>
      <c r="E35" s="37" t="s">
        <v>64</v>
      </c>
      <c r="F35" s="37" t="s">
        <v>163</v>
      </c>
      <c r="G35" s="37" t="s">
        <v>66</v>
      </c>
      <c r="H35" s="37" t="s">
        <v>24</v>
      </c>
      <c r="I35" s="39">
        <v>377.25000000000182</v>
      </c>
      <c r="J35" s="39">
        <v>226.35000000000107</v>
      </c>
      <c r="K35" s="39">
        <v>188.62500000000091</v>
      </c>
      <c r="L35" s="45">
        <v>37.725000000000165</v>
      </c>
    </row>
    <row r="36" spans="2:12" hidden="1" x14ac:dyDescent="0.25">
      <c r="B36" s="3" t="s">
        <v>448</v>
      </c>
      <c r="C36" s="3" t="s">
        <v>449</v>
      </c>
      <c r="D36" s="5" t="s">
        <v>16</v>
      </c>
      <c r="E36" s="3" t="s">
        <v>37</v>
      </c>
      <c r="F36" s="3" t="s">
        <v>85</v>
      </c>
      <c r="G36" s="3" t="s">
        <v>38</v>
      </c>
      <c r="H36" s="3" t="s">
        <v>24</v>
      </c>
      <c r="I36" s="18">
        <v>376.4300000000012</v>
      </c>
      <c r="J36" s="39">
        <v>225.85800000000071</v>
      </c>
      <c r="K36" s="18">
        <v>188.2150000000006</v>
      </c>
      <c r="L36" s="45">
        <v>37.643000000000114</v>
      </c>
    </row>
    <row r="37" spans="2:12" hidden="1" x14ac:dyDescent="0.25">
      <c r="B37" s="37" t="s">
        <v>397</v>
      </c>
      <c r="C37" s="37" t="s">
        <v>398</v>
      </c>
      <c r="D37" s="38" t="s">
        <v>16</v>
      </c>
      <c r="E37" s="37" t="s">
        <v>22</v>
      </c>
      <c r="F37" s="37" t="s">
        <v>275</v>
      </c>
      <c r="G37" s="37" t="s">
        <v>23</v>
      </c>
      <c r="H37" s="37" t="s">
        <v>24</v>
      </c>
      <c r="I37" s="39">
        <v>368.82999999999993</v>
      </c>
      <c r="J37" s="39">
        <v>221.29799999999994</v>
      </c>
      <c r="K37" s="39">
        <v>184.41499999999996</v>
      </c>
      <c r="L37" s="45">
        <v>36.882999999999981</v>
      </c>
    </row>
    <row r="38" spans="2:12" hidden="1" x14ac:dyDescent="0.25">
      <c r="B38" s="3" t="s">
        <v>410</v>
      </c>
      <c r="C38" s="3" t="s">
        <v>411</v>
      </c>
      <c r="D38" s="5" t="s">
        <v>16</v>
      </c>
      <c r="E38" s="3" t="s">
        <v>17</v>
      </c>
      <c r="F38" s="3" t="s">
        <v>412</v>
      </c>
      <c r="G38" s="3" t="s">
        <v>18</v>
      </c>
      <c r="H38" s="3" t="s">
        <v>19</v>
      </c>
      <c r="I38" s="18">
        <v>354.42000000002008</v>
      </c>
      <c r="J38" s="39">
        <v>212.65200000001204</v>
      </c>
      <c r="K38" s="18">
        <v>177.21000000001004</v>
      </c>
      <c r="L38" s="45">
        <v>35.442000000001997</v>
      </c>
    </row>
    <row r="39" spans="2:12" x14ac:dyDescent="0.25">
      <c r="B39" s="37" t="s">
        <v>480</v>
      </c>
      <c r="C39" s="37" t="s">
        <v>481</v>
      </c>
      <c r="D39" s="38" t="s">
        <v>16</v>
      </c>
      <c r="E39" s="37" t="s">
        <v>26</v>
      </c>
      <c r="F39" s="37" t="s">
        <v>482</v>
      </c>
      <c r="G39" s="37" t="s">
        <v>28</v>
      </c>
      <c r="H39" s="37" t="s">
        <v>19</v>
      </c>
      <c r="I39" s="39">
        <v>303.62000000000262</v>
      </c>
      <c r="J39" s="39">
        <v>182.17200000000156</v>
      </c>
      <c r="K39" s="39">
        <v>151.81000000000131</v>
      </c>
      <c r="L39" s="45">
        <v>30.362000000000251</v>
      </c>
    </row>
    <row r="40" spans="2:12" x14ac:dyDescent="0.25">
      <c r="B40" s="3" t="s">
        <v>530</v>
      </c>
      <c r="C40" s="3" t="s">
        <v>531</v>
      </c>
      <c r="D40" s="5" t="s">
        <v>16</v>
      </c>
      <c r="E40" s="3" t="s">
        <v>64</v>
      </c>
      <c r="F40" s="3" t="s">
        <v>288</v>
      </c>
      <c r="G40" s="3" t="s">
        <v>66</v>
      </c>
      <c r="H40" s="3" t="s">
        <v>24</v>
      </c>
      <c r="I40" s="18">
        <v>242.76000000000022</v>
      </c>
      <c r="J40" s="39">
        <v>145.65600000000012</v>
      </c>
      <c r="K40" s="18">
        <v>121.38000000000011</v>
      </c>
      <c r="L40" s="45">
        <v>24.27600000000001</v>
      </c>
    </row>
    <row r="41" spans="2:12" x14ac:dyDescent="0.25">
      <c r="B41" s="37" t="s">
        <v>382</v>
      </c>
      <c r="C41" s="37" t="s">
        <v>383</v>
      </c>
      <c r="D41" s="38" t="s">
        <v>16</v>
      </c>
      <c r="E41" s="37" t="s">
        <v>26</v>
      </c>
      <c r="F41" s="37" t="s">
        <v>27</v>
      </c>
      <c r="G41" s="37" t="s">
        <v>28</v>
      </c>
      <c r="H41" s="37" t="s">
        <v>19</v>
      </c>
      <c r="I41" s="39">
        <v>227.55000000013388</v>
      </c>
      <c r="J41" s="39">
        <v>136.53000000008032</v>
      </c>
      <c r="K41" s="39">
        <v>113.77500000006694</v>
      </c>
      <c r="L41" s="45">
        <v>22.755000000013382</v>
      </c>
    </row>
    <row r="42" spans="2:12" hidden="1" x14ac:dyDescent="0.25">
      <c r="B42" s="3" t="s">
        <v>440</v>
      </c>
      <c r="C42" s="3" t="s">
        <v>441</v>
      </c>
      <c r="D42" s="5" t="s">
        <v>16</v>
      </c>
      <c r="E42" s="3" t="s">
        <v>442</v>
      </c>
      <c r="F42" s="3" t="s">
        <v>442</v>
      </c>
      <c r="G42" s="3" t="s">
        <v>443</v>
      </c>
      <c r="H42" s="3" t="s">
        <v>444</v>
      </c>
      <c r="I42" s="18">
        <v>214.96999999999935</v>
      </c>
      <c r="J42" s="39">
        <v>128.9819999999996</v>
      </c>
      <c r="K42" s="18">
        <v>107.48499999999967</v>
      </c>
      <c r="L42" s="45">
        <v>21.496999999999929</v>
      </c>
    </row>
    <row r="43" spans="2:12" hidden="1" x14ac:dyDescent="0.25">
      <c r="B43" s="37" t="s">
        <v>320</v>
      </c>
      <c r="C43" s="37" t="s">
        <v>321</v>
      </c>
      <c r="D43" s="38" t="s">
        <v>16</v>
      </c>
      <c r="E43" s="37" t="s">
        <v>69</v>
      </c>
      <c r="F43" s="37" t="s">
        <v>268</v>
      </c>
      <c r="G43" s="37" t="s">
        <v>70</v>
      </c>
      <c r="H43" s="37" t="s">
        <v>24</v>
      </c>
      <c r="I43" s="39">
        <v>212.01000000000522</v>
      </c>
      <c r="J43" s="39">
        <v>127.20600000000313</v>
      </c>
      <c r="K43" s="39">
        <v>106.00500000000261</v>
      </c>
      <c r="L43" s="45">
        <v>21.201000000000519</v>
      </c>
    </row>
    <row r="44" spans="2:12" hidden="1" x14ac:dyDescent="0.25">
      <c r="B44" s="3" t="s">
        <v>538</v>
      </c>
      <c r="C44" s="3" t="s">
        <v>539</v>
      </c>
      <c r="D44" s="5" t="s">
        <v>16</v>
      </c>
      <c r="E44" s="3" t="s">
        <v>37</v>
      </c>
      <c r="F44" s="3" t="s">
        <v>85</v>
      </c>
      <c r="G44" s="3" t="s">
        <v>38</v>
      </c>
      <c r="H44" s="3" t="s">
        <v>24</v>
      </c>
      <c r="I44" s="18">
        <v>170.11999999999716</v>
      </c>
      <c r="J44" s="39">
        <v>102.0719999999983</v>
      </c>
      <c r="K44" s="18">
        <v>85.059999999998581</v>
      </c>
      <c r="L44" s="45">
        <v>17.011999999999716</v>
      </c>
    </row>
    <row r="45" spans="2:12" hidden="1" x14ac:dyDescent="0.25">
      <c r="B45" s="37" t="s">
        <v>452</v>
      </c>
      <c r="C45" s="37" t="s">
        <v>453</v>
      </c>
      <c r="D45" s="38" t="s">
        <v>16</v>
      </c>
      <c r="E45" s="37" t="s">
        <v>37</v>
      </c>
      <c r="F45" s="37" t="s">
        <v>119</v>
      </c>
      <c r="G45" s="37" t="s">
        <v>38</v>
      </c>
      <c r="H45" s="37" t="s">
        <v>24</v>
      </c>
      <c r="I45" s="39">
        <v>147.40000000002328</v>
      </c>
      <c r="J45" s="39">
        <v>88.440000000013967</v>
      </c>
      <c r="K45" s="39">
        <v>73.700000000011642</v>
      </c>
      <c r="L45" s="45">
        <v>14.740000000002325</v>
      </c>
    </row>
    <row r="46" spans="2:12" hidden="1" x14ac:dyDescent="0.25">
      <c r="B46" s="3" t="s">
        <v>202</v>
      </c>
      <c r="C46" s="3" t="s">
        <v>203</v>
      </c>
      <c r="D46" s="5" t="s">
        <v>16</v>
      </c>
      <c r="E46" s="3" t="s">
        <v>51</v>
      </c>
      <c r="F46" s="3" t="s">
        <v>52</v>
      </c>
      <c r="G46" s="3" t="s">
        <v>53</v>
      </c>
      <c r="H46" s="3" t="s">
        <v>19</v>
      </c>
      <c r="I46" s="18">
        <v>138.11000000000058</v>
      </c>
      <c r="J46" s="39">
        <v>82.866000000000341</v>
      </c>
      <c r="K46" s="18">
        <v>69.055000000000291</v>
      </c>
      <c r="L46" s="45">
        <v>13.81100000000005</v>
      </c>
    </row>
    <row r="47" spans="2:12" hidden="1" x14ac:dyDescent="0.25">
      <c r="B47" s="37" t="s">
        <v>503</v>
      </c>
      <c r="C47" s="37" t="s">
        <v>504</v>
      </c>
      <c r="D47" s="38" t="s">
        <v>16</v>
      </c>
      <c r="E47" s="37" t="s">
        <v>69</v>
      </c>
      <c r="F47" s="37" t="s">
        <v>268</v>
      </c>
      <c r="G47" s="37" t="s">
        <v>70</v>
      </c>
      <c r="H47" s="37" t="s">
        <v>24</v>
      </c>
      <c r="I47" s="39">
        <v>135.18000000000029</v>
      </c>
      <c r="J47" s="39">
        <v>81.108000000000175</v>
      </c>
      <c r="K47" s="39">
        <v>67.590000000000146</v>
      </c>
      <c r="L47" s="45">
        <v>13.518000000000029</v>
      </c>
    </row>
    <row r="48" spans="2:12" hidden="1" x14ac:dyDescent="0.25">
      <c r="B48" s="3" t="s">
        <v>520</v>
      </c>
      <c r="C48" s="3" t="s">
        <v>521</v>
      </c>
      <c r="D48" s="5" t="s">
        <v>16</v>
      </c>
      <c r="E48" s="3" t="s">
        <v>32</v>
      </c>
      <c r="F48" s="3" t="s">
        <v>522</v>
      </c>
      <c r="G48" s="3" t="s">
        <v>34</v>
      </c>
      <c r="H48" s="3" t="s">
        <v>35</v>
      </c>
      <c r="I48" s="18">
        <v>109.94999999999345</v>
      </c>
      <c r="J48" s="39">
        <v>65.969999999996062</v>
      </c>
      <c r="K48" s="18">
        <v>54.974999999996726</v>
      </c>
      <c r="L48" s="45">
        <v>10.994999999999337</v>
      </c>
    </row>
    <row r="49" spans="2:12" hidden="1" x14ac:dyDescent="0.25">
      <c r="B49" s="37" t="s">
        <v>387</v>
      </c>
      <c r="C49" s="37" t="s">
        <v>388</v>
      </c>
      <c r="D49" s="38" t="s">
        <v>16</v>
      </c>
      <c r="E49" s="37" t="s">
        <v>37</v>
      </c>
      <c r="F49" s="37" t="s">
        <v>40</v>
      </c>
      <c r="G49" s="37" t="s">
        <v>38</v>
      </c>
      <c r="H49" s="37" t="s">
        <v>24</v>
      </c>
      <c r="I49" s="39">
        <v>85.690000000002328</v>
      </c>
      <c r="J49" s="39">
        <v>51.414000000001394</v>
      </c>
      <c r="K49" s="39">
        <v>42.845000000001164</v>
      </c>
      <c r="L49" s="45">
        <v>8.56900000000023</v>
      </c>
    </row>
    <row r="50" spans="2:12" hidden="1" x14ac:dyDescent="0.25">
      <c r="B50" s="3" t="s">
        <v>230</v>
      </c>
      <c r="C50" s="3" t="s">
        <v>231</v>
      </c>
      <c r="D50" s="5" t="s">
        <v>16</v>
      </c>
      <c r="E50" s="3" t="s">
        <v>32</v>
      </c>
      <c r="F50" s="3" t="s">
        <v>106</v>
      </c>
      <c r="G50" s="3" t="s">
        <v>34</v>
      </c>
      <c r="H50" s="3" t="s">
        <v>35</v>
      </c>
      <c r="I50" s="18">
        <v>80.030000000000655</v>
      </c>
      <c r="J50" s="39">
        <v>48.018000000000391</v>
      </c>
      <c r="K50" s="18">
        <v>40.015000000000327</v>
      </c>
      <c r="L50" s="45">
        <v>8.0030000000000641</v>
      </c>
    </row>
    <row r="51" spans="2:12" hidden="1" x14ac:dyDescent="0.25">
      <c r="B51" s="37" t="s">
        <v>108</v>
      </c>
      <c r="C51" s="37" t="s">
        <v>109</v>
      </c>
      <c r="D51" s="38" t="s">
        <v>16</v>
      </c>
      <c r="E51" s="37" t="s">
        <v>17</v>
      </c>
      <c r="F51" s="37" t="s">
        <v>110</v>
      </c>
      <c r="G51" s="37" t="s">
        <v>18</v>
      </c>
      <c r="H51" s="37" t="s">
        <v>19</v>
      </c>
      <c r="I51" s="39">
        <v>70.299999999995634</v>
      </c>
      <c r="J51" s="39">
        <v>42.179999999997378</v>
      </c>
      <c r="K51" s="39">
        <v>35.149999999997817</v>
      </c>
      <c r="L51" s="45">
        <v>7.0299999999995606</v>
      </c>
    </row>
    <row r="52" spans="2:12" x14ac:dyDescent="0.25">
      <c r="B52" s="3" t="s">
        <v>430</v>
      </c>
      <c r="C52" s="3" t="s">
        <v>431</v>
      </c>
      <c r="D52" s="5" t="s">
        <v>16</v>
      </c>
      <c r="E52" s="3" t="s">
        <v>64</v>
      </c>
      <c r="F52" s="3" t="s">
        <v>163</v>
      </c>
      <c r="G52" s="3" t="s">
        <v>66</v>
      </c>
      <c r="H52" s="3" t="s">
        <v>24</v>
      </c>
      <c r="I52" s="18">
        <v>64.820000000000164</v>
      </c>
      <c r="J52" s="39">
        <v>38.892000000000095</v>
      </c>
      <c r="K52" s="18">
        <v>32.410000000000082</v>
      </c>
      <c r="L52" s="45">
        <v>6.4820000000000135</v>
      </c>
    </row>
    <row r="53" spans="2:12" hidden="1" x14ac:dyDescent="0.25">
      <c r="B53" s="37" t="s">
        <v>334</v>
      </c>
      <c r="C53" s="37" t="s">
        <v>335</v>
      </c>
      <c r="D53" s="38" t="s">
        <v>16</v>
      </c>
      <c r="E53" s="37" t="s">
        <v>69</v>
      </c>
      <c r="F53" s="37" t="s">
        <v>268</v>
      </c>
      <c r="G53" s="37" t="s">
        <v>70</v>
      </c>
      <c r="H53" s="37" t="s">
        <v>24</v>
      </c>
      <c r="I53" s="39">
        <v>52.990000000000236</v>
      </c>
      <c r="J53" s="39">
        <v>31.794000000000139</v>
      </c>
      <c r="K53" s="39">
        <v>26.495000000000118</v>
      </c>
      <c r="L53" s="45">
        <v>5.2990000000000208</v>
      </c>
    </row>
    <row r="54" spans="2:12" hidden="1" x14ac:dyDescent="0.25">
      <c r="B54" s="3" t="s">
        <v>280</v>
      </c>
      <c r="C54" s="3" t="s">
        <v>281</v>
      </c>
      <c r="D54" s="5" t="s">
        <v>16</v>
      </c>
      <c r="E54" s="3" t="s">
        <v>37</v>
      </c>
      <c r="F54" s="3" t="s">
        <v>85</v>
      </c>
      <c r="G54" s="3" t="s">
        <v>38</v>
      </c>
      <c r="H54" s="3" t="s">
        <v>24</v>
      </c>
      <c r="I54" s="18">
        <v>47.260000000000218</v>
      </c>
      <c r="J54" s="39">
        <v>28.35600000000013</v>
      </c>
      <c r="K54" s="18">
        <v>23.630000000000109</v>
      </c>
      <c r="L54" s="45">
        <v>4.7260000000000204</v>
      </c>
    </row>
    <row r="55" spans="2:12" hidden="1" x14ac:dyDescent="0.25">
      <c r="B55" s="37" t="s">
        <v>225</v>
      </c>
      <c r="C55" s="37" t="s">
        <v>226</v>
      </c>
      <c r="D55" s="38" t="s">
        <v>16</v>
      </c>
      <c r="E55" s="37" t="s">
        <v>17</v>
      </c>
      <c r="F55" s="37" t="s">
        <v>227</v>
      </c>
      <c r="G55" s="37" t="s">
        <v>18</v>
      </c>
      <c r="H55" s="37" t="s">
        <v>19</v>
      </c>
      <c r="I55" s="39">
        <v>41.88000000003376</v>
      </c>
      <c r="J55" s="39">
        <v>25.128000000020254</v>
      </c>
      <c r="K55" s="39">
        <v>20.94000000001688</v>
      </c>
      <c r="L55" s="45">
        <v>4.1880000000033739</v>
      </c>
    </row>
    <row r="56" spans="2:12" x14ac:dyDescent="0.25">
      <c r="B56" s="3" t="s">
        <v>311</v>
      </c>
      <c r="C56" s="3" t="s">
        <v>312</v>
      </c>
      <c r="D56" s="5" t="s">
        <v>16</v>
      </c>
      <c r="E56" s="3" t="s">
        <v>47</v>
      </c>
      <c r="F56" s="3" t="s">
        <v>172</v>
      </c>
      <c r="G56" s="3" t="s">
        <v>48</v>
      </c>
      <c r="H56" s="3" t="s">
        <v>19</v>
      </c>
      <c r="I56" s="18">
        <v>27.939999999993233</v>
      </c>
      <c r="J56" s="39">
        <v>16.763999999995939</v>
      </c>
      <c r="K56" s="18">
        <v>13.969999999996617</v>
      </c>
      <c r="L56" s="45">
        <v>2.7939999999993219</v>
      </c>
    </row>
    <row r="57" spans="2:12" x14ac:dyDescent="0.25">
      <c r="B57" s="37" t="s">
        <v>505</v>
      </c>
      <c r="C57" s="37" t="s">
        <v>506</v>
      </c>
      <c r="D57" s="38" t="s">
        <v>16</v>
      </c>
      <c r="E57" s="37" t="s">
        <v>64</v>
      </c>
      <c r="F57" s="37" t="s">
        <v>74</v>
      </c>
      <c r="G57" s="37" t="s">
        <v>66</v>
      </c>
      <c r="H57" s="37" t="s">
        <v>24</v>
      </c>
      <c r="I57" s="39">
        <v>25.619999999998981</v>
      </c>
      <c r="J57" s="39">
        <v>15.371999999999389</v>
      </c>
      <c r="K57" s="39">
        <v>12.809999999999491</v>
      </c>
      <c r="L57" s="45">
        <v>2.5619999999998981</v>
      </c>
    </row>
    <row r="58" spans="2:12" hidden="1" x14ac:dyDescent="0.25">
      <c r="B58" s="3" t="s">
        <v>464</v>
      </c>
      <c r="C58" s="3" t="s">
        <v>465</v>
      </c>
      <c r="D58" s="5" t="s">
        <v>16</v>
      </c>
      <c r="E58" s="3" t="s">
        <v>69</v>
      </c>
      <c r="F58" s="3" t="s">
        <v>268</v>
      </c>
      <c r="G58" s="3" t="s">
        <v>70</v>
      </c>
      <c r="H58" s="3" t="s">
        <v>24</v>
      </c>
      <c r="I58" s="18">
        <v>13.389999999999873</v>
      </c>
      <c r="J58" s="39">
        <v>8.0339999999999225</v>
      </c>
      <c r="K58" s="18">
        <v>6.6949999999999363</v>
      </c>
      <c r="L58" s="45">
        <v>1.3389999999999862</v>
      </c>
    </row>
    <row r="59" spans="2:12" hidden="1" x14ac:dyDescent="0.25">
      <c r="B59" s="40" t="s">
        <v>354</v>
      </c>
      <c r="C59" s="40" t="s">
        <v>355</v>
      </c>
      <c r="D59" s="41" t="s">
        <v>16</v>
      </c>
      <c r="E59" s="40" t="s">
        <v>22</v>
      </c>
      <c r="F59" s="40" t="s">
        <v>77</v>
      </c>
      <c r="G59" s="40" t="s">
        <v>23</v>
      </c>
      <c r="H59" s="40" t="s">
        <v>24</v>
      </c>
      <c r="I59" s="42">
        <v>10.020000000002256</v>
      </c>
      <c r="J59" s="39">
        <v>6.0120000000013532</v>
      </c>
      <c r="K59" s="42">
        <v>5.0100000000011278</v>
      </c>
      <c r="L59" s="45">
        <v>1.0020000000002254</v>
      </c>
    </row>
  </sheetData>
  <autoFilter ref="B2:L59" xr:uid="{6CD72016-AF7F-4A84-B6FD-3C3EE8D24161}">
    <filterColumn colId="3">
      <filters>
        <filter val="REGIONAL CO"/>
        <filter val="REGIONAL RJ"/>
        <filter val="REGIONAL RS"/>
      </filters>
    </filterColumn>
  </autoFilter>
  <conditionalFormatting sqref="B2">
    <cfRule type="duplicateValues" dxfId="3" priority="1"/>
    <cfRule type="duplicateValues" dxfId="2" priority="2"/>
    <cfRule type="duplicateValues" dxfId="1" priority="3"/>
  </conditionalFormatting>
  <conditionalFormatting sqref="C2">
    <cfRule type="duplicateValues" dxfId="0" priority="4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7007-0D36-4BAF-94D6-F55E733C5140}">
  <dimension ref="C2:J607"/>
  <sheetViews>
    <sheetView topLeftCell="A248" workbookViewId="0">
      <selection activeCell="M251" sqref="M251"/>
    </sheetView>
  </sheetViews>
  <sheetFormatPr defaultRowHeight="15" x14ac:dyDescent="0.25"/>
  <sheetData>
    <row r="2" spans="3:10" x14ac:dyDescent="0.25">
      <c r="C2" s="19" t="s">
        <v>548</v>
      </c>
      <c r="D2" s="19" t="s">
        <v>549</v>
      </c>
      <c r="E2" s="19" t="s">
        <v>550</v>
      </c>
      <c r="F2" s="19" t="s">
        <v>551</v>
      </c>
      <c r="G2" s="19" t="s">
        <v>552</v>
      </c>
      <c r="H2" s="19" t="s">
        <v>553</v>
      </c>
      <c r="I2" s="19" t="s">
        <v>554</v>
      </c>
      <c r="J2" s="19" t="s">
        <v>555</v>
      </c>
    </row>
    <row r="3" spans="3:10" x14ac:dyDescent="0.25">
      <c r="C3" s="21"/>
      <c r="D3" s="22" t="s">
        <v>382</v>
      </c>
      <c r="E3" s="22" t="s">
        <v>556</v>
      </c>
      <c r="F3" s="22" t="s">
        <v>557</v>
      </c>
      <c r="G3" s="23" t="s">
        <v>20</v>
      </c>
      <c r="H3" s="22" t="s">
        <v>558</v>
      </c>
      <c r="I3" s="22" t="s">
        <v>559</v>
      </c>
      <c r="J3" s="20"/>
    </row>
    <row r="4" spans="3:10" x14ac:dyDescent="0.25">
      <c r="C4" s="21"/>
      <c r="D4" s="22" t="s">
        <v>328</v>
      </c>
      <c r="E4" s="22" t="s">
        <v>560</v>
      </c>
      <c r="F4" s="22" t="s">
        <v>557</v>
      </c>
      <c r="G4" s="23" t="s">
        <v>20</v>
      </c>
      <c r="H4" s="22" t="s">
        <v>558</v>
      </c>
      <c r="I4" s="22" t="s">
        <v>559</v>
      </c>
      <c r="J4" s="20"/>
    </row>
    <row r="5" spans="3:10" x14ac:dyDescent="0.25">
      <c r="C5" s="21"/>
      <c r="D5" s="22" t="s">
        <v>264</v>
      </c>
      <c r="E5" s="22" t="s">
        <v>561</v>
      </c>
      <c r="F5" s="22" t="s">
        <v>557</v>
      </c>
      <c r="G5" s="23" t="s">
        <v>20</v>
      </c>
      <c r="H5" s="22" t="s">
        <v>558</v>
      </c>
      <c r="I5" s="22" t="s">
        <v>559</v>
      </c>
      <c r="J5" s="20"/>
    </row>
    <row r="6" spans="3:10" x14ac:dyDescent="0.25">
      <c r="C6" s="21"/>
      <c r="D6" s="22" t="s">
        <v>384</v>
      </c>
      <c r="E6" s="22" t="s">
        <v>562</v>
      </c>
      <c r="F6" s="22" t="s">
        <v>557</v>
      </c>
      <c r="G6" s="23" t="s">
        <v>20</v>
      </c>
      <c r="H6" s="22" t="s">
        <v>558</v>
      </c>
      <c r="I6" s="22" t="s">
        <v>559</v>
      </c>
      <c r="J6" s="20"/>
    </row>
    <row r="7" spans="3:10" x14ac:dyDescent="0.25">
      <c r="C7" s="21"/>
      <c r="D7" s="22" t="s">
        <v>563</v>
      </c>
      <c r="E7" s="22" t="s">
        <v>564</v>
      </c>
      <c r="F7" s="22" t="s">
        <v>557</v>
      </c>
      <c r="G7" s="23" t="s">
        <v>20</v>
      </c>
      <c r="H7" s="22" t="s">
        <v>558</v>
      </c>
      <c r="I7" s="22" t="s">
        <v>559</v>
      </c>
      <c r="J7" s="20"/>
    </row>
    <row r="8" spans="3:10" x14ac:dyDescent="0.25">
      <c r="C8" s="21"/>
      <c r="D8" s="22" t="s">
        <v>137</v>
      </c>
      <c r="E8" s="22" t="s">
        <v>565</v>
      </c>
      <c r="F8" s="22" t="s">
        <v>557</v>
      </c>
      <c r="G8" s="23" t="s">
        <v>20</v>
      </c>
      <c r="H8" s="22" t="s">
        <v>558</v>
      </c>
      <c r="I8" s="22" t="s">
        <v>559</v>
      </c>
      <c r="J8" s="20"/>
    </row>
    <row r="9" spans="3:10" x14ac:dyDescent="0.25">
      <c r="C9" s="21"/>
      <c r="D9" s="22" t="s">
        <v>566</v>
      </c>
      <c r="E9" s="22" t="s">
        <v>567</v>
      </c>
      <c r="F9" s="22" t="s">
        <v>568</v>
      </c>
      <c r="G9" s="24" t="s">
        <v>390</v>
      </c>
      <c r="H9" s="22" t="s">
        <v>558</v>
      </c>
      <c r="I9" s="22" t="s">
        <v>559</v>
      </c>
      <c r="J9" s="20"/>
    </row>
    <row r="10" spans="3:10" x14ac:dyDescent="0.25">
      <c r="C10" s="21"/>
      <c r="D10" s="22" t="s">
        <v>276</v>
      </c>
      <c r="E10" s="22" t="s">
        <v>569</v>
      </c>
      <c r="F10" s="22" t="s">
        <v>557</v>
      </c>
      <c r="G10" s="23" t="s">
        <v>20</v>
      </c>
      <c r="H10" s="22" t="s">
        <v>558</v>
      </c>
      <c r="I10" s="22" t="s">
        <v>559</v>
      </c>
      <c r="J10" s="20"/>
    </row>
    <row r="11" spans="3:10" x14ac:dyDescent="0.25">
      <c r="C11" s="21"/>
      <c r="D11" s="22" t="s">
        <v>570</v>
      </c>
      <c r="E11" s="22" t="s">
        <v>571</v>
      </c>
      <c r="F11" s="22" t="s">
        <v>557</v>
      </c>
      <c r="G11" s="24" t="s">
        <v>390</v>
      </c>
      <c r="H11" s="22" t="s">
        <v>558</v>
      </c>
      <c r="I11" s="22" t="s">
        <v>559</v>
      </c>
      <c r="J11" s="20"/>
    </row>
    <row r="12" spans="3:10" x14ac:dyDescent="0.25">
      <c r="C12" s="21"/>
      <c r="D12" s="22" t="s">
        <v>148</v>
      </c>
      <c r="E12" s="22" t="s">
        <v>572</v>
      </c>
      <c r="F12" s="22" t="s">
        <v>557</v>
      </c>
      <c r="G12" s="23" t="s">
        <v>20</v>
      </c>
      <c r="H12" s="22" t="s">
        <v>558</v>
      </c>
      <c r="I12" s="22" t="s">
        <v>559</v>
      </c>
      <c r="J12" s="20"/>
    </row>
    <row r="13" spans="3:10" x14ac:dyDescent="0.25">
      <c r="C13" s="21"/>
      <c r="D13" s="22" t="s">
        <v>573</v>
      </c>
      <c r="E13" s="22" t="s">
        <v>574</v>
      </c>
      <c r="F13" s="22" t="s">
        <v>557</v>
      </c>
      <c r="G13" s="24" t="s">
        <v>390</v>
      </c>
      <c r="H13" s="22" t="s">
        <v>558</v>
      </c>
      <c r="I13" s="22" t="s">
        <v>559</v>
      </c>
      <c r="J13" s="20"/>
    </row>
    <row r="14" spans="3:10" x14ac:dyDescent="0.25">
      <c r="C14" s="21"/>
      <c r="D14" s="22" t="s">
        <v>575</v>
      </c>
      <c r="E14" s="22" t="s">
        <v>576</v>
      </c>
      <c r="F14" s="22" t="s">
        <v>557</v>
      </c>
      <c r="G14" s="23" t="s">
        <v>20</v>
      </c>
      <c r="H14" s="22" t="s">
        <v>558</v>
      </c>
      <c r="I14" s="22" t="s">
        <v>559</v>
      </c>
      <c r="J14" s="20"/>
    </row>
    <row r="15" spans="3:10" x14ac:dyDescent="0.25">
      <c r="C15" s="21"/>
      <c r="D15" s="22" t="s">
        <v>577</v>
      </c>
      <c r="E15" s="22" t="s">
        <v>578</v>
      </c>
      <c r="F15" s="22" t="s">
        <v>557</v>
      </c>
      <c r="G15" s="25" t="s">
        <v>214</v>
      </c>
      <c r="H15" s="22" t="s">
        <v>558</v>
      </c>
      <c r="I15" s="22" t="s">
        <v>559</v>
      </c>
      <c r="J15" s="20"/>
    </row>
    <row r="16" spans="3:10" x14ac:dyDescent="0.25">
      <c r="C16" s="21"/>
      <c r="D16" s="22" t="s">
        <v>219</v>
      </c>
      <c r="E16" s="22" t="s">
        <v>579</v>
      </c>
      <c r="F16" s="22" t="s">
        <v>557</v>
      </c>
      <c r="G16" s="23" t="s">
        <v>20</v>
      </c>
      <c r="H16" s="22" t="s">
        <v>558</v>
      </c>
      <c r="I16" s="22" t="s">
        <v>559</v>
      </c>
      <c r="J16" s="20"/>
    </row>
    <row r="17" spans="3:10" x14ac:dyDescent="0.25">
      <c r="C17" s="21"/>
      <c r="D17" s="22" t="s">
        <v>241</v>
      </c>
      <c r="E17" s="22" t="s">
        <v>580</v>
      </c>
      <c r="F17" s="22" t="s">
        <v>557</v>
      </c>
      <c r="G17" s="23" t="s">
        <v>20</v>
      </c>
      <c r="H17" s="22" t="s">
        <v>558</v>
      </c>
      <c r="I17" s="22" t="s">
        <v>559</v>
      </c>
      <c r="J17" s="20"/>
    </row>
    <row r="18" spans="3:10" x14ac:dyDescent="0.25">
      <c r="C18" s="21"/>
      <c r="D18" s="22" t="s">
        <v>71</v>
      </c>
      <c r="E18" s="22" t="s">
        <v>581</v>
      </c>
      <c r="F18" s="22" t="s">
        <v>557</v>
      </c>
      <c r="G18" s="23" t="s">
        <v>20</v>
      </c>
      <c r="H18" s="22" t="s">
        <v>558</v>
      </c>
      <c r="I18" s="22" t="s">
        <v>559</v>
      </c>
      <c r="J18" s="20"/>
    </row>
    <row r="19" spans="3:10" x14ac:dyDescent="0.25">
      <c r="C19" s="21"/>
      <c r="D19" s="22" t="s">
        <v>582</v>
      </c>
      <c r="E19" s="22" t="s">
        <v>583</v>
      </c>
      <c r="F19" s="22" t="s">
        <v>557</v>
      </c>
      <c r="G19" s="24" t="s">
        <v>390</v>
      </c>
      <c r="H19" s="22" t="s">
        <v>558</v>
      </c>
      <c r="I19" s="22" t="s">
        <v>559</v>
      </c>
      <c r="J19" s="20"/>
    </row>
    <row r="20" spans="3:10" x14ac:dyDescent="0.25">
      <c r="C20" s="21"/>
      <c r="D20" s="22" t="s">
        <v>385</v>
      </c>
      <c r="E20" s="22" t="s">
        <v>584</v>
      </c>
      <c r="F20" s="22" t="s">
        <v>557</v>
      </c>
      <c r="G20" s="23" t="s">
        <v>20</v>
      </c>
      <c r="H20" s="22" t="s">
        <v>558</v>
      </c>
      <c r="I20" s="22" t="s">
        <v>559</v>
      </c>
      <c r="J20" s="20"/>
    </row>
    <row r="21" spans="3:10" x14ac:dyDescent="0.25">
      <c r="C21" s="21"/>
      <c r="D21" s="22" t="s">
        <v>585</v>
      </c>
      <c r="E21" s="22" t="s">
        <v>586</v>
      </c>
      <c r="F21" s="22" t="s">
        <v>557</v>
      </c>
      <c r="G21" s="25" t="s">
        <v>214</v>
      </c>
      <c r="H21" s="22" t="s">
        <v>558</v>
      </c>
      <c r="I21" s="22" t="s">
        <v>559</v>
      </c>
      <c r="J21" s="20"/>
    </row>
    <row r="22" spans="3:10" x14ac:dyDescent="0.25">
      <c r="C22" s="21"/>
      <c r="D22" s="22" t="s">
        <v>185</v>
      </c>
      <c r="E22" s="22" t="s">
        <v>587</v>
      </c>
      <c r="F22" s="22" t="s">
        <v>557</v>
      </c>
      <c r="G22" s="23" t="s">
        <v>20</v>
      </c>
      <c r="H22" s="22" t="s">
        <v>558</v>
      </c>
      <c r="I22" s="22" t="s">
        <v>559</v>
      </c>
      <c r="J22" s="20"/>
    </row>
    <row r="23" spans="3:10" x14ac:dyDescent="0.25">
      <c r="C23" s="21"/>
      <c r="D23" s="22" t="s">
        <v>181</v>
      </c>
      <c r="E23" s="22" t="s">
        <v>588</v>
      </c>
      <c r="F23" s="22" t="s">
        <v>557</v>
      </c>
      <c r="G23" s="23" t="s">
        <v>20</v>
      </c>
      <c r="H23" s="22" t="s">
        <v>558</v>
      </c>
      <c r="I23" s="22" t="s">
        <v>559</v>
      </c>
      <c r="J23" s="20"/>
    </row>
    <row r="24" spans="3:10" x14ac:dyDescent="0.25">
      <c r="C24" s="21"/>
      <c r="D24" s="22" t="s">
        <v>589</v>
      </c>
      <c r="E24" s="22" t="s">
        <v>590</v>
      </c>
      <c r="F24" s="22" t="s">
        <v>557</v>
      </c>
      <c r="G24" s="24" t="s">
        <v>390</v>
      </c>
      <c r="H24" s="22" t="s">
        <v>558</v>
      </c>
      <c r="I24" s="22" t="s">
        <v>559</v>
      </c>
      <c r="J24" s="20"/>
    </row>
    <row r="25" spans="3:10" x14ac:dyDescent="0.25">
      <c r="C25" s="21"/>
      <c r="D25" s="22" t="s">
        <v>591</v>
      </c>
      <c r="E25" s="22" t="s">
        <v>592</v>
      </c>
      <c r="F25" s="22" t="s">
        <v>557</v>
      </c>
      <c r="G25" s="23" t="s">
        <v>20</v>
      </c>
      <c r="H25" s="22" t="s">
        <v>558</v>
      </c>
      <c r="I25" s="22" t="s">
        <v>559</v>
      </c>
      <c r="J25" s="20"/>
    </row>
    <row r="26" spans="3:10" x14ac:dyDescent="0.25">
      <c r="C26" s="21"/>
      <c r="D26" s="22" t="s">
        <v>387</v>
      </c>
      <c r="E26" s="22" t="s">
        <v>593</v>
      </c>
      <c r="F26" s="22" t="s">
        <v>557</v>
      </c>
      <c r="G26" s="23" t="s">
        <v>20</v>
      </c>
      <c r="H26" s="22" t="s">
        <v>558</v>
      </c>
      <c r="I26" s="22" t="s">
        <v>559</v>
      </c>
      <c r="J26" s="20"/>
    </row>
    <row r="27" spans="3:10" x14ac:dyDescent="0.25">
      <c r="C27" s="21"/>
      <c r="D27" s="22" t="s">
        <v>29</v>
      </c>
      <c r="E27" s="22" t="s">
        <v>594</v>
      </c>
      <c r="F27" s="22" t="s">
        <v>557</v>
      </c>
      <c r="G27" s="23" t="s">
        <v>20</v>
      </c>
      <c r="H27" s="22" t="s">
        <v>558</v>
      </c>
      <c r="I27" s="22" t="s">
        <v>559</v>
      </c>
      <c r="J27" s="20"/>
    </row>
    <row r="28" spans="3:10" x14ac:dyDescent="0.25">
      <c r="C28" s="21"/>
      <c r="D28" s="22" t="s">
        <v>595</v>
      </c>
      <c r="E28" s="22" t="s">
        <v>596</v>
      </c>
      <c r="F28" s="22" t="s">
        <v>557</v>
      </c>
      <c r="G28" s="23" t="s">
        <v>20</v>
      </c>
      <c r="H28" s="22" t="s">
        <v>558</v>
      </c>
      <c r="I28" s="22" t="s">
        <v>559</v>
      </c>
      <c r="J28" s="20"/>
    </row>
    <row r="29" spans="3:10" x14ac:dyDescent="0.25">
      <c r="C29" s="21"/>
      <c r="D29" s="22" t="s">
        <v>597</v>
      </c>
      <c r="E29" s="22" t="s">
        <v>598</v>
      </c>
      <c r="F29" s="22" t="s">
        <v>557</v>
      </c>
      <c r="G29" s="23" t="s">
        <v>20</v>
      </c>
      <c r="H29" s="22" t="s">
        <v>558</v>
      </c>
      <c r="I29" s="22" t="s">
        <v>559</v>
      </c>
      <c r="J29" s="20"/>
    </row>
    <row r="30" spans="3:10" x14ac:dyDescent="0.25">
      <c r="C30" s="21"/>
      <c r="D30" s="22" t="s">
        <v>204</v>
      </c>
      <c r="E30" s="22" t="s">
        <v>599</v>
      </c>
      <c r="F30" s="22" t="s">
        <v>557</v>
      </c>
      <c r="G30" s="23" t="s">
        <v>20</v>
      </c>
      <c r="H30" s="22" t="s">
        <v>558</v>
      </c>
      <c r="I30" s="22" t="s">
        <v>559</v>
      </c>
      <c r="J30" s="20"/>
    </row>
    <row r="31" spans="3:10" x14ac:dyDescent="0.25">
      <c r="C31" s="21"/>
      <c r="D31" s="22" t="s">
        <v>600</v>
      </c>
      <c r="E31" s="22" t="s">
        <v>601</v>
      </c>
      <c r="F31" s="22" t="s">
        <v>557</v>
      </c>
      <c r="G31" s="24" t="s">
        <v>390</v>
      </c>
      <c r="H31" s="22" t="s">
        <v>558</v>
      </c>
      <c r="I31" s="22" t="s">
        <v>559</v>
      </c>
      <c r="J31" s="20"/>
    </row>
    <row r="32" spans="3:10" x14ac:dyDescent="0.25">
      <c r="C32" s="21"/>
      <c r="D32" s="22" t="s">
        <v>331</v>
      </c>
      <c r="E32" s="22" t="s">
        <v>602</v>
      </c>
      <c r="F32" s="22" t="s">
        <v>568</v>
      </c>
      <c r="G32" s="23" t="s">
        <v>20</v>
      </c>
      <c r="H32" s="22" t="s">
        <v>558</v>
      </c>
      <c r="I32" s="22" t="s">
        <v>559</v>
      </c>
      <c r="J32" s="20"/>
    </row>
    <row r="33" spans="3:10" x14ac:dyDescent="0.25">
      <c r="C33" s="21"/>
      <c r="D33" s="22" t="s">
        <v>603</v>
      </c>
      <c r="E33" s="22" t="s">
        <v>604</v>
      </c>
      <c r="F33" s="22" t="s">
        <v>557</v>
      </c>
      <c r="G33" s="23" t="s">
        <v>20</v>
      </c>
      <c r="H33" s="22" t="s">
        <v>558</v>
      </c>
      <c r="I33" s="22" t="s">
        <v>559</v>
      </c>
      <c r="J33" s="20"/>
    </row>
    <row r="34" spans="3:10" x14ac:dyDescent="0.25">
      <c r="C34" s="21"/>
      <c r="D34" s="22" t="s">
        <v>605</v>
      </c>
      <c r="E34" s="22" t="s">
        <v>606</v>
      </c>
      <c r="F34" s="22" t="s">
        <v>557</v>
      </c>
      <c r="G34" s="23" t="s">
        <v>20</v>
      </c>
      <c r="H34" s="22" t="s">
        <v>558</v>
      </c>
      <c r="I34" s="22" t="s">
        <v>559</v>
      </c>
      <c r="J34" s="20"/>
    </row>
    <row r="35" spans="3:10" x14ac:dyDescent="0.25">
      <c r="C35" s="21"/>
      <c r="D35" s="22" t="s">
        <v>607</v>
      </c>
      <c r="E35" s="22" t="s">
        <v>608</v>
      </c>
      <c r="F35" s="22" t="s">
        <v>557</v>
      </c>
      <c r="G35" s="23" t="s">
        <v>20</v>
      </c>
      <c r="H35" s="22" t="s">
        <v>558</v>
      </c>
      <c r="I35" s="22" t="s">
        <v>559</v>
      </c>
      <c r="J35" s="20"/>
    </row>
    <row r="36" spans="3:10" x14ac:dyDescent="0.25">
      <c r="C36" s="21"/>
      <c r="D36" s="22" t="s">
        <v>213</v>
      </c>
      <c r="E36" s="22" t="s">
        <v>609</v>
      </c>
      <c r="F36" s="22" t="s">
        <v>557</v>
      </c>
      <c r="G36" s="25" t="s">
        <v>214</v>
      </c>
      <c r="H36" s="22" t="s">
        <v>558</v>
      </c>
      <c r="I36" s="22" t="s">
        <v>559</v>
      </c>
      <c r="J36" s="20"/>
    </row>
    <row r="37" spans="3:10" x14ac:dyDescent="0.25">
      <c r="C37" s="21"/>
      <c r="D37" s="22" t="s">
        <v>389</v>
      </c>
      <c r="E37" s="22" t="s">
        <v>610</v>
      </c>
      <c r="F37" s="22" t="s">
        <v>557</v>
      </c>
      <c r="G37" s="24" t="s">
        <v>390</v>
      </c>
      <c r="H37" s="22" t="s">
        <v>558</v>
      </c>
      <c r="I37" s="22" t="s">
        <v>559</v>
      </c>
      <c r="J37" s="20"/>
    </row>
    <row r="38" spans="3:10" x14ac:dyDescent="0.25">
      <c r="C38" s="21"/>
      <c r="D38" s="22" t="s">
        <v>391</v>
      </c>
      <c r="E38" s="22" t="s">
        <v>611</v>
      </c>
      <c r="F38" s="22" t="s">
        <v>557</v>
      </c>
      <c r="G38" s="23" t="s">
        <v>20</v>
      </c>
      <c r="H38" s="22" t="s">
        <v>558</v>
      </c>
      <c r="I38" s="22" t="s">
        <v>559</v>
      </c>
      <c r="J38" s="20"/>
    </row>
    <row r="39" spans="3:10" x14ac:dyDescent="0.25">
      <c r="C39" s="21"/>
      <c r="D39" s="22" t="s">
        <v>333</v>
      </c>
      <c r="E39" s="22" t="s">
        <v>612</v>
      </c>
      <c r="F39" s="22" t="s">
        <v>557</v>
      </c>
      <c r="G39" s="23" t="s">
        <v>20</v>
      </c>
      <c r="H39" s="22" t="s">
        <v>558</v>
      </c>
      <c r="I39" s="22" t="s">
        <v>559</v>
      </c>
      <c r="J39" s="20"/>
    </row>
    <row r="40" spans="3:10" x14ac:dyDescent="0.25">
      <c r="C40" s="21"/>
      <c r="D40" s="22" t="s">
        <v>392</v>
      </c>
      <c r="E40" s="22" t="s">
        <v>613</v>
      </c>
      <c r="F40" s="22" t="s">
        <v>568</v>
      </c>
      <c r="G40" s="23" t="s">
        <v>20</v>
      </c>
      <c r="H40" s="22" t="s">
        <v>558</v>
      </c>
      <c r="I40" s="22" t="s">
        <v>559</v>
      </c>
      <c r="J40" s="20"/>
    </row>
    <row r="41" spans="3:10" x14ac:dyDescent="0.25">
      <c r="C41" s="21"/>
      <c r="D41" s="22" t="s">
        <v>614</v>
      </c>
      <c r="E41" s="22" t="s">
        <v>615</v>
      </c>
      <c r="F41" s="22" t="s">
        <v>557</v>
      </c>
      <c r="G41" s="23" t="s">
        <v>20</v>
      </c>
      <c r="H41" s="22" t="s">
        <v>558</v>
      </c>
      <c r="I41" s="22" t="s">
        <v>559</v>
      </c>
      <c r="J41" s="20"/>
    </row>
    <row r="42" spans="3:10" x14ac:dyDescent="0.25">
      <c r="C42" s="21"/>
      <c r="D42" s="22" t="s">
        <v>245</v>
      </c>
      <c r="E42" s="22" t="s">
        <v>616</v>
      </c>
      <c r="F42" s="22" t="s">
        <v>557</v>
      </c>
      <c r="G42" s="23" t="s">
        <v>20</v>
      </c>
      <c r="H42" s="22" t="s">
        <v>558</v>
      </c>
      <c r="I42" s="22" t="s">
        <v>559</v>
      </c>
      <c r="J42" s="20"/>
    </row>
    <row r="43" spans="3:10" x14ac:dyDescent="0.25">
      <c r="C43" s="21"/>
      <c r="D43" s="22" t="s">
        <v>393</v>
      </c>
      <c r="E43" s="22" t="s">
        <v>617</v>
      </c>
      <c r="F43" s="22" t="s">
        <v>557</v>
      </c>
      <c r="G43" s="24" t="s">
        <v>390</v>
      </c>
      <c r="H43" s="22" t="s">
        <v>558</v>
      </c>
      <c r="I43" s="22" t="s">
        <v>559</v>
      </c>
      <c r="J43" s="20"/>
    </row>
    <row r="44" spans="3:10" x14ac:dyDescent="0.25">
      <c r="C44" s="21"/>
      <c r="D44" s="22" t="s">
        <v>205</v>
      </c>
      <c r="E44" s="22" t="s">
        <v>618</v>
      </c>
      <c r="F44" s="22" t="s">
        <v>557</v>
      </c>
      <c r="G44" s="23" t="s">
        <v>20</v>
      </c>
      <c r="H44" s="22" t="s">
        <v>558</v>
      </c>
      <c r="I44" s="22" t="s">
        <v>559</v>
      </c>
      <c r="J44" s="20"/>
    </row>
    <row r="45" spans="3:10" x14ac:dyDescent="0.25">
      <c r="C45" s="21"/>
      <c r="D45" s="22" t="s">
        <v>619</v>
      </c>
      <c r="E45" s="22" t="s">
        <v>620</v>
      </c>
      <c r="F45" s="22" t="s">
        <v>557</v>
      </c>
      <c r="G45" s="24" t="s">
        <v>390</v>
      </c>
      <c r="H45" s="22" t="s">
        <v>558</v>
      </c>
      <c r="I45" s="22" t="s">
        <v>559</v>
      </c>
      <c r="J45" s="20"/>
    </row>
    <row r="46" spans="3:10" x14ac:dyDescent="0.25">
      <c r="C46" s="21"/>
      <c r="D46" s="22" t="s">
        <v>161</v>
      </c>
      <c r="E46" s="22" t="s">
        <v>621</v>
      </c>
      <c r="F46" s="22" t="s">
        <v>557</v>
      </c>
      <c r="G46" s="23" t="s">
        <v>20</v>
      </c>
      <c r="H46" s="22" t="s">
        <v>558</v>
      </c>
      <c r="I46" s="22" t="s">
        <v>559</v>
      </c>
      <c r="J46" s="20"/>
    </row>
    <row r="47" spans="3:10" x14ac:dyDescent="0.25">
      <c r="C47" s="21"/>
      <c r="D47" s="22" t="s">
        <v>622</v>
      </c>
      <c r="E47" s="22" t="s">
        <v>623</v>
      </c>
      <c r="F47" s="22" t="s">
        <v>557</v>
      </c>
      <c r="G47" s="23" t="s">
        <v>20</v>
      </c>
      <c r="H47" s="22" t="s">
        <v>558</v>
      </c>
      <c r="I47" s="22" t="s">
        <v>559</v>
      </c>
      <c r="J47" s="20"/>
    </row>
    <row r="48" spans="3:10" x14ac:dyDescent="0.25">
      <c r="C48" s="21"/>
      <c r="D48" s="22" t="s">
        <v>624</v>
      </c>
      <c r="E48" s="22" t="s">
        <v>625</v>
      </c>
      <c r="F48" s="22" t="s">
        <v>557</v>
      </c>
      <c r="G48" s="23" t="s">
        <v>20</v>
      </c>
      <c r="H48" s="22" t="s">
        <v>558</v>
      </c>
      <c r="I48" s="22" t="s">
        <v>559</v>
      </c>
      <c r="J48" s="20"/>
    </row>
    <row r="49" spans="3:10" x14ac:dyDescent="0.25">
      <c r="C49" s="21"/>
      <c r="D49" s="22" t="s">
        <v>626</v>
      </c>
      <c r="E49" s="22" t="s">
        <v>627</v>
      </c>
      <c r="F49" s="22" t="s">
        <v>557</v>
      </c>
      <c r="G49" s="23" t="s">
        <v>20</v>
      </c>
      <c r="H49" s="22" t="s">
        <v>558</v>
      </c>
      <c r="I49" s="22" t="s">
        <v>559</v>
      </c>
      <c r="J49" s="20"/>
    </row>
    <row r="50" spans="3:10" x14ac:dyDescent="0.25">
      <c r="C50" s="21"/>
      <c r="D50" s="22" t="s">
        <v>628</v>
      </c>
      <c r="E50" s="22" t="s">
        <v>629</v>
      </c>
      <c r="F50" s="22" t="s">
        <v>557</v>
      </c>
      <c r="G50" s="24" t="s">
        <v>390</v>
      </c>
      <c r="H50" s="22" t="s">
        <v>558</v>
      </c>
      <c r="I50" s="22" t="s">
        <v>559</v>
      </c>
      <c r="J50" s="20"/>
    </row>
    <row r="51" spans="3:10" x14ac:dyDescent="0.25">
      <c r="C51" s="21"/>
      <c r="D51" s="22" t="s">
        <v>352</v>
      </c>
      <c r="E51" s="22" t="s">
        <v>630</v>
      </c>
      <c r="F51" s="22" t="s">
        <v>557</v>
      </c>
      <c r="G51" s="23" t="s">
        <v>20</v>
      </c>
      <c r="H51" s="22" t="s">
        <v>558</v>
      </c>
      <c r="I51" s="22" t="s">
        <v>559</v>
      </c>
      <c r="J51" s="20"/>
    </row>
    <row r="52" spans="3:10" x14ac:dyDescent="0.25">
      <c r="C52" s="21"/>
      <c r="D52" s="22" t="s">
        <v>116</v>
      </c>
      <c r="E52" s="22" t="s">
        <v>631</v>
      </c>
      <c r="F52" s="22" t="s">
        <v>557</v>
      </c>
      <c r="G52" s="23" t="s">
        <v>20</v>
      </c>
      <c r="H52" s="22" t="s">
        <v>558</v>
      </c>
      <c r="I52" s="22" t="s">
        <v>559</v>
      </c>
      <c r="J52" s="20"/>
    </row>
    <row r="53" spans="3:10" x14ac:dyDescent="0.25">
      <c r="C53" s="19" t="s">
        <v>548</v>
      </c>
      <c r="D53" s="19" t="s">
        <v>549</v>
      </c>
      <c r="E53" s="19" t="s">
        <v>550</v>
      </c>
      <c r="F53" s="19" t="s">
        <v>551</v>
      </c>
      <c r="G53" s="19" t="s">
        <v>552</v>
      </c>
      <c r="H53" s="19" t="s">
        <v>553</v>
      </c>
      <c r="I53" s="19" t="s">
        <v>554</v>
      </c>
      <c r="J53" s="19" t="s">
        <v>555</v>
      </c>
    </row>
    <row r="54" spans="3:10" x14ac:dyDescent="0.25">
      <c r="C54" s="21"/>
      <c r="D54" s="22" t="s">
        <v>632</v>
      </c>
      <c r="E54" s="22" t="s">
        <v>633</v>
      </c>
      <c r="F54" s="22" t="s">
        <v>557</v>
      </c>
      <c r="G54" s="23" t="s">
        <v>20</v>
      </c>
      <c r="H54" s="22" t="s">
        <v>558</v>
      </c>
      <c r="I54" s="22" t="s">
        <v>559</v>
      </c>
      <c r="J54" s="20"/>
    </row>
    <row r="55" spans="3:10" x14ac:dyDescent="0.25">
      <c r="C55" s="21"/>
      <c r="D55" s="22" t="s">
        <v>634</v>
      </c>
      <c r="E55" s="22" t="s">
        <v>635</v>
      </c>
      <c r="F55" s="22" t="s">
        <v>557</v>
      </c>
      <c r="G55" s="24" t="s">
        <v>390</v>
      </c>
      <c r="H55" s="22" t="s">
        <v>558</v>
      </c>
      <c r="I55" s="22" t="s">
        <v>559</v>
      </c>
      <c r="J55" s="20"/>
    </row>
    <row r="56" spans="3:10" x14ac:dyDescent="0.25">
      <c r="C56" s="21"/>
      <c r="D56" s="22" t="s">
        <v>209</v>
      </c>
      <c r="E56" s="22" t="s">
        <v>636</v>
      </c>
      <c r="F56" s="22" t="s">
        <v>557</v>
      </c>
      <c r="G56" s="23" t="s">
        <v>20</v>
      </c>
      <c r="H56" s="22" t="s">
        <v>558</v>
      </c>
      <c r="I56" s="22" t="s">
        <v>559</v>
      </c>
      <c r="J56" s="20"/>
    </row>
    <row r="57" spans="3:10" x14ac:dyDescent="0.25">
      <c r="C57" s="21"/>
      <c r="D57" s="22" t="s">
        <v>68</v>
      </c>
      <c r="E57" s="22" t="s">
        <v>637</v>
      </c>
      <c r="F57" s="22" t="s">
        <v>557</v>
      </c>
      <c r="G57" s="23" t="s">
        <v>20</v>
      </c>
      <c r="H57" s="22" t="s">
        <v>558</v>
      </c>
      <c r="I57" s="22" t="s">
        <v>559</v>
      </c>
      <c r="J57" s="20"/>
    </row>
    <row r="58" spans="3:10" x14ac:dyDescent="0.25">
      <c r="C58" s="21"/>
      <c r="D58" s="22" t="s">
        <v>394</v>
      </c>
      <c r="E58" s="22" t="s">
        <v>638</v>
      </c>
      <c r="F58" s="22" t="s">
        <v>557</v>
      </c>
      <c r="G58" s="23" t="s">
        <v>20</v>
      </c>
      <c r="H58" s="22" t="s">
        <v>558</v>
      </c>
      <c r="I58" s="22" t="s">
        <v>559</v>
      </c>
      <c r="J58" s="20"/>
    </row>
    <row r="59" spans="3:10" x14ac:dyDescent="0.25">
      <c r="C59" s="21"/>
      <c r="D59" s="22" t="s">
        <v>639</v>
      </c>
      <c r="E59" s="22" t="s">
        <v>640</v>
      </c>
      <c r="F59" s="22" t="s">
        <v>557</v>
      </c>
      <c r="G59" s="23" t="s">
        <v>20</v>
      </c>
      <c r="H59" s="22" t="s">
        <v>558</v>
      </c>
      <c r="I59" s="22" t="s">
        <v>559</v>
      </c>
      <c r="J59" s="20"/>
    </row>
    <row r="60" spans="3:10" x14ac:dyDescent="0.25">
      <c r="C60" s="21"/>
      <c r="D60" s="22" t="s">
        <v>395</v>
      </c>
      <c r="E60" s="22" t="s">
        <v>641</v>
      </c>
      <c r="F60" s="22" t="s">
        <v>557</v>
      </c>
      <c r="G60" s="23" t="s">
        <v>20</v>
      </c>
      <c r="H60" s="22" t="s">
        <v>558</v>
      </c>
      <c r="I60" s="22" t="s">
        <v>559</v>
      </c>
      <c r="J60" s="20"/>
    </row>
    <row r="61" spans="3:10" x14ac:dyDescent="0.25">
      <c r="C61" s="21"/>
      <c r="D61" s="22" t="s">
        <v>642</v>
      </c>
      <c r="E61" s="22" t="s">
        <v>643</v>
      </c>
      <c r="F61" s="22" t="s">
        <v>644</v>
      </c>
      <c r="G61" s="24" t="s">
        <v>390</v>
      </c>
      <c r="H61" s="22" t="s">
        <v>558</v>
      </c>
      <c r="I61" s="22" t="s">
        <v>645</v>
      </c>
      <c r="J61" s="20"/>
    </row>
    <row r="62" spans="3:10" x14ac:dyDescent="0.25">
      <c r="C62" s="21"/>
      <c r="D62" s="22" t="s">
        <v>646</v>
      </c>
      <c r="E62" s="22" t="s">
        <v>647</v>
      </c>
      <c r="F62" s="22" t="s">
        <v>557</v>
      </c>
      <c r="G62" s="23" t="s">
        <v>20</v>
      </c>
      <c r="H62" s="22" t="s">
        <v>558</v>
      </c>
      <c r="I62" s="22" t="s">
        <v>559</v>
      </c>
      <c r="J62" s="20"/>
    </row>
    <row r="63" spans="3:10" x14ac:dyDescent="0.25">
      <c r="C63" s="21"/>
      <c r="D63" s="22" t="s">
        <v>648</v>
      </c>
      <c r="E63" s="22" t="s">
        <v>649</v>
      </c>
      <c r="F63" s="22" t="s">
        <v>557</v>
      </c>
      <c r="G63" s="23" t="s">
        <v>20</v>
      </c>
      <c r="H63" s="22" t="s">
        <v>558</v>
      </c>
      <c r="I63" s="22" t="s">
        <v>559</v>
      </c>
      <c r="J63" s="20"/>
    </row>
    <row r="64" spans="3:10" x14ac:dyDescent="0.25">
      <c r="C64" s="21"/>
      <c r="D64" s="22" t="s">
        <v>58</v>
      </c>
      <c r="E64" s="22" t="s">
        <v>650</v>
      </c>
      <c r="F64" s="22" t="s">
        <v>568</v>
      </c>
      <c r="G64" s="23" t="s">
        <v>20</v>
      </c>
      <c r="H64" s="22" t="s">
        <v>558</v>
      </c>
      <c r="I64" s="22" t="s">
        <v>559</v>
      </c>
      <c r="J64" s="20"/>
    </row>
    <row r="65" spans="3:10" x14ac:dyDescent="0.25">
      <c r="C65" s="21"/>
      <c r="D65" s="22" t="s">
        <v>256</v>
      </c>
      <c r="E65" s="22" t="s">
        <v>651</v>
      </c>
      <c r="F65" s="22" t="s">
        <v>557</v>
      </c>
      <c r="G65" s="23" t="s">
        <v>20</v>
      </c>
      <c r="H65" s="22" t="s">
        <v>558</v>
      </c>
      <c r="I65" s="22" t="s">
        <v>559</v>
      </c>
      <c r="J65" s="20"/>
    </row>
    <row r="66" spans="3:10" x14ac:dyDescent="0.25">
      <c r="C66" s="21"/>
      <c r="D66" s="22" t="s">
        <v>82</v>
      </c>
      <c r="E66" s="22" t="s">
        <v>652</v>
      </c>
      <c r="F66" s="22" t="s">
        <v>557</v>
      </c>
      <c r="G66" s="23" t="s">
        <v>20</v>
      </c>
      <c r="H66" s="22" t="s">
        <v>558</v>
      </c>
      <c r="I66" s="22" t="s">
        <v>559</v>
      </c>
      <c r="J66" s="20"/>
    </row>
    <row r="67" spans="3:10" x14ac:dyDescent="0.25">
      <c r="C67" s="21"/>
      <c r="D67" s="22" t="s">
        <v>338</v>
      </c>
      <c r="E67" s="22" t="s">
        <v>653</v>
      </c>
      <c r="F67" s="22" t="s">
        <v>557</v>
      </c>
      <c r="G67" s="23" t="s">
        <v>20</v>
      </c>
      <c r="H67" s="22" t="s">
        <v>558</v>
      </c>
      <c r="I67" s="22" t="s">
        <v>559</v>
      </c>
      <c r="J67" s="20"/>
    </row>
    <row r="68" spans="3:10" x14ac:dyDescent="0.25">
      <c r="C68" s="21"/>
      <c r="D68" s="22" t="s">
        <v>253</v>
      </c>
      <c r="E68" s="22" t="s">
        <v>654</v>
      </c>
      <c r="F68" s="22" t="s">
        <v>557</v>
      </c>
      <c r="G68" s="23" t="s">
        <v>20</v>
      </c>
      <c r="H68" s="22" t="s">
        <v>558</v>
      </c>
      <c r="I68" s="22" t="s">
        <v>559</v>
      </c>
      <c r="J68" s="20"/>
    </row>
    <row r="69" spans="3:10" x14ac:dyDescent="0.25">
      <c r="C69" s="21"/>
      <c r="D69" s="22" t="s">
        <v>655</v>
      </c>
      <c r="E69" s="22" t="s">
        <v>656</v>
      </c>
      <c r="F69" s="22" t="s">
        <v>557</v>
      </c>
      <c r="G69" s="23" t="s">
        <v>20</v>
      </c>
      <c r="H69" s="22" t="s">
        <v>558</v>
      </c>
      <c r="I69" s="22" t="s">
        <v>559</v>
      </c>
      <c r="J69" s="20"/>
    </row>
    <row r="70" spans="3:10" x14ac:dyDescent="0.25">
      <c r="C70" s="21"/>
      <c r="D70" s="22" t="s">
        <v>396</v>
      </c>
      <c r="E70" s="22" t="s">
        <v>657</v>
      </c>
      <c r="F70" s="22" t="s">
        <v>557</v>
      </c>
      <c r="G70" s="23" t="s">
        <v>20</v>
      </c>
      <c r="H70" s="22" t="s">
        <v>558</v>
      </c>
      <c r="I70" s="22" t="s">
        <v>559</v>
      </c>
      <c r="J70" s="20"/>
    </row>
    <row r="71" spans="3:10" x14ac:dyDescent="0.25">
      <c r="C71" s="21"/>
      <c r="D71" s="22" t="s">
        <v>658</v>
      </c>
      <c r="E71" s="22" t="s">
        <v>659</v>
      </c>
      <c r="F71" s="22" t="s">
        <v>557</v>
      </c>
      <c r="G71" s="23" t="s">
        <v>20</v>
      </c>
      <c r="H71" s="22" t="s">
        <v>558</v>
      </c>
      <c r="I71" s="22" t="s">
        <v>559</v>
      </c>
      <c r="J71" s="20"/>
    </row>
    <row r="72" spans="3:10" x14ac:dyDescent="0.25">
      <c r="C72" s="21"/>
      <c r="D72" s="22" t="s">
        <v>182</v>
      </c>
      <c r="E72" s="22" t="s">
        <v>660</v>
      </c>
      <c r="F72" s="22" t="s">
        <v>557</v>
      </c>
      <c r="G72" s="23" t="s">
        <v>20</v>
      </c>
      <c r="H72" s="22" t="s">
        <v>558</v>
      </c>
      <c r="I72" s="22" t="s">
        <v>559</v>
      </c>
      <c r="J72" s="20"/>
    </row>
    <row r="73" spans="3:10" x14ac:dyDescent="0.25">
      <c r="C73" s="21"/>
      <c r="D73" s="22" t="s">
        <v>260</v>
      </c>
      <c r="E73" s="22" t="s">
        <v>661</v>
      </c>
      <c r="F73" s="22" t="s">
        <v>557</v>
      </c>
      <c r="G73" s="23" t="s">
        <v>20</v>
      </c>
      <c r="H73" s="22" t="s">
        <v>558</v>
      </c>
      <c r="I73" s="22" t="s">
        <v>559</v>
      </c>
      <c r="J73" s="20"/>
    </row>
    <row r="74" spans="3:10" x14ac:dyDescent="0.25">
      <c r="C74" s="21"/>
      <c r="D74" s="22" t="s">
        <v>212</v>
      </c>
      <c r="E74" s="22" t="s">
        <v>662</v>
      </c>
      <c r="F74" s="22" t="s">
        <v>557</v>
      </c>
      <c r="G74" s="23" t="s">
        <v>20</v>
      </c>
      <c r="H74" s="22" t="s">
        <v>558</v>
      </c>
      <c r="I74" s="22" t="s">
        <v>559</v>
      </c>
      <c r="J74" s="20"/>
    </row>
    <row r="75" spans="3:10" x14ac:dyDescent="0.25">
      <c r="C75" s="21"/>
      <c r="D75" s="22" t="s">
        <v>663</v>
      </c>
      <c r="E75" s="22" t="s">
        <v>664</v>
      </c>
      <c r="F75" s="22" t="s">
        <v>557</v>
      </c>
      <c r="G75" s="24" t="s">
        <v>390</v>
      </c>
      <c r="H75" s="22" t="s">
        <v>558</v>
      </c>
      <c r="I75" s="22" t="s">
        <v>559</v>
      </c>
      <c r="J75" s="20"/>
    </row>
    <row r="76" spans="3:10" x14ac:dyDescent="0.25">
      <c r="C76" s="21"/>
      <c r="D76" s="22" t="s">
        <v>397</v>
      </c>
      <c r="E76" s="22" t="s">
        <v>665</v>
      </c>
      <c r="F76" s="22" t="s">
        <v>557</v>
      </c>
      <c r="G76" s="23" t="s">
        <v>20</v>
      </c>
      <c r="H76" s="22" t="s">
        <v>558</v>
      </c>
      <c r="I76" s="22" t="s">
        <v>559</v>
      </c>
      <c r="J76" s="20"/>
    </row>
    <row r="77" spans="3:10" x14ac:dyDescent="0.25">
      <c r="C77" s="21"/>
      <c r="D77" s="22" t="s">
        <v>123</v>
      </c>
      <c r="E77" s="22" t="s">
        <v>666</v>
      </c>
      <c r="F77" s="22" t="s">
        <v>557</v>
      </c>
      <c r="G77" s="23" t="s">
        <v>20</v>
      </c>
      <c r="H77" s="22" t="s">
        <v>558</v>
      </c>
      <c r="I77" s="22" t="s">
        <v>559</v>
      </c>
      <c r="J77" s="20"/>
    </row>
    <row r="78" spans="3:10" x14ac:dyDescent="0.25">
      <c r="C78" s="21"/>
      <c r="D78" s="22" t="s">
        <v>197</v>
      </c>
      <c r="E78" s="22" t="s">
        <v>667</v>
      </c>
      <c r="F78" s="22" t="s">
        <v>557</v>
      </c>
      <c r="G78" s="23" t="s">
        <v>20</v>
      </c>
      <c r="H78" s="22" t="s">
        <v>558</v>
      </c>
      <c r="I78" s="22" t="s">
        <v>559</v>
      </c>
      <c r="J78" s="20"/>
    </row>
    <row r="79" spans="3:10" x14ac:dyDescent="0.25">
      <c r="C79" s="21"/>
      <c r="D79" s="22" t="s">
        <v>202</v>
      </c>
      <c r="E79" s="22" t="s">
        <v>668</v>
      </c>
      <c r="F79" s="22" t="s">
        <v>557</v>
      </c>
      <c r="G79" s="23" t="s">
        <v>20</v>
      </c>
      <c r="H79" s="22" t="s">
        <v>558</v>
      </c>
      <c r="I79" s="22" t="s">
        <v>559</v>
      </c>
      <c r="J79" s="20"/>
    </row>
    <row r="80" spans="3:10" x14ac:dyDescent="0.25">
      <c r="C80" s="21"/>
      <c r="D80" s="22" t="s">
        <v>399</v>
      </c>
      <c r="E80" s="22" t="s">
        <v>669</v>
      </c>
      <c r="F80" s="22" t="s">
        <v>557</v>
      </c>
      <c r="G80" s="23" t="s">
        <v>20</v>
      </c>
      <c r="H80" s="22" t="s">
        <v>558</v>
      </c>
      <c r="I80" s="22" t="s">
        <v>559</v>
      </c>
      <c r="J80" s="20"/>
    </row>
    <row r="81" spans="3:10" x14ac:dyDescent="0.25">
      <c r="C81" s="21"/>
      <c r="D81" s="22" t="s">
        <v>402</v>
      </c>
      <c r="E81" s="22" t="s">
        <v>670</v>
      </c>
      <c r="F81" s="22" t="s">
        <v>557</v>
      </c>
      <c r="G81" s="24" t="s">
        <v>390</v>
      </c>
      <c r="H81" s="22" t="s">
        <v>558</v>
      </c>
      <c r="I81" s="22" t="s">
        <v>559</v>
      </c>
      <c r="J81" s="20"/>
    </row>
    <row r="82" spans="3:10" x14ac:dyDescent="0.25">
      <c r="C82" s="21"/>
      <c r="D82" s="22" t="s">
        <v>167</v>
      </c>
      <c r="E82" s="22" t="s">
        <v>671</v>
      </c>
      <c r="F82" s="22" t="s">
        <v>568</v>
      </c>
      <c r="G82" s="23" t="s">
        <v>20</v>
      </c>
      <c r="H82" s="22" t="s">
        <v>558</v>
      </c>
      <c r="I82" s="22" t="s">
        <v>559</v>
      </c>
      <c r="J82" s="20"/>
    </row>
    <row r="83" spans="3:10" x14ac:dyDescent="0.25">
      <c r="C83" s="21"/>
      <c r="D83" s="22" t="s">
        <v>672</v>
      </c>
      <c r="E83" s="22" t="s">
        <v>673</v>
      </c>
      <c r="F83" s="22" t="s">
        <v>557</v>
      </c>
      <c r="G83" s="23" t="s">
        <v>20</v>
      </c>
      <c r="H83" s="22" t="s">
        <v>558</v>
      </c>
      <c r="I83" s="22" t="s">
        <v>559</v>
      </c>
      <c r="J83" s="20"/>
    </row>
    <row r="84" spans="3:10" x14ac:dyDescent="0.25">
      <c r="C84" s="21"/>
      <c r="D84" s="22" t="s">
        <v>403</v>
      </c>
      <c r="E84" s="22" t="s">
        <v>674</v>
      </c>
      <c r="F84" s="22" t="s">
        <v>557</v>
      </c>
      <c r="G84" s="23" t="s">
        <v>20</v>
      </c>
      <c r="H84" s="22" t="s">
        <v>558</v>
      </c>
      <c r="I84" s="22" t="s">
        <v>559</v>
      </c>
      <c r="J84" s="20"/>
    </row>
    <row r="85" spans="3:10" x14ac:dyDescent="0.25">
      <c r="C85" s="21"/>
      <c r="D85" s="22" t="s">
        <v>675</v>
      </c>
      <c r="E85" s="22" t="s">
        <v>676</v>
      </c>
      <c r="F85" s="22" t="s">
        <v>557</v>
      </c>
      <c r="G85" s="23" t="s">
        <v>20</v>
      </c>
      <c r="H85" s="22" t="s">
        <v>558</v>
      </c>
      <c r="I85" s="22" t="s">
        <v>559</v>
      </c>
      <c r="J85" s="20"/>
    </row>
    <row r="86" spans="3:10" x14ac:dyDescent="0.25">
      <c r="C86" s="21"/>
      <c r="D86" s="22" t="s">
        <v>184</v>
      </c>
      <c r="E86" s="22" t="s">
        <v>677</v>
      </c>
      <c r="F86" s="22" t="s">
        <v>557</v>
      </c>
      <c r="G86" s="23" t="s">
        <v>20</v>
      </c>
      <c r="H86" s="22" t="s">
        <v>558</v>
      </c>
      <c r="I86" s="22" t="s">
        <v>559</v>
      </c>
      <c r="J86" s="20"/>
    </row>
    <row r="87" spans="3:10" x14ac:dyDescent="0.25">
      <c r="C87" s="21"/>
      <c r="D87" s="22" t="s">
        <v>21</v>
      </c>
      <c r="E87" s="22" t="s">
        <v>678</v>
      </c>
      <c r="F87" s="22" t="s">
        <v>557</v>
      </c>
      <c r="G87" s="23" t="s">
        <v>20</v>
      </c>
      <c r="H87" s="22" t="s">
        <v>558</v>
      </c>
      <c r="I87" s="22" t="s">
        <v>559</v>
      </c>
      <c r="J87" s="20"/>
    </row>
    <row r="88" spans="3:10" x14ac:dyDescent="0.25">
      <c r="C88" s="21"/>
      <c r="D88" s="22" t="s">
        <v>228</v>
      </c>
      <c r="E88" s="22" t="s">
        <v>679</v>
      </c>
      <c r="F88" s="22" t="s">
        <v>557</v>
      </c>
      <c r="G88" s="23" t="s">
        <v>20</v>
      </c>
      <c r="H88" s="22" t="s">
        <v>558</v>
      </c>
      <c r="I88" s="22" t="s">
        <v>559</v>
      </c>
      <c r="J88" s="20"/>
    </row>
    <row r="89" spans="3:10" x14ac:dyDescent="0.25">
      <c r="C89" s="21"/>
      <c r="D89" s="22" t="s">
        <v>680</v>
      </c>
      <c r="E89" s="22" t="s">
        <v>681</v>
      </c>
      <c r="F89" s="22" t="s">
        <v>568</v>
      </c>
      <c r="G89" s="25" t="s">
        <v>214</v>
      </c>
      <c r="H89" s="22" t="s">
        <v>558</v>
      </c>
      <c r="I89" s="22" t="s">
        <v>559</v>
      </c>
      <c r="J89" s="20"/>
    </row>
    <row r="90" spans="3:10" x14ac:dyDescent="0.25">
      <c r="C90" s="21"/>
      <c r="D90" s="22" t="s">
        <v>404</v>
      </c>
      <c r="E90" s="22" t="s">
        <v>682</v>
      </c>
      <c r="F90" s="22" t="s">
        <v>557</v>
      </c>
      <c r="G90" s="23" t="s">
        <v>20</v>
      </c>
      <c r="H90" s="22" t="s">
        <v>558</v>
      </c>
      <c r="I90" s="22" t="s">
        <v>559</v>
      </c>
      <c r="J90" s="20"/>
    </row>
    <row r="91" spans="3:10" x14ac:dyDescent="0.25">
      <c r="C91" s="21"/>
      <c r="D91" s="22" t="s">
        <v>683</v>
      </c>
      <c r="E91" s="22" t="s">
        <v>684</v>
      </c>
      <c r="F91" s="22" t="s">
        <v>557</v>
      </c>
      <c r="G91" s="23" t="s">
        <v>20</v>
      </c>
      <c r="H91" s="22" t="s">
        <v>558</v>
      </c>
      <c r="I91" s="22" t="s">
        <v>559</v>
      </c>
      <c r="J91" s="20"/>
    </row>
    <row r="92" spans="3:10" x14ac:dyDescent="0.25">
      <c r="C92" s="21"/>
      <c r="D92" s="22" t="s">
        <v>405</v>
      </c>
      <c r="E92" s="22" t="s">
        <v>685</v>
      </c>
      <c r="F92" s="22" t="s">
        <v>557</v>
      </c>
      <c r="G92" s="23" t="s">
        <v>20</v>
      </c>
      <c r="H92" s="22" t="s">
        <v>558</v>
      </c>
      <c r="I92" s="22" t="s">
        <v>559</v>
      </c>
      <c r="J92" s="20"/>
    </row>
    <row r="93" spans="3:10" x14ac:dyDescent="0.25">
      <c r="C93" s="21"/>
      <c r="D93" s="22" t="s">
        <v>138</v>
      </c>
      <c r="E93" s="22" t="s">
        <v>686</v>
      </c>
      <c r="F93" s="22" t="s">
        <v>557</v>
      </c>
      <c r="G93" s="23" t="s">
        <v>20</v>
      </c>
      <c r="H93" s="22" t="s">
        <v>558</v>
      </c>
      <c r="I93" s="22" t="s">
        <v>559</v>
      </c>
      <c r="J93" s="20"/>
    </row>
    <row r="94" spans="3:10" x14ac:dyDescent="0.25">
      <c r="C94" s="21"/>
      <c r="D94" s="22" t="s">
        <v>353</v>
      </c>
      <c r="E94" s="22" t="s">
        <v>687</v>
      </c>
      <c r="F94" s="22" t="s">
        <v>557</v>
      </c>
      <c r="G94" s="23" t="s">
        <v>20</v>
      </c>
      <c r="H94" s="22" t="s">
        <v>558</v>
      </c>
      <c r="I94" s="22" t="s">
        <v>559</v>
      </c>
      <c r="J94" s="20"/>
    </row>
    <row r="95" spans="3:10" x14ac:dyDescent="0.25">
      <c r="C95" s="21"/>
      <c r="D95" s="22" t="s">
        <v>688</v>
      </c>
      <c r="E95" s="22" t="s">
        <v>689</v>
      </c>
      <c r="F95" s="22" t="s">
        <v>557</v>
      </c>
      <c r="G95" s="23" t="s">
        <v>20</v>
      </c>
      <c r="H95" s="22" t="s">
        <v>558</v>
      </c>
      <c r="I95" s="22" t="s">
        <v>559</v>
      </c>
      <c r="J95" s="20"/>
    </row>
    <row r="96" spans="3:10" x14ac:dyDescent="0.25">
      <c r="C96" s="21"/>
      <c r="D96" s="22" t="s">
        <v>690</v>
      </c>
      <c r="E96" s="22" t="s">
        <v>691</v>
      </c>
      <c r="F96" s="22" t="s">
        <v>557</v>
      </c>
      <c r="G96" s="23" t="s">
        <v>20</v>
      </c>
      <c r="H96" s="22" t="s">
        <v>558</v>
      </c>
      <c r="I96" s="22" t="s">
        <v>559</v>
      </c>
      <c r="J96" s="20"/>
    </row>
    <row r="97" spans="3:10" x14ac:dyDescent="0.25">
      <c r="C97" s="21"/>
      <c r="D97" s="22" t="s">
        <v>406</v>
      </c>
      <c r="E97" s="22" t="s">
        <v>692</v>
      </c>
      <c r="F97" s="22" t="s">
        <v>557</v>
      </c>
      <c r="G97" s="23" t="s">
        <v>20</v>
      </c>
      <c r="H97" s="22" t="s">
        <v>558</v>
      </c>
      <c r="I97" s="22" t="s">
        <v>559</v>
      </c>
      <c r="J97" s="20"/>
    </row>
    <row r="98" spans="3:10" x14ac:dyDescent="0.25">
      <c r="C98" s="21"/>
      <c r="D98" s="22" t="s">
        <v>62</v>
      </c>
      <c r="E98" s="22" t="s">
        <v>693</v>
      </c>
      <c r="F98" s="22" t="s">
        <v>557</v>
      </c>
      <c r="G98" s="23" t="s">
        <v>20</v>
      </c>
      <c r="H98" s="22" t="s">
        <v>558</v>
      </c>
      <c r="I98" s="22" t="s">
        <v>559</v>
      </c>
      <c r="J98" s="20"/>
    </row>
    <row r="99" spans="3:10" x14ac:dyDescent="0.25">
      <c r="C99" s="21"/>
      <c r="D99" s="22" t="s">
        <v>166</v>
      </c>
      <c r="E99" s="22" t="s">
        <v>694</v>
      </c>
      <c r="F99" s="22" t="s">
        <v>557</v>
      </c>
      <c r="G99" s="23" t="s">
        <v>20</v>
      </c>
      <c r="H99" s="22" t="s">
        <v>558</v>
      </c>
      <c r="I99" s="22" t="s">
        <v>559</v>
      </c>
      <c r="J99" s="20"/>
    </row>
    <row r="100" spans="3:10" x14ac:dyDescent="0.25">
      <c r="C100" s="21"/>
      <c r="D100" s="22" t="s">
        <v>695</v>
      </c>
      <c r="E100" s="22" t="s">
        <v>696</v>
      </c>
      <c r="F100" s="22" t="s">
        <v>557</v>
      </c>
      <c r="G100" s="24" t="s">
        <v>390</v>
      </c>
      <c r="H100" s="22" t="s">
        <v>558</v>
      </c>
      <c r="I100" s="22" t="s">
        <v>559</v>
      </c>
      <c r="J100" s="20"/>
    </row>
    <row r="101" spans="3:10" x14ac:dyDescent="0.25">
      <c r="C101" s="21"/>
      <c r="D101" s="22" t="s">
        <v>697</v>
      </c>
      <c r="E101" s="22" t="s">
        <v>698</v>
      </c>
      <c r="F101" s="22" t="s">
        <v>557</v>
      </c>
      <c r="G101" s="24" t="s">
        <v>390</v>
      </c>
      <c r="H101" s="22" t="s">
        <v>558</v>
      </c>
      <c r="I101" s="22" t="s">
        <v>559</v>
      </c>
      <c r="J101" s="20"/>
    </row>
    <row r="102" spans="3:10" x14ac:dyDescent="0.25">
      <c r="C102" s="21"/>
      <c r="D102" s="22" t="s">
        <v>699</v>
      </c>
      <c r="E102" s="22" t="s">
        <v>700</v>
      </c>
      <c r="F102" s="22" t="s">
        <v>557</v>
      </c>
      <c r="G102" s="25" t="s">
        <v>214</v>
      </c>
      <c r="H102" s="22" t="s">
        <v>558</v>
      </c>
      <c r="I102" s="22" t="s">
        <v>559</v>
      </c>
      <c r="J102" s="20"/>
    </row>
    <row r="103" spans="3:10" x14ac:dyDescent="0.25">
      <c r="C103" s="27"/>
      <c r="D103" s="28" t="s">
        <v>59</v>
      </c>
      <c r="E103" s="28" t="s">
        <v>701</v>
      </c>
      <c r="F103" s="28" t="s">
        <v>557</v>
      </c>
      <c r="G103" s="29" t="s">
        <v>20</v>
      </c>
      <c r="H103" s="28" t="s">
        <v>558</v>
      </c>
      <c r="I103" s="28" t="s">
        <v>559</v>
      </c>
      <c r="J103" s="26"/>
    </row>
    <row r="104" spans="3:10" x14ac:dyDescent="0.25">
      <c r="C104" s="19" t="s">
        <v>548</v>
      </c>
      <c r="D104" s="19" t="s">
        <v>549</v>
      </c>
      <c r="E104" s="19" t="s">
        <v>550</v>
      </c>
      <c r="F104" s="19" t="s">
        <v>551</v>
      </c>
      <c r="G104" s="19" t="s">
        <v>552</v>
      </c>
      <c r="H104" s="19" t="s">
        <v>553</v>
      </c>
      <c r="I104" s="19" t="s">
        <v>554</v>
      </c>
      <c r="J104" s="19" t="s">
        <v>555</v>
      </c>
    </row>
    <row r="105" spans="3:10" x14ac:dyDescent="0.25">
      <c r="C105" s="21"/>
      <c r="D105" s="22" t="s">
        <v>546</v>
      </c>
      <c r="E105" s="22" t="s">
        <v>702</v>
      </c>
      <c r="F105" s="22" t="s">
        <v>557</v>
      </c>
      <c r="G105" s="23" t="s">
        <v>20</v>
      </c>
      <c r="H105" s="22" t="s">
        <v>558</v>
      </c>
      <c r="I105" s="22" t="s">
        <v>559</v>
      </c>
      <c r="J105" s="20"/>
    </row>
    <row r="106" spans="3:10" x14ac:dyDescent="0.25">
      <c r="C106" s="21"/>
      <c r="D106" s="22" t="s">
        <v>703</v>
      </c>
      <c r="E106" s="22" t="s">
        <v>704</v>
      </c>
      <c r="F106" s="22" t="s">
        <v>557</v>
      </c>
      <c r="G106" s="23" t="s">
        <v>20</v>
      </c>
      <c r="H106" s="22" t="s">
        <v>558</v>
      </c>
      <c r="I106" s="22" t="s">
        <v>559</v>
      </c>
      <c r="J106" s="20"/>
    </row>
    <row r="107" spans="3:10" x14ac:dyDescent="0.25">
      <c r="C107" s="21"/>
      <c r="D107" s="22" t="s">
        <v>378</v>
      </c>
      <c r="E107" s="22" t="s">
        <v>705</v>
      </c>
      <c r="F107" s="22" t="s">
        <v>557</v>
      </c>
      <c r="G107" s="23" t="s">
        <v>20</v>
      </c>
      <c r="H107" s="22" t="s">
        <v>558</v>
      </c>
      <c r="I107" s="22" t="s">
        <v>559</v>
      </c>
      <c r="J107" s="20"/>
    </row>
    <row r="108" spans="3:10" x14ac:dyDescent="0.25">
      <c r="C108" s="21"/>
      <c r="D108" s="22" t="s">
        <v>265</v>
      </c>
      <c r="E108" s="22" t="s">
        <v>706</v>
      </c>
      <c r="F108" s="22" t="s">
        <v>557</v>
      </c>
      <c r="G108" s="23" t="s">
        <v>20</v>
      </c>
      <c r="H108" s="22" t="s">
        <v>558</v>
      </c>
      <c r="I108" s="22" t="s">
        <v>559</v>
      </c>
      <c r="J108" s="20"/>
    </row>
    <row r="109" spans="3:10" x14ac:dyDescent="0.25">
      <c r="C109" s="21"/>
      <c r="D109" s="22" t="s">
        <v>407</v>
      </c>
      <c r="E109" s="22" t="s">
        <v>707</v>
      </c>
      <c r="F109" s="22" t="s">
        <v>557</v>
      </c>
      <c r="G109" s="23" t="s">
        <v>20</v>
      </c>
      <c r="H109" s="22" t="s">
        <v>558</v>
      </c>
      <c r="I109" s="22" t="s">
        <v>559</v>
      </c>
      <c r="J109" s="20"/>
    </row>
    <row r="110" spans="3:10" x14ac:dyDescent="0.25">
      <c r="C110" s="21"/>
      <c r="D110" s="22" t="s">
        <v>325</v>
      </c>
      <c r="E110" s="22" t="s">
        <v>708</v>
      </c>
      <c r="F110" s="22" t="s">
        <v>557</v>
      </c>
      <c r="G110" s="23" t="s">
        <v>20</v>
      </c>
      <c r="H110" s="22" t="s">
        <v>558</v>
      </c>
      <c r="I110" s="22" t="s">
        <v>559</v>
      </c>
      <c r="J110" s="20"/>
    </row>
    <row r="111" spans="3:10" x14ac:dyDescent="0.25">
      <c r="C111" s="21"/>
      <c r="D111" s="22" t="s">
        <v>76</v>
      </c>
      <c r="E111" s="22" t="s">
        <v>709</v>
      </c>
      <c r="F111" s="22" t="s">
        <v>557</v>
      </c>
      <c r="G111" s="23" t="s">
        <v>20</v>
      </c>
      <c r="H111" s="22" t="s">
        <v>558</v>
      </c>
      <c r="I111" s="22" t="s">
        <v>559</v>
      </c>
      <c r="J111" s="20"/>
    </row>
    <row r="112" spans="3:10" x14ac:dyDescent="0.25">
      <c r="C112" s="21"/>
      <c r="D112" s="22" t="s">
        <v>362</v>
      </c>
      <c r="E112" s="22" t="s">
        <v>710</v>
      </c>
      <c r="F112" s="22" t="s">
        <v>557</v>
      </c>
      <c r="G112" s="23" t="s">
        <v>20</v>
      </c>
      <c r="H112" s="22" t="s">
        <v>558</v>
      </c>
      <c r="I112" s="22" t="s">
        <v>559</v>
      </c>
      <c r="J112" s="20"/>
    </row>
    <row r="113" spans="3:10" x14ac:dyDescent="0.25">
      <c r="C113" s="21"/>
      <c r="D113" s="22" t="s">
        <v>267</v>
      </c>
      <c r="E113" s="22" t="s">
        <v>711</v>
      </c>
      <c r="F113" s="22" t="s">
        <v>557</v>
      </c>
      <c r="G113" s="23" t="s">
        <v>20</v>
      </c>
      <c r="H113" s="22" t="s">
        <v>558</v>
      </c>
      <c r="I113" s="22" t="s">
        <v>559</v>
      </c>
      <c r="J113" s="20"/>
    </row>
    <row r="114" spans="3:10" x14ac:dyDescent="0.25">
      <c r="C114" s="21"/>
      <c r="D114" s="22" t="s">
        <v>270</v>
      </c>
      <c r="E114" s="22" t="s">
        <v>712</v>
      </c>
      <c r="F114" s="22" t="s">
        <v>557</v>
      </c>
      <c r="G114" s="23" t="s">
        <v>20</v>
      </c>
      <c r="H114" s="22" t="s">
        <v>558</v>
      </c>
      <c r="I114" s="22" t="s">
        <v>559</v>
      </c>
      <c r="J114" s="20"/>
    </row>
    <row r="115" spans="3:10" x14ac:dyDescent="0.25">
      <c r="C115" s="21"/>
      <c r="D115" s="22" t="s">
        <v>713</v>
      </c>
      <c r="E115" s="22" t="s">
        <v>714</v>
      </c>
      <c r="F115" s="22" t="s">
        <v>557</v>
      </c>
      <c r="G115" s="30" t="s">
        <v>715</v>
      </c>
      <c r="H115" s="22" t="s">
        <v>559</v>
      </c>
      <c r="I115" s="22" t="s">
        <v>559</v>
      </c>
      <c r="J115" s="20"/>
    </row>
    <row r="116" spans="3:10" x14ac:dyDescent="0.25">
      <c r="C116" s="21"/>
      <c r="D116" s="22" t="s">
        <v>262</v>
      </c>
      <c r="E116" s="22" t="s">
        <v>716</v>
      </c>
      <c r="F116" s="22" t="s">
        <v>557</v>
      </c>
      <c r="G116" s="23" t="s">
        <v>20</v>
      </c>
      <c r="H116" s="22" t="s">
        <v>558</v>
      </c>
      <c r="I116" s="22" t="s">
        <v>559</v>
      </c>
      <c r="J116" s="20"/>
    </row>
    <row r="117" spans="3:10" x14ac:dyDescent="0.25">
      <c r="C117" s="21"/>
      <c r="D117" s="22" t="s">
        <v>717</v>
      </c>
      <c r="E117" s="22" t="s">
        <v>718</v>
      </c>
      <c r="F117" s="22" t="s">
        <v>557</v>
      </c>
      <c r="G117" s="25" t="s">
        <v>214</v>
      </c>
      <c r="H117" s="22" t="s">
        <v>558</v>
      </c>
      <c r="I117" s="22" t="s">
        <v>559</v>
      </c>
      <c r="J117" s="20"/>
    </row>
    <row r="118" spans="3:10" x14ac:dyDescent="0.25">
      <c r="C118" s="21"/>
      <c r="D118" s="22" t="s">
        <v>75</v>
      </c>
      <c r="E118" s="22" t="s">
        <v>719</v>
      </c>
      <c r="F118" s="22" t="s">
        <v>557</v>
      </c>
      <c r="G118" s="23" t="s">
        <v>20</v>
      </c>
      <c r="H118" s="22" t="s">
        <v>558</v>
      </c>
      <c r="I118" s="22" t="s">
        <v>559</v>
      </c>
      <c r="J118" s="20"/>
    </row>
    <row r="119" spans="3:10" x14ac:dyDescent="0.25">
      <c r="C119" s="21"/>
      <c r="D119" s="22" t="s">
        <v>409</v>
      </c>
      <c r="E119" s="22" t="s">
        <v>720</v>
      </c>
      <c r="F119" s="22" t="s">
        <v>557</v>
      </c>
      <c r="G119" s="23" t="s">
        <v>20</v>
      </c>
      <c r="H119" s="22" t="s">
        <v>558</v>
      </c>
      <c r="I119" s="22" t="s">
        <v>559</v>
      </c>
      <c r="J119" s="20"/>
    </row>
    <row r="120" spans="3:10" x14ac:dyDescent="0.25">
      <c r="C120" s="21"/>
      <c r="D120" s="22" t="s">
        <v>721</v>
      </c>
      <c r="E120" s="22" t="s">
        <v>722</v>
      </c>
      <c r="F120" s="22" t="s">
        <v>557</v>
      </c>
      <c r="G120" s="25" t="s">
        <v>214</v>
      </c>
      <c r="H120" s="22" t="s">
        <v>558</v>
      </c>
      <c r="I120" s="22" t="s">
        <v>559</v>
      </c>
      <c r="J120" s="20"/>
    </row>
    <row r="121" spans="3:10" x14ac:dyDescent="0.25">
      <c r="C121" s="21"/>
      <c r="D121" s="22" t="s">
        <v>723</v>
      </c>
      <c r="E121" s="22" t="s">
        <v>724</v>
      </c>
      <c r="F121" s="22" t="s">
        <v>644</v>
      </c>
      <c r="G121" s="30" t="s">
        <v>715</v>
      </c>
      <c r="H121" s="22" t="s">
        <v>559</v>
      </c>
      <c r="I121" s="22" t="s">
        <v>559</v>
      </c>
      <c r="J121" s="20"/>
    </row>
    <row r="122" spans="3:10" x14ac:dyDescent="0.25">
      <c r="C122" s="21"/>
      <c r="D122" s="22" t="s">
        <v>330</v>
      </c>
      <c r="E122" s="22" t="s">
        <v>725</v>
      </c>
      <c r="F122" s="22" t="s">
        <v>557</v>
      </c>
      <c r="G122" s="23" t="s">
        <v>20</v>
      </c>
      <c r="H122" s="22" t="s">
        <v>558</v>
      </c>
      <c r="I122" s="22" t="s">
        <v>559</v>
      </c>
      <c r="J122" s="20"/>
    </row>
    <row r="123" spans="3:10" x14ac:dyDescent="0.25">
      <c r="C123" s="21"/>
      <c r="D123" s="22" t="s">
        <v>171</v>
      </c>
      <c r="E123" s="22" t="s">
        <v>726</v>
      </c>
      <c r="F123" s="22" t="s">
        <v>557</v>
      </c>
      <c r="G123" s="23" t="s">
        <v>20</v>
      </c>
      <c r="H123" s="22" t="s">
        <v>558</v>
      </c>
      <c r="I123" s="22" t="s">
        <v>559</v>
      </c>
      <c r="J123" s="20"/>
    </row>
    <row r="124" spans="3:10" x14ac:dyDescent="0.25">
      <c r="C124" s="21"/>
      <c r="D124" s="22" t="s">
        <v>293</v>
      </c>
      <c r="E124" s="22" t="s">
        <v>727</v>
      </c>
      <c r="F124" s="22" t="s">
        <v>557</v>
      </c>
      <c r="G124" s="23" t="s">
        <v>20</v>
      </c>
      <c r="H124" s="22" t="s">
        <v>558</v>
      </c>
      <c r="I124" s="22" t="s">
        <v>559</v>
      </c>
      <c r="J124" s="20"/>
    </row>
    <row r="125" spans="3:10" x14ac:dyDescent="0.25">
      <c r="C125" s="21"/>
      <c r="D125" s="22" t="s">
        <v>728</v>
      </c>
      <c r="E125" s="22" t="s">
        <v>729</v>
      </c>
      <c r="F125" s="22" t="s">
        <v>557</v>
      </c>
      <c r="G125" s="23" t="s">
        <v>20</v>
      </c>
      <c r="H125" s="22" t="s">
        <v>558</v>
      </c>
      <c r="I125" s="22" t="s">
        <v>559</v>
      </c>
      <c r="J125" s="20"/>
    </row>
    <row r="126" spans="3:10" x14ac:dyDescent="0.25">
      <c r="C126" s="21"/>
      <c r="D126" s="22" t="s">
        <v>247</v>
      </c>
      <c r="E126" s="22" t="s">
        <v>730</v>
      </c>
      <c r="F126" s="22" t="s">
        <v>557</v>
      </c>
      <c r="G126" s="23" t="s">
        <v>20</v>
      </c>
      <c r="H126" s="22" t="s">
        <v>558</v>
      </c>
      <c r="I126" s="22" t="s">
        <v>559</v>
      </c>
      <c r="J126" s="20"/>
    </row>
    <row r="127" spans="3:10" x14ac:dyDescent="0.25">
      <c r="C127" s="21"/>
      <c r="D127" s="22" t="s">
        <v>731</v>
      </c>
      <c r="E127" s="22" t="s">
        <v>732</v>
      </c>
      <c r="F127" s="22" t="s">
        <v>568</v>
      </c>
      <c r="G127" s="24" t="s">
        <v>390</v>
      </c>
      <c r="H127" s="22" t="s">
        <v>558</v>
      </c>
      <c r="I127" s="22" t="s">
        <v>559</v>
      </c>
      <c r="J127" s="20"/>
    </row>
    <row r="128" spans="3:10" x14ac:dyDescent="0.25">
      <c r="C128" s="21"/>
      <c r="D128" s="22" t="s">
        <v>410</v>
      </c>
      <c r="E128" s="22" t="s">
        <v>733</v>
      </c>
      <c r="F128" s="22" t="s">
        <v>557</v>
      </c>
      <c r="G128" s="23" t="s">
        <v>20</v>
      </c>
      <c r="H128" s="22" t="s">
        <v>558</v>
      </c>
      <c r="I128" s="22" t="s">
        <v>559</v>
      </c>
      <c r="J128" s="20"/>
    </row>
    <row r="129" spans="3:10" x14ac:dyDescent="0.25">
      <c r="C129" s="21"/>
      <c r="D129" s="22" t="s">
        <v>413</v>
      </c>
      <c r="E129" s="22" t="s">
        <v>734</v>
      </c>
      <c r="F129" s="22" t="s">
        <v>557</v>
      </c>
      <c r="G129" s="23" t="s">
        <v>20</v>
      </c>
      <c r="H129" s="22" t="s">
        <v>558</v>
      </c>
      <c r="I129" s="22" t="s">
        <v>559</v>
      </c>
      <c r="J129" s="20"/>
    </row>
    <row r="130" spans="3:10" x14ac:dyDescent="0.25">
      <c r="C130" s="21"/>
      <c r="D130" s="22" t="s">
        <v>414</v>
      </c>
      <c r="E130" s="22" t="s">
        <v>735</v>
      </c>
      <c r="F130" s="22" t="s">
        <v>557</v>
      </c>
      <c r="G130" s="23" t="s">
        <v>20</v>
      </c>
      <c r="H130" s="22" t="s">
        <v>558</v>
      </c>
      <c r="I130" s="22" t="s">
        <v>559</v>
      </c>
      <c r="J130" s="20"/>
    </row>
    <row r="131" spans="3:10" x14ac:dyDescent="0.25">
      <c r="C131" s="21"/>
      <c r="D131" s="22" t="s">
        <v>736</v>
      </c>
      <c r="E131" s="22" t="s">
        <v>737</v>
      </c>
      <c r="F131" s="22" t="s">
        <v>557</v>
      </c>
      <c r="G131" s="24" t="s">
        <v>390</v>
      </c>
      <c r="H131" s="22" t="s">
        <v>558</v>
      </c>
      <c r="I131" s="22" t="s">
        <v>559</v>
      </c>
      <c r="J131" s="20"/>
    </row>
    <row r="132" spans="3:10" x14ac:dyDescent="0.25">
      <c r="C132" s="21"/>
      <c r="D132" s="22" t="s">
        <v>67</v>
      </c>
      <c r="E132" s="22" t="s">
        <v>738</v>
      </c>
      <c r="F132" s="22" t="s">
        <v>557</v>
      </c>
      <c r="G132" s="23" t="s">
        <v>20</v>
      </c>
      <c r="H132" s="22" t="s">
        <v>558</v>
      </c>
      <c r="I132" s="22" t="s">
        <v>559</v>
      </c>
      <c r="J132" s="20"/>
    </row>
    <row r="133" spans="3:10" x14ac:dyDescent="0.25">
      <c r="C133" s="21"/>
      <c r="D133" s="22" t="s">
        <v>86</v>
      </c>
      <c r="E133" s="22" t="s">
        <v>739</v>
      </c>
      <c r="F133" s="22" t="s">
        <v>557</v>
      </c>
      <c r="G133" s="23" t="s">
        <v>20</v>
      </c>
      <c r="H133" s="22" t="s">
        <v>558</v>
      </c>
      <c r="I133" s="22" t="s">
        <v>559</v>
      </c>
      <c r="J133" s="20"/>
    </row>
    <row r="134" spans="3:10" x14ac:dyDescent="0.25">
      <c r="C134" s="21"/>
      <c r="D134" s="22" t="s">
        <v>117</v>
      </c>
      <c r="E134" s="22" t="s">
        <v>740</v>
      </c>
      <c r="F134" s="22" t="s">
        <v>557</v>
      </c>
      <c r="G134" s="23" t="s">
        <v>20</v>
      </c>
      <c r="H134" s="22" t="s">
        <v>558</v>
      </c>
      <c r="I134" s="22" t="s">
        <v>559</v>
      </c>
      <c r="J134" s="20"/>
    </row>
    <row r="135" spans="3:10" x14ac:dyDescent="0.25">
      <c r="C135" s="21"/>
      <c r="D135" s="22" t="s">
        <v>415</v>
      </c>
      <c r="E135" s="22" t="s">
        <v>741</v>
      </c>
      <c r="F135" s="22" t="s">
        <v>557</v>
      </c>
      <c r="G135" s="23" t="s">
        <v>20</v>
      </c>
      <c r="H135" s="22" t="s">
        <v>558</v>
      </c>
      <c r="I135" s="22" t="s">
        <v>559</v>
      </c>
      <c r="J135" s="20"/>
    </row>
    <row r="136" spans="3:10" x14ac:dyDescent="0.25">
      <c r="C136" s="21"/>
      <c r="D136" s="22" t="s">
        <v>127</v>
      </c>
      <c r="E136" s="22" t="s">
        <v>742</v>
      </c>
      <c r="F136" s="22" t="s">
        <v>557</v>
      </c>
      <c r="G136" s="23" t="s">
        <v>20</v>
      </c>
      <c r="H136" s="22" t="s">
        <v>558</v>
      </c>
      <c r="I136" s="22" t="s">
        <v>559</v>
      </c>
      <c r="J136" s="20"/>
    </row>
    <row r="137" spans="3:10" x14ac:dyDescent="0.25">
      <c r="C137" s="21"/>
      <c r="D137" s="22" t="s">
        <v>309</v>
      </c>
      <c r="E137" s="22" t="s">
        <v>743</v>
      </c>
      <c r="F137" s="22" t="s">
        <v>557</v>
      </c>
      <c r="G137" s="23" t="s">
        <v>20</v>
      </c>
      <c r="H137" s="22" t="s">
        <v>558</v>
      </c>
      <c r="I137" s="22" t="s">
        <v>559</v>
      </c>
      <c r="J137" s="20"/>
    </row>
    <row r="138" spans="3:10" x14ac:dyDescent="0.25">
      <c r="C138" s="21"/>
      <c r="D138" s="22" t="s">
        <v>744</v>
      </c>
      <c r="E138" s="22" t="s">
        <v>745</v>
      </c>
      <c r="F138" s="22" t="s">
        <v>557</v>
      </c>
      <c r="G138" s="23" t="s">
        <v>20</v>
      </c>
      <c r="H138" s="22" t="s">
        <v>558</v>
      </c>
      <c r="I138" s="22" t="s">
        <v>559</v>
      </c>
      <c r="J138" s="20"/>
    </row>
    <row r="139" spans="3:10" x14ac:dyDescent="0.25">
      <c r="C139" s="21"/>
      <c r="D139" s="22" t="s">
        <v>351</v>
      </c>
      <c r="E139" s="22" t="s">
        <v>746</v>
      </c>
      <c r="F139" s="22" t="s">
        <v>557</v>
      </c>
      <c r="G139" s="23" t="s">
        <v>20</v>
      </c>
      <c r="H139" s="22" t="s">
        <v>558</v>
      </c>
      <c r="I139" s="22" t="s">
        <v>559</v>
      </c>
      <c r="J139" s="20"/>
    </row>
    <row r="140" spans="3:10" x14ac:dyDescent="0.25">
      <c r="C140" s="21"/>
      <c r="D140" s="22" t="s">
        <v>747</v>
      </c>
      <c r="E140" s="22" t="s">
        <v>748</v>
      </c>
      <c r="F140" s="22" t="s">
        <v>557</v>
      </c>
      <c r="G140" s="24" t="s">
        <v>390</v>
      </c>
      <c r="H140" s="22" t="s">
        <v>558</v>
      </c>
      <c r="I140" s="22" t="s">
        <v>559</v>
      </c>
      <c r="J140" s="20"/>
    </row>
    <row r="141" spans="3:10" x14ac:dyDescent="0.25">
      <c r="C141" s="21"/>
      <c r="D141" s="22" t="s">
        <v>418</v>
      </c>
      <c r="E141" s="22" t="s">
        <v>749</v>
      </c>
      <c r="F141" s="22" t="s">
        <v>557</v>
      </c>
      <c r="G141" s="23" t="s">
        <v>20</v>
      </c>
      <c r="H141" s="22" t="s">
        <v>558</v>
      </c>
      <c r="I141" s="22" t="s">
        <v>559</v>
      </c>
      <c r="J141" s="20"/>
    </row>
    <row r="142" spans="3:10" x14ac:dyDescent="0.25">
      <c r="C142" s="21"/>
      <c r="D142" s="22" t="s">
        <v>750</v>
      </c>
      <c r="E142" s="22" t="s">
        <v>751</v>
      </c>
      <c r="F142" s="22" t="s">
        <v>557</v>
      </c>
      <c r="G142" s="24" t="s">
        <v>390</v>
      </c>
      <c r="H142" s="22" t="s">
        <v>558</v>
      </c>
      <c r="I142" s="22" t="s">
        <v>559</v>
      </c>
      <c r="J142" s="20"/>
    </row>
    <row r="143" spans="3:10" x14ac:dyDescent="0.25">
      <c r="C143" s="21"/>
      <c r="D143" s="22" t="s">
        <v>100</v>
      </c>
      <c r="E143" s="22" t="s">
        <v>752</v>
      </c>
      <c r="F143" s="22" t="s">
        <v>557</v>
      </c>
      <c r="G143" s="23" t="s">
        <v>20</v>
      </c>
      <c r="H143" s="22" t="s">
        <v>558</v>
      </c>
      <c r="I143" s="22" t="s">
        <v>559</v>
      </c>
      <c r="J143" s="20"/>
    </row>
    <row r="144" spans="3:10" x14ac:dyDescent="0.25">
      <c r="C144" s="21"/>
      <c r="D144" s="22" t="s">
        <v>200</v>
      </c>
      <c r="E144" s="22" t="s">
        <v>753</v>
      </c>
      <c r="F144" s="22" t="s">
        <v>557</v>
      </c>
      <c r="G144" s="23" t="s">
        <v>20</v>
      </c>
      <c r="H144" s="22" t="s">
        <v>558</v>
      </c>
      <c r="I144" s="22" t="s">
        <v>559</v>
      </c>
      <c r="J144" s="20"/>
    </row>
    <row r="145" spans="3:10" x14ac:dyDescent="0.25">
      <c r="C145" s="21"/>
      <c r="D145" s="22" t="s">
        <v>296</v>
      </c>
      <c r="E145" s="22" t="s">
        <v>754</v>
      </c>
      <c r="F145" s="22" t="s">
        <v>557</v>
      </c>
      <c r="G145" s="23" t="s">
        <v>20</v>
      </c>
      <c r="H145" s="22" t="s">
        <v>558</v>
      </c>
      <c r="I145" s="22" t="s">
        <v>559</v>
      </c>
      <c r="J145" s="20"/>
    </row>
    <row r="146" spans="3:10" x14ac:dyDescent="0.25">
      <c r="C146" s="21"/>
      <c r="D146" s="22" t="s">
        <v>326</v>
      </c>
      <c r="E146" s="22" t="s">
        <v>755</v>
      </c>
      <c r="F146" s="22" t="s">
        <v>557</v>
      </c>
      <c r="G146" s="23" t="s">
        <v>20</v>
      </c>
      <c r="H146" s="22" t="s">
        <v>558</v>
      </c>
      <c r="I146" s="22" t="s">
        <v>559</v>
      </c>
      <c r="J146" s="20"/>
    </row>
    <row r="147" spans="3:10" x14ac:dyDescent="0.25">
      <c r="C147" s="21"/>
      <c r="D147" s="22" t="s">
        <v>419</v>
      </c>
      <c r="E147" s="22" t="s">
        <v>756</v>
      </c>
      <c r="F147" s="22" t="s">
        <v>557</v>
      </c>
      <c r="G147" s="23" t="s">
        <v>20</v>
      </c>
      <c r="H147" s="22" t="s">
        <v>558</v>
      </c>
      <c r="I147" s="22" t="s">
        <v>559</v>
      </c>
      <c r="J147" s="20"/>
    </row>
    <row r="148" spans="3:10" x14ac:dyDescent="0.25">
      <c r="C148" s="21"/>
      <c r="D148" s="22" t="s">
        <v>757</v>
      </c>
      <c r="E148" s="22" t="s">
        <v>758</v>
      </c>
      <c r="F148" s="22" t="s">
        <v>557</v>
      </c>
      <c r="G148" s="23" t="s">
        <v>20</v>
      </c>
      <c r="H148" s="22" t="s">
        <v>558</v>
      </c>
      <c r="I148" s="22" t="s">
        <v>559</v>
      </c>
      <c r="J148" s="20"/>
    </row>
    <row r="149" spans="3:10" x14ac:dyDescent="0.25">
      <c r="C149" s="21"/>
      <c r="D149" s="22" t="s">
        <v>421</v>
      </c>
      <c r="E149" s="22" t="s">
        <v>759</v>
      </c>
      <c r="F149" s="22" t="s">
        <v>557</v>
      </c>
      <c r="G149" s="23" t="s">
        <v>20</v>
      </c>
      <c r="H149" s="22" t="s">
        <v>558</v>
      </c>
      <c r="I149" s="22" t="s">
        <v>559</v>
      </c>
      <c r="J149" s="20"/>
    </row>
    <row r="150" spans="3:10" x14ac:dyDescent="0.25">
      <c r="C150" s="21"/>
      <c r="D150" s="22" t="s">
        <v>760</v>
      </c>
      <c r="E150" s="22" t="s">
        <v>761</v>
      </c>
      <c r="F150" s="22" t="s">
        <v>557</v>
      </c>
      <c r="G150" s="24" t="s">
        <v>390</v>
      </c>
      <c r="H150" s="22" t="s">
        <v>558</v>
      </c>
      <c r="I150" s="22" t="s">
        <v>559</v>
      </c>
      <c r="J150" s="20"/>
    </row>
    <row r="151" spans="3:10" x14ac:dyDescent="0.25">
      <c r="C151" s="21"/>
      <c r="D151" s="22" t="s">
        <v>762</v>
      </c>
      <c r="E151" s="22" t="s">
        <v>763</v>
      </c>
      <c r="F151" s="22" t="s">
        <v>557</v>
      </c>
      <c r="G151" s="23" t="s">
        <v>20</v>
      </c>
      <c r="H151" s="22" t="s">
        <v>558</v>
      </c>
      <c r="I151" s="22" t="s">
        <v>559</v>
      </c>
      <c r="J151" s="20"/>
    </row>
    <row r="152" spans="3:10" x14ac:dyDescent="0.25">
      <c r="C152" s="27"/>
      <c r="D152" s="28" t="s">
        <v>207</v>
      </c>
      <c r="E152" s="28" t="s">
        <v>764</v>
      </c>
      <c r="F152" s="28" t="s">
        <v>557</v>
      </c>
      <c r="G152" s="29" t="s">
        <v>20</v>
      </c>
      <c r="H152" s="28" t="s">
        <v>558</v>
      </c>
      <c r="I152" s="28" t="s">
        <v>559</v>
      </c>
      <c r="J152" s="26"/>
    </row>
    <row r="153" spans="3:10" x14ac:dyDescent="0.25">
      <c r="C153" s="21"/>
      <c r="D153" s="22" t="s">
        <v>240</v>
      </c>
      <c r="E153" s="22" t="s">
        <v>765</v>
      </c>
      <c r="F153" s="22" t="s">
        <v>557</v>
      </c>
      <c r="G153" s="23" t="s">
        <v>20</v>
      </c>
      <c r="H153" s="22" t="s">
        <v>558</v>
      </c>
      <c r="I153" s="22" t="s">
        <v>559</v>
      </c>
      <c r="J153" s="20"/>
    </row>
    <row r="154" spans="3:10" x14ac:dyDescent="0.25">
      <c r="C154" s="21"/>
      <c r="D154" s="22" t="s">
        <v>337</v>
      </c>
      <c r="E154" s="22" t="s">
        <v>766</v>
      </c>
      <c r="F154" s="22" t="s">
        <v>557</v>
      </c>
      <c r="G154" s="23" t="s">
        <v>20</v>
      </c>
      <c r="H154" s="22" t="s">
        <v>558</v>
      </c>
      <c r="I154" s="22" t="s">
        <v>559</v>
      </c>
      <c r="J154" s="20"/>
    </row>
    <row r="155" spans="3:10" x14ac:dyDescent="0.25">
      <c r="C155" s="19" t="s">
        <v>548</v>
      </c>
      <c r="D155" s="19" t="s">
        <v>549</v>
      </c>
      <c r="E155" s="19" t="s">
        <v>550</v>
      </c>
      <c r="F155" s="19" t="s">
        <v>551</v>
      </c>
      <c r="G155" s="19" t="s">
        <v>552</v>
      </c>
      <c r="H155" s="19" t="s">
        <v>553</v>
      </c>
      <c r="I155" s="19" t="s">
        <v>554</v>
      </c>
      <c r="J155" s="19" t="s">
        <v>555</v>
      </c>
    </row>
    <row r="156" spans="3:10" x14ac:dyDescent="0.25">
      <c r="C156" s="21"/>
      <c r="D156" s="22" t="s">
        <v>360</v>
      </c>
      <c r="E156" s="22" t="s">
        <v>767</v>
      </c>
      <c r="F156" s="22" t="s">
        <v>557</v>
      </c>
      <c r="G156" s="23" t="s">
        <v>20</v>
      </c>
      <c r="H156" s="22" t="s">
        <v>558</v>
      </c>
      <c r="I156" s="22" t="s">
        <v>559</v>
      </c>
      <c r="J156" s="20"/>
    </row>
    <row r="157" spans="3:10" x14ac:dyDescent="0.25">
      <c r="C157" s="21"/>
      <c r="D157" s="22" t="s">
        <v>768</v>
      </c>
      <c r="E157" s="22" t="s">
        <v>769</v>
      </c>
      <c r="F157" s="22" t="s">
        <v>557</v>
      </c>
      <c r="G157" s="23" t="s">
        <v>20</v>
      </c>
      <c r="H157" s="22" t="s">
        <v>558</v>
      </c>
      <c r="I157" s="22" t="s">
        <v>559</v>
      </c>
      <c r="J157" s="20"/>
    </row>
    <row r="158" spans="3:10" x14ac:dyDescent="0.25">
      <c r="C158" s="21"/>
      <c r="D158" s="22" t="s">
        <v>156</v>
      </c>
      <c r="E158" s="22" t="s">
        <v>770</v>
      </c>
      <c r="F158" s="22" t="s">
        <v>557</v>
      </c>
      <c r="G158" s="23" t="s">
        <v>20</v>
      </c>
      <c r="H158" s="22" t="s">
        <v>558</v>
      </c>
      <c r="I158" s="22" t="s">
        <v>559</v>
      </c>
      <c r="J158" s="20"/>
    </row>
    <row r="159" spans="3:10" x14ac:dyDescent="0.25">
      <c r="C159" s="21"/>
      <c r="D159" s="22" t="s">
        <v>771</v>
      </c>
      <c r="E159" s="22" t="s">
        <v>772</v>
      </c>
      <c r="F159" s="22" t="s">
        <v>557</v>
      </c>
      <c r="G159" s="23" t="s">
        <v>20</v>
      </c>
      <c r="H159" s="22" t="s">
        <v>558</v>
      </c>
      <c r="I159" s="22" t="s">
        <v>559</v>
      </c>
      <c r="J159" s="20"/>
    </row>
    <row r="160" spans="3:10" x14ac:dyDescent="0.25">
      <c r="C160" s="21"/>
      <c r="D160" s="22" t="s">
        <v>104</v>
      </c>
      <c r="E160" s="22" t="s">
        <v>773</v>
      </c>
      <c r="F160" s="22" t="s">
        <v>557</v>
      </c>
      <c r="G160" s="23" t="s">
        <v>20</v>
      </c>
      <c r="H160" s="22" t="s">
        <v>558</v>
      </c>
      <c r="I160" s="22" t="s">
        <v>559</v>
      </c>
      <c r="J160" s="20"/>
    </row>
    <row r="161" spans="3:10" x14ac:dyDescent="0.25">
      <c r="C161" s="21"/>
      <c r="D161" s="22" t="s">
        <v>322</v>
      </c>
      <c r="E161" s="22" t="s">
        <v>774</v>
      </c>
      <c r="F161" s="22" t="s">
        <v>557</v>
      </c>
      <c r="G161" s="23" t="s">
        <v>20</v>
      </c>
      <c r="H161" s="22" t="s">
        <v>558</v>
      </c>
      <c r="I161" s="22" t="s">
        <v>559</v>
      </c>
      <c r="J161" s="20"/>
    </row>
    <row r="162" spans="3:10" x14ac:dyDescent="0.25">
      <c r="C162" s="21"/>
      <c r="D162" s="22" t="s">
        <v>775</v>
      </c>
      <c r="E162" s="22" t="s">
        <v>776</v>
      </c>
      <c r="F162" s="22" t="s">
        <v>557</v>
      </c>
      <c r="G162" s="23" t="s">
        <v>20</v>
      </c>
      <c r="H162" s="22" t="s">
        <v>558</v>
      </c>
      <c r="I162" s="22" t="s">
        <v>559</v>
      </c>
      <c r="J162" s="20"/>
    </row>
    <row r="163" spans="3:10" x14ac:dyDescent="0.25">
      <c r="C163" s="21"/>
      <c r="D163" s="22" t="s">
        <v>320</v>
      </c>
      <c r="E163" s="22" t="s">
        <v>777</v>
      </c>
      <c r="F163" s="22" t="s">
        <v>557</v>
      </c>
      <c r="G163" s="23" t="s">
        <v>20</v>
      </c>
      <c r="H163" s="22" t="s">
        <v>558</v>
      </c>
      <c r="I163" s="22" t="s">
        <v>559</v>
      </c>
      <c r="J163" s="20"/>
    </row>
    <row r="164" spans="3:10" x14ac:dyDescent="0.25">
      <c r="C164" s="21"/>
      <c r="D164" s="22" t="s">
        <v>778</v>
      </c>
      <c r="E164" s="22" t="s">
        <v>779</v>
      </c>
      <c r="F164" s="22" t="s">
        <v>557</v>
      </c>
      <c r="G164" s="23" t="s">
        <v>20</v>
      </c>
      <c r="H164" s="22" t="s">
        <v>558</v>
      </c>
      <c r="I164" s="22" t="s">
        <v>559</v>
      </c>
      <c r="J164" s="20"/>
    </row>
    <row r="165" spans="3:10" x14ac:dyDescent="0.25">
      <c r="C165" s="21"/>
      <c r="D165" s="22" t="s">
        <v>220</v>
      </c>
      <c r="E165" s="22" t="s">
        <v>780</v>
      </c>
      <c r="F165" s="22" t="s">
        <v>557</v>
      </c>
      <c r="G165" s="23" t="s">
        <v>20</v>
      </c>
      <c r="H165" s="22" t="s">
        <v>558</v>
      </c>
      <c r="I165" s="22" t="s">
        <v>559</v>
      </c>
      <c r="J165" s="20"/>
    </row>
    <row r="166" spans="3:10" x14ac:dyDescent="0.25">
      <c r="C166" s="21"/>
      <c r="D166" s="22" t="s">
        <v>211</v>
      </c>
      <c r="E166" s="22" t="s">
        <v>781</v>
      </c>
      <c r="F166" s="22" t="s">
        <v>557</v>
      </c>
      <c r="G166" s="23" t="s">
        <v>20</v>
      </c>
      <c r="H166" s="22" t="s">
        <v>558</v>
      </c>
      <c r="I166" s="22" t="s">
        <v>559</v>
      </c>
      <c r="J166" s="20"/>
    </row>
    <row r="167" spans="3:10" x14ac:dyDescent="0.25">
      <c r="C167" s="21"/>
      <c r="D167" s="22" t="s">
        <v>782</v>
      </c>
      <c r="E167" s="22" t="s">
        <v>783</v>
      </c>
      <c r="F167" s="22" t="s">
        <v>557</v>
      </c>
      <c r="G167" s="23" t="s">
        <v>20</v>
      </c>
      <c r="H167" s="22" t="s">
        <v>558</v>
      </c>
      <c r="I167" s="22" t="s">
        <v>559</v>
      </c>
      <c r="J167" s="20"/>
    </row>
    <row r="168" spans="3:10" x14ac:dyDescent="0.25">
      <c r="C168" s="21"/>
      <c r="D168" s="22" t="s">
        <v>246</v>
      </c>
      <c r="E168" s="22" t="s">
        <v>784</v>
      </c>
      <c r="F168" s="22" t="s">
        <v>557</v>
      </c>
      <c r="G168" s="23" t="s">
        <v>20</v>
      </c>
      <c r="H168" s="22" t="s">
        <v>558</v>
      </c>
      <c r="I168" s="22" t="s">
        <v>559</v>
      </c>
      <c r="J168" s="20"/>
    </row>
    <row r="169" spans="3:10" x14ac:dyDescent="0.25">
      <c r="C169" s="21"/>
      <c r="D169" s="22" t="s">
        <v>785</v>
      </c>
      <c r="E169" s="22" t="s">
        <v>786</v>
      </c>
      <c r="F169" s="22" t="s">
        <v>557</v>
      </c>
      <c r="G169" s="23" t="s">
        <v>20</v>
      </c>
      <c r="H169" s="22" t="s">
        <v>558</v>
      </c>
      <c r="I169" s="22" t="s">
        <v>559</v>
      </c>
      <c r="J169" s="20"/>
    </row>
    <row r="170" spans="3:10" x14ac:dyDescent="0.25">
      <c r="C170" s="21"/>
      <c r="D170" s="22" t="s">
        <v>787</v>
      </c>
      <c r="E170" s="22" t="s">
        <v>788</v>
      </c>
      <c r="F170" s="22" t="s">
        <v>557</v>
      </c>
      <c r="G170" s="23" t="s">
        <v>20</v>
      </c>
      <c r="H170" s="22" t="s">
        <v>558</v>
      </c>
      <c r="I170" s="22" t="s">
        <v>559</v>
      </c>
      <c r="J170" s="20"/>
    </row>
    <row r="171" spans="3:10" x14ac:dyDescent="0.25">
      <c r="C171" s="21"/>
      <c r="D171" s="22" t="s">
        <v>145</v>
      </c>
      <c r="E171" s="22" t="s">
        <v>789</v>
      </c>
      <c r="F171" s="22" t="s">
        <v>557</v>
      </c>
      <c r="G171" s="23" t="s">
        <v>20</v>
      </c>
      <c r="H171" s="22" t="s">
        <v>558</v>
      </c>
      <c r="I171" s="22" t="s">
        <v>559</v>
      </c>
      <c r="J171" s="20"/>
    </row>
    <row r="172" spans="3:10" x14ac:dyDescent="0.25">
      <c r="C172" s="21"/>
      <c r="D172" s="22" t="s">
        <v>790</v>
      </c>
      <c r="E172" s="22" t="s">
        <v>791</v>
      </c>
      <c r="F172" s="22" t="s">
        <v>568</v>
      </c>
      <c r="G172" s="23" t="s">
        <v>20</v>
      </c>
      <c r="H172" s="22" t="s">
        <v>558</v>
      </c>
      <c r="I172" s="22" t="s">
        <v>559</v>
      </c>
      <c r="J172" s="20"/>
    </row>
    <row r="173" spans="3:10" x14ac:dyDescent="0.25">
      <c r="C173" s="21"/>
      <c r="D173" s="22" t="s">
        <v>792</v>
      </c>
      <c r="E173" s="22" t="s">
        <v>793</v>
      </c>
      <c r="F173" s="22" t="s">
        <v>557</v>
      </c>
      <c r="G173" s="24" t="s">
        <v>390</v>
      </c>
      <c r="H173" s="22" t="s">
        <v>558</v>
      </c>
      <c r="I173" s="22" t="s">
        <v>559</v>
      </c>
      <c r="J173" s="20"/>
    </row>
    <row r="174" spans="3:10" x14ac:dyDescent="0.25">
      <c r="C174" s="21"/>
      <c r="D174" s="22" t="s">
        <v>794</v>
      </c>
      <c r="E174" s="22" t="s">
        <v>795</v>
      </c>
      <c r="F174" s="22" t="s">
        <v>568</v>
      </c>
      <c r="G174" s="24" t="s">
        <v>390</v>
      </c>
      <c r="H174" s="22" t="s">
        <v>558</v>
      </c>
      <c r="I174" s="22" t="s">
        <v>559</v>
      </c>
      <c r="J174" s="20"/>
    </row>
    <row r="175" spans="3:10" x14ac:dyDescent="0.25">
      <c r="C175" s="21"/>
      <c r="D175" s="22" t="s">
        <v>422</v>
      </c>
      <c r="E175" s="22" t="s">
        <v>796</v>
      </c>
      <c r="F175" s="22" t="s">
        <v>557</v>
      </c>
      <c r="G175" s="23" t="s">
        <v>20</v>
      </c>
      <c r="H175" s="22" t="s">
        <v>558</v>
      </c>
      <c r="I175" s="22" t="s">
        <v>559</v>
      </c>
      <c r="J175" s="20"/>
    </row>
    <row r="176" spans="3:10" x14ac:dyDescent="0.25">
      <c r="C176" s="21"/>
      <c r="D176" s="22" t="s">
        <v>797</v>
      </c>
      <c r="E176" s="22" t="s">
        <v>798</v>
      </c>
      <c r="F176" s="22" t="s">
        <v>557</v>
      </c>
      <c r="G176" s="24" t="s">
        <v>390</v>
      </c>
      <c r="H176" s="22" t="s">
        <v>558</v>
      </c>
      <c r="I176" s="22" t="s">
        <v>559</v>
      </c>
      <c r="J176" s="20"/>
    </row>
    <row r="177" spans="3:10" x14ac:dyDescent="0.25">
      <c r="C177" s="21"/>
      <c r="D177" s="22" t="s">
        <v>173</v>
      </c>
      <c r="E177" s="22" t="s">
        <v>799</v>
      </c>
      <c r="F177" s="22" t="s">
        <v>557</v>
      </c>
      <c r="G177" s="23" t="s">
        <v>20</v>
      </c>
      <c r="H177" s="22" t="s">
        <v>558</v>
      </c>
      <c r="I177" s="22" t="s">
        <v>559</v>
      </c>
      <c r="J177" s="20"/>
    </row>
    <row r="178" spans="3:10" x14ac:dyDescent="0.25">
      <c r="C178" s="21"/>
      <c r="D178" s="22" t="s">
        <v>800</v>
      </c>
      <c r="E178" s="22" t="s">
        <v>801</v>
      </c>
      <c r="F178" s="22" t="s">
        <v>557</v>
      </c>
      <c r="G178" s="23" t="s">
        <v>20</v>
      </c>
      <c r="H178" s="22" t="s">
        <v>558</v>
      </c>
      <c r="I178" s="22" t="s">
        <v>559</v>
      </c>
      <c r="J178" s="20"/>
    </row>
    <row r="179" spans="3:10" x14ac:dyDescent="0.25">
      <c r="C179" s="21"/>
      <c r="D179" s="22" t="s">
        <v>144</v>
      </c>
      <c r="E179" s="22" t="s">
        <v>802</v>
      </c>
      <c r="F179" s="22" t="s">
        <v>557</v>
      </c>
      <c r="G179" s="23" t="s">
        <v>20</v>
      </c>
      <c r="H179" s="22" t="s">
        <v>558</v>
      </c>
      <c r="I179" s="22" t="s">
        <v>559</v>
      </c>
      <c r="J179" s="20"/>
    </row>
    <row r="180" spans="3:10" x14ac:dyDescent="0.25">
      <c r="C180" s="21"/>
      <c r="D180" s="22" t="s">
        <v>532</v>
      </c>
      <c r="E180" s="22" t="s">
        <v>803</v>
      </c>
      <c r="F180" s="22" t="s">
        <v>557</v>
      </c>
      <c r="G180" s="23" t="s">
        <v>20</v>
      </c>
      <c r="H180" s="22" t="s">
        <v>558</v>
      </c>
      <c r="I180" s="22" t="s">
        <v>559</v>
      </c>
      <c r="J180" s="20"/>
    </row>
    <row r="181" spans="3:10" x14ac:dyDescent="0.25">
      <c r="C181" s="21"/>
      <c r="D181" s="22" t="s">
        <v>424</v>
      </c>
      <c r="E181" s="22" t="s">
        <v>804</v>
      </c>
      <c r="F181" s="22" t="s">
        <v>557</v>
      </c>
      <c r="G181" s="23" t="s">
        <v>20</v>
      </c>
      <c r="H181" s="22" t="s">
        <v>558</v>
      </c>
      <c r="I181" s="22" t="s">
        <v>559</v>
      </c>
      <c r="J181" s="20"/>
    </row>
    <row r="182" spans="3:10" x14ac:dyDescent="0.25">
      <c r="C182" s="21"/>
      <c r="D182" s="22" t="s">
        <v>368</v>
      </c>
      <c r="E182" s="22" t="s">
        <v>805</v>
      </c>
      <c r="F182" s="22" t="s">
        <v>557</v>
      </c>
      <c r="G182" s="23" t="s">
        <v>20</v>
      </c>
      <c r="H182" s="22" t="s">
        <v>558</v>
      </c>
      <c r="I182" s="22" t="s">
        <v>559</v>
      </c>
      <c r="J182" s="20"/>
    </row>
    <row r="183" spans="3:10" x14ac:dyDescent="0.25">
      <c r="C183" s="21"/>
      <c r="D183" s="22" t="s">
        <v>806</v>
      </c>
      <c r="E183" s="22" t="s">
        <v>807</v>
      </c>
      <c r="F183" s="22" t="s">
        <v>557</v>
      </c>
      <c r="G183" s="24" t="s">
        <v>390</v>
      </c>
      <c r="H183" s="22" t="s">
        <v>558</v>
      </c>
      <c r="I183" s="22" t="s">
        <v>559</v>
      </c>
      <c r="J183" s="20"/>
    </row>
    <row r="184" spans="3:10" x14ac:dyDescent="0.25">
      <c r="C184" s="21"/>
      <c r="D184" s="22" t="s">
        <v>808</v>
      </c>
      <c r="E184" s="22" t="s">
        <v>809</v>
      </c>
      <c r="F184" s="22" t="s">
        <v>568</v>
      </c>
      <c r="G184" s="24" t="s">
        <v>390</v>
      </c>
      <c r="H184" s="22" t="s">
        <v>558</v>
      </c>
      <c r="I184" s="22" t="s">
        <v>559</v>
      </c>
      <c r="J184" s="20"/>
    </row>
    <row r="185" spans="3:10" x14ac:dyDescent="0.25">
      <c r="C185" s="21"/>
      <c r="D185" s="22" t="s">
        <v>810</v>
      </c>
      <c r="E185" s="22" t="s">
        <v>811</v>
      </c>
      <c r="F185" s="22" t="s">
        <v>557</v>
      </c>
      <c r="G185" s="25" t="s">
        <v>214</v>
      </c>
      <c r="H185" s="22" t="s">
        <v>558</v>
      </c>
      <c r="I185" s="22" t="s">
        <v>559</v>
      </c>
      <c r="J185" s="20"/>
    </row>
    <row r="186" spans="3:10" x14ac:dyDescent="0.25">
      <c r="C186" s="21"/>
      <c r="D186" s="22" t="s">
        <v>812</v>
      </c>
      <c r="E186" s="22" t="s">
        <v>813</v>
      </c>
      <c r="F186" s="22" t="s">
        <v>568</v>
      </c>
      <c r="G186" s="24" t="s">
        <v>390</v>
      </c>
      <c r="H186" s="22" t="s">
        <v>558</v>
      </c>
      <c r="I186" s="22" t="s">
        <v>559</v>
      </c>
      <c r="J186" s="20"/>
    </row>
    <row r="187" spans="3:10" x14ac:dyDescent="0.25">
      <c r="C187" s="21"/>
      <c r="D187" s="22" t="s">
        <v>295</v>
      </c>
      <c r="E187" s="22" t="s">
        <v>814</v>
      </c>
      <c r="F187" s="22" t="s">
        <v>557</v>
      </c>
      <c r="G187" s="23" t="s">
        <v>20</v>
      </c>
      <c r="H187" s="22" t="s">
        <v>558</v>
      </c>
      <c r="I187" s="22" t="s">
        <v>559</v>
      </c>
      <c r="J187" s="20"/>
    </row>
    <row r="188" spans="3:10" x14ac:dyDescent="0.25">
      <c r="C188" s="21"/>
      <c r="D188" s="22" t="s">
        <v>134</v>
      </c>
      <c r="E188" s="22" t="s">
        <v>815</v>
      </c>
      <c r="F188" s="22" t="s">
        <v>557</v>
      </c>
      <c r="G188" s="23" t="s">
        <v>20</v>
      </c>
      <c r="H188" s="22" t="s">
        <v>558</v>
      </c>
      <c r="I188" s="22" t="s">
        <v>559</v>
      </c>
      <c r="J188" s="20"/>
    </row>
    <row r="189" spans="3:10" x14ac:dyDescent="0.25">
      <c r="C189" s="21"/>
      <c r="D189" s="22" t="s">
        <v>816</v>
      </c>
      <c r="E189" s="22" t="s">
        <v>817</v>
      </c>
      <c r="F189" s="22" t="s">
        <v>557</v>
      </c>
      <c r="G189" s="23" t="s">
        <v>20</v>
      </c>
      <c r="H189" s="22" t="s">
        <v>558</v>
      </c>
      <c r="I189" s="22" t="s">
        <v>559</v>
      </c>
      <c r="J189" s="20"/>
    </row>
    <row r="190" spans="3:10" x14ac:dyDescent="0.25">
      <c r="C190" s="21"/>
      <c r="D190" s="22" t="s">
        <v>57</v>
      </c>
      <c r="E190" s="22" t="s">
        <v>818</v>
      </c>
      <c r="F190" s="22" t="s">
        <v>557</v>
      </c>
      <c r="G190" s="23" t="s">
        <v>20</v>
      </c>
      <c r="H190" s="22" t="s">
        <v>558</v>
      </c>
      <c r="I190" s="22" t="s">
        <v>559</v>
      </c>
      <c r="J190" s="20"/>
    </row>
    <row r="191" spans="3:10" x14ac:dyDescent="0.25">
      <c r="C191" s="21"/>
      <c r="D191" s="22" t="s">
        <v>819</v>
      </c>
      <c r="E191" s="22" t="s">
        <v>820</v>
      </c>
      <c r="F191" s="22" t="s">
        <v>557</v>
      </c>
      <c r="G191" s="25" t="s">
        <v>214</v>
      </c>
      <c r="H191" s="22" t="s">
        <v>558</v>
      </c>
      <c r="I191" s="22" t="s">
        <v>559</v>
      </c>
      <c r="J191" s="20"/>
    </row>
    <row r="192" spans="3:10" x14ac:dyDescent="0.25">
      <c r="C192" s="21"/>
      <c r="D192" s="22" t="s">
        <v>206</v>
      </c>
      <c r="E192" s="22" t="s">
        <v>821</v>
      </c>
      <c r="F192" s="22" t="s">
        <v>557</v>
      </c>
      <c r="G192" s="23" t="s">
        <v>20</v>
      </c>
      <c r="H192" s="22" t="s">
        <v>558</v>
      </c>
      <c r="I192" s="22" t="s">
        <v>559</v>
      </c>
      <c r="J192" s="20"/>
    </row>
    <row r="193" spans="3:10" x14ac:dyDescent="0.25">
      <c r="C193" s="21"/>
      <c r="D193" s="22" t="s">
        <v>175</v>
      </c>
      <c r="E193" s="22" t="s">
        <v>822</v>
      </c>
      <c r="F193" s="22" t="s">
        <v>557</v>
      </c>
      <c r="G193" s="23" t="s">
        <v>20</v>
      </c>
      <c r="H193" s="22" t="s">
        <v>558</v>
      </c>
      <c r="I193" s="22" t="s">
        <v>559</v>
      </c>
      <c r="J193" s="20"/>
    </row>
    <row r="194" spans="3:10" x14ac:dyDescent="0.25">
      <c r="C194" s="21"/>
      <c r="D194" s="22" t="s">
        <v>823</v>
      </c>
      <c r="E194" s="22" t="s">
        <v>824</v>
      </c>
      <c r="F194" s="22" t="s">
        <v>557</v>
      </c>
      <c r="G194" s="23" t="s">
        <v>20</v>
      </c>
      <c r="H194" s="22" t="s">
        <v>558</v>
      </c>
      <c r="I194" s="22" t="s">
        <v>559</v>
      </c>
      <c r="J194" s="20"/>
    </row>
    <row r="195" spans="3:10" x14ac:dyDescent="0.25">
      <c r="C195" s="21"/>
      <c r="D195" s="22" t="s">
        <v>825</v>
      </c>
      <c r="E195" s="22" t="s">
        <v>826</v>
      </c>
      <c r="F195" s="22" t="s">
        <v>557</v>
      </c>
      <c r="G195" s="25" t="s">
        <v>214</v>
      </c>
      <c r="H195" s="22" t="s">
        <v>558</v>
      </c>
      <c r="I195" s="22" t="s">
        <v>559</v>
      </c>
      <c r="J195" s="20"/>
    </row>
    <row r="196" spans="3:10" x14ac:dyDescent="0.25">
      <c r="C196" s="21"/>
      <c r="D196" s="22" t="s">
        <v>381</v>
      </c>
      <c r="E196" s="22" t="s">
        <v>827</v>
      </c>
      <c r="F196" s="22" t="s">
        <v>557</v>
      </c>
      <c r="G196" s="23" t="s">
        <v>20</v>
      </c>
      <c r="H196" s="22" t="s">
        <v>558</v>
      </c>
      <c r="I196" s="22" t="s">
        <v>559</v>
      </c>
      <c r="J196" s="20"/>
    </row>
    <row r="197" spans="3:10" x14ac:dyDescent="0.25">
      <c r="C197" s="21"/>
      <c r="D197" s="22" t="s">
        <v>147</v>
      </c>
      <c r="E197" s="22" t="s">
        <v>828</v>
      </c>
      <c r="F197" s="22" t="s">
        <v>557</v>
      </c>
      <c r="G197" s="23" t="s">
        <v>20</v>
      </c>
      <c r="H197" s="22" t="s">
        <v>558</v>
      </c>
      <c r="I197" s="22" t="s">
        <v>559</v>
      </c>
      <c r="J197" s="20"/>
    </row>
    <row r="198" spans="3:10" x14ac:dyDescent="0.25">
      <c r="C198" s="21"/>
      <c r="D198" s="22" t="s">
        <v>829</v>
      </c>
      <c r="E198" s="22" t="s">
        <v>830</v>
      </c>
      <c r="F198" s="22" t="s">
        <v>557</v>
      </c>
      <c r="G198" s="23" t="s">
        <v>20</v>
      </c>
      <c r="H198" s="22" t="s">
        <v>558</v>
      </c>
      <c r="I198" s="22" t="s">
        <v>559</v>
      </c>
      <c r="J198" s="20"/>
    </row>
    <row r="199" spans="3:10" x14ac:dyDescent="0.25">
      <c r="C199" s="21"/>
      <c r="D199" s="22" t="s">
        <v>235</v>
      </c>
      <c r="E199" s="22" t="s">
        <v>831</v>
      </c>
      <c r="F199" s="22" t="s">
        <v>557</v>
      </c>
      <c r="G199" s="23" t="s">
        <v>20</v>
      </c>
      <c r="H199" s="22" t="s">
        <v>558</v>
      </c>
      <c r="I199" s="22" t="s">
        <v>559</v>
      </c>
      <c r="J199" s="20"/>
    </row>
    <row r="200" spans="3:10" x14ac:dyDescent="0.25">
      <c r="C200" s="21"/>
      <c r="D200" s="22" t="s">
        <v>832</v>
      </c>
      <c r="E200" s="22" t="s">
        <v>833</v>
      </c>
      <c r="F200" s="22" t="s">
        <v>557</v>
      </c>
      <c r="G200" s="25" t="s">
        <v>214</v>
      </c>
      <c r="H200" s="22" t="s">
        <v>558</v>
      </c>
      <c r="I200" s="22" t="s">
        <v>559</v>
      </c>
      <c r="J200" s="20"/>
    </row>
    <row r="201" spans="3:10" x14ac:dyDescent="0.25">
      <c r="C201" s="21"/>
      <c r="D201" s="22" t="s">
        <v>94</v>
      </c>
      <c r="E201" s="22" t="s">
        <v>834</v>
      </c>
      <c r="F201" s="22" t="s">
        <v>557</v>
      </c>
      <c r="G201" s="23" t="s">
        <v>20</v>
      </c>
      <c r="H201" s="22" t="s">
        <v>558</v>
      </c>
      <c r="I201" s="22" t="s">
        <v>559</v>
      </c>
      <c r="J201" s="20"/>
    </row>
    <row r="202" spans="3:10" x14ac:dyDescent="0.25">
      <c r="C202" s="21"/>
      <c r="D202" s="22" t="s">
        <v>133</v>
      </c>
      <c r="E202" s="22" t="s">
        <v>835</v>
      </c>
      <c r="F202" s="22" t="s">
        <v>557</v>
      </c>
      <c r="G202" s="23" t="s">
        <v>20</v>
      </c>
      <c r="H202" s="22" t="s">
        <v>558</v>
      </c>
      <c r="I202" s="22" t="s">
        <v>559</v>
      </c>
      <c r="J202" s="20"/>
    </row>
    <row r="203" spans="3:10" x14ac:dyDescent="0.25">
      <c r="C203" s="21"/>
      <c r="D203" s="22" t="s">
        <v>426</v>
      </c>
      <c r="E203" s="22" t="s">
        <v>836</v>
      </c>
      <c r="F203" s="22" t="s">
        <v>557</v>
      </c>
      <c r="G203" s="23" t="s">
        <v>20</v>
      </c>
      <c r="H203" s="22" t="s">
        <v>558</v>
      </c>
      <c r="I203" s="22" t="s">
        <v>559</v>
      </c>
      <c r="J203" s="20"/>
    </row>
    <row r="204" spans="3:10" x14ac:dyDescent="0.25">
      <c r="C204" s="21"/>
      <c r="D204" s="22" t="s">
        <v>427</v>
      </c>
      <c r="E204" s="22" t="s">
        <v>837</v>
      </c>
      <c r="F204" s="22" t="s">
        <v>557</v>
      </c>
      <c r="G204" s="24" t="s">
        <v>390</v>
      </c>
      <c r="H204" s="22" t="s">
        <v>558</v>
      </c>
      <c r="I204" s="22" t="s">
        <v>559</v>
      </c>
      <c r="J204" s="20"/>
    </row>
    <row r="205" spans="3:10" x14ac:dyDescent="0.25">
      <c r="C205" s="27"/>
      <c r="D205" s="28" t="s">
        <v>428</v>
      </c>
      <c r="E205" s="28" t="s">
        <v>838</v>
      </c>
      <c r="F205" s="28" t="s">
        <v>557</v>
      </c>
      <c r="G205" s="29" t="s">
        <v>20</v>
      </c>
      <c r="H205" s="28" t="s">
        <v>558</v>
      </c>
      <c r="I205" s="28" t="s">
        <v>559</v>
      </c>
      <c r="J205" s="26"/>
    </row>
    <row r="206" spans="3:10" x14ac:dyDescent="0.25">
      <c r="C206" s="19" t="s">
        <v>548</v>
      </c>
      <c r="D206" s="19" t="s">
        <v>549</v>
      </c>
      <c r="E206" s="19" t="s">
        <v>550</v>
      </c>
      <c r="F206" s="19" t="s">
        <v>551</v>
      </c>
      <c r="G206" s="19" t="s">
        <v>552</v>
      </c>
      <c r="H206" s="19" t="s">
        <v>553</v>
      </c>
      <c r="I206" s="19" t="s">
        <v>554</v>
      </c>
      <c r="J206" s="19" t="s">
        <v>555</v>
      </c>
    </row>
    <row r="207" spans="3:10" x14ac:dyDescent="0.25">
      <c r="C207" s="21"/>
      <c r="D207" s="22" t="s">
        <v>194</v>
      </c>
      <c r="E207" s="22" t="s">
        <v>839</v>
      </c>
      <c r="F207" s="22" t="s">
        <v>557</v>
      </c>
      <c r="G207" s="23" t="s">
        <v>20</v>
      </c>
      <c r="H207" s="22" t="s">
        <v>558</v>
      </c>
      <c r="I207" s="22" t="s">
        <v>559</v>
      </c>
      <c r="J207" s="20"/>
    </row>
    <row r="208" spans="3:10" x14ac:dyDescent="0.25">
      <c r="C208" s="21"/>
      <c r="D208" s="22" t="s">
        <v>840</v>
      </c>
      <c r="E208" s="22" t="s">
        <v>841</v>
      </c>
      <c r="F208" s="22" t="s">
        <v>557</v>
      </c>
      <c r="G208" s="25" t="s">
        <v>214</v>
      </c>
      <c r="H208" s="22" t="s">
        <v>558</v>
      </c>
      <c r="I208" s="22" t="s">
        <v>559</v>
      </c>
      <c r="J208" s="20"/>
    </row>
    <row r="209" spans="3:10" x14ac:dyDescent="0.25">
      <c r="C209" s="21"/>
      <c r="D209" s="22" t="s">
        <v>842</v>
      </c>
      <c r="E209" s="22" t="s">
        <v>843</v>
      </c>
      <c r="F209" s="22" t="s">
        <v>557</v>
      </c>
      <c r="G209" s="24" t="s">
        <v>390</v>
      </c>
      <c r="H209" s="22" t="s">
        <v>558</v>
      </c>
      <c r="I209" s="22" t="s">
        <v>559</v>
      </c>
      <c r="J209" s="20"/>
    </row>
    <row r="210" spans="3:10" x14ac:dyDescent="0.25">
      <c r="C210" s="21"/>
      <c r="D210" s="22" t="s">
        <v>844</v>
      </c>
      <c r="E210" s="22" t="s">
        <v>845</v>
      </c>
      <c r="F210" s="22" t="s">
        <v>557</v>
      </c>
      <c r="G210" s="25" t="s">
        <v>214</v>
      </c>
      <c r="H210" s="22" t="s">
        <v>558</v>
      </c>
      <c r="I210" s="22" t="s">
        <v>559</v>
      </c>
      <c r="J210" s="20"/>
    </row>
    <row r="211" spans="3:10" x14ac:dyDescent="0.25">
      <c r="C211" s="21"/>
      <c r="D211" s="22" t="s">
        <v>429</v>
      </c>
      <c r="E211" s="22" t="s">
        <v>846</v>
      </c>
      <c r="F211" s="22" t="s">
        <v>557</v>
      </c>
      <c r="G211" s="23" t="s">
        <v>20</v>
      </c>
      <c r="H211" s="22" t="s">
        <v>558</v>
      </c>
      <c r="I211" s="22" t="s">
        <v>559</v>
      </c>
      <c r="J211" s="20"/>
    </row>
    <row r="212" spans="3:10" x14ac:dyDescent="0.25">
      <c r="C212" s="21"/>
      <c r="D212" s="22" t="s">
        <v>847</v>
      </c>
      <c r="E212" s="22" t="s">
        <v>848</v>
      </c>
      <c r="F212" s="22" t="s">
        <v>568</v>
      </c>
      <c r="G212" s="24" t="s">
        <v>390</v>
      </c>
      <c r="H212" s="22" t="s">
        <v>558</v>
      </c>
      <c r="I212" s="22" t="s">
        <v>559</v>
      </c>
      <c r="J212" s="20"/>
    </row>
    <row r="213" spans="3:10" x14ac:dyDescent="0.25">
      <c r="C213" s="21"/>
      <c r="D213" s="22" t="s">
        <v>83</v>
      </c>
      <c r="E213" s="22" t="s">
        <v>849</v>
      </c>
      <c r="F213" s="22" t="s">
        <v>557</v>
      </c>
      <c r="G213" s="23" t="s">
        <v>20</v>
      </c>
      <c r="H213" s="22" t="s">
        <v>558</v>
      </c>
      <c r="I213" s="22" t="s">
        <v>559</v>
      </c>
      <c r="J213" s="20"/>
    </row>
    <row r="214" spans="3:10" x14ac:dyDescent="0.25">
      <c r="C214" s="21"/>
      <c r="D214" s="22" t="s">
        <v>850</v>
      </c>
      <c r="E214" s="22" t="s">
        <v>851</v>
      </c>
      <c r="F214" s="22" t="s">
        <v>568</v>
      </c>
      <c r="G214" s="24" t="s">
        <v>390</v>
      </c>
      <c r="H214" s="22" t="s">
        <v>558</v>
      </c>
      <c r="I214" s="22" t="s">
        <v>852</v>
      </c>
      <c r="J214" s="20"/>
    </row>
    <row r="215" spans="3:10" x14ac:dyDescent="0.25">
      <c r="C215" s="21"/>
      <c r="D215" s="22" t="s">
        <v>853</v>
      </c>
      <c r="E215" s="22" t="s">
        <v>854</v>
      </c>
      <c r="F215" s="22" t="s">
        <v>557</v>
      </c>
      <c r="G215" s="30" t="s">
        <v>715</v>
      </c>
      <c r="H215" s="22" t="s">
        <v>559</v>
      </c>
      <c r="I215" s="22" t="s">
        <v>559</v>
      </c>
      <c r="J215" s="20"/>
    </row>
    <row r="216" spans="3:10" x14ac:dyDescent="0.25">
      <c r="C216" s="21"/>
      <c r="D216" s="22" t="s">
        <v>90</v>
      </c>
      <c r="E216" s="22" t="s">
        <v>855</v>
      </c>
      <c r="F216" s="22" t="s">
        <v>557</v>
      </c>
      <c r="G216" s="23" t="s">
        <v>20</v>
      </c>
      <c r="H216" s="22" t="s">
        <v>558</v>
      </c>
      <c r="I216" s="22" t="s">
        <v>559</v>
      </c>
      <c r="J216" s="20"/>
    </row>
    <row r="217" spans="3:10" x14ac:dyDescent="0.25">
      <c r="C217" s="21"/>
      <c r="D217" s="22" t="s">
        <v>314</v>
      </c>
      <c r="E217" s="22" t="s">
        <v>856</v>
      </c>
      <c r="F217" s="22" t="s">
        <v>557</v>
      </c>
      <c r="G217" s="23" t="s">
        <v>20</v>
      </c>
      <c r="H217" s="22" t="s">
        <v>558</v>
      </c>
      <c r="I217" s="22" t="s">
        <v>559</v>
      </c>
      <c r="J217" s="20"/>
    </row>
    <row r="218" spans="3:10" x14ac:dyDescent="0.25">
      <c r="C218" s="21"/>
      <c r="D218" s="22" t="s">
        <v>54</v>
      </c>
      <c r="E218" s="22" t="s">
        <v>857</v>
      </c>
      <c r="F218" s="22" t="s">
        <v>557</v>
      </c>
      <c r="G218" s="23" t="s">
        <v>20</v>
      </c>
      <c r="H218" s="22" t="s">
        <v>558</v>
      </c>
      <c r="I218" s="22" t="s">
        <v>559</v>
      </c>
      <c r="J218" s="20"/>
    </row>
    <row r="219" spans="3:10" x14ac:dyDescent="0.25">
      <c r="C219" s="21"/>
      <c r="D219" s="22" t="s">
        <v>165</v>
      </c>
      <c r="E219" s="22" t="s">
        <v>858</v>
      </c>
      <c r="F219" s="22" t="s">
        <v>557</v>
      </c>
      <c r="G219" s="23" t="s">
        <v>20</v>
      </c>
      <c r="H219" s="22" t="s">
        <v>558</v>
      </c>
      <c r="I219" s="22" t="s">
        <v>559</v>
      </c>
      <c r="J219" s="20"/>
    </row>
    <row r="220" spans="3:10" x14ac:dyDescent="0.25">
      <c r="C220" s="21"/>
      <c r="D220" s="22" t="s">
        <v>859</v>
      </c>
      <c r="E220" s="22" t="s">
        <v>860</v>
      </c>
      <c r="F220" s="22" t="s">
        <v>557</v>
      </c>
      <c r="G220" s="24" t="s">
        <v>390</v>
      </c>
      <c r="H220" s="22" t="s">
        <v>558</v>
      </c>
      <c r="I220" s="22" t="s">
        <v>559</v>
      </c>
      <c r="J220" s="20"/>
    </row>
    <row r="221" spans="3:10" x14ac:dyDescent="0.25">
      <c r="C221" s="21"/>
      <c r="D221" s="22" t="s">
        <v>861</v>
      </c>
      <c r="E221" s="22" t="s">
        <v>862</v>
      </c>
      <c r="F221" s="22" t="s">
        <v>557</v>
      </c>
      <c r="G221" s="24" t="s">
        <v>390</v>
      </c>
      <c r="H221" s="22" t="s">
        <v>558</v>
      </c>
      <c r="I221" s="22" t="s">
        <v>559</v>
      </c>
      <c r="J221" s="20"/>
    </row>
    <row r="222" spans="3:10" x14ac:dyDescent="0.25">
      <c r="C222" s="21"/>
      <c r="D222" s="22" t="s">
        <v>188</v>
      </c>
      <c r="E222" s="22" t="s">
        <v>863</v>
      </c>
      <c r="F222" s="22" t="s">
        <v>557</v>
      </c>
      <c r="G222" s="23" t="s">
        <v>20</v>
      </c>
      <c r="H222" s="22" t="s">
        <v>558</v>
      </c>
      <c r="I222" s="22" t="s">
        <v>559</v>
      </c>
      <c r="J222" s="20"/>
    </row>
    <row r="223" spans="3:10" x14ac:dyDescent="0.25">
      <c r="C223" s="21"/>
      <c r="D223" s="22" t="s">
        <v>864</v>
      </c>
      <c r="E223" s="22" t="s">
        <v>865</v>
      </c>
      <c r="F223" s="22" t="s">
        <v>557</v>
      </c>
      <c r="G223" s="24" t="s">
        <v>390</v>
      </c>
      <c r="H223" s="22" t="s">
        <v>558</v>
      </c>
      <c r="I223" s="22" t="s">
        <v>559</v>
      </c>
      <c r="J223" s="20"/>
    </row>
    <row r="224" spans="3:10" x14ac:dyDescent="0.25">
      <c r="C224" s="21"/>
      <c r="D224" s="22" t="s">
        <v>97</v>
      </c>
      <c r="E224" s="22" t="s">
        <v>866</v>
      </c>
      <c r="F224" s="22" t="s">
        <v>557</v>
      </c>
      <c r="G224" s="23" t="s">
        <v>20</v>
      </c>
      <c r="H224" s="22" t="s">
        <v>558</v>
      </c>
      <c r="I224" s="22" t="s">
        <v>559</v>
      </c>
      <c r="J224" s="20"/>
    </row>
    <row r="225" spans="3:10" x14ac:dyDescent="0.25">
      <c r="C225" s="21"/>
      <c r="D225" s="22" t="s">
        <v>285</v>
      </c>
      <c r="E225" s="22" t="s">
        <v>867</v>
      </c>
      <c r="F225" s="22" t="s">
        <v>557</v>
      </c>
      <c r="G225" s="23" t="s">
        <v>20</v>
      </c>
      <c r="H225" s="22" t="s">
        <v>558</v>
      </c>
      <c r="I225" s="22" t="s">
        <v>559</v>
      </c>
      <c r="J225" s="20"/>
    </row>
    <row r="226" spans="3:10" x14ac:dyDescent="0.25">
      <c r="C226" s="21"/>
      <c r="D226" s="22" t="s">
        <v>868</v>
      </c>
      <c r="E226" s="22" t="s">
        <v>869</v>
      </c>
      <c r="F226" s="22" t="s">
        <v>557</v>
      </c>
      <c r="G226" s="23" t="s">
        <v>20</v>
      </c>
      <c r="H226" s="22" t="s">
        <v>558</v>
      </c>
      <c r="I226" s="22" t="s">
        <v>559</v>
      </c>
      <c r="J226" s="20"/>
    </row>
    <row r="227" spans="3:10" x14ac:dyDescent="0.25">
      <c r="C227" s="21"/>
      <c r="D227" s="22" t="s">
        <v>870</v>
      </c>
      <c r="E227" s="22" t="s">
        <v>871</v>
      </c>
      <c r="F227" s="22" t="s">
        <v>557</v>
      </c>
      <c r="G227" s="24" t="s">
        <v>390</v>
      </c>
      <c r="H227" s="22" t="s">
        <v>558</v>
      </c>
      <c r="I227" s="22" t="s">
        <v>559</v>
      </c>
      <c r="J227" s="20"/>
    </row>
    <row r="228" spans="3:10" x14ac:dyDescent="0.25">
      <c r="C228" s="21"/>
      <c r="D228" s="22" t="s">
        <v>872</v>
      </c>
      <c r="E228" s="22" t="s">
        <v>873</v>
      </c>
      <c r="F228" s="22" t="s">
        <v>557</v>
      </c>
      <c r="G228" s="23" t="s">
        <v>20</v>
      </c>
      <c r="H228" s="22" t="s">
        <v>558</v>
      </c>
      <c r="I228" s="22" t="s">
        <v>559</v>
      </c>
      <c r="J228" s="20"/>
    </row>
    <row r="229" spans="3:10" x14ac:dyDescent="0.25">
      <c r="C229" s="21"/>
      <c r="D229" s="22" t="s">
        <v>308</v>
      </c>
      <c r="E229" s="22" t="s">
        <v>874</v>
      </c>
      <c r="F229" s="22" t="s">
        <v>557</v>
      </c>
      <c r="G229" s="23" t="s">
        <v>20</v>
      </c>
      <c r="H229" s="22" t="s">
        <v>558</v>
      </c>
      <c r="I229" s="22" t="s">
        <v>559</v>
      </c>
      <c r="J229" s="20"/>
    </row>
    <row r="230" spans="3:10" x14ac:dyDescent="0.25">
      <c r="C230" s="21"/>
      <c r="D230" s="22" t="s">
        <v>139</v>
      </c>
      <c r="E230" s="22" t="s">
        <v>875</v>
      </c>
      <c r="F230" s="22" t="s">
        <v>557</v>
      </c>
      <c r="G230" s="23" t="s">
        <v>20</v>
      </c>
      <c r="H230" s="22" t="s">
        <v>558</v>
      </c>
      <c r="I230" s="22" t="s">
        <v>559</v>
      </c>
      <c r="J230" s="20"/>
    </row>
    <row r="231" spans="3:10" x14ac:dyDescent="0.25">
      <c r="C231" s="21"/>
      <c r="D231" s="22" t="s">
        <v>876</v>
      </c>
      <c r="E231" s="22" t="s">
        <v>877</v>
      </c>
      <c r="F231" s="22" t="s">
        <v>557</v>
      </c>
      <c r="G231" s="23" t="s">
        <v>20</v>
      </c>
      <c r="H231" s="22" t="s">
        <v>558</v>
      </c>
      <c r="I231" s="22" t="s">
        <v>559</v>
      </c>
      <c r="J231" s="20"/>
    </row>
    <row r="232" spans="3:10" x14ac:dyDescent="0.25">
      <c r="C232" s="21"/>
      <c r="D232" s="22" t="s">
        <v>878</v>
      </c>
      <c r="E232" s="22" t="s">
        <v>879</v>
      </c>
      <c r="F232" s="22" t="s">
        <v>557</v>
      </c>
      <c r="G232" s="23" t="s">
        <v>20</v>
      </c>
      <c r="H232" s="22" t="s">
        <v>558</v>
      </c>
      <c r="I232" s="22" t="s">
        <v>559</v>
      </c>
      <c r="J232" s="20"/>
    </row>
    <row r="233" spans="3:10" x14ac:dyDescent="0.25">
      <c r="C233" s="21"/>
      <c r="D233" s="22" t="s">
        <v>880</v>
      </c>
      <c r="E233" s="22" t="s">
        <v>881</v>
      </c>
      <c r="F233" s="22" t="s">
        <v>557</v>
      </c>
      <c r="G233" s="23" t="s">
        <v>20</v>
      </c>
      <c r="H233" s="22" t="s">
        <v>558</v>
      </c>
      <c r="I233" s="22" t="s">
        <v>559</v>
      </c>
      <c r="J233" s="20"/>
    </row>
    <row r="234" spans="3:10" x14ac:dyDescent="0.25">
      <c r="C234" s="21"/>
      <c r="D234" s="22" t="s">
        <v>282</v>
      </c>
      <c r="E234" s="22" t="s">
        <v>882</v>
      </c>
      <c r="F234" s="22" t="s">
        <v>557</v>
      </c>
      <c r="G234" s="23" t="s">
        <v>20</v>
      </c>
      <c r="H234" s="22" t="s">
        <v>558</v>
      </c>
      <c r="I234" s="22" t="s">
        <v>559</v>
      </c>
      <c r="J234" s="20"/>
    </row>
    <row r="235" spans="3:10" x14ac:dyDescent="0.25">
      <c r="C235" s="21"/>
      <c r="D235" s="22" t="s">
        <v>883</v>
      </c>
      <c r="E235" s="22" t="s">
        <v>884</v>
      </c>
      <c r="F235" s="22" t="s">
        <v>557</v>
      </c>
      <c r="G235" s="25" t="s">
        <v>214</v>
      </c>
      <c r="H235" s="22" t="s">
        <v>558</v>
      </c>
      <c r="I235" s="22" t="s">
        <v>559</v>
      </c>
      <c r="J235" s="20"/>
    </row>
    <row r="236" spans="3:10" x14ac:dyDescent="0.25">
      <c r="C236" s="21"/>
      <c r="D236" s="22" t="s">
        <v>885</v>
      </c>
      <c r="E236" s="22" t="s">
        <v>886</v>
      </c>
      <c r="F236" s="22" t="s">
        <v>557</v>
      </c>
      <c r="G236" s="23" t="s">
        <v>20</v>
      </c>
      <c r="H236" s="22" t="s">
        <v>558</v>
      </c>
      <c r="I236" s="22" t="s">
        <v>559</v>
      </c>
      <c r="J236" s="20"/>
    </row>
    <row r="237" spans="3:10" x14ac:dyDescent="0.25">
      <c r="C237" s="21"/>
      <c r="D237" s="22" t="s">
        <v>169</v>
      </c>
      <c r="E237" s="22" t="s">
        <v>887</v>
      </c>
      <c r="F237" s="22" t="s">
        <v>557</v>
      </c>
      <c r="G237" s="23" t="s">
        <v>20</v>
      </c>
      <c r="H237" s="22" t="s">
        <v>558</v>
      </c>
      <c r="I237" s="22" t="s">
        <v>559</v>
      </c>
      <c r="J237" s="20"/>
    </row>
    <row r="238" spans="3:10" x14ac:dyDescent="0.25">
      <c r="C238" s="21"/>
      <c r="D238" s="22" t="s">
        <v>888</v>
      </c>
      <c r="E238" s="22" t="s">
        <v>889</v>
      </c>
      <c r="F238" s="22" t="s">
        <v>557</v>
      </c>
      <c r="G238" s="24" t="s">
        <v>390</v>
      </c>
      <c r="H238" s="22" t="s">
        <v>558</v>
      </c>
      <c r="I238" s="22" t="s">
        <v>559</v>
      </c>
      <c r="J238" s="20"/>
    </row>
    <row r="239" spans="3:10" x14ac:dyDescent="0.25">
      <c r="C239" s="21"/>
      <c r="D239" s="22" t="s">
        <v>890</v>
      </c>
      <c r="E239" s="22" t="s">
        <v>891</v>
      </c>
      <c r="F239" s="22" t="s">
        <v>557</v>
      </c>
      <c r="G239" s="23" t="s">
        <v>20</v>
      </c>
      <c r="H239" s="22" t="s">
        <v>558</v>
      </c>
      <c r="I239" s="22" t="s">
        <v>559</v>
      </c>
      <c r="J239" s="20"/>
    </row>
    <row r="240" spans="3:10" x14ac:dyDescent="0.25">
      <c r="C240" s="21"/>
      <c r="D240" s="22" t="s">
        <v>430</v>
      </c>
      <c r="E240" s="22" t="s">
        <v>892</v>
      </c>
      <c r="F240" s="22" t="s">
        <v>557</v>
      </c>
      <c r="G240" s="23" t="s">
        <v>20</v>
      </c>
      <c r="H240" s="22" t="s">
        <v>558</v>
      </c>
      <c r="I240" s="22" t="s">
        <v>559</v>
      </c>
      <c r="J240" s="20"/>
    </row>
    <row r="241" spans="3:10" x14ac:dyDescent="0.25">
      <c r="C241" s="21"/>
      <c r="D241" s="22" t="s">
        <v>893</v>
      </c>
      <c r="E241" s="22" t="s">
        <v>894</v>
      </c>
      <c r="F241" s="22" t="s">
        <v>557</v>
      </c>
      <c r="G241" s="23" t="s">
        <v>20</v>
      </c>
      <c r="H241" s="22" t="s">
        <v>558</v>
      </c>
      <c r="I241" s="22" t="s">
        <v>559</v>
      </c>
      <c r="J241" s="20"/>
    </row>
    <row r="242" spans="3:10" x14ac:dyDescent="0.25">
      <c r="C242" s="21"/>
      <c r="D242" s="22" t="s">
        <v>215</v>
      </c>
      <c r="E242" s="22" t="s">
        <v>895</v>
      </c>
      <c r="F242" s="22" t="s">
        <v>557</v>
      </c>
      <c r="G242" s="23" t="s">
        <v>20</v>
      </c>
      <c r="H242" s="22" t="s">
        <v>558</v>
      </c>
      <c r="I242" s="22" t="s">
        <v>559</v>
      </c>
      <c r="J242" s="20"/>
    </row>
    <row r="243" spans="3:10" x14ac:dyDescent="0.25">
      <c r="C243" s="21"/>
      <c r="D243" s="22" t="s">
        <v>896</v>
      </c>
      <c r="E243" s="22" t="s">
        <v>897</v>
      </c>
      <c r="F243" s="22" t="s">
        <v>557</v>
      </c>
      <c r="G243" s="24" t="s">
        <v>390</v>
      </c>
      <c r="H243" s="22" t="s">
        <v>558</v>
      </c>
      <c r="I243" s="22" t="s">
        <v>559</v>
      </c>
      <c r="J243" s="20"/>
    </row>
    <row r="244" spans="3:10" x14ac:dyDescent="0.25">
      <c r="C244" s="21"/>
      <c r="D244" s="22" t="s">
        <v>898</v>
      </c>
      <c r="E244" s="22" t="s">
        <v>899</v>
      </c>
      <c r="F244" s="22" t="s">
        <v>557</v>
      </c>
      <c r="G244" s="24" t="s">
        <v>390</v>
      </c>
      <c r="H244" s="22" t="s">
        <v>558</v>
      </c>
      <c r="I244" s="22" t="s">
        <v>559</v>
      </c>
      <c r="J244" s="20"/>
    </row>
    <row r="245" spans="3:10" x14ac:dyDescent="0.25">
      <c r="C245" s="21"/>
      <c r="D245" s="22" t="s">
        <v>199</v>
      </c>
      <c r="E245" s="22" t="s">
        <v>900</v>
      </c>
      <c r="F245" s="22" t="s">
        <v>557</v>
      </c>
      <c r="G245" s="23" t="s">
        <v>20</v>
      </c>
      <c r="H245" s="22" t="s">
        <v>558</v>
      </c>
      <c r="I245" s="22" t="s">
        <v>559</v>
      </c>
      <c r="J245" s="20"/>
    </row>
    <row r="246" spans="3:10" x14ac:dyDescent="0.25">
      <c r="C246" s="21"/>
      <c r="D246" s="22" t="s">
        <v>901</v>
      </c>
      <c r="E246" s="22" t="s">
        <v>902</v>
      </c>
      <c r="F246" s="22" t="s">
        <v>557</v>
      </c>
      <c r="G246" s="23" t="s">
        <v>20</v>
      </c>
      <c r="H246" s="22" t="s">
        <v>558</v>
      </c>
      <c r="I246" s="22" t="s">
        <v>559</v>
      </c>
      <c r="J246" s="20"/>
    </row>
    <row r="247" spans="3:10" x14ac:dyDescent="0.25">
      <c r="C247" s="21"/>
      <c r="D247" s="22" t="s">
        <v>903</v>
      </c>
      <c r="E247" s="22" t="s">
        <v>904</v>
      </c>
      <c r="F247" s="22" t="s">
        <v>557</v>
      </c>
      <c r="G247" s="24" t="s">
        <v>390</v>
      </c>
      <c r="H247" s="22" t="s">
        <v>558</v>
      </c>
      <c r="I247" s="22" t="s">
        <v>559</v>
      </c>
      <c r="J247" s="20"/>
    </row>
    <row r="248" spans="3:10" x14ac:dyDescent="0.25">
      <c r="C248" s="21"/>
      <c r="D248" s="22" t="s">
        <v>905</v>
      </c>
      <c r="E248" s="22" t="s">
        <v>906</v>
      </c>
      <c r="F248" s="22" t="s">
        <v>557</v>
      </c>
      <c r="G248" s="23" t="s">
        <v>20</v>
      </c>
      <c r="H248" s="22" t="s">
        <v>558</v>
      </c>
      <c r="I248" s="22" t="s">
        <v>559</v>
      </c>
      <c r="J248" s="20"/>
    </row>
    <row r="249" spans="3:10" x14ac:dyDescent="0.25">
      <c r="C249" s="21"/>
      <c r="D249" s="22" t="s">
        <v>907</v>
      </c>
      <c r="E249" s="22" t="s">
        <v>908</v>
      </c>
      <c r="F249" s="22" t="s">
        <v>557</v>
      </c>
      <c r="G249" s="24" t="s">
        <v>390</v>
      </c>
      <c r="H249" s="22" t="s">
        <v>558</v>
      </c>
      <c r="I249" s="22" t="s">
        <v>559</v>
      </c>
      <c r="J249" s="20"/>
    </row>
    <row r="250" spans="3:10" x14ac:dyDescent="0.25">
      <c r="C250" s="21"/>
      <c r="D250" s="22" t="s">
        <v>909</v>
      </c>
      <c r="E250" s="22" t="s">
        <v>910</v>
      </c>
      <c r="F250" s="22" t="s">
        <v>568</v>
      </c>
      <c r="G250" s="23" t="s">
        <v>20</v>
      </c>
      <c r="H250" s="22" t="s">
        <v>558</v>
      </c>
      <c r="I250" s="22" t="s">
        <v>559</v>
      </c>
      <c r="J250" s="20"/>
    </row>
    <row r="251" spans="3:10" x14ac:dyDescent="0.25">
      <c r="C251" s="21"/>
      <c r="D251" s="22" t="s">
        <v>533</v>
      </c>
      <c r="E251" s="22" t="s">
        <v>911</v>
      </c>
      <c r="F251" s="22" t="s">
        <v>557</v>
      </c>
      <c r="G251" s="23" t="s">
        <v>20</v>
      </c>
      <c r="H251" s="22" t="s">
        <v>558</v>
      </c>
      <c r="I251" s="22" t="s">
        <v>559</v>
      </c>
      <c r="J251" s="20"/>
    </row>
    <row r="252" spans="3:10" x14ac:dyDescent="0.25">
      <c r="C252" s="21"/>
      <c r="D252" s="22" t="s">
        <v>912</v>
      </c>
      <c r="E252" s="22" t="s">
        <v>913</v>
      </c>
      <c r="F252" s="22" t="s">
        <v>557</v>
      </c>
      <c r="G252" s="23" t="s">
        <v>20</v>
      </c>
      <c r="H252" s="22" t="s">
        <v>558</v>
      </c>
      <c r="I252" s="22" t="s">
        <v>559</v>
      </c>
      <c r="J252" s="20"/>
    </row>
    <row r="253" spans="3:10" x14ac:dyDescent="0.25">
      <c r="C253" s="21"/>
      <c r="D253" s="22" t="s">
        <v>914</v>
      </c>
      <c r="E253" s="22" t="s">
        <v>915</v>
      </c>
      <c r="F253" s="22" t="s">
        <v>557</v>
      </c>
      <c r="G253" s="23" t="s">
        <v>20</v>
      </c>
      <c r="H253" s="22" t="s">
        <v>558</v>
      </c>
      <c r="I253" s="22" t="s">
        <v>559</v>
      </c>
      <c r="J253" s="20"/>
    </row>
    <row r="254" spans="3:10" x14ac:dyDescent="0.25">
      <c r="C254" s="21"/>
      <c r="D254" s="22" t="s">
        <v>432</v>
      </c>
      <c r="E254" s="22" t="s">
        <v>916</v>
      </c>
      <c r="F254" s="22" t="s">
        <v>557</v>
      </c>
      <c r="G254" s="23" t="s">
        <v>20</v>
      </c>
      <c r="H254" s="22" t="s">
        <v>558</v>
      </c>
      <c r="I254" s="22" t="s">
        <v>559</v>
      </c>
      <c r="J254" s="20"/>
    </row>
    <row r="255" spans="3:10" x14ac:dyDescent="0.25">
      <c r="C255" s="27"/>
      <c r="D255" s="28" t="s">
        <v>917</v>
      </c>
      <c r="E255" s="28" t="s">
        <v>918</v>
      </c>
      <c r="F255" s="28" t="s">
        <v>557</v>
      </c>
      <c r="G255" s="31" t="s">
        <v>390</v>
      </c>
      <c r="H255" s="28" t="s">
        <v>558</v>
      </c>
      <c r="I255" s="28" t="s">
        <v>559</v>
      </c>
      <c r="J255" s="26"/>
    </row>
    <row r="256" spans="3:10" x14ac:dyDescent="0.25">
      <c r="C256" s="21"/>
      <c r="D256" s="22" t="s">
        <v>84</v>
      </c>
      <c r="E256" s="22" t="s">
        <v>919</v>
      </c>
      <c r="F256" s="22" t="s">
        <v>557</v>
      </c>
      <c r="G256" s="23" t="s">
        <v>20</v>
      </c>
      <c r="H256" s="22" t="s">
        <v>558</v>
      </c>
      <c r="I256" s="22" t="s">
        <v>559</v>
      </c>
      <c r="J256" s="20"/>
    </row>
    <row r="257" spans="3:10" x14ac:dyDescent="0.25">
      <c r="C257" s="21"/>
      <c r="D257" s="22" t="s">
        <v>433</v>
      </c>
      <c r="E257" s="22" t="s">
        <v>920</v>
      </c>
      <c r="F257" s="22" t="s">
        <v>557</v>
      </c>
      <c r="G257" s="23" t="s">
        <v>20</v>
      </c>
      <c r="H257" s="22" t="s">
        <v>558</v>
      </c>
      <c r="I257" s="22" t="s">
        <v>559</v>
      </c>
      <c r="J257" s="20"/>
    </row>
    <row r="258" spans="3:10" x14ac:dyDescent="0.25">
      <c r="C258" s="21"/>
      <c r="D258" s="22" t="s">
        <v>921</v>
      </c>
      <c r="E258" s="22" t="s">
        <v>922</v>
      </c>
      <c r="F258" s="22" t="s">
        <v>557</v>
      </c>
      <c r="G258" s="23" t="s">
        <v>20</v>
      </c>
      <c r="H258" s="22" t="s">
        <v>558</v>
      </c>
      <c r="I258" s="22" t="s">
        <v>559</v>
      </c>
      <c r="J258" s="20"/>
    </row>
    <row r="259" spans="3:10" x14ac:dyDescent="0.25">
      <c r="C259" s="21"/>
      <c r="D259" s="22" t="s">
        <v>93</v>
      </c>
      <c r="E259" s="22" t="s">
        <v>923</v>
      </c>
      <c r="F259" s="22" t="s">
        <v>557</v>
      </c>
      <c r="G259" s="23" t="s">
        <v>20</v>
      </c>
      <c r="H259" s="22" t="s">
        <v>558</v>
      </c>
      <c r="I259" s="22" t="s">
        <v>559</v>
      </c>
      <c r="J259" s="20"/>
    </row>
    <row r="260" spans="3:10" x14ac:dyDescent="0.25">
      <c r="C260" s="21"/>
      <c r="D260" s="22" t="s">
        <v>436</v>
      </c>
      <c r="E260" s="22" t="s">
        <v>924</v>
      </c>
      <c r="F260" s="22" t="s">
        <v>557</v>
      </c>
      <c r="G260" s="23" t="s">
        <v>20</v>
      </c>
      <c r="H260" s="22" t="s">
        <v>558</v>
      </c>
      <c r="I260" s="22" t="s">
        <v>559</v>
      </c>
      <c r="J260" s="20"/>
    </row>
    <row r="261" spans="3:10" x14ac:dyDescent="0.25">
      <c r="C261" s="21"/>
      <c r="D261" s="22" t="s">
        <v>925</v>
      </c>
      <c r="E261" s="22" t="s">
        <v>926</v>
      </c>
      <c r="F261" s="22" t="s">
        <v>557</v>
      </c>
      <c r="G261" s="23" t="s">
        <v>20</v>
      </c>
      <c r="H261" s="22" t="s">
        <v>558</v>
      </c>
      <c r="I261" s="22" t="s">
        <v>559</v>
      </c>
      <c r="J261" s="20"/>
    </row>
    <row r="262" spans="3:10" x14ac:dyDescent="0.25">
      <c r="C262" s="21"/>
      <c r="D262" s="22" t="s">
        <v>230</v>
      </c>
      <c r="E262" s="22" t="s">
        <v>927</v>
      </c>
      <c r="F262" s="22" t="s">
        <v>557</v>
      </c>
      <c r="G262" s="23" t="s">
        <v>20</v>
      </c>
      <c r="H262" s="22" t="s">
        <v>558</v>
      </c>
      <c r="I262" s="22" t="s">
        <v>559</v>
      </c>
      <c r="J262" s="20"/>
    </row>
    <row r="263" spans="3:10" x14ac:dyDescent="0.25">
      <c r="C263" s="21"/>
      <c r="D263" s="22" t="s">
        <v>79</v>
      </c>
      <c r="E263" s="22" t="s">
        <v>928</v>
      </c>
      <c r="F263" s="22" t="s">
        <v>557</v>
      </c>
      <c r="G263" s="23" t="s">
        <v>20</v>
      </c>
      <c r="H263" s="22" t="s">
        <v>558</v>
      </c>
      <c r="I263" s="22" t="s">
        <v>559</v>
      </c>
      <c r="J263" s="20"/>
    </row>
    <row r="264" spans="3:10" x14ac:dyDescent="0.25">
      <c r="C264" s="21"/>
      <c r="D264" s="22" t="s">
        <v>929</v>
      </c>
      <c r="E264" s="22" t="s">
        <v>930</v>
      </c>
      <c r="F264" s="22" t="s">
        <v>557</v>
      </c>
      <c r="G264" s="23" t="s">
        <v>20</v>
      </c>
      <c r="H264" s="22" t="s">
        <v>558</v>
      </c>
      <c r="I264" s="22" t="s">
        <v>559</v>
      </c>
      <c r="J264" s="20"/>
    </row>
    <row r="265" spans="3:10" x14ac:dyDescent="0.25">
      <c r="C265" s="21"/>
      <c r="D265" s="22" t="s">
        <v>534</v>
      </c>
      <c r="E265" s="22" t="s">
        <v>931</v>
      </c>
      <c r="F265" s="22" t="s">
        <v>557</v>
      </c>
      <c r="G265" s="23" t="s">
        <v>20</v>
      </c>
      <c r="H265" s="22" t="s">
        <v>558</v>
      </c>
      <c r="I265" s="22" t="s">
        <v>559</v>
      </c>
      <c r="J265" s="20"/>
    </row>
    <row r="266" spans="3:10" x14ac:dyDescent="0.25">
      <c r="C266" s="21"/>
      <c r="D266" s="22" t="s">
        <v>932</v>
      </c>
      <c r="E266" s="22" t="s">
        <v>933</v>
      </c>
      <c r="F266" s="22" t="s">
        <v>557</v>
      </c>
      <c r="G266" s="25" t="s">
        <v>214</v>
      </c>
      <c r="H266" s="22" t="s">
        <v>558</v>
      </c>
      <c r="I266" s="22" t="s">
        <v>559</v>
      </c>
      <c r="J266" s="20"/>
    </row>
    <row r="267" spans="3:10" x14ac:dyDescent="0.25">
      <c r="C267" s="21"/>
      <c r="D267" s="22" t="s">
        <v>437</v>
      </c>
      <c r="E267" s="22" t="s">
        <v>934</v>
      </c>
      <c r="F267" s="22" t="s">
        <v>557</v>
      </c>
      <c r="G267" s="23" t="s">
        <v>20</v>
      </c>
      <c r="H267" s="22" t="s">
        <v>558</v>
      </c>
      <c r="I267" s="22" t="s">
        <v>559</v>
      </c>
      <c r="J267" s="20"/>
    </row>
    <row r="268" spans="3:10" x14ac:dyDescent="0.25">
      <c r="C268" s="21"/>
      <c r="D268" s="22" t="s">
        <v>126</v>
      </c>
      <c r="E268" s="22" t="s">
        <v>935</v>
      </c>
      <c r="F268" s="22" t="s">
        <v>557</v>
      </c>
      <c r="G268" s="23" t="s">
        <v>20</v>
      </c>
      <c r="H268" s="22" t="s">
        <v>558</v>
      </c>
      <c r="I268" s="22" t="s">
        <v>559</v>
      </c>
      <c r="J268" s="20"/>
    </row>
    <row r="269" spans="3:10" x14ac:dyDescent="0.25">
      <c r="C269" s="21"/>
      <c r="D269" s="22" t="s">
        <v>438</v>
      </c>
      <c r="E269" s="22" t="s">
        <v>936</v>
      </c>
      <c r="F269" s="22" t="s">
        <v>557</v>
      </c>
      <c r="G269" s="23" t="s">
        <v>20</v>
      </c>
      <c r="H269" s="22" t="s">
        <v>558</v>
      </c>
      <c r="I269" s="22" t="s">
        <v>559</v>
      </c>
      <c r="J269" s="20"/>
    </row>
    <row r="270" spans="3:10" x14ac:dyDescent="0.25">
      <c r="C270" s="21"/>
      <c r="D270" s="22" t="s">
        <v>535</v>
      </c>
      <c r="E270" s="22" t="s">
        <v>937</v>
      </c>
      <c r="F270" s="22" t="s">
        <v>557</v>
      </c>
      <c r="G270" s="23" t="s">
        <v>20</v>
      </c>
      <c r="H270" s="22" t="s">
        <v>558</v>
      </c>
      <c r="I270" s="22" t="s">
        <v>559</v>
      </c>
      <c r="J270" s="20"/>
    </row>
    <row r="271" spans="3:10" x14ac:dyDescent="0.25">
      <c r="C271" s="21"/>
      <c r="D271" s="22" t="s">
        <v>440</v>
      </c>
      <c r="E271" s="22" t="s">
        <v>938</v>
      </c>
      <c r="F271" s="22" t="s">
        <v>557</v>
      </c>
      <c r="G271" s="23" t="s">
        <v>20</v>
      </c>
      <c r="H271" s="22" t="s">
        <v>558</v>
      </c>
      <c r="I271" s="22" t="s">
        <v>559</v>
      </c>
      <c r="J271" s="20"/>
    </row>
    <row r="272" spans="3:10" x14ac:dyDescent="0.25">
      <c r="C272" s="21"/>
      <c r="D272" s="22" t="s">
        <v>302</v>
      </c>
      <c r="E272" s="22" t="s">
        <v>939</v>
      </c>
      <c r="F272" s="22" t="s">
        <v>557</v>
      </c>
      <c r="G272" s="23" t="s">
        <v>20</v>
      </c>
      <c r="H272" s="22" t="s">
        <v>558</v>
      </c>
      <c r="I272" s="22" t="s">
        <v>559</v>
      </c>
      <c r="J272" s="20"/>
    </row>
    <row r="273" spans="3:10" x14ac:dyDescent="0.25">
      <c r="C273" s="21"/>
      <c r="D273" s="22" t="s">
        <v>50</v>
      </c>
      <c r="E273" s="22" t="s">
        <v>940</v>
      </c>
      <c r="F273" s="22" t="s">
        <v>557</v>
      </c>
      <c r="G273" s="23" t="s">
        <v>20</v>
      </c>
      <c r="H273" s="22" t="s">
        <v>558</v>
      </c>
      <c r="I273" s="22" t="s">
        <v>559</v>
      </c>
      <c r="J273" s="20"/>
    </row>
    <row r="274" spans="3:10" x14ac:dyDescent="0.25">
      <c r="C274" s="21"/>
      <c r="D274" s="22" t="s">
        <v>941</v>
      </c>
      <c r="E274" s="22" t="s">
        <v>942</v>
      </c>
      <c r="F274" s="22" t="s">
        <v>557</v>
      </c>
      <c r="G274" s="25" t="s">
        <v>214</v>
      </c>
      <c r="H274" s="22" t="s">
        <v>558</v>
      </c>
      <c r="I274" s="22" t="s">
        <v>559</v>
      </c>
      <c r="J274" s="20"/>
    </row>
    <row r="275" spans="3:10" x14ac:dyDescent="0.25">
      <c r="C275" s="21"/>
      <c r="D275" s="22" t="s">
        <v>943</v>
      </c>
      <c r="E275" s="22" t="s">
        <v>944</v>
      </c>
      <c r="F275" s="22" t="s">
        <v>557</v>
      </c>
      <c r="G275" s="23" t="s">
        <v>20</v>
      </c>
      <c r="H275" s="22" t="s">
        <v>558</v>
      </c>
      <c r="I275" s="22" t="s">
        <v>559</v>
      </c>
      <c r="J275" s="20"/>
    </row>
    <row r="276" spans="3:10" x14ac:dyDescent="0.25">
      <c r="C276" s="21"/>
      <c r="D276" s="22" t="s">
        <v>945</v>
      </c>
      <c r="E276" s="22" t="s">
        <v>946</v>
      </c>
      <c r="F276" s="22" t="s">
        <v>557</v>
      </c>
      <c r="G276" s="23" t="s">
        <v>20</v>
      </c>
      <c r="H276" s="22" t="s">
        <v>558</v>
      </c>
      <c r="I276" s="22" t="s">
        <v>559</v>
      </c>
      <c r="J276" s="20"/>
    </row>
    <row r="277" spans="3:10" x14ac:dyDescent="0.25">
      <c r="C277" s="21"/>
      <c r="D277" s="22" t="s">
        <v>947</v>
      </c>
      <c r="E277" s="22" t="s">
        <v>948</v>
      </c>
      <c r="F277" s="22" t="s">
        <v>557</v>
      </c>
      <c r="G277" s="24" t="s">
        <v>390</v>
      </c>
      <c r="H277" s="22" t="s">
        <v>558</v>
      </c>
      <c r="I277" s="22" t="s">
        <v>559</v>
      </c>
      <c r="J277" s="20"/>
    </row>
    <row r="278" spans="3:10" x14ac:dyDescent="0.25">
      <c r="C278" s="21"/>
      <c r="D278" s="22" t="s">
        <v>949</v>
      </c>
      <c r="E278" s="22" t="s">
        <v>950</v>
      </c>
      <c r="F278" s="22" t="s">
        <v>557</v>
      </c>
      <c r="G278" s="23" t="s">
        <v>20</v>
      </c>
      <c r="H278" s="22" t="s">
        <v>558</v>
      </c>
      <c r="I278" s="22" t="s">
        <v>559</v>
      </c>
      <c r="J278" s="20"/>
    </row>
    <row r="279" spans="3:10" x14ac:dyDescent="0.25">
      <c r="C279" s="21"/>
      <c r="D279" s="22" t="s">
        <v>354</v>
      </c>
      <c r="E279" s="22" t="s">
        <v>951</v>
      </c>
      <c r="F279" s="22" t="s">
        <v>557</v>
      </c>
      <c r="G279" s="23" t="s">
        <v>20</v>
      </c>
      <c r="H279" s="22" t="s">
        <v>558</v>
      </c>
      <c r="I279" s="22" t="s">
        <v>559</v>
      </c>
      <c r="J279" s="20"/>
    </row>
    <row r="280" spans="3:10" x14ac:dyDescent="0.25">
      <c r="C280" s="21"/>
      <c r="D280" s="22" t="s">
        <v>952</v>
      </c>
      <c r="E280" s="22" t="s">
        <v>953</v>
      </c>
      <c r="F280" s="22" t="s">
        <v>557</v>
      </c>
      <c r="G280" s="23" t="s">
        <v>20</v>
      </c>
      <c r="H280" s="22" t="s">
        <v>558</v>
      </c>
      <c r="I280" s="22" t="s">
        <v>559</v>
      </c>
      <c r="J280" s="20"/>
    </row>
    <row r="281" spans="3:10" x14ac:dyDescent="0.25">
      <c r="C281" s="21"/>
      <c r="D281" s="22" t="s">
        <v>954</v>
      </c>
      <c r="E281" s="22" t="s">
        <v>955</v>
      </c>
      <c r="F281" s="22" t="s">
        <v>644</v>
      </c>
      <c r="G281" s="30" t="s">
        <v>715</v>
      </c>
      <c r="H281" s="22" t="s">
        <v>559</v>
      </c>
      <c r="I281" s="22" t="s">
        <v>559</v>
      </c>
      <c r="J281" s="20"/>
    </row>
    <row r="282" spans="3:10" x14ac:dyDescent="0.25">
      <c r="C282" s="21"/>
      <c r="D282" s="22" t="s">
        <v>956</v>
      </c>
      <c r="E282" s="22" t="s">
        <v>957</v>
      </c>
      <c r="F282" s="22" t="s">
        <v>557</v>
      </c>
      <c r="G282" s="23" t="s">
        <v>20</v>
      </c>
      <c r="H282" s="22" t="s">
        <v>558</v>
      </c>
      <c r="I282" s="22" t="s">
        <v>559</v>
      </c>
      <c r="J282" s="20"/>
    </row>
    <row r="283" spans="3:10" x14ac:dyDescent="0.25">
      <c r="C283" s="21"/>
      <c r="D283" s="22" t="s">
        <v>958</v>
      </c>
      <c r="E283" s="22" t="s">
        <v>959</v>
      </c>
      <c r="F283" s="22" t="s">
        <v>557</v>
      </c>
      <c r="G283" s="24" t="s">
        <v>390</v>
      </c>
      <c r="H283" s="22" t="s">
        <v>558</v>
      </c>
      <c r="I283" s="22" t="s">
        <v>559</v>
      </c>
      <c r="J283" s="20"/>
    </row>
    <row r="284" spans="3:10" x14ac:dyDescent="0.25">
      <c r="C284" s="21"/>
      <c r="D284" s="22" t="s">
        <v>960</v>
      </c>
      <c r="E284" s="22" t="s">
        <v>961</v>
      </c>
      <c r="F284" s="22" t="s">
        <v>557</v>
      </c>
      <c r="G284" s="24" t="s">
        <v>390</v>
      </c>
      <c r="H284" s="22" t="s">
        <v>558</v>
      </c>
      <c r="I284" s="22" t="s">
        <v>559</v>
      </c>
      <c r="J284" s="20"/>
    </row>
    <row r="285" spans="3:10" x14ac:dyDescent="0.25">
      <c r="C285" s="21"/>
      <c r="D285" s="22" t="s">
        <v>445</v>
      </c>
      <c r="E285" s="22" t="s">
        <v>962</v>
      </c>
      <c r="F285" s="22" t="s">
        <v>557</v>
      </c>
      <c r="G285" s="23" t="s">
        <v>20</v>
      </c>
      <c r="H285" s="22" t="s">
        <v>558</v>
      </c>
      <c r="I285" s="22" t="s">
        <v>559</v>
      </c>
      <c r="J285" s="20"/>
    </row>
    <row r="286" spans="3:10" x14ac:dyDescent="0.25">
      <c r="C286" s="21"/>
      <c r="D286" s="22" t="s">
        <v>963</v>
      </c>
      <c r="E286" s="22" t="s">
        <v>964</v>
      </c>
      <c r="F286" s="22" t="s">
        <v>557</v>
      </c>
      <c r="G286" s="23" t="s">
        <v>20</v>
      </c>
      <c r="H286" s="22" t="s">
        <v>558</v>
      </c>
      <c r="I286" s="22" t="s">
        <v>559</v>
      </c>
      <c r="J286" s="20"/>
    </row>
    <row r="287" spans="3:10" x14ac:dyDescent="0.25">
      <c r="C287" s="21"/>
      <c r="D287" s="22" t="s">
        <v>273</v>
      </c>
      <c r="E287" s="22" t="s">
        <v>965</v>
      </c>
      <c r="F287" s="22" t="s">
        <v>557</v>
      </c>
      <c r="G287" s="23" t="s">
        <v>20</v>
      </c>
      <c r="H287" s="22" t="s">
        <v>558</v>
      </c>
      <c r="I287" s="22" t="s">
        <v>559</v>
      </c>
      <c r="J287" s="20"/>
    </row>
    <row r="288" spans="3:10" x14ac:dyDescent="0.25">
      <c r="C288" s="21"/>
      <c r="D288" s="22" t="s">
        <v>358</v>
      </c>
      <c r="E288" s="22" t="s">
        <v>966</v>
      </c>
      <c r="F288" s="22" t="s">
        <v>557</v>
      </c>
      <c r="G288" s="23" t="s">
        <v>20</v>
      </c>
      <c r="H288" s="22" t="s">
        <v>558</v>
      </c>
      <c r="I288" s="22" t="s">
        <v>559</v>
      </c>
      <c r="J288" s="20"/>
    </row>
    <row r="289" spans="3:10" x14ac:dyDescent="0.25">
      <c r="C289" s="21"/>
      <c r="D289" s="22" t="s">
        <v>967</v>
      </c>
      <c r="E289" s="22" t="s">
        <v>968</v>
      </c>
      <c r="F289" s="22" t="s">
        <v>557</v>
      </c>
      <c r="G289" s="23" t="s">
        <v>20</v>
      </c>
      <c r="H289" s="22" t="s">
        <v>558</v>
      </c>
      <c r="I289" s="22" t="s">
        <v>559</v>
      </c>
      <c r="J289" s="20"/>
    </row>
    <row r="290" spans="3:10" x14ac:dyDescent="0.25">
      <c r="C290" s="21"/>
      <c r="D290" s="22" t="s">
        <v>30</v>
      </c>
      <c r="E290" s="22" t="s">
        <v>969</v>
      </c>
      <c r="F290" s="22" t="s">
        <v>557</v>
      </c>
      <c r="G290" s="23" t="s">
        <v>20</v>
      </c>
      <c r="H290" s="22" t="s">
        <v>558</v>
      </c>
      <c r="I290" s="22" t="s">
        <v>559</v>
      </c>
      <c r="J290" s="20"/>
    </row>
    <row r="291" spans="3:10" x14ac:dyDescent="0.25">
      <c r="C291" s="21"/>
      <c r="D291" s="22" t="s">
        <v>170</v>
      </c>
      <c r="E291" s="22" t="s">
        <v>970</v>
      </c>
      <c r="F291" s="22" t="s">
        <v>557</v>
      </c>
      <c r="G291" s="23" t="s">
        <v>20</v>
      </c>
      <c r="H291" s="22" t="s">
        <v>558</v>
      </c>
      <c r="I291" s="22" t="s">
        <v>559</v>
      </c>
      <c r="J291" s="20"/>
    </row>
    <row r="292" spans="3:10" x14ac:dyDescent="0.25">
      <c r="C292" s="21"/>
      <c r="D292" s="22" t="s">
        <v>159</v>
      </c>
      <c r="E292" s="22" t="s">
        <v>971</v>
      </c>
      <c r="F292" s="22" t="s">
        <v>557</v>
      </c>
      <c r="G292" s="23" t="s">
        <v>20</v>
      </c>
      <c r="H292" s="22" t="s">
        <v>558</v>
      </c>
      <c r="I292" s="22" t="s">
        <v>559</v>
      </c>
      <c r="J292" s="20"/>
    </row>
    <row r="293" spans="3:10" x14ac:dyDescent="0.25">
      <c r="C293" s="21"/>
      <c r="D293" s="22" t="s">
        <v>446</v>
      </c>
      <c r="E293" s="22" t="s">
        <v>972</v>
      </c>
      <c r="F293" s="22" t="s">
        <v>557</v>
      </c>
      <c r="G293" s="23" t="s">
        <v>20</v>
      </c>
      <c r="H293" s="22" t="s">
        <v>558</v>
      </c>
      <c r="I293" s="22" t="s">
        <v>559</v>
      </c>
      <c r="J293" s="20"/>
    </row>
    <row r="294" spans="3:10" x14ac:dyDescent="0.25">
      <c r="C294" s="21"/>
      <c r="D294" s="22" t="s">
        <v>107</v>
      </c>
      <c r="E294" s="22" t="s">
        <v>973</v>
      </c>
      <c r="F294" s="22" t="s">
        <v>557</v>
      </c>
      <c r="G294" s="23" t="s">
        <v>20</v>
      </c>
      <c r="H294" s="22" t="s">
        <v>558</v>
      </c>
      <c r="I294" s="22" t="s">
        <v>559</v>
      </c>
      <c r="J294" s="20"/>
    </row>
    <row r="295" spans="3:10" x14ac:dyDescent="0.25">
      <c r="C295" s="21"/>
      <c r="D295" s="22" t="s">
        <v>448</v>
      </c>
      <c r="E295" s="22" t="s">
        <v>974</v>
      </c>
      <c r="F295" s="22" t="s">
        <v>557</v>
      </c>
      <c r="G295" s="23" t="s">
        <v>20</v>
      </c>
      <c r="H295" s="22" t="s">
        <v>558</v>
      </c>
      <c r="I295" s="22" t="s">
        <v>559</v>
      </c>
      <c r="J295" s="20"/>
    </row>
    <row r="296" spans="3:10" x14ac:dyDescent="0.25">
      <c r="C296" s="21"/>
      <c r="D296" s="22" t="s">
        <v>236</v>
      </c>
      <c r="E296" s="22" t="s">
        <v>975</v>
      </c>
      <c r="F296" s="22" t="s">
        <v>557</v>
      </c>
      <c r="G296" s="23" t="s">
        <v>20</v>
      </c>
      <c r="H296" s="22" t="s">
        <v>558</v>
      </c>
      <c r="I296" s="22" t="s">
        <v>559</v>
      </c>
      <c r="J296" s="20"/>
    </row>
    <row r="297" spans="3:10" x14ac:dyDescent="0.25">
      <c r="C297" s="21"/>
      <c r="D297" s="22" t="s">
        <v>224</v>
      </c>
      <c r="E297" s="22" t="s">
        <v>976</v>
      </c>
      <c r="F297" s="22" t="s">
        <v>557</v>
      </c>
      <c r="G297" s="23" t="s">
        <v>20</v>
      </c>
      <c r="H297" s="22" t="s">
        <v>558</v>
      </c>
      <c r="I297" s="22" t="s">
        <v>559</v>
      </c>
      <c r="J297" s="20"/>
    </row>
    <row r="298" spans="3:10" x14ac:dyDescent="0.25">
      <c r="C298" s="21"/>
      <c r="D298" s="22" t="s">
        <v>977</v>
      </c>
      <c r="E298" s="22" t="s">
        <v>978</v>
      </c>
      <c r="F298" s="22" t="s">
        <v>557</v>
      </c>
      <c r="G298" s="23" t="s">
        <v>20</v>
      </c>
      <c r="H298" s="22" t="s">
        <v>558</v>
      </c>
      <c r="I298" s="22" t="s">
        <v>559</v>
      </c>
      <c r="J298" s="20"/>
    </row>
    <row r="299" spans="3:10" x14ac:dyDescent="0.25">
      <c r="C299" s="21"/>
      <c r="D299" s="22" t="s">
        <v>370</v>
      </c>
      <c r="E299" s="22" t="s">
        <v>979</v>
      </c>
      <c r="F299" s="22" t="s">
        <v>557</v>
      </c>
      <c r="G299" s="23" t="s">
        <v>20</v>
      </c>
      <c r="H299" s="22" t="s">
        <v>558</v>
      </c>
      <c r="I299" s="22" t="s">
        <v>559</v>
      </c>
      <c r="J299" s="20"/>
    </row>
    <row r="300" spans="3:10" x14ac:dyDescent="0.25">
      <c r="C300" s="21"/>
      <c r="D300" s="22" t="s">
        <v>980</v>
      </c>
      <c r="E300" s="22" t="s">
        <v>981</v>
      </c>
      <c r="F300" s="22" t="s">
        <v>557</v>
      </c>
      <c r="G300" s="32" t="s">
        <v>982</v>
      </c>
      <c r="H300" s="22" t="s">
        <v>558</v>
      </c>
      <c r="I300" s="22" t="s">
        <v>559</v>
      </c>
      <c r="J300" s="20"/>
    </row>
    <row r="301" spans="3:10" x14ac:dyDescent="0.25">
      <c r="C301" s="21"/>
      <c r="D301" s="22" t="s">
        <v>367</v>
      </c>
      <c r="E301" s="22" t="s">
        <v>983</v>
      </c>
      <c r="F301" s="22" t="s">
        <v>557</v>
      </c>
      <c r="G301" s="23" t="s">
        <v>20</v>
      </c>
      <c r="H301" s="22" t="s">
        <v>558</v>
      </c>
      <c r="I301" s="22" t="s">
        <v>559</v>
      </c>
      <c r="J301" s="20"/>
    </row>
    <row r="302" spans="3:10" x14ac:dyDescent="0.25">
      <c r="C302" s="21"/>
      <c r="D302" s="22" t="s">
        <v>984</v>
      </c>
      <c r="E302" s="22" t="s">
        <v>985</v>
      </c>
      <c r="F302" s="22" t="s">
        <v>557</v>
      </c>
      <c r="G302" s="23" t="s">
        <v>20</v>
      </c>
      <c r="H302" s="22" t="s">
        <v>558</v>
      </c>
      <c r="I302" s="22" t="s">
        <v>559</v>
      </c>
      <c r="J302" s="20"/>
    </row>
    <row r="303" spans="3:10" x14ac:dyDescent="0.25">
      <c r="C303" s="21"/>
      <c r="D303" s="22" t="s">
        <v>311</v>
      </c>
      <c r="E303" s="22" t="s">
        <v>986</v>
      </c>
      <c r="F303" s="22" t="s">
        <v>557</v>
      </c>
      <c r="G303" s="23" t="s">
        <v>20</v>
      </c>
      <c r="H303" s="22" t="s">
        <v>558</v>
      </c>
      <c r="I303" s="22" t="s">
        <v>559</v>
      </c>
      <c r="J303" s="20"/>
    </row>
    <row r="304" spans="3:10" x14ac:dyDescent="0.25">
      <c r="C304" s="21"/>
      <c r="D304" s="22" t="s">
        <v>323</v>
      </c>
      <c r="E304" s="22" t="s">
        <v>987</v>
      </c>
      <c r="F304" s="22" t="s">
        <v>557</v>
      </c>
      <c r="G304" s="23" t="s">
        <v>20</v>
      </c>
      <c r="H304" s="22" t="s">
        <v>558</v>
      </c>
      <c r="I304" s="22" t="s">
        <v>559</v>
      </c>
      <c r="J304" s="20"/>
    </row>
    <row r="305" spans="3:10" x14ac:dyDescent="0.25">
      <c r="C305" s="27"/>
      <c r="D305" s="28" t="s">
        <v>364</v>
      </c>
      <c r="E305" s="28" t="s">
        <v>988</v>
      </c>
      <c r="F305" s="28" t="s">
        <v>557</v>
      </c>
      <c r="G305" s="29" t="s">
        <v>20</v>
      </c>
      <c r="H305" s="28" t="s">
        <v>558</v>
      </c>
      <c r="I305" s="28" t="s">
        <v>559</v>
      </c>
      <c r="J305" s="26"/>
    </row>
    <row r="306" spans="3:10" x14ac:dyDescent="0.25">
      <c r="C306" s="21"/>
      <c r="D306" s="22" t="s">
        <v>989</v>
      </c>
      <c r="E306" s="22" t="s">
        <v>990</v>
      </c>
      <c r="F306" s="22" t="s">
        <v>557</v>
      </c>
      <c r="G306" s="23" t="s">
        <v>20</v>
      </c>
      <c r="H306" s="22" t="s">
        <v>558</v>
      </c>
      <c r="I306" s="22" t="s">
        <v>559</v>
      </c>
      <c r="J306" s="20"/>
    </row>
    <row r="307" spans="3:10" x14ac:dyDescent="0.25">
      <c r="C307" s="21"/>
      <c r="D307" s="22" t="s">
        <v>450</v>
      </c>
      <c r="E307" s="22" t="s">
        <v>991</v>
      </c>
      <c r="F307" s="22" t="s">
        <v>557</v>
      </c>
      <c r="G307" s="23" t="s">
        <v>20</v>
      </c>
      <c r="H307" s="22" t="s">
        <v>558</v>
      </c>
      <c r="I307" s="22" t="s">
        <v>559</v>
      </c>
      <c r="J307" s="20"/>
    </row>
    <row r="308" spans="3:10" x14ac:dyDescent="0.25">
      <c r="C308" s="21"/>
      <c r="D308" s="22" t="s">
        <v>307</v>
      </c>
      <c r="E308" s="22" t="s">
        <v>992</v>
      </c>
      <c r="F308" s="22" t="s">
        <v>557</v>
      </c>
      <c r="G308" s="23" t="s">
        <v>20</v>
      </c>
      <c r="H308" s="22" t="s">
        <v>558</v>
      </c>
      <c r="I308" s="22" t="s">
        <v>559</v>
      </c>
      <c r="J308" s="20"/>
    </row>
    <row r="309" spans="3:10" x14ac:dyDescent="0.25">
      <c r="C309" s="21"/>
      <c r="D309" s="22" t="s">
        <v>993</v>
      </c>
      <c r="E309" s="22" t="s">
        <v>994</v>
      </c>
      <c r="F309" s="22" t="s">
        <v>557</v>
      </c>
      <c r="G309" s="24" t="s">
        <v>390</v>
      </c>
      <c r="H309" s="22" t="s">
        <v>558</v>
      </c>
      <c r="I309" s="22" t="s">
        <v>559</v>
      </c>
      <c r="J309" s="20"/>
    </row>
    <row r="310" spans="3:10" x14ac:dyDescent="0.25">
      <c r="C310" s="21"/>
      <c r="D310" s="22" t="s">
        <v>995</v>
      </c>
      <c r="E310" s="22" t="s">
        <v>996</v>
      </c>
      <c r="F310" s="22" t="s">
        <v>557</v>
      </c>
      <c r="G310" s="25" t="s">
        <v>214</v>
      </c>
      <c r="H310" s="22" t="s">
        <v>558</v>
      </c>
      <c r="I310" s="22" t="s">
        <v>559</v>
      </c>
      <c r="J310" s="20"/>
    </row>
    <row r="311" spans="3:10" x14ac:dyDescent="0.25">
      <c r="C311" s="21"/>
      <c r="D311" s="22" t="s">
        <v>191</v>
      </c>
      <c r="E311" s="22" t="s">
        <v>997</v>
      </c>
      <c r="F311" s="22" t="s">
        <v>557</v>
      </c>
      <c r="G311" s="23" t="s">
        <v>20</v>
      </c>
      <c r="H311" s="22" t="s">
        <v>558</v>
      </c>
      <c r="I311" s="22" t="s">
        <v>559</v>
      </c>
      <c r="J311" s="20"/>
    </row>
    <row r="312" spans="3:10" x14ac:dyDescent="0.25">
      <c r="C312" s="21"/>
      <c r="D312" s="22" t="s">
        <v>218</v>
      </c>
      <c r="E312" s="22" t="s">
        <v>998</v>
      </c>
      <c r="F312" s="22" t="s">
        <v>557</v>
      </c>
      <c r="G312" s="23" t="s">
        <v>20</v>
      </c>
      <c r="H312" s="22" t="s">
        <v>558</v>
      </c>
      <c r="I312" s="22" t="s">
        <v>559</v>
      </c>
      <c r="J312" s="20"/>
    </row>
    <row r="313" spans="3:10" x14ac:dyDescent="0.25">
      <c r="C313" s="21"/>
      <c r="D313" s="22" t="s">
        <v>15</v>
      </c>
      <c r="E313" s="22" t="s">
        <v>999</v>
      </c>
      <c r="F313" s="22" t="s">
        <v>557</v>
      </c>
      <c r="G313" s="23" t="s">
        <v>20</v>
      </c>
      <c r="H313" s="22" t="s">
        <v>558</v>
      </c>
      <c r="I313" s="22" t="s">
        <v>559</v>
      </c>
      <c r="J313" s="20"/>
    </row>
    <row r="314" spans="3:10" x14ac:dyDescent="0.25">
      <c r="C314" s="21"/>
      <c r="D314" s="22" t="s">
        <v>291</v>
      </c>
      <c r="E314" s="22" t="s">
        <v>1000</v>
      </c>
      <c r="F314" s="22" t="s">
        <v>557</v>
      </c>
      <c r="G314" s="25" t="s">
        <v>214</v>
      </c>
      <c r="H314" s="22" t="s">
        <v>558</v>
      </c>
      <c r="I314" s="22" t="s">
        <v>559</v>
      </c>
      <c r="J314" s="20"/>
    </row>
    <row r="315" spans="3:10" x14ac:dyDescent="0.25">
      <c r="C315" s="21"/>
      <c r="D315" s="22" t="s">
        <v>1001</v>
      </c>
      <c r="E315" s="22" t="s">
        <v>1002</v>
      </c>
      <c r="F315" s="22" t="s">
        <v>557</v>
      </c>
      <c r="G315" s="23" t="s">
        <v>20</v>
      </c>
      <c r="H315" s="22" t="s">
        <v>558</v>
      </c>
      <c r="I315" s="22" t="s">
        <v>559</v>
      </c>
      <c r="J315" s="20"/>
    </row>
    <row r="316" spans="3:10" x14ac:dyDescent="0.25">
      <c r="C316" s="21"/>
      <c r="D316" s="22" t="s">
        <v>1003</v>
      </c>
      <c r="E316" s="22" t="s">
        <v>1004</v>
      </c>
      <c r="F316" s="22" t="s">
        <v>557</v>
      </c>
      <c r="G316" s="24" t="s">
        <v>390</v>
      </c>
      <c r="H316" s="22" t="s">
        <v>558</v>
      </c>
      <c r="I316" s="22" t="s">
        <v>559</v>
      </c>
      <c r="J316" s="20"/>
    </row>
    <row r="317" spans="3:10" x14ac:dyDescent="0.25">
      <c r="C317" s="21"/>
      <c r="D317" s="22" t="s">
        <v>1005</v>
      </c>
      <c r="E317" s="22" t="s">
        <v>1006</v>
      </c>
      <c r="F317" s="22" t="s">
        <v>557</v>
      </c>
      <c r="G317" s="23" t="s">
        <v>20</v>
      </c>
      <c r="H317" s="22" t="s">
        <v>558</v>
      </c>
      <c r="I317" s="22" t="s">
        <v>559</v>
      </c>
      <c r="J317" s="20"/>
    </row>
    <row r="318" spans="3:10" x14ac:dyDescent="0.25">
      <c r="C318" s="21"/>
      <c r="D318" s="22" t="s">
        <v>306</v>
      </c>
      <c r="E318" s="22" t="s">
        <v>1007</v>
      </c>
      <c r="F318" s="22" t="s">
        <v>557</v>
      </c>
      <c r="G318" s="23" t="s">
        <v>20</v>
      </c>
      <c r="H318" s="22" t="s">
        <v>558</v>
      </c>
      <c r="I318" s="22" t="s">
        <v>559</v>
      </c>
      <c r="J318" s="20"/>
    </row>
    <row r="319" spans="3:10" x14ac:dyDescent="0.25">
      <c r="C319" s="21"/>
      <c r="D319" s="22" t="s">
        <v>1008</v>
      </c>
      <c r="E319" s="22" t="s">
        <v>1009</v>
      </c>
      <c r="F319" s="22" t="s">
        <v>557</v>
      </c>
      <c r="G319" s="23" t="s">
        <v>20</v>
      </c>
      <c r="H319" s="22" t="s">
        <v>558</v>
      </c>
      <c r="I319" s="22" t="s">
        <v>559</v>
      </c>
      <c r="J319" s="20"/>
    </row>
    <row r="320" spans="3:10" x14ac:dyDescent="0.25">
      <c r="C320" s="21"/>
      <c r="D320" s="22" t="s">
        <v>190</v>
      </c>
      <c r="E320" s="22" t="s">
        <v>1010</v>
      </c>
      <c r="F320" s="22" t="s">
        <v>557</v>
      </c>
      <c r="G320" s="23" t="s">
        <v>20</v>
      </c>
      <c r="H320" s="22" t="s">
        <v>558</v>
      </c>
      <c r="I320" s="22" t="s">
        <v>559</v>
      </c>
      <c r="J320" s="20"/>
    </row>
    <row r="321" spans="3:10" x14ac:dyDescent="0.25">
      <c r="C321" s="21"/>
      <c r="D321" s="22" t="s">
        <v>451</v>
      </c>
      <c r="E321" s="22" t="s">
        <v>1011</v>
      </c>
      <c r="F321" s="22" t="s">
        <v>557</v>
      </c>
      <c r="G321" s="23" t="s">
        <v>20</v>
      </c>
      <c r="H321" s="22" t="s">
        <v>558</v>
      </c>
      <c r="I321" s="22" t="s">
        <v>559</v>
      </c>
      <c r="J321" s="20"/>
    </row>
    <row r="322" spans="3:10" x14ac:dyDescent="0.25">
      <c r="C322" s="21"/>
      <c r="D322" s="22" t="s">
        <v>452</v>
      </c>
      <c r="E322" s="22" t="s">
        <v>1012</v>
      </c>
      <c r="F322" s="22" t="s">
        <v>557</v>
      </c>
      <c r="G322" s="23" t="s">
        <v>20</v>
      </c>
      <c r="H322" s="22" t="s">
        <v>558</v>
      </c>
      <c r="I322" s="22" t="s">
        <v>559</v>
      </c>
      <c r="J322" s="20"/>
    </row>
    <row r="323" spans="3:10" x14ac:dyDescent="0.25">
      <c r="C323" s="21"/>
      <c r="D323" s="22" t="s">
        <v>545</v>
      </c>
      <c r="E323" s="22" t="s">
        <v>1013</v>
      </c>
      <c r="F323" s="22" t="s">
        <v>557</v>
      </c>
      <c r="G323" s="23" t="s">
        <v>20</v>
      </c>
      <c r="H323" s="22" t="s">
        <v>558</v>
      </c>
      <c r="I323" s="22" t="s">
        <v>559</v>
      </c>
      <c r="J323" s="20"/>
    </row>
    <row r="324" spans="3:10" x14ac:dyDescent="0.25">
      <c r="C324" s="21"/>
      <c r="D324" s="22" t="s">
        <v>341</v>
      </c>
      <c r="E324" s="22" t="s">
        <v>1014</v>
      </c>
      <c r="F324" s="22" t="s">
        <v>557</v>
      </c>
      <c r="G324" s="23" t="s">
        <v>20</v>
      </c>
      <c r="H324" s="22" t="s">
        <v>558</v>
      </c>
      <c r="I324" s="22" t="s">
        <v>559</v>
      </c>
      <c r="J324" s="20"/>
    </row>
    <row r="325" spans="3:10" x14ac:dyDescent="0.25">
      <c r="C325" s="21"/>
      <c r="D325" s="22" t="s">
        <v>250</v>
      </c>
      <c r="E325" s="22" t="s">
        <v>1015</v>
      </c>
      <c r="F325" s="22" t="s">
        <v>557</v>
      </c>
      <c r="G325" s="23" t="s">
        <v>20</v>
      </c>
      <c r="H325" s="22" t="s">
        <v>558</v>
      </c>
      <c r="I325" s="22" t="s">
        <v>559</v>
      </c>
      <c r="J325" s="20"/>
    </row>
    <row r="326" spans="3:10" x14ac:dyDescent="0.25">
      <c r="C326" s="21"/>
      <c r="D326" s="22" t="s">
        <v>454</v>
      </c>
      <c r="E326" s="22" t="s">
        <v>1016</v>
      </c>
      <c r="F326" s="22" t="s">
        <v>557</v>
      </c>
      <c r="G326" s="23" t="s">
        <v>20</v>
      </c>
      <c r="H326" s="22" t="s">
        <v>558</v>
      </c>
      <c r="I326" s="22" t="s">
        <v>559</v>
      </c>
      <c r="J326" s="20"/>
    </row>
    <row r="327" spans="3:10" x14ac:dyDescent="0.25">
      <c r="C327" s="21"/>
      <c r="D327" s="22" t="s">
        <v>1017</v>
      </c>
      <c r="E327" s="22" t="s">
        <v>1018</v>
      </c>
      <c r="F327" s="22" t="s">
        <v>557</v>
      </c>
      <c r="G327" s="23" t="s">
        <v>20</v>
      </c>
      <c r="H327" s="22" t="s">
        <v>558</v>
      </c>
      <c r="I327" s="22" t="s">
        <v>559</v>
      </c>
      <c r="J327" s="20"/>
    </row>
    <row r="328" spans="3:10" x14ac:dyDescent="0.25">
      <c r="C328" s="21"/>
      <c r="D328" s="22" t="s">
        <v>456</v>
      </c>
      <c r="E328" s="22" t="s">
        <v>1019</v>
      </c>
      <c r="F328" s="22" t="s">
        <v>557</v>
      </c>
      <c r="G328" s="23" t="s">
        <v>20</v>
      </c>
      <c r="H328" s="22" t="s">
        <v>558</v>
      </c>
      <c r="I328" s="22" t="s">
        <v>559</v>
      </c>
      <c r="J328" s="20"/>
    </row>
    <row r="329" spans="3:10" x14ac:dyDescent="0.25">
      <c r="C329" s="21"/>
      <c r="D329" s="22" t="s">
        <v>313</v>
      </c>
      <c r="E329" s="22" t="s">
        <v>1020</v>
      </c>
      <c r="F329" s="22" t="s">
        <v>557</v>
      </c>
      <c r="G329" s="23" t="s">
        <v>20</v>
      </c>
      <c r="H329" s="22" t="s">
        <v>558</v>
      </c>
      <c r="I329" s="22" t="s">
        <v>559</v>
      </c>
      <c r="J329" s="20"/>
    </row>
    <row r="330" spans="3:10" x14ac:dyDescent="0.25">
      <c r="C330" s="21"/>
      <c r="D330" s="22" t="s">
        <v>1021</v>
      </c>
      <c r="E330" s="22" t="s">
        <v>1022</v>
      </c>
      <c r="F330" s="22" t="s">
        <v>557</v>
      </c>
      <c r="G330" s="24" t="s">
        <v>390</v>
      </c>
      <c r="H330" s="22" t="s">
        <v>558</v>
      </c>
      <c r="I330" s="22" t="s">
        <v>559</v>
      </c>
      <c r="J330" s="20"/>
    </row>
    <row r="331" spans="3:10" x14ac:dyDescent="0.25">
      <c r="C331" s="21"/>
      <c r="D331" s="22" t="s">
        <v>187</v>
      </c>
      <c r="E331" s="22" t="s">
        <v>1023</v>
      </c>
      <c r="F331" s="22" t="s">
        <v>557</v>
      </c>
      <c r="G331" s="23" t="s">
        <v>20</v>
      </c>
      <c r="H331" s="22" t="s">
        <v>558</v>
      </c>
      <c r="I331" s="22" t="s">
        <v>559</v>
      </c>
      <c r="J331" s="20"/>
    </row>
    <row r="332" spans="3:10" x14ac:dyDescent="0.25">
      <c r="C332" s="21"/>
      <c r="D332" s="22" t="s">
        <v>372</v>
      </c>
      <c r="E332" s="22" t="s">
        <v>1024</v>
      </c>
      <c r="F332" s="22" t="s">
        <v>557</v>
      </c>
      <c r="G332" s="23" t="s">
        <v>20</v>
      </c>
      <c r="H332" s="22" t="s">
        <v>558</v>
      </c>
      <c r="I332" s="22" t="s">
        <v>559</v>
      </c>
      <c r="J332" s="20"/>
    </row>
    <row r="333" spans="3:10" x14ac:dyDescent="0.25">
      <c r="C333" s="21"/>
      <c r="D333" s="22" t="s">
        <v>1025</v>
      </c>
      <c r="E333" s="22" t="s">
        <v>1026</v>
      </c>
      <c r="F333" s="22" t="s">
        <v>557</v>
      </c>
      <c r="G333" s="23" t="s">
        <v>20</v>
      </c>
      <c r="H333" s="22" t="s">
        <v>558</v>
      </c>
      <c r="I333" s="22" t="s">
        <v>559</v>
      </c>
      <c r="J333" s="20"/>
    </row>
    <row r="334" spans="3:10" x14ac:dyDescent="0.25">
      <c r="C334" s="21"/>
      <c r="D334" s="22" t="s">
        <v>1027</v>
      </c>
      <c r="E334" s="22" t="s">
        <v>1028</v>
      </c>
      <c r="F334" s="22" t="s">
        <v>557</v>
      </c>
      <c r="G334" s="30" t="s">
        <v>715</v>
      </c>
      <c r="H334" s="22" t="s">
        <v>559</v>
      </c>
      <c r="I334" s="22" t="s">
        <v>559</v>
      </c>
      <c r="J334" s="20"/>
    </row>
    <row r="335" spans="3:10" x14ac:dyDescent="0.25">
      <c r="C335" s="21"/>
      <c r="D335" s="22" t="s">
        <v>1029</v>
      </c>
      <c r="E335" s="22" t="s">
        <v>1030</v>
      </c>
      <c r="F335" s="22" t="s">
        <v>644</v>
      </c>
      <c r="G335" s="24" t="s">
        <v>390</v>
      </c>
      <c r="H335" s="22" t="s">
        <v>558</v>
      </c>
      <c r="I335" s="22" t="s">
        <v>645</v>
      </c>
      <c r="J335" s="20"/>
    </row>
    <row r="336" spans="3:10" x14ac:dyDescent="0.25">
      <c r="C336" s="21"/>
      <c r="D336" s="22" t="s">
        <v>1031</v>
      </c>
      <c r="E336" s="22" t="s">
        <v>1032</v>
      </c>
      <c r="F336" s="22" t="s">
        <v>557</v>
      </c>
      <c r="G336" s="23" t="s">
        <v>20</v>
      </c>
      <c r="H336" s="22" t="s">
        <v>558</v>
      </c>
      <c r="I336" s="22" t="s">
        <v>559</v>
      </c>
      <c r="J336" s="20"/>
    </row>
    <row r="337" spans="3:10" x14ac:dyDescent="0.25">
      <c r="C337" s="21"/>
      <c r="D337" s="22" t="s">
        <v>1033</v>
      </c>
      <c r="E337" s="22" t="s">
        <v>1034</v>
      </c>
      <c r="F337" s="22" t="s">
        <v>557</v>
      </c>
      <c r="G337" s="23" t="s">
        <v>20</v>
      </c>
      <c r="H337" s="22" t="s">
        <v>558</v>
      </c>
      <c r="I337" s="22" t="s">
        <v>559</v>
      </c>
      <c r="J337" s="20"/>
    </row>
    <row r="338" spans="3:10" x14ac:dyDescent="0.25">
      <c r="C338" s="21"/>
      <c r="D338" s="22" t="s">
        <v>1035</v>
      </c>
      <c r="E338" s="22" t="s">
        <v>1036</v>
      </c>
      <c r="F338" s="22" t="s">
        <v>557</v>
      </c>
      <c r="G338" s="23" t="s">
        <v>20</v>
      </c>
      <c r="H338" s="22" t="s">
        <v>558</v>
      </c>
      <c r="I338" s="22" t="s">
        <v>559</v>
      </c>
      <c r="J338" s="20"/>
    </row>
    <row r="339" spans="3:10" x14ac:dyDescent="0.25">
      <c r="C339" s="21"/>
      <c r="D339" s="22" t="s">
        <v>1037</v>
      </c>
      <c r="E339" s="22" t="s">
        <v>1038</v>
      </c>
      <c r="F339" s="22" t="s">
        <v>557</v>
      </c>
      <c r="G339" s="24" t="s">
        <v>390</v>
      </c>
      <c r="H339" s="22" t="s">
        <v>558</v>
      </c>
      <c r="I339" s="22" t="s">
        <v>559</v>
      </c>
      <c r="J339" s="20"/>
    </row>
    <row r="340" spans="3:10" x14ac:dyDescent="0.25">
      <c r="C340" s="21"/>
      <c r="D340" s="22" t="s">
        <v>317</v>
      </c>
      <c r="E340" s="22" t="s">
        <v>1039</v>
      </c>
      <c r="F340" s="22" t="s">
        <v>557</v>
      </c>
      <c r="G340" s="23" t="s">
        <v>20</v>
      </c>
      <c r="H340" s="22" t="s">
        <v>558</v>
      </c>
      <c r="I340" s="22" t="s">
        <v>559</v>
      </c>
      <c r="J340" s="20"/>
    </row>
    <row r="341" spans="3:10" x14ac:dyDescent="0.25">
      <c r="C341" s="21"/>
      <c r="D341" s="22" t="s">
        <v>1040</v>
      </c>
      <c r="E341" s="22" t="s">
        <v>1041</v>
      </c>
      <c r="F341" s="22" t="s">
        <v>557</v>
      </c>
      <c r="G341" s="24" t="s">
        <v>390</v>
      </c>
      <c r="H341" s="22" t="s">
        <v>558</v>
      </c>
      <c r="I341" s="22" t="s">
        <v>559</v>
      </c>
      <c r="J341" s="20"/>
    </row>
    <row r="342" spans="3:10" x14ac:dyDescent="0.25">
      <c r="C342" s="21"/>
      <c r="D342" s="22" t="s">
        <v>1042</v>
      </c>
      <c r="E342" s="22" t="s">
        <v>1043</v>
      </c>
      <c r="F342" s="22" t="s">
        <v>557</v>
      </c>
      <c r="G342" s="23" t="s">
        <v>20</v>
      </c>
      <c r="H342" s="22" t="s">
        <v>558</v>
      </c>
      <c r="I342" s="22" t="s">
        <v>559</v>
      </c>
      <c r="J342" s="20"/>
    </row>
    <row r="343" spans="3:10" x14ac:dyDescent="0.25">
      <c r="C343" s="21"/>
      <c r="D343" s="22" t="s">
        <v>536</v>
      </c>
      <c r="E343" s="22" t="s">
        <v>1044</v>
      </c>
      <c r="F343" s="22" t="s">
        <v>557</v>
      </c>
      <c r="G343" s="23" t="s">
        <v>20</v>
      </c>
      <c r="H343" s="22" t="s">
        <v>558</v>
      </c>
      <c r="I343" s="22" t="s">
        <v>559</v>
      </c>
      <c r="J343" s="20"/>
    </row>
    <row r="344" spans="3:10" x14ac:dyDescent="0.25">
      <c r="C344" s="21"/>
      <c r="D344" s="22" t="s">
        <v>124</v>
      </c>
      <c r="E344" s="22" t="s">
        <v>1045</v>
      </c>
      <c r="F344" s="22" t="s">
        <v>557</v>
      </c>
      <c r="G344" s="23" t="s">
        <v>20</v>
      </c>
      <c r="H344" s="22" t="s">
        <v>558</v>
      </c>
      <c r="I344" s="22" t="s">
        <v>559</v>
      </c>
      <c r="J344" s="20"/>
    </row>
    <row r="345" spans="3:10" x14ac:dyDescent="0.25">
      <c r="C345" s="21"/>
      <c r="D345" s="22" t="s">
        <v>457</v>
      </c>
      <c r="E345" s="22" t="s">
        <v>1046</v>
      </c>
      <c r="F345" s="22" t="s">
        <v>568</v>
      </c>
      <c r="G345" s="23" t="s">
        <v>20</v>
      </c>
      <c r="H345" s="22" t="s">
        <v>558</v>
      </c>
      <c r="I345" s="22" t="s">
        <v>559</v>
      </c>
      <c r="J345" s="20"/>
    </row>
    <row r="346" spans="3:10" x14ac:dyDescent="0.25">
      <c r="C346" s="21"/>
      <c r="D346" s="22" t="s">
        <v>280</v>
      </c>
      <c r="E346" s="22" t="s">
        <v>1047</v>
      </c>
      <c r="F346" s="22" t="s">
        <v>557</v>
      </c>
      <c r="G346" s="23" t="s">
        <v>20</v>
      </c>
      <c r="H346" s="22" t="s">
        <v>558</v>
      </c>
      <c r="I346" s="22" t="s">
        <v>559</v>
      </c>
      <c r="J346" s="20"/>
    </row>
    <row r="347" spans="3:10" x14ac:dyDescent="0.25">
      <c r="C347" s="21"/>
      <c r="D347" s="22" t="s">
        <v>1048</v>
      </c>
      <c r="E347" s="22" t="s">
        <v>1049</v>
      </c>
      <c r="F347" s="22" t="s">
        <v>557</v>
      </c>
      <c r="G347" s="23" t="s">
        <v>20</v>
      </c>
      <c r="H347" s="22" t="s">
        <v>558</v>
      </c>
      <c r="I347" s="22" t="s">
        <v>559</v>
      </c>
      <c r="J347" s="20"/>
    </row>
    <row r="348" spans="3:10" x14ac:dyDescent="0.25">
      <c r="C348" s="21"/>
      <c r="D348" s="22" t="s">
        <v>458</v>
      </c>
      <c r="E348" s="22" t="s">
        <v>1050</v>
      </c>
      <c r="F348" s="22" t="s">
        <v>557</v>
      </c>
      <c r="G348" s="23" t="s">
        <v>20</v>
      </c>
      <c r="H348" s="22" t="s">
        <v>558</v>
      </c>
      <c r="I348" s="22" t="s">
        <v>559</v>
      </c>
      <c r="J348" s="20"/>
    </row>
    <row r="349" spans="3:10" x14ac:dyDescent="0.25">
      <c r="C349" s="21"/>
      <c r="D349" s="22" t="s">
        <v>1051</v>
      </c>
      <c r="E349" s="22" t="s">
        <v>1052</v>
      </c>
      <c r="F349" s="22" t="s">
        <v>557</v>
      </c>
      <c r="G349" s="24" t="s">
        <v>390</v>
      </c>
      <c r="H349" s="22" t="s">
        <v>558</v>
      </c>
      <c r="I349" s="22" t="s">
        <v>559</v>
      </c>
      <c r="J349" s="20"/>
    </row>
    <row r="350" spans="3:10" x14ac:dyDescent="0.25">
      <c r="C350" s="21"/>
      <c r="D350" s="22" t="s">
        <v>356</v>
      </c>
      <c r="E350" s="22" t="s">
        <v>1053</v>
      </c>
      <c r="F350" s="22" t="s">
        <v>557</v>
      </c>
      <c r="G350" s="23" t="s">
        <v>20</v>
      </c>
      <c r="H350" s="22" t="s">
        <v>558</v>
      </c>
      <c r="I350" s="22" t="s">
        <v>559</v>
      </c>
      <c r="J350" s="20"/>
    </row>
    <row r="351" spans="3:10" x14ac:dyDescent="0.25">
      <c r="C351" s="21"/>
      <c r="D351" s="22" t="s">
        <v>1054</v>
      </c>
      <c r="E351" s="22" t="s">
        <v>1055</v>
      </c>
      <c r="F351" s="22" t="s">
        <v>568</v>
      </c>
      <c r="G351" s="25" t="s">
        <v>214</v>
      </c>
      <c r="H351" s="22" t="s">
        <v>558</v>
      </c>
      <c r="I351" s="22" t="s">
        <v>559</v>
      </c>
      <c r="J351" s="20"/>
    </row>
    <row r="352" spans="3:10" x14ac:dyDescent="0.25">
      <c r="C352" s="21"/>
      <c r="D352" s="22" t="s">
        <v>131</v>
      </c>
      <c r="E352" s="22" t="s">
        <v>1056</v>
      </c>
      <c r="F352" s="22" t="s">
        <v>557</v>
      </c>
      <c r="G352" s="23" t="s">
        <v>20</v>
      </c>
      <c r="H352" s="22" t="s">
        <v>558</v>
      </c>
      <c r="I352" s="22" t="s">
        <v>559</v>
      </c>
      <c r="J352" s="20"/>
    </row>
    <row r="353" spans="3:10" x14ac:dyDescent="0.25">
      <c r="C353" s="21"/>
      <c r="D353" s="22" t="s">
        <v>1057</v>
      </c>
      <c r="E353" s="22" t="s">
        <v>1058</v>
      </c>
      <c r="F353" s="22" t="s">
        <v>557</v>
      </c>
      <c r="G353" s="24" t="s">
        <v>390</v>
      </c>
      <c r="H353" s="22" t="s">
        <v>558</v>
      </c>
      <c r="I353" s="22" t="s">
        <v>559</v>
      </c>
      <c r="J353" s="20"/>
    </row>
    <row r="354" spans="3:10" x14ac:dyDescent="0.25">
      <c r="C354" s="21"/>
      <c r="D354" s="22" t="s">
        <v>292</v>
      </c>
      <c r="E354" s="22" t="s">
        <v>1059</v>
      </c>
      <c r="F354" s="22" t="s">
        <v>557</v>
      </c>
      <c r="G354" s="23" t="s">
        <v>20</v>
      </c>
      <c r="H354" s="22" t="s">
        <v>558</v>
      </c>
      <c r="I354" s="22" t="s">
        <v>559</v>
      </c>
      <c r="J354" s="20"/>
    </row>
    <row r="355" spans="3:10" x14ac:dyDescent="0.25">
      <c r="C355" s="27"/>
      <c r="D355" s="28" t="s">
        <v>342</v>
      </c>
      <c r="E355" s="28" t="s">
        <v>1060</v>
      </c>
      <c r="F355" s="28" t="s">
        <v>557</v>
      </c>
      <c r="G355" s="29" t="s">
        <v>20</v>
      </c>
      <c r="H355" s="28" t="s">
        <v>558</v>
      </c>
      <c r="I355" s="28" t="s">
        <v>559</v>
      </c>
      <c r="J355" s="26"/>
    </row>
    <row r="356" spans="3:10" x14ac:dyDescent="0.25">
      <c r="C356" s="21"/>
      <c r="D356" s="22" t="s">
        <v>1061</v>
      </c>
      <c r="E356" s="22" t="s">
        <v>1062</v>
      </c>
      <c r="F356" s="22" t="s">
        <v>557</v>
      </c>
      <c r="G356" s="23" t="s">
        <v>20</v>
      </c>
      <c r="H356" s="22" t="s">
        <v>558</v>
      </c>
      <c r="I356" s="22" t="s">
        <v>559</v>
      </c>
      <c r="J356" s="20"/>
    </row>
    <row r="357" spans="3:10" x14ac:dyDescent="0.25">
      <c r="C357" s="21"/>
      <c r="D357" s="22" t="s">
        <v>178</v>
      </c>
      <c r="E357" s="22" t="s">
        <v>1063</v>
      </c>
      <c r="F357" s="22" t="s">
        <v>557</v>
      </c>
      <c r="G357" s="23" t="s">
        <v>20</v>
      </c>
      <c r="H357" s="22" t="s">
        <v>558</v>
      </c>
      <c r="I357" s="22" t="s">
        <v>559</v>
      </c>
      <c r="J357" s="20"/>
    </row>
    <row r="358" spans="3:10" x14ac:dyDescent="0.25">
      <c r="C358" s="21"/>
      <c r="D358" s="22" t="s">
        <v>459</v>
      </c>
      <c r="E358" s="22" t="s">
        <v>1064</v>
      </c>
      <c r="F358" s="22" t="s">
        <v>557</v>
      </c>
      <c r="G358" s="23" t="s">
        <v>20</v>
      </c>
      <c r="H358" s="22" t="s">
        <v>558</v>
      </c>
      <c r="I358" s="22" t="s">
        <v>559</v>
      </c>
      <c r="J358" s="20"/>
    </row>
    <row r="359" spans="3:10" x14ac:dyDescent="0.25">
      <c r="C359" s="21"/>
      <c r="D359" s="22" t="s">
        <v>1065</v>
      </c>
      <c r="E359" s="22" t="s">
        <v>1066</v>
      </c>
      <c r="F359" s="22" t="s">
        <v>557</v>
      </c>
      <c r="G359" s="25" t="s">
        <v>214</v>
      </c>
      <c r="H359" s="22" t="s">
        <v>558</v>
      </c>
      <c r="I359" s="22" t="s">
        <v>559</v>
      </c>
      <c r="J359" s="20"/>
    </row>
    <row r="360" spans="3:10" x14ac:dyDescent="0.25">
      <c r="C360" s="21"/>
      <c r="D360" s="22" t="s">
        <v>36</v>
      </c>
      <c r="E360" s="22" t="s">
        <v>1067</v>
      </c>
      <c r="F360" s="22" t="s">
        <v>557</v>
      </c>
      <c r="G360" s="23" t="s">
        <v>20</v>
      </c>
      <c r="H360" s="22" t="s">
        <v>558</v>
      </c>
      <c r="I360" s="22" t="s">
        <v>559</v>
      </c>
      <c r="J360" s="20"/>
    </row>
    <row r="361" spans="3:10" x14ac:dyDescent="0.25">
      <c r="C361" s="21"/>
      <c r="D361" s="22" t="s">
        <v>460</v>
      </c>
      <c r="E361" s="22" t="s">
        <v>1068</v>
      </c>
      <c r="F361" s="22" t="s">
        <v>557</v>
      </c>
      <c r="G361" s="23" t="s">
        <v>20</v>
      </c>
      <c r="H361" s="22" t="s">
        <v>558</v>
      </c>
      <c r="I361" s="22" t="s">
        <v>559</v>
      </c>
      <c r="J361" s="20"/>
    </row>
    <row r="362" spans="3:10" x14ac:dyDescent="0.25">
      <c r="C362" s="21"/>
      <c r="D362" s="22" t="s">
        <v>23</v>
      </c>
      <c r="E362" s="22" t="s">
        <v>1069</v>
      </c>
      <c r="F362" s="22" t="s">
        <v>568</v>
      </c>
      <c r="G362" s="23" t="s">
        <v>20</v>
      </c>
      <c r="H362" s="22" t="s">
        <v>558</v>
      </c>
      <c r="I362" s="22" t="s">
        <v>559</v>
      </c>
      <c r="J362" s="20"/>
    </row>
    <row r="363" spans="3:10" x14ac:dyDescent="0.25">
      <c r="C363" s="21"/>
      <c r="D363" s="22" t="s">
        <v>95</v>
      </c>
      <c r="E363" s="22" t="s">
        <v>1070</v>
      </c>
      <c r="F363" s="22" t="s">
        <v>568</v>
      </c>
      <c r="G363" s="23" t="s">
        <v>20</v>
      </c>
      <c r="H363" s="22" t="s">
        <v>558</v>
      </c>
      <c r="I363" s="22" t="s">
        <v>559</v>
      </c>
      <c r="J363" s="20"/>
    </row>
    <row r="364" spans="3:10" x14ac:dyDescent="0.25">
      <c r="C364" s="21"/>
      <c r="D364" s="22" t="s">
        <v>244</v>
      </c>
      <c r="E364" s="22" t="s">
        <v>1071</v>
      </c>
      <c r="F364" s="22" t="s">
        <v>568</v>
      </c>
      <c r="G364" s="23" t="s">
        <v>20</v>
      </c>
      <c r="H364" s="22" t="s">
        <v>558</v>
      </c>
      <c r="I364" s="22" t="s">
        <v>559</v>
      </c>
      <c r="J364" s="20"/>
    </row>
    <row r="365" spans="3:10" x14ac:dyDescent="0.25">
      <c r="C365" s="21"/>
      <c r="D365" s="22" t="s">
        <v>1072</v>
      </c>
      <c r="E365" s="22" t="s">
        <v>1073</v>
      </c>
      <c r="F365" s="22" t="s">
        <v>557</v>
      </c>
      <c r="G365" s="24" t="s">
        <v>390</v>
      </c>
      <c r="H365" s="22" t="s">
        <v>558</v>
      </c>
      <c r="I365" s="22" t="s">
        <v>559</v>
      </c>
      <c r="J365" s="20"/>
    </row>
    <row r="366" spans="3:10" x14ac:dyDescent="0.25">
      <c r="C366" s="21"/>
      <c r="D366" s="22" t="s">
        <v>1074</v>
      </c>
      <c r="E366" s="22" t="s">
        <v>1075</v>
      </c>
      <c r="F366" s="22" t="s">
        <v>557</v>
      </c>
      <c r="G366" s="24" t="s">
        <v>390</v>
      </c>
      <c r="H366" s="22" t="s">
        <v>558</v>
      </c>
      <c r="I366" s="22" t="s">
        <v>559</v>
      </c>
      <c r="J366" s="20"/>
    </row>
    <row r="367" spans="3:10" x14ac:dyDescent="0.25">
      <c r="C367" s="21"/>
      <c r="D367" s="22" t="s">
        <v>462</v>
      </c>
      <c r="E367" s="22" t="s">
        <v>1076</v>
      </c>
      <c r="F367" s="22" t="s">
        <v>557</v>
      </c>
      <c r="G367" s="23" t="s">
        <v>20</v>
      </c>
      <c r="H367" s="22" t="s">
        <v>558</v>
      </c>
      <c r="I367" s="22" t="s">
        <v>559</v>
      </c>
      <c r="J367" s="20"/>
    </row>
    <row r="368" spans="3:10" x14ac:dyDescent="0.25">
      <c r="C368" s="21"/>
      <c r="D368" s="22" t="s">
        <v>243</v>
      </c>
      <c r="E368" s="22" t="s">
        <v>1077</v>
      </c>
      <c r="F368" s="22" t="s">
        <v>557</v>
      </c>
      <c r="G368" s="23" t="s">
        <v>20</v>
      </c>
      <c r="H368" s="22" t="s">
        <v>558</v>
      </c>
      <c r="I368" s="22" t="s">
        <v>559</v>
      </c>
      <c r="J368" s="20"/>
    </row>
    <row r="369" spans="3:10" x14ac:dyDescent="0.25">
      <c r="C369" s="21"/>
      <c r="D369" s="22" t="s">
        <v>1078</v>
      </c>
      <c r="E369" s="22" t="s">
        <v>1079</v>
      </c>
      <c r="F369" s="22" t="s">
        <v>557</v>
      </c>
      <c r="G369" s="23" t="s">
        <v>20</v>
      </c>
      <c r="H369" s="22" t="s">
        <v>558</v>
      </c>
      <c r="I369" s="22" t="s">
        <v>559</v>
      </c>
      <c r="J369" s="20"/>
    </row>
    <row r="370" spans="3:10" x14ac:dyDescent="0.25">
      <c r="C370" s="21"/>
      <c r="D370" s="22" t="s">
        <v>1080</v>
      </c>
      <c r="E370" s="22" t="s">
        <v>1081</v>
      </c>
      <c r="F370" s="22" t="s">
        <v>557</v>
      </c>
      <c r="G370" s="24" t="s">
        <v>390</v>
      </c>
      <c r="H370" s="22" t="s">
        <v>558</v>
      </c>
      <c r="I370" s="22" t="s">
        <v>559</v>
      </c>
      <c r="J370" s="20"/>
    </row>
    <row r="371" spans="3:10" x14ac:dyDescent="0.25">
      <c r="C371" s="21"/>
      <c r="D371" s="22" t="s">
        <v>1082</v>
      </c>
      <c r="E371" s="22" t="s">
        <v>1083</v>
      </c>
      <c r="F371" s="22" t="s">
        <v>644</v>
      </c>
      <c r="G371" s="23" t="s">
        <v>20</v>
      </c>
      <c r="H371" s="22" t="s">
        <v>558</v>
      </c>
      <c r="I371" s="22" t="s">
        <v>645</v>
      </c>
      <c r="J371" s="20"/>
    </row>
    <row r="372" spans="3:10" x14ac:dyDescent="0.25">
      <c r="C372" s="21"/>
      <c r="D372" s="22" t="s">
        <v>1084</v>
      </c>
      <c r="E372" s="22" t="s">
        <v>1085</v>
      </c>
      <c r="F372" s="22" t="s">
        <v>557</v>
      </c>
      <c r="G372" s="24" t="s">
        <v>390</v>
      </c>
      <c r="H372" s="22" t="s">
        <v>558</v>
      </c>
      <c r="I372" s="22" t="s">
        <v>559</v>
      </c>
      <c r="J372" s="20"/>
    </row>
    <row r="373" spans="3:10" x14ac:dyDescent="0.25">
      <c r="C373" s="21"/>
      <c r="D373" s="22" t="s">
        <v>1086</v>
      </c>
      <c r="E373" s="22" t="s">
        <v>1087</v>
      </c>
      <c r="F373" s="22" t="s">
        <v>557</v>
      </c>
      <c r="G373" s="23" t="s">
        <v>20</v>
      </c>
      <c r="H373" s="22" t="s">
        <v>558</v>
      </c>
      <c r="I373" s="22" t="s">
        <v>559</v>
      </c>
      <c r="J373" s="20"/>
    </row>
    <row r="374" spans="3:10" x14ac:dyDescent="0.25">
      <c r="C374" s="21"/>
      <c r="D374" s="22" t="s">
        <v>1088</v>
      </c>
      <c r="E374" s="22" t="s">
        <v>1089</v>
      </c>
      <c r="F374" s="22" t="s">
        <v>557</v>
      </c>
      <c r="G374" s="23" t="s">
        <v>20</v>
      </c>
      <c r="H374" s="22" t="s">
        <v>558</v>
      </c>
      <c r="I374" s="22" t="s">
        <v>559</v>
      </c>
      <c r="J374" s="20"/>
    </row>
    <row r="375" spans="3:10" x14ac:dyDescent="0.25">
      <c r="C375" s="21"/>
      <c r="D375" s="22" t="s">
        <v>340</v>
      </c>
      <c r="E375" s="22" t="s">
        <v>1090</v>
      </c>
      <c r="F375" s="22" t="s">
        <v>557</v>
      </c>
      <c r="G375" s="23" t="s">
        <v>20</v>
      </c>
      <c r="H375" s="22" t="s">
        <v>558</v>
      </c>
      <c r="I375" s="22" t="s">
        <v>559</v>
      </c>
      <c r="J375" s="20"/>
    </row>
    <row r="376" spans="3:10" x14ac:dyDescent="0.25">
      <c r="C376" s="21"/>
      <c r="D376" s="22" t="s">
        <v>1091</v>
      </c>
      <c r="E376" s="22" t="s">
        <v>1092</v>
      </c>
      <c r="F376" s="22" t="s">
        <v>557</v>
      </c>
      <c r="G376" s="23" t="s">
        <v>20</v>
      </c>
      <c r="H376" s="22" t="s">
        <v>558</v>
      </c>
      <c r="I376" s="22" t="s">
        <v>559</v>
      </c>
      <c r="J376" s="20"/>
    </row>
    <row r="377" spans="3:10" x14ac:dyDescent="0.25">
      <c r="C377" s="21"/>
      <c r="D377" s="22" t="s">
        <v>310</v>
      </c>
      <c r="E377" s="22" t="s">
        <v>1093</v>
      </c>
      <c r="F377" s="22" t="s">
        <v>557</v>
      </c>
      <c r="G377" s="23" t="s">
        <v>20</v>
      </c>
      <c r="H377" s="22" t="s">
        <v>558</v>
      </c>
      <c r="I377" s="22" t="s">
        <v>559</v>
      </c>
      <c r="J377" s="20"/>
    </row>
    <row r="378" spans="3:10" x14ac:dyDescent="0.25">
      <c r="C378" s="21"/>
      <c r="D378" s="22" t="s">
        <v>277</v>
      </c>
      <c r="E378" s="22" t="s">
        <v>1094</v>
      </c>
      <c r="F378" s="22" t="s">
        <v>557</v>
      </c>
      <c r="G378" s="23" t="s">
        <v>20</v>
      </c>
      <c r="H378" s="22" t="s">
        <v>558</v>
      </c>
      <c r="I378" s="22" t="s">
        <v>559</v>
      </c>
      <c r="J378" s="20"/>
    </row>
    <row r="379" spans="3:10" x14ac:dyDescent="0.25">
      <c r="C379" s="21"/>
      <c r="D379" s="22" t="s">
        <v>1095</v>
      </c>
      <c r="E379" s="22" t="s">
        <v>1096</v>
      </c>
      <c r="F379" s="22" t="s">
        <v>557</v>
      </c>
      <c r="G379" s="24" t="s">
        <v>390</v>
      </c>
      <c r="H379" s="22" t="s">
        <v>558</v>
      </c>
      <c r="I379" s="22" t="s">
        <v>559</v>
      </c>
      <c r="J379" s="20"/>
    </row>
    <row r="380" spans="3:10" x14ac:dyDescent="0.25">
      <c r="C380" s="21"/>
      <c r="D380" s="22" t="s">
        <v>180</v>
      </c>
      <c r="E380" s="22" t="s">
        <v>1097</v>
      </c>
      <c r="F380" s="22" t="s">
        <v>557</v>
      </c>
      <c r="G380" s="23" t="s">
        <v>20</v>
      </c>
      <c r="H380" s="22" t="s">
        <v>558</v>
      </c>
      <c r="I380" s="22" t="s">
        <v>559</v>
      </c>
      <c r="J380" s="20"/>
    </row>
    <row r="381" spans="3:10" x14ac:dyDescent="0.25">
      <c r="C381" s="21"/>
      <c r="D381" s="22" t="s">
        <v>463</v>
      </c>
      <c r="E381" s="22" t="s">
        <v>1098</v>
      </c>
      <c r="F381" s="22" t="s">
        <v>557</v>
      </c>
      <c r="G381" s="23" t="s">
        <v>20</v>
      </c>
      <c r="H381" s="22" t="s">
        <v>558</v>
      </c>
      <c r="I381" s="22" t="s">
        <v>559</v>
      </c>
      <c r="J381" s="20"/>
    </row>
    <row r="382" spans="3:10" x14ac:dyDescent="0.25">
      <c r="C382" s="21"/>
      <c r="D382" s="22" t="s">
        <v>464</v>
      </c>
      <c r="E382" s="22" t="s">
        <v>1099</v>
      </c>
      <c r="F382" s="22" t="s">
        <v>557</v>
      </c>
      <c r="G382" s="23" t="s">
        <v>20</v>
      </c>
      <c r="H382" s="22" t="s">
        <v>558</v>
      </c>
      <c r="I382" s="22" t="s">
        <v>559</v>
      </c>
      <c r="J382" s="20"/>
    </row>
    <row r="383" spans="3:10" x14ac:dyDescent="0.25">
      <c r="C383" s="21"/>
      <c r="D383" s="22" t="s">
        <v>78</v>
      </c>
      <c r="E383" s="22" t="s">
        <v>1100</v>
      </c>
      <c r="F383" s="22" t="s">
        <v>557</v>
      </c>
      <c r="G383" s="23" t="s">
        <v>20</v>
      </c>
      <c r="H383" s="22" t="s">
        <v>558</v>
      </c>
      <c r="I383" s="22" t="s">
        <v>559</v>
      </c>
      <c r="J383" s="20"/>
    </row>
    <row r="384" spans="3:10" x14ac:dyDescent="0.25">
      <c r="C384" s="21"/>
      <c r="D384" s="22" t="s">
        <v>114</v>
      </c>
      <c r="E384" s="22" t="s">
        <v>1101</v>
      </c>
      <c r="F384" s="22" t="s">
        <v>557</v>
      </c>
      <c r="G384" s="23" t="s">
        <v>20</v>
      </c>
      <c r="H384" s="22" t="s">
        <v>558</v>
      </c>
      <c r="I384" s="22" t="s">
        <v>559</v>
      </c>
      <c r="J384" s="20"/>
    </row>
    <row r="385" spans="3:10" x14ac:dyDescent="0.25">
      <c r="C385" s="21"/>
      <c r="D385" s="22" t="s">
        <v>153</v>
      </c>
      <c r="E385" s="22" t="s">
        <v>1102</v>
      </c>
      <c r="F385" s="22" t="s">
        <v>557</v>
      </c>
      <c r="G385" s="23" t="s">
        <v>20</v>
      </c>
      <c r="H385" s="22" t="s">
        <v>558</v>
      </c>
      <c r="I385" s="22" t="s">
        <v>559</v>
      </c>
      <c r="J385" s="20"/>
    </row>
    <row r="386" spans="3:10" x14ac:dyDescent="0.25">
      <c r="C386" s="21"/>
      <c r="D386" s="22" t="s">
        <v>1103</v>
      </c>
      <c r="E386" s="22" t="s">
        <v>1104</v>
      </c>
      <c r="F386" s="22" t="s">
        <v>557</v>
      </c>
      <c r="G386" s="24" t="s">
        <v>390</v>
      </c>
      <c r="H386" s="22" t="s">
        <v>558</v>
      </c>
      <c r="I386" s="22" t="s">
        <v>559</v>
      </c>
      <c r="J386" s="20"/>
    </row>
    <row r="387" spans="3:10" x14ac:dyDescent="0.25">
      <c r="C387" s="21"/>
      <c r="D387" s="22" t="s">
        <v>466</v>
      </c>
      <c r="E387" s="22" t="s">
        <v>1105</v>
      </c>
      <c r="F387" s="22" t="s">
        <v>557</v>
      </c>
      <c r="G387" s="23" t="s">
        <v>20</v>
      </c>
      <c r="H387" s="22" t="s">
        <v>558</v>
      </c>
      <c r="I387" s="22" t="s">
        <v>559</v>
      </c>
      <c r="J387" s="20"/>
    </row>
    <row r="388" spans="3:10" x14ac:dyDescent="0.25">
      <c r="C388" s="21"/>
      <c r="D388" s="22" t="s">
        <v>336</v>
      </c>
      <c r="E388" s="22" t="s">
        <v>1106</v>
      </c>
      <c r="F388" s="22" t="s">
        <v>557</v>
      </c>
      <c r="G388" s="23" t="s">
        <v>20</v>
      </c>
      <c r="H388" s="22" t="s">
        <v>558</v>
      </c>
      <c r="I388" s="22" t="s">
        <v>559</v>
      </c>
      <c r="J388" s="20"/>
    </row>
    <row r="389" spans="3:10" x14ac:dyDescent="0.25">
      <c r="C389" s="21"/>
      <c r="D389" s="22" t="s">
        <v>46</v>
      </c>
      <c r="E389" s="22" t="s">
        <v>1107</v>
      </c>
      <c r="F389" s="22" t="s">
        <v>557</v>
      </c>
      <c r="G389" s="23" t="s">
        <v>20</v>
      </c>
      <c r="H389" s="22" t="s">
        <v>558</v>
      </c>
      <c r="I389" s="22" t="s">
        <v>559</v>
      </c>
      <c r="J389" s="20"/>
    </row>
    <row r="390" spans="3:10" x14ac:dyDescent="0.25">
      <c r="C390" s="21"/>
      <c r="D390" s="22" t="s">
        <v>42</v>
      </c>
      <c r="E390" s="22" t="s">
        <v>1108</v>
      </c>
      <c r="F390" s="22" t="s">
        <v>557</v>
      </c>
      <c r="G390" s="23" t="s">
        <v>20</v>
      </c>
      <c r="H390" s="22" t="s">
        <v>558</v>
      </c>
      <c r="I390" s="22" t="s">
        <v>559</v>
      </c>
      <c r="J390" s="20"/>
    </row>
    <row r="391" spans="3:10" x14ac:dyDescent="0.25">
      <c r="C391" s="21"/>
      <c r="D391" s="22" t="s">
        <v>1109</v>
      </c>
      <c r="E391" s="22" t="s">
        <v>1110</v>
      </c>
      <c r="F391" s="22" t="s">
        <v>557</v>
      </c>
      <c r="G391" s="23" t="s">
        <v>20</v>
      </c>
      <c r="H391" s="22" t="s">
        <v>558</v>
      </c>
      <c r="I391" s="22" t="s">
        <v>559</v>
      </c>
      <c r="J391" s="20"/>
    </row>
    <row r="392" spans="3:10" x14ac:dyDescent="0.25">
      <c r="C392" s="21"/>
      <c r="D392" s="22" t="s">
        <v>1111</v>
      </c>
      <c r="E392" s="22" t="s">
        <v>1112</v>
      </c>
      <c r="F392" s="22" t="s">
        <v>557</v>
      </c>
      <c r="G392" s="23" t="s">
        <v>20</v>
      </c>
      <c r="H392" s="22" t="s">
        <v>558</v>
      </c>
      <c r="I392" s="22" t="s">
        <v>559</v>
      </c>
      <c r="J392" s="20"/>
    </row>
    <row r="393" spans="3:10" x14ac:dyDescent="0.25">
      <c r="C393" s="21"/>
      <c r="D393" s="22" t="s">
        <v>1113</v>
      </c>
      <c r="E393" s="22" t="s">
        <v>1114</v>
      </c>
      <c r="F393" s="22" t="s">
        <v>557</v>
      </c>
      <c r="G393" s="23" t="s">
        <v>20</v>
      </c>
      <c r="H393" s="22" t="s">
        <v>558</v>
      </c>
      <c r="I393" s="22" t="s">
        <v>559</v>
      </c>
      <c r="J393" s="20"/>
    </row>
    <row r="394" spans="3:10" x14ac:dyDescent="0.25">
      <c r="C394" s="21"/>
      <c r="D394" s="22" t="s">
        <v>319</v>
      </c>
      <c r="E394" s="22" t="s">
        <v>1115</v>
      </c>
      <c r="F394" s="22" t="s">
        <v>557</v>
      </c>
      <c r="G394" s="23" t="s">
        <v>20</v>
      </c>
      <c r="H394" s="22" t="s">
        <v>558</v>
      </c>
      <c r="I394" s="22" t="s">
        <v>559</v>
      </c>
      <c r="J394" s="20"/>
    </row>
    <row r="395" spans="3:10" x14ac:dyDescent="0.25">
      <c r="C395" s="21"/>
      <c r="D395" s="22" t="s">
        <v>1116</v>
      </c>
      <c r="E395" s="22" t="s">
        <v>1117</v>
      </c>
      <c r="F395" s="22" t="s">
        <v>557</v>
      </c>
      <c r="G395" s="23" t="s">
        <v>20</v>
      </c>
      <c r="H395" s="22" t="s">
        <v>558</v>
      </c>
      <c r="I395" s="22" t="s">
        <v>559</v>
      </c>
      <c r="J395" s="20"/>
    </row>
    <row r="396" spans="3:10" x14ac:dyDescent="0.25">
      <c r="C396" s="21"/>
      <c r="D396" s="22" t="s">
        <v>1118</v>
      </c>
      <c r="E396" s="22" t="s">
        <v>1119</v>
      </c>
      <c r="F396" s="22" t="s">
        <v>557</v>
      </c>
      <c r="G396" s="23" t="s">
        <v>20</v>
      </c>
      <c r="H396" s="22" t="s">
        <v>558</v>
      </c>
      <c r="I396" s="22" t="s">
        <v>559</v>
      </c>
      <c r="J396" s="20"/>
    </row>
    <row r="397" spans="3:10" x14ac:dyDescent="0.25">
      <c r="C397" s="21"/>
      <c r="D397" s="22" t="s">
        <v>1120</v>
      </c>
      <c r="E397" s="22" t="s">
        <v>1121</v>
      </c>
      <c r="F397" s="22" t="s">
        <v>557</v>
      </c>
      <c r="G397" s="23" t="s">
        <v>20</v>
      </c>
      <c r="H397" s="22" t="s">
        <v>558</v>
      </c>
      <c r="I397" s="22" t="s">
        <v>559</v>
      </c>
      <c r="J397" s="20"/>
    </row>
    <row r="398" spans="3:10" x14ac:dyDescent="0.25">
      <c r="C398" s="21"/>
      <c r="D398" s="22" t="s">
        <v>467</v>
      </c>
      <c r="E398" s="22" t="s">
        <v>1122</v>
      </c>
      <c r="F398" s="22" t="s">
        <v>557</v>
      </c>
      <c r="G398" s="23" t="s">
        <v>20</v>
      </c>
      <c r="H398" s="22" t="s">
        <v>558</v>
      </c>
      <c r="I398" s="22" t="s">
        <v>559</v>
      </c>
      <c r="J398" s="20"/>
    </row>
    <row r="399" spans="3:10" x14ac:dyDescent="0.25">
      <c r="C399" s="21"/>
      <c r="D399" s="22" t="s">
        <v>149</v>
      </c>
      <c r="E399" s="22" t="s">
        <v>1123</v>
      </c>
      <c r="F399" s="22" t="s">
        <v>557</v>
      </c>
      <c r="G399" s="23" t="s">
        <v>20</v>
      </c>
      <c r="H399" s="22" t="s">
        <v>558</v>
      </c>
      <c r="I399" s="22" t="s">
        <v>559</v>
      </c>
      <c r="J399" s="20"/>
    </row>
    <row r="400" spans="3:10" x14ac:dyDescent="0.25">
      <c r="C400" s="21"/>
      <c r="D400" s="22" t="s">
        <v>1124</v>
      </c>
      <c r="E400" s="22" t="s">
        <v>1125</v>
      </c>
      <c r="F400" s="22" t="s">
        <v>557</v>
      </c>
      <c r="G400" s="24" t="s">
        <v>390</v>
      </c>
      <c r="H400" s="22" t="s">
        <v>558</v>
      </c>
      <c r="I400" s="22" t="s">
        <v>559</v>
      </c>
      <c r="J400" s="20"/>
    </row>
    <row r="401" spans="3:10" x14ac:dyDescent="0.25">
      <c r="C401" s="21"/>
      <c r="D401" s="22" t="s">
        <v>198</v>
      </c>
      <c r="E401" s="22" t="s">
        <v>1126</v>
      </c>
      <c r="F401" s="22" t="s">
        <v>557</v>
      </c>
      <c r="G401" s="23" t="s">
        <v>20</v>
      </c>
      <c r="H401" s="22" t="s">
        <v>558</v>
      </c>
      <c r="I401" s="22" t="s">
        <v>559</v>
      </c>
      <c r="J401" s="20"/>
    </row>
    <row r="402" spans="3:10" x14ac:dyDescent="0.25">
      <c r="C402" s="21"/>
      <c r="D402" s="22" t="s">
        <v>1127</v>
      </c>
      <c r="E402" s="22" t="s">
        <v>1128</v>
      </c>
      <c r="F402" s="22" t="s">
        <v>557</v>
      </c>
      <c r="G402" s="23" t="s">
        <v>20</v>
      </c>
      <c r="H402" s="22" t="s">
        <v>558</v>
      </c>
      <c r="I402" s="22" t="s">
        <v>559</v>
      </c>
      <c r="J402" s="20"/>
    </row>
    <row r="403" spans="3:10" x14ac:dyDescent="0.25">
      <c r="C403" s="21"/>
      <c r="D403" s="22" t="s">
        <v>225</v>
      </c>
      <c r="E403" s="22" t="s">
        <v>1129</v>
      </c>
      <c r="F403" s="22" t="s">
        <v>557</v>
      </c>
      <c r="G403" s="23" t="s">
        <v>20</v>
      </c>
      <c r="H403" s="22" t="s">
        <v>558</v>
      </c>
      <c r="I403" s="22" t="s">
        <v>559</v>
      </c>
      <c r="J403" s="20"/>
    </row>
    <row r="404" spans="3:10" x14ac:dyDescent="0.25">
      <c r="C404" s="21"/>
      <c r="D404" s="22" t="s">
        <v>298</v>
      </c>
      <c r="E404" s="22" t="s">
        <v>1130</v>
      </c>
      <c r="F404" s="22" t="s">
        <v>557</v>
      </c>
      <c r="G404" s="23" t="s">
        <v>20</v>
      </c>
      <c r="H404" s="22" t="s">
        <v>558</v>
      </c>
      <c r="I404" s="22" t="s">
        <v>559</v>
      </c>
      <c r="J404" s="20"/>
    </row>
    <row r="405" spans="3:10" x14ac:dyDescent="0.25">
      <c r="C405" s="51"/>
      <c r="D405" s="52" t="s">
        <v>1131</v>
      </c>
      <c r="E405" s="33" t="s">
        <v>1132</v>
      </c>
      <c r="F405" s="52" t="s">
        <v>557</v>
      </c>
      <c r="G405" s="53" t="s">
        <v>20</v>
      </c>
      <c r="H405" s="52" t="s">
        <v>558</v>
      </c>
      <c r="I405" s="52" t="s">
        <v>559</v>
      </c>
      <c r="J405" s="50"/>
    </row>
    <row r="406" spans="3:10" x14ac:dyDescent="0.25">
      <c r="C406" s="51"/>
      <c r="D406" s="52"/>
      <c r="E406" s="28" t="s">
        <v>1132</v>
      </c>
      <c r="F406" s="52"/>
      <c r="G406" s="53"/>
      <c r="H406" s="52"/>
      <c r="I406" s="52"/>
      <c r="J406" s="50"/>
    </row>
    <row r="407" spans="3:10" x14ac:dyDescent="0.25">
      <c r="C407" s="21"/>
      <c r="D407" s="22" t="s">
        <v>1133</v>
      </c>
      <c r="E407" s="22" t="s">
        <v>1134</v>
      </c>
      <c r="F407" s="22" t="s">
        <v>557</v>
      </c>
      <c r="G407" s="23" t="s">
        <v>20</v>
      </c>
      <c r="H407" s="22" t="s">
        <v>558</v>
      </c>
      <c r="I407" s="22" t="s">
        <v>559</v>
      </c>
      <c r="J407" s="20"/>
    </row>
    <row r="408" spans="3:10" x14ac:dyDescent="0.25">
      <c r="C408" s="21"/>
      <c r="D408" s="22" t="s">
        <v>216</v>
      </c>
      <c r="E408" s="22" t="s">
        <v>1135</v>
      </c>
      <c r="F408" s="22" t="s">
        <v>557</v>
      </c>
      <c r="G408" s="23" t="s">
        <v>20</v>
      </c>
      <c r="H408" s="22" t="s">
        <v>558</v>
      </c>
      <c r="I408" s="22" t="s">
        <v>559</v>
      </c>
      <c r="J408" s="20"/>
    </row>
    <row r="409" spans="3:10" x14ac:dyDescent="0.25">
      <c r="C409" s="21"/>
      <c r="D409" s="22" t="s">
        <v>469</v>
      </c>
      <c r="E409" s="22" t="s">
        <v>1136</v>
      </c>
      <c r="F409" s="22" t="s">
        <v>557</v>
      </c>
      <c r="G409" s="23" t="s">
        <v>20</v>
      </c>
      <c r="H409" s="22" t="s">
        <v>558</v>
      </c>
      <c r="I409" s="22" t="s">
        <v>559</v>
      </c>
      <c r="J409" s="20"/>
    </row>
    <row r="410" spans="3:10" x14ac:dyDescent="0.25">
      <c r="C410" s="21"/>
      <c r="D410" s="22" t="s">
        <v>132</v>
      </c>
      <c r="E410" s="22" t="s">
        <v>1137</v>
      </c>
      <c r="F410" s="22" t="s">
        <v>557</v>
      </c>
      <c r="G410" s="23" t="s">
        <v>20</v>
      </c>
      <c r="H410" s="22" t="s">
        <v>558</v>
      </c>
      <c r="I410" s="22" t="s">
        <v>559</v>
      </c>
      <c r="J410" s="20"/>
    </row>
    <row r="411" spans="3:10" x14ac:dyDescent="0.25">
      <c r="C411" s="21"/>
      <c r="D411" s="22" t="s">
        <v>471</v>
      </c>
      <c r="E411" s="22" t="s">
        <v>1138</v>
      </c>
      <c r="F411" s="22" t="s">
        <v>557</v>
      </c>
      <c r="G411" s="23" t="s">
        <v>20</v>
      </c>
      <c r="H411" s="22" t="s">
        <v>558</v>
      </c>
      <c r="I411" s="22" t="s">
        <v>559</v>
      </c>
      <c r="J411" s="20"/>
    </row>
    <row r="412" spans="3:10" x14ac:dyDescent="0.25">
      <c r="C412" s="21"/>
      <c r="D412" s="22" t="s">
        <v>1139</v>
      </c>
      <c r="E412" s="22" t="s">
        <v>1140</v>
      </c>
      <c r="F412" s="22" t="s">
        <v>557</v>
      </c>
      <c r="G412" s="24" t="s">
        <v>390</v>
      </c>
      <c r="H412" s="22" t="s">
        <v>558</v>
      </c>
      <c r="I412" s="22" t="s">
        <v>559</v>
      </c>
      <c r="J412" s="20"/>
    </row>
    <row r="413" spans="3:10" x14ac:dyDescent="0.25">
      <c r="C413" s="21"/>
      <c r="D413" s="22" t="s">
        <v>1141</v>
      </c>
      <c r="E413" s="22" t="s">
        <v>1142</v>
      </c>
      <c r="F413" s="22" t="s">
        <v>568</v>
      </c>
      <c r="G413" s="24" t="s">
        <v>390</v>
      </c>
      <c r="H413" s="22" t="s">
        <v>558</v>
      </c>
      <c r="I413" s="22" t="s">
        <v>559</v>
      </c>
      <c r="J413" s="20"/>
    </row>
    <row r="414" spans="3:10" x14ac:dyDescent="0.25">
      <c r="C414" s="21"/>
      <c r="D414" s="22" t="s">
        <v>474</v>
      </c>
      <c r="E414" s="22" t="s">
        <v>1143</v>
      </c>
      <c r="F414" s="22" t="s">
        <v>557</v>
      </c>
      <c r="G414" s="23" t="s">
        <v>20</v>
      </c>
      <c r="H414" s="22" t="s">
        <v>558</v>
      </c>
      <c r="I414" s="22" t="s">
        <v>559</v>
      </c>
      <c r="J414" s="20"/>
    </row>
    <row r="415" spans="3:10" x14ac:dyDescent="0.25">
      <c r="C415" s="21"/>
      <c r="D415" s="22" t="s">
        <v>1144</v>
      </c>
      <c r="E415" s="22" t="s">
        <v>1145</v>
      </c>
      <c r="F415" s="22" t="s">
        <v>557</v>
      </c>
      <c r="G415" s="23" t="s">
        <v>20</v>
      </c>
      <c r="H415" s="22" t="s">
        <v>558</v>
      </c>
      <c r="I415" s="22" t="s">
        <v>559</v>
      </c>
      <c r="J415" s="20"/>
    </row>
    <row r="416" spans="3:10" x14ac:dyDescent="0.25">
      <c r="C416" s="21"/>
      <c r="D416" s="22" t="s">
        <v>1146</v>
      </c>
      <c r="E416" s="22" t="s">
        <v>1147</v>
      </c>
      <c r="F416" s="22" t="s">
        <v>568</v>
      </c>
      <c r="G416" s="24" t="s">
        <v>390</v>
      </c>
      <c r="H416" s="22" t="s">
        <v>558</v>
      </c>
      <c r="I416" s="22" t="s">
        <v>559</v>
      </c>
      <c r="J416" s="20"/>
    </row>
    <row r="417" spans="3:10" x14ac:dyDescent="0.25">
      <c r="C417" s="21"/>
      <c r="D417" s="22" t="s">
        <v>237</v>
      </c>
      <c r="E417" s="22" t="s">
        <v>1148</v>
      </c>
      <c r="F417" s="22" t="s">
        <v>557</v>
      </c>
      <c r="G417" s="23" t="s">
        <v>20</v>
      </c>
      <c r="H417" s="22" t="s">
        <v>558</v>
      </c>
      <c r="I417" s="22" t="s">
        <v>559</v>
      </c>
      <c r="J417" s="20"/>
    </row>
    <row r="418" spans="3:10" x14ac:dyDescent="0.25">
      <c r="C418" s="21"/>
      <c r="D418" s="22" t="s">
        <v>538</v>
      </c>
      <c r="E418" s="22" t="s">
        <v>1149</v>
      </c>
      <c r="F418" s="22" t="s">
        <v>568</v>
      </c>
      <c r="G418" s="23" t="s">
        <v>20</v>
      </c>
      <c r="H418" s="22" t="s">
        <v>558</v>
      </c>
      <c r="I418" s="22" t="s">
        <v>559</v>
      </c>
      <c r="J418" s="20"/>
    </row>
    <row r="419" spans="3:10" x14ac:dyDescent="0.25">
      <c r="C419" s="21"/>
      <c r="D419" s="22" t="s">
        <v>348</v>
      </c>
      <c r="E419" s="22" t="s">
        <v>1150</v>
      </c>
      <c r="F419" s="22" t="s">
        <v>557</v>
      </c>
      <c r="G419" s="23" t="s">
        <v>20</v>
      </c>
      <c r="H419" s="22" t="s">
        <v>558</v>
      </c>
      <c r="I419" s="22" t="s">
        <v>559</v>
      </c>
      <c r="J419" s="20"/>
    </row>
    <row r="420" spans="3:10" x14ac:dyDescent="0.25">
      <c r="C420" s="21"/>
      <c r="D420" s="22" t="s">
        <v>345</v>
      </c>
      <c r="E420" s="22" t="s">
        <v>1151</v>
      </c>
      <c r="F420" s="22" t="s">
        <v>557</v>
      </c>
      <c r="G420" s="23" t="s">
        <v>20</v>
      </c>
      <c r="H420" s="22" t="s">
        <v>558</v>
      </c>
      <c r="I420" s="22" t="s">
        <v>559</v>
      </c>
      <c r="J420" s="20"/>
    </row>
    <row r="421" spans="3:10" x14ac:dyDescent="0.25">
      <c r="C421" s="21"/>
      <c r="D421" s="22" t="s">
        <v>1152</v>
      </c>
      <c r="E421" s="22" t="s">
        <v>1153</v>
      </c>
      <c r="F421" s="22" t="s">
        <v>557</v>
      </c>
      <c r="G421" s="24" t="s">
        <v>390</v>
      </c>
      <c r="H421" s="22" t="s">
        <v>558</v>
      </c>
      <c r="I421" s="22" t="s">
        <v>559</v>
      </c>
      <c r="J421" s="20"/>
    </row>
    <row r="422" spans="3:10" x14ac:dyDescent="0.25">
      <c r="C422" s="21"/>
      <c r="D422" s="22" t="s">
        <v>1154</v>
      </c>
      <c r="E422" s="22" t="s">
        <v>1155</v>
      </c>
      <c r="F422" s="22" t="s">
        <v>557</v>
      </c>
      <c r="G422" s="23" t="s">
        <v>20</v>
      </c>
      <c r="H422" s="22" t="s">
        <v>558</v>
      </c>
      <c r="I422" s="22" t="s">
        <v>559</v>
      </c>
      <c r="J422" s="20"/>
    </row>
    <row r="423" spans="3:10" x14ac:dyDescent="0.25">
      <c r="C423" s="21"/>
      <c r="D423" s="22" t="s">
        <v>25</v>
      </c>
      <c r="E423" s="22" t="s">
        <v>1156</v>
      </c>
      <c r="F423" s="22" t="s">
        <v>557</v>
      </c>
      <c r="G423" s="23" t="s">
        <v>20</v>
      </c>
      <c r="H423" s="22" t="s">
        <v>558</v>
      </c>
      <c r="I423" s="22" t="s">
        <v>559</v>
      </c>
      <c r="J423" s="20"/>
    </row>
    <row r="424" spans="3:10" x14ac:dyDescent="0.25">
      <c r="C424" s="21"/>
      <c r="D424" s="22" t="s">
        <v>261</v>
      </c>
      <c r="E424" s="22" t="s">
        <v>1157</v>
      </c>
      <c r="F424" s="22" t="s">
        <v>557</v>
      </c>
      <c r="G424" s="23" t="s">
        <v>20</v>
      </c>
      <c r="H424" s="22" t="s">
        <v>558</v>
      </c>
      <c r="I424" s="22" t="s">
        <v>559</v>
      </c>
      <c r="J424" s="20"/>
    </row>
    <row r="425" spans="3:10" x14ac:dyDescent="0.25">
      <c r="C425" s="21"/>
      <c r="D425" s="22" t="s">
        <v>1158</v>
      </c>
      <c r="E425" s="22" t="s">
        <v>1159</v>
      </c>
      <c r="F425" s="22" t="s">
        <v>557</v>
      </c>
      <c r="G425" s="23" t="s">
        <v>20</v>
      </c>
      <c r="H425" s="22" t="s">
        <v>558</v>
      </c>
      <c r="I425" s="22" t="s">
        <v>559</v>
      </c>
      <c r="J425" s="20"/>
    </row>
    <row r="426" spans="3:10" x14ac:dyDescent="0.25">
      <c r="C426" s="21"/>
      <c r="D426" s="22" t="s">
        <v>1160</v>
      </c>
      <c r="E426" s="22" t="s">
        <v>1161</v>
      </c>
      <c r="F426" s="22" t="s">
        <v>557</v>
      </c>
      <c r="G426" s="24" t="s">
        <v>390</v>
      </c>
      <c r="H426" s="22" t="s">
        <v>558</v>
      </c>
      <c r="I426" s="22" t="s">
        <v>559</v>
      </c>
      <c r="J426" s="20"/>
    </row>
    <row r="427" spans="3:10" x14ac:dyDescent="0.25">
      <c r="C427" s="21"/>
      <c r="D427" s="22" t="s">
        <v>1162</v>
      </c>
      <c r="E427" s="22" t="s">
        <v>1163</v>
      </c>
      <c r="F427" s="22" t="s">
        <v>557</v>
      </c>
      <c r="G427" s="23" t="s">
        <v>20</v>
      </c>
      <c r="H427" s="22" t="s">
        <v>558</v>
      </c>
      <c r="I427" s="22" t="s">
        <v>559</v>
      </c>
      <c r="J427" s="20"/>
    </row>
    <row r="428" spans="3:10" x14ac:dyDescent="0.25">
      <c r="C428" s="21"/>
      <c r="D428" s="22" t="s">
        <v>157</v>
      </c>
      <c r="E428" s="22" t="s">
        <v>1164</v>
      </c>
      <c r="F428" s="22" t="s">
        <v>557</v>
      </c>
      <c r="G428" s="23" t="s">
        <v>20</v>
      </c>
      <c r="H428" s="22" t="s">
        <v>558</v>
      </c>
      <c r="I428" s="22" t="s">
        <v>559</v>
      </c>
      <c r="J428" s="20"/>
    </row>
    <row r="429" spans="3:10" x14ac:dyDescent="0.25">
      <c r="C429" s="21"/>
      <c r="D429" s="22" t="s">
        <v>221</v>
      </c>
      <c r="E429" s="22" t="s">
        <v>1165</v>
      </c>
      <c r="F429" s="22" t="s">
        <v>557</v>
      </c>
      <c r="G429" s="23" t="s">
        <v>20</v>
      </c>
      <c r="H429" s="22" t="s">
        <v>558</v>
      </c>
      <c r="I429" s="22" t="s">
        <v>559</v>
      </c>
      <c r="J429" s="20"/>
    </row>
    <row r="430" spans="3:10" x14ac:dyDescent="0.25">
      <c r="C430" s="21"/>
      <c r="D430" s="22" t="s">
        <v>1166</v>
      </c>
      <c r="E430" s="22" t="s">
        <v>1167</v>
      </c>
      <c r="F430" s="22" t="s">
        <v>557</v>
      </c>
      <c r="G430" s="23" t="s">
        <v>20</v>
      </c>
      <c r="H430" s="22" t="s">
        <v>558</v>
      </c>
      <c r="I430" s="22" t="s">
        <v>559</v>
      </c>
      <c r="J430" s="20"/>
    </row>
    <row r="431" spans="3:10" x14ac:dyDescent="0.25">
      <c r="C431" s="21"/>
      <c r="D431" s="22" t="s">
        <v>477</v>
      </c>
      <c r="E431" s="22" t="s">
        <v>1168</v>
      </c>
      <c r="F431" s="22" t="s">
        <v>557</v>
      </c>
      <c r="G431" s="23" t="s">
        <v>20</v>
      </c>
      <c r="H431" s="22" t="s">
        <v>558</v>
      </c>
      <c r="I431" s="22" t="s">
        <v>559</v>
      </c>
      <c r="J431" s="20"/>
    </row>
    <row r="432" spans="3:10" x14ac:dyDescent="0.25">
      <c r="C432" s="21"/>
      <c r="D432" s="22" t="s">
        <v>258</v>
      </c>
      <c r="E432" s="22" t="s">
        <v>1169</v>
      </c>
      <c r="F432" s="22" t="s">
        <v>557</v>
      </c>
      <c r="G432" s="23" t="s">
        <v>20</v>
      </c>
      <c r="H432" s="22" t="s">
        <v>558</v>
      </c>
      <c r="I432" s="22" t="s">
        <v>559</v>
      </c>
      <c r="J432" s="20"/>
    </row>
    <row r="433" spans="3:10" x14ac:dyDescent="0.25">
      <c r="C433" s="21"/>
      <c r="D433" s="22" t="s">
        <v>1170</v>
      </c>
      <c r="E433" s="22" t="s">
        <v>1171</v>
      </c>
      <c r="F433" s="22" t="s">
        <v>644</v>
      </c>
      <c r="G433" s="24" t="s">
        <v>390</v>
      </c>
      <c r="H433" s="22" t="s">
        <v>558</v>
      </c>
      <c r="I433" s="22" t="s">
        <v>645</v>
      </c>
      <c r="J433" s="20"/>
    </row>
    <row r="434" spans="3:10" x14ac:dyDescent="0.25">
      <c r="C434" s="21"/>
      <c r="D434" s="22" t="s">
        <v>143</v>
      </c>
      <c r="E434" s="22" t="s">
        <v>1172</v>
      </c>
      <c r="F434" s="22" t="s">
        <v>557</v>
      </c>
      <c r="G434" s="23" t="s">
        <v>20</v>
      </c>
      <c r="H434" s="22" t="s">
        <v>558</v>
      </c>
      <c r="I434" s="22" t="s">
        <v>559</v>
      </c>
      <c r="J434" s="20"/>
    </row>
    <row r="435" spans="3:10" x14ac:dyDescent="0.25">
      <c r="C435" s="21"/>
      <c r="D435" s="22" t="s">
        <v>1173</v>
      </c>
      <c r="E435" s="22" t="s">
        <v>1174</v>
      </c>
      <c r="F435" s="22" t="s">
        <v>557</v>
      </c>
      <c r="G435" s="23" t="s">
        <v>20</v>
      </c>
      <c r="H435" s="22" t="s">
        <v>558</v>
      </c>
      <c r="I435" s="22" t="s">
        <v>559</v>
      </c>
      <c r="J435" s="20"/>
    </row>
    <row r="436" spans="3:10" x14ac:dyDescent="0.25">
      <c r="C436" s="21"/>
      <c r="D436" s="22" t="s">
        <v>160</v>
      </c>
      <c r="E436" s="22" t="s">
        <v>1175</v>
      </c>
      <c r="F436" s="22" t="s">
        <v>557</v>
      </c>
      <c r="G436" s="23" t="s">
        <v>20</v>
      </c>
      <c r="H436" s="22" t="s">
        <v>558</v>
      </c>
      <c r="I436" s="22" t="s">
        <v>559</v>
      </c>
      <c r="J436" s="20"/>
    </row>
    <row r="437" spans="3:10" x14ac:dyDescent="0.25">
      <c r="C437" s="21"/>
      <c r="D437" s="22" t="s">
        <v>1176</v>
      </c>
      <c r="E437" s="22" t="s">
        <v>1177</v>
      </c>
      <c r="F437" s="22" t="s">
        <v>557</v>
      </c>
      <c r="G437" s="23" t="s">
        <v>20</v>
      </c>
      <c r="H437" s="22" t="s">
        <v>558</v>
      </c>
      <c r="I437" s="22" t="s">
        <v>559</v>
      </c>
      <c r="J437" s="20"/>
    </row>
    <row r="438" spans="3:10" x14ac:dyDescent="0.25">
      <c r="C438" s="21"/>
      <c r="D438" s="22" t="s">
        <v>287</v>
      </c>
      <c r="E438" s="22" t="s">
        <v>1178</v>
      </c>
      <c r="F438" s="22" t="s">
        <v>557</v>
      </c>
      <c r="G438" s="23" t="s">
        <v>20</v>
      </c>
      <c r="H438" s="22" t="s">
        <v>558</v>
      </c>
      <c r="I438" s="22" t="s">
        <v>559</v>
      </c>
      <c r="J438" s="20"/>
    </row>
    <row r="439" spans="3:10" x14ac:dyDescent="0.25">
      <c r="C439" s="21"/>
      <c r="D439" s="22" t="s">
        <v>1179</v>
      </c>
      <c r="E439" s="22" t="s">
        <v>1180</v>
      </c>
      <c r="F439" s="22" t="s">
        <v>557</v>
      </c>
      <c r="G439" s="23" t="s">
        <v>20</v>
      </c>
      <c r="H439" s="22" t="s">
        <v>558</v>
      </c>
      <c r="I439" s="22" t="s">
        <v>559</v>
      </c>
      <c r="J439" s="20"/>
    </row>
    <row r="440" spans="3:10" x14ac:dyDescent="0.25">
      <c r="C440" s="21"/>
      <c r="D440" s="22" t="s">
        <v>289</v>
      </c>
      <c r="E440" s="22" t="s">
        <v>1181</v>
      </c>
      <c r="F440" s="22" t="s">
        <v>557</v>
      </c>
      <c r="G440" s="23" t="s">
        <v>20</v>
      </c>
      <c r="H440" s="22" t="s">
        <v>558</v>
      </c>
      <c r="I440" s="22" t="s">
        <v>559</v>
      </c>
      <c r="J440" s="20"/>
    </row>
    <row r="441" spans="3:10" x14ac:dyDescent="0.25">
      <c r="C441" s="21"/>
      <c r="D441" s="22" t="s">
        <v>1182</v>
      </c>
      <c r="E441" s="22" t="s">
        <v>1183</v>
      </c>
      <c r="F441" s="22" t="s">
        <v>557</v>
      </c>
      <c r="G441" s="24" t="s">
        <v>390</v>
      </c>
      <c r="H441" s="22" t="s">
        <v>558</v>
      </c>
      <c r="I441" s="22" t="s">
        <v>559</v>
      </c>
      <c r="J441" s="20"/>
    </row>
    <row r="442" spans="3:10" x14ac:dyDescent="0.25">
      <c r="C442" s="21"/>
      <c r="D442" s="22" t="s">
        <v>1184</v>
      </c>
      <c r="E442" s="22" t="s">
        <v>1185</v>
      </c>
      <c r="F442" s="22" t="s">
        <v>557</v>
      </c>
      <c r="G442" s="24" t="s">
        <v>390</v>
      </c>
      <c r="H442" s="22" t="s">
        <v>558</v>
      </c>
      <c r="I442" s="22" t="s">
        <v>559</v>
      </c>
      <c r="J442" s="20"/>
    </row>
    <row r="443" spans="3:10" x14ac:dyDescent="0.25">
      <c r="C443" s="21"/>
      <c r="D443" s="22" t="s">
        <v>479</v>
      </c>
      <c r="E443" s="22" t="s">
        <v>1186</v>
      </c>
      <c r="F443" s="22" t="s">
        <v>557</v>
      </c>
      <c r="G443" s="23" t="s">
        <v>20</v>
      </c>
      <c r="H443" s="22" t="s">
        <v>558</v>
      </c>
      <c r="I443" s="22" t="s">
        <v>559</v>
      </c>
      <c r="J443" s="20"/>
    </row>
    <row r="444" spans="3:10" x14ac:dyDescent="0.25">
      <c r="C444" s="21"/>
      <c r="D444" s="22" t="s">
        <v>1187</v>
      </c>
      <c r="E444" s="22" t="s">
        <v>1188</v>
      </c>
      <c r="F444" s="22" t="s">
        <v>557</v>
      </c>
      <c r="G444" s="23" t="s">
        <v>20</v>
      </c>
      <c r="H444" s="22" t="s">
        <v>558</v>
      </c>
      <c r="I444" s="22" t="s">
        <v>559</v>
      </c>
      <c r="J444" s="20"/>
    </row>
    <row r="445" spans="3:10" x14ac:dyDescent="0.25">
      <c r="C445" s="21"/>
      <c r="D445" s="22" t="s">
        <v>1189</v>
      </c>
      <c r="E445" s="22" t="s">
        <v>1190</v>
      </c>
      <c r="F445" s="22" t="s">
        <v>557</v>
      </c>
      <c r="G445" s="23" t="s">
        <v>20</v>
      </c>
      <c r="H445" s="22" t="s">
        <v>558</v>
      </c>
      <c r="I445" s="22" t="s">
        <v>559</v>
      </c>
      <c r="J445" s="20"/>
    </row>
    <row r="446" spans="3:10" x14ac:dyDescent="0.25">
      <c r="C446" s="21"/>
      <c r="D446" s="22" t="s">
        <v>118</v>
      </c>
      <c r="E446" s="22" t="s">
        <v>1191</v>
      </c>
      <c r="F446" s="22" t="s">
        <v>557</v>
      </c>
      <c r="G446" s="23" t="s">
        <v>20</v>
      </c>
      <c r="H446" s="22" t="s">
        <v>558</v>
      </c>
      <c r="I446" s="22" t="s">
        <v>559</v>
      </c>
      <c r="J446" s="20"/>
    </row>
    <row r="447" spans="3:10" x14ac:dyDescent="0.25">
      <c r="C447" s="21"/>
      <c r="D447" s="22" t="s">
        <v>329</v>
      </c>
      <c r="E447" s="22" t="s">
        <v>1192</v>
      </c>
      <c r="F447" s="22" t="s">
        <v>557</v>
      </c>
      <c r="G447" s="23" t="s">
        <v>20</v>
      </c>
      <c r="H447" s="22" t="s">
        <v>558</v>
      </c>
      <c r="I447" s="22" t="s">
        <v>559</v>
      </c>
      <c r="J447" s="20"/>
    </row>
    <row r="448" spans="3:10" x14ac:dyDescent="0.25">
      <c r="C448" s="21"/>
      <c r="D448" s="22" t="s">
        <v>183</v>
      </c>
      <c r="E448" s="22" t="s">
        <v>1193</v>
      </c>
      <c r="F448" s="22" t="s">
        <v>557</v>
      </c>
      <c r="G448" s="23" t="s">
        <v>20</v>
      </c>
      <c r="H448" s="22" t="s">
        <v>558</v>
      </c>
      <c r="I448" s="22" t="s">
        <v>559</v>
      </c>
      <c r="J448" s="20"/>
    </row>
    <row r="449" spans="3:10" x14ac:dyDescent="0.25">
      <c r="C449" s="21"/>
      <c r="D449" s="22" t="s">
        <v>1194</v>
      </c>
      <c r="E449" s="22" t="s">
        <v>1195</v>
      </c>
      <c r="F449" s="22" t="s">
        <v>557</v>
      </c>
      <c r="G449" s="23" t="s">
        <v>20</v>
      </c>
      <c r="H449" s="22" t="s">
        <v>558</v>
      </c>
      <c r="I449" s="22" t="s">
        <v>559</v>
      </c>
      <c r="J449" s="20"/>
    </row>
    <row r="450" spans="3:10" x14ac:dyDescent="0.25">
      <c r="C450" s="21"/>
      <c r="D450" s="22" t="s">
        <v>108</v>
      </c>
      <c r="E450" s="22" t="s">
        <v>1196</v>
      </c>
      <c r="F450" s="22" t="s">
        <v>557</v>
      </c>
      <c r="G450" s="23" t="s">
        <v>20</v>
      </c>
      <c r="H450" s="22" t="s">
        <v>558</v>
      </c>
      <c r="I450" s="22" t="s">
        <v>559</v>
      </c>
      <c r="J450" s="20"/>
    </row>
    <row r="451" spans="3:10" x14ac:dyDescent="0.25">
      <c r="C451" s="21"/>
      <c r="D451" s="22" t="s">
        <v>1197</v>
      </c>
      <c r="E451" s="22" t="s">
        <v>1198</v>
      </c>
      <c r="F451" s="22" t="s">
        <v>557</v>
      </c>
      <c r="G451" s="23" t="s">
        <v>20</v>
      </c>
      <c r="H451" s="22" t="s">
        <v>558</v>
      </c>
      <c r="I451" s="22" t="s">
        <v>559</v>
      </c>
      <c r="J451" s="20"/>
    </row>
    <row r="452" spans="3:10" x14ac:dyDescent="0.25">
      <c r="C452" s="21"/>
      <c r="D452" s="22" t="s">
        <v>480</v>
      </c>
      <c r="E452" s="22" t="s">
        <v>1199</v>
      </c>
      <c r="F452" s="22" t="s">
        <v>557</v>
      </c>
      <c r="G452" s="23" t="s">
        <v>20</v>
      </c>
      <c r="H452" s="22" t="s">
        <v>558</v>
      </c>
      <c r="I452" s="22" t="s">
        <v>559</v>
      </c>
      <c r="J452" s="20"/>
    </row>
    <row r="453" spans="3:10" x14ac:dyDescent="0.25">
      <c r="C453" s="21"/>
      <c r="D453" s="22" t="s">
        <v>349</v>
      </c>
      <c r="E453" s="22" t="s">
        <v>1200</v>
      </c>
      <c r="F453" s="22" t="s">
        <v>557</v>
      </c>
      <c r="G453" s="23" t="s">
        <v>20</v>
      </c>
      <c r="H453" s="22" t="s">
        <v>558</v>
      </c>
      <c r="I453" s="22" t="s">
        <v>559</v>
      </c>
      <c r="J453" s="20"/>
    </row>
    <row r="454" spans="3:10" x14ac:dyDescent="0.25">
      <c r="C454" s="21"/>
      <c r="D454" s="22" t="s">
        <v>1201</v>
      </c>
      <c r="E454" s="22" t="s">
        <v>1202</v>
      </c>
      <c r="F454" s="22" t="s">
        <v>557</v>
      </c>
      <c r="G454" s="23" t="s">
        <v>20</v>
      </c>
      <c r="H454" s="22" t="s">
        <v>558</v>
      </c>
      <c r="I454" s="22" t="s">
        <v>559</v>
      </c>
      <c r="J454" s="20"/>
    </row>
    <row r="455" spans="3:10" x14ac:dyDescent="0.25">
      <c r="C455" s="27"/>
      <c r="D455" s="28" t="s">
        <v>1203</v>
      </c>
      <c r="E455" s="28" t="s">
        <v>1204</v>
      </c>
      <c r="F455" s="28" t="s">
        <v>557</v>
      </c>
      <c r="G455" s="29" t="s">
        <v>20</v>
      </c>
      <c r="H455" s="28" t="s">
        <v>558</v>
      </c>
      <c r="I455" s="28" t="s">
        <v>559</v>
      </c>
      <c r="J455" s="26"/>
    </row>
    <row r="456" spans="3:10" x14ac:dyDescent="0.25">
      <c r="C456" s="21"/>
      <c r="D456" s="22" t="s">
        <v>98</v>
      </c>
      <c r="E456" s="22" t="s">
        <v>1205</v>
      </c>
      <c r="F456" s="22" t="s">
        <v>557</v>
      </c>
      <c r="G456" s="23" t="s">
        <v>20</v>
      </c>
      <c r="H456" s="22" t="s">
        <v>558</v>
      </c>
      <c r="I456" s="22" t="s">
        <v>559</v>
      </c>
      <c r="J456" s="20"/>
    </row>
    <row r="457" spans="3:10" x14ac:dyDescent="0.25">
      <c r="C457" s="21"/>
      <c r="D457" s="22" t="s">
        <v>1206</v>
      </c>
      <c r="E457" s="22" t="s">
        <v>1207</v>
      </c>
      <c r="F457" s="22" t="s">
        <v>557</v>
      </c>
      <c r="G457" s="23" t="s">
        <v>20</v>
      </c>
      <c r="H457" s="22" t="s">
        <v>558</v>
      </c>
      <c r="I457" s="22" t="s">
        <v>559</v>
      </c>
      <c r="J457" s="20"/>
    </row>
    <row r="458" spans="3:10" x14ac:dyDescent="0.25">
      <c r="C458" s="21"/>
      <c r="D458" s="22" t="s">
        <v>1208</v>
      </c>
      <c r="E458" s="22" t="s">
        <v>1209</v>
      </c>
      <c r="F458" s="22" t="s">
        <v>557</v>
      </c>
      <c r="G458" s="23" t="s">
        <v>20</v>
      </c>
      <c r="H458" s="22" t="s">
        <v>558</v>
      </c>
      <c r="I458" s="22" t="s">
        <v>559</v>
      </c>
      <c r="J458" s="20"/>
    </row>
    <row r="459" spans="3:10" x14ac:dyDescent="0.25">
      <c r="C459" s="21"/>
      <c r="D459" s="22" t="s">
        <v>540</v>
      </c>
      <c r="E459" s="22" t="s">
        <v>1210</v>
      </c>
      <c r="F459" s="22" t="s">
        <v>557</v>
      </c>
      <c r="G459" s="23" t="s">
        <v>20</v>
      </c>
      <c r="H459" s="22" t="s">
        <v>558</v>
      </c>
      <c r="I459" s="22" t="s">
        <v>559</v>
      </c>
      <c r="J459" s="20"/>
    </row>
    <row r="460" spans="3:10" x14ac:dyDescent="0.25">
      <c r="C460" s="21"/>
      <c r="D460" s="22" t="s">
        <v>334</v>
      </c>
      <c r="E460" s="22" t="s">
        <v>1211</v>
      </c>
      <c r="F460" s="22" t="s">
        <v>557</v>
      </c>
      <c r="G460" s="23" t="s">
        <v>20</v>
      </c>
      <c r="H460" s="22" t="s">
        <v>558</v>
      </c>
      <c r="I460" s="22" t="s">
        <v>559</v>
      </c>
      <c r="J460" s="20"/>
    </row>
    <row r="461" spans="3:10" x14ac:dyDescent="0.25">
      <c r="C461" s="21"/>
      <c r="D461" s="22" t="s">
        <v>483</v>
      </c>
      <c r="E461" s="22" t="s">
        <v>1212</v>
      </c>
      <c r="F461" s="22" t="s">
        <v>557</v>
      </c>
      <c r="G461" s="23" t="s">
        <v>20</v>
      </c>
      <c r="H461" s="22" t="s">
        <v>558</v>
      </c>
      <c r="I461" s="22" t="s">
        <v>559</v>
      </c>
      <c r="J461" s="20"/>
    </row>
    <row r="462" spans="3:10" x14ac:dyDescent="0.25">
      <c r="C462" s="21"/>
      <c r="D462" s="22" t="s">
        <v>146</v>
      </c>
      <c r="E462" s="22" t="s">
        <v>1213</v>
      </c>
      <c r="F462" s="22" t="s">
        <v>557</v>
      </c>
      <c r="G462" s="23" t="s">
        <v>20</v>
      </c>
      <c r="H462" s="22" t="s">
        <v>558</v>
      </c>
      <c r="I462" s="22" t="s">
        <v>559</v>
      </c>
      <c r="J462" s="20"/>
    </row>
    <row r="463" spans="3:10" x14ac:dyDescent="0.25">
      <c r="C463" s="21"/>
      <c r="D463" s="22" t="s">
        <v>484</v>
      </c>
      <c r="E463" s="22" t="s">
        <v>1214</v>
      </c>
      <c r="F463" s="22" t="s">
        <v>557</v>
      </c>
      <c r="G463" s="23" t="s">
        <v>20</v>
      </c>
      <c r="H463" s="22" t="s">
        <v>558</v>
      </c>
      <c r="I463" s="22" t="s">
        <v>559</v>
      </c>
      <c r="J463" s="20"/>
    </row>
    <row r="464" spans="3:10" x14ac:dyDescent="0.25">
      <c r="C464" s="21"/>
      <c r="D464" s="22" t="s">
        <v>1215</v>
      </c>
      <c r="E464" s="22" t="s">
        <v>1216</v>
      </c>
      <c r="F464" s="22" t="s">
        <v>557</v>
      </c>
      <c r="G464" s="24" t="s">
        <v>390</v>
      </c>
      <c r="H464" s="22" t="s">
        <v>558</v>
      </c>
      <c r="I464" s="22" t="s">
        <v>559</v>
      </c>
      <c r="J464" s="20"/>
    </row>
    <row r="465" spans="3:10" x14ac:dyDescent="0.25">
      <c r="C465" s="21"/>
      <c r="D465" s="22" t="s">
        <v>486</v>
      </c>
      <c r="E465" s="22" t="s">
        <v>1217</v>
      </c>
      <c r="F465" s="22" t="s">
        <v>557</v>
      </c>
      <c r="G465" s="23" t="s">
        <v>20</v>
      </c>
      <c r="H465" s="22" t="s">
        <v>558</v>
      </c>
      <c r="I465" s="22" t="s">
        <v>559</v>
      </c>
      <c r="J465" s="20"/>
    </row>
    <row r="466" spans="3:10" x14ac:dyDescent="0.25">
      <c r="C466" s="21"/>
      <c r="D466" s="22" t="s">
        <v>1218</v>
      </c>
      <c r="E466" s="22" t="s">
        <v>1219</v>
      </c>
      <c r="F466" s="22" t="s">
        <v>557</v>
      </c>
      <c r="G466" s="24" t="s">
        <v>390</v>
      </c>
      <c r="H466" s="22" t="s">
        <v>558</v>
      </c>
      <c r="I466" s="22" t="s">
        <v>559</v>
      </c>
      <c r="J466" s="20"/>
    </row>
    <row r="467" spans="3:10" x14ac:dyDescent="0.25">
      <c r="C467" s="21"/>
      <c r="D467" s="22" t="s">
        <v>487</v>
      </c>
      <c r="E467" s="22" t="s">
        <v>1220</v>
      </c>
      <c r="F467" s="22" t="s">
        <v>557</v>
      </c>
      <c r="G467" s="23" t="s">
        <v>20</v>
      </c>
      <c r="H467" s="22" t="s">
        <v>558</v>
      </c>
      <c r="I467" s="22" t="s">
        <v>559</v>
      </c>
      <c r="J467" s="20"/>
    </row>
    <row r="468" spans="3:10" x14ac:dyDescent="0.25">
      <c r="C468" s="21"/>
      <c r="D468" s="22" t="s">
        <v>81</v>
      </c>
      <c r="E468" s="22" t="s">
        <v>1221</v>
      </c>
      <c r="F468" s="22" t="s">
        <v>557</v>
      </c>
      <c r="G468" s="23" t="s">
        <v>20</v>
      </c>
      <c r="H468" s="22" t="s">
        <v>558</v>
      </c>
      <c r="I468" s="22" t="s">
        <v>559</v>
      </c>
      <c r="J468" s="20"/>
    </row>
    <row r="469" spans="3:10" x14ac:dyDescent="0.25">
      <c r="C469" s="21"/>
      <c r="D469" s="22" t="s">
        <v>488</v>
      </c>
      <c r="E469" s="22" t="s">
        <v>1222</v>
      </c>
      <c r="F469" s="22" t="s">
        <v>557</v>
      </c>
      <c r="G469" s="23" t="s">
        <v>20</v>
      </c>
      <c r="H469" s="22" t="s">
        <v>558</v>
      </c>
      <c r="I469" s="22" t="s">
        <v>559</v>
      </c>
      <c r="J469" s="20"/>
    </row>
    <row r="470" spans="3:10" x14ac:dyDescent="0.25">
      <c r="C470" s="21"/>
      <c r="D470" s="22" t="s">
        <v>350</v>
      </c>
      <c r="E470" s="22" t="s">
        <v>1223</v>
      </c>
      <c r="F470" s="22" t="s">
        <v>557</v>
      </c>
      <c r="G470" s="23" t="s">
        <v>20</v>
      </c>
      <c r="H470" s="22" t="s">
        <v>558</v>
      </c>
      <c r="I470" s="22" t="s">
        <v>559</v>
      </c>
      <c r="J470" s="20"/>
    </row>
    <row r="471" spans="3:10" x14ac:dyDescent="0.25">
      <c r="C471" s="21"/>
      <c r="D471" s="22" t="s">
        <v>1224</v>
      </c>
      <c r="E471" s="22" t="s">
        <v>1225</v>
      </c>
      <c r="F471" s="22" t="s">
        <v>557</v>
      </c>
      <c r="G471" s="23" t="s">
        <v>20</v>
      </c>
      <c r="H471" s="22" t="s">
        <v>558</v>
      </c>
      <c r="I471" s="22" t="s">
        <v>559</v>
      </c>
      <c r="J471" s="20"/>
    </row>
    <row r="472" spans="3:10" x14ac:dyDescent="0.25">
      <c r="C472" s="21"/>
      <c r="D472" s="22" t="s">
        <v>130</v>
      </c>
      <c r="E472" s="22" t="s">
        <v>1226</v>
      </c>
      <c r="F472" s="22" t="s">
        <v>557</v>
      </c>
      <c r="G472" s="23" t="s">
        <v>20</v>
      </c>
      <c r="H472" s="22" t="s">
        <v>558</v>
      </c>
      <c r="I472" s="22" t="s">
        <v>559</v>
      </c>
      <c r="J472" s="20"/>
    </row>
    <row r="473" spans="3:10" x14ac:dyDescent="0.25">
      <c r="C473" s="21"/>
      <c r="D473" s="22" t="s">
        <v>1227</v>
      </c>
      <c r="E473" s="22" t="s">
        <v>1228</v>
      </c>
      <c r="F473" s="22" t="s">
        <v>557</v>
      </c>
      <c r="G473" s="23" t="s">
        <v>20</v>
      </c>
      <c r="H473" s="22" t="s">
        <v>558</v>
      </c>
      <c r="I473" s="22" t="s">
        <v>559</v>
      </c>
      <c r="J473" s="20"/>
    </row>
    <row r="474" spans="3:10" x14ac:dyDescent="0.25">
      <c r="C474" s="21"/>
      <c r="D474" s="22" t="s">
        <v>1229</v>
      </c>
      <c r="E474" s="22" t="s">
        <v>1230</v>
      </c>
      <c r="F474" s="22" t="s">
        <v>557</v>
      </c>
      <c r="G474" s="23" t="s">
        <v>20</v>
      </c>
      <c r="H474" s="22" t="s">
        <v>558</v>
      </c>
      <c r="I474" s="22" t="s">
        <v>559</v>
      </c>
      <c r="J474" s="20"/>
    </row>
    <row r="475" spans="3:10" x14ac:dyDescent="0.25">
      <c r="C475" s="21"/>
      <c r="D475" s="22" t="s">
        <v>150</v>
      </c>
      <c r="E475" s="22" t="s">
        <v>1231</v>
      </c>
      <c r="F475" s="22" t="s">
        <v>557</v>
      </c>
      <c r="G475" s="23" t="s">
        <v>20</v>
      </c>
      <c r="H475" s="22" t="s">
        <v>558</v>
      </c>
      <c r="I475" s="22" t="s">
        <v>559</v>
      </c>
      <c r="J475" s="20"/>
    </row>
    <row r="476" spans="3:10" x14ac:dyDescent="0.25">
      <c r="C476" s="21"/>
      <c r="D476" s="22" t="s">
        <v>1232</v>
      </c>
      <c r="E476" s="22" t="s">
        <v>1233</v>
      </c>
      <c r="F476" s="22" t="s">
        <v>557</v>
      </c>
      <c r="G476" s="23" t="s">
        <v>20</v>
      </c>
      <c r="H476" s="22" t="s">
        <v>558</v>
      </c>
      <c r="I476" s="22" t="s">
        <v>559</v>
      </c>
      <c r="J476" s="20"/>
    </row>
    <row r="477" spans="3:10" x14ac:dyDescent="0.25">
      <c r="C477" s="21"/>
      <c r="D477" s="22" t="s">
        <v>1234</v>
      </c>
      <c r="E477" s="22" t="s">
        <v>1235</v>
      </c>
      <c r="F477" s="22" t="s">
        <v>557</v>
      </c>
      <c r="G477" s="23" t="s">
        <v>20</v>
      </c>
      <c r="H477" s="22" t="s">
        <v>558</v>
      </c>
      <c r="I477" s="22" t="s">
        <v>559</v>
      </c>
      <c r="J477" s="20"/>
    </row>
    <row r="478" spans="3:10" x14ac:dyDescent="0.25">
      <c r="C478" s="21"/>
      <c r="D478" s="22" t="s">
        <v>1236</v>
      </c>
      <c r="E478" s="22" t="s">
        <v>1237</v>
      </c>
      <c r="F478" s="22" t="s">
        <v>557</v>
      </c>
      <c r="G478" s="23" t="s">
        <v>20</v>
      </c>
      <c r="H478" s="22" t="s">
        <v>558</v>
      </c>
      <c r="I478" s="22" t="s">
        <v>559</v>
      </c>
      <c r="J478" s="20"/>
    </row>
    <row r="479" spans="3:10" x14ac:dyDescent="0.25">
      <c r="C479" s="21"/>
      <c r="D479" s="22" t="s">
        <v>284</v>
      </c>
      <c r="E479" s="22" t="s">
        <v>1238</v>
      </c>
      <c r="F479" s="22" t="s">
        <v>557</v>
      </c>
      <c r="G479" s="23" t="s">
        <v>20</v>
      </c>
      <c r="H479" s="22" t="s">
        <v>558</v>
      </c>
      <c r="I479" s="22" t="s">
        <v>559</v>
      </c>
      <c r="J479" s="20"/>
    </row>
    <row r="480" spans="3:10" x14ac:dyDescent="0.25">
      <c r="C480" s="21"/>
      <c r="D480" s="22" t="s">
        <v>1239</v>
      </c>
      <c r="E480" s="22" t="s">
        <v>1240</v>
      </c>
      <c r="F480" s="22" t="s">
        <v>644</v>
      </c>
      <c r="G480" s="24" t="s">
        <v>390</v>
      </c>
      <c r="H480" s="22" t="s">
        <v>558</v>
      </c>
      <c r="I480" s="22" t="s">
        <v>645</v>
      </c>
      <c r="J480" s="20"/>
    </row>
    <row r="481" spans="3:10" x14ac:dyDescent="0.25">
      <c r="C481" s="21"/>
      <c r="D481" s="22" t="s">
        <v>1241</v>
      </c>
      <c r="E481" s="22" t="s">
        <v>1242</v>
      </c>
      <c r="F481" s="22" t="s">
        <v>557</v>
      </c>
      <c r="G481" s="23" t="s">
        <v>20</v>
      </c>
      <c r="H481" s="22" t="s">
        <v>558</v>
      </c>
      <c r="I481" s="22" t="s">
        <v>559</v>
      </c>
      <c r="J481" s="20"/>
    </row>
    <row r="482" spans="3:10" x14ac:dyDescent="0.25">
      <c r="C482" s="21"/>
      <c r="D482" s="22" t="s">
        <v>318</v>
      </c>
      <c r="E482" s="22" t="s">
        <v>1243</v>
      </c>
      <c r="F482" s="22" t="s">
        <v>557</v>
      </c>
      <c r="G482" s="23" t="s">
        <v>20</v>
      </c>
      <c r="H482" s="22" t="s">
        <v>558</v>
      </c>
      <c r="I482" s="22" t="s">
        <v>559</v>
      </c>
      <c r="J482" s="20"/>
    </row>
    <row r="483" spans="3:10" x14ac:dyDescent="0.25">
      <c r="C483" s="21"/>
      <c r="D483" s="22" t="s">
        <v>490</v>
      </c>
      <c r="E483" s="22" t="s">
        <v>1244</v>
      </c>
      <c r="F483" s="22" t="s">
        <v>557</v>
      </c>
      <c r="G483" s="23" t="s">
        <v>20</v>
      </c>
      <c r="H483" s="22" t="s">
        <v>558</v>
      </c>
      <c r="I483" s="22" t="s">
        <v>559</v>
      </c>
      <c r="J483" s="20"/>
    </row>
    <row r="484" spans="3:10" x14ac:dyDescent="0.25">
      <c r="C484" s="21"/>
      <c r="D484" s="22" t="s">
        <v>1245</v>
      </c>
      <c r="E484" s="22" t="s">
        <v>1246</v>
      </c>
      <c r="F484" s="22" t="s">
        <v>557</v>
      </c>
      <c r="G484" s="23" t="s">
        <v>20</v>
      </c>
      <c r="H484" s="22" t="s">
        <v>558</v>
      </c>
      <c r="I484" s="22" t="s">
        <v>559</v>
      </c>
      <c r="J484" s="20"/>
    </row>
    <row r="485" spans="3:10" x14ac:dyDescent="0.25">
      <c r="C485" s="21"/>
      <c r="D485" s="22" t="s">
        <v>96</v>
      </c>
      <c r="E485" s="22" t="s">
        <v>1247</v>
      </c>
      <c r="F485" s="22" t="s">
        <v>557</v>
      </c>
      <c r="G485" s="23" t="s">
        <v>20</v>
      </c>
      <c r="H485" s="22" t="s">
        <v>558</v>
      </c>
      <c r="I485" s="22" t="s">
        <v>559</v>
      </c>
      <c r="J485" s="20"/>
    </row>
    <row r="486" spans="3:10" x14ac:dyDescent="0.25">
      <c r="C486" s="21"/>
      <c r="D486" s="22" t="s">
        <v>263</v>
      </c>
      <c r="E486" s="22" t="s">
        <v>1248</v>
      </c>
      <c r="F486" s="22" t="s">
        <v>557</v>
      </c>
      <c r="G486" s="23" t="s">
        <v>20</v>
      </c>
      <c r="H486" s="22" t="s">
        <v>558</v>
      </c>
      <c r="I486" s="22" t="s">
        <v>559</v>
      </c>
      <c r="J486" s="20"/>
    </row>
    <row r="487" spans="3:10" x14ac:dyDescent="0.25">
      <c r="C487" s="21"/>
      <c r="D487" s="22" t="s">
        <v>1249</v>
      </c>
      <c r="E487" s="22" t="s">
        <v>1250</v>
      </c>
      <c r="F487" s="22" t="s">
        <v>557</v>
      </c>
      <c r="G487" s="24" t="s">
        <v>390</v>
      </c>
      <c r="H487" s="22" t="s">
        <v>558</v>
      </c>
      <c r="I487" s="22" t="s">
        <v>559</v>
      </c>
      <c r="J487" s="20"/>
    </row>
    <row r="488" spans="3:10" x14ac:dyDescent="0.25">
      <c r="C488" s="21"/>
      <c r="D488" s="22" t="s">
        <v>1251</v>
      </c>
      <c r="E488" s="22" t="s">
        <v>1252</v>
      </c>
      <c r="F488" s="22" t="s">
        <v>557</v>
      </c>
      <c r="G488" s="24" t="s">
        <v>390</v>
      </c>
      <c r="H488" s="22" t="s">
        <v>558</v>
      </c>
      <c r="I488" s="22" t="s">
        <v>559</v>
      </c>
      <c r="J488" s="20"/>
    </row>
    <row r="489" spans="3:10" x14ac:dyDescent="0.25">
      <c r="C489" s="21"/>
      <c r="D489" s="22" t="s">
        <v>210</v>
      </c>
      <c r="E489" s="22" t="s">
        <v>1253</v>
      </c>
      <c r="F489" s="22" t="s">
        <v>557</v>
      </c>
      <c r="G489" s="23" t="s">
        <v>20</v>
      </c>
      <c r="H489" s="22" t="s">
        <v>558</v>
      </c>
      <c r="I489" s="22" t="s">
        <v>559</v>
      </c>
      <c r="J489" s="20"/>
    </row>
    <row r="490" spans="3:10" x14ac:dyDescent="0.25">
      <c r="C490" s="21"/>
      <c r="D490" s="22" t="s">
        <v>492</v>
      </c>
      <c r="E490" s="22" t="s">
        <v>1254</v>
      </c>
      <c r="F490" s="22" t="s">
        <v>557</v>
      </c>
      <c r="G490" s="23" t="s">
        <v>20</v>
      </c>
      <c r="H490" s="22" t="s">
        <v>558</v>
      </c>
      <c r="I490" s="22" t="s">
        <v>559</v>
      </c>
      <c r="J490" s="20"/>
    </row>
    <row r="491" spans="3:10" x14ac:dyDescent="0.25">
      <c r="C491" s="21"/>
      <c r="D491" s="22" t="s">
        <v>493</v>
      </c>
      <c r="E491" s="22" t="s">
        <v>1255</v>
      </c>
      <c r="F491" s="22" t="s">
        <v>557</v>
      </c>
      <c r="G491" s="23" t="s">
        <v>20</v>
      </c>
      <c r="H491" s="22" t="s">
        <v>558</v>
      </c>
      <c r="I491" s="22" t="s">
        <v>559</v>
      </c>
      <c r="J491" s="20"/>
    </row>
    <row r="492" spans="3:10" x14ac:dyDescent="0.25">
      <c r="C492" s="21"/>
      <c r="D492" s="22" t="s">
        <v>1256</v>
      </c>
      <c r="E492" s="22" t="s">
        <v>1257</v>
      </c>
      <c r="F492" s="22" t="s">
        <v>557</v>
      </c>
      <c r="G492" s="23" t="s">
        <v>20</v>
      </c>
      <c r="H492" s="22" t="s">
        <v>558</v>
      </c>
      <c r="I492" s="22" t="s">
        <v>559</v>
      </c>
      <c r="J492" s="20"/>
    </row>
    <row r="493" spans="3:10" x14ac:dyDescent="0.25">
      <c r="C493" s="21"/>
      <c r="D493" s="22" t="s">
        <v>1258</v>
      </c>
      <c r="E493" s="22" t="s">
        <v>1259</v>
      </c>
      <c r="F493" s="22" t="s">
        <v>557</v>
      </c>
      <c r="G493" s="24" t="s">
        <v>390</v>
      </c>
      <c r="H493" s="22" t="s">
        <v>558</v>
      </c>
      <c r="I493" s="22" t="s">
        <v>559</v>
      </c>
      <c r="J493" s="20"/>
    </row>
    <row r="494" spans="3:10" x14ac:dyDescent="0.25">
      <c r="C494" s="21"/>
      <c r="D494" s="22" t="s">
        <v>494</v>
      </c>
      <c r="E494" s="22" t="s">
        <v>1260</v>
      </c>
      <c r="F494" s="22" t="s">
        <v>557</v>
      </c>
      <c r="G494" s="23" t="s">
        <v>20</v>
      </c>
      <c r="H494" s="22" t="s">
        <v>558</v>
      </c>
      <c r="I494" s="22" t="s">
        <v>559</v>
      </c>
      <c r="J494" s="20"/>
    </row>
    <row r="495" spans="3:10" x14ac:dyDescent="0.25">
      <c r="C495" s="21"/>
      <c r="D495" s="22" t="s">
        <v>1261</v>
      </c>
      <c r="E495" s="22" t="s">
        <v>1262</v>
      </c>
      <c r="F495" s="22" t="s">
        <v>557</v>
      </c>
      <c r="G495" s="25" t="s">
        <v>214</v>
      </c>
      <c r="H495" s="22" t="s">
        <v>558</v>
      </c>
      <c r="I495" s="22" t="s">
        <v>559</v>
      </c>
      <c r="J495" s="20"/>
    </row>
    <row r="496" spans="3:10" x14ac:dyDescent="0.25">
      <c r="C496" s="21"/>
      <c r="D496" s="22" t="s">
        <v>1263</v>
      </c>
      <c r="E496" s="22" t="s">
        <v>1264</v>
      </c>
      <c r="F496" s="22" t="s">
        <v>557</v>
      </c>
      <c r="G496" s="23" t="s">
        <v>20</v>
      </c>
      <c r="H496" s="22" t="s">
        <v>558</v>
      </c>
      <c r="I496" s="22" t="s">
        <v>559</v>
      </c>
      <c r="J496" s="20"/>
    </row>
    <row r="497" spans="3:10" x14ac:dyDescent="0.25">
      <c r="C497" s="21"/>
      <c r="D497" s="22" t="s">
        <v>495</v>
      </c>
      <c r="E497" s="22" t="s">
        <v>1265</v>
      </c>
      <c r="F497" s="22" t="s">
        <v>557</v>
      </c>
      <c r="G497" s="23" t="s">
        <v>20</v>
      </c>
      <c r="H497" s="22" t="s">
        <v>558</v>
      </c>
      <c r="I497" s="22" t="s">
        <v>559</v>
      </c>
      <c r="J497" s="20"/>
    </row>
    <row r="498" spans="3:10" x14ac:dyDescent="0.25">
      <c r="C498" s="21"/>
      <c r="D498" s="22" t="s">
        <v>297</v>
      </c>
      <c r="E498" s="22" t="s">
        <v>1266</v>
      </c>
      <c r="F498" s="22" t="s">
        <v>557</v>
      </c>
      <c r="G498" s="23" t="s">
        <v>20</v>
      </c>
      <c r="H498" s="22" t="s">
        <v>558</v>
      </c>
      <c r="I498" s="22" t="s">
        <v>559</v>
      </c>
      <c r="J498" s="20"/>
    </row>
    <row r="499" spans="3:10" x14ac:dyDescent="0.25">
      <c r="C499" s="21"/>
      <c r="D499" s="22" t="s">
        <v>1267</v>
      </c>
      <c r="E499" s="22" t="s">
        <v>1268</v>
      </c>
      <c r="F499" s="22" t="s">
        <v>557</v>
      </c>
      <c r="G499" s="25" t="s">
        <v>214</v>
      </c>
      <c r="H499" s="22" t="s">
        <v>558</v>
      </c>
      <c r="I499" s="22" t="s">
        <v>559</v>
      </c>
      <c r="J499" s="20"/>
    </row>
    <row r="500" spans="3:10" x14ac:dyDescent="0.25">
      <c r="C500" s="21"/>
      <c r="D500" s="22" t="s">
        <v>1269</v>
      </c>
      <c r="E500" s="22" t="s">
        <v>1270</v>
      </c>
      <c r="F500" s="22" t="s">
        <v>557</v>
      </c>
      <c r="G500" s="23" t="s">
        <v>20</v>
      </c>
      <c r="H500" s="22" t="s">
        <v>558</v>
      </c>
      <c r="I500" s="22" t="s">
        <v>559</v>
      </c>
      <c r="J500" s="20"/>
    </row>
    <row r="501" spans="3:10" x14ac:dyDescent="0.25">
      <c r="C501" s="21"/>
      <c r="D501" s="22" t="s">
        <v>164</v>
      </c>
      <c r="E501" s="22" t="s">
        <v>1271</v>
      </c>
      <c r="F501" s="22" t="s">
        <v>557</v>
      </c>
      <c r="G501" s="23" t="s">
        <v>20</v>
      </c>
      <c r="H501" s="22" t="s">
        <v>558</v>
      </c>
      <c r="I501" s="22" t="s">
        <v>559</v>
      </c>
      <c r="J501" s="20"/>
    </row>
    <row r="502" spans="3:10" x14ac:dyDescent="0.25">
      <c r="C502" s="21"/>
      <c r="D502" s="22" t="s">
        <v>269</v>
      </c>
      <c r="E502" s="22" t="s">
        <v>1272</v>
      </c>
      <c r="F502" s="22" t="s">
        <v>557</v>
      </c>
      <c r="G502" s="23" t="s">
        <v>20</v>
      </c>
      <c r="H502" s="22" t="s">
        <v>558</v>
      </c>
      <c r="I502" s="22" t="s">
        <v>559</v>
      </c>
      <c r="J502" s="20"/>
    </row>
    <row r="503" spans="3:10" x14ac:dyDescent="0.25">
      <c r="C503" s="21"/>
      <c r="D503" s="22" t="s">
        <v>498</v>
      </c>
      <c r="E503" s="22" t="s">
        <v>1273</v>
      </c>
      <c r="F503" s="22" t="s">
        <v>557</v>
      </c>
      <c r="G503" s="23" t="s">
        <v>20</v>
      </c>
      <c r="H503" s="22" t="s">
        <v>558</v>
      </c>
      <c r="I503" s="22" t="s">
        <v>559</v>
      </c>
      <c r="J503" s="20"/>
    </row>
    <row r="504" spans="3:10" x14ac:dyDescent="0.25">
      <c r="C504" s="21"/>
      <c r="D504" s="22" t="s">
        <v>1274</v>
      </c>
      <c r="E504" s="22" t="s">
        <v>1275</v>
      </c>
      <c r="F504" s="22" t="s">
        <v>557</v>
      </c>
      <c r="G504" s="24" t="s">
        <v>390</v>
      </c>
      <c r="H504" s="22" t="s">
        <v>558</v>
      </c>
      <c r="I504" s="22" t="s">
        <v>559</v>
      </c>
      <c r="J504" s="20"/>
    </row>
    <row r="505" spans="3:10" x14ac:dyDescent="0.25">
      <c r="C505" s="21"/>
      <c r="D505" s="22" t="s">
        <v>500</v>
      </c>
      <c r="E505" s="22" t="s">
        <v>1276</v>
      </c>
      <c r="F505" s="22" t="s">
        <v>557</v>
      </c>
      <c r="G505" s="23" t="s">
        <v>20</v>
      </c>
      <c r="H505" s="22" t="s">
        <v>558</v>
      </c>
      <c r="I505" s="22" t="s">
        <v>559</v>
      </c>
      <c r="J505" s="20"/>
    </row>
    <row r="506" spans="3:10" x14ac:dyDescent="0.25">
      <c r="C506" s="27"/>
      <c r="D506" s="28" t="s">
        <v>1277</v>
      </c>
      <c r="E506" s="28" t="s">
        <v>1278</v>
      </c>
      <c r="F506" s="28" t="s">
        <v>557</v>
      </c>
      <c r="G506" s="29" t="s">
        <v>20</v>
      </c>
      <c r="H506" s="28" t="s">
        <v>558</v>
      </c>
      <c r="I506" s="28" t="s">
        <v>559</v>
      </c>
      <c r="J506" s="26"/>
    </row>
    <row r="507" spans="3:10" x14ac:dyDescent="0.25">
      <c r="C507" s="21"/>
      <c r="D507" s="22" t="s">
        <v>1279</v>
      </c>
      <c r="E507" s="22" t="s">
        <v>1280</v>
      </c>
      <c r="F507" s="22" t="s">
        <v>557</v>
      </c>
      <c r="G507" s="23" t="s">
        <v>20</v>
      </c>
      <c r="H507" s="22" t="s">
        <v>558</v>
      </c>
      <c r="I507" s="22" t="s">
        <v>559</v>
      </c>
      <c r="J507" s="20"/>
    </row>
    <row r="508" spans="3:10" x14ac:dyDescent="0.25">
      <c r="C508" s="21"/>
      <c r="D508" s="22" t="s">
        <v>1281</v>
      </c>
      <c r="E508" s="22" t="s">
        <v>1282</v>
      </c>
      <c r="F508" s="22" t="s">
        <v>557</v>
      </c>
      <c r="G508" s="23" t="s">
        <v>20</v>
      </c>
      <c r="H508" s="22" t="s">
        <v>558</v>
      </c>
      <c r="I508" s="22" t="s">
        <v>559</v>
      </c>
      <c r="J508" s="20"/>
    </row>
    <row r="509" spans="3:10" x14ac:dyDescent="0.25">
      <c r="C509" s="21"/>
      <c r="D509" s="22" t="s">
        <v>92</v>
      </c>
      <c r="E509" s="22" t="s">
        <v>1283</v>
      </c>
      <c r="F509" s="22" t="s">
        <v>557</v>
      </c>
      <c r="G509" s="23" t="s">
        <v>20</v>
      </c>
      <c r="H509" s="22" t="s">
        <v>558</v>
      </c>
      <c r="I509" s="22" t="s">
        <v>559</v>
      </c>
      <c r="J509" s="20"/>
    </row>
    <row r="510" spans="3:10" x14ac:dyDescent="0.25">
      <c r="C510" s="21"/>
      <c r="D510" s="22" t="s">
        <v>1284</v>
      </c>
      <c r="E510" s="22" t="s">
        <v>1285</v>
      </c>
      <c r="F510" s="22" t="s">
        <v>557</v>
      </c>
      <c r="G510" s="23" t="s">
        <v>20</v>
      </c>
      <c r="H510" s="22" t="s">
        <v>558</v>
      </c>
      <c r="I510" s="22" t="s">
        <v>559</v>
      </c>
      <c r="J510" s="20"/>
    </row>
    <row r="511" spans="3:10" x14ac:dyDescent="0.25">
      <c r="C511" s="21"/>
      <c r="D511" s="22" t="s">
        <v>332</v>
      </c>
      <c r="E511" s="22" t="s">
        <v>1286</v>
      </c>
      <c r="F511" s="22" t="s">
        <v>557</v>
      </c>
      <c r="G511" s="23" t="s">
        <v>20</v>
      </c>
      <c r="H511" s="22" t="s">
        <v>558</v>
      </c>
      <c r="I511" s="22" t="s">
        <v>559</v>
      </c>
      <c r="J511" s="20"/>
    </row>
    <row r="512" spans="3:10" x14ac:dyDescent="0.25">
      <c r="C512" s="21"/>
      <c r="D512" s="22" t="s">
        <v>283</v>
      </c>
      <c r="E512" s="22" t="s">
        <v>1287</v>
      </c>
      <c r="F512" s="22" t="s">
        <v>557</v>
      </c>
      <c r="G512" s="23" t="s">
        <v>20</v>
      </c>
      <c r="H512" s="22" t="s">
        <v>558</v>
      </c>
      <c r="I512" s="22" t="s">
        <v>559</v>
      </c>
      <c r="J512" s="20"/>
    </row>
    <row r="513" spans="3:10" x14ac:dyDescent="0.25">
      <c r="C513" s="21"/>
      <c r="D513" s="22" t="s">
        <v>1288</v>
      </c>
      <c r="E513" s="22" t="s">
        <v>1289</v>
      </c>
      <c r="F513" s="22" t="s">
        <v>557</v>
      </c>
      <c r="G513" s="25" t="s">
        <v>214</v>
      </c>
      <c r="H513" s="22" t="s">
        <v>558</v>
      </c>
      <c r="I513" s="22" t="s">
        <v>559</v>
      </c>
      <c r="J513" s="20"/>
    </row>
    <row r="514" spans="3:10" x14ac:dyDescent="0.25">
      <c r="C514" s="21"/>
      <c r="D514" s="22" t="s">
        <v>179</v>
      </c>
      <c r="E514" s="22" t="s">
        <v>1290</v>
      </c>
      <c r="F514" s="22" t="s">
        <v>557</v>
      </c>
      <c r="G514" s="23" t="s">
        <v>20</v>
      </c>
      <c r="H514" s="22" t="s">
        <v>558</v>
      </c>
      <c r="I514" s="22" t="s">
        <v>559</v>
      </c>
      <c r="J514" s="20"/>
    </row>
    <row r="515" spans="3:10" x14ac:dyDescent="0.25">
      <c r="C515" s="21"/>
      <c r="D515" s="22" t="s">
        <v>1291</v>
      </c>
      <c r="E515" s="22" t="s">
        <v>1292</v>
      </c>
      <c r="F515" s="22" t="s">
        <v>557</v>
      </c>
      <c r="G515" s="23" t="s">
        <v>20</v>
      </c>
      <c r="H515" s="22" t="s">
        <v>558</v>
      </c>
      <c r="I515" s="22" t="s">
        <v>559</v>
      </c>
      <c r="J515" s="20"/>
    </row>
    <row r="516" spans="3:10" x14ac:dyDescent="0.25">
      <c r="C516" s="21"/>
      <c r="D516" s="22" t="s">
        <v>271</v>
      </c>
      <c r="E516" s="22" t="s">
        <v>1293</v>
      </c>
      <c r="F516" s="22" t="s">
        <v>557</v>
      </c>
      <c r="G516" s="23" t="s">
        <v>20</v>
      </c>
      <c r="H516" s="22" t="s">
        <v>558</v>
      </c>
      <c r="I516" s="22" t="s">
        <v>559</v>
      </c>
      <c r="J516" s="20"/>
    </row>
    <row r="517" spans="3:10" x14ac:dyDescent="0.25">
      <c r="C517" s="21"/>
      <c r="D517" s="22" t="s">
        <v>344</v>
      </c>
      <c r="E517" s="22" t="s">
        <v>1294</v>
      </c>
      <c r="F517" s="22" t="s">
        <v>557</v>
      </c>
      <c r="G517" s="23" t="s">
        <v>20</v>
      </c>
      <c r="H517" s="22" t="s">
        <v>558</v>
      </c>
      <c r="I517" s="22" t="s">
        <v>559</v>
      </c>
      <c r="J517" s="20"/>
    </row>
    <row r="518" spans="3:10" x14ac:dyDescent="0.25">
      <c r="C518" s="21"/>
      <c r="D518" s="22" t="s">
        <v>503</v>
      </c>
      <c r="E518" s="22" t="s">
        <v>1295</v>
      </c>
      <c r="F518" s="22" t="s">
        <v>557</v>
      </c>
      <c r="G518" s="23" t="s">
        <v>20</v>
      </c>
      <c r="H518" s="22" t="s">
        <v>558</v>
      </c>
      <c r="I518" s="22" t="s">
        <v>559</v>
      </c>
      <c r="J518" s="20"/>
    </row>
    <row r="519" spans="3:10" x14ac:dyDescent="0.25">
      <c r="C519" s="21"/>
      <c r="D519" s="22" t="s">
        <v>1296</v>
      </c>
      <c r="E519" s="22" t="s">
        <v>1297</v>
      </c>
      <c r="F519" s="22" t="s">
        <v>557</v>
      </c>
      <c r="G519" s="24" t="s">
        <v>390</v>
      </c>
      <c r="H519" s="22" t="s">
        <v>558</v>
      </c>
      <c r="I519" s="22" t="s">
        <v>559</v>
      </c>
      <c r="J519" s="20"/>
    </row>
    <row r="520" spans="3:10" x14ac:dyDescent="0.25">
      <c r="C520" s="21"/>
      <c r="D520" s="22" t="s">
        <v>1298</v>
      </c>
      <c r="E520" s="22" t="s">
        <v>1299</v>
      </c>
      <c r="F520" s="22" t="s">
        <v>557</v>
      </c>
      <c r="G520" s="24" t="s">
        <v>390</v>
      </c>
      <c r="H520" s="22" t="s">
        <v>558</v>
      </c>
      <c r="I520" s="22" t="s">
        <v>559</v>
      </c>
      <c r="J520" s="20"/>
    </row>
    <row r="521" spans="3:10" x14ac:dyDescent="0.25">
      <c r="C521" s="21"/>
      <c r="D521" s="22" t="s">
        <v>111</v>
      </c>
      <c r="E521" s="22" t="s">
        <v>1300</v>
      </c>
      <c r="F521" s="22" t="s">
        <v>557</v>
      </c>
      <c r="G521" s="23" t="s">
        <v>20</v>
      </c>
      <c r="H521" s="22" t="s">
        <v>558</v>
      </c>
      <c r="I521" s="22" t="s">
        <v>559</v>
      </c>
      <c r="J521" s="20"/>
    </row>
    <row r="522" spans="3:10" x14ac:dyDescent="0.25">
      <c r="C522" s="21"/>
      <c r="D522" s="22" t="s">
        <v>217</v>
      </c>
      <c r="E522" s="22" t="s">
        <v>1301</v>
      </c>
      <c r="F522" s="22" t="s">
        <v>557</v>
      </c>
      <c r="G522" s="23" t="s">
        <v>20</v>
      </c>
      <c r="H522" s="22" t="s">
        <v>558</v>
      </c>
      <c r="I522" s="22" t="s">
        <v>559</v>
      </c>
      <c r="J522" s="20"/>
    </row>
    <row r="523" spans="3:10" x14ac:dyDescent="0.25">
      <c r="C523" s="21"/>
      <c r="D523" s="22" t="s">
        <v>120</v>
      </c>
      <c r="E523" s="22" t="s">
        <v>1302</v>
      </c>
      <c r="F523" s="22" t="s">
        <v>557</v>
      </c>
      <c r="G523" s="23" t="s">
        <v>20</v>
      </c>
      <c r="H523" s="22" t="s">
        <v>558</v>
      </c>
      <c r="I523" s="22" t="s">
        <v>559</v>
      </c>
      <c r="J523" s="20"/>
    </row>
    <row r="524" spans="3:10" x14ac:dyDescent="0.25">
      <c r="C524" s="21"/>
      <c r="D524" s="22" t="s">
        <v>73</v>
      </c>
      <c r="E524" s="22" t="s">
        <v>1303</v>
      </c>
      <c r="F524" s="22" t="s">
        <v>557</v>
      </c>
      <c r="G524" s="23" t="s">
        <v>20</v>
      </c>
      <c r="H524" s="22" t="s">
        <v>558</v>
      </c>
      <c r="I524" s="22" t="s">
        <v>559</v>
      </c>
      <c r="J524" s="20"/>
    </row>
    <row r="525" spans="3:10" x14ac:dyDescent="0.25">
      <c r="C525" s="21"/>
      <c r="D525" s="22" t="s">
        <v>505</v>
      </c>
      <c r="E525" s="22" t="s">
        <v>1304</v>
      </c>
      <c r="F525" s="22" t="s">
        <v>557</v>
      </c>
      <c r="G525" s="23" t="s">
        <v>20</v>
      </c>
      <c r="H525" s="22" t="s">
        <v>558</v>
      </c>
      <c r="I525" s="22" t="s">
        <v>559</v>
      </c>
      <c r="J525" s="20"/>
    </row>
    <row r="526" spans="3:10" x14ac:dyDescent="0.25">
      <c r="C526" s="21"/>
      <c r="D526" s="22" t="s">
        <v>136</v>
      </c>
      <c r="E526" s="22" t="s">
        <v>1305</v>
      </c>
      <c r="F526" s="22" t="s">
        <v>557</v>
      </c>
      <c r="G526" s="23" t="s">
        <v>20</v>
      </c>
      <c r="H526" s="22" t="s">
        <v>558</v>
      </c>
      <c r="I526" s="22" t="s">
        <v>559</v>
      </c>
      <c r="J526" s="20"/>
    </row>
    <row r="527" spans="3:10" x14ac:dyDescent="0.25">
      <c r="C527" s="21"/>
      <c r="D527" s="22" t="s">
        <v>1306</v>
      </c>
      <c r="E527" s="22" t="s">
        <v>1307</v>
      </c>
      <c r="F527" s="22" t="s">
        <v>557</v>
      </c>
      <c r="G527" s="24" t="s">
        <v>390</v>
      </c>
      <c r="H527" s="22" t="s">
        <v>558</v>
      </c>
      <c r="I527" s="22" t="s">
        <v>559</v>
      </c>
      <c r="J527" s="20"/>
    </row>
    <row r="528" spans="3:10" x14ac:dyDescent="0.25">
      <c r="C528" s="21"/>
      <c r="D528" s="22" t="s">
        <v>19</v>
      </c>
      <c r="E528" s="22" t="s">
        <v>1308</v>
      </c>
      <c r="F528" s="22" t="s">
        <v>557</v>
      </c>
      <c r="G528" s="24" t="s">
        <v>390</v>
      </c>
      <c r="H528" s="22" t="s">
        <v>558</v>
      </c>
      <c r="I528" s="22" t="s">
        <v>559</v>
      </c>
      <c r="J528" s="20"/>
    </row>
    <row r="529" spans="3:10" x14ac:dyDescent="0.25">
      <c r="C529" s="21"/>
      <c r="D529" s="22" t="s">
        <v>1309</v>
      </c>
      <c r="E529" s="22" t="s">
        <v>1310</v>
      </c>
      <c r="F529" s="22" t="s">
        <v>557</v>
      </c>
      <c r="G529" s="23" t="s">
        <v>20</v>
      </c>
      <c r="H529" s="22" t="s">
        <v>558</v>
      </c>
      <c r="I529" s="22" t="s">
        <v>645</v>
      </c>
      <c r="J529" s="20"/>
    </row>
    <row r="530" spans="3:10" x14ac:dyDescent="0.25">
      <c r="C530" s="21"/>
      <c r="D530" s="22" t="s">
        <v>507</v>
      </c>
      <c r="E530" s="22" t="s">
        <v>1311</v>
      </c>
      <c r="F530" s="22" t="s">
        <v>557</v>
      </c>
      <c r="G530" s="23" t="s">
        <v>20</v>
      </c>
      <c r="H530" s="22" t="s">
        <v>558</v>
      </c>
      <c r="I530" s="22" t="s">
        <v>559</v>
      </c>
      <c r="J530" s="20"/>
    </row>
    <row r="531" spans="3:10" x14ac:dyDescent="0.25">
      <c r="C531" s="21"/>
      <c r="D531" s="22" t="s">
        <v>140</v>
      </c>
      <c r="E531" s="22" t="s">
        <v>1312</v>
      </c>
      <c r="F531" s="22" t="s">
        <v>557</v>
      </c>
      <c r="G531" s="23" t="s">
        <v>20</v>
      </c>
      <c r="H531" s="22" t="s">
        <v>558</v>
      </c>
      <c r="I531" s="22" t="s">
        <v>559</v>
      </c>
      <c r="J531" s="20"/>
    </row>
    <row r="532" spans="3:10" x14ac:dyDescent="0.25">
      <c r="C532" s="21"/>
      <c r="D532" s="22" t="s">
        <v>1313</v>
      </c>
      <c r="E532" s="22" t="s">
        <v>1314</v>
      </c>
      <c r="F532" s="22" t="s">
        <v>557</v>
      </c>
      <c r="G532" s="24" t="s">
        <v>390</v>
      </c>
      <c r="H532" s="22" t="s">
        <v>558</v>
      </c>
      <c r="I532" s="22" t="s">
        <v>559</v>
      </c>
      <c r="J532" s="20"/>
    </row>
    <row r="533" spans="3:10" x14ac:dyDescent="0.25">
      <c r="C533" s="21"/>
      <c r="D533" s="22" t="s">
        <v>509</v>
      </c>
      <c r="E533" s="22" t="s">
        <v>1315</v>
      </c>
      <c r="F533" s="22" t="s">
        <v>557</v>
      </c>
      <c r="G533" s="23" t="s">
        <v>20</v>
      </c>
      <c r="H533" s="22" t="s">
        <v>558</v>
      </c>
      <c r="I533" s="22" t="s">
        <v>559</v>
      </c>
      <c r="J533" s="20"/>
    </row>
    <row r="534" spans="3:10" x14ac:dyDescent="0.25">
      <c r="C534" s="21"/>
      <c r="D534" s="22" t="s">
        <v>1316</v>
      </c>
      <c r="E534" s="22" t="s">
        <v>1317</v>
      </c>
      <c r="F534" s="22" t="s">
        <v>557</v>
      </c>
      <c r="G534" s="23" t="s">
        <v>20</v>
      </c>
      <c r="H534" s="22" t="s">
        <v>558</v>
      </c>
      <c r="I534" s="22" t="s">
        <v>559</v>
      </c>
      <c r="J534" s="20"/>
    </row>
    <row r="535" spans="3:10" x14ac:dyDescent="0.25">
      <c r="C535" s="21"/>
      <c r="D535" s="22" t="s">
        <v>1318</v>
      </c>
      <c r="E535" s="22" t="s">
        <v>1319</v>
      </c>
      <c r="F535" s="22" t="s">
        <v>557</v>
      </c>
      <c r="G535" s="23" t="s">
        <v>20</v>
      </c>
      <c r="H535" s="22" t="s">
        <v>558</v>
      </c>
      <c r="I535" s="22" t="s">
        <v>559</v>
      </c>
      <c r="J535" s="20"/>
    </row>
    <row r="536" spans="3:10" x14ac:dyDescent="0.25">
      <c r="C536" s="21"/>
      <c r="D536" s="22" t="s">
        <v>1320</v>
      </c>
      <c r="E536" s="22" t="s">
        <v>1321</v>
      </c>
      <c r="F536" s="22" t="s">
        <v>557</v>
      </c>
      <c r="G536" s="32" t="s">
        <v>982</v>
      </c>
      <c r="H536" s="22" t="s">
        <v>558</v>
      </c>
      <c r="I536" s="22" t="s">
        <v>559</v>
      </c>
      <c r="J536" s="20"/>
    </row>
    <row r="537" spans="3:10" x14ac:dyDescent="0.25">
      <c r="C537" s="21"/>
      <c r="D537" s="22" t="s">
        <v>87</v>
      </c>
      <c r="E537" s="22" t="s">
        <v>1322</v>
      </c>
      <c r="F537" s="22" t="s">
        <v>557</v>
      </c>
      <c r="G537" s="23" t="s">
        <v>20</v>
      </c>
      <c r="H537" s="22" t="s">
        <v>558</v>
      </c>
      <c r="I537" s="22" t="s">
        <v>559</v>
      </c>
      <c r="J537" s="20"/>
    </row>
    <row r="538" spans="3:10" x14ac:dyDescent="0.25">
      <c r="C538" s="21"/>
      <c r="D538" s="22" t="s">
        <v>39</v>
      </c>
      <c r="E538" s="22" t="s">
        <v>1323</v>
      </c>
      <c r="F538" s="22" t="s">
        <v>557</v>
      </c>
      <c r="G538" s="23" t="s">
        <v>20</v>
      </c>
      <c r="H538" s="22" t="s">
        <v>558</v>
      </c>
      <c r="I538" s="22" t="s">
        <v>559</v>
      </c>
      <c r="J538" s="20"/>
    </row>
    <row r="539" spans="3:10" x14ac:dyDescent="0.25">
      <c r="C539" s="21"/>
      <c r="D539" s="22" t="s">
        <v>510</v>
      </c>
      <c r="E539" s="22" t="s">
        <v>1324</v>
      </c>
      <c r="F539" s="22" t="s">
        <v>557</v>
      </c>
      <c r="G539" s="24" t="s">
        <v>390</v>
      </c>
      <c r="H539" s="22" t="s">
        <v>558</v>
      </c>
      <c r="I539" s="22" t="s">
        <v>559</v>
      </c>
      <c r="J539" s="20"/>
    </row>
    <row r="540" spans="3:10" x14ac:dyDescent="0.25">
      <c r="C540" s="21"/>
      <c r="D540" s="22" t="s">
        <v>102</v>
      </c>
      <c r="E540" s="22" t="s">
        <v>1325</v>
      </c>
      <c r="F540" s="22" t="s">
        <v>557</v>
      </c>
      <c r="G540" s="23" t="s">
        <v>20</v>
      </c>
      <c r="H540" s="22" t="s">
        <v>558</v>
      </c>
      <c r="I540" s="22" t="s">
        <v>559</v>
      </c>
      <c r="J540" s="20"/>
    </row>
    <row r="541" spans="3:10" x14ac:dyDescent="0.25">
      <c r="C541" s="21"/>
      <c r="D541" s="22" t="s">
        <v>377</v>
      </c>
      <c r="E541" s="22" t="s">
        <v>1326</v>
      </c>
      <c r="F541" s="22" t="s">
        <v>557</v>
      </c>
      <c r="G541" s="23" t="s">
        <v>20</v>
      </c>
      <c r="H541" s="22" t="s">
        <v>558</v>
      </c>
      <c r="I541" s="22" t="s">
        <v>559</v>
      </c>
      <c r="J541" s="20"/>
    </row>
    <row r="542" spans="3:10" x14ac:dyDescent="0.25">
      <c r="C542" s="21"/>
      <c r="D542" s="22" t="s">
        <v>255</v>
      </c>
      <c r="E542" s="22" t="s">
        <v>1327</v>
      </c>
      <c r="F542" s="22" t="s">
        <v>557</v>
      </c>
      <c r="G542" s="23" t="s">
        <v>20</v>
      </c>
      <c r="H542" s="22" t="s">
        <v>558</v>
      </c>
      <c r="I542" s="22" t="s">
        <v>559</v>
      </c>
      <c r="J542" s="20"/>
    </row>
    <row r="543" spans="3:10" x14ac:dyDescent="0.25">
      <c r="C543" s="21"/>
      <c r="D543" s="22" t="s">
        <v>1328</v>
      </c>
      <c r="E543" s="22" t="s">
        <v>1329</v>
      </c>
      <c r="F543" s="22" t="s">
        <v>557</v>
      </c>
      <c r="G543" s="23" t="s">
        <v>20</v>
      </c>
      <c r="H543" s="22" t="s">
        <v>558</v>
      </c>
      <c r="I543" s="22" t="s">
        <v>559</v>
      </c>
      <c r="J543" s="20"/>
    </row>
    <row r="544" spans="3:10" x14ac:dyDescent="0.25">
      <c r="C544" s="21"/>
      <c r="D544" s="22" t="s">
        <v>257</v>
      </c>
      <c r="E544" s="22" t="s">
        <v>1330</v>
      </c>
      <c r="F544" s="22" t="s">
        <v>557</v>
      </c>
      <c r="G544" s="23" t="s">
        <v>20</v>
      </c>
      <c r="H544" s="22" t="s">
        <v>558</v>
      </c>
      <c r="I544" s="22" t="s">
        <v>559</v>
      </c>
      <c r="J544" s="20"/>
    </row>
    <row r="545" spans="3:10" x14ac:dyDescent="0.25">
      <c r="C545" s="21"/>
      <c r="D545" s="22" t="s">
        <v>324</v>
      </c>
      <c r="E545" s="22" t="s">
        <v>1331</v>
      </c>
      <c r="F545" s="22" t="s">
        <v>557</v>
      </c>
      <c r="G545" s="23" t="s">
        <v>20</v>
      </c>
      <c r="H545" s="22" t="s">
        <v>558</v>
      </c>
      <c r="I545" s="22" t="s">
        <v>559</v>
      </c>
      <c r="J545" s="20"/>
    </row>
    <row r="546" spans="3:10" x14ac:dyDescent="0.25">
      <c r="C546" s="21"/>
      <c r="D546" s="22" t="s">
        <v>305</v>
      </c>
      <c r="E546" s="22" t="s">
        <v>1332</v>
      </c>
      <c r="F546" s="22" t="s">
        <v>557</v>
      </c>
      <c r="G546" s="23" t="s">
        <v>20</v>
      </c>
      <c r="H546" s="22" t="s">
        <v>558</v>
      </c>
      <c r="I546" s="22" t="s">
        <v>559</v>
      </c>
      <c r="J546" s="20"/>
    </row>
    <row r="547" spans="3:10" x14ac:dyDescent="0.25">
      <c r="C547" s="21"/>
      <c r="D547" s="22" t="s">
        <v>511</v>
      </c>
      <c r="E547" s="22" t="s">
        <v>1333</v>
      </c>
      <c r="F547" s="22" t="s">
        <v>557</v>
      </c>
      <c r="G547" s="23" t="s">
        <v>20</v>
      </c>
      <c r="H547" s="22" t="s">
        <v>558</v>
      </c>
      <c r="I547" s="22" t="s">
        <v>559</v>
      </c>
      <c r="J547" s="20"/>
    </row>
    <row r="548" spans="3:10" x14ac:dyDescent="0.25">
      <c r="C548" s="21"/>
      <c r="D548" s="22" t="s">
        <v>513</v>
      </c>
      <c r="E548" s="22" t="s">
        <v>1334</v>
      </c>
      <c r="F548" s="22" t="s">
        <v>557</v>
      </c>
      <c r="G548" s="23" t="s">
        <v>20</v>
      </c>
      <c r="H548" s="22" t="s">
        <v>558</v>
      </c>
      <c r="I548" s="22" t="s">
        <v>559</v>
      </c>
      <c r="J548" s="20"/>
    </row>
    <row r="549" spans="3:10" x14ac:dyDescent="0.25">
      <c r="C549" s="21"/>
      <c r="D549" s="22" t="s">
        <v>1335</v>
      </c>
      <c r="E549" s="22" t="s">
        <v>1336</v>
      </c>
      <c r="F549" s="22" t="s">
        <v>644</v>
      </c>
      <c r="G549" s="24" t="s">
        <v>390</v>
      </c>
      <c r="H549" s="22" t="s">
        <v>558</v>
      </c>
      <c r="I549" s="22" t="s">
        <v>645</v>
      </c>
      <c r="J549" s="20"/>
    </row>
    <row r="550" spans="3:10" x14ac:dyDescent="0.25">
      <c r="C550" s="21"/>
      <c r="D550" s="22" t="s">
        <v>251</v>
      </c>
      <c r="E550" s="22" t="s">
        <v>1337</v>
      </c>
      <c r="F550" s="22" t="s">
        <v>557</v>
      </c>
      <c r="G550" s="23" t="s">
        <v>20</v>
      </c>
      <c r="H550" s="22" t="s">
        <v>558</v>
      </c>
      <c r="I550" s="22" t="s">
        <v>559</v>
      </c>
      <c r="J550" s="20"/>
    </row>
    <row r="551" spans="3:10" x14ac:dyDescent="0.25">
      <c r="C551" s="21"/>
      <c r="D551" s="22" t="s">
        <v>541</v>
      </c>
      <c r="E551" s="22" t="s">
        <v>1338</v>
      </c>
      <c r="F551" s="22" t="s">
        <v>557</v>
      </c>
      <c r="G551" s="23" t="s">
        <v>20</v>
      </c>
      <c r="H551" s="22" t="s">
        <v>558</v>
      </c>
      <c r="I551" s="22" t="s">
        <v>559</v>
      </c>
      <c r="J551" s="20"/>
    </row>
    <row r="552" spans="3:10" x14ac:dyDescent="0.25">
      <c r="C552" s="21"/>
      <c r="D552" s="22" t="s">
        <v>515</v>
      </c>
      <c r="E552" s="22" t="s">
        <v>1339</v>
      </c>
      <c r="F552" s="22" t="s">
        <v>557</v>
      </c>
      <c r="G552" s="23" t="s">
        <v>20</v>
      </c>
      <c r="H552" s="22" t="s">
        <v>558</v>
      </c>
      <c r="I552" s="22" t="s">
        <v>559</v>
      </c>
      <c r="J552" s="20"/>
    </row>
    <row r="553" spans="3:10" x14ac:dyDescent="0.25">
      <c r="C553" s="21"/>
      <c r="D553" s="22" t="s">
        <v>49</v>
      </c>
      <c r="E553" s="22" t="s">
        <v>1340</v>
      </c>
      <c r="F553" s="22" t="s">
        <v>557</v>
      </c>
      <c r="G553" s="23" t="s">
        <v>20</v>
      </c>
      <c r="H553" s="22" t="s">
        <v>558</v>
      </c>
      <c r="I553" s="22" t="s">
        <v>559</v>
      </c>
      <c r="J553" s="20"/>
    </row>
    <row r="554" spans="3:10" x14ac:dyDescent="0.25">
      <c r="C554" s="21"/>
      <c r="D554" s="22" t="s">
        <v>254</v>
      </c>
      <c r="E554" s="22" t="s">
        <v>1341</v>
      </c>
      <c r="F554" s="22" t="s">
        <v>557</v>
      </c>
      <c r="G554" s="23" t="s">
        <v>20</v>
      </c>
      <c r="H554" s="22" t="s">
        <v>558</v>
      </c>
      <c r="I554" s="22" t="s">
        <v>559</v>
      </c>
      <c r="J554" s="20"/>
    </row>
    <row r="555" spans="3:10" x14ac:dyDescent="0.25">
      <c r="C555" s="21"/>
      <c r="D555" s="22" t="s">
        <v>517</v>
      </c>
      <c r="E555" s="22" t="s">
        <v>1342</v>
      </c>
      <c r="F555" s="22" t="s">
        <v>557</v>
      </c>
      <c r="G555" s="23" t="s">
        <v>20</v>
      </c>
      <c r="H555" s="22" t="s">
        <v>558</v>
      </c>
      <c r="I555" s="22" t="s">
        <v>559</v>
      </c>
      <c r="J555" s="20"/>
    </row>
    <row r="556" spans="3:10" x14ac:dyDescent="0.25">
      <c r="C556" s="27"/>
      <c r="D556" s="28" t="s">
        <v>1343</v>
      </c>
      <c r="E556" s="28" t="s">
        <v>1344</v>
      </c>
      <c r="F556" s="28" t="s">
        <v>557</v>
      </c>
      <c r="G556" s="31" t="s">
        <v>390</v>
      </c>
      <c r="H556" s="28" t="s">
        <v>558</v>
      </c>
      <c r="I556" s="28" t="s">
        <v>559</v>
      </c>
      <c r="J556" s="26"/>
    </row>
    <row r="557" spans="3:10" x14ac:dyDescent="0.25">
      <c r="C557" s="21"/>
      <c r="D557" s="22" t="s">
        <v>129</v>
      </c>
      <c r="E557" s="22" t="s">
        <v>1345</v>
      </c>
      <c r="F557" s="22" t="s">
        <v>557</v>
      </c>
      <c r="G557" s="23" t="s">
        <v>20</v>
      </c>
      <c r="H557" s="22" t="s">
        <v>558</v>
      </c>
      <c r="I557" s="22" t="s">
        <v>559</v>
      </c>
      <c r="J557" s="20"/>
    </row>
    <row r="558" spans="3:10" x14ac:dyDescent="0.25">
      <c r="C558" s="21"/>
      <c r="D558" s="22" t="s">
        <v>1346</v>
      </c>
      <c r="E558" s="22" t="s">
        <v>1347</v>
      </c>
      <c r="F558" s="22" t="s">
        <v>568</v>
      </c>
      <c r="G558" s="24" t="s">
        <v>390</v>
      </c>
      <c r="H558" s="22" t="s">
        <v>558</v>
      </c>
      <c r="I558" s="22" t="s">
        <v>559</v>
      </c>
      <c r="J558" s="20"/>
    </row>
    <row r="559" spans="3:10" x14ac:dyDescent="0.25">
      <c r="C559" s="21"/>
      <c r="D559" s="22" t="s">
        <v>103</v>
      </c>
      <c r="E559" s="22" t="s">
        <v>1348</v>
      </c>
      <c r="F559" s="22" t="s">
        <v>557</v>
      </c>
      <c r="G559" s="23" t="s">
        <v>20</v>
      </c>
      <c r="H559" s="22" t="s">
        <v>558</v>
      </c>
      <c r="I559" s="22" t="s">
        <v>559</v>
      </c>
      <c r="J559" s="20"/>
    </row>
    <row r="560" spans="3:10" x14ac:dyDescent="0.25">
      <c r="C560" s="21"/>
      <c r="D560" s="22" t="s">
        <v>542</v>
      </c>
      <c r="E560" s="22" t="s">
        <v>1349</v>
      </c>
      <c r="F560" s="22" t="s">
        <v>557</v>
      </c>
      <c r="G560" s="23" t="s">
        <v>20</v>
      </c>
      <c r="H560" s="22" t="s">
        <v>558</v>
      </c>
      <c r="I560" s="22" t="s">
        <v>559</v>
      </c>
      <c r="J560" s="20"/>
    </row>
    <row r="561" spans="3:10" x14ac:dyDescent="0.25">
      <c r="C561" s="21"/>
      <c r="D561" s="22" t="s">
        <v>279</v>
      </c>
      <c r="E561" s="22" t="s">
        <v>1350</v>
      </c>
      <c r="F561" s="22" t="s">
        <v>557</v>
      </c>
      <c r="G561" s="23" t="s">
        <v>20</v>
      </c>
      <c r="H561" s="22" t="s">
        <v>558</v>
      </c>
      <c r="I561" s="22" t="s">
        <v>559</v>
      </c>
      <c r="J561" s="20"/>
    </row>
    <row r="562" spans="3:10" x14ac:dyDescent="0.25">
      <c r="C562" s="21"/>
      <c r="D562" s="22" t="s">
        <v>1351</v>
      </c>
      <c r="E562" s="22" t="s">
        <v>1352</v>
      </c>
      <c r="F562" s="22" t="s">
        <v>557</v>
      </c>
      <c r="G562" s="23" t="s">
        <v>20</v>
      </c>
      <c r="H562" s="22" t="s">
        <v>558</v>
      </c>
      <c r="I562" s="22" t="s">
        <v>559</v>
      </c>
      <c r="J562" s="20"/>
    </row>
    <row r="563" spans="3:10" x14ac:dyDescent="0.25">
      <c r="C563" s="21"/>
      <c r="D563" s="22" t="s">
        <v>1353</v>
      </c>
      <c r="E563" s="22" t="s">
        <v>1354</v>
      </c>
      <c r="F563" s="22" t="s">
        <v>557</v>
      </c>
      <c r="G563" s="23" t="s">
        <v>20</v>
      </c>
      <c r="H563" s="22" t="s">
        <v>558</v>
      </c>
      <c r="I563" s="22" t="s">
        <v>559</v>
      </c>
      <c r="J563" s="20"/>
    </row>
    <row r="564" spans="3:10" x14ac:dyDescent="0.25">
      <c r="C564" s="21"/>
      <c r="D564" s="22" t="s">
        <v>1355</v>
      </c>
      <c r="E564" s="22" t="s">
        <v>1356</v>
      </c>
      <c r="F564" s="22" t="s">
        <v>557</v>
      </c>
      <c r="G564" s="23" t="s">
        <v>20</v>
      </c>
      <c r="H564" s="22" t="s">
        <v>558</v>
      </c>
      <c r="I564" s="22" t="s">
        <v>559</v>
      </c>
      <c r="J564" s="20"/>
    </row>
    <row r="565" spans="3:10" x14ac:dyDescent="0.25">
      <c r="C565" s="21"/>
      <c r="D565" s="22" t="s">
        <v>1357</v>
      </c>
      <c r="E565" s="22" t="s">
        <v>1358</v>
      </c>
      <c r="F565" s="22" t="s">
        <v>557</v>
      </c>
      <c r="G565" s="23" t="s">
        <v>20</v>
      </c>
      <c r="H565" s="22" t="s">
        <v>558</v>
      </c>
      <c r="I565" s="22" t="s">
        <v>559</v>
      </c>
      <c r="J565" s="20"/>
    </row>
    <row r="566" spans="3:10" x14ac:dyDescent="0.25">
      <c r="C566" s="21"/>
      <c r="D566" s="22" t="s">
        <v>1359</v>
      </c>
      <c r="E566" s="22" t="s">
        <v>1360</v>
      </c>
      <c r="F566" s="22" t="s">
        <v>557</v>
      </c>
      <c r="G566" s="23" t="s">
        <v>20</v>
      </c>
      <c r="H566" s="22" t="s">
        <v>558</v>
      </c>
      <c r="I566" s="22" t="s">
        <v>559</v>
      </c>
      <c r="J566" s="20"/>
    </row>
    <row r="567" spans="3:10" x14ac:dyDescent="0.25">
      <c r="C567" s="21"/>
      <c r="D567" s="22" t="s">
        <v>303</v>
      </c>
      <c r="E567" s="22" t="s">
        <v>1361</v>
      </c>
      <c r="F567" s="22" t="s">
        <v>557</v>
      </c>
      <c r="G567" s="23" t="s">
        <v>20</v>
      </c>
      <c r="H567" s="22" t="s">
        <v>558</v>
      </c>
      <c r="I567" s="22" t="s">
        <v>559</v>
      </c>
      <c r="J567" s="20"/>
    </row>
    <row r="568" spans="3:10" x14ac:dyDescent="0.25">
      <c r="C568" s="21"/>
      <c r="D568" s="22" t="s">
        <v>519</v>
      </c>
      <c r="E568" s="22" t="s">
        <v>1362</v>
      </c>
      <c r="F568" s="22" t="s">
        <v>557</v>
      </c>
      <c r="G568" s="23" t="s">
        <v>20</v>
      </c>
      <c r="H568" s="22" t="s">
        <v>558</v>
      </c>
      <c r="I568" s="22" t="s">
        <v>559</v>
      </c>
      <c r="J568" s="20"/>
    </row>
    <row r="569" spans="3:10" x14ac:dyDescent="0.25">
      <c r="C569" s="21"/>
      <c r="D569" s="22" t="s">
        <v>327</v>
      </c>
      <c r="E569" s="22" t="s">
        <v>1363</v>
      </c>
      <c r="F569" s="22" t="s">
        <v>557</v>
      </c>
      <c r="G569" s="23" t="s">
        <v>20</v>
      </c>
      <c r="H569" s="22" t="s">
        <v>558</v>
      </c>
      <c r="I569" s="22" t="s">
        <v>559</v>
      </c>
      <c r="J569" s="20"/>
    </row>
    <row r="570" spans="3:10" x14ac:dyDescent="0.25">
      <c r="C570" s="21"/>
      <c r="D570" s="22" t="s">
        <v>1364</v>
      </c>
      <c r="E570" s="22" t="s">
        <v>1365</v>
      </c>
      <c r="F570" s="22" t="s">
        <v>557</v>
      </c>
      <c r="G570" s="23" t="s">
        <v>20</v>
      </c>
      <c r="H570" s="22" t="s">
        <v>558</v>
      </c>
      <c r="I570" s="22" t="s">
        <v>559</v>
      </c>
      <c r="J570" s="20"/>
    </row>
    <row r="571" spans="3:10" x14ac:dyDescent="0.25">
      <c r="C571" s="21"/>
      <c r="D571" s="22" t="s">
        <v>1366</v>
      </c>
      <c r="E571" s="22" t="s">
        <v>1367</v>
      </c>
      <c r="F571" s="22" t="s">
        <v>557</v>
      </c>
      <c r="G571" s="23" t="s">
        <v>20</v>
      </c>
      <c r="H571" s="22" t="s">
        <v>558</v>
      </c>
      <c r="I571" s="22" t="s">
        <v>559</v>
      </c>
      <c r="J571" s="20"/>
    </row>
    <row r="572" spans="3:10" x14ac:dyDescent="0.25">
      <c r="C572" s="21"/>
      <c r="D572" s="22" t="s">
        <v>1368</v>
      </c>
      <c r="E572" s="22" t="s">
        <v>1369</v>
      </c>
      <c r="F572" s="22" t="s">
        <v>557</v>
      </c>
      <c r="G572" s="24" t="s">
        <v>390</v>
      </c>
      <c r="H572" s="22" t="s">
        <v>558</v>
      </c>
      <c r="I572" s="22" t="s">
        <v>559</v>
      </c>
      <c r="J572" s="20"/>
    </row>
    <row r="573" spans="3:10" x14ac:dyDescent="0.25">
      <c r="C573" s="21"/>
      <c r="D573" s="22" t="s">
        <v>520</v>
      </c>
      <c r="E573" s="22" t="s">
        <v>1370</v>
      </c>
      <c r="F573" s="22" t="s">
        <v>557</v>
      </c>
      <c r="G573" s="23" t="s">
        <v>20</v>
      </c>
      <c r="H573" s="22" t="s">
        <v>558</v>
      </c>
      <c r="I573" s="22" t="s">
        <v>559</v>
      </c>
      <c r="J573" s="20"/>
    </row>
    <row r="574" spans="3:10" x14ac:dyDescent="0.25">
      <c r="C574" s="21"/>
      <c r="D574" s="22" t="s">
        <v>45</v>
      </c>
      <c r="E574" s="22" t="s">
        <v>1371</v>
      </c>
      <c r="F574" s="22" t="s">
        <v>557</v>
      </c>
      <c r="G574" s="23" t="s">
        <v>20</v>
      </c>
      <c r="H574" s="22" t="s">
        <v>558</v>
      </c>
      <c r="I574" s="22" t="s">
        <v>559</v>
      </c>
      <c r="J574" s="20"/>
    </row>
    <row r="575" spans="3:10" x14ac:dyDescent="0.25">
      <c r="C575" s="21"/>
      <c r="D575" s="22" t="s">
        <v>523</v>
      </c>
      <c r="E575" s="22" t="s">
        <v>1372</v>
      </c>
      <c r="F575" s="22" t="s">
        <v>557</v>
      </c>
      <c r="G575" s="23" t="s">
        <v>20</v>
      </c>
      <c r="H575" s="22" t="s">
        <v>558</v>
      </c>
      <c r="I575" s="22" t="s">
        <v>559</v>
      </c>
      <c r="J575" s="20"/>
    </row>
    <row r="576" spans="3:10" x14ac:dyDescent="0.25">
      <c r="C576" s="21"/>
      <c r="D576" s="22" t="s">
        <v>232</v>
      </c>
      <c r="E576" s="22" t="s">
        <v>1373</v>
      </c>
      <c r="F576" s="22" t="s">
        <v>557</v>
      </c>
      <c r="G576" s="23" t="s">
        <v>20</v>
      </c>
      <c r="H576" s="22" t="s">
        <v>558</v>
      </c>
      <c r="I576" s="22" t="s">
        <v>559</v>
      </c>
      <c r="J576" s="20"/>
    </row>
    <row r="577" spans="3:10" x14ac:dyDescent="0.25">
      <c r="C577" s="21"/>
      <c r="D577" s="22" t="s">
        <v>1374</v>
      </c>
      <c r="E577" s="22" t="s">
        <v>1375</v>
      </c>
      <c r="F577" s="22" t="s">
        <v>557</v>
      </c>
      <c r="G577" s="24" t="s">
        <v>390</v>
      </c>
      <c r="H577" s="22" t="s">
        <v>558</v>
      </c>
      <c r="I577" s="22" t="s">
        <v>559</v>
      </c>
      <c r="J577" s="20"/>
    </row>
    <row r="578" spans="3:10" x14ac:dyDescent="0.25">
      <c r="C578" s="21"/>
      <c r="D578" s="22" t="s">
        <v>72</v>
      </c>
      <c r="E578" s="22" t="s">
        <v>1376</v>
      </c>
      <c r="F578" s="22" t="s">
        <v>557</v>
      </c>
      <c r="G578" s="23" t="s">
        <v>20</v>
      </c>
      <c r="H578" s="22" t="s">
        <v>558</v>
      </c>
      <c r="I578" s="22" t="s">
        <v>559</v>
      </c>
      <c r="J578" s="20"/>
    </row>
    <row r="579" spans="3:10" x14ac:dyDescent="0.25">
      <c r="C579" s="21"/>
      <c r="D579" s="22" t="s">
        <v>1377</v>
      </c>
      <c r="E579" s="22" t="s">
        <v>1378</v>
      </c>
      <c r="F579" s="22" t="s">
        <v>557</v>
      </c>
      <c r="G579" s="24" t="s">
        <v>390</v>
      </c>
      <c r="H579" s="22" t="s">
        <v>558</v>
      </c>
      <c r="I579" s="22" t="s">
        <v>559</v>
      </c>
      <c r="J579" s="20"/>
    </row>
    <row r="580" spans="3:10" x14ac:dyDescent="0.25">
      <c r="C580" s="21"/>
      <c r="D580" s="22" t="s">
        <v>259</v>
      </c>
      <c r="E580" s="22" t="s">
        <v>1379</v>
      </c>
      <c r="F580" s="22" t="s">
        <v>557</v>
      </c>
      <c r="G580" s="23" t="s">
        <v>20</v>
      </c>
      <c r="H580" s="22" t="s">
        <v>558</v>
      </c>
      <c r="I580" s="22" t="s">
        <v>559</v>
      </c>
      <c r="J580" s="20"/>
    </row>
    <row r="581" spans="3:10" x14ac:dyDescent="0.25">
      <c r="C581" s="21"/>
      <c r="D581" s="22" t="s">
        <v>1380</v>
      </c>
      <c r="E581" s="22" t="s">
        <v>1381</v>
      </c>
      <c r="F581" s="22" t="s">
        <v>557</v>
      </c>
      <c r="G581" s="23" t="s">
        <v>20</v>
      </c>
      <c r="H581" s="22" t="s">
        <v>558</v>
      </c>
      <c r="I581" s="22" t="s">
        <v>559</v>
      </c>
      <c r="J581" s="20"/>
    </row>
    <row r="582" spans="3:10" x14ac:dyDescent="0.25">
      <c r="C582" s="21"/>
      <c r="D582" s="22" t="s">
        <v>201</v>
      </c>
      <c r="E582" s="22" t="s">
        <v>1382</v>
      </c>
      <c r="F582" s="22" t="s">
        <v>557</v>
      </c>
      <c r="G582" s="23" t="s">
        <v>20</v>
      </c>
      <c r="H582" s="22" t="s">
        <v>558</v>
      </c>
      <c r="I582" s="22" t="s">
        <v>559</v>
      </c>
      <c r="J582" s="20"/>
    </row>
    <row r="583" spans="3:10" x14ac:dyDescent="0.25">
      <c r="C583" s="21"/>
      <c r="D583" s="22" t="s">
        <v>294</v>
      </c>
      <c r="E583" s="22" t="s">
        <v>1383</v>
      </c>
      <c r="F583" s="22" t="s">
        <v>557</v>
      </c>
      <c r="G583" s="23" t="s">
        <v>20</v>
      </c>
      <c r="H583" s="22" t="s">
        <v>558</v>
      </c>
      <c r="I583" s="22" t="s">
        <v>559</v>
      </c>
      <c r="J583" s="20"/>
    </row>
    <row r="584" spans="3:10" x14ac:dyDescent="0.25">
      <c r="C584" s="21"/>
      <c r="D584" s="22" t="s">
        <v>1384</v>
      </c>
      <c r="E584" s="22" t="s">
        <v>1385</v>
      </c>
      <c r="F584" s="22" t="s">
        <v>557</v>
      </c>
      <c r="G584" s="24" t="s">
        <v>390</v>
      </c>
      <c r="H584" s="22" t="s">
        <v>558</v>
      </c>
      <c r="I584" s="22" t="s">
        <v>559</v>
      </c>
      <c r="J584" s="20"/>
    </row>
    <row r="585" spans="3:10" x14ac:dyDescent="0.25">
      <c r="C585" s="21"/>
      <c r="D585" s="22" t="s">
        <v>1386</v>
      </c>
      <c r="E585" s="22" t="s">
        <v>1387</v>
      </c>
      <c r="F585" s="22" t="s">
        <v>557</v>
      </c>
      <c r="G585" s="24" t="s">
        <v>390</v>
      </c>
      <c r="H585" s="22" t="s">
        <v>558</v>
      </c>
      <c r="I585" s="22" t="s">
        <v>559</v>
      </c>
      <c r="J585" s="20"/>
    </row>
    <row r="586" spans="3:10" x14ac:dyDescent="0.25">
      <c r="C586" s="21"/>
      <c r="D586" s="22" t="s">
        <v>208</v>
      </c>
      <c r="E586" s="22" t="s">
        <v>1388</v>
      </c>
      <c r="F586" s="22" t="s">
        <v>557</v>
      </c>
      <c r="G586" s="23" t="s">
        <v>20</v>
      </c>
      <c r="H586" s="22" t="s">
        <v>558</v>
      </c>
      <c r="I586" s="22" t="s">
        <v>559</v>
      </c>
      <c r="J586" s="20"/>
    </row>
    <row r="587" spans="3:10" x14ac:dyDescent="0.25">
      <c r="C587" s="21"/>
      <c r="D587" s="22" t="s">
        <v>41</v>
      </c>
      <c r="E587" s="22" t="s">
        <v>1389</v>
      </c>
      <c r="F587" s="22" t="s">
        <v>557</v>
      </c>
      <c r="G587" s="23" t="s">
        <v>20</v>
      </c>
      <c r="H587" s="22" t="s">
        <v>558</v>
      </c>
      <c r="I587" s="22" t="s">
        <v>559</v>
      </c>
      <c r="J587" s="20"/>
    </row>
    <row r="588" spans="3:10" x14ac:dyDescent="0.25">
      <c r="C588" s="21"/>
      <c r="D588" s="22" t="s">
        <v>223</v>
      </c>
      <c r="E588" s="22" t="s">
        <v>1390</v>
      </c>
      <c r="F588" s="22" t="s">
        <v>557</v>
      </c>
      <c r="G588" s="23" t="s">
        <v>20</v>
      </c>
      <c r="H588" s="22" t="s">
        <v>558</v>
      </c>
      <c r="I588" s="22" t="s">
        <v>559</v>
      </c>
      <c r="J588" s="20"/>
    </row>
    <row r="589" spans="3:10" x14ac:dyDescent="0.25">
      <c r="C589" s="21"/>
      <c r="D589" s="22" t="s">
        <v>374</v>
      </c>
      <c r="E589" s="22" t="s">
        <v>1391</v>
      </c>
      <c r="F589" s="22" t="s">
        <v>557</v>
      </c>
      <c r="G589" s="23" t="s">
        <v>20</v>
      </c>
      <c r="H589" s="22" t="s">
        <v>558</v>
      </c>
      <c r="I589" s="22" t="s">
        <v>559</v>
      </c>
      <c r="J589" s="20"/>
    </row>
    <row r="590" spans="3:10" x14ac:dyDescent="0.25">
      <c r="C590" s="21"/>
      <c r="D590" s="22" t="s">
        <v>1392</v>
      </c>
      <c r="E590" s="22" t="s">
        <v>1393</v>
      </c>
      <c r="F590" s="22" t="s">
        <v>557</v>
      </c>
      <c r="G590" s="25" t="s">
        <v>214</v>
      </c>
      <c r="H590" s="22" t="s">
        <v>558</v>
      </c>
      <c r="I590" s="22" t="s">
        <v>559</v>
      </c>
      <c r="J590" s="20"/>
    </row>
    <row r="591" spans="3:10" x14ac:dyDescent="0.25">
      <c r="C591" s="21"/>
      <c r="D591" s="22" t="s">
        <v>290</v>
      </c>
      <c r="E591" s="22" t="s">
        <v>1394</v>
      </c>
      <c r="F591" s="22" t="s">
        <v>557</v>
      </c>
      <c r="G591" s="25" t="s">
        <v>214</v>
      </c>
      <c r="H591" s="22" t="s">
        <v>558</v>
      </c>
      <c r="I591" s="22" t="s">
        <v>559</v>
      </c>
      <c r="J591" s="20"/>
    </row>
    <row r="592" spans="3:10" x14ac:dyDescent="0.25">
      <c r="C592" s="21"/>
      <c r="D592" s="22" t="s">
        <v>526</v>
      </c>
      <c r="E592" s="22" t="s">
        <v>1395</v>
      </c>
      <c r="F592" s="22" t="s">
        <v>557</v>
      </c>
      <c r="G592" s="23" t="s">
        <v>20</v>
      </c>
      <c r="H592" s="22" t="s">
        <v>558</v>
      </c>
      <c r="I592" s="22" t="s">
        <v>559</v>
      </c>
      <c r="J592" s="20"/>
    </row>
    <row r="593" spans="3:10" x14ac:dyDescent="0.25">
      <c r="C593" s="21"/>
      <c r="D593" s="22" t="s">
        <v>1396</v>
      </c>
      <c r="E593" s="22" t="s">
        <v>1397</v>
      </c>
      <c r="F593" s="22" t="s">
        <v>557</v>
      </c>
      <c r="G593" s="24" t="s">
        <v>390</v>
      </c>
      <c r="H593" s="22" t="s">
        <v>558</v>
      </c>
      <c r="I593" s="22" t="s">
        <v>559</v>
      </c>
      <c r="J593" s="20"/>
    </row>
    <row r="594" spans="3:10" x14ac:dyDescent="0.25">
      <c r="C594" s="21"/>
      <c r="D594" s="22" t="s">
        <v>544</v>
      </c>
      <c r="E594" s="22" t="s">
        <v>1398</v>
      </c>
      <c r="F594" s="22" t="s">
        <v>557</v>
      </c>
      <c r="G594" s="23" t="s">
        <v>20</v>
      </c>
      <c r="H594" s="22" t="s">
        <v>558</v>
      </c>
      <c r="I594" s="22" t="s">
        <v>559</v>
      </c>
      <c r="J594" s="20"/>
    </row>
    <row r="595" spans="3:10" x14ac:dyDescent="0.25">
      <c r="C595" s="21"/>
      <c r="D595" s="22" t="s">
        <v>135</v>
      </c>
      <c r="E595" s="22" t="s">
        <v>1399</v>
      </c>
      <c r="F595" s="22" t="s">
        <v>557</v>
      </c>
      <c r="G595" s="23" t="s">
        <v>20</v>
      </c>
      <c r="H595" s="22" t="s">
        <v>558</v>
      </c>
      <c r="I595" s="22" t="s">
        <v>559</v>
      </c>
      <c r="J595" s="20"/>
    </row>
    <row r="596" spans="3:10" x14ac:dyDescent="0.25">
      <c r="C596" s="21"/>
      <c r="D596" s="22" t="s">
        <v>529</v>
      </c>
      <c r="E596" s="22" t="s">
        <v>1400</v>
      </c>
      <c r="F596" s="22" t="s">
        <v>557</v>
      </c>
      <c r="G596" s="23" t="s">
        <v>20</v>
      </c>
      <c r="H596" s="22" t="s">
        <v>558</v>
      </c>
      <c r="I596" s="22" t="s">
        <v>559</v>
      </c>
      <c r="J596" s="20"/>
    </row>
    <row r="597" spans="3:10" x14ac:dyDescent="0.25">
      <c r="C597" s="21"/>
      <c r="D597" s="22" t="s">
        <v>1401</v>
      </c>
      <c r="E597" s="22" t="s">
        <v>1402</v>
      </c>
      <c r="F597" s="22" t="s">
        <v>557</v>
      </c>
      <c r="G597" s="23" t="s">
        <v>20</v>
      </c>
      <c r="H597" s="22" t="s">
        <v>558</v>
      </c>
      <c r="I597" s="22" t="s">
        <v>559</v>
      </c>
      <c r="J597" s="20"/>
    </row>
    <row r="598" spans="3:10" x14ac:dyDescent="0.25">
      <c r="C598" s="21"/>
      <c r="D598" s="22" t="s">
        <v>365</v>
      </c>
      <c r="E598" s="22" t="s">
        <v>1403</v>
      </c>
      <c r="F598" s="22" t="s">
        <v>557</v>
      </c>
      <c r="G598" s="23" t="s">
        <v>20</v>
      </c>
      <c r="H598" s="22" t="s">
        <v>558</v>
      </c>
      <c r="I598" s="22" t="s">
        <v>559</v>
      </c>
      <c r="J598" s="20"/>
    </row>
    <row r="599" spans="3:10" x14ac:dyDescent="0.25">
      <c r="C599" s="21"/>
      <c r="D599" s="22" t="s">
        <v>1404</v>
      </c>
      <c r="E599" s="22" t="s">
        <v>1405</v>
      </c>
      <c r="F599" s="22" t="s">
        <v>557</v>
      </c>
      <c r="G599" s="23" t="s">
        <v>20</v>
      </c>
      <c r="H599" s="22" t="s">
        <v>558</v>
      </c>
      <c r="I599" s="22" t="s">
        <v>559</v>
      </c>
      <c r="J599" s="20"/>
    </row>
    <row r="600" spans="3:10" x14ac:dyDescent="0.25">
      <c r="C600" s="21"/>
      <c r="D600" s="22" t="s">
        <v>1406</v>
      </c>
      <c r="E600" s="22" t="s">
        <v>1407</v>
      </c>
      <c r="F600" s="22" t="s">
        <v>557</v>
      </c>
      <c r="G600" s="23" t="s">
        <v>20</v>
      </c>
      <c r="H600" s="22" t="s">
        <v>558</v>
      </c>
      <c r="I600" s="22" t="s">
        <v>559</v>
      </c>
      <c r="J600" s="20"/>
    </row>
    <row r="601" spans="3:10" x14ac:dyDescent="0.25">
      <c r="C601" s="21"/>
      <c r="D601" s="22" t="s">
        <v>128</v>
      </c>
      <c r="E601" s="22" t="s">
        <v>1408</v>
      </c>
      <c r="F601" s="22" t="s">
        <v>557</v>
      </c>
      <c r="G601" s="23" t="s">
        <v>20</v>
      </c>
      <c r="H601" s="22" t="s">
        <v>558</v>
      </c>
      <c r="I601" s="22" t="s">
        <v>559</v>
      </c>
      <c r="J601" s="20"/>
    </row>
    <row r="602" spans="3:10" x14ac:dyDescent="0.25">
      <c r="C602" s="21"/>
      <c r="D602" s="22" t="s">
        <v>1409</v>
      </c>
      <c r="E602" s="22" t="s">
        <v>1410</v>
      </c>
      <c r="F602" s="22" t="s">
        <v>557</v>
      </c>
      <c r="G602" s="23" t="s">
        <v>20</v>
      </c>
      <c r="H602" s="22" t="s">
        <v>558</v>
      </c>
      <c r="I602" s="22" t="s">
        <v>559</v>
      </c>
      <c r="J602" s="20"/>
    </row>
    <row r="603" spans="3:10" x14ac:dyDescent="0.25">
      <c r="C603" s="21"/>
      <c r="D603" s="22" t="s">
        <v>299</v>
      </c>
      <c r="E603" s="22" t="s">
        <v>1411</v>
      </c>
      <c r="F603" s="22" t="s">
        <v>557</v>
      </c>
      <c r="G603" s="23" t="s">
        <v>20</v>
      </c>
      <c r="H603" s="22" t="s">
        <v>558</v>
      </c>
      <c r="I603" s="22" t="s">
        <v>559</v>
      </c>
      <c r="J603" s="20"/>
    </row>
    <row r="604" spans="3:10" x14ac:dyDescent="0.25">
      <c r="C604" s="21"/>
      <c r="D604" s="22" t="s">
        <v>530</v>
      </c>
      <c r="E604" s="22" t="s">
        <v>1412</v>
      </c>
      <c r="F604" s="22" t="s">
        <v>557</v>
      </c>
      <c r="G604" s="23" t="s">
        <v>20</v>
      </c>
      <c r="H604" s="22" t="s">
        <v>558</v>
      </c>
      <c r="I604" s="22" t="s">
        <v>559</v>
      </c>
      <c r="J604" s="20"/>
    </row>
    <row r="605" spans="3:10" x14ac:dyDescent="0.25">
      <c r="C605" s="21"/>
      <c r="D605" s="22" t="s">
        <v>1413</v>
      </c>
      <c r="E605" s="22" t="s">
        <v>1414</v>
      </c>
      <c r="F605" s="22" t="s">
        <v>557</v>
      </c>
      <c r="G605" s="25" t="s">
        <v>214</v>
      </c>
      <c r="H605" s="22" t="s">
        <v>558</v>
      </c>
      <c r="I605" s="22" t="s">
        <v>559</v>
      </c>
      <c r="J605" s="20"/>
    </row>
    <row r="606" spans="3:10" x14ac:dyDescent="0.25">
      <c r="C606" s="27"/>
      <c r="D606" s="28" t="s">
        <v>1415</v>
      </c>
      <c r="E606" s="28" t="s">
        <v>1416</v>
      </c>
      <c r="F606" s="28" t="s">
        <v>557</v>
      </c>
      <c r="G606" s="29" t="s">
        <v>20</v>
      </c>
      <c r="H606" s="28" t="s">
        <v>558</v>
      </c>
      <c r="I606" s="28" t="s">
        <v>559</v>
      </c>
      <c r="J606" s="26"/>
    </row>
    <row r="607" spans="3:10" x14ac:dyDescent="0.25">
      <c r="C607" s="21"/>
      <c r="D607" s="22" t="s">
        <v>1417</v>
      </c>
      <c r="E607" s="22" t="s">
        <v>1418</v>
      </c>
      <c r="F607" s="22" t="s">
        <v>557</v>
      </c>
      <c r="G607" s="23" t="s">
        <v>20</v>
      </c>
      <c r="H607" s="22" t="s">
        <v>558</v>
      </c>
      <c r="I607" s="22" t="s">
        <v>559</v>
      </c>
      <c r="J607" s="20"/>
    </row>
  </sheetData>
  <mergeCells count="7">
    <mergeCell ref="J405:J406"/>
    <mergeCell ref="C405:C406"/>
    <mergeCell ref="D405:D406"/>
    <mergeCell ref="F405:F406"/>
    <mergeCell ref="G405:G406"/>
    <mergeCell ref="H405:H406"/>
    <mergeCell ref="I405:I406"/>
  </mergeCells>
  <hyperlinks>
    <hyperlink ref="C3" r:id="rId1" display="https://amp.vexpenses.com/settings/membros-de-equipe/895944" xr:uid="{2BF38B27-4EE2-4102-883C-06043A3016BB}"/>
    <hyperlink ref="C4" r:id="rId2" display="https://amp.vexpenses.com/settings/membros-de-equipe/923558" xr:uid="{67F3584C-20F4-4A1D-BE86-843FA6437EEA}"/>
    <hyperlink ref="C5" r:id="rId3" display="https://amp.vexpenses.com/settings/membros-de-equipe/895945" xr:uid="{145968C3-FF55-4727-A5F3-D4C70FC88DF4}"/>
    <hyperlink ref="C6" r:id="rId4" display="https://amp.vexpenses.com/settings/membros-de-equipe/895946" xr:uid="{A55D3933-85A9-4842-920F-61ACA28378DD}"/>
    <hyperlink ref="C7" r:id="rId5" display="https://amp.vexpenses.com/settings/membros-de-equipe/1071869" xr:uid="{F0D18D48-F79E-411F-BC4A-E3A51CC04C69}"/>
    <hyperlink ref="C8" r:id="rId6" display="https://amp.vexpenses.com/settings/membros-de-equipe/895947" xr:uid="{2E1C46F4-80DA-4620-881E-27FC28A661DE}"/>
    <hyperlink ref="C9" r:id="rId7" display="https://amp.vexpenses.com/settings/membros-de-equipe/895948" xr:uid="{073C7B5B-9CD2-4AF2-B092-BACC90B41C17}"/>
    <hyperlink ref="C10" r:id="rId8" display="https://amp.vexpenses.com/settings/membros-de-equipe/895949" xr:uid="{E9587B3A-0476-42C5-87DE-EFC2E7CE96C8}"/>
    <hyperlink ref="C11" r:id="rId9" display="https://amp.vexpenses.com/settings/membros-de-equipe/978182" xr:uid="{77B376BB-FFE1-407D-9AFC-F93BF2F4A9FB}"/>
    <hyperlink ref="C12" r:id="rId10" display="https://amp.vexpenses.com/settings/membros-de-equipe/895950" xr:uid="{69ED0ED4-B661-40B7-B345-1ABAFD144443}"/>
    <hyperlink ref="C13" r:id="rId11" display="https://amp.vexpenses.com/settings/membros-de-equipe/895951" xr:uid="{9DB9A912-7A85-4AF0-8C97-6CF37EAD84C9}"/>
    <hyperlink ref="C14" r:id="rId12" display="https://amp.vexpenses.com/settings/membros-de-equipe/895952" xr:uid="{5EB48269-5035-447B-9D22-865972C667B6}"/>
    <hyperlink ref="C15" r:id="rId13" display="https://amp.vexpenses.com/settings/membros-de-equipe/895954" xr:uid="{A0CA5DA3-1DF4-48E0-9337-5E8835F7BE98}"/>
    <hyperlink ref="C16" r:id="rId14" display="https://amp.vexpenses.com/settings/membros-de-equipe/895955" xr:uid="{3873D34B-DEB7-41AF-B56E-60F1AD415939}"/>
    <hyperlink ref="C17" r:id="rId15" display="https://amp.vexpenses.com/settings/membros-de-equipe/895956" xr:uid="{41033C75-5126-4050-81EA-0F5282F5A9C6}"/>
    <hyperlink ref="C18" r:id="rId16" display="https://amp.vexpenses.com/settings/membros-de-equipe/985870" xr:uid="{13DC07F2-81A1-4367-8902-68060CEFFD31}"/>
    <hyperlink ref="C19" r:id="rId17" display="https://amp.vexpenses.com/settings/membros-de-equipe/916910" xr:uid="{9C636108-2AB3-404C-9664-95502AC73CAF}"/>
    <hyperlink ref="C20" r:id="rId18" display="https://amp.vexpenses.com/settings/membros-de-equipe/895957" xr:uid="{B10B0811-072B-4677-B8FC-1F70711F2046}"/>
    <hyperlink ref="C21" r:id="rId19" display="https://amp.vexpenses.com/settings/membros-de-equipe/929763" xr:uid="{1B7463E7-347E-4F5D-A0D0-3EA74BF6521B}"/>
    <hyperlink ref="C22" r:id="rId20" display="https://amp.vexpenses.com/settings/membros-de-equipe/895959" xr:uid="{739ECA44-B2D8-4CF1-B0C1-78E407C6CE60}"/>
    <hyperlink ref="C23" r:id="rId21" display="https://amp.vexpenses.com/settings/membros-de-equipe/895961" xr:uid="{1C0B0556-ADBB-4364-B73A-3A88975BB320}"/>
    <hyperlink ref="C24" r:id="rId22" display="https://amp.vexpenses.com/settings/membros-de-equipe/895962" xr:uid="{1987FD2A-60B0-4C63-B0E1-0026BE026AA6}"/>
    <hyperlink ref="C25" r:id="rId23" display="https://amp.vexpenses.com/settings/membros-de-equipe/1063501" xr:uid="{6AB0D8A7-4977-40BA-BC15-6B728955C3BE}"/>
    <hyperlink ref="C26" r:id="rId24" display="https://amp.vexpenses.com/settings/membros-de-equipe/895963" xr:uid="{B2EED30B-6C82-468F-80CF-D1A2854663BE}"/>
    <hyperlink ref="C27" r:id="rId25" display="https://amp.vexpenses.com/settings/membros-de-equipe/895964" xr:uid="{41B53A1F-FC24-40BD-80BE-EDBBE9336482}"/>
    <hyperlink ref="C28" r:id="rId26" display="https://amp.vexpenses.com/settings/membros-de-equipe/1071873" xr:uid="{DCC213ED-AB4C-4E86-938F-073454A0DB2D}"/>
    <hyperlink ref="C29" r:id="rId27" display="https://amp.vexpenses.com/settings/membros-de-equipe/895965" xr:uid="{860D53B2-E86A-4D48-8DEC-5513777ADB34}"/>
    <hyperlink ref="C30" r:id="rId28" display="https://amp.vexpenses.com/settings/membros-de-equipe/917314" xr:uid="{3D6CADFA-8145-4D18-BC85-E446D9F828B4}"/>
    <hyperlink ref="C31" r:id="rId29" display="https://amp.vexpenses.com/settings/membros-de-equipe/895966" xr:uid="{8137F928-B13D-489D-BA1E-1900D215137A}"/>
    <hyperlink ref="C32" r:id="rId30" display="https://amp.vexpenses.com/settings/membros-de-equipe/895967" xr:uid="{CD391DFA-0EE7-4765-9D68-1CB258904DFD}"/>
    <hyperlink ref="C33" r:id="rId31" display="https://amp.vexpenses.com/settings/membros-de-equipe/895968" xr:uid="{62AEEB7B-88B0-4FA6-9956-E98AE64DCC4D}"/>
    <hyperlink ref="C34" r:id="rId32" display="https://amp.vexpenses.com/settings/membros-de-equipe/1133255" xr:uid="{F98F2638-1C80-40D6-8F51-67EEC39F03B8}"/>
    <hyperlink ref="C35" r:id="rId33" display="https://amp.vexpenses.com/settings/membros-de-equipe/917318" xr:uid="{5ACD5EF5-BFD4-4852-96BC-D9F175E16C22}"/>
    <hyperlink ref="C36" r:id="rId34" display="https://amp.vexpenses.com/settings/membros-de-equipe/1033749" xr:uid="{910902D5-31A1-49FD-8E50-4EF81466E163}"/>
    <hyperlink ref="C37" r:id="rId35" display="https://amp.vexpenses.com/settings/membros-de-equipe/1106575" xr:uid="{A9A1B6FB-920B-437B-B858-4A0AFA7CB260}"/>
    <hyperlink ref="C38" r:id="rId36" display="https://amp.vexpenses.com/settings/membros-de-equipe/895969" xr:uid="{64BBCDC8-76B3-4389-9CC3-5E2E1CD5C49E}"/>
    <hyperlink ref="C39" r:id="rId37" display="https://amp.vexpenses.com/settings/membros-de-equipe/918852" xr:uid="{7A4233F5-873C-4EB7-AD63-55356288A374}"/>
    <hyperlink ref="C40" r:id="rId38" display="https://amp.vexpenses.com/settings/membros-de-equipe/895970" xr:uid="{7460BF90-B8C5-40FB-8E14-79F0599BA977}"/>
    <hyperlink ref="C41" r:id="rId39" display="https://amp.vexpenses.com/settings/membros-de-equipe/1063505" xr:uid="{A128B186-CB68-481C-8197-54E101BEB47C}"/>
    <hyperlink ref="C42" r:id="rId40" display="https://amp.vexpenses.com/settings/membros-de-equipe/895972" xr:uid="{09642CDF-18EB-46D6-982E-0A8406F02D77}"/>
    <hyperlink ref="C43" r:id="rId41" display="https://amp.vexpenses.com/settings/membros-de-equipe/966263" xr:uid="{F545476D-AC59-4303-8F1B-7263C0333A1F}"/>
    <hyperlink ref="C44" r:id="rId42" display="https://amp.vexpenses.com/settings/membros-de-equipe/895974" xr:uid="{7D52B45C-01D9-41AC-88CF-D717E3A7D08A}"/>
    <hyperlink ref="C45" r:id="rId43" display="https://amp.vexpenses.com/settings/membros-de-equipe/929757" xr:uid="{579CF052-F340-4157-BB58-4BC2FCB465C2}"/>
    <hyperlink ref="C46" r:id="rId44" display="https://amp.vexpenses.com/settings/membros-de-equipe/895977" xr:uid="{F9C2F4DB-831F-45FF-9263-92D85D6B3150}"/>
    <hyperlink ref="C47" r:id="rId45" display="https://amp.vexpenses.com/settings/membros-de-equipe/895978" xr:uid="{0D307A6B-7D28-42D6-AD14-17B0BBE89EB1}"/>
    <hyperlink ref="C48" r:id="rId46" display="https://amp.vexpenses.com/settings/membros-de-equipe/1054492" xr:uid="{3C6AC742-6077-42CC-915F-43412943421A}"/>
    <hyperlink ref="C49" r:id="rId47" display="https://amp.vexpenses.com/settings/membros-de-equipe/1114311" xr:uid="{B9633C61-9727-4B1D-9D4E-DAA1CFAF95DB}"/>
    <hyperlink ref="C50" r:id="rId48" display="https://amp.vexpenses.com/settings/membros-de-equipe/1040950" xr:uid="{F385E99A-EDDC-419B-8F0B-988D2B34C095}"/>
    <hyperlink ref="C51" r:id="rId49" display="https://amp.vexpenses.com/settings/membros-de-equipe/934784" xr:uid="{E8D79027-27D2-4BAE-97C2-35854FCCF90D}"/>
    <hyperlink ref="C52" r:id="rId50" display="https://amp.vexpenses.com/settings/membros-de-equipe/1059840" xr:uid="{D00A45C4-E2A3-4D18-8040-ABB19AB11E36}"/>
    <hyperlink ref="C54" r:id="rId51" display="https://amp.vexpenses.com/settings/membros-de-equipe/917324" xr:uid="{EBC03A50-E354-40BD-BFE5-B2E1181C1F8F}"/>
    <hyperlink ref="C55" r:id="rId52" display="https://amp.vexpenses.com/settings/membros-de-equipe/895982" xr:uid="{40104C6E-0CB8-4127-8ABB-CE123C0FAB56}"/>
    <hyperlink ref="C56" r:id="rId53" display="https://amp.vexpenses.com/settings/membros-de-equipe/895983" xr:uid="{927D99CE-E9F3-4692-8888-ED9A11AA84E4}"/>
    <hyperlink ref="C57" r:id="rId54" display="https://amp.vexpenses.com/settings/membros-de-equipe/895984" xr:uid="{A9E1EEC9-DCAC-4D3A-9C0D-4EA73BB27D8C}"/>
    <hyperlink ref="C58" r:id="rId55" display="https://amp.vexpenses.com/settings/membros-de-equipe/895985" xr:uid="{C91AEE88-4904-445C-8841-304028746BF4}"/>
    <hyperlink ref="C59" r:id="rId56" display="https://amp.vexpenses.com/settings/membros-de-equipe/916889" xr:uid="{77BDC71C-B80D-4F46-8DFA-8F157EF3B00D}"/>
    <hyperlink ref="C60" r:id="rId57" display="https://amp.vexpenses.com/settings/membros-de-equipe/895986" xr:uid="{C5BC0106-CCD2-4201-9CFD-B681B96100F3}"/>
    <hyperlink ref="C61" r:id="rId58" display="https://amp.vexpenses.com/settings/membros-de-equipe/891977" xr:uid="{22CA23E2-2D0B-4BF3-8D36-9212F1F988C8}"/>
    <hyperlink ref="C62" r:id="rId59" display="https://amp.vexpenses.com/settings/membros-de-equipe/895988" xr:uid="{72FCB33E-D43F-4505-A618-CAA57A3D68E7}"/>
    <hyperlink ref="C63" r:id="rId60" display="https://amp.vexpenses.com/settings/membros-de-equipe/1115604" xr:uid="{59EAFFF6-50F6-4ECD-825D-DF20631CEF05}"/>
    <hyperlink ref="C64" r:id="rId61" display="https://amp.vexpenses.com/settings/membros-de-equipe/1047085" xr:uid="{1FF7D997-34D6-41B1-8DDA-8A3F11B60B22}"/>
    <hyperlink ref="C65" r:id="rId62" display="https://amp.vexpenses.com/settings/membros-de-equipe/895991" xr:uid="{398FF27C-D1EA-4FC2-8CC4-2A314EFAEE1C}"/>
    <hyperlink ref="C66" r:id="rId63" display="https://amp.vexpenses.com/settings/membros-de-equipe/895992" xr:uid="{1F012DC9-42A5-46DD-8F44-01206DE3F7FC}"/>
    <hyperlink ref="C67" r:id="rId64" display="https://amp.vexpenses.com/settings/membros-de-equipe/895993" xr:uid="{93B16F71-1422-4A29-B906-17749479D867}"/>
    <hyperlink ref="C68" r:id="rId65" display="https://amp.vexpenses.com/settings/membros-de-equipe/895994" xr:uid="{6EC57D69-BE6E-455F-BB3D-2BD8D3445D35}"/>
    <hyperlink ref="C69" r:id="rId66" display="https://amp.vexpenses.com/settings/membros-de-equipe/982780" xr:uid="{CDD8E1FD-5197-47AB-8CF8-AADC6F6B7F49}"/>
    <hyperlink ref="C70" r:id="rId67" display="https://amp.vexpenses.com/settings/membros-de-equipe/920071" xr:uid="{E9978B10-0034-44DC-9BD1-9E4DAA473FE1}"/>
    <hyperlink ref="C71" r:id="rId68" display="https://amp.vexpenses.com/settings/membros-de-equipe/1083302" xr:uid="{90E64983-840A-45BE-B36F-637070350EF2}"/>
    <hyperlink ref="C72" r:id="rId69" display="https://amp.vexpenses.com/settings/membros-de-equipe/895996" xr:uid="{426B92B2-44F8-4896-9D7A-7688A7D18464}"/>
    <hyperlink ref="C73" r:id="rId70" display="https://amp.vexpenses.com/settings/membros-de-equipe/973987" xr:uid="{E4C895FF-45C3-41BE-A91D-368DD52FC90D}"/>
    <hyperlink ref="C74" r:id="rId71" display="https://amp.vexpenses.com/settings/membros-de-equipe/895997" xr:uid="{1F14DBF8-45E0-44DA-AAA1-9DCF9A1717FB}"/>
    <hyperlink ref="C75" r:id="rId72" display="https://amp.vexpenses.com/settings/membros-de-equipe/917085" xr:uid="{CFFAC7CA-7D59-4453-852F-3A926BC2B502}"/>
    <hyperlink ref="C76" r:id="rId73" display="https://amp.vexpenses.com/settings/membros-de-equipe/930416" xr:uid="{6A965D4B-AFC2-4DCF-B610-974AEC101D1D}"/>
    <hyperlink ref="C77" r:id="rId74" display="https://amp.vexpenses.com/settings/membros-de-equipe/895999" xr:uid="{7EC45D92-3FF2-4F71-9629-0B867E1B6840}"/>
    <hyperlink ref="C78" r:id="rId75" display="https://amp.vexpenses.com/settings/membros-de-equipe/896000" xr:uid="{3F574875-E280-44BE-AB3F-33C5444EEA56}"/>
    <hyperlink ref="C79" r:id="rId76" display="https://amp.vexpenses.com/settings/membros-de-equipe/896001" xr:uid="{FB61C979-397D-48BB-997A-F93EB88750F1}"/>
    <hyperlink ref="C80" r:id="rId77" display="https://amp.vexpenses.com/settings/membros-de-equipe/1017677" xr:uid="{033A8325-49F4-4999-8A21-CB78D5FD616F}"/>
    <hyperlink ref="C81" r:id="rId78" display="https://amp.vexpenses.com/settings/membros-de-equipe/896002" xr:uid="{7B554533-EB3C-4487-9546-B49BDD593DB6}"/>
    <hyperlink ref="C82" r:id="rId79" display="https://amp.vexpenses.com/settings/membros-de-equipe/896003" xr:uid="{556789B0-1080-4D14-BCBC-B9FE801281E7}"/>
    <hyperlink ref="C83" r:id="rId80" display="https://amp.vexpenses.com/settings/membros-de-equipe/1129186" xr:uid="{30A517D1-1014-497D-B1AE-C245BAFBB14E}"/>
    <hyperlink ref="C84" r:id="rId81" display="https://amp.vexpenses.com/settings/membros-de-equipe/896004" xr:uid="{3B927E6F-3B2E-4137-B576-19DF3A4FB7BF}"/>
    <hyperlink ref="C85" r:id="rId82" display="https://amp.vexpenses.com/settings/membros-de-equipe/1068617" xr:uid="{C8398E86-1DE0-49AE-ABFB-B7EB812680AE}"/>
    <hyperlink ref="C86" r:id="rId83" display="https://amp.vexpenses.com/settings/membros-de-equipe/896006" xr:uid="{F50D96B1-151A-4B7E-9EFD-36FC71F2C815}"/>
    <hyperlink ref="C87" r:id="rId84" display="https://amp.vexpenses.com/settings/membros-de-equipe/896007" xr:uid="{6882DA00-FC16-4471-BD07-2658C7FE198E}"/>
    <hyperlink ref="C88" r:id="rId85" display="https://amp.vexpenses.com/settings/membros-de-equipe/896008" xr:uid="{7516DD24-6877-4EB8-A81F-AA6939F622CD}"/>
    <hyperlink ref="C89" r:id="rId86" display="https://amp.vexpenses.com/settings/membros-de-equipe/1010642" xr:uid="{77BC9C90-1C88-4D31-9F9F-98B6F6AF5EFC}"/>
    <hyperlink ref="C90" r:id="rId87" display="https://amp.vexpenses.com/settings/membros-de-equipe/896009" xr:uid="{5573D053-618D-4BB1-9381-6385D61F2518}"/>
    <hyperlink ref="C91" r:id="rId88" display="https://amp.vexpenses.com/settings/membros-de-equipe/896010" xr:uid="{895BA84E-971F-4180-84C1-36A799478CCF}"/>
    <hyperlink ref="C92" r:id="rId89" display="https://amp.vexpenses.com/settings/membros-de-equipe/896011" xr:uid="{A9E3E813-D063-4EDD-B2F3-1DB70E3B1AFF}"/>
    <hyperlink ref="C93" r:id="rId90" display="https://amp.vexpenses.com/settings/membros-de-equipe/896012" xr:uid="{605F6578-61AA-4D84-AF46-B845CAFB0A17}"/>
    <hyperlink ref="C94" r:id="rId91" display="https://amp.vexpenses.com/settings/membros-de-equipe/896015" xr:uid="{FD0CA5DD-851A-45C2-B595-71922C70E64B}"/>
    <hyperlink ref="C95" r:id="rId92" display="https://amp.vexpenses.com/settings/membros-de-equipe/930924" xr:uid="{6A0613B2-A609-436C-AAB1-A2FF2AA2E5EB}"/>
    <hyperlink ref="C96" r:id="rId93" display="https://amp.vexpenses.com/settings/membros-de-equipe/896017" xr:uid="{E152B063-E92B-4FAD-9B06-8C0CC6DADCE3}"/>
    <hyperlink ref="C97" r:id="rId94" display="https://amp.vexpenses.com/settings/membros-de-equipe/896018" xr:uid="{E5259DCA-9594-4341-98BC-89F8736287E9}"/>
    <hyperlink ref="C98" r:id="rId95" display="https://amp.vexpenses.com/settings/membros-de-equipe/896019" xr:uid="{E435BE55-C21B-4F8D-A715-B06B13933EF8}"/>
    <hyperlink ref="C99" r:id="rId96" display="https://amp.vexpenses.com/settings/membros-de-equipe/952397" xr:uid="{5E1D0135-1374-41B8-A648-69CD3044BD36}"/>
    <hyperlink ref="C100" r:id="rId97" display="https://amp.vexpenses.com/settings/membros-de-equipe/896020" xr:uid="{CBCC183B-19A9-45FA-AAC0-1E953188E988}"/>
    <hyperlink ref="C101" r:id="rId98" display="https://amp.vexpenses.com/settings/membros-de-equipe/896021" xr:uid="{3807A5C2-B627-4366-B831-29418358183B}"/>
    <hyperlink ref="C102" r:id="rId99" display="https://amp.vexpenses.com/settings/membros-de-equipe/999640" xr:uid="{257DB4EE-1EEB-432D-9885-C9A6CEB1B510}"/>
    <hyperlink ref="C103" r:id="rId100" display="https://amp.vexpenses.com/settings/membros-de-equipe/896023" xr:uid="{81003AD6-26F1-4010-9704-34623D17C784}"/>
    <hyperlink ref="C105" r:id="rId101" display="https://amp.vexpenses.com/settings/membros-de-equipe/1129756" xr:uid="{7473034D-A91A-406D-8838-BFC6286BE297}"/>
    <hyperlink ref="C106" r:id="rId102" display="https://amp.vexpenses.com/settings/membros-de-equipe/1079004" xr:uid="{52C828C2-C363-4C67-A004-15EA31F33CB7}"/>
    <hyperlink ref="C107" r:id="rId103" display="https://amp.vexpenses.com/settings/membros-de-equipe/896024" xr:uid="{5BBB56A6-D8AF-4218-A0BE-485EE91CAB15}"/>
    <hyperlink ref="C108" r:id="rId104" display="https://amp.vexpenses.com/settings/membros-de-equipe/896025" xr:uid="{04761AF8-EB87-43C2-BB8D-94E28A177EAC}"/>
    <hyperlink ref="C109" r:id="rId105" display="https://amp.vexpenses.com/settings/membros-de-equipe/896026" xr:uid="{C2204D09-A893-4353-B26D-3FBFD5B1803D}"/>
    <hyperlink ref="C110" r:id="rId106" display="https://amp.vexpenses.com/settings/membros-de-equipe/896027" xr:uid="{02DA1CE8-5E43-4B02-86F0-D1D2A0D2E776}"/>
    <hyperlink ref="C111" r:id="rId107" display="https://amp.vexpenses.com/settings/membros-de-equipe/896028" xr:uid="{3144DBD3-CBCF-4A6D-9F03-811CDD81F08A}"/>
    <hyperlink ref="C112" r:id="rId108" display="https://amp.vexpenses.com/settings/membros-de-equipe/896030" xr:uid="{1E4F88B7-4FC9-4C40-8DA3-972414E45F16}"/>
    <hyperlink ref="C113" r:id="rId109" display="https://amp.vexpenses.com/settings/membros-de-equipe/896031" xr:uid="{677A045C-04F6-4F65-8168-AB0C1F891DFB}"/>
    <hyperlink ref="C114" r:id="rId110" display="https://amp.vexpenses.com/settings/membros-de-equipe/896033" xr:uid="{EC3C37BB-1ADA-4508-92BB-2E07953617F0}"/>
    <hyperlink ref="C115" r:id="rId111" display="https://amp.vexpenses.com/settings/membros-de-equipe/930403" xr:uid="{E884E6CC-902D-498D-88DA-ECDBBF9F5B5A}"/>
    <hyperlink ref="C116" r:id="rId112" display="https://amp.vexpenses.com/settings/membros-de-equipe/935041" xr:uid="{59168885-C704-46ED-8BC4-53B1E2B40913}"/>
    <hyperlink ref="C117" r:id="rId113" display="https://amp.vexpenses.com/settings/membros-de-equipe/1147652" xr:uid="{7F1FD8B8-FE34-4007-AC6A-6EA8531549A0}"/>
    <hyperlink ref="C118" r:id="rId114" display="https://amp.vexpenses.com/settings/membros-de-equipe/896035" xr:uid="{3EA26549-4859-4BCF-BCEC-5B6B79E18FB0}"/>
    <hyperlink ref="C119" r:id="rId115" display="https://amp.vexpenses.com/settings/membros-de-equipe/896036" xr:uid="{177F5B6A-48CC-4C72-9993-BB681DE9BA11}"/>
    <hyperlink ref="C120" r:id="rId116" display="https://amp.vexpenses.com/settings/membros-de-equipe/1077041" xr:uid="{81FE122F-478D-4478-9E0E-935708C667C1}"/>
    <hyperlink ref="C121" r:id="rId117" display="https://amp.vexpenses.com/settings/membros-de-equipe/890792" xr:uid="{0F19EDC1-4ECD-479C-9333-E62DAD9EAD2C}"/>
    <hyperlink ref="C122" r:id="rId118" display="https://amp.vexpenses.com/settings/membros-de-equipe/896037" xr:uid="{F2526DC4-60F7-4ADE-8D6E-6DC9A6C08E6B}"/>
    <hyperlink ref="C123" r:id="rId119" display="https://amp.vexpenses.com/settings/membros-de-equipe/916919" xr:uid="{E04685C2-AE62-4847-8C5E-1E17BF019670}"/>
    <hyperlink ref="C124" r:id="rId120" display="https://amp.vexpenses.com/settings/membros-de-equipe/896040" xr:uid="{B5D59660-5375-4DF0-8DAC-E6AADDBA4961}"/>
    <hyperlink ref="C125" r:id="rId121" display="https://amp.vexpenses.com/settings/membros-de-equipe/923635" xr:uid="{1B554B9E-C2A6-43ED-82CC-BA7D30682A71}"/>
    <hyperlink ref="C126" r:id="rId122" display="https://amp.vexpenses.com/settings/membros-de-equipe/896419" xr:uid="{361B8CAD-9CFB-4CA0-9057-6F99CE652A52}"/>
    <hyperlink ref="C127" r:id="rId123" display="https://amp.vexpenses.com/settings/membros-de-equipe/896041" xr:uid="{C53A3CA1-C586-4D43-8DA1-38793117BC5A}"/>
    <hyperlink ref="C128" r:id="rId124" display="https://amp.vexpenses.com/settings/membros-de-equipe/896044" xr:uid="{BC8E9039-427D-452E-BC68-186176D49DF8}"/>
    <hyperlink ref="C129" r:id="rId125" display="https://amp.vexpenses.com/settings/membros-de-equipe/917345" xr:uid="{FB1A410A-3470-4650-973B-56319D48AE49}"/>
    <hyperlink ref="C130" r:id="rId126" display="https://amp.vexpenses.com/settings/membros-de-equipe/896045" xr:uid="{2D1E6BA2-A822-417E-9B69-462397E0A9E6}"/>
    <hyperlink ref="C131" r:id="rId127" display="https://amp.vexpenses.com/settings/membros-de-equipe/896047" xr:uid="{FC623A74-C0AA-4AD8-BA2D-3D3C035842DB}"/>
    <hyperlink ref="C132" r:id="rId128" display="https://amp.vexpenses.com/settings/membros-de-equipe/896048" xr:uid="{4413F484-EEA3-42BF-B06C-1C7EBD8EB966}"/>
    <hyperlink ref="C133" r:id="rId129" display="https://amp.vexpenses.com/settings/membros-de-equipe/966214" xr:uid="{75FA8475-4FAE-4A59-96B1-3BC7619FEEE4}"/>
    <hyperlink ref="C134" r:id="rId130" display="https://amp.vexpenses.com/settings/membros-de-equipe/1066365" xr:uid="{EB961B93-B60C-442F-91D7-02B214FADC12}"/>
    <hyperlink ref="C135" r:id="rId131" display="https://amp.vexpenses.com/settings/membros-de-equipe/985850" xr:uid="{7F53F50F-7444-4756-8006-A59AC3BEB3D2}"/>
    <hyperlink ref="C136" r:id="rId132" display="https://amp.vexpenses.com/settings/membros-de-equipe/896049" xr:uid="{FE75F6D5-F2C6-4064-8C41-CB1176D0763C}"/>
    <hyperlink ref="C137" r:id="rId133" display="https://amp.vexpenses.com/settings/membros-de-equipe/1033724" xr:uid="{F9F8320B-BD89-4E05-893C-9E1292BAE697}"/>
    <hyperlink ref="C138" r:id="rId134" display="https://amp.vexpenses.com/settings/membros-de-equipe/896050" xr:uid="{0AE6B453-770D-481E-8D0C-F9681597CB66}"/>
    <hyperlink ref="C139" r:id="rId135" display="https://amp.vexpenses.com/settings/membros-de-equipe/896051" xr:uid="{727D9DE1-5BC5-475E-B0E6-4714CA8EA555}"/>
    <hyperlink ref="C140" r:id="rId136" display="https://amp.vexpenses.com/settings/membros-de-equipe/1088600" xr:uid="{A788C2CE-D937-41E7-AC52-8352FDE3854D}"/>
    <hyperlink ref="C141" r:id="rId137" display="https://amp.vexpenses.com/settings/membros-de-equipe/896052" xr:uid="{E064E6B5-170B-42A9-802A-01EEDBBEB65A}"/>
    <hyperlink ref="C142" r:id="rId138" display="https://amp.vexpenses.com/settings/membros-de-equipe/1077048" xr:uid="{870D7732-8726-419F-9179-62047409EC8D}"/>
    <hyperlink ref="C143" r:id="rId139" display="https://amp.vexpenses.com/settings/membros-de-equipe/896053" xr:uid="{118A0E53-C7F4-4458-A9FF-1FD562B46A65}"/>
    <hyperlink ref="C144" r:id="rId140" display="https://amp.vexpenses.com/settings/membros-de-equipe/896054" xr:uid="{697B64C6-1E05-48F3-AB33-90E88E0F663E}"/>
    <hyperlink ref="C145" r:id="rId141" display="https://amp.vexpenses.com/settings/membros-de-equipe/896055" xr:uid="{0CA3B2BE-CE7A-4E36-B334-E468A1A0FAE4}"/>
    <hyperlink ref="C146" r:id="rId142" display="https://amp.vexpenses.com/settings/membros-de-equipe/896057" xr:uid="{F5350DF9-1C3C-45A8-A89D-92DEE875E2F7}"/>
    <hyperlink ref="C147" r:id="rId143" display="https://amp.vexpenses.com/settings/membros-de-equipe/896058" xr:uid="{FB9E2CE7-049D-4988-8361-6AC6D22CC7C3}"/>
    <hyperlink ref="C148" r:id="rId144" display="https://amp.vexpenses.com/settings/membros-de-equipe/896059" xr:uid="{C09C67C1-A9EA-4B83-86E9-3E89C29B3C87}"/>
    <hyperlink ref="C149" r:id="rId145" display="https://amp.vexpenses.com/settings/membros-de-equipe/896061" xr:uid="{02DC7D86-2BBC-4A24-A777-0D5414E8D64B}"/>
    <hyperlink ref="C150" r:id="rId146" display="https://amp.vexpenses.com/settings/membros-de-equipe/974110" xr:uid="{216DD78A-E2BD-4A5B-B577-AF61F38377B4}"/>
    <hyperlink ref="C151" r:id="rId147" display="https://amp.vexpenses.com/settings/membros-de-equipe/927175" xr:uid="{17A3EC45-CC81-4089-B9EE-2FCFED91127C}"/>
    <hyperlink ref="C152" r:id="rId148" display="https://amp.vexpenses.com/settings/membros-de-equipe/896063" xr:uid="{F0038B0B-A1DD-4DE5-858A-349154582C0C}"/>
    <hyperlink ref="C153" r:id="rId149" display="https://amp.vexpenses.com/settings/membros-de-equipe/896064" xr:uid="{A07DAF7A-A9A5-4829-BF9B-B7F1C692B9CD}"/>
    <hyperlink ref="C154" r:id="rId150" display="https://amp.vexpenses.com/settings/membros-de-equipe/896066" xr:uid="{B873DA81-A35C-4F0E-8352-20EA414B36D0}"/>
    <hyperlink ref="C156" r:id="rId151" display="https://amp.vexpenses.com/settings/membros-de-equipe/896067" xr:uid="{40D0EAF1-0EAE-42E3-AF69-FF1BB1A79F5E}"/>
    <hyperlink ref="C157" r:id="rId152" display="https://amp.vexpenses.com/settings/membros-de-equipe/896068" xr:uid="{B052E9A7-1DD2-493D-B62B-74DDECE1FAFF}"/>
    <hyperlink ref="C158" r:id="rId153" display="https://amp.vexpenses.com/settings/membros-de-equipe/896069" xr:uid="{735ED17B-D51D-40FF-98F4-9BFCAF2C47F9}"/>
    <hyperlink ref="C159" r:id="rId154" display="https://amp.vexpenses.com/settings/membros-de-equipe/930406" xr:uid="{35854041-1B30-4DE0-9D11-D7A8015755EF}"/>
    <hyperlink ref="C160" r:id="rId155" display="https://amp.vexpenses.com/settings/membros-de-equipe/896070" xr:uid="{0B133B72-A7B4-4436-AE96-385EB67C61E9}"/>
    <hyperlink ref="C161" r:id="rId156" display="https://amp.vexpenses.com/settings/membros-de-equipe/896071" xr:uid="{FC3D29BA-7BD8-4348-95F8-B2B5B4CF8FFF}"/>
    <hyperlink ref="C162" r:id="rId157" display="https://amp.vexpenses.com/settings/membros-de-equipe/972167" xr:uid="{81C1DA37-F081-4708-9973-80F99704A97A}"/>
    <hyperlink ref="C163" r:id="rId158" display="https://amp.vexpenses.com/settings/membros-de-equipe/896072" xr:uid="{317F25D1-490B-491F-92BE-3EE0FAC20359}"/>
    <hyperlink ref="C164" r:id="rId159" display="https://amp.vexpenses.com/settings/membros-de-equipe/896073" xr:uid="{CE3017BD-8228-4C4E-B277-339D7E367AB6}"/>
    <hyperlink ref="C165" r:id="rId160" display="https://amp.vexpenses.com/settings/membros-de-equipe/896074" xr:uid="{F4F8A802-A115-4203-A954-BEC0135D7DCF}"/>
    <hyperlink ref="C166" r:id="rId161" display="https://amp.vexpenses.com/settings/membros-de-equipe/896075" xr:uid="{07E2A0B9-23C8-4424-AD32-0E5040DA5B79}"/>
    <hyperlink ref="C167" r:id="rId162" display="https://amp.vexpenses.com/settings/membros-de-equipe/915374" xr:uid="{FF40C56E-85FC-404E-BF56-C08D3A8A2D93}"/>
    <hyperlink ref="C168" r:id="rId163" display="https://amp.vexpenses.com/settings/membros-de-equipe/920845" xr:uid="{BCA64F7E-8547-4490-A415-DFE80129FE8A}"/>
    <hyperlink ref="C169" r:id="rId164" display="https://amp.vexpenses.com/settings/membros-de-equipe/896077" xr:uid="{2709CE28-5291-4A76-8AA2-2812306FBDBB}"/>
    <hyperlink ref="C170" r:id="rId165" display="https://amp.vexpenses.com/settings/membros-de-equipe/1063498" xr:uid="{5F44BEDE-20A6-4B77-AE47-EE108D703DA7}"/>
    <hyperlink ref="C171" r:id="rId166" display="https://amp.vexpenses.com/settings/membros-de-equipe/946535" xr:uid="{AA8DCC59-91B2-4D2E-A7B6-568FD2D7BB01}"/>
    <hyperlink ref="C172" r:id="rId167" display="https://amp.vexpenses.com/settings/membros-de-equipe/896079" xr:uid="{F88CC70E-2029-4A40-AA69-F1592C6DE49C}"/>
    <hyperlink ref="C173" r:id="rId168" display="https://amp.vexpenses.com/settings/membros-de-equipe/922738" xr:uid="{E9EEAB12-C1D3-478E-8D3F-82993394E937}"/>
    <hyperlink ref="C174" r:id="rId169" display="https://amp.vexpenses.com/settings/membros-de-equipe/896080" xr:uid="{6DCBE07E-DF40-4E60-9FEB-B4A900CA2541}"/>
    <hyperlink ref="C175" r:id="rId170" display="https://amp.vexpenses.com/settings/membros-de-equipe/961468" xr:uid="{6AA575DA-8EE3-4E90-8D0F-468CB4824E65}"/>
    <hyperlink ref="C176" r:id="rId171" display="https://amp.vexpenses.com/settings/membros-de-equipe/896081" xr:uid="{4330D114-3295-41BC-BCA0-A0A1606187A2}"/>
    <hyperlink ref="C177" r:id="rId172" display="https://amp.vexpenses.com/settings/membros-de-equipe/896082" xr:uid="{C2E29037-9242-48FE-860D-DD16A6BEA3B8}"/>
    <hyperlink ref="C178" r:id="rId173" display="https://amp.vexpenses.com/settings/membros-de-equipe/1079003" xr:uid="{22E3E395-A743-4B42-BB94-DE06D61FA979}"/>
    <hyperlink ref="C179" r:id="rId174" display="https://amp.vexpenses.com/settings/membros-de-equipe/896083" xr:uid="{443C2C0E-027D-4CC1-B8BA-50420371C983}"/>
    <hyperlink ref="C180" r:id="rId175" display="https://amp.vexpenses.com/settings/membros-de-equipe/1109486" xr:uid="{47FC183B-DE82-47C3-8E05-58C59649BDC4}"/>
    <hyperlink ref="C181" r:id="rId176" display="https://amp.vexpenses.com/settings/membros-de-equipe/896084" xr:uid="{A1E7A838-5CC0-4C98-AD0A-12DAA6C3482B}"/>
    <hyperlink ref="C182" r:id="rId177" display="https://amp.vexpenses.com/settings/membros-de-equipe/896085" xr:uid="{570CDDB4-86D2-49EE-B203-CCF18022F297}"/>
    <hyperlink ref="C183" r:id="rId178" display="https://amp.vexpenses.com/settings/membros-de-equipe/1077948" xr:uid="{B6DB2C57-135E-487C-B121-C40A6382F2DE}"/>
    <hyperlink ref="C184" r:id="rId179" display="https://amp.vexpenses.com/settings/membros-de-equipe/946138" xr:uid="{E9CCCD21-5610-45A3-AF92-2D2B1F7026E7}"/>
    <hyperlink ref="C185" r:id="rId180" display="https://amp.vexpenses.com/settings/membros-de-equipe/896087" xr:uid="{AD1C49FC-3482-4CC2-9B00-5CFE7CD351D8}"/>
    <hyperlink ref="C186" r:id="rId181" display="https://amp.vexpenses.com/settings/membros-de-equipe/896088" xr:uid="{637F019A-52D3-4080-B5AE-5F28DDE3C46A}"/>
    <hyperlink ref="C187" r:id="rId182" display="https://amp.vexpenses.com/settings/membros-de-equipe/1072512" xr:uid="{EBE7C89A-CEE5-4287-B90A-529471364436}"/>
    <hyperlink ref="C188" r:id="rId183" display="https://amp.vexpenses.com/settings/membros-de-equipe/896090" xr:uid="{0FFD91AA-4340-49C8-8501-CF2DACF5AD57}"/>
    <hyperlink ref="C189" r:id="rId184" display="https://amp.vexpenses.com/settings/membros-de-equipe/1071875" xr:uid="{3FC75CCC-ABA8-4E0B-B4DB-F0799BEACB96}"/>
    <hyperlink ref="C190" r:id="rId185" display="https://amp.vexpenses.com/settings/membros-de-equipe/944251" xr:uid="{71E2ED37-F367-47CF-BCAE-0291AAEA6E1B}"/>
    <hyperlink ref="C191" r:id="rId186" display="https://amp.vexpenses.com/settings/membros-de-equipe/917078" xr:uid="{F542D44C-3FEF-4ABF-81A7-56FD0D300A2F}"/>
    <hyperlink ref="C192" r:id="rId187" display="https://amp.vexpenses.com/settings/membros-de-equipe/896091" xr:uid="{9C75874B-E662-4145-B0D4-68E3BC55128C}"/>
    <hyperlink ref="C193" r:id="rId188" display="https://amp.vexpenses.com/settings/membros-de-equipe/896092" xr:uid="{99412436-ACB2-4073-BE3D-4C609EA7AC0B}"/>
    <hyperlink ref="C194" r:id="rId189" display="https://amp.vexpenses.com/settings/membros-de-equipe/896093" xr:uid="{B294DC43-9CC4-433C-8DC9-AC81B571CA2B}"/>
    <hyperlink ref="C195" r:id="rId190" display="https://amp.vexpenses.com/settings/membros-de-equipe/896094" xr:uid="{F472B4CC-9CE8-4172-B233-1483D14A2C4C}"/>
    <hyperlink ref="C196" r:id="rId191" display="https://amp.vexpenses.com/settings/membros-de-equipe/896095" xr:uid="{E66336FE-2026-4F4B-B3D6-1E4DE5D433FD}"/>
    <hyperlink ref="C197" r:id="rId192" display="https://amp.vexpenses.com/settings/membros-de-equipe/896096" xr:uid="{94CAC86B-45C7-451C-93EE-483B497DA314}"/>
    <hyperlink ref="C198" r:id="rId193" display="https://amp.vexpenses.com/settings/membros-de-equipe/1068618" xr:uid="{C763D406-B127-4457-AD96-A5ED986D765F}"/>
    <hyperlink ref="C199" r:id="rId194" display="https://amp.vexpenses.com/settings/membros-de-equipe/940437" xr:uid="{D22BE625-2F7F-4D17-823F-B5A396740A09}"/>
    <hyperlink ref="C200" r:id="rId195" display="https://amp.vexpenses.com/settings/membros-de-equipe/896099" xr:uid="{A7D77B77-4290-4FCF-B0E0-7642603FCD94}"/>
    <hyperlink ref="C201" r:id="rId196" display="https://amp.vexpenses.com/settings/membros-de-equipe/896101" xr:uid="{5C443559-7E2D-45F9-8B41-614FB12034F0}"/>
    <hyperlink ref="C202" r:id="rId197" display="https://amp.vexpenses.com/settings/membros-de-equipe/961342" xr:uid="{2CFE4D0F-8D6C-4FBA-8E7C-56356A24F4AA}"/>
    <hyperlink ref="C203" r:id="rId198" display="https://amp.vexpenses.com/settings/membros-de-equipe/896102" xr:uid="{50FB1FE7-CBF0-4B96-A327-6CDE54A9498C}"/>
    <hyperlink ref="C204" r:id="rId199" display="https://amp.vexpenses.com/settings/membros-de-equipe/896103" xr:uid="{97F2C024-5138-42C6-BB5E-27D1A637FDEB}"/>
    <hyperlink ref="C205" r:id="rId200" display="https://amp.vexpenses.com/settings/membros-de-equipe/896104" xr:uid="{B147B4F7-F1EE-4B5B-9402-EE85254E57ED}"/>
    <hyperlink ref="C207" r:id="rId201" display="https://amp.vexpenses.com/settings/membros-de-equipe/896106" xr:uid="{D80EE723-606D-44F2-9CDA-85F7D8477E48}"/>
    <hyperlink ref="C208" r:id="rId202" display="https://amp.vexpenses.com/settings/membros-de-equipe/1142235" xr:uid="{D89315D2-D39B-4AF0-B42C-03A1CAFB0BB9}"/>
    <hyperlink ref="C209" r:id="rId203" display="https://amp.vexpenses.com/settings/membros-de-equipe/896107" xr:uid="{B8AB8C27-ADE7-4E41-89DB-3167B35A884F}"/>
    <hyperlink ref="C210" r:id="rId204" display="https://amp.vexpenses.com/settings/membros-de-equipe/917075" xr:uid="{960CD1B8-9C07-4110-B62D-3A2154D7EF3E}"/>
    <hyperlink ref="C211" r:id="rId205" display="https://amp.vexpenses.com/settings/membros-de-equipe/917058" xr:uid="{4B80F283-6400-45AA-BF80-9645047E9C04}"/>
    <hyperlink ref="C212" r:id="rId206" display="https://amp.vexpenses.com/settings/membros-de-equipe/896111" xr:uid="{688CFF91-4CCB-40D4-A37A-2609AF5F4B05}"/>
    <hyperlink ref="C213" r:id="rId207" display="https://amp.vexpenses.com/settings/membros-de-equipe/927567" xr:uid="{3B0749CB-AEDF-432B-96BD-443C521E10E5}"/>
    <hyperlink ref="C214" r:id="rId208" display="https://amp.vexpenses.com/settings/membros-de-equipe/896113" xr:uid="{2269F6F7-2967-4B5D-B74F-C3B951F9CBBC}"/>
    <hyperlink ref="C215" r:id="rId209" display="https://amp.vexpenses.com/settings/membros-de-equipe/930400" xr:uid="{C1C6AE5B-4E98-47ED-8733-1033E28D1B13}"/>
    <hyperlink ref="C216" r:id="rId210" display="https://amp.vexpenses.com/settings/membros-de-equipe/896115" xr:uid="{858F7D8D-BCDB-402D-90F3-1EEADC331AAC}"/>
    <hyperlink ref="C217" r:id="rId211" display="https://amp.vexpenses.com/settings/membros-de-equipe/1064227" xr:uid="{5AB04F32-32B0-4FB4-A630-57D56CC085AD}"/>
    <hyperlink ref="C218" r:id="rId212" display="https://amp.vexpenses.com/settings/membros-de-equipe/896117" xr:uid="{7EC2C963-9C88-4D39-AE4E-24B529FFDAEF}"/>
    <hyperlink ref="C219" r:id="rId213" display="https://amp.vexpenses.com/settings/membros-de-equipe/896421" xr:uid="{B19C7285-5513-44E4-8E1D-0A9444B37893}"/>
    <hyperlink ref="C220" r:id="rId214" display="https://amp.vexpenses.com/settings/membros-de-equipe/896118" xr:uid="{70EFCD16-3743-4CA9-B9A5-5095E6C0A71E}"/>
    <hyperlink ref="C221" r:id="rId215" display="https://amp.vexpenses.com/settings/membros-de-equipe/1001575" xr:uid="{D67FD456-B6A0-42D8-AD42-8B0942CDE0EC}"/>
    <hyperlink ref="C222" r:id="rId216" display="https://amp.vexpenses.com/settings/membros-de-equipe/896119" xr:uid="{12C14DD6-45EF-4688-ACBE-49E6503B7EB1}"/>
    <hyperlink ref="C223" r:id="rId217" display="https://amp.vexpenses.com/settings/membros-de-equipe/929756" xr:uid="{0479801A-0E6B-42F2-AEE9-0B57904C61A1}"/>
    <hyperlink ref="C224" r:id="rId218" display="https://amp.vexpenses.com/settings/membros-de-equipe/896120" xr:uid="{37B1562F-E41F-42AA-840B-C0075937FE78}"/>
    <hyperlink ref="C225" r:id="rId219" display="https://amp.vexpenses.com/settings/membros-de-equipe/896121" xr:uid="{A9FA2AD2-9D44-4933-9830-1BDA6D38CA19}"/>
    <hyperlink ref="C226" r:id="rId220" display="https://amp.vexpenses.com/settings/membros-de-equipe/916905" xr:uid="{446C7C5C-A431-4C76-B546-BC018CFDC9AC}"/>
    <hyperlink ref="C227" r:id="rId221" display="https://amp.vexpenses.com/settings/membros-de-equipe/929761" xr:uid="{823042CB-CF35-4C0C-93B9-758CF79F596E}"/>
    <hyperlink ref="C228" r:id="rId222" display="https://amp.vexpenses.com/settings/membros-de-equipe/896123" xr:uid="{41284DEB-4454-41DA-9A8D-8CE2E1948CE1}"/>
    <hyperlink ref="C229" r:id="rId223" display="https://amp.vexpenses.com/settings/membros-de-equipe/896124" xr:uid="{C90D8B7B-0DD9-4EB2-928D-37351824DF5C}"/>
    <hyperlink ref="C230" r:id="rId224" display="https://amp.vexpenses.com/settings/membros-de-equipe/1106565" xr:uid="{C5B88D4D-081A-4B75-B14B-E03E30C17CBC}"/>
    <hyperlink ref="C231" r:id="rId225" display="https://amp.vexpenses.com/settings/membros-de-equipe/916374" xr:uid="{6E855BDA-9B12-4698-8583-287FE93B11E3}"/>
    <hyperlink ref="C232" r:id="rId226" display="https://amp.vexpenses.com/settings/membros-de-equipe/978280" xr:uid="{9DB8CE27-0743-44D9-B952-CC48D0FB86F1}"/>
    <hyperlink ref="C233" r:id="rId227" display="https://amp.vexpenses.com/settings/membros-de-equipe/896127" xr:uid="{B34047F8-24CD-4523-8977-0AEE81A35232}"/>
    <hyperlink ref="C234" r:id="rId228" display="https://amp.vexpenses.com/settings/membros-de-equipe/896128" xr:uid="{1E93F562-590A-4DFD-BCFB-D7AA47AC93EC}"/>
    <hyperlink ref="C235" r:id="rId229" display="https://amp.vexpenses.com/settings/membros-de-equipe/1033564" xr:uid="{0261BE3B-A422-460C-95B9-11F34FB37DF3}"/>
    <hyperlink ref="C236" r:id="rId230" display="https://amp.vexpenses.com/settings/membros-de-equipe/896131" xr:uid="{4CD02046-05D6-4CC4-BE96-A277F213663A}"/>
    <hyperlink ref="C237" r:id="rId231" display="https://amp.vexpenses.com/settings/membros-de-equipe/896132" xr:uid="{92ACBF0C-0EF3-4562-BEB6-E4E5246D5A45}"/>
    <hyperlink ref="C238" r:id="rId232" display="https://amp.vexpenses.com/settings/membros-de-equipe/1077949" xr:uid="{F59FB145-C2BC-4AB8-86A3-351F1E4E091B}"/>
    <hyperlink ref="C239" r:id="rId233" display="https://amp.vexpenses.com/settings/membros-de-equipe/1116216" xr:uid="{7D7C4B6F-9482-491A-8B48-3D8392D71FDA}"/>
    <hyperlink ref="C240" r:id="rId234" display="https://amp.vexpenses.com/settings/membros-de-equipe/917353" xr:uid="{0D2F318B-03C6-47B0-B137-44006692244A}"/>
    <hyperlink ref="C241" r:id="rId235" display="https://amp.vexpenses.com/settings/membros-de-equipe/1063503" xr:uid="{E1B101AE-BB5F-440E-B674-0C7593413B93}"/>
    <hyperlink ref="C242" r:id="rId236" display="https://amp.vexpenses.com/settings/membros-de-equipe/896133" xr:uid="{9F47EBD2-04FD-4082-B11D-0EEB2C2D790B}"/>
    <hyperlink ref="C243" r:id="rId237" display="https://amp.vexpenses.com/settings/membros-de-equipe/1073274" xr:uid="{E21D8079-E263-4DE5-BEAB-E1806800276B}"/>
    <hyperlink ref="C244" r:id="rId238" display="https://amp.vexpenses.com/settings/membros-de-equipe/1133218" xr:uid="{A67A4F6D-9C69-4A6D-B633-450C942FA04B}"/>
    <hyperlink ref="C245" r:id="rId239" display="https://amp.vexpenses.com/settings/membros-de-equipe/997009" xr:uid="{993FA5A9-E1CD-4C9D-B08D-F444CDBF9B24}"/>
    <hyperlink ref="C246" r:id="rId240" display="https://amp.vexpenses.com/settings/membros-de-equipe/922784" xr:uid="{2F4D89BB-4FBD-422F-BAD7-4A9FE9D5EA8B}"/>
    <hyperlink ref="C247" r:id="rId241" display="https://amp.vexpenses.com/settings/membros-de-equipe/1148704" xr:uid="{C768AF90-303F-4953-B3AB-7CA352F251F5}"/>
    <hyperlink ref="C248" r:id="rId242" display="https://amp.vexpenses.com/settings/membros-de-equipe/1147591" xr:uid="{7E0DAEF1-F1D8-454F-86AF-FE693AF91EE8}"/>
    <hyperlink ref="C249" r:id="rId243" display="https://amp.vexpenses.com/settings/membros-de-equipe/916921" xr:uid="{A8565ACB-3D8C-4E86-9DBA-0AD580259D45}"/>
    <hyperlink ref="C250" r:id="rId244" display="https://amp.vexpenses.com/settings/membros-de-equipe/896135" xr:uid="{A2A1E83E-44D5-4AAB-BB2E-E479358A58EE}"/>
    <hyperlink ref="C251" r:id="rId245" display="https://amp.vexpenses.com/settings/membros-de-equipe/1033558" xr:uid="{E917FE0D-CCF7-41CC-9EE9-B0F093074E2E}"/>
    <hyperlink ref="C252" r:id="rId246" display="https://amp.vexpenses.com/settings/membros-de-equipe/1068611" xr:uid="{A4E3A1FE-16DE-451D-9891-E7F4BF66DC1D}"/>
    <hyperlink ref="C253" r:id="rId247" display="https://amp.vexpenses.com/settings/membros-de-equipe/896137" xr:uid="{54396A83-4B63-44DC-8F4B-434D8DCC1F61}"/>
    <hyperlink ref="C254" r:id="rId248" display="https://amp.vexpenses.com/settings/membros-de-equipe/954733" xr:uid="{225A77BF-2047-455B-B3F2-F161C08F2961}"/>
    <hyperlink ref="C255" r:id="rId249" display="https://amp.vexpenses.com/settings/membros-de-equipe/896138" xr:uid="{9408CB2D-1C77-46CE-BF87-67605EFC2571}"/>
    <hyperlink ref="C256" r:id="rId250" display="https://amp.vexpenses.com/settings/membros-de-equipe/1106552" xr:uid="{F7ECEE5A-035B-495C-B577-E5AAE7416B59}"/>
    <hyperlink ref="C257" r:id="rId251" display="https://amp.vexpenses.com/settings/membros-de-equipe/896140" xr:uid="{A8B66942-7DD6-4677-89BD-6573876489AC}"/>
    <hyperlink ref="C258" r:id="rId252" display="https://amp.vexpenses.com/settings/membros-de-equipe/896141" xr:uid="{90876068-48B3-45B7-BA0D-658CEF38D8CB}"/>
    <hyperlink ref="C259" r:id="rId253" display="https://amp.vexpenses.com/settings/membros-de-equipe/896142" xr:uid="{322E7A67-241B-4093-BD2C-FCFEA4D4B4D4}"/>
    <hyperlink ref="C260" r:id="rId254" display="https://amp.vexpenses.com/settings/membros-de-equipe/896143" xr:uid="{3CB45ECF-D868-4B59-874C-D2258098402F}"/>
    <hyperlink ref="C261" r:id="rId255" display="https://amp.vexpenses.com/settings/membros-de-equipe/923893" xr:uid="{2D1E2E7C-BFA7-40E1-A37A-1F559E13571D}"/>
    <hyperlink ref="C262" r:id="rId256" display="https://amp.vexpenses.com/settings/membros-de-equipe/896144" xr:uid="{6E462393-F901-4CC6-8E36-98709FED682C}"/>
    <hyperlink ref="C263" r:id="rId257" display="https://amp.vexpenses.com/settings/membros-de-equipe/896145" xr:uid="{9CEEBD06-26C5-4047-B665-D89A491EDE77}"/>
    <hyperlink ref="C264" r:id="rId258" display="https://amp.vexpenses.com/settings/membros-de-equipe/1055662" xr:uid="{47EE82B2-F8B7-41E0-882D-3BFC90630713}"/>
    <hyperlink ref="C265" r:id="rId259" display="https://amp.vexpenses.com/settings/membros-de-equipe/1149595" xr:uid="{71CD19AF-510F-4349-A145-B045E6299154}"/>
    <hyperlink ref="C266" r:id="rId260" display="https://amp.vexpenses.com/settings/membros-de-equipe/958951" xr:uid="{86E83F74-7D25-4BD3-A6EA-E1E774EE348E}"/>
    <hyperlink ref="C267" r:id="rId261" display="https://amp.vexpenses.com/settings/membros-de-equipe/969231" xr:uid="{589796BC-774E-40D3-95D5-A477CC672C5A}"/>
    <hyperlink ref="C268" r:id="rId262" display="https://amp.vexpenses.com/settings/membros-de-equipe/896148" xr:uid="{66D80B38-BFF9-4564-BAEE-48FE25D174C6}"/>
    <hyperlink ref="C269" r:id="rId263" display="https://amp.vexpenses.com/settings/membros-de-equipe/896149" xr:uid="{890876AE-1B5F-4CD9-8E7C-801A16115511}"/>
    <hyperlink ref="C270" r:id="rId264" display="https://amp.vexpenses.com/settings/membros-de-equipe/1090880" xr:uid="{00600C40-F347-4414-B7E2-E7FF24C0E997}"/>
    <hyperlink ref="C271" r:id="rId265" display="https://amp.vexpenses.com/settings/membros-de-equipe/896150" xr:uid="{319478E5-90CC-4FBC-B221-6B0929AA3AA7}"/>
    <hyperlink ref="C272" r:id="rId266" display="https://amp.vexpenses.com/settings/membros-de-equipe/923651" xr:uid="{721AFCB5-2C9C-46B1-A13E-958591EDC20D}"/>
    <hyperlink ref="C273" r:id="rId267" display="https://amp.vexpenses.com/settings/membros-de-equipe/896151" xr:uid="{1FFD023D-C8A5-4CD8-B244-AAAB3D9FC35A}"/>
    <hyperlink ref="C274" r:id="rId268" display="https://amp.vexpenses.com/settings/membros-de-equipe/896152" xr:uid="{530541A3-99C9-4F02-AF18-E022DFE319F8}"/>
    <hyperlink ref="C275" r:id="rId269" display="https://amp.vexpenses.com/settings/membros-de-equipe/896153" xr:uid="{3DE1B5C4-20B9-4BAA-BA2A-12F9F191B94C}"/>
    <hyperlink ref="C276" r:id="rId270" display="https://amp.vexpenses.com/settings/membros-de-equipe/896154" xr:uid="{F17B7613-A4BF-47A9-A0C2-EC96ED7DC44C}"/>
    <hyperlink ref="C277" r:id="rId271" display="https://amp.vexpenses.com/settings/membros-de-equipe/1119271" xr:uid="{E9990530-A4FF-4F65-80CD-A360172298D7}"/>
    <hyperlink ref="C278" r:id="rId272" display="https://amp.vexpenses.com/settings/membros-de-equipe/896156" xr:uid="{F54FF810-1A42-456E-89D3-F9C6F4985C9F}"/>
    <hyperlink ref="C279" r:id="rId273" display="https://amp.vexpenses.com/settings/membros-de-equipe/896157" xr:uid="{60628B3B-1575-4A88-974F-6E37035D6937}"/>
    <hyperlink ref="C280" r:id="rId274" display="https://amp.vexpenses.com/settings/membros-de-equipe/896158" xr:uid="{72AA3728-86DD-4588-B4AE-C97C5C854213}"/>
    <hyperlink ref="C281" r:id="rId275" display="https://amp.vexpenses.com/settings/membros-de-equipe/931414" xr:uid="{DD8DB22F-472E-4BDD-8078-C1DCD296ACBD}"/>
    <hyperlink ref="C282" r:id="rId276" display="https://amp.vexpenses.com/settings/membros-de-equipe/896159" xr:uid="{398D2C7B-22DA-4980-8AEA-CD84FBD9A2FF}"/>
    <hyperlink ref="C283" r:id="rId277" display="https://amp.vexpenses.com/settings/membros-de-equipe/978440" xr:uid="{9467D884-16E7-403F-9D73-C311A36ACDF1}"/>
    <hyperlink ref="C284" r:id="rId278" display="https://amp.vexpenses.com/settings/membros-de-equipe/1148953" xr:uid="{BA93CD4B-0D6D-488A-B5E1-928A289A8AD6}"/>
    <hyperlink ref="C285" r:id="rId279" display="https://amp.vexpenses.com/settings/membros-de-equipe/978694" xr:uid="{4BF85172-C34C-4005-AC26-0D190A876BA0}"/>
    <hyperlink ref="C286" r:id="rId280" display="https://amp.vexpenses.com/settings/membros-de-equipe/1072283" xr:uid="{36C6E722-F224-4542-B33B-34CEF0B4A785}"/>
    <hyperlink ref="C287" r:id="rId281" display="https://amp.vexpenses.com/settings/membros-de-equipe/930413" xr:uid="{E182E31C-0F8F-4CEC-A036-261CA1C477F9}"/>
    <hyperlink ref="C288" r:id="rId282" display="https://amp.vexpenses.com/settings/membros-de-equipe/896161" xr:uid="{74B8F850-512C-477E-BDDF-27709EDC40EE}"/>
    <hyperlink ref="C289" r:id="rId283" display="https://amp.vexpenses.com/settings/membros-de-equipe/896162" xr:uid="{0DA21D16-5B04-472D-BDEB-9ED348B5B0C0}"/>
    <hyperlink ref="C290" r:id="rId284" display="https://amp.vexpenses.com/settings/membros-de-equipe/896163" xr:uid="{4F362AB9-FEF1-47A1-9F2F-F6205F255BB3}"/>
    <hyperlink ref="C291" r:id="rId285" display="https://amp.vexpenses.com/settings/membros-de-equipe/916884" xr:uid="{094BDD0B-0C12-41A1-97F9-13B6BD3AB9B7}"/>
    <hyperlink ref="C292" r:id="rId286" display="https://amp.vexpenses.com/settings/membros-de-equipe/986346" xr:uid="{D38AC812-F45A-4050-A794-F79628854B50}"/>
    <hyperlink ref="C293" r:id="rId287" display="https://amp.vexpenses.com/settings/membros-de-equipe/1008341" xr:uid="{661B2018-E83F-40A2-942D-277190D48CDD}"/>
    <hyperlink ref="C294" r:id="rId288" display="https://amp.vexpenses.com/settings/membros-de-equipe/896164" xr:uid="{84155E54-9F25-4EFE-A9C8-F07D3C8DF051}"/>
    <hyperlink ref="C295" r:id="rId289" display="https://amp.vexpenses.com/settings/membros-de-equipe/1106549" xr:uid="{107BC89B-5084-457C-A93F-2956F2CD747D}"/>
    <hyperlink ref="C296" r:id="rId290" display="https://amp.vexpenses.com/settings/membros-de-equipe/896165" xr:uid="{C784ED37-0CE7-4321-9D58-98213EC9F083}"/>
    <hyperlink ref="C297" r:id="rId291" display="https://amp.vexpenses.com/settings/membros-de-equipe/896166" xr:uid="{A841A25C-9207-4ECD-A8AD-55D2F8B08404}"/>
    <hyperlink ref="C298" r:id="rId292" display="https://amp.vexpenses.com/settings/membros-de-equipe/1114315" xr:uid="{1BF4AC14-5F73-4DE2-BCF0-25409DE9197B}"/>
    <hyperlink ref="C299" r:id="rId293" display="https://amp.vexpenses.com/settings/membros-de-equipe/999216" xr:uid="{D639C26B-FA02-4C0C-A2BB-E5D483D93B0B}"/>
    <hyperlink ref="C300" r:id="rId294" display="https://amp.vexpenses.com/settings/membros-de-equipe/1079549" xr:uid="{0A4B9B84-BEB7-4CBA-9C08-4E3D79FAAEF9}"/>
    <hyperlink ref="C301" r:id="rId295" display="https://amp.vexpenses.com/settings/membros-de-equipe/896168" xr:uid="{354E9197-E950-4227-BAC5-EE68BC219195}"/>
    <hyperlink ref="C302" r:id="rId296" display="https://amp.vexpenses.com/settings/membros-de-equipe/896170" xr:uid="{C75A1514-DF2A-4982-827C-38D3FE770B25}"/>
    <hyperlink ref="C303" r:id="rId297" display="https://amp.vexpenses.com/settings/membros-de-equipe/896171" xr:uid="{8907CC38-32EC-446B-AFEC-7D60C2F23DD7}"/>
    <hyperlink ref="C304" r:id="rId298" display="https://amp.vexpenses.com/settings/membros-de-equipe/896172" xr:uid="{92871D32-98A8-418A-90EB-9D4E1DB43C54}"/>
    <hyperlink ref="C305" r:id="rId299" display="https://amp.vexpenses.com/settings/membros-de-equipe/896173" xr:uid="{6E1D7287-2EAF-402D-8BF8-72230D8488C5}"/>
    <hyperlink ref="C306" r:id="rId300" display="https://amp.vexpenses.com/settings/membros-de-equipe/896174" xr:uid="{0541D57D-79EB-4089-91C3-DD43DC595F55}"/>
    <hyperlink ref="C307" r:id="rId301" display="https://amp.vexpenses.com/settings/membros-de-equipe/957803" xr:uid="{1B80C78D-E050-4DB0-82AE-67323AB2FAE8}"/>
    <hyperlink ref="C308" r:id="rId302" display="https://amp.vexpenses.com/settings/membros-de-equipe/896175" xr:uid="{747E0038-4DFE-4242-8402-E37EBD34CBAB}"/>
    <hyperlink ref="C309" r:id="rId303" display="https://amp.vexpenses.com/settings/membros-de-equipe/1088602" xr:uid="{10652DBF-233A-4B2A-A8B1-FAE870884BF7}"/>
    <hyperlink ref="C310" r:id="rId304" display="https://amp.vexpenses.com/settings/membros-de-equipe/896177" xr:uid="{69EB0F1F-1F93-4767-9FDB-DB3DE4E304F0}"/>
    <hyperlink ref="C311" r:id="rId305" display="https://amp.vexpenses.com/settings/membros-de-equipe/896178" xr:uid="{F684F55E-DC0A-4CB0-AF74-4BB698F2C1E4}"/>
    <hyperlink ref="C312" r:id="rId306" display="https://amp.vexpenses.com/settings/membros-de-equipe/896179" xr:uid="{952B481E-2CEA-40C5-A833-544087C15D57}"/>
    <hyperlink ref="C313" r:id="rId307" display="https://amp.vexpenses.com/settings/membros-de-equipe/896180" xr:uid="{4F3F633D-D45D-4A2A-B656-0D3AC011B84D}"/>
    <hyperlink ref="C314" r:id="rId308" display="https://amp.vexpenses.com/settings/membros-de-equipe/896181" xr:uid="{4C98D6E6-44B6-4FA7-878B-2220F021EBDB}"/>
    <hyperlink ref="C315" r:id="rId309" display="https://amp.vexpenses.com/settings/membros-de-equipe/1063490" xr:uid="{94D19035-5938-416A-8384-C150AF6AC93C}"/>
    <hyperlink ref="C316" r:id="rId310" display="https://amp.vexpenses.com/settings/membros-de-equipe/1072503" xr:uid="{BB0A959C-F4DF-42ED-A2B2-5E67E94E40DE}"/>
    <hyperlink ref="C317" r:id="rId311" display="https://amp.vexpenses.com/settings/membros-de-equipe/896183" xr:uid="{950C242E-44F9-452A-9215-83DB8BB77D03}"/>
    <hyperlink ref="C318" r:id="rId312" display="https://amp.vexpenses.com/settings/membros-de-equipe/896184" xr:uid="{8E3BA6B0-8683-40BF-AA85-98B2991053B2}"/>
    <hyperlink ref="C319" r:id="rId313" display="https://amp.vexpenses.com/settings/membros-de-equipe/921535" xr:uid="{F35AF401-7628-4719-9BEF-3621A8AC7B92}"/>
    <hyperlink ref="C320" r:id="rId314" display="https://amp.vexpenses.com/settings/membros-de-equipe/896185" xr:uid="{33CE0255-1C40-4FB9-A1B3-3F5380D129BC}"/>
    <hyperlink ref="C321" r:id="rId315" display="https://amp.vexpenses.com/settings/membros-de-equipe/896186" xr:uid="{A54E0ACC-CD9E-430D-935F-F5322202F713}"/>
    <hyperlink ref="C322" r:id="rId316" display="https://amp.vexpenses.com/settings/membros-de-equipe/896188" xr:uid="{37F8DD1E-B526-4C05-A9F1-AB302D9D649F}"/>
    <hyperlink ref="C323" r:id="rId317" display="https://amp.vexpenses.com/settings/membros-de-equipe/1148946" xr:uid="{64DB06ED-614E-4B34-B1ED-03621CCCBBA9}"/>
    <hyperlink ref="C324" r:id="rId318" display="https://amp.vexpenses.com/settings/membros-de-equipe/896189" xr:uid="{AABBB748-4940-4D2C-98D6-77EB20063A76}"/>
    <hyperlink ref="C325" r:id="rId319" display="https://amp.vexpenses.com/settings/membros-de-equipe/1008337" xr:uid="{946E5AAE-4B6F-49C8-B4B5-4F1FC7170F69}"/>
    <hyperlink ref="C326" r:id="rId320" display="https://amp.vexpenses.com/settings/membros-de-equipe/958523" xr:uid="{69A12C05-6748-48B3-A8F3-878DB1AF0C58}"/>
    <hyperlink ref="C327" r:id="rId321" display="https://amp.vexpenses.com/settings/membros-de-equipe/896191" xr:uid="{22C54309-CEEB-4CB3-8573-55F2CC473FC3}"/>
    <hyperlink ref="C328" r:id="rId322" display="https://amp.vexpenses.com/settings/membros-de-equipe/896192" xr:uid="{A1552432-BEE1-4AAE-A4A3-7A2912FE7635}"/>
    <hyperlink ref="C329" r:id="rId323" display="https://amp.vexpenses.com/settings/membros-de-equipe/896193" xr:uid="{12913354-4F80-4916-8BF8-25A06A927248}"/>
    <hyperlink ref="C330" r:id="rId324" display="https://amp.vexpenses.com/settings/membros-de-equipe/896196" xr:uid="{EF9FA7EA-2A45-49E0-93BF-4D676DC38E74}"/>
    <hyperlink ref="C331" r:id="rId325" display="https://amp.vexpenses.com/settings/membros-de-equipe/896198" xr:uid="{18AEBD6B-802D-453F-AF1A-20BBBBCB04C9}"/>
    <hyperlink ref="C332" r:id="rId326" display="https://amp.vexpenses.com/settings/membros-de-equipe/896199" xr:uid="{0EF25543-81A5-4936-91B9-BDF0E0E60932}"/>
    <hyperlink ref="C333" r:id="rId327" display="https://amp.vexpenses.com/settings/membros-de-equipe/896200" xr:uid="{38AAA8CB-A26B-4C6F-93D9-265315902BB6}"/>
    <hyperlink ref="C334" r:id="rId328" display="https://amp.vexpenses.com/settings/membros-de-equipe/1109992" xr:uid="{45410A3E-2603-41A0-B4B3-0829BEA3070F}"/>
    <hyperlink ref="C335" r:id="rId329" display="https://amp.vexpenses.com/settings/membros-de-equipe/946419" xr:uid="{3F770F53-7E36-4FD7-A0AC-1B90FA27C772}"/>
    <hyperlink ref="C336" r:id="rId330" display="https://amp.vexpenses.com/settings/membros-de-equipe/896203" xr:uid="{A2215439-1E35-48F0-8005-D62F9F328883}"/>
    <hyperlink ref="C337" r:id="rId331" display="https://amp.vexpenses.com/settings/membros-de-equipe/896204" xr:uid="{3750DF27-F57B-41D0-B083-974EE80AC884}"/>
    <hyperlink ref="C338" r:id="rId332" display="https://amp.vexpenses.com/settings/membros-de-equipe/1068601" xr:uid="{52DCB891-20F2-4A91-B939-246FC6F45AD7}"/>
    <hyperlink ref="C339" r:id="rId333" display="https://amp.vexpenses.com/settings/membros-de-equipe/1109484" xr:uid="{E320617B-8A4C-4BF0-8711-8EEB6F6B8AC7}"/>
    <hyperlink ref="C340" r:id="rId334" display="https://amp.vexpenses.com/settings/membros-de-equipe/923628" xr:uid="{CA7DAF10-FFC0-4E74-B41E-DC881C0343B4}"/>
    <hyperlink ref="C341" r:id="rId335" display="https://amp.vexpenses.com/settings/membros-de-equipe/896205" xr:uid="{7A5643BE-957E-40B3-851A-BAD7D3F163F5}"/>
    <hyperlink ref="C342" r:id="rId336" display="https://amp.vexpenses.com/settings/membros-de-equipe/1079553" xr:uid="{EFEA5197-8B1C-4DE3-BBA0-5E766F51AB7C}"/>
    <hyperlink ref="C343" r:id="rId337" display="https://amp.vexpenses.com/settings/membros-de-equipe/1008342" xr:uid="{4F3B66ED-B512-4CC8-80EB-0F8C81E86450}"/>
    <hyperlink ref="C344" r:id="rId338" display="https://amp.vexpenses.com/settings/membros-de-equipe/998959" xr:uid="{CF2FBBC9-C3E2-4423-B7D1-3D32CF1F0A85}"/>
    <hyperlink ref="C345" r:id="rId339" display="https://amp.vexpenses.com/settings/membros-de-equipe/896206" xr:uid="{5820C831-1B78-4454-A4EC-40D798D27D39}"/>
    <hyperlink ref="C346" r:id="rId340" display="https://amp.vexpenses.com/settings/membros-de-equipe/1106567" xr:uid="{158D8537-50C7-4650-92CC-5261C15874A8}"/>
    <hyperlink ref="C347" r:id="rId341" display="https://amp.vexpenses.com/settings/membros-de-equipe/896207" xr:uid="{FB88F9AB-6489-4527-8F5E-E841D6808058}"/>
    <hyperlink ref="C348" r:id="rId342" display="https://amp.vexpenses.com/settings/membros-de-equipe/1117250" xr:uid="{45149A19-49D6-460B-80E3-C16A2AD12524}"/>
    <hyperlink ref="C349" r:id="rId343" display="https://amp.vexpenses.com/settings/membros-de-equipe/916936" xr:uid="{CEA79D66-4A8F-45AF-AE23-C08EA0A319D9}"/>
    <hyperlink ref="C350" r:id="rId344" display="https://amp.vexpenses.com/settings/membros-de-equipe/896208" xr:uid="{77A031F1-D0BB-4CA5-8053-5D1E33F3A442}"/>
    <hyperlink ref="C351" r:id="rId345" display="https://amp.vexpenses.com/settings/membros-de-equipe/1010665" xr:uid="{7EB2FEAA-DF3D-4DB8-B08E-723D4E5C8F74}"/>
    <hyperlink ref="C352" r:id="rId346" display="https://amp.vexpenses.com/settings/membros-de-equipe/1023033" xr:uid="{A81E7F7F-BE84-4461-8CB5-32B1A113DC24}"/>
    <hyperlink ref="C353" r:id="rId347" display="https://amp.vexpenses.com/settings/membros-de-equipe/896210" xr:uid="{2D0DE57D-B0AF-46BB-A9AE-77B54463B0E5}"/>
    <hyperlink ref="C354" r:id="rId348" display="https://amp.vexpenses.com/settings/membros-de-equipe/896211" xr:uid="{CF42F058-9263-4FAF-934D-14C3F31C0FB5}"/>
    <hyperlink ref="C355" r:id="rId349" display="https://amp.vexpenses.com/settings/membros-de-equipe/922276" xr:uid="{DC9267D2-4A19-4EC4-96CE-4BE1F28026E5}"/>
    <hyperlink ref="C356" r:id="rId350" display="https://amp.vexpenses.com/settings/membros-de-equipe/896212" xr:uid="{39C8BA1E-5409-425E-9B25-9294C1E7DAD9}"/>
    <hyperlink ref="C357" r:id="rId351" display="https://amp.vexpenses.com/settings/membros-de-equipe/896213" xr:uid="{7D8847C5-AFE9-49FC-9A26-496B4E16AE88}"/>
    <hyperlink ref="C358" r:id="rId352" display="https://amp.vexpenses.com/settings/membros-de-equipe/896214" xr:uid="{C6DC4031-7423-43A1-83BC-E3B32523DEBA}"/>
    <hyperlink ref="C359" r:id="rId353" display="https://amp.vexpenses.com/settings/membros-de-equipe/917049" xr:uid="{934C5BA6-B964-4BB2-B5D8-EF1CD323304D}"/>
    <hyperlink ref="C360" r:id="rId354" display="https://amp.vexpenses.com/settings/membros-de-equipe/896215" xr:uid="{365336AF-3693-44AB-86C8-03D582055E62}"/>
    <hyperlink ref="C361" r:id="rId355" display="https://amp.vexpenses.com/settings/membros-de-equipe/961469" xr:uid="{B57549E8-9914-44E1-B086-7D15F849F29B}"/>
    <hyperlink ref="C362" r:id="rId356" display="https://amp.vexpenses.com/settings/membros-de-equipe/1091438" xr:uid="{3E0DD134-016E-4028-981E-0E6B49ACCBF7}"/>
    <hyperlink ref="C363" r:id="rId357" display="https://amp.vexpenses.com/settings/membros-de-equipe/896216" xr:uid="{0B91CA01-ACFD-44B5-B371-D43B9030F7B6}"/>
    <hyperlink ref="C364" r:id="rId358" display="https://amp.vexpenses.com/settings/membros-de-equipe/896217" xr:uid="{E9564E23-1D7A-40BB-A794-2F2BCBAB2BE4}"/>
    <hyperlink ref="C365" r:id="rId359" display="https://amp.vexpenses.com/settings/membros-de-equipe/896218" xr:uid="{477EEAF4-1C95-4A3F-9C28-CBE9A9488439}"/>
    <hyperlink ref="C366" r:id="rId360" display="https://amp.vexpenses.com/settings/membros-de-equipe/916906" xr:uid="{3972ED5A-8D82-4D6F-9C72-EEE4E14930D6}"/>
    <hyperlink ref="C367" r:id="rId361" display="https://amp.vexpenses.com/settings/membros-de-equipe/1011271" xr:uid="{2BEA618D-D4EF-4EA2-96B1-AD860AB29AAF}"/>
    <hyperlink ref="C368" r:id="rId362" display="https://amp.vexpenses.com/settings/membros-de-equipe/896219" xr:uid="{26E25E38-85AA-42CD-9EFA-32C2953CF0E8}"/>
    <hyperlink ref="C369" r:id="rId363" display="https://amp.vexpenses.com/settings/membros-de-equipe/896220" xr:uid="{F21FE679-02BF-4261-B0DB-72959CDE51E3}"/>
    <hyperlink ref="C370" r:id="rId364" display="https://amp.vexpenses.com/settings/membros-de-equipe/1109481" xr:uid="{5CE8C5AC-2043-4A5F-922D-69B2F475037F}"/>
    <hyperlink ref="C371" r:id="rId365" display="https://amp.vexpenses.com/settings/membros-de-equipe/891904" xr:uid="{E3810281-0C23-4688-965F-6515B8DD41A0}"/>
    <hyperlink ref="C372" r:id="rId366" display="https://amp.vexpenses.com/settings/membros-de-equipe/896221" xr:uid="{CB402A89-DA3B-4079-9692-03D54FE489C3}"/>
    <hyperlink ref="C373" r:id="rId367" display="https://amp.vexpenses.com/settings/membros-de-equipe/923895" xr:uid="{A27BF0D4-3FB7-478B-ABAA-A1D841ECF64B}"/>
    <hyperlink ref="C374" r:id="rId368" display="https://amp.vexpenses.com/settings/membros-de-equipe/1114308" xr:uid="{D0EC344D-6503-4B49-A544-D3897A9946DC}"/>
    <hyperlink ref="C375" r:id="rId369" display="https://amp.vexpenses.com/settings/membros-de-equipe/896222" xr:uid="{A9F9C64E-54AA-4AFD-ACB0-51ABF93FEBF5}"/>
    <hyperlink ref="C376" r:id="rId370" display="https://amp.vexpenses.com/settings/membros-de-equipe/1061873" xr:uid="{CD2B775F-0889-4068-B631-8FBC79360244}"/>
    <hyperlink ref="C377" r:id="rId371" display="https://amp.vexpenses.com/settings/membros-de-equipe/979939" xr:uid="{DDA3D597-1297-4A39-8EBE-2E8D98037EFD}"/>
    <hyperlink ref="C378" r:id="rId372" display="https://amp.vexpenses.com/settings/membros-de-equipe/896423" xr:uid="{5A7D9D09-F0AC-4FBA-91EC-3A524585F14B}"/>
    <hyperlink ref="C379" r:id="rId373" display="https://amp.vexpenses.com/settings/membros-de-equipe/917361" xr:uid="{B383502F-3E02-4163-A8DF-CC31CB95657F}"/>
    <hyperlink ref="C380" r:id="rId374" display="https://amp.vexpenses.com/settings/membros-de-equipe/1040939" xr:uid="{CBDAAE61-F891-4BC9-9EC7-9714FE916708}"/>
    <hyperlink ref="C381" r:id="rId375" display="https://amp.vexpenses.com/settings/membros-de-equipe/896223" xr:uid="{0A0A9C3B-ACA1-4A98-B04C-5D11598F24A2}"/>
    <hyperlink ref="C382" r:id="rId376" display="https://amp.vexpenses.com/settings/membros-de-equipe/896224" xr:uid="{C86F8B99-AD97-4793-AA53-410E37069E6B}"/>
    <hyperlink ref="C383" r:id="rId377" display="https://amp.vexpenses.com/settings/membros-de-equipe/1010647" xr:uid="{5D93CF36-C8B7-4413-A27A-5B0152CBF7BE}"/>
    <hyperlink ref="C384" r:id="rId378" display="https://amp.vexpenses.com/settings/membros-de-equipe/896225" xr:uid="{E4DA8620-B86A-4187-87C6-234F2E85150A}"/>
    <hyperlink ref="C385" r:id="rId379" display="https://amp.vexpenses.com/settings/membros-de-equipe/896226" xr:uid="{A4DA83F7-2E57-4AC2-8529-4BC3BC710167}"/>
    <hyperlink ref="C386" r:id="rId380" display="https://amp.vexpenses.com/settings/membros-de-equipe/925993" xr:uid="{6DA4370D-6847-4FB0-9C57-794435BC0EA3}"/>
    <hyperlink ref="C387" r:id="rId381" display="https://amp.vexpenses.com/settings/membros-de-equipe/896227" xr:uid="{FF02242E-0167-485F-B2F7-F4C50CE0F67C}"/>
    <hyperlink ref="C388" r:id="rId382" display="https://amp.vexpenses.com/settings/membros-de-equipe/896228" xr:uid="{D70C9849-95ED-48F0-8B5D-5D8B6A42F245}"/>
    <hyperlink ref="C389" r:id="rId383" display="https://amp.vexpenses.com/settings/membros-de-equipe/896229" xr:uid="{2AEDFF32-9FD9-459E-94B1-324D20DB899E}"/>
    <hyperlink ref="C390" r:id="rId384" display="https://amp.vexpenses.com/settings/membros-de-equipe/896230" xr:uid="{0C2C4D50-AF24-40F5-95E6-85CDA467DBAA}"/>
    <hyperlink ref="C391" r:id="rId385" display="https://amp.vexpenses.com/settings/membros-de-equipe/896231" xr:uid="{6DED62A6-2BBC-4FF7-ADDD-803F031E0A78}"/>
    <hyperlink ref="C392" r:id="rId386" display="https://amp.vexpenses.com/settings/membros-de-equipe/916932" xr:uid="{D6D6C3FD-0385-4DDB-A453-CBCA5DCE501A}"/>
    <hyperlink ref="C393" r:id="rId387" display="https://amp.vexpenses.com/settings/membros-de-equipe/970758" xr:uid="{CD32DA56-A94C-43AB-8A09-32BAACE3DED6}"/>
    <hyperlink ref="C394" r:id="rId388" display="https://amp.vexpenses.com/settings/membros-de-equipe/896232" xr:uid="{C97E8502-EE5D-49C6-9720-BFEE17F77559}"/>
    <hyperlink ref="C395" r:id="rId389" display="https://amp.vexpenses.com/settings/membros-de-equipe/896233" xr:uid="{64CC4E4D-3832-4544-8C99-C6B4B139202E}"/>
    <hyperlink ref="C396" r:id="rId390" display="https://amp.vexpenses.com/settings/membros-de-equipe/1087695" xr:uid="{113E8037-16B5-4202-B412-93049654AD43}"/>
    <hyperlink ref="C397" r:id="rId391" display="https://amp.vexpenses.com/settings/membros-de-equipe/896235" xr:uid="{BBCC3F75-6F92-4089-BF47-02A32A20BF47}"/>
    <hyperlink ref="C398" r:id="rId392" display="https://amp.vexpenses.com/settings/membros-de-equipe/896236" xr:uid="{9471ACB1-8B26-4266-9D93-F980CE9B88B9}"/>
    <hyperlink ref="C399" r:id="rId393" display="https://amp.vexpenses.com/settings/membros-de-equipe/896237" xr:uid="{B89C9D8C-514C-41BA-956A-4180509E0128}"/>
    <hyperlink ref="C400" r:id="rId394" display="https://amp.vexpenses.com/settings/membros-de-equipe/916912" xr:uid="{4848EB27-69EC-47A7-BEA4-3D6538510B5B}"/>
    <hyperlink ref="C401" r:id="rId395" display="https://amp.vexpenses.com/settings/membros-de-equipe/896238" xr:uid="{AEB8AF82-D23B-420C-9526-28E2F7D1605B}"/>
    <hyperlink ref="C402" r:id="rId396" display="https://amp.vexpenses.com/settings/membros-de-equipe/896240" xr:uid="{D3307319-BE78-4619-8C46-CE074A974819}"/>
    <hyperlink ref="C403" r:id="rId397" display="https://amp.vexpenses.com/settings/membros-de-equipe/896241" xr:uid="{19721F42-E1B4-4208-B04C-67FCF82B4444}"/>
    <hyperlink ref="C404" r:id="rId398" display="https://amp.vexpenses.com/settings/membros-de-equipe/896242" xr:uid="{2EA6B39C-3451-490B-A9DA-F55A696E1C5F}"/>
    <hyperlink ref="C405" r:id="rId399" display="https://amp.vexpenses.com/settings/membros-de-equipe/896243" xr:uid="{02263AB5-8710-4619-862B-C804C780C79E}"/>
    <hyperlink ref="C407" r:id="rId400" display="https://amp.vexpenses.com/settings/membros-de-equipe/1130776" xr:uid="{F949FC07-8E6B-443D-B6A3-0DAEEC878CBC}"/>
    <hyperlink ref="C408" r:id="rId401" display="https://amp.vexpenses.com/settings/membros-de-equipe/917057" xr:uid="{4B7109B1-7285-4C1A-B934-1A18C9F30238}"/>
    <hyperlink ref="C409" r:id="rId402" display="https://amp.vexpenses.com/settings/membros-de-equipe/917365" xr:uid="{83261D6C-C619-4DE3-A8C4-DDBA54903EB1}"/>
    <hyperlink ref="C410" r:id="rId403" display="https://amp.vexpenses.com/settings/membros-de-equipe/896244" xr:uid="{E646335A-36B2-4E51-AD84-08A26AEF16F0}"/>
    <hyperlink ref="C411" r:id="rId404" display="https://amp.vexpenses.com/settings/membros-de-equipe/896245" xr:uid="{15AB4BA7-6336-41E2-9E03-7E862AA1A547}"/>
    <hyperlink ref="C412" r:id="rId405" display="https://amp.vexpenses.com/settings/membros-de-equipe/948926" xr:uid="{CCDDB760-CDBE-4F0B-AAEA-B798F118150F}"/>
    <hyperlink ref="C413" r:id="rId406" display="https://amp.vexpenses.com/settings/membros-de-equipe/929759" xr:uid="{959020C9-D044-4634-BBB0-41B61046D7A3}"/>
    <hyperlink ref="C414" r:id="rId407" display="https://amp.vexpenses.com/settings/membros-de-equipe/896246" xr:uid="{1598F9AF-0B2F-4E4B-B924-60151652AE2A}"/>
    <hyperlink ref="C415" r:id="rId408" display="https://amp.vexpenses.com/settings/membros-de-equipe/1059425" xr:uid="{89BF79D8-20EF-48BE-84A5-057F53A7872B}"/>
    <hyperlink ref="C416" r:id="rId409" display="https://amp.vexpenses.com/settings/membros-de-equipe/896249" xr:uid="{CC1A534C-3A3C-4257-AF18-302BEE7EFFED}"/>
    <hyperlink ref="C417" r:id="rId410" display="https://amp.vexpenses.com/settings/membros-de-equipe/896250" xr:uid="{C8A839DD-B736-49A7-B56F-01315CFBF06A}"/>
    <hyperlink ref="C418" r:id="rId411" display="https://amp.vexpenses.com/settings/membros-de-equipe/913936" xr:uid="{721A8294-1416-4F09-BD6B-40846584A933}"/>
    <hyperlink ref="C419" r:id="rId412" display="https://amp.vexpenses.com/settings/membros-de-equipe/896251" xr:uid="{55ED52AC-272E-4057-8563-ACFFCAF05BD8}"/>
    <hyperlink ref="C420" r:id="rId413" display="https://amp.vexpenses.com/settings/membros-de-equipe/896425" xr:uid="{D5F8B892-BC42-46E9-8ED4-F2808E417DF5}"/>
    <hyperlink ref="C421" r:id="rId414" display="https://amp.vexpenses.com/settings/membros-de-equipe/896252" xr:uid="{95F8D492-D31F-4CB5-A793-6962F8CF4610}"/>
    <hyperlink ref="C422" r:id="rId415" display="https://amp.vexpenses.com/settings/membros-de-equipe/896253" xr:uid="{C6B68DEA-37BB-4AEE-86F5-4B3DD7BFB337}"/>
    <hyperlink ref="C423" r:id="rId416" display="https://amp.vexpenses.com/settings/membros-de-equipe/1001913" xr:uid="{153DC10E-1B16-42E4-AA9C-53349C1EBF43}"/>
    <hyperlink ref="C424" r:id="rId417" display="https://amp.vexpenses.com/settings/membros-de-equipe/896254" xr:uid="{0743390E-A3F5-40F2-98FD-D14FAF172798}"/>
    <hyperlink ref="C425" r:id="rId418" display="https://amp.vexpenses.com/settings/membros-de-equipe/1068608" xr:uid="{7A1942AA-9C1E-4361-A3A8-B44C2C802B74}"/>
    <hyperlink ref="C426" r:id="rId419" display="https://amp.vexpenses.com/settings/membros-de-equipe/896333" xr:uid="{8770631D-5A8C-4C61-9E61-CBD0B39FB451}"/>
    <hyperlink ref="C427" r:id="rId420" display="https://amp.vexpenses.com/settings/membros-de-equipe/896255" xr:uid="{C97EAFDA-A840-4F56-8A12-8B5144FFDC8B}"/>
    <hyperlink ref="C428" r:id="rId421" display="https://amp.vexpenses.com/settings/membros-de-equipe/896257" xr:uid="{0D6B96F8-2604-46FF-B130-ACE07D333E02}"/>
    <hyperlink ref="C429" r:id="rId422" display="https://amp.vexpenses.com/settings/membros-de-equipe/1100052" xr:uid="{8411CA38-CBE4-43E4-ADF8-57E5F3975EE3}"/>
    <hyperlink ref="C430" r:id="rId423" display="https://amp.vexpenses.com/settings/membros-de-equipe/896258" xr:uid="{6F273953-DB44-4BA0-9865-814B3FAF51BF}"/>
    <hyperlink ref="C431" r:id="rId424" display="https://amp.vexpenses.com/settings/membros-de-equipe/896259" xr:uid="{DF55F063-6C75-4CE6-8EA2-F92B71A0B6F0}"/>
    <hyperlink ref="C432" r:id="rId425" display="https://amp.vexpenses.com/settings/membros-de-equipe/1109482" xr:uid="{347083CE-FAB2-4EA4-A917-BA45167678F3}"/>
    <hyperlink ref="C433" r:id="rId426" display="https://amp.vexpenses.com/settings/membros-de-equipe/891980" xr:uid="{F8462E70-5236-43AE-8F81-5A42D5BAD0F3}"/>
    <hyperlink ref="C434" r:id="rId427" display="https://amp.vexpenses.com/settings/membros-de-equipe/896262" xr:uid="{698596F9-A39C-4ED0-961B-8B8F26D4B831}"/>
    <hyperlink ref="C435" r:id="rId428" display="https://amp.vexpenses.com/settings/membros-de-equipe/1026117" xr:uid="{175F9243-CC75-4A2E-BE58-2FF97D880F55}"/>
    <hyperlink ref="C436" r:id="rId429" display="https://amp.vexpenses.com/settings/membros-de-equipe/896264" xr:uid="{E0E732C6-E75C-4A75-8B53-F97084853AE2}"/>
    <hyperlink ref="C437" r:id="rId430" display="https://amp.vexpenses.com/settings/membros-de-equipe/1128510" xr:uid="{DC09434E-DBF5-4388-9872-502C77190288}"/>
    <hyperlink ref="C438" r:id="rId431" display="https://amp.vexpenses.com/settings/membros-de-equipe/924050" xr:uid="{DB6BDC1D-7332-4AB8-9E2B-26876BED5891}"/>
    <hyperlink ref="C439" r:id="rId432" display="https://amp.vexpenses.com/settings/membros-de-equipe/1007813" xr:uid="{5B6F8670-DD88-474A-9A3B-9BFF902A667F}"/>
    <hyperlink ref="C440" r:id="rId433" display="https://amp.vexpenses.com/settings/membros-de-equipe/917363" xr:uid="{24DD5396-6E7D-4839-B4FE-9E556DE5F932}"/>
    <hyperlink ref="C441" r:id="rId434" display="https://amp.vexpenses.com/settings/membros-de-equipe/896267" xr:uid="{531E82A2-4C37-4396-9C3E-4E54964D7AC8}"/>
    <hyperlink ref="C442" r:id="rId435" display="https://amp.vexpenses.com/settings/membros-de-equipe/896268" xr:uid="{75E41293-2CC0-4BE3-A11E-5B384BEDF903}"/>
    <hyperlink ref="C443" r:id="rId436" display="https://amp.vexpenses.com/settings/membros-de-equipe/896269" xr:uid="{E3174A39-457F-4815-BEAB-7267405483E1}"/>
    <hyperlink ref="C444" r:id="rId437" display="https://amp.vexpenses.com/settings/membros-de-equipe/967438" xr:uid="{B590D0AC-8E36-4B2F-BB1E-3A7B70BA821E}"/>
    <hyperlink ref="C445" r:id="rId438" display="https://amp.vexpenses.com/settings/membros-de-equipe/896270" xr:uid="{1CEF5E78-80F6-4679-A489-C3ECDBD5587E}"/>
    <hyperlink ref="C446" r:id="rId439" display="https://amp.vexpenses.com/settings/membros-de-equipe/896271" xr:uid="{0F49DE58-35BB-4574-8766-CA7587139255}"/>
    <hyperlink ref="C447" r:id="rId440" display="https://amp.vexpenses.com/settings/membros-de-equipe/896272" xr:uid="{383A8631-413F-4C9A-BD28-DA796418E869}"/>
    <hyperlink ref="C448" r:id="rId441" display="https://amp.vexpenses.com/settings/membros-de-equipe/896274" xr:uid="{6E5BCCBB-C2F0-4A99-9AB1-9B680FD1D2A1}"/>
    <hyperlink ref="C449" r:id="rId442" display="https://amp.vexpenses.com/settings/membros-de-equipe/896275" xr:uid="{3383F8E9-312B-4C1F-BD3A-67DE36891259}"/>
    <hyperlink ref="C450" r:id="rId443" display="https://amp.vexpenses.com/settings/membros-de-equipe/1042864" xr:uid="{8ED3880B-023D-4654-A84A-7F7DEA7751AC}"/>
    <hyperlink ref="C451" r:id="rId444" display="https://amp.vexpenses.com/settings/membros-de-equipe/896276" xr:uid="{50FFFFDD-B0FB-4639-8941-FB43D05FF34D}"/>
    <hyperlink ref="C452" r:id="rId445" display="https://amp.vexpenses.com/settings/membros-de-equipe/896277" xr:uid="{ADB7954F-42C9-4419-BE43-088650FFFC52}"/>
    <hyperlink ref="C453" r:id="rId446" display="https://amp.vexpenses.com/settings/membros-de-equipe/896279" xr:uid="{5BC0A92E-8DBD-49F1-956E-8B0E40EA68F3}"/>
    <hyperlink ref="C454" r:id="rId447" display="https://amp.vexpenses.com/settings/membros-de-equipe/1063494" xr:uid="{9D94CB3E-2006-41FA-96D8-E2E278BD5C92}"/>
    <hyperlink ref="C455" r:id="rId448" display="https://amp.vexpenses.com/settings/membros-de-equipe/896281" xr:uid="{1E61F46C-05B9-4EED-9141-6597F7EE2FEF}"/>
    <hyperlink ref="C456" r:id="rId449" display="https://amp.vexpenses.com/settings/membros-de-equipe/896282" xr:uid="{48C925F9-C334-4982-8C6A-43CF04D03C6B}"/>
    <hyperlink ref="C457" r:id="rId450" display="https://amp.vexpenses.com/settings/membros-de-equipe/1079585" xr:uid="{130D4C1C-251A-4DA5-8819-25DC58E204BA}"/>
    <hyperlink ref="C458" r:id="rId451" display="https://amp.vexpenses.com/settings/membros-de-equipe/896284" xr:uid="{20D9CAB3-A3F1-4E39-AEAF-040446DDD11E}"/>
    <hyperlink ref="C459" r:id="rId452" display="https://amp.vexpenses.com/settings/membros-de-equipe/896285" xr:uid="{1A5285AA-5A04-4ADD-B2E8-C98E1E15F6F2}"/>
    <hyperlink ref="C460" r:id="rId453" display="https://amp.vexpenses.com/settings/membros-de-equipe/896286" xr:uid="{F34C291D-4DC9-4C5B-AD93-4AC6C03716A9}"/>
    <hyperlink ref="C461" r:id="rId454" display="https://amp.vexpenses.com/settings/membros-de-equipe/921927" xr:uid="{D1565852-05FE-44C2-A3E9-E953CBA11F45}"/>
    <hyperlink ref="C462" r:id="rId455" display="https://amp.vexpenses.com/settings/membros-de-equipe/896287" xr:uid="{48D1DFAD-A83F-409F-A316-E8482381511D}"/>
    <hyperlink ref="C463" r:id="rId456" display="https://amp.vexpenses.com/settings/membros-de-equipe/896288" xr:uid="{33CA54CD-D4A1-4CB3-997F-633EC11B6204}"/>
    <hyperlink ref="C464" r:id="rId457" display="https://amp.vexpenses.com/settings/membros-de-equipe/1127608" xr:uid="{64765398-83E9-484E-851A-E62AD26CE2A0}"/>
    <hyperlink ref="C465" r:id="rId458" display="https://amp.vexpenses.com/settings/membros-de-equipe/896289" xr:uid="{E592D32A-DC0B-4A02-839B-7453FC527BD5}"/>
    <hyperlink ref="C466" r:id="rId459" display="https://amp.vexpenses.com/settings/membros-de-equipe/896290" xr:uid="{435F4E2B-F60F-42D4-8F2B-FF62D277F714}"/>
    <hyperlink ref="C467" r:id="rId460" display="https://amp.vexpenses.com/settings/membros-de-equipe/896291" xr:uid="{22E57746-E050-4E11-ADF9-ADA3CE306B40}"/>
    <hyperlink ref="C468" r:id="rId461" display="https://amp.vexpenses.com/settings/membros-de-equipe/896292" xr:uid="{AD21B61D-5F29-40CC-90EC-059DE1E83BEE}"/>
    <hyperlink ref="C469" r:id="rId462" display="https://amp.vexpenses.com/settings/membros-de-equipe/896293" xr:uid="{17616EFA-011F-423E-9D53-7B2323E83B23}"/>
    <hyperlink ref="C470" r:id="rId463" display="https://amp.vexpenses.com/settings/membros-de-equipe/896295" xr:uid="{09E02CE3-D652-4334-93D6-5E98BB0AEE6C}"/>
    <hyperlink ref="C471" r:id="rId464" display="https://amp.vexpenses.com/settings/membros-de-equipe/1071871" xr:uid="{227F9119-EB68-437D-BBE9-0B63382EE47A}"/>
    <hyperlink ref="C472" r:id="rId465" display="https://amp.vexpenses.com/settings/membros-de-equipe/973950" xr:uid="{51282BF7-66CB-44D2-846A-955247CCA5E6}"/>
    <hyperlink ref="C473" r:id="rId466" display="https://amp.vexpenses.com/settings/membros-de-equipe/1117098" xr:uid="{ED57E02C-ED24-4240-8835-EC6C3AB47C2F}"/>
    <hyperlink ref="C474" r:id="rId467" display="https://amp.vexpenses.com/settings/membros-de-equipe/896296" xr:uid="{850F4B12-CFF8-4AC6-B379-6BC057A7773A}"/>
    <hyperlink ref="C475" r:id="rId468" display="https://amp.vexpenses.com/settings/membros-de-equipe/896297" xr:uid="{CC7B76D2-BF1A-4962-A3EC-641605AAD06F}"/>
    <hyperlink ref="C476" r:id="rId469" display="https://amp.vexpenses.com/settings/membros-de-equipe/1063495" xr:uid="{E020B877-3A38-4D00-8426-EBDD782476D1}"/>
    <hyperlink ref="C477" r:id="rId470" display="https://amp.vexpenses.com/settings/membros-de-equipe/896298" xr:uid="{C885EFD6-C6A6-4BFF-ABAB-02D4B8201C40}"/>
    <hyperlink ref="C478" r:id="rId471" display="https://amp.vexpenses.com/settings/membros-de-equipe/1054503" xr:uid="{9373806A-F874-4CCC-8487-9539023BFF16}"/>
    <hyperlink ref="C479" r:id="rId472" display="https://amp.vexpenses.com/settings/membros-de-equipe/1056032" xr:uid="{C4A671CC-DFA3-4BF6-B6B3-EBCAD9015D9A}"/>
    <hyperlink ref="C480" r:id="rId473" display="https://amp.vexpenses.com/settings/membros-de-equipe/891978" xr:uid="{DC106F1F-5C8C-4AB9-8C27-A989CF290352}"/>
    <hyperlink ref="C481" r:id="rId474" display="https://amp.vexpenses.com/settings/membros-de-equipe/1087712" xr:uid="{D528A954-BB4F-4EE5-B275-70BBE06C4F48}"/>
    <hyperlink ref="C482" r:id="rId475" display="https://amp.vexpenses.com/settings/membros-de-equipe/918849" xr:uid="{35277553-8CB9-4E65-B356-ED5496E8A134}"/>
    <hyperlink ref="C483" r:id="rId476" display="https://amp.vexpenses.com/settings/membros-de-equipe/896299" xr:uid="{31369E29-90F6-44B6-ADE8-0FBC1DC0C060}"/>
    <hyperlink ref="C484" r:id="rId477" display="https://amp.vexpenses.com/settings/membros-de-equipe/1116911" xr:uid="{0A6C3AF8-CF1D-407B-8B4A-1A81F00CC42E}"/>
    <hyperlink ref="C485" r:id="rId478" display="https://amp.vexpenses.com/settings/membros-de-equipe/896300" xr:uid="{229F75F0-DE8A-4A4F-BECF-F41F6D6D3FEC}"/>
    <hyperlink ref="C486" r:id="rId479" display="https://amp.vexpenses.com/settings/membros-de-equipe/896301" xr:uid="{91C7C519-0215-44CD-B22F-8DCD88829B69}"/>
    <hyperlink ref="C487" r:id="rId480" display="https://amp.vexpenses.com/settings/membros-de-equipe/896302" xr:uid="{ECA80572-C56F-4FCB-8D89-69ADE0099D86}"/>
    <hyperlink ref="C488" r:id="rId481" display="https://amp.vexpenses.com/settings/membros-de-equipe/1065237" xr:uid="{9A68DD88-8D30-4859-ABC7-6A2FD6D65930}"/>
    <hyperlink ref="C489" r:id="rId482" display="https://amp.vexpenses.com/settings/membros-de-equipe/896303" xr:uid="{A5D5F90B-884B-4935-BF96-E197D576C2BA}"/>
    <hyperlink ref="C490" r:id="rId483" display="https://amp.vexpenses.com/settings/membros-de-equipe/896304" xr:uid="{2B99F2E8-0AC2-46E9-B704-1D0A8084DE44}"/>
    <hyperlink ref="C491" r:id="rId484" display="https://amp.vexpenses.com/settings/membros-de-equipe/1109495" xr:uid="{DF68EFCA-2D07-4A17-AFA8-ACC97E5402C6}"/>
    <hyperlink ref="C492" r:id="rId485" display="https://amp.vexpenses.com/settings/membros-de-equipe/921795" xr:uid="{1018B730-11A7-44C6-AF86-40826A620590}"/>
    <hyperlink ref="C493" r:id="rId486" display="https://amp.vexpenses.com/settings/membros-de-equipe/1147698" xr:uid="{B7340622-A040-4DD1-9D0A-806CA87D9049}"/>
    <hyperlink ref="C494" r:id="rId487" display="https://amp.vexpenses.com/settings/membros-de-equipe/996627" xr:uid="{65D1D464-78C4-467A-80E6-5F29A174FFB8}"/>
    <hyperlink ref="C495" r:id="rId488" display="https://amp.vexpenses.com/settings/membros-de-equipe/928994" xr:uid="{83AFD308-1318-4DC5-A88D-76F7B0BBF36A}"/>
    <hyperlink ref="C496" r:id="rId489" display="https://amp.vexpenses.com/settings/membros-de-equipe/1100042" xr:uid="{DD85FD94-B2BA-40CF-BE56-C1A8C7F442DA}"/>
    <hyperlink ref="C497" r:id="rId490" display="https://amp.vexpenses.com/settings/membros-de-equipe/896306" xr:uid="{8C6FF2C4-E46B-468D-94D6-A685D79152D6}"/>
    <hyperlink ref="C498" r:id="rId491" display="https://amp.vexpenses.com/settings/membros-de-equipe/896308" xr:uid="{F27219DF-5F61-4FCC-B14D-00C06D3965F2}"/>
    <hyperlink ref="C499" r:id="rId492" display="https://amp.vexpenses.com/settings/membros-de-equipe/1035869" xr:uid="{BF351473-54AA-4AD2-B5E9-45D5EBD2C21D}"/>
    <hyperlink ref="C500" r:id="rId493" display="https://amp.vexpenses.com/settings/membros-de-equipe/1025223" xr:uid="{68918FE8-C3B1-414B-A46A-129D3764B048}"/>
    <hyperlink ref="C501" r:id="rId494" display="https://amp.vexpenses.com/settings/membros-de-equipe/896311" xr:uid="{9E88A11E-97FE-4777-8989-BA201F56EC0D}"/>
    <hyperlink ref="C502" r:id="rId495" display="https://amp.vexpenses.com/settings/membros-de-equipe/896313" xr:uid="{119C3A03-C2DE-4339-BF0E-1FB65F2A99CB}"/>
    <hyperlink ref="C503" r:id="rId496" display="https://amp.vexpenses.com/settings/membros-de-equipe/896314" xr:uid="{57EA102F-89DC-4986-AE52-6A8B9E1158AD}"/>
    <hyperlink ref="C504" r:id="rId497" display="https://amp.vexpenses.com/settings/membros-de-equipe/917081" xr:uid="{8B869C87-3897-45F0-A912-C08A627AF5E0}"/>
    <hyperlink ref="C505" r:id="rId498" display="https://amp.vexpenses.com/settings/membros-de-equipe/896315" xr:uid="{74951955-874A-4080-9575-1E8C4F39D367}"/>
    <hyperlink ref="C506" r:id="rId499" display="https://amp.vexpenses.com/settings/membros-de-equipe/1072510" xr:uid="{2B7F77DF-B8FD-4B1F-8611-712FB8871AAA}"/>
    <hyperlink ref="C507" r:id="rId500" display="https://amp.vexpenses.com/settings/membros-de-equipe/922275" xr:uid="{34678AC7-5243-402D-AFD8-B40FCCA9C960}"/>
    <hyperlink ref="C508" r:id="rId501" display="https://amp.vexpenses.com/settings/membros-de-equipe/950558" xr:uid="{EF43C736-5B02-46CF-82EA-D4C1B8BD75E5}"/>
    <hyperlink ref="C509" r:id="rId502" display="https://amp.vexpenses.com/settings/membros-de-equipe/896316" xr:uid="{686E631C-39CB-47D7-9B64-0A1EB4A22E1B}"/>
    <hyperlink ref="C510" r:id="rId503" display="https://amp.vexpenses.com/settings/membros-de-equipe/896317" xr:uid="{6C214C4C-4FE6-4CB3-A8CD-9BD1595EB78C}"/>
    <hyperlink ref="C511" r:id="rId504" display="https://amp.vexpenses.com/settings/membros-de-equipe/896318" xr:uid="{214D4AF4-701C-4E1D-B62A-9DA2C7013FA8}"/>
    <hyperlink ref="C512" r:id="rId505" display="https://amp.vexpenses.com/settings/membros-de-equipe/896319" xr:uid="{33BA4A7A-4C78-455D-8937-3D2E975C8F32}"/>
    <hyperlink ref="C513" r:id="rId506" display="https://amp.vexpenses.com/settings/membros-de-equipe/1033729" xr:uid="{D49B0E63-9FC2-45A9-B9F5-3B954D47327D}"/>
    <hyperlink ref="C514" r:id="rId507" display="https://amp.vexpenses.com/settings/membros-de-equipe/896322" xr:uid="{758E8E4B-0C3E-49C1-82AA-8048BFD4CBF9}"/>
    <hyperlink ref="C515" r:id="rId508" display="https://amp.vexpenses.com/settings/membros-de-equipe/896325" xr:uid="{A4D94CAB-BF47-41D6-B205-ED33CD972030}"/>
    <hyperlink ref="C516" r:id="rId509" display="https://amp.vexpenses.com/settings/membros-de-equipe/896326" xr:uid="{C496B340-1B09-4CAB-BF39-221CE0DBA0C1}"/>
    <hyperlink ref="C517" r:id="rId510" display="https://amp.vexpenses.com/settings/membros-de-equipe/1106584" xr:uid="{42A63719-7842-4EAD-B515-1CA26C69B4C7}"/>
    <hyperlink ref="C518" r:id="rId511" display="https://amp.vexpenses.com/settings/membros-de-equipe/896327" xr:uid="{62A31A1A-6CB6-4750-9B12-33C9E13A8910}"/>
    <hyperlink ref="C519" r:id="rId512" display="https://amp.vexpenses.com/settings/membros-de-equipe/1110286" xr:uid="{A07D39BB-5FDA-41A7-B20F-E0326E012CE6}"/>
    <hyperlink ref="C520" r:id="rId513" display="https://amp.vexpenses.com/settings/membros-de-equipe/917069" xr:uid="{3D5D50DB-3DB3-49D6-A613-DAE0F674C012}"/>
    <hyperlink ref="C521" r:id="rId514" display="https://amp.vexpenses.com/settings/membros-de-equipe/896329" xr:uid="{6DE20DA8-D8BB-4708-A077-3752257FB6F6}"/>
    <hyperlink ref="C522" r:id="rId515" display="https://amp.vexpenses.com/settings/membros-de-equipe/896330" xr:uid="{D08F03AC-5FAB-41B5-AC72-8723D170E633}"/>
    <hyperlink ref="C523" r:id="rId516" display="https://amp.vexpenses.com/settings/membros-de-equipe/963612" xr:uid="{0CB85F86-9434-40B8-8C04-9A02E1D1AF63}"/>
    <hyperlink ref="C524" r:id="rId517" display="https://amp.vexpenses.com/settings/membros-de-equipe/896331" xr:uid="{5F4AAE54-FBE3-40C9-AA7A-F614B52D201F}"/>
    <hyperlink ref="C525" r:id="rId518" display="https://amp.vexpenses.com/settings/membros-de-equipe/896332" xr:uid="{F66B7731-D300-475F-A0AD-797A429376F1}"/>
    <hyperlink ref="C526" r:id="rId519" display="https://amp.vexpenses.com/settings/membros-de-equipe/1106577" xr:uid="{03FBEEDE-F26D-46CF-A3FE-EB8E03E4C6C1}"/>
    <hyperlink ref="C527" r:id="rId520" display="https://amp.vexpenses.com/settings/membros-de-equipe/1148495" xr:uid="{7EA65BC9-D7CA-422D-8B75-09608CBA6DA1}"/>
    <hyperlink ref="C528" r:id="rId521" display="https://amp.vexpenses.com/settings/membros-de-equipe/896357" xr:uid="{FA8DFD3B-1DAE-401D-ACE2-97026EDD7A38}"/>
    <hyperlink ref="C529" r:id="rId522" display="https://amp.vexpenses.com/settings/membros-de-equipe/896335" xr:uid="{D416CC47-E3C4-482F-91C1-5801F9EDD639}"/>
    <hyperlink ref="C530" r:id="rId523" display="https://amp.vexpenses.com/settings/membros-de-equipe/928097" xr:uid="{5513857E-815A-4392-A742-7C693CA4E927}"/>
    <hyperlink ref="C531" r:id="rId524" display="https://amp.vexpenses.com/settings/membros-de-equipe/896336" xr:uid="{C279E038-25E2-42B9-BB9C-6483BEEB4A4C}"/>
    <hyperlink ref="C532" r:id="rId525" display="https://amp.vexpenses.com/settings/membros-de-equipe/917059" xr:uid="{930D4C5B-F209-47DC-8C3F-18D002D6CC35}"/>
    <hyperlink ref="C533" r:id="rId526" display="https://amp.vexpenses.com/settings/membros-de-equipe/1088596" xr:uid="{FC6E41CE-55AD-4470-B534-CAD9EFE3D4AA}"/>
    <hyperlink ref="C534" r:id="rId527" display="https://amp.vexpenses.com/settings/membros-de-equipe/1083299" xr:uid="{2BB04530-5B64-4D3A-9E1B-A6DA6102EFCA}"/>
    <hyperlink ref="C535" r:id="rId528" display="https://amp.vexpenses.com/settings/membros-de-equipe/1142278" xr:uid="{C92829E5-0325-4D33-8EF7-7A36E119FE33}"/>
    <hyperlink ref="C536" r:id="rId529" display="https://amp.vexpenses.com/settings/membros-de-equipe/1137282" xr:uid="{1EE549D8-4FA3-476A-9C41-96B31C7EC30C}"/>
    <hyperlink ref="C537" r:id="rId530" display="https://amp.vexpenses.com/settings/membros-de-equipe/896339" xr:uid="{C7B9EEEA-A40B-475F-9ED7-6C2410D858FF}"/>
    <hyperlink ref="C538" r:id="rId531" display="https://amp.vexpenses.com/settings/membros-de-equipe/896340" xr:uid="{A838CD1B-F1B0-4B19-AD1A-7757E0B43F72}"/>
    <hyperlink ref="C539" r:id="rId532" display="https://amp.vexpenses.com/settings/membros-de-equipe/896342" xr:uid="{59DBFC00-942C-4160-B3A1-E9D534A4D4D1}"/>
    <hyperlink ref="C540" r:id="rId533" display="https://amp.vexpenses.com/settings/membros-de-equipe/896343" xr:uid="{9114B52F-6F2B-43D9-8936-4DA0B0B5C4C7}"/>
    <hyperlink ref="C541" r:id="rId534" display="https://amp.vexpenses.com/settings/membros-de-equipe/896344" xr:uid="{9F87BF4E-FF0E-4F96-9C1C-6431FB03A40F}"/>
    <hyperlink ref="C542" r:id="rId535" display="https://amp.vexpenses.com/settings/membros-de-equipe/896346" xr:uid="{EB20CFED-B79A-456B-9AE5-7D6574BC5912}"/>
    <hyperlink ref="C543" r:id="rId536" display="https://amp.vexpenses.com/settings/membros-de-equipe/1100086" xr:uid="{0EF9145C-0102-4950-98B0-56F6A59041FB}"/>
    <hyperlink ref="C544" r:id="rId537" display="https://amp.vexpenses.com/settings/membros-de-equipe/1109493" xr:uid="{D437EE82-D52C-4B26-86AD-3D1238258F9E}"/>
    <hyperlink ref="C545" r:id="rId538" display="https://amp.vexpenses.com/settings/membros-de-equipe/896348" xr:uid="{39569520-E9CC-4C37-B3DE-B14214C67A0B}"/>
    <hyperlink ref="C546" r:id="rId539" display="https://amp.vexpenses.com/settings/membros-de-equipe/896349" xr:uid="{318E8AB9-AA7C-44E6-8200-3E3621D3B242}"/>
    <hyperlink ref="C547" r:id="rId540" display="https://amp.vexpenses.com/settings/membros-de-equipe/896351" xr:uid="{63AAB283-8D57-467B-982F-431273DE6E3D}"/>
    <hyperlink ref="C548" r:id="rId541" display="https://amp.vexpenses.com/settings/membros-de-equipe/896352" xr:uid="{349566E2-7551-47A0-AB80-366AC2598843}"/>
    <hyperlink ref="C549" r:id="rId542" display="https://amp.vexpenses.com/settings/membros-de-equipe/891979" xr:uid="{4F1F6E15-1664-4E95-8C62-49559170073A}"/>
    <hyperlink ref="C550" r:id="rId543" display="https://amp.vexpenses.com/settings/membros-de-equipe/896353" xr:uid="{8EF234B8-F6DB-407F-B126-0B013438417F}"/>
    <hyperlink ref="C551" r:id="rId544" display="https://amp.vexpenses.com/settings/membros-de-equipe/1023020" xr:uid="{F121237A-C646-4D1A-9286-6573C92A4385}"/>
    <hyperlink ref="C552" r:id="rId545" display="https://amp.vexpenses.com/settings/membros-de-equipe/1117262" xr:uid="{B88C21E5-B4ED-4999-B6A3-AFECDFF3EE62}"/>
    <hyperlink ref="C553" r:id="rId546" display="https://amp.vexpenses.com/settings/membros-de-equipe/1010644" xr:uid="{4BF2C50A-45D4-45CA-AD0C-057040E8B4D2}"/>
    <hyperlink ref="C554" r:id="rId547" display="https://amp.vexpenses.com/settings/membros-de-equipe/920862" xr:uid="{2BD3ABB0-3B75-404E-A070-01BDF1FDE977}"/>
    <hyperlink ref="C555" r:id="rId548" display="https://amp.vexpenses.com/settings/membros-de-equipe/896355" xr:uid="{BB12EDB7-0735-42C9-8DB0-705E0A513D30}"/>
    <hyperlink ref="C556" r:id="rId549" display="https://amp.vexpenses.com/settings/membros-de-equipe/917051" xr:uid="{E6D2F704-A9A2-4D24-AB1E-AACD45E1EA28}"/>
    <hyperlink ref="C557" r:id="rId550" display="https://amp.vexpenses.com/settings/membros-de-equipe/896356" xr:uid="{978F1564-9E2D-4D11-8EC7-BD49A2E6A297}"/>
    <hyperlink ref="C558" r:id="rId551" display="https://amp.vexpenses.com/settings/membros-de-equipe/896397" xr:uid="{7B1A2A94-1B5D-4ADB-8132-3C578A811225}"/>
    <hyperlink ref="C559" r:id="rId552" display="https://amp.vexpenses.com/settings/membros-de-equipe/896358" xr:uid="{409DE4F3-A8D1-4AEC-9F65-FD62D1932F1F}"/>
    <hyperlink ref="C560" r:id="rId553" display="https://amp.vexpenses.com/settings/membros-de-equipe/1100082" xr:uid="{D33D132B-B329-478B-8281-FB589A8CC020}"/>
    <hyperlink ref="C561" r:id="rId554" display="https://amp.vexpenses.com/settings/membros-de-equipe/930440" xr:uid="{CF0D6E89-5CB7-4877-9D5E-2859ACF0824A}"/>
    <hyperlink ref="C562" r:id="rId555" display="https://amp.vexpenses.com/settings/membros-de-equipe/1063497" xr:uid="{635B47BC-6411-4A5D-B113-A3A669BFC6F7}"/>
    <hyperlink ref="C563" r:id="rId556" display="https://amp.vexpenses.com/settings/membros-de-equipe/1060225" xr:uid="{C4FA57D8-B325-4C5B-9434-67C8DC34438E}"/>
    <hyperlink ref="C564" r:id="rId557" display="https://amp.vexpenses.com/settings/membros-de-equipe/896359" xr:uid="{6BA021D8-6698-4B85-9390-462B56A9B645}"/>
    <hyperlink ref="C565" r:id="rId558" display="https://amp.vexpenses.com/settings/membros-de-equipe/896360" xr:uid="{C4FB6CE4-A0E5-45F1-B8BA-859A43FF3780}"/>
    <hyperlink ref="C566" r:id="rId559" display="https://amp.vexpenses.com/settings/membros-de-equipe/896361" xr:uid="{B5879BFB-F508-438D-A5BE-4C8E501C04D5}"/>
    <hyperlink ref="C567" r:id="rId560" display="https://amp.vexpenses.com/settings/membros-de-equipe/920855" xr:uid="{E204A697-D309-4F61-B32F-1BB6FB4DF939}"/>
    <hyperlink ref="C568" r:id="rId561" display="https://amp.vexpenses.com/settings/membros-de-equipe/896362" xr:uid="{174F45DD-FF92-4128-AFA3-71987C8CBC43}"/>
    <hyperlink ref="C569" r:id="rId562" display="https://amp.vexpenses.com/settings/membros-de-equipe/896363" xr:uid="{D275492B-EDA5-482D-80D6-00F2D675BF9A}"/>
    <hyperlink ref="C570" r:id="rId563" display="https://amp.vexpenses.com/settings/membros-de-equipe/896364" xr:uid="{5EF3DF77-681E-4D1A-9313-A9ACB17FD9FF}"/>
    <hyperlink ref="C571" r:id="rId564" display="https://amp.vexpenses.com/settings/membros-de-equipe/896365" xr:uid="{32B6E5BB-0AF1-48EB-8440-7DB576927C48}"/>
    <hyperlink ref="C572" r:id="rId565" display="https://amp.vexpenses.com/settings/membros-de-equipe/917052" xr:uid="{A33F221F-2493-4F88-85E2-599925D8F48D}"/>
    <hyperlink ref="C573" r:id="rId566" display="https://amp.vexpenses.com/settings/membros-de-equipe/896366" xr:uid="{6CE42024-7B1B-418E-95DC-4056931E484B}"/>
    <hyperlink ref="C574" r:id="rId567" display="https://amp.vexpenses.com/settings/membros-de-equipe/896367" xr:uid="{CF4DFD11-AD01-467D-A38B-DF09110FE690}"/>
    <hyperlink ref="C575" r:id="rId568" display="https://amp.vexpenses.com/settings/membros-de-equipe/968562" xr:uid="{EE5B425B-9617-4377-8906-1AF2334BEE98}"/>
    <hyperlink ref="C576" r:id="rId569" display="https://amp.vexpenses.com/settings/membros-de-equipe/1023079" xr:uid="{9A90AA0C-BD95-4718-83BA-A255AEF89D08}"/>
    <hyperlink ref="C577" r:id="rId570" display="https://amp.vexpenses.com/settings/membros-de-equipe/1077951" xr:uid="{3BFFA783-B869-4434-B654-79F144F37B36}"/>
    <hyperlink ref="C578" r:id="rId571" display="https://amp.vexpenses.com/settings/membros-de-equipe/896369" xr:uid="{090281A6-83B6-436E-90BA-38794CB98726}"/>
    <hyperlink ref="C579" r:id="rId572" display="https://amp.vexpenses.com/settings/membros-de-equipe/931255" xr:uid="{58620F40-7707-4B62-8213-0330087A007C}"/>
    <hyperlink ref="C580" r:id="rId573" display="https://amp.vexpenses.com/settings/membros-de-equipe/896373" xr:uid="{DEBA3057-4739-460F-91A9-50F7812D2107}"/>
    <hyperlink ref="C581" r:id="rId574" display="https://amp.vexpenses.com/settings/membros-de-equipe/1068619" xr:uid="{D6C6D535-64D7-4787-880A-B56FD5E820FD}"/>
    <hyperlink ref="C582" r:id="rId575" display="https://amp.vexpenses.com/settings/membros-de-equipe/920868" xr:uid="{77489C60-D201-4ADB-9135-05C4F685CC68}"/>
    <hyperlink ref="C583" r:id="rId576" display="https://amp.vexpenses.com/settings/membros-de-equipe/1073268" xr:uid="{58443F98-8A6F-4EA4-8605-631D7825DAFC}"/>
    <hyperlink ref="C584" r:id="rId577" display="https://amp.vexpenses.com/settings/membros-de-equipe/985833" xr:uid="{6C56B76C-CA4B-45DD-B4B5-3992A645CF23}"/>
    <hyperlink ref="C585" r:id="rId578" display="https://amp.vexpenses.com/settings/membros-de-equipe/917368" xr:uid="{4B2FD26E-A4F2-46B2-96FF-CB37F492593B}"/>
    <hyperlink ref="C586" r:id="rId579" display="https://amp.vexpenses.com/settings/membros-de-equipe/896424" xr:uid="{0074083E-8BB2-414E-A414-D3D8433DFE85}"/>
    <hyperlink ref="C587" r:id="rId580" display="https://amp.vexpenses.com/settings/membros-de-equipe/896376" xr:uid="{C9647144-F386-4810-B65C-D08535FE7474}"/>
    <hyperlink ref="C588" r:id="rId581" display="https://amp.vexpenses.com/settings/membros-de-equipe/896378" xr:uid="{C75608ED-BE53-48CC-9343-17D2537F45DC}"/>
    <hyperlink ref="C589" r:id="rId582" display="https://amp.vexpenses.com/settings/membros-de-equipe/923842" xr:uid="{32AC89D3-7B21-48AB-9E29-251AF1682A29}"/>
    <hyperlink ref="C590" r:id="rId583" display="https://amp.vexpenses.com/settings/membros-de-equipe/1077047" xr:uid="{7051E79E-EC84-4997-946E-C782CCF2B085}"/>
    <hyperlink ref="C591" r:id="rId584" display="https://amp.vexpenses.com/settings/membros-de-equipe/896380" xr:uid="{8E5B8250-2DEA-48B5-8B14-35CACDB28D25}"/>
    <hyperlink ref="C592" r:id="rId585" display="https://amp.vexpenses.com/settings/membros-de-equipe/896381" xr:uid="{F15DD9B2-3ACC-44B4-895E-016F9E8BDB2F}"/>
    <hyperlink ref="C593" r:id="rId586" display="https://amp.vexpenses.com/settings/membros-de-equipe/896384" xr:uid="{6D3A8C77-3A9D-4ECC-80E9-CD20511F2466}"/>
    <hyperlink ref="C594" r:id="rId587" display="https://amp.vexpenses.com/settings/membros-de-equipe/1149023" xr:uid="{5CA2523C-C411-4A12-B95D-84739D7A2940}"/>
    <hyperlink ref="C595" r:id="rId588" display="https://amp.vexpenses.com/settings/membros-de-equipe/896385" xr:uid="{F4D94B2C-49F7-4A59-95DB-F74BE10EEF85}"/>
    <hyperlink ref="C596" r:id="rId589" display="https://amp.vexpenses.com/settings/membros-de-equipe/896387" xr:uid="{211A3BE4-20AC-496A-B19A-9A071317F914}"/>
    <hyperlink ref="C597" r:id="rId590" display="https://amp.vexpenses.com/settings/membros-de-equipe/896388" xr:uid="{C369474A-D9D1-484E-8949-33A2933755C0}"/>
    <hyperlink ref="C598" r:id="rId591" display="https://amp.vexpenses.com/settings/membros-de-equipe/896389" xr:uid="{E25F4D0C-EEF1-4941-9685-C3F0F82EF4A1}"/>
    <hyperlink ref="C599" r:id="rId592" display="https://amp.vexpenses.com/settings/membros-de-equipe/1061896" xr:uid="{ADB983B3-00CB-42A6-9DAB-448EBDE142D9}"/>
    <hyperlink ref="C600" r:id="rId593" display="https://amp.vexpenses.com/settings/membros-de-equipe/896390" xr:uid="{BBAB2C87-73BD-4147-96D2-1A7D4479D409}"/>
    <hyperlink ref="C601" r:id="rId594" display="https://amp.vexpenses.com/settings/membros-de-equipe/896391" xr:uid="{3CE16D3D-3DE3-4118-86B5-B4E56E4029D9}"/>
    <hyperlink ref="C602" r:id="rId595" display="https://amp.vexpenses.com/settings/membros-de-equipe/896392" xr:uid="{805BD7B9-6532-4AF0-AA5C-54E77F4E6793}"/>
    <hyperlink ref="C603" r:id="rId596" display="https://amp.vexpenses.com/settings/membros-de-equipe/896394" xr:uid="{76C6523C-EBAB-428A-980F-D348B688F0B9}"/>
    <hyperlink ref="C604" r:id="rId597" display="https://amp.vexpenses.com/settings/membros-de-equipe/916366" xr:uid="{809A99B1-B38E-464B-8DE7-41E81242547B}"/>
    <hyperlink ref="C605" r:id="rId598" display="https://amp.vexpenses.com/settings/membros-de-equipe/1056326" xr:uid="{7A375A0B-9206-4069-B1E5-6D1B11CD51B4}"/>
    <hyperlink ref="C606" r:id="rId599" display="https://amp.vexpenses.com/settings/membros-de-equipe/921921" xr:uid="{3BD1D106-5059-457A-A7D7-C501B1CD0FF8}"/>
    <hyperlink ref="C607" r:id="rId600" display="https://amp.vexpenses.com/settings/membros-de-equipe/896395" xr:uid="{7F85D96B-68F3-4841-BBAB-45A6F7FF2531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C013056DBEB44B841F0D8CC3FAF52D" ma:contentTypeVersion="23" ma:contentTypeDescription="Crie um novo documento." ma:contentTypeScope="" ma:versionID="78a095c9dad9364c32232caad5e98509">
  <xsd:schema xmlns:xsd="http://www.w3.org/2001/XMLSchema" xmlns:xs="http://www.w3.org/2001/XMLSchema" xmlns:p="http://schemas.microsoft.com/office/2006/metadata/properties" xmlns:ns2="403907c6-2b54-4b58-a47d-941b221e6233" xmlns:ns3="b1d6eb27-c974-4ca9-9eb5-035131d2e23b" xmlns:ns4="32ecf995-73db-46f9-a681-4562d1c02515" targetNamespace="http://schemas.microsoft.com/office/2006/metadata/properties" ma:root="true" ma:fieldsID="358baa02182544e6cde4c0140ce3dda7" ns2:_="" ns3:_="" ns4:_="">
    <xsd:import namespace="403907c6-2b54-4b58-a47d-941b221e6233"/>
    <xsd:import namespace="b1d6eb27-c974-4ca9-9eb5-035131d2e23b"/>
    <xsd:import namespace="32ecf995-73db-46f9-a681-4562d1c0251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_Flow_SignoffStatus" minOccurs="0"/>
                <xsd:element ref="ns3:Cart_x00e3_o" minOccurs="0"/>
                <xsd:element ref="ns3:NomedoColaborador" minOccurs="0"/>
                <xsd:element ref="ns3:CPF" minOccurs="0"/>
                <xsd:element ref="ns3:IDdochamado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907c6-2b54-4b58-a47d-941b221e623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ash de Dica de Compartilhamento" ma:internalName="SharingHintHash" ma:readOnly="true">
      <xsd:simpleType>
        <xsd:restriction base="dms:Text"/>
      </xsd:simpleType>
    </xsd:element>
    <xsd:element name="SharedWithDetails" ma:index="1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d6eb27-c974-4ca9-9eb5-035131d2e2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6c13fd9-4e76-4e02-ae30-ace2a04b9b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  <xsd:element name="Cart_x00e3_o" ma:index="24" nillable="true" ma:displayName="Cartão" ma:format="Dropdown" ma:internalName="Cart_x00e3_o">
      <xsd:simpleType>
        <xsd:restriction base="dms:Text">
          <xsd:maxLength value="255"/>
        </xsd:restriction>
      </xsd:simpleType>
    </xsd:element>
    <xsd:element name="NomedoColaborador" ma:index="25" nillable="true" ma:displayName="Nome do Colaborador" ma:format="Dropdown" ma:internalName="NomedoColaborador">
      <xsd:simpleType>
        <xsd:restriction base="dms:Text">
          <xsd:maxLength value="255"/>
        </xsd:restriction>
      </xsd:simpleType>
    </xsd:element>
    <xsd:element name="CPF" ma:index="26" nillable="true" ma:displayName="CPF" ma:format="Dropdown" ma:internalName="CPF">
      <xsd:simpleType>
        <xsd:restriction base="dms:Text">
          <xsd:maxLength value="255"/>
        </xsd:restriction>
      </xsd:simpleType>
    </xsd:element>
    <xsd:element name="IDdochamado" ma:index="27" nillable="true" ma:displayName="ID do chamado" ma:format="Dropdown" ma:internalName="IDdochamado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cf995-73db-46f9-a681-4562d1c02515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ed28a3c-4af3-4f9e-a8a1-221510fda1dd}" ma:internalName="TaxCatchAll" ma:showField="CatchAllData" ma:web="32ecf995-73db-46f9-a681-4562d1c025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medoColaborador xmlns="b1d6eb27-c974-4ca9-9eb5-035131d2e23b" xsi:nil="true"/>
    <Cart_x00e3_o xmlns="b1d6eb27-c974-4ca9-9eb5-035131d2e23b" xsi:nil="true"/>
    <CPF xmlns="b1d6eb27-c974-4ca9-9eb5-035131d2e23b" xsi:nil="true"/>
    <lcf76f155ced4ddcb4097134ff3c332f xmlns="b1d6eb27-c974-4ca9-9eb5-035131d2e23b">
      <Terms xmlns="http://schemas.microsoft.com/office/infopath/2007/PartnerControls"/>
    </lcf76f155ced4ddcb4097134ff3c332f>
    <_Flow_SignoffStatus xmlns="b1d6eb27-c974-4ca9-9eb5-035131d2e23b" xsi:nil="true"/>
    <TaxCatchAll xmlns="32ecf995-73db-46f9-a681-4562d1c02515" xsi:nil="true"/>
    <IDdochamado xmlns="b1d6eb27-c974-4ca9-9eb5-035131d2e23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3BDA97-027F-4EE3-8C0E-6C95036E48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3907c6-2b54-4b58-a47d-941b221e6233"/>
    <ds:schemaRef ds:uri="b1d6eb27-c974-4ca9-9eb5-035131d2e23b"/>
    <ds:schemaRef ds:uri="32ecf995-73db-46f9-a681-4562d1c025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20597C-8CBB-4700-91E3-96D180DD30D9}">
  <ds:schemaRefs>
    <ds:schemaRef ds:uri="http://schemas.microsoft.com/office/2006/metadata/properties"/>
    <ds:schemaRef ds:uri="http://schemas.microsoft.com/office/infopath/2007/PartnerControls"/>
    <ds:schemaRef ds:uri="b1d6eb27-c974-4ca9-9eb5-035131d2e23b"/>
    <ds:schemaRef ds:uri="32ecf995-73db-46f9-a681-4562d1c02515"/>
  </ds:schemaRefs>
</ds:datastoreItem>
</file>

<file path=customXml/itemProps3.xml><?xml version="1.0" encoding="utf-8"?>
<ds:datastoreItem xmlns:ds="http://schemas.openxmlformats.org/officeDocument/2006/customXml" ds:itemID="{65F96EC3-3831-4AAC-8DAE-AB7B404663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1 QZ JUNHO</vt:lpstr>
      <vt:lpstr>RETIRAR</vt:lpstr>
      <vt:lpstr>STATUS CARTAO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Andrey Cardoso Reginaldo</dc:creator>
  <cp:keywords/>
  <dc:description/>
  <cp:lastModifiedBy>Andrey Cardoso Reginaldo</cp:lastModifiedBy>
  <cp:revision/>
  <dcterms:created xsi:type="dcterms:W3CDTF">2026-05-11T13:41:10Z</dcterms:created>
  <dcterms:modified xsi:type="dcterms:W3CDTF">2026-06-22T13:23:35Z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0x010100B1C013056DBEB44B841F0D8CC3FAF52D</vt:lpwstr>
  </property>
</Properties>
</file>