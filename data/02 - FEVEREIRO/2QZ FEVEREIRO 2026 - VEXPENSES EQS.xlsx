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33ABB35-3496-479A-AE8B-821F45C80010}" xr6:coauthVersionLast="47" xr6:coauthVersionMax="47" xr10:uidLastSave="{00000000-0000-0000-0000-000000000000}"/>
  <bookViews>
    <workbookView xWindow="20370" yWindow="-120" windowWidth="20730" windowHeight="11160" tabRatio="777" activeTab="2" xr2:uid="{2BE6F296-F55E-453F-9653-E52A07B04F8C}"/>
  </bookViews>
  <sheets>
    <sheet name="2 QZ VEXPENSES 02_2026" sheetId="2" r:id="rId1"/>
    <sheet name="Planilha2" sheetId="12" state="hidden" r:id="rId2"/>
    <sheet name="RATEIO" sheetId="13" r:id="rId3"/>
    <sheet name="Planilha4" sheetId="15" r:id="rId4"/>
    <sheet name="Planilha1" sheetId="7" state="hidden" r:id="rId5"/>
    <sheet name="VALIDAÇÃO AGILLITAS" sheetId="4" state="hidden" r:id="rId6"/>
    <sheet name="Planilha3" sheetId="14" state="hidden" r:id="rId7"/>
  </sheets>
  <definedNames>
    <definedName name="_xlnm._FilterDatabase" localSheetId="4" hidden="1">Planilha1!$B$1:$I$532</definedName>
    <definedName name="_xlnm._FilterDatabase" localSheetId="2" hidden="1">RATEIO!$B$2:$H$211</definedName>
    <definedName name="SegmentaçãodeDados_GESTOR">#N/A</definedName>
  </definedNames>
  <calcPr calcId="191028"/>
  <pivotCaches>
    <pivotCache cacheId="43" r:id="rId8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9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7" i="2" l="1"/>
  <c r="L60" i="2"/>
  <c r="L9" i="2"/>
  <c r="L11" i="2"/>
  <c r="L163" i="2"/>
  <c r="L104" i="2"/>
  <c r="L120" i="2"/>
  <c r="L65" i="2"/>
  <c r="L246" i="2"/>
  <c r="L274" i="2"/>
  <c r="L38" i="2"/>
  <c r="L191" i="2"/>
  <c r="L35" i="2"/>
  <c r="L214" i="2"/>
  <c r="L80" i="2"/>
  <c r="L155" i="2"/>
  <c r="L97" i="2"/>
  <c r="L30" i="2"/>
  <c r="L221" i="2"/>
  <c r="L39" i="2"/>
  <c r="L67" i="2"/>
  <c r="L14" i="2"/>
  <c r="L102" i="2"/>
  <c r="L100" i="2"/>
  <c r="L128" i="2"/>
  <c r="L204" i="2"/>
  <c r="L213" i="2"/>
  <c r="L7" i="2"/>
  <c r="L8" i="2"/>
  <c r="L50" i="2"/>
  <c r="L13" i="2"/>
  <c r="L193" i="2"/>
  <c r="L85" i="2"/>
  <c r="L263" i="2"/>
  <c r="L226" i="2"/>
  <c r="L90" i="2"/>
  <c r="L26" i="2"/>
  <c r="L45" i="2"/>
  <c r="L20" i="2"/>
  <c r="L47" i="2"/>
  <c r="L181" i="2"/>
  <c r="L174" i="2"/>
  <c r="L199" i="2"/>
  <c r="L25" i="2"/>
  <c r="L109" i="2"/>
  <c r="L98" i="2"/>
  <c r="L111" i="2"/>
  <c r="L112" i="2"/>
  <c r="L87" i="2"/>
  <c r="L73" i="2"/>
  <c r="L303" i="2"/>
  <c r="L56" i="2"/>
  <c r="L75" i="2"/>
  <c r="L29" i="2"/>
  <c r="L18" i="2"/>
  <c r="L17" i="2"/>
  <c r="L183" i="2"/>
  <c r="L16" i="2"/>
  <c r="L123" i="2"/>
  <c r="L70" i="2"/>
  <c r="L49" i="2"/>
  <c r="L121" i="2"/>
  <c r="L59" i="2"/>
  <c r="L257" i="2"/>
  <c r="L282" i="2"/>
  <c r="L227" i="2"/>
  <c r="L299" i="2"/>
  <c r="L240" i="2"/>
  <c r="L19" i="2"/>
  <c r="L33" i="2"/>
  <c r="L306" i="2"/>
  <c r="L259" i="2"/>
  <c r="L304" i="2"/>
  <c r="L131" i="2"/>
  <c r="L134" i="2"/>
  <c r="L273" i="2"/>
  <c r="L167" i="2"/>
  <c r="L238" i="2"/>
  <c r="L216" i="2"/>
  <c r="L283" i="2"/>
  <c r="L145" i="2"/>
  <c r="L277" i="2"/>
  <c r="L212" i="2"/>
  <c r="L252" i="2"/>
  <c r="L153" i="2"/>
  <c r="L119" i="2"/>
  <c r="L32" i="2"/>
  <c r="L267" i="2"/>
  <c r="L152" i="2"/>
  <c r="L215" i="2"/>
  <c r="L179" i="2"/>
  <c r="L260" i="2"/>
  <c r="L224" i="2"/>
  <c r="L302" i="2"/>
  <c r="L171" i="2"/>
  <c r="L207" i="2"/>
  <c r="L284" i="2"/>
  <c r="L41" i="2"/>
  <c r="L27" i="2"/>
  <c r="L168" i="2"/>
  <c r="L21" i="2"/>
  <c r="L229" i="2"/>
  <c r="L157" i="2"/>
  <c r="L24" i="2"/>
  <c r="L72" i="2"/>
  <c r="L10" i="2"/>
  <c r="L198" i="2"/>
  <c r="L154" i="2"/>
  <c r="L251" i="2"/>
  <c r="L48" i="2"/>
  <c r="L149" i="2"/>
  <c r="L182" i="2"/>
  <c r="L210" i="2"/>
  <c r="L285" i="2"/>
  <c r="L173" i="2"/>
  <c r="L68" i="2"/>
  <c r="L140" i="2"/>
  <c r="L130" i="2"/>
  <c r="L176" i="2"/>
  <c r="L143" i="2"/>
  <c r="L170" i="2"/>
  <c r="L279" i="2"/>
  <c r="L286" i="2"/>
  <c r="L162" i="2"/>
  <c r="L209" i="2"/>
  <c r="L268" i="2"/>
  <c r="L12" i="2"/>
  <c r="L139" i="2"/>
  <c r="L156" i="2"/>
  <c r="L308" i="2"/>
  <c r="L218" i="2"/>
  <c r="L175" i="2"/>
  <c r="L205" i="2"/>
  <c r="L187" i="2"/>
  <c r="L42" i="2"/>
  <c r="L278" i="2"/>
  <c r="L158" i="2"/>
  <c r="L262" i="2"/>
  <c r="L280" i="2"/>
  <c r="L31" i="2"/>
  <c r="L206" i="2"/>
  <c r="L287" i="2"/>
  <c r="L232" i="2"/>
  <c r="L101" i="2"/>
  <c r="L147" i="2"/>
  <c r="L242" i="2"/>
  <c r="L219" i="2"/>
  <c r="L305" i="2"/>
  <c r="L211" i="2"/>
  <c r="L146" i="2"/>
  <c r="L225" i="2"/>
  <c r="L230" i="2"/>
  <c r="L300" i="2"/>
  <c r="L272" i="2"/>
  <c r="L44" i="2"/>
  <c r="L124" i="2"/>
  <c r="L231" i="2"/>
  <c r="L237" i="2"/>
  <c r="L43" i="2"/>
  <c r="L301" i="2"/>
  <c r="L74" i="2"/>
  <c r="L137" i="2"/>
  <c r="L34" i="2"/>
  <c r="L254" i="2"/>
  <c r="L298" i="2"/>
  <c r="L245" i="2"/>
  <c r="L248" i="2"/>
  <c r="L236" i="2"/>
  <c r="L309" i="2"/>
  <c r="L266" i="2"/>
  <c r="L241" i="2"/>
  <c r="L288" i="2"/>
  <c r="L200" i="2"/>
  <c r="L289" i="2"/>
  <c r="L201" i="2"/>
  <c r="L223" i="2"/>
  <c r="L281" i="2"/>
  <c r="L256" i="2"/>
  <c r="L243" i="2"/>
  <c r="L264" i="2"/>
  <c r="L118" i="2"/>
  <c r="L138" i="2"/>
  <c r="L265" i="2"/>
  <c r="L249" i="2"/>
  <c r="L250" i="2"/>
  <c r="L269" i="2"/>
  <c r="L51" i="2"/>
  <c r="L255" i="2"/>
  <c r="L258" i="2"/>
  <c r="L307" i="2"/>
  <c r="L253" i="2"/>
  <c r="L91" i="2"/>
  <c r="L110" i="2"/>
  <c r="L275" i="2"/>
  <c r="L142" i="2"/>
  <c r="L71" i="2"/>
  <c r="L108" i="2"/>
  <c r="L117" i="2"/>
  <c r="L271" i="2"/>
  <c r="L159" i="2"/>
  <c r="L310" i="2"/>
  <c r="L196" i="2"/>
  <c r="L166" i="2"/>
  <c r="L132" i="2"/>
  <c r="L129" i="2"/>
  <c r="L290" i="2"/>
  <c r="L69" i="2"/>
  <c r="L177" i="2"/>
  <c r="L40" i="2"/>
  <c r="L105" i="2"/>
  <c r="L188" i="2"/>
  <c r="L88" i="2"/>
  <c r="L28" i="2"/>
  <c r="L148" i="2"/>
  <c r="L125" i="2"/>
  <c r="L64" i="2"/>
  <c r="L247" i="2"/>
  <c r="L76" i="2"/>
  <c r="L164" i="2"/>
  <c r="L239" i="2"/>
  <c r="L291" i="2"/>
  <c r="L190" i="2"/>
  <c r="L292" i="2"/>
  <c r="L180" i="2"/>
  <c r="L203" i="2"/>
  <c r="L189" i="2"/>
  <c r="L197" i="2"/>
  <c r="L79" i="2"/>
  <c r="L244" i="2"/>
  <c r="L169" i="2"/>
  <c r="L22" i="2"/>
  <c r="L192" i="2"/>
  <c r="L62" i="2"/>
  <c r="L94" i="2"/>
  <c r="L161" i="2"/>
  <c r="L95" i="2"/>
  <c r="L122" i="2"/>
  <c r="L96" i="2"/>
  <c r="L116" i="2"/>
  <c r="L184" i="2"/>
  <c r="L195" i="2"/>
  <c r="L52" i="2"/>
  <c r="L185" i="2"/>
  <c r="L82" i="2"/>
  <c r="L233" i="2"/>
  <c r="L77" i="2"/>
  <c r="L133" i="2"/>
  <c r="L150" i="2"/>
  <c r="L220" i="2"/>
  <c r="L293" i="2"/>
  <c r="L84" i="2"/>
  <c r="L103" i="2"/>
  <c r="L194" i="2"/>
  <c r="L228" i="2"/>
  <c r="L55" i="2"/>
  <c r="L217" i="2"/>
  <c r="L234" i="2"/>
  <c r="L135" i="2"/>
  <c r="L235" i="2"/>
  <c r="L113" i="2"/>
  <c r="L276" i="2"/>
  <c r="L270" i="2"/>
  <c r="L141" i="2"/>
  <c r="L15" i="2"/>
  <c r="L115" i="2"/>
  <c r="L151" i="2"/>
  <c r="L92" i="2"/>
  <c r="L261" i="2"/>
  <c r="L294" i="2"/>
  <c r="L66" i="2"/>
  <c r="L99" i="2"/>
  <c r="L144" i="2"/>
  <c r="L78" i="2"/>
  <c r="L295" i="2"/>
  <c r="L61" i="2"/>
  <c r="L178" i="2"/>
  <c r="L89" i="2"/>
  <c r="L222" i="2"/>
  <c r="L296" i="2"/>
  <c r="L186" i="2"/>
  <c r="L202" i="2"/>
  <c r="L37" i="2"/>
  <c r="L208" i="2"/>
  <c r="L81" i="2"/>
  <c r="L54" i="2"/>
  <c r="L46" i="2"/>
  <c r="L160" i="2"/>
  <c r="L83" i="2"/>
  <c r="L36" i="2"/>
  <c r="L63" i="2"/>
  <c r="L57" i="2"/>
  <c r="L297" i="2"/>
  <c r="L136" i="2"/>
  <c r="L58" i="2"/>
  <c r="L23" i="2"/>
  <c r="L127" i="2"/>
  <c r="L165" i="2"/>
  <c r="L93" i="2"/>
  <c r="P93" i="2" s="1"/>
  <c r="L172" i="2"/>
  <c r="L86" i="2"/>
  <c r="L106" i="2"/>
  <c r="L114" i="2"/>
  <c r="L126" i="2"/>
  <c r="L53" i="2"/>
  <c r="O5" i="2" l="1"/>
  <c r="Q5" i="2" l="1"/>
  <c r="I5" i="2" l="1"/>
  <c r="K5" i="2" l="1"/>
  <c r="M5" i="2" l="1"/>
  <c r="N5" i="2" l="1"/>
  <c r="J5" i="2" l="1"/>
  <c r="P166" i="2" l="1"/>
  <c r="P310" i="2"/>
  <c r="R310" i="2" s="1"/>
  <c r="P196" i="2"/>
  <c r="P251" i="2"/>
  <c r="P159" i="2"/>
  <c r="R159" i="2" s="1"/>
  <c r="P179" i="2"/>
  <c r="R179" i="2" s="1"/>
  <c r="P260" i="2"/>
  <c r="R93" i="2"/>
  <c r="P24" i="2"/>
  <c r="P229" i="2"/>
  <c r="R229" i="2" s="1"/>
  <c r="P242" i="2"/>
  <c r="P15" i="2"/>
  <c r="R15" i="2" s="1"/>
  <c r="P193" i="2"/>
  <c r="R193" i="2" s="1"/>
  <c r="P96" i="2"/>
  <c r="P197" i="2"/>
  <c r="R197" i="2" s="1"/>
  <c r="P182" i="2"/>
  <c r="P262" i="2"/>
  <c r="P23" i="2"/>
  <c r="R23" i="2" s="1"/>
  <c r="P37" i="2"/>
  <c r="P281" i="2"/>
  <c r="P74" i="2"/>
  <c r="R74" i="2" s="1"/>
  <c r="P55" i="2"/>
  <c r="P195" i="2"/>
  <c r="R195" i="2" s="1"/>
  <c r="P170" i="2"/>
  <c r="P279" i="2"/>
  <c r="P188" i="2"/>
  <c r="R188" i="2" s="1"/>
  <c r="P285" i="2"/>
  <c r="P183" i="2"/>
  <c r="R183" i="2" s="1"/>
  <c r="P53" i="2"/>
  <c r="R53" i="2" s="1"/>
  <c r="P66" i="2"/>
  <c r="P176" i="2"/>
  <c r="R176" i="2" s="1"/>
  <c r="P205" i="2"/>
  <c r="P65" i="2"/>
  <c r="P189" i="2"/>
  <c r="R189" i="2" s="1"/>
  <c r="P97" i="2"/>
  <c r="P40" i="2"/>
  <c r="R40" i="2" s="1"/>
  <c r="P298" i="2"/>
  <c r="P199" i="2"/>
  <c r="P235" i="2"/>
  <c r="P309" i="2"/>
  <c r="R309" i="2" s="1"/>
  <c r="P44" i="2"/>
  <c r="R44" i="2" s="1"/>
  <c r="P81" i="2"/>
  <c r="P22" i="2"/>
  <c r="R22" i="2" s="1"/>
  <c r="P36" i="2"/>
  <c r="R36" i="2" s="1"/>
  <c r="P130" i="2"/>
  <c r="R130" i="2" s="1"/>
  <c r="P101" i="2"/>
  <c r="R101" i="2" s="1"/>
  <c r="P118" i="2"/>
  <c r="P89" i="2"/>
  <c r="R89" i="2" s="1"/>
  <c r="P293" i="2"/>
  <c r="R293" i="2" s="1"/>
  <c r="P107" i="2"/>
  <c r="P61" i="2"/>
  <c r="R61" i="2" s="1"/>
  <c r="P18" i="2"/>
  <c r="R18" i="2" s="1"/>
  <c r="P300" i="2"/>
  <c r="R300" i="2" s="1"/>
  <c r="P143" i="2"/>
  <c r="P266" i="2"/>
  <c r="P221" i="2"/>
  <c r="R221" i="2" s="1"/>
  <c r="P207" i="2"/>
  <c r="R207" i="2" s="1"/>
  <c r="P20" i="2"/>
  <c r="P63" i="2"/>
  <c r="R63" i="2" s="1"/>
  <c r="P219" i="2"/>
  <c r="R219" i="2" s="1"/>
  <c r="P139" i="2"/>
  <c r="R139" i="2" s="1"/>
  <c r="P171" i="2"/>
  <c r="R171" i="2" s="1"/>
  <c r="P134" i="2"/>
  <c r="P94" i="2"/>
  <c r="R94" i="2" s="1"/>
  <c r="P109" i="2"/>
  <c r="R109" i="2" s="1"/>
  <c r="P204" i="2"/>
  <c r="P256" i="2"/>
  <c r="R256" i="2" s="1"/>
  <c r="P91" i="2"/>
  <c r="P186" i="2"/>
  <c r="R186" i="2" s="1"/>
  <c r="P106" i="2"/>
  <c r="R106" i="2" s="1"/>
  <c r="P115" i="2"/>
  <c r="P273" i="2"/>
  <c r="R273" i="2" s="1"/>
  <c r="P9" i="2"/>
  <c r="R9" i="2" s="1"/>
  <c r="P252" i="2"/>
  <c r="P198" i="2"/>
  <c r="R198" i="2" s="1"/>
  <c r="P223" i="2"/>
  <c r="R223" i="2" s="1"/>
  <c r="P187" i="2"/>
  <c r="R187" i="2" s="1"/>
  <c r="P21" i="2"/>
  <c r="R21" i="2" s="1"/>
  <c r="P108" i="2"/>
  <c r="P25" i="2"/>
  <c r="R25" i="2" s="1"/>
  <c r="P113" i="2"/>
  <c r="R113" i="2" s="1"/>
  <c r="P240" i="2"/>
  <c r="P203" i="2"/>
  <c r="R203" i="2" s="1"/>
  <c r="P289" i="2"/>
  <c r="R289" i="2" s="1"/>
  <c r="P69" i="2"/>
  <c r="P120" i="2"/>
  <c r="P54" i="2"/>
  <c r="R54" i="2" s="1"/>
  <c r="P295" i="2"/>
  <c r="R295" i="2" s="1"/>
  <c r="P73" i="2"/>
  <c r="P265" i="2"/>
  <c r="R265" i="2" s="1"/>
  <c r="P77" i="2"/>
  <c r="R77" i="2" s="1"/>
  <c r="P72" i="2"/>
  <c r="R72" i="2" s="1"/>
  <c r="P70" i="2"/>
  <c r="R70" i="2" s="1"/>
  <c r="P126" i="2"/>
  <c r="P90" i="2"/>
  <c r="R90" i="2" s="1"/>
  <c r="P87" i="2"/>
  <c r="R87" i="2" s="1"/>
  <c r="P33" i="2"/>
  <c r="P50" i="2"/>
  <c r="R50" i="2" s="1"/>
  <c r="P121" i="2"/>
  <c r="P217" i="2"/>
  <c r="R217" i="2" s="1"/>
  <c r="P153" i="2"/>
  <c r="R153" i="2" s="1"/>
  <c r="P249" i="2"/>
  <c r="P164" i="2"/>
  <c r="R164" i="2" s="1"/>
  <c r="P177" i="2"/>
  <c r="R177" i="2" s="1"/>
  <c r="P58" i="2"/>
  <c r="P307" i="2"/>
  <c r="R307" i="2" s="1"/>
  <c r="P99" i="2"/>
  <c r="R99" i="2" s="1"/>
  <c r="P16" i="2"/>
  <c r="R16" i="2" s="1"/>
  <c r="P228" i="2"/>
  <c r="R228" i="2" s="1"/>
  <c r="P269" i="2"/>
  <c r="P138" i="2"/>
  <c r="R138" i="2" s="1"/>
  <c r="P210" i="2"/>
  <c r="R210" i="2" s="1"/>
  <c r="P191" i="2"/>
  <c r="P56" i="2"/>
  <c r="R56" i="2" s="1"/>
  <c r="P214" i="2"/>
  <c r="R214" i="2" s="1"/>
  <c r="P42" i="2"/>
  <c r="R42" i="2" s="1"/>
  <c r="P124" i="2"/>
  <c r="P34" i="2"/>
  <c r="P220" i="2"/>
  <c r="R220" i="2" s="1"/>
  <c r="P146" i="2"/>
  <c r="R146" i="2" s="1"/>
  <c r="P239" i="2"/>
  <c r="P140" i="2"/>
  <c r="R140" i="2" s="1"/>
  <c r="P267" i="2"/>
  <c r="R267" i="2" s="1"/>
  <c r="P128" i="2"/>
  <c r="P102" i="2"/>
  <c r="P248" i="2"/>
  <c r="P59" i="2"/>
  <c r="R59" i="2" s="1"/>
  <c r="P13" i="2"/>
  <c r="R13" i="2" s="1"/>
  <c r="P123" i="2"/>
  <c r="P236" i="2"/>
  <c r="R236" i="2" s="1"/>
  <c r="P290" i="2"/>
  <c r="R290" i="2" s="1"/>
  <c r="P241" i="2"/>
  <c r="P230" i="2"/>
  <c r="R230" i="2" s="1"/>
  <c r="P47" i="2"/>
  <c r="P259" i="2"/>
  <c r="R259" i="2" s="1"/>
  <c r="P32" i="2"/>
  <c r="R32" i="2" s="1"/>
  <c r="P291" i="2"/>
  <c r="P305" i="2"/>
  <c r="R305" i="2" s="1"/>
  <c r="P192" i="2"/>
  <c r="P232" i="2"/>
  <c r="R232" i="2" s="1"/>
  <c r="P206" i="2"/>
  <c r="R206" i="2" s="1"/>
  <c r="P306" i="2"/>
  <c r="P157" i="2"/>
  <c r="R157" i="2" s="1"/>
  <c r="P119" i="2"/>
  <c r="R119" i="2" s="1"/>
  <c r="P158" i="2"/>
  <c r="P174" i="2"/>
  <c r="R174" i="2" s="1"/>
  <c r="P19" i="2"/>
  <c r="R19" i="2" s="1"/>
  <c r="P14" i="2"/>
  <c r="R14" i="2" s="1"/>
  <c r="P255" i="2"/>
  <c r="R255" i="2" s="1"/>
  <c r="P234" i="2"/>
  <c r="P257" i="2"/>
  <c r="R257" i="2" s="1"/>
  <c r="P71" i="2"/>
  <c r="R71" i="2" s="1"/>
  <c r="P254" i="2"/>
  <c r="P288" i="2"/>
  <c r="R288" i="2" s="1"/>
  <c r="P268" i="2"/>
  <c r="R268" i="2" s="1"/>
  <c r="P39" i="2"/>
  <c r="R39" i="2" s="1"/>
  <c r="P222" i="2"/>
  <c r="P226" i="2"/>
  <c r="P100" i="2"/>
  <c r="R100" i="2" s="1"/>
  <c r="P194" i="2"/>
  <c r="R194" i="2" s="1"/>
  <c r="P38" i="2"/>
  <c r="P154" i="2"/>
  <c r="R154" i="2" s="1"/>
  <c r="P271" i="2"/>
  <c r="R271" i="2" s="1"/>
  <c r="P258" i="2"/>
  <c r="R258" i="2" s="1"/>
  <c r="P175" i="2"/>
  <c r="R175" i="2" s="1"/>
  <c r="P46" i="2"/>
  <c r="P178" i="2"/>
  <c r="R178" i="2" s="1"/>
  <c r="P80" i="2"/>
  <c r="R80" i="2" s="1"/>
  <c r="P11" i="2"/>
  <c r="P150" i="2"/>
  <c r="R150" i="2" s="1"/>
  <c r="P172" i="2"/>
  <c r="P190" i="2"/>
  <c r="R190" i="2" s="1"/>
  <c r="P125" i="2"/>
  <c r="R125" i="2" s="1"/>
  <c r="P45" i="2"/>
  <c r="P10" i="2"/>
  <c r="R10" i="2" s="1"/>
  <c r="P49" i="2"/>
  <c r="R49" i="2" s="1"/>
  <c r="P280" i="2"/>
  <c r="P282" i="2"/>
  <c r="R282" i="2" s="1"/>
  <c r="P263" i="2"/>
  <c r="R263" i="2" s="1"/>
  <c r="P184" i="2"/>
  <c r="R184" i="2" s="1"/>
  <c r="P142" i="2"/>
  <c r="P60" i="2"/>
  <c r="P29" i="2"/>
  <c r="R29" i="2" s="1"/>
  <c r="P287" i="2"/>
  <c r="R287" i="2" s="1"/>
  <c r="P243" i="2"/>
  <c r="P308" i="2"/>
  <c r="R308" i="2" s="1"/>
  <c r="P294" i="2"/>
  <c r="R294" i="2" s="1"/>
  <c r="P145" i="2"/>
  <c r="R145" i="2" s="1"/>
  <c r="P111" i="2"/>
  <c r="P246" i="2"/>
  <c r="P26" i="2"/>
  <c r="R26" i="2" s="1"/>
  <c r="P28" i="2"/>
  <c r="R28" i="2" s="1"/>
  <c r="P132" i="2"/>
  <c r="R132" i="2" s="1"/>
  <c r="P156" i="2"/>
  <c r="R156" i="2" s="1"/>
  <c r="P296" i="2"/>
  <c r="P212" i="2"/>
  <c r="R212" i="2" s="1"/>
  <c r="P270" i="2"/>
  <c r="R270" i="2" s="1"/>
  <c r="P84" i="2"/>
  <c r="P48" i="2"/>
  <c r="R48" i="2" s="1"/>
  <c r="P98" i="2"/>
  <c r="R98" i="2" s="1"/>
  <c r="P247" i="2"/>
  <c r="P136" i="2"/>
  <c r="P43" i="2"/>
  <c r="R43" i="2" s="1"/>
  <c r="P78" i="2"/>
  <c r="R78" i="2" s="1"/>
  <c r="P264" i="2"/>
  <c r="P181" i="2"/>
  <c r="R181" i="2" s="1"/>
  <c r="P8" i="2"/>
  <c r="R8" i="2" s="1"/>
  <c r="P79" i="2"/>
  <c r="P31" i="2"/>
  <c r="R31" i="2" s="1"/>
  <c r="P105" i="2"/>
  <c r="R105" i="2" s="1"/>
  <c r="P127" i="2"/>
  <c r="P104" i="2"/>
  <c r="R104" i="2" s="1"/>
  <c r="P225" i="2"/>
  <c r="P114" i="2"/>
  <c r="R114" i="2" s="1"/>
  <c r="P17" i="2"/>
  <c r="R17" i="2" s="1"/>
  <c r="P116" i="2"/>
  <c r="P244" i="2"/>
  <c r="R244" i="2" s="1"/>
  <c r="P201" i="2"/>
  <c r="R201" i="2" s="1"/>
  <c r="P162" i="2"/>
  <c r="R162" i="2" s="1"/>
  <c r="P149" i="2"/>
  <c r="R149" i="2" s="1"/>
  <c r="P129" i="2"/>
  <c r="P82" i="2"/>
  <c r="R82" i="2" s="1"/>
  <c r="P302" i="2"/>
  <c r="R302" i="2" s="1"/>
  <c r="P233" i="2"/>
  <c r="P278" i="2"/>
  <c r="R278" i="2" s="1"/>
  <c r="P141" i="2"/>
  <c r="R141" i="2" s="1"/>
  <c r="P148" i="2"/>
  <c r="R148" i="2" s="1"/>
  <c r="P27" i="2"/>
  <c r="P276" i="2"/>
  <c r="P215" i="2"/>
  <c r="P224" i="2"/>
  <c r="P237" i="2"/>
  <c r="R237" i="2" s="1"/>
  <c r="P92" i="2"/>
  <c r="P218" i="2"/>
  <c r="R218" i="2" s="1"/>
  <c r="P185" i="2"/>
  <c r="R185" i="2" s="1"/>
  <c r="P131" i="2"/>
  <c r="R131" i="2" s="1"/>
  <c r="P216" i="2"/>
  <c r="R216" i="2" s="1"/>
  <c r="P253" i="2"/>
  <c r="P30" i="2"/>
  <c r="P227" i="2"/>
  <c r="R227" i="2" s="1"/>
  <c r="P299" i="2"/>
  <c r="P261" i="2"/>
  <c r="R261" i="2" s="1"/>
  <c r="P275" i="2"/>
  <c r="P133" i="2"/>
  <c r="P35" i="2"/>
  <c r="R35" i="2" s="1"/>
  <c r="P245" i="2"/>
  <c r="P286" i="2"/>
  <c r="P110" i="2"/>
  <c r="R110" i="2" s="1"/>
  <c r="P112" i="2"/>
  <c r="P202" i="2"/>
  <c r="R202" i="2" s="1"/>
  <c r="P144" i="2"/>
  <c r="P211" i="2"/>
  <c r="P168" i="2"/>
  <c r="R168" i="2" s="1"/>
  <c r="P52" i="2"/>
  <c r="P169" i="2"/>
  <c r="P200" i="2"/>
  <c r="R200" i="2" s="1"/>
  <c r="P88" i="2"/>
  <c r="P301" i="2"/>
  <c r="P57" i="2"/>
  <c r="R57" i="2" s="1"/>
  <c r="P209" i="2"/>
  <c r="P231" i="2"/>
  <c r="R231" i="2" s="1"/>
  <c r="P283" i="2"/>
  <c r="P163" i="2"/>
  <c r="P122" i="2"/>
  <c r="R122" i="2" s="1"/>
  <c r="P304" i="2"/>
  <c r="P76" i="2"/>
  <c r="P86" i="2"/>
  <c r="R86" i="2" s="1"/>
  <c r="P165" i="2"/>
  <c r="P160" i="2"/>
  <c r="R160" i="2" s="1"/>
  <c r="P303" i="2"/>
  <c r="P147" i="2"/>
  <c r="P117" i="2"/>
  <c r="R117" i="2" s="1"/>
  <c r="P277" i="2"/>
  <c r="P62" i="2"/>
  <c r="P250" i="2"/>
  <c r="R250" i="2" s="1"/>
  <c r="P7" i="2"/>
  <c r="P155" i="2"/>
  <c r="R155" i="2" s="1"/>
  <c r="P83" i="2"/>
  <c r="P51" i="2"/>
  <c r="P41" i="2"/>
  <c r="R41" i="2" s="1"/>
  <c r="P135" i="2"/>
  <c r="P238" i="2"/>
  <c r="P67" i="2"/>
  <c r="R67" i="2" s="1"/>
  <c r="P292" i="2"/>
  <c r="P213" i="2"/>
  <c r="R213" i="2" s="1"/>
  <c r="P274" i="2"/>
  <c r="P297" i="2"/>
  <c r="P137" i="2"/>
  <c r="R137" i="2" s="1"/>
  <c r="P12" i="2"/>
  <c r="P151" i="2"/>
  <c r="P167" i="2"/>
  <c r="R167" i="2" s="1"/>
  <c r="P95" i="2"/>
  <c r="P272" i="2"/>
  <c r="R272" i="2" s="1"/>
  <c r="P68" i="2"/>
  <c r="P173" i="2"/>
  <c r="P152" i="2"/>
  <c r="R152" i="2" s="1"/>
  <c r="P208" i="2"/>
  <c r="P85" i="2"/>
  <c r="P75" i="2"/>
  <c r="R75" i="2" s="1"/>
  <c r="P103" i="2"/>
  <c r="P161" i="2"/>
  <c r="R161" i="2" s="1"/>
  <c r="P180" i="2"/>
  <c r="P64" i="2"/>
  <c r="P284" i="2"/>
  <c r="R284" i="2" s="1"/>
  <c r="L5" i="2"/>
  <c r="R144" i="2" l="1"/>
  <c r="R209" i="2"/>
  <c r="R180" i="2"/>
  <c r="R280" i="2"/>
  <c r="R102" i="2"/>
  <c r="R158" i="2"/>
  <c r="R233" i="2"/>
  <c r="R127" i="2"/>
  <c r="R243" i="2"/>
  <c r="R68" i="2"/>
  <c r="R116" i="2"/>
  <c r="R240" i="2"/>
  <c r="R83" i="2"/>
  <c r="R133" i="2"/>
  <c r="R191" i="2"/>
  <c r="R55" i="2"/>
  <c r="R79" i="2"/>
  <c r="R247" i="2"/>
  <c r="R142" i="2"/>
  <c r="R254" i="2"/>
  <c r="R81" i="2"/>
  <c r="R301" i="2"/>
  <c r="R199" i="2"/>
  <c r="R296" i="2"/>
  <c r="R303" i="2"/>
  <c r="R27" i="2"/>
  <c r="R73" i="2"/>
  <c r="R11" i="2"/>
  <c r="R38" i="2"/>
  <c r="R20" i="2"/>
  <c r="R239" i="2"/>
  <c r="R107" i="2"/>
  <c r="R274" i="2"/>
  <c r="R260" i="2"/>
  <c r="R85" i="2"/>
  <c r="R151" i="2"/>
  <c r="R238" i="2"/>
  <c r="R62" i="2"/>
  <c r="R76" i="2"/>
  <c r="R211" i="2"/>
  <c r="R136" i="2"/>
  <c r="R111" i="2"/>
  <c r="R172" i="2"/>
  <c r="R222" i="2"/>
  <c r="R192" i="2"/>
  <c r="R124" i="2"/>
  <c r="R121" i="2"/>
  <c r="R69" i="2"/>
  <c r="R91" i="2"/>
  <c r="R143" i="2"/>
  <c r="R66" i="2"/>
  <c r="P5" i="2"/>
  <c r="R103" i="2"/>
  <c r="R95" i="2"/>
  <c r="R292" i="2"/>
  <c r="R7" i="2"/>
  <c r="R165" i="2"/>
  <c r="R275" i="2"/>
  <c r="R123" i="2"/>
  <c r="R291" i="2"/>
  <c r="R128" i="2"/>
  <c r="R33" i="2"/>
  <c r="R204" i="2"/>
  <c r="R182" i="2"/>
  <c r="R241" i="2"/>
  <c r="R170" i="2"/>
  <c r="R281" i="2"/>
  <c r="R166" i="2"/>
  <c r="R58" i="2"/>
  <c r="R252" i="2"/>
  <c r="R205" i="2"/>
  <c r="R96" i="2"/>
  <c r="R64" i="2"/>
  <c r="R173" i="2"/>
  <c r="R297" i="2"/>
  <c r="R51" i="2"/>
  <c r="R147" i="2"/>
  <c r="R163" i="2"/>
  <c r="R169" i="2"/>
  <c r="R286" i="2"/>
  <c r="R30" i="2"/>
  <c r="R224" i="2"/>
  <c r="R276" i="2"/>
  <c r="R129" i="2"/>
  <c r="R225" i="2"/>
  <c r="R264" i="2"/>
  <c r="R84" i="2"/>
  <c r="R246" i="2"/>
  <c r="R60" i="2"/>
  <c r="R45" i="2"/>
  <c r="R46" i="2"/>
  <c r="R226" i="2"/>
  <c r="R234" i="2"/>
  <c r="R306" i="2"/>
  <c r="R47" i="2"/>
  <c r="R248" i="2"/>
  <c r="R34" i="2"/>
  <c r="R269" i="2"/>
  <c r="R249" i="2"/>
  <c r="R126" i="2"/>
  <c r="R120" i="2"/>
  <c r="R108" i="2"/>
  <c r="R115" i="2"/>
  <c r="R134" i="2"/>
  <c r="R266" i="2"/>
  <c r="R118" i="2"/>
  <c r="R235" i="2"/>
  <c r="R65" i="2"/>
  <c r="R279" i="2"/>
  <c r="R262" i="2"/>
  <c r="R24" i="2"/>
  <c r="R251" i="2"/>
  <c r="R208" i="2"/>
  <c r="R12" i="2"/>
  <c r="R135" i="2"/>
  <c r="R277" i="2"/>
  <c r="R304" i="2"/>
  <c r="R88" i="2"/>
  <c r="R112" i="2"/>
  <c r="R299" i="2"/>
  <c r="R92" i="2"/>
  <c r="R97" i="2"/>
  <c r="R285" i="2"/>
  <c r="R37" i="2"/>
  <c r="R242" i="2"/>
  <c r="R283" i="2"/>
  <c r="R52" i="2"/>
  <c r="R245" i="2"/>
  <c r="R253" i="2"/>
  <c r="R215" i="2"/>
  <c r="R196" i="2"/>
  <c r="R298" i="2"/>
  <c r="R5" i="2" l="1"/>
</calcChain>
</file>

<file path=xl/sharedStrings.xml><?xml version="1.0" encoding="utf-8"?>
<sst xmlns="http://schemas.openxmlformats.org/spreadsheetml/2006/main" count="14592" uniqueCount="1828">
  <si>
    <t>CARGA FINAL C/CX REPROVADO</t>
  </si>
  <si>
    <t>PORTADOR</t>
  </si>
  <si>
    <t>CPF</t>
  </si>
  <si>
    <t>STATUS COLAB</t>
  </si>
  <si>
    <t>CENTRO CUSTO</t>
  </si>
  <si>
    <t>COD CENTRO CUSTO</t>
  </si>
  <si>
    <t>GESTOR</t>
  </si>
  <si>
    <t>DIREÇÃO</t>
  </si>
  <si>
    <t>SALDO REEMBOLSAR</t>
  </si>
  <si>
    <t>SALDO PARCIAL PENDENTE</t>
  </si>
  <si>
    <t>SALDO PENDENTE FINAL</t>
  </si>
  <si>
    <t>2QZ DE JAN 26</t>
  </si>
  <si>
    <t>SALDO CARTAO</t>
  </si>
  <si>
    <t>ADIANTAMENTO</t>
  </si>
  <si>
    <t>REEMBOLSO</t>
  </si>
  <si>
    <t>STATUS DO CARTAO</t>
  </si>
  <si>
    <t xml:space="preserve">OBS </t>
  </si>
  <si>
    <t>ABNER ANDRADE CAVALCANTE</t>
  </si>
  <si>
    <t>ATIVO</t>
  </si>
  <si>
    <t>CEF AM AC RR</t>
  </si>
  <si>
    <t>ANGELICA SOARES</t>
  </si>
  <si>
    <t>ROGERIO SCATAMBULO</t>
  </si>
  <si>
    <t>Cartão ativo</t>
  </si>
  <si>
    <t>ADAN LEONARDO SOUZA BATISTA</t>
  </si>
  <si>
    <t>GERSON OLIVEIRA</t>
  </si>
  <si>
    <t>ADAUTO JOSE PEREIRA</t>
  </si>
  <si>
    <t>CEF FACILITIES BH</t>
  </si>
  <si>
    <t>HUGO ALEXANDRE</t>
  </si>
  <si>
    <t>ADEMARCIO DUARTE LOPES</t>
  </si>
  <si>
    <t>CEF FACILITIES CURITIBA PR</t>
  </si>
  <si>
    <t>BRUNO LINHARES</t>
  </si>
  <si>
    <t>EVERSON GAIDSTIECHI</t>
  </si>
  <si>
    <t>ADILSON MELLO DE CAMARGO</t>
  </si>
  <si>
    <t>BB SERET RS</t>
  </si>
  <si>
    <t>ALEXANDRE GROSS</t>
  </si>
  <si>
    <t>ADILSON RODRIGUES FERREIRA</t>
  </si>
  <si>
    <t>Cadastro pendente</t>
  </si>
  <si>
    <t>ADIVAR ANTONIO DA SILVA JUNIOR</t>
  </si>
  <si>
    <t>CLARO INFRA SC</t>
  </si>
  <si>
    <t>BRUNO EDUARDO</t>
  </si>
  <si>
    <t>ADMILSON DA SILVA FARIAS</t>
  </si>
  <si>
    <t>TELEFONICA NE</t>
  </si>
  <si>
    <t>ADMILSON DOS SANTOS GALAN</t>
  </si>
  <si>
    <t>CEF NORTE SC</t>
  </si>
  <si>
    <t>ADRIANE CARON</t>
  </si>
  <si>
    <t>ADRIANO BORGES TEIXEIRA</t>
  </si>
  <si>
    <t>CLARO INFRA RS</t>
  </si>
  <si>
    <t>Cartão não vinculado</t>
  </si>
  <si>
    <t>ADRIANO FRANCISCO DE PAULA</t>
  </si>
  <si>
    <t>CLARO INFRA MG</t>
  </si>
  <si>
    <t>ADSON ARAUJO DA SILVA</t>
  </si>
  <si>
    <t>CLARO INFRA NORDESTE</t>
  </si>
  <si>
    <t>ADSON SANTOS DA SILVA</t>
  </si>
  <si>
    <t>TELEFONICA BA</t>
  </si>
  <si>
    <t>AFONSO FIORELLO CARVALHO</t>
  </si>
  <si>
    <t>CELESC NORTE SC</t>
  </si>
  <si>
    <t>AGNO CHRISTIAN DE LIMA TELES</t>
  </si>
  <si>
    <t>AILTON MENDES AGUILAR</t>
  </si>
  <si>
    <t>ALAERTE JACINTO JUNIOR</t>
  </si>
  <si>
    <t>PTB AREAS VERDES SC</t>
  </si>
  <si>
    <t>ALAN RODRIGO SILVA ANDRADE</t>
  </si>
  <si>
    <t>BB ALAGOAS</t>
  </si>
  <si>
    <t>ALAN WAGNER MEDEIROS DE SOUZA</t>
  </si>
  <si>
    <t>ALESSANDRO DE OLIVEIRA AZEVEDO</t>
  </si>
  <si>
    <t>CEF BAURU SP</t>
  </si>
  <si>
    <t>LEANDRO NUNES</t>
  </si>
  <si>
    <t>ALESSANDRO RODRIGO PASTRELLI</t>
  </si>
  <si>
    <t>NET APOIO PR</t>
  </si>
  <si>
    <t>ALEX DOS SANTOS</t>
  </si>
  <si>
    <t>CEF VALE SINOS RS</t>
  </si>
  <si>
    <t>ALEX SANDRO PEREIRA MARQUES</t>
  </si>
  <si>
    <t>NET CENTRO RS</t>
  </si>
  <si>
    <t>ALEX SANDRO RAMBO</t>
  </si>
  <si>
    <t>CLARO INFRA PR</t>
  </si>
  <si>
    <t>ALEXANDRE DA SILVEIRA GROSS</t>
  </si>
  <si>
    <t>ADM FILIAL RS</t>
  </si>
  <si>
    <t>ALEXANDRE MACHADO DA CONCEICAO</t>
  </si>
  <si>
    <t>CEF CENTRO NORTE SUL RJ</t>
  </si>
  <si>
    <t>ALLAN JEFFERSON</t>
  </si>
  <si>
    <t>ALEXANDRE PIRES DE JESUS</t>
  </si>
  <si>
    <t>ALEXSANDRO SANTOS DA CONCEICAO</t>
  </si>
  <si>
    <t>NET PORTO ALEGRE RS</t>
  </si>
  <si>
    <t>ALIRIO THOMAZ VALENTIM</t>
  </si>
  <si>
    <t>NET LITORAL RS</t>
  </si>
  <si>
    <t>ALISSON RODRIGO RAMBO</t>
  </si>
  <si>
    <t>ALLAN CRISTIAN DA CUNHA</t>
  </si>
  <si>
    <t>ALLAN JEFFERSON BRANCO RODRIGUES</t>
  </si>
  <si>
    <t>ADM FILIAL RJ</t>
  </si>
  <si>
    <t>ALTAIR BERTOL</t>
  </si>
  <si>
    <t>ENGIE FLORIANOPOLIS SC</t>
  </si>
  <si>
    <t>AMANDA CRISTINA DA SILVA</t>
  </si>
  <si>
    <t>AMARAL RODRIGUES NUNES</t>
  </si>
  <si>
    <t>ANA CRISTINA FREIRE HOLANDA</t>
  </si>
  <si>
    <t>60023937220</t>
  </si>
  <si>
    <t>ANDERSON BICA PEREZ</t>
  </si>
  <si>
    <t>ANDERSON FERNANDES DE ALMEIDA</t>
  </si>
  <si>
    <t>ANDERSON RICARDO VIEIRA</t>
  </si>
  <si>
    <t>BB NORTE OESTE PR</t>
  </si>
  <si>
    <t>ANDRE DE MOURA ESCOBAR</t>
  </si>
  <si>
    <t>ANDRE LUIZ DOS SANTOS OLIVEIRA</t>
  </si>
  <si>
    <t>ANDRE LUIZ SANTANA</t>
  </si>
  <si>
    <t>CEF SERRA GAUCHA RS</t>
  </si>
  <si>
    <t>ANDRE PINHEIRO BALOTIN</t>
  </si>
  <si>
    <t>ANDRE VALERIO DE PAIVA</t>
  </si>
  <si>
    <t>ANDREA ANTUNES GOMES</t>
  </si>
  <si>
    <t>ANELISE MENDONCA DE AVILA</t>
  </si>
  <si>
    <t>ANGELICA SOARES AMARANTE SILVA</t>
  </si>
  <si>
    <t>ANTONIO DE PADUA LEITE</t>
  </si>
  <si>
    <t>VTAL CYBER MG</t>
  </si>
  <si>
    <t>ANTONIO FERREIRA DE MENDONCA NETO</t>
  </si>
  <si>
    <t>TRIBUNAL DE JUSTICA RJ</t>
  </si>
  <si>
    <t>ANTONIO JOSE PEREIRA DA SILVA</t>
  </si>
  <si>
    <t>ANTONIO MARCOS CAMARGO</t>
  </si>
  <si>
    <t>TRIBUNAL DE JUSTICA PR</t>
  </si>
  <si>
    <t>ANTONIO MARCOS DE SOUZA</t>
  </si>
  <si>
    <t>ARLEY HENRIQUE DE SOUZA LUZ</t>
  </si>
  <si>
    <t>CEF GOIANIA CO</t>
  </si>
  <si>
    <t>ARTHUR GOMES DE PAULO</t>
  </si>
  <si>
    <t>ARTHUR SANTOS DE OLIVEIRA</t>
  </si>
  <si>
    <t>ARTUR DIAS DOS SANTOS</t>
  </si>
  <si>
    <t>ARTUR JACO PAGANI DE SOUZA</t>
  </si>
  <si>
    <t>ATILA LOPES DE MOURA</t>
  </si>
  <si>
    <t>AURO MOREIRA PEDROSO</t>
  </si>
  <si>
    <t>BEATRIZ SILVA DE SIQUEIRA</t>
  </si>
  <si>
    <t>CEF SP SUL</t>
  </si>
  <si>
    <t>BEN HUR MENDES OLIVEIRA</t>
  </si>
  <si>
    <t>BRUNA LAIS DOS SANTOS PESSOA</t>
  </si>
  <si>
    <t>ASSEMBLEIA LEGISLATIVA MG</t>
  </si>
  <si>
    <t>BRUNO EDUARDO DE SOUZA</t>
  </si>
  <si>
    <t>82341478972</t>
  </si>
  <si>
    <t>ADM FILIAL SC</t>
  </si>
  <si>
    <t>BRUNO FERREIRA DE SOUZA RODRIGUES</t>
  </si>
  <si>
    <t>TELEFONICA RJ</t>
  </si>
  <si>
    <t>BRUNO LINHARES RODRIGUES</t>
  </si>
  <si>
    <t>BRUNO OLIVEIRA DIAS</t>
  </si>
  <si>
    <t>PTB TIC INFRA</t>
  </si>
  <si>
    <t>VINICIUS LOCATELLY</t>
  </si>
  <si>
    <t>MARCOS CARIAS</t>
  </si>
  <si>
    <t>CAIO FRANCESCONI RIBEIRO</t>
  </si>
  <si>
    <t>TJ APOIO PR</t>
  </si>
  <si>
    <t>CAIOS VINICIUS NUNES BROERING</t>
  </si>
  <si>
    <t>CAMILA DE OLIVEIRA VELOSO</t>
  </si>
  <si>
    <t>BANCO CENTRAL SALVADOR BA</t>
  </si>
  <si>
    <t>CARLOS ALEXANDRE GIGI</t>
  </si>
  <si>
    <t>BB SP</t>
  </si>
  <si>
    <t>CARLOS EDUARDO SCATAMBULO</t>
  </si>
  <si>
    <t>CEF LESTE SP</t>
  </si>
  <si>
    <t>CARLOS FERNANDO PAINES SILVA</t>
  </si>
  <si>
    <t>CEF CENTRO GAUCHO RS</t>
  </si>
  <si>
    <t>CARLOS FRANCISCO GODOY</t>
  </si>
  <si>
    <t>CEF PORTO ALEGRE RS</t>
  </si>
  <si>
    <t>CARLOS GONZAGA ARAGAO</t>
  </si>
  <si>
    <t>CARLOS HENRIQUE VARGAS DOS SANTOS</t>
  </si>
  <si>
    <t>CARLOS NASCIMENTO NONATO JUNIOR</t>
  </si>
  <si>
    <t>CARLOS RENATO PACHECO DA SILVA</t>
  </si>
  <si>
    <t>CEF LESTE GAUCHO RS</t>
  </si>
  <si>
    <t>CARLOS ROBERTO DE CARVALHO PERES</t>
  </si>
  <si>
    <t>CLARO CO</t>
  </si>
  <si>
    <t>CAROLINE DA SILVA</t>
  </si>
  <si>
    <t>CELIO GONCALVES DE OLIVEIRA JUNIOR</t>
  </si>
  <si>
    <t>NET LESTE MG</t>
  </si>
  <si>
    <t>CELSO ROGERIO DE OLIVEIRA</t>
  </si>
  <si>
    <t>ELIO PEREIRA NETO</t>
  </si>
  <si>
    <t>CHARLES MACIEL CAVALHEIRO</t>
  </si>
  <si>
    <t>CEF BELEM FACILITIES PA</t>
  </si>
  <si>
    <t>CHARLES NEVES MATTIUZZI</t>
  </si>
  <si>
    <t>TELEFONICA ES</t>
  </si>
  <si>
    <t>CLAUDEMIR GREGOSKI RODRIGUES</t>
  </si>
  <si>
    <t>BB APOIO PR</t>
  </si>
  <si>
    <t>CLAUDEMIR MOREIRA</t>
  </si>
  <si>
    <t>CLAUDINEI AMARAL</t>
  </si>
  <si>
    <t>CLAUDINEI VICENTE DE LIMA</t>
  </si>
  <si>
    <t>CLAUDIO DONIZETE DA SILVA</t>
  </si>
  <si>
    <t>CLAUDIO RENALDI NUNES</t>
  </si>
  <si>
    <t>CLAYTON DE OLIVEIRA</t>
  </si>
  <si>
    <t>02928835954</t>
  </si>
  <si>
    <t>CLEBERSON APARECIDO BORGES DOS SANTOS</t>
  </si>
  <si>
    <t>CLEITON DA SILVA MONTALVAO</t>
  </si>
  <si>
    <t>CLEITON TAVARES JARDIM</t>
  </si>
  <si>
    <t>CEF EXTREMO SUL RS</t>
  </si>
  <si>
    <t>CLERITON BACILA DOS SANTOS</t>
  </si>
  <si>
    <t>NET CTA PR</t>
  </si>
  <si>
    <t>CLEVERSON PAULOUSKI</t>
  </si>
  <si>
    <t>CREOL APARECIDO DOS SANTOS</t>
  </si>
  <si>
    <t>CRISTIAN MARCELO DE OLIVEIRA DOS SANTOS</t>
  </si>
  <si>
    <t>BB POA RS</t>
  </si>
  <si>
    <t>CRISTIANO ANESIO GOMES DO NASCIMENTO</t>
  </si>
  <si>
    <t>CEF INTERIOR RJ</t>
  </si>
  <si>
    <t>CRISTIANO DA SILVA VALADARES</t>
  </si>
  <si>
    <t>DANIEL DA SILVA LOPES</t>
  </si>
  <si>
    <t>NET APOIO SC</t>
  </si>
  <si>
    <t>DANIEL DUARTE ALVES</t>
  </si>
  <si>
    <t>DANIEL PORFIRIO DE SOUSA</t>
  </si>
  <si>
    <t>DANIEL RIBEIRO DE CASTRO</t>
  </si>
  <si>
    <t>DANIEL SANTOS DE ASSUNCAO</t>
  </si>
  <si>
    <t>BANCO ITAU BA</t>
  </si>
  <si>
    <t>DANIELA CARVALHO STAHLER</t>
  </si>
  <si>
    <t>NET APOIO RS</t>
  </si>
  <si>
    <t>DANILO ZANATTA LUCIANO</t>
  </si>
  <si>
    <t>DARLAN SPIER PAZ</t>
  </si>
  <si>
    <t>DAVID DA SILVA PEREIRA</t>
  </si>
  <si>
    <t>02344854002</t>
  </si>
  <si>
    <t>DAVID DE OLIVEIRA FRIGERIO</t>
  </si>
  <si>
    <t>CEF NORTE PR</t>
  </si>
  <si>
    <t>DEBORA ARAUJO FIGUEIREDO</t>
  </si>
  <si>
    <t>DRF NOVO HAMBURGO RS</t>
  </si>
  <si>
    <t>DEISE SOARES DE CAMPOS</t>
  </si>
  <si>
    <t>DELVANO AILTON DA SILVA</t>
  </si>
  <si>
    <t>DEMETRIUS LOPES GIANGROSSI</t>
  </si>
  <si>
    <t>DENILSO DIDONE</t>
  </si>
  <si>
    <t>DENIS FERREIRA DA SILVA</t>
  </si>
  <si>
    <t>ORIGEM ENERGIA AL</t>
  </si>
  <si>
    <t>DHIEGO RIBEIRO DINIZ</t>
  </si>
  <si>
    <t>DIEGO DE ALCANTARA MOTA MENDES</t>
  </si>
  <si>
    <t>DIEGO DOS SANTOS DE JESUS</t>
  </si>
  <si>
    <t>PTB MARAGOGIPE BA</t>
  </si>
  <si>
    <t>DIEGO GRIME DE MELO</t>
  </si>
  <si>
    <t>DIEGO JOSE DE PAULO</t>
  </si>
  <si>
    <t>DIONATAN PATRICK SOUZA DIAS</t>
  </si>
  <si>
    <t>DIONIKSON MACARIO AGUIAR</t>
  </si>
  <si>
    <t>DIVAN ALVES DE AMORIM</t>
  </si>
  <si>
    <t>DIVANIA RITA DE SOUSA ASSIS FREITAS</t>
  </si>
  <si>
    <t>Cartão não habilitado</t>
  </si>
  <si>
    <t>DJONATAN JULIO GORGES VENTURI</t>
  </si>
  <si>
    <t>TELEFONICA SC</t>
  </si>
  <si>
    <t>DMITRI MORAIS DA SILVA</t>
  </si>
  <si>
    <t>DOMINIQUE SILVA DE SOUZA</t>
  </si>
  <si>
    <t>DOUGLAS ALEXANDRE BARBOSA</t>
  </si>
  <si>
    <t>TRIBUNAL DE JUSTICA SP</t>
  </si>
  <si>
    <t>DOUGLAS BRUCK MACHADO</t>
  </si>
  <si>
    <t>03241621030</t>
  </si>
  <si>
    <t>DOUGLAS TIAGO DE OLIVEIRA</t>
  </si>
  <si>
    <t>DOUGLAS VENTURA SILVEIRA</t>
  </si>
  <si>
    <t>DOUGLAS WESLEN CARDOSO DOS SANTOS</t>
  </si>
  <si>
    <t>08784554932</t>
  </si>
  <si>
    <t>EDER AUGUSTO DE ARAUJO CARVALHO</t>
  </si>
  <si>
    <t>03985382638</t>
  </si>
  <si>
    <t>EDER MEDICI</t>
  </si>
  <si>
    <t>03040370952</t>
  </si>
  <si>
    <t>EDERSON GUIZOLFI PEREIRA</t>
  </si>
  <si>
    <t>EDERSON LUIS BARROS DA ROSA</t>
  </si>
  <si>
    <t>EDERSON STRELOW</t>
  </si>
  <si>
    <t>EDEVALDO DUTRA GONCALVES</t>
  </si>
  <si>
    <t>NET LITORAL PR</t>
  </si>
  <si>
    <t>EDIBERTO GEORGE RELIQUIAS</t>
  </si>
  <si>
    <t>CEF FACILITIES SP</t>
  </si>
  <si>
    <t>EDILENE CRISTIANA DA SILVA ZIMMERMANN</t>
  </si>
  <si>
    <t>EDIPO SANTOS BARRETO</t>
  </si>
  <si>
    <t>EDISON FERREIRA GONCALVES</t>
  </si>
  <si>
    <t>EDMAR FERREIRA CARDOSO</t>
  </si>
  <si>
    <t>NET METROPOLITANA MG</t>
  </si>
  <si>
    <t>EDMAR RODRIGUES MOTA</t>
  </si>
  <si>
    <t>EDNALDO DE ALMEIDA SANTOS</t>
  </si>
  <si>
    <t>EDNEI SANTOS SANTANA</t>
  </si>
  <si>
    <t>EDSON CALIXTO THOMAZ</t>
  </si>
  <si>
    <t>EDSON DA SILVA DELLINGHAUSEN</t>
  </si>
  <si>
    <t>EDSON VEIGA SILVEIRA</t>
  </si>
  <si>
    <t>EDUARDO ANDREY VENSON SILVA</t>
  </si>
  <si>
    <t>CEF OESTE SC</t>
  </si>
  <si>
    <t>EDUARDO HENRIQUE BONIN</t>
  </si>
  <si>
    <t>EDUARDO SANTOS</t>
  </si>
  <si>
    <t>ELIANDRO BRUNING</t>
  </si>
  <si>
    <t>ELIESER DE OLIVEIRA VICENTE</t>
  </si>
  <si>
    <t>Cartão bloqueado</t>
  </si>
  <si>
    <t>ELISA SILVA SCHNEIDER</t>
  </si>
  <si>
    <t>ELOI JOSE DE FIGUEIREDO NETO</t>
  </si>
  <si>
    <t>EMERSON LEITE DE BARROS</t>
  </si>
  <si>
    <t>PTB INFRA SUDESTE</t>
  </si>
  <si>
    <t>ENZIO CARVALHO DA MOTA</t>
  </si>
  <si>
    <t>ERASMO PEREIRA MONTEIRO</t>
  </si>
  <si>
    <t>ERICO BRUNO DA SILVA MATOS</t>
  </si>
  <si>
    <t>ERICSON PINHEIRO DOS SANTOS</t>
  </si>
  <si>
    <t>ERIVAN RODRIGUES GOMES</t>
  </si>
  <si>
    <t>EVERSON CESAR GAIDSTIECHI</t>
  </si>
  <si>
    <t>EVERSON ESTEVES DOS SANTOS</t>
  </si>
  <si>
    <t>PTB REDUC RJ</t>
  </si>
  <si>
    <t>EVERTON CAMARGO DE LOURETO</t>
  </si>
  <si>
    <t>FABIANO LITTER</t>
  </si>
  <si>
    <t>FABIO APARECIDO DE SOUSA PEREIRA</t>
  </si>
  <si>
    <t>FABIO DA CONCEICAO LIMA</t>
  </si>
  <si>
    <t>PTB UTGCA SP</t>
  </si>
  <si>
    <t>FABIO DIOGO BITTENCOURT</t>
  </si>
  <si>
    <t>FABIO MARTINS BORGES</t>
  </si>
  <si>
    <t>FABIO PROVESI</t>
  </si>
  <si>
    <t>BB SERET SC</t>
  </si>
  <si>
    <t>FABIO RODRIGUES JUREVICZ</t>
  </si>
  <si>
    <t>FABRICIO SANTOS DA COSTA</t>
  </si>
  <si>
    <t>FELIPE JOSE DE ALBUQUERQUE OLIVEIRA</t>
  </si>
  <si>
    <t>FELIPE MELILLO FONTAN</t>
  </si>
  <si>
    <t>FELIPE MORAES COSTA DE BRITTO</t>
  </si>
  <si>
    <t>INSS MT</t>
  </si>
  <si>
    <t>FERNANDA ARAGAO LOPES</t>
  </si>
  <si>
    <t>FERNANDO RODRIGUES DUARTE</t>
  </si>
  <si>
    <t>FLAVIO DOS SANTOS FERREIRA</t>
  </si>
  <si>
    <t>FLAVIO FERNANDES DOS REIS LIMA</t>
  </si>
  <si>
    <t>TELEFONICA CO</t>
  </si>
  <si>
    <t>FLAVIO HENRIQUE ALVES ROMERO</t>
  </si>
  <si>
    <t>FLAVIO PATRICIO DA LUZ</t>
  </si>
  <si>
    <t>FLAVIO PEREIRA DE SOUZA</t>
  </si>
  <si>
    <t>PTB LUBNOR CE</t>
  </si>
  <si>
    <t>FRANCIELLY CAVALCANTE SANTOS DE ANDRADE</t>
  </si>
  <si>
    <t>FRANCIMARIO BEZERRA DA SILVA</t>
  </si>
  <si>
    <t>FRANCINILDO JACKSON DE ALMEIDA ARAUJO</t>
  </si>
  <si>
    <t>FRANCIONE DE SOUZA LUCENA</t>
  </si>
  <si>
    <t>FRANCISCA VALERIA LIMA PORTELA</t>
  </si>
  <si>
    <t>FRANCISCO MICHAEL CASTRO FERNANDES</t>
  </si>
  <si>
    <t>FRANCISCO RICARDO DOS SANTOS</t>
  </si>
  <si>
    <t>FRANCISCO VALDENIR DE SOUSA</t>
  </si>
  <si>
    <t>FRANCO ANDREY FREIRE DOS SANTOS</t>
  </si>
  <si>
    <t>CEF ES</t>
  </si>
  <si>
    <t>FREDERICO PEDROSO FERNANDES</t>
  </si>
  <si>
    <t>GABRIEL CABRAL DA SILVA</t>
  </si>
  <si>
    <t>GABRIEL EGGER</t>
  </si>
  <si>
    <t>GABRIEL HENRIQUE DALL AGNOL</t>
  </si>
  <si>
    <t>GABRIEL MONTANI FERREIRA</t>
  </si>
  <si>
    <t>PTB EDISE RJ</t>
  </si>
  <si>
    <t>GEFERSON FLORIANO PRICHULA</t>
  </si>
  <si>
    <t>CEF NORTE GAUCHO RS</t>
  </si>
  <si>
    <t>GENISSON DE PAIVA FERREIRA</t>
  </si>
  <si>
    <t>00714806501</t>
  </si>
  <si>
    <t>BB ARACAJU SE</t>
  </si>
  <si>
    <t>GEORGE LUIS ROCHA FIGUEIREDO</t>
  </si>
  <si>
    <t>BB MARANHAO MA</t>
  </si>
  <si>
    <t>GERSON OLIVEIRA DE CARVALHO</t>
  </si>
  <si>
    <t>ADM FILIAL NE</t>
  </si>
  <si>
    <t>GERSON PEREIRA</t>
  </si>
  <si>
    <t>GILIAN DIAS DA SILVA BORGES</t>
  </si>
  <si>
    <t>GILMAR DUARTE LACERDA</t>
  </si>
  <si>
    <t>GIOVANI DONNANTUONI</t>
  </si>
  <si>
    <t>BB EDIFICIOS SP</t>
  </si>
  <si>
    <t>GISELE CRISTINE DE SOUZA</t>
  </si>
  <si>
    <t>GLAUBERTY CANDIDO COELHO</t>
  </si>
  <si>
    <t>GUILHERME FELIPPE DE MEDEIROS</t>
  </si>
  <si>
    <t>GUILHERME FERREIRA DA SILVA</t>
  </si>
  <si>
    <t>CEF RECIFE PE</t>
  </si>
  <si>
    <t>GUILHERME FORTKAMP PROENCA</t>
  </si>
  <si>
    <t>GUILHERME MOTTA RIBEIRO SILVA</t>
  </si>
  <si>
    <t>GUSTAVO GONCALVES DA SILVA</t>
  </si>
  <si>
    <t>GUSTAVO RODRIGUES FARIA</t>
  </si>
  <si>
    <t>HEDER SILVA CAMPODONICO</t>
  </si>
  <si>
    <t>HEITOR MAURMANN LEITAO</t>
  </si>
  <si>
    <t>HELDER ARCHANJO FERREIRA</t>
  </si>
  <si>
    <t>HELDER USTULIN</t>
  </si>
  <si>
    <t>HERLANDSON BRUNO CARNEIRO MATIAS</t>
  </si>
  <si>
    <t>HIAGOR JUNIO SANTOS GOMES</t>
  </si>
  <si>
    <t>HIGOR KELVYN SILVA AMORIM</t>
  </si>
  <si>
    <t>HIGOR LUIZ CERQUEIRA</t>
  </si>
  <si>
    <t>BANCO CENTRAL PREDIAL SP</t>
  </si>
  <si>
    <t>HUGO ALEXANDRE DE SOUSA</t>
  </si>
  <si>
    <t>ADM FILIAL MG</t>
  </si>
  <si>
    <t>HUGO NUNES DA SILVA</t>
  </si>
  <si>
    <t>ICARO MEDEIROS SILVA</t>
  </si>
  <si>
    <t>IGOR LOPES VARGAS</t>
  </si>
  <si>
    <t>ILMAR FONTES VIEIRA</t>
  </si>
  <si>
    <t>INEBAM RODRIGUES PORTO NETO</t>
  </si>
  <si>
    <t>ISABELE CRISTINE OLIVEIRA DA SILVA</t>
  </si>
  <si>
    <t>ISAIAS DA SILVA</t>
  </si>
  <si>
    <t>ISAQUE HENRIQUE BARPP TITONI</t>
  </si>
  <si>
    <t>ISMAEL WEBER</t>
  </si>
  <si>
    <t>ITAMAR SOUZA LOPES</t>
  </si>
  <si>
    <t>PTB TIC NORDESTE</t>
  </si>
  <si>
    <t>IVO LUCIANO DA SILVA WAGNER JUNIOR</t>
  </si>
  <si>
    <t>JACKSON NATAN RODRIGUES DA SILVA</t>
  </si>
  <si>
    <t>JACSSON MAYLON CASTRO CORREA</t>
  </si>
  <si>
    <t>JADERSON ARAUJO FERREIRA</t>
  </si>
  <si>
    <t>JAEDER RODRIGUES JUNIOR</t>
  </si>
  <si>
    <t>CEF NORDESTE MG</t>
  </si>
  <si>
    <t>JAFER DA FONTOURA AHMAD</t>
  </si>
  <si>
    <t>JAIME ALVES DE ABREU SILVA</t>
  </si>
  <si>
    <t>JAIR ASSIS DA SILVA</t>
  </si>
  <si>
    <t>JAQUELINE LEVATI PEREIRA</t>
  </si>
  <si>
    <t>CEF MANAUS AM</t>
  </si>
  <si>
    <t>JAZEMIR DE SANTANA MARQUES</t>
  </si>
  <si>
    <t>PTB TRANSMISSAO BA</t>
  </si>
  <si>
    <t>JEAN FABIO OLIVERIO</t>
  </si>
  <si>
    <t>JEFERSON ADRIANO WERNER</t>
  </si>
  <si>
    <t>JEFERSON ZAMPRONIO DA SILVA</t>
  </si>
  <si>
    <t>JEFFERSON DA SILVA</t>
  </si>
  <si>
    <t>78940346904</t>
  </si>
  <si>
    <t>JEFFERSON NAZARENO SILVA FREITAS</t>
  </si>
  <si>
    <t>JESSICA DE MIRANDA MEDEIROS FELICIANO</t>
  </si>
  <si>
    <t>CEF PIRACICABA SP</t>
  </si>
  <si>
    <t>JHEFERSON DIASSIS</t>
  </si>
  <si>
    <t>JOAO AGOSTINHO DA COSTA REIS</t>
  </si>
  <si>
    <t>JOAO ALEXANDRE LIMA</t>
  </si>
  <si>
    <t>JOAO COSTA DE LIMA FILHO</t>
  </si>
  <si>
    <t>JOAO DA SILVA VIANA</t>
  </si>
  <si>
    <t>JOAO MARCELO MARTINS DA SILVA BARBOSA</t>
  </si>
  <si>
    <t>JOELSON FERREIRA DOS SANTOS</t>
  </si>
  <si>
    <t>CEF SUDESTE MG</t>
  </si>
  <si>
    <t>JOELSON JUNIOR MARTINS DE GOES</t>
  </si>
  <si>
    <t>UFPR PR</t>
  </si>
  <si>
    <t>JONAS CAVALCANTI DE OLIVEIRA</t>
  </si>
  <si>
    <t>3R PETROLEUM NE</t>
  </si>
  <si>
    <t>JONAS PAULO DE MATOS</t>
  </si>
  <si>
    <t>JORDAN DA SILVA ROCHA VIDAL</t>
  </si>
  <si>
    <t>JORGE ANTONIO VARGAS DA SILVA</t>
  </si>
  <si>
    <t>JORGE LUIZ MOREIRA CARDOSO</t>
  </si>
  <si>
    <t>JORGE NEGRI NETO</t>
  </si>
  <si>
    <t>44997574600</t>
  </si>
  <si>
    <t>JOSE CARLOS BATISTA</t>
  </si>
  <si>
    <t>26652452804</t>
  </si>
  <si>
    <t>JOSE CLAUDIO RIBEIRO</t>
  </si>
  <si>
    <t>61158852649</t>
  </si>
  <si>
    <t>JOSE DO PRADO ROSA</t>
  </si>
  <si>
    <t>78296277972</t>
  </si>
  <si>
    <t>JOSE EUSTAQUIO DE SOUZA</t>
  </si>
  <si>
    <t>27335364191</t>
  </si>
  <si>
    <t>JOSE JONAS FURLANETTO</t>
  </si>
  <si>
    <t>55889913115</t>
  </si>
  <si>
    <t>JOSE MARCOS PEREIRA VAZ</t>
  </si>
  <si>
    <t>JOSE NEI DOS SANTOS DUTRA</t>
  </si>
  <si>
    <t>55278612053</t>
  </si>
  <si>
    <t>JOSE NILDA DA CUNHA</t>
  </si>
  <si>
    <t>69808112900</t>
  </si>
  <si>
    <t>JOSE VALDOIR LEITE</t>
  </si>
  <si>
    <t>JOSE VICTOR ARAUJO FELIX</t>
  </si>
  <si>
    <t>06323566346</t>
  </si>
  <si>
    <t>JOSE WILKESON OLIVEIRA SILVA</t>
  </si>
  <si>
    <t>03393455354</t>
  </si>
  <si>
    <t>JOSEANE DA SILVA SOUZA</t>
  </si>
  <si>
    <t>71944885234</t>
  </si>
  <si>
    <t>JUAN CARLOS PANTOJA AMANAJAS</t>
  </si>
  <si>
    <t>51027941249</t>
  </si>
  <si>
    <t>JULIA SCHURHAUS PERETTI</t>
  </si>
  <si>
    <t>JULIANA RIBEIRO RAMOS</t>
  </si>
  <si>
    <t>JULIANO MESSIAS MOREIRA DE LIMA</t>
  </si>
  <si>
    <t>10649064941</t>
  </si>
  <si>
    <t>JULIANO SALBEGO ROSBACK</t>
  </si>
  <si>
    <t>JULIO CESAR ALVES DA ROCHA</t>
  </si>
  <si>
    <t>02265549967</t>
  </si>
  <si>
    <t>JUNIO VICENTE BARBOSA</t>
  </si>
  <si>
    <t>10054353670</t>
  </si>
  <si>
    <t>JUSTINO NOGUEIRA PEIXOTO JUNIOR</t>
  </si>
  <si>
    <t>09246793790</t>
  </si>
  <si>
    <t>KEVIN WILLIAMS COUTINHO BEZERRA PENA</t>
  </si>
  <si>
    <t>KLEITON DE ALMEIDA TORRES</t>
  </si>
  <si>
    <t>LAERCIO SOARES CANABARRO</t>
  </si>
  <si>
    <t>58763376091</t>
  </si>
  <si>
    <t>BANCO ITAU SP</t>
  </si>
  <si>
    <t>LAURO FURTADO NETO</t>
  </si>
  <si>
    <t>LEANDRO APARECIDO JAQUES</t>
  </si>
  <si>
    <t>02586212908</t>
  </si>
  <si>
    <t>LEANDRO APARECIDO PEREIRA DA SILVA STEFANINI</t>
  </si>
  <si>
    <t>36020922839</t>
  </si>
  <si>
    <t>LEANDRO AUGUSTO KOHL</t>
  </si>
  <si>
    <t>LEANDRO DE MENEZES ASSUNCAO</t>
  </si>
  <si>
    <t>09072032640</t>
  </si>
  <si>
    <t>LEANDRO DE QUADROS</t>
  </si>
  <si>
    <t>03461295914</t>
  </si>
  <si>
    <t>LEANDRO EGAS</t>
  </si>
  <si>
    <t>LEANDRO FIGUEREDO BELCHIOR</t>
  </si>
  <si>
    <t>26513583802</t>
  </si>
  <si>
    <t>INSS SP</t>
  </si>
  <si>
    <t>LEANDRO GUSMAO MUNIZ</t>
  </si>
  <si>
    <t>13126691790</t>
  </si>
  <si>
    <t>LEANDRO PINTO NUNES</t>
  </si>
  <si>
    <t>08325368730</t>
  </si>
  <si>
    <t>ADM FILIAL SP</t>
  </si>
  <si>
    <t>LEANDRO SOUSA</t>
  </si>
  <si>
    <t>00584427905</t>
  </si>
  <si>
    <t>LEANDRO TONANI</t>
  </si>
  <si>
    <t>LEONARDO ALVES JACINTO</t>
  </si>
  <si>
    <t>LEONARDO MURATORI ATHAYDE</t>
  </si>
  <si>
    <t>03374811647</t>
  </si>
  <si>
    <t>CEF FACILITIES CE</t>
  </si>
  <si>
    <t>LEONARDO ORESTES SOARES</t>
  </si>
  <si>
    <t>05892698440</t>
  </si>
  <si>
    <t>LEONARDO SCHNEIDER AVILA</t>
  </si>
  <si>
    <t>LETICIA ANGENITA SCHEIMANN BAUER</t>
  </si>
  <si>
    <t>LISANDRO DA SILVA LOURENCO</t>
  </si>
  <si>
    <t>LOI BATISTA ANTUNES SARAIVA</t>
  </si>
  <si>
    <t>LUAN THIAGO DA SILVA</t>
  </si>
  <si>
    <t>08030478437</t>
  </si>
  <si>
    <t>LUCAS CARVALHO DE SOUZA</t>
  </si>
  <si>
    <t>08781221924</t>
  </si>
  <si>
    <t>LUCAS DE PAULA SILVA</t>
  </si>
  <si>
    <t>08204909977</t>
  </si>
  <si>
    <t>LUCAS DIOVANI CASTRO BERNARDO</t>
  </si>
  <si>
    <t>LUCAS HENRIQUE ALVES DE OLIVEIRA</t>
  </si>
  <si>
    <t>10977673618</t>
  </si>
  <si>
    <t>LUCAS HENRIQUE CORREA DOS SANTOS</t>
  </si>
  <si>
    <t>10652119964</t>
  </si>
  <si>
    <t>LUCAS HENRIQUE PINHO</t>
  </si>
  <si>
    <t>45211709861</t>
  </si>
  <si>
    <t>LUCAS MARTINS MACAN</t>
  </si>
  <si>
    <t>00975748998</t>
  </si>
  <si>
    <t>CEF CEARA</t>
  </si>
  <si>
    <t>LUCAS PEREIRA GONCALVES</t>
  </si>
  <si>
    <t>11128978601</t>
  </si>
  <si>
    <t>LUCAS RODRIGUES DE MOURA GALVAO</t>
  </si>
  <si>
    <t>04013986175</t>
  </si>
  <si>
    <t>LUCIANA APARECIDA SIMAO DA SILVA</t>
  </si>
  <si>
    <t>LUCIANO DA SILVA DE PAULA</t>
  </si>
  <si>
    <t>11489828923</t>
  </si>
  <si>
    <t>LUCIANO JOSE DA CUNHA</t>
  </si>
  <si>
    <t>03443300952</t>
  </si>
  <si>
    <t>LUCIANO JOSE DO AMARAL PEREIRA</t>
  </si>
  <si>
    <t>04434355708</t>
  </si>
  <si>
    <t>LUDGERO HORACIO DE OLIVEIRA</t>
  </si>
  <si>
    <t>06576198922</t>
  </si>
  <si>
    <t>LUIS CARLOS BROERING</t>
  </si>
  <si>
    <t>68187483920</t>
  </si>
  <si>
    <t>LUIS CARLOS GARCIA SANTOS</t>
  </si>
  <si>
    <t>LUIS FELIPE COSTA</t>
  </si>
  <si>
    <t>LUIS FELIPE RAYMUNDO GARCIA</t>
  </si>
  <si>
    <t>06837861999</t>
  </si>
  <si>
    <t>LUIS HENRIQUE DA SILVA BUHL</t>
  </si>
  <si>
    <t>LUIZ CLAUDIO DOS SANTOS</t>
  </si>
  <si>
    <t>LUIZ FERNANDO CAVALHEIRO</t>
  </si>
  <si>
    <t>03898579980</t>
  </si>
  <si>
    <t>LUIZ GUSTAVO DI GIORGIO</t>
  </si>
  <si>
    <t>29856268893</t>
  </si>
  <si>
    <t>LUIZ HUMBERTO LEMES</t>
  </si>
  <si>
    <t>LUIZ PAULO SILVA SOUSA JUNIOR</t>
  </si>
  <si>
    <t>02678045129</t>
  </si>
  <si>
    <t>MARCEL DA HORA CARVALHO</t>
  </si>
  <si>
    <t>01730674500</t>
  </si>
  <si>
    <t>POLICIA FEDERAL BA</t>
  </si>
  <si>
    <t>MARCEL GOMES DE OLIVEIRA</t>
  </si>
  <si>
    <t>29011288823</t>
  </si>
  <si>
    <t>MARCELA CARVALHO LEITAO</t>
  </si>
  <si>
    <t>00827902212</t>
  </si>
  <si>
    <t>MARCELO CALIXTRO</t>
  </si>
  <si>
    <t>MARCELO CARVALHO DA SILVA</t>
  </si>
  <si>
    <t>MARCELO DE ANDRADE CALVETTI</t>
  </si>
  <si>
    <t>02587708052</t>
  </si>
  <si>
    <t>MARCELO DE SOUZA DALA VEDOVA</t>
  </si>
  <si>
    <t>05375810654</t>
  </si>
  <si>
    <t>MARCELO GIMENEZ ARGEMON</t>
  </si>
  <si>
    <t>95073272153</t>
  </si>
  <si>
    <t>CEF FACILITIES CAMPINAS SP</t>
  </si>
  <si>
    <t>MARCELO JUNIOR DE AZEVEDO TEIXEIRA</t>
  </si>
  <si>
    <t>MARCELO MARCHI DURIGON JUNIOR</t>
  </si>
  <si>
    <t>MARCELO PEREIRA LIMA</t>
  </si>
  <si>
    <t>10254434894</t>
  </si>
  <si>
    <t>BB CAMPINAS SP</t>
  </si>
  <si>
    <t>MARCIA CRISTINA DA CUNHA SCATAMBULO</t>
  </si>
  <si>
    <t>27375810877</t>
  </si>
  <si>
    <t>MARCIO BOUZAS FERREIRA</t>
  </si>
  <si>
    <t>07318362780</t>
  </si>
  <si>
    <t>VTAL CYBER RJ</t>
  </si>
  <si>
    <t>MARCIO CAMPOS RIBEIRO</t>
  </si>
  <si>
    <t>MARCIO CORREA DA SILVA</t>
  </si>
  <si>
    <t>98717251087</t>
  </si>
  <si>
    <t>MARCIO DA COSTA JOAO</t>
  </si>
  <si>
    <t>02524841936</t>
  </si>
  <si>
    <t>BB CENOP CURITIBA PR</t>
  </si>
  <si>
    <t>MARCIO FERNANDES DE ARAUJO</t>
  </si>
  <si>
    <t>MARCIO ROBERTO DA SILVA</t>
  </si>
  <si>
    <t>MARCO AURELIO DE ANDRADE MORAES</t>
  </si>
  <si>
    <t>72756284220</t>
  </si>
  <si>
    <t>MARCO AURELIO DE LIMA</t>
  </si>
  <si>
    <t>01356318665</t>
  </si>
  <si>
    <t>TELEFONICA MG</t>
  </si>
  <si>
    <t>MARCOS LUIZ SCHULTZ</t>
  </si>
  <si>
    <t>MARCOS SEGER</t>
  </si>
  <si>
    <t>97135631900</t>
  </si>
  <si>
    <t>MARIA CRISTINA DE OLIVEIRA NEVES</t>
  </si>
  <si>
    <t>MARIA EDUARDA ARAGAO</t>
  </si>
  <si>
    <t>10363402950</t>
  </si>
  <si>
    <t>CEF SUL SC</t>
  </si>
  <si>
    <t>MARIO MARQUES SOARES</t>
  </si>
  <si>
    <t>MATEUS DE CARVALHO BERTOL</t>
  </si>
  <si>
    <t>01304856674</t>
  </si>
  <si>
    <t>MATHEUS FERNANDES GUIMARAES</t>
  </si>
  <si>
    <t>17996820724</t>
  </si>
  <si>
    <t>MAURICIO JOSE CARDOSO</t>
  </si>
  <si>
    <t>98394282091</t>
  </si>
  <si>
    <t>GHC ARCON RS</t>
  </si>
  <si>
    <t>MAURICIO TRINDADE DE CAMARGO</t>
  </si>
  <si>
    <t>01816236098</t>
  </si>
  <si>
    <t>MAURO DE OLIVEIRA CERINO</t>
  </si>
  <si>
    <t>MAURO PEDRO SAUGO</t>
  </si>
  <si>
    <t>90573625972</t>
  </si>
  <si>
    <t>MAYKON JEAN RIBEIRO FERREIRA</t>
  </si>
  <si>
    <t>MELSO CEZAR DA SILVA NETO</t>
  </si>
  <si>
    <t>MICHAEL RODRIGUES SANTOS</t>
  </si>
  <si>
    <t>37425574837</t>
  </si>
  <si>
    <t>MICHEL DOS SANTOS VENANCIO</t>
  </si>
  <si>
    <t>06271222994</t>
  </si>
  <si>
    <t>MICHEL VINHORTE DE SOUZA</t>
  </si>
  <si>
    <t>70457883200</t>
  </si>
  <si>
    <t>MIGUEL JOAO DINIS MOTA</t>
  </si>
  <si>
    <t>MILTON FERREIRA DAS NEVES JUNIOR</t>
  </si>
  <si>
    <t>05100355581</t>
  </si>
  <si>
    <t>ACELEN AR</t>
  </si>
  <si>
    <t>MILTON FLECK PITROWSKI</t>
  </si>
  <si>
    <t>MOISES DOS SANTOS CABRAL</t>
  </si>
  <si>
    <t>68746458204</t>
  </si>
  <si>
    <t>MURILO DE ALMEIDA</t>
  </si>
  <si>
    <t>10521167957</t>
  </si>
  <si>
    <t>BB LESTE PR</t>
  </si>
  <si>
    <t>NEDSON LUIZ DURAES VELOSO</t>
  </si>
  <si>
    <t>11498112692</t>
  </si>
  <si>
    <t>NERTAN DE CASTRO MAIA</t>
  </si>
  <si>
    <t>NEUDO SAMPIETRO</t>
  </si>
  <si>
    <t>04885659957</t>
  </si>
  <si>
    <t>NILTON FARIAS JUNIOR</t>
  </si>
  <si>
    <t>NILTON SANTOS DA SILVA</t>
  </si>
  <si>
    <t>NIVALDO THIAGO DA CRUZ SANTOS</t>
  </si>
  <si>
    <t>04442316929</t>
  </si>
  <si>
    <t>NORMAN CRANI PORTELLA</t>
  </si>
  <si>
    <t>79794157953</t>
  </si>
  <si>
    <t>ODAIR CIRCO SOARES</t>
  </si>
  <si>
    <t>84219122915</t>
  </si>
  <si>
    <t>ORESTE BARBOSA DA SILVA JUNIOR</t>
  </si>
  <si>
    <t>25075562850</t>
  </si>
  <si>
    <t>OSCAR DOMINGO PALARO</t>
  </si>
  <si>
    <t>03067535960</t>
  </si>
  <si>
    <t>OSMAN DOS SANTOS MORAIS JUNIOR</t>
  </si>
  <si>
    <t>PALOMA CARLOS SPINOLA</t>
  </si>
  <si>
    <t>PAOLA CAROLINI BARBOSA</t>
  </si>
  <si>
    <t>03445951969</t>
  </si>
  <si>
    <t>PTB PREDIAL REPAR PR</t>
  </si>
  <si>
    <t>PATRICK ANTONIEVICZ ALVES</t>
  </si>
  <si>
    <t>06456801923</t>
  </si>
  <si>
    <t>PAULO ALEXANDRE DE AMORIM</t>
  </si>
  <si>
    <t>04179369907</t>
  </si>
  <si>
    <t>PAULO DE FREITAS PEREIRA</t>
  </si>
  <si>
    <t>11634696611</t>
  </si>
  <si>
    <t>PAULO EDUARDO AUGUSTO DE BRITO</t>
  </si>
  <si>
    <t>12890409821</t>
  </si>
  <si>
    <t>CCBB SP</t>
  </si>
  <si>
    <t>PAULO MARQUES TAVARES</t>
  </si>
  <si>
    <t>PAULO NILTON COSTA MOREIRA</t>
  </si>
  <si>
    <t>45159599053</t>
  </si>
  <si>
    <t>PAULO TIAGO SANTOS DA SILVA</t>
  </si>
  <si>
    <t>PITER ROBSON DA SILVA</t>
  </si>
  <si>
    <t>91388686953</t>
  </si>
  <si>
    <t>PRISCILA GOTARDO PEREIRA</t>
  </si>
  <si>
    <t>05168980945</t>
  </si>
  <si>
    <t>RAFAEL AMORIM VELLO</t>
  </si>
  <si>
    <t>01677920599</t>
  </si>
  <si>
    <t>CEF NORTE OESTE BA</t>
  </si>
  <si>
    <t>RAFAEL CARNIEL DA SILVA</t>
  </si>
  <si>
    <t>05337927973</t>
  </si>
  <si>
    <t>RAFAEL DORNELLES</t>
  </si>
  <si>
    <t>RAFAEL NATAL LACHI</t>
  </si>
  <si>
    <t>03710085900</t>
  </si>
  <si>
    <t>RAFAEL PORTO ALVES DA CRUZ</t>
  </si>
  <si>
    <t>11914988671</t>
  </si>
  <si>
    <t>RAFAEL ROCHA MOURA</t>
  </si>
  <si>
    <t>RAFAELA OLIVEIRA RODRIGUES</t>
  </si>
  <si>
    <t>RAMON GOMES TEIXEIRA</t>
  </si>
  <si>
    <t>83978054515</t>
  </si>
  <si>
    <t>RAMONY AVYSSON GOMES DA SILVA</t>
  </si>
  <si>
    <t>RAQUEL PANTOJA SANTOS</t>
  </si>
  <si>
    <t>89395140259</t>
  </si>
  <si>
    <t>RAUL ADRIANO DOS SANTOS</t>
  </si>
  <si>
    <t>03288831902</t>
  </si>
  <si>
    <t>RENATO PARREIRAS</t>
  </si>
  <si>
    <t>97162485634</t>
  </si>
  <si>
    <t>RICARDO DORNELES NEITZKE</t>
  </si>
  <si>
    <t>09353381959</t>
  </si>
  <si>
    <t>RICARDO MURCIA GARCIA FILHO</t>
  </si>
  <si>
    <t>27668763830</t>
  </si>
  <si>
    <t>RICARDO NASCIMENTO LUIZ</t>
  </si>
  <si>
    <t>RICARDO ZORZETTO</t>
  </si>
  <si>
    <t>00539580040</t>
  </si>
  <si>
    <t>CEF QUERENCIA RS</t>
  </si>
  <si>
    <t>ROBERT RUFINO DE SOUZA CAETANO</t>
  </si>
  <si>
    <t>ROBERTO ALIAGA</t>
  </si>
  <si>
    <t>ROBERTO DOMINGUES PEREIRA</t>
  </si>
  <si>
    <t>81480261068</t>
  </si>
  <si>
    <t>ROBSON DA LUZ DA SILVA</t>
  </si>
  <si>
    <t>ROBSON DOS SANTOS GUEDES</t>
  </si>
  <si>
    <t>08418392983</t>
  </si>
  <si>
    <t>ROBSON FURTADO</t>
  </si>
  <si>
    <t>05236669936</t>
  </si>
  <si>
    <t>Cadastro reprovado</t>
  </si>
  <si>
    <t>RODRIGO BALESTRIN</t>
  </si>
  <si>
    <t>02845828918</t>
  </si>
  <si>
    <t>RODRIGO BOLDO</t>
  </si>
  <si>
    <t>27104988807</t>
  </si>
  <si>
    <t>RODRIGO CESAR DOS SANTOS</t>
  </si>
  <si>
    <t>07024923610</t>
  </si>
  <si>
    <t>RODRIGO DE SOUZA ROSA</t>
  </si>
  <si>
    <t>03583938925</t>
  </si>
  <si>
    <t>RODRIGO FRANCISCO CORREA</t>
  </si>
  <si>
    <t>03059202940</t>
  </si>
  <si>
    <t>RODRIGO JOSE DE PAULA</t>
  </si>
  <si>
    <t>03348917956</t>
  </si>
  <si>
    <t>RODRIGO RIOS VELOSO</t>
  </si>
  <si>
    <t>RODRIGO ROBERTO DE SOUZA</t>
  </si>
  <si>
    <t>05664820969</t>
  </si>
  <si>
    <t>BB GRANDE FLORIANOPOLIS SC</t>
  </si>
  <si>
    <t>RODRIGO ROQUE</t>
  </si>
  <si>
    <t>02062513941</t>
  </si>
  <si>
    <t>CORREIOS SAO JOSE SC</t>
  </si>
  <si>
    <t>RODRIGO SANTOS DA SILVA</t>
  </si>
  <si>
    <t>05504962706</t>
  </si>
  <si>
    <t>BANCO ITAU RJ</t>
  </si>
  <si>
    <t>RODRIGO VANZETTA</t>
  </si>
  <si>
    <t>99532344004</t>
  </si>
  <si>
    <t>ROGERIO COSTA PRADO</t>
  </si>
  <si>
    <t>92160344320</t>
  </si>
  <si>
    <t>ROGERIO GOMES DE OLIVEIRA</t>
  </si>
  <si>
    <t>89591640030</t>
  </si>
  <si>
    <t>RONALDO DE CARVALHO</t>
  </si>
  <si>
    <t>RONALDO DE MATOS LELIS</t>
  </si>
  <si>
    <t>47502843604</t>
  </si>
  <si>
    <t>RONALDO RUFINO SANTANA</t>
  </si>
  <si>
    <t>29758827855</t>
  </si>
  <si>
    <t>RONIO JOSE ROSA</t>
  </si>
  <si>
    <t>SANDRA CRISTINA ALVES MACHADO</t>
  </si>
  <si>
    <t>69456313034</t>
  </si>
  <si>
    <t>SANDRO BARRETO DE SOUZA</t>
  </si>
  <si>
    <t>78021324953</t>
  </si>
  <si>
    <t>SANDRO CAPISTRANO</t>
  </si>
  <si>
    <t>16996346886</t>
  </si>
  <si>
    <t>SARA ARAGAO DA SILVA BARBOSA</t>
  </si>
  <si>
    <t>49637513809</t>
  </si>
  <si>
    <t>SAULO ARAUJO DE PAULA</t>
  </si>
  <si>
    <t>31040091806</t>
  </si>
  <si>
    <t>SERGIO ESTEVAM DEBIAZI</t>
  </si>
  <si>
    <t>02063139342</t>
  </si>
  <si>
    <t>SIDNEI MACHADO</t>
  </si>
  <si>
    <t>02710155940</t>
  </si>
  <si>
    <t>SILMARA CHAVES</t>
  </si>
  <si>
    <t>02706762950</t>
  </si>
  <si>
    <t>BB TIRADENTES PR</t>
  </si>
  <si>
    <t>SILVIO ODELI FILHO</t>
  </si>
  <si>
    <t>07634898910</t>
  </si>
  <si>
    <t>SILVIO VINICIUS PINHEIRO GOES</t>
  </si>
  <si>
    <t>51182084168</t>
  </si>
  <si>
    <t>TERCILA DA SILVA LOPES</t>
  </si>
  <si>
    <t>67752721387</t>
  </si>
  <si>
    <t>THALITA MANCILIO DIAS GONDIM</t>
  </si>
  <si>
    <t>30941372880</t>
  </si>
  <si>
    <t>THIAGO DE MEDEIROS VANZELER</t>
  </si>
  <si>
    <t>11590627733</t>
  </si>
  <si>
    <t>THIAGO DUARTE VARGAS</t>
  </si>
  <si>
    <t>THIAGO LEANDRO DOS SANTOS</t>
  </si>
  <si>
    <t>33927651800</t>
  </si>
  <si>
    <t>THIAGO NEVES DE FREITAS</t>
  </si>
  <si>
    <t>THIAGO PEREIRA DE LIMA</t>
  </si>
  <si>
    <t>06478105490</t>
  </si>
  <si>
    <t>THIEGO LEANDRO ALVES DE OLIVEIRA</t>
  </si>
  <si>
    <t>07198282440</t>
  </si>
  <si>
    <t>TIAGO BEZERRA CAMARGO</t>
  </si>
  <si>
    <t>TIAGO BRANCO DE BARROS</t>
  </si>
  <si>
    <t>TIAGO DE FREITAS KAISER</t>
  </si>
  <si>
    <t>TIAGO DE JESUS ARAUJO</t>
  </si>
  <si>
    <t>04661413199</t>
  </si>
  <si>
    <t>TIAGO DE OLIVEIRA PAIVA</t>
  </si>
  <si>
    <t>10491624719</t>
  </si>
  <si>
    <t>PTB REVAP REVITALIZACAO</t>
  </si>
  <si>
    <t>TIAGO FERNANDES SANTOS DE OLIVEIRA</t>
  </si>
  <si>
    <t>00849381533</t>
  </si>
  <si>
    <t>CARMO ENERGY</t>
  </si>
  <si>
    <t>TIAGO LUIZ MARTINS</t>
  </si>
  <si>
    <t>TOBIAS DA CRUZ</t>
  </si>
  <si>
    <t>TONY RAMOS VENANCIO</t>
  </si>
  <si>
    <t>TULIO VELOSO HONORATO</t>
  </si>
  <si>
    <t>12609931670</t>
  </si>
  <si>
    <t>BB SUDESTE MG</t>
  </si>
  <si>
    <t>UBIRAJARA DE ARAUJO TEIXEIRA</t>
  </si>
  <si>
    <t>74548565949</t>
  </si>
  <si>
    <t>UELITON CANDIDO</t>
  </si>
  <si>
    <t>UELITON SANTANA SANTOS</t>
  </si>
  <si>
    <t>03686605597</t>
  </si>
  <si>
    <t>TRANSPETRO BA</t>
  </si>
  <si>
    <t>ULISSES FERREIRA DE OLIVEIRA</t>
  </si>
  <si>
    <t>01595939644</t>
  </si>
  <si>
    <t>VALDEMIR ANTONIO CORREA JUNIOR</t>
  </si>
  <si>
    <t>VALDIR COUTINHO DOS SANTOS</t>
  </si>
  <si>
    <t>VALDIR LEONARDO VOIGT</t>
  </si>
  <si>
    <t>48089869904</t>
  </si>
  <si>
    <t>VALTER HUGO SILVERIO DA SILVA FACHINETTI</t>
  </si>
  <si>
    <t>21704495822</t>
  </si>
  <si>
    <t>VANDERLEI DE SOUZA NORONHA JUNIOR</t>
  </si>
  <si>
    <t>37695259810</t>
  </si>
  <si>
    <t>VICTOR HUGO MONTEIRO FREIRE</t>
  </si>
  <si>
    <t>VICTOR LEONARDO LIMA DA CRUZ</t>
  </si>
  <si>
    <t>VICTOR MIGUEL PALARO</t>
  </si>
  <si>
    <t>09265596996</t>
  </si>
  <si>
    <t>VICTOR SIGOLO PINHEIRO PIMENTA</t>
  </si>
  <si>
    <t>12237490619</t>
  </si>
  <si>
    <t>VICTORIA SOEIRO DE BARROS</t>
  </si>
  <si>
    <t>VINICIUS PEIXOTO BONETTI</t>
  </si>
  <si>
    <t>09785002969</t>
  </si>
  <si>
    <t>ARTERIS LITORAL SUL SC</t>
  </si>
  <si>
    <t>WAGNER DOS SANTOS PEREIRA</t>
  </si>
  <si>
    <t>94512043004</t>
  </si>
  <si>
    <t>BB SHOPPING ESTACAO PR</t>
  </si>
  <si>
    <t>WAGNER RAFAEL GERHARDT</t>
  </si>
  <si>
    <t>00413687031</t>
  </si>
  <si>
    <t>WALTER DE CAMPOS NUNES NETO</t>
  </si>
  <si>
    <t>99114160030</t>
  </si>
  <si>
    <t>WALTER LUIZ DE OLIVEIRA BRAGA</t>
  </si>
  <si>
    <t>04042182291</t>
  </si>
  <si>
    <t>WANDEILSON EMIDIO MARTINS PEREIRA</t>
  </si>
  <si>
    <t>WELERSON PUFF RODRIGUES</t>
  </si>
  <si>
    <t>04352219657</t>
  </si>
  <si>
    <t>WELLINGTON ARION TAVARES</t>
  </si>
  <si>
    <t>04747951954</t>
  </si>
  <si>
    <t>WELLINGTON SILVA DE AGUIAR</t>
  </si>
  <si>
    <t>WELTON GERALDO WROBLEWSKI</t>
  </si>
  <si>
    <t>91443130982</t>
  </si>
  <si>
    <t>WESLEY CARLOS AUGUSTO</t>
  </si>
  <si>
    <t>WESLLEY GABRIEL DA SILVA CARDOSO</t>
  </si>
  <si>
    <t>87813416015</t>
  </si>
  <si>
    <t>TELEFONICA RS</t>
  </si>
  <si>
    <t>WILKINSON KECIO SILVA BARBOSA</t>
  </si>
  <si>
    <t>WILLIAM ANTONIO MARTELET STEFANO</t>
  </si>
  <si>
    <t>WILLIAM NORONHA TEIXEIRA</t>
  </si>
  <si>
    <t>02013700008</t>
  </si>
  <si>
    <t>WILLIAM SANTANA NUNES</t>
  </si>
  <si>
    <t>95417400068</t>
  </si>
  <si>
    <t>WILSON JOAQUIM CAMPOS</t>
  </si>
  <si>
    <t>WILSON LUIZ CABRAL</t>
  </si>
  <si>
    <t>WINDER DE SOUZA PIRES</t>
  </si>
  <si>
    <t>04028795621</t>
  </si>
  <si>
    <t>Cobrança</t>
  </si>
  <si>
    <t>Nome</t>
  </si>
  <si>
    <t>E-mail</t>
  </si>
  <si>
    <t>Tipo de usuário</t>
  </si>
  <si>
    <t>Status do Cartão</t>
  </si>
  <si>
    <t>Permissão de Uso</t>
  </si>
  <si>
    <t>Permissão de Gestão</t>
  </si>
  <si>
    <t>Ações</t>
  </si>
  <si>
    <t>abner.cavalcante@eqsengenharia.com.br</t>
  </si>
  <si>
    <t>Normal</t>
  </si>
  <si>
    <t>Portador de Cartão</t>
  </si>
  <si>
    <t>Sem permissão</t>
  </si>
  <si>
    <t>adan.batista@eqsengenharia.com.br</t>
  </si>
  <si>
    <t>adautojosepereira@yahoo.com.br</t>
  </si>
  <si>
    <t>ctba_projetos@hotmail.com</t>
  </si>
  <si>
    <t>adilsoncamargo@eqseng.com.br</t>
  </si>
  <si>
    <t>adilson.ferreira@eqsengenharia.com.br</t>
  </si>
  <si>
    <t>Intermediário</t>
  </si>
  <si>
    <t>adivarjunior@gmail.com</t>
  </si>
  <si>
    <t>admilsongalan@gmail.com</t>
  </si>
  <si>
    <t>caronjca@gmail.com</t>
  </si>
  <si>
    <t>adrianoteixeiraeletricista@gmail.com</t>
  </si>
  <si>
    <t>adriano.paula@eqsengenharia.com.br</t>
  </si>
  <si>
    <t>adson.silva@eqsengenharia.com.br</t>
  </si>
  <si>
    <t>afonso.fiorello@eqsengenharia.com.br</t>
  </si>
  <si>
    <t>agno.teles@eqsengenharia.com.br</t>
  </si>
  <si>
    <t>AGUINA FERNANDES DE OLIVEIRA</t>
  </si>
  <si>
    <t>aguina.oliveira@eqsengenharia.com.br</t>
  </si>
  <si>
    <t>ailtonaguilarmg@gmail.com</t>
  </si>
  <si>
    <t>alaerte.junior@eqsengenharia.com.br</t>
  </si>
  <si>
    <t>ALAN RICARDO CESTONARO DASSI</t>
  </si>
  <si>
    <t>alan.dassi@eqsengenharia.com.br</t>
  </si>
  <si>
    <t>alan.andrade@eqseng.com.br</t>
  </si>
  <si>
    <t>alan.peacv@gmail.com</t>
  </si>
  <si>
    <t>alessandrooa@bol.com.br</t>
  </si>
  <si>
    <t>pastrellia044@gmail.com</t>
  </si>
  <si>
    <t>alex.dos.santos@hotmail.com</t>
  </si>
  <si>
    <t>alex.marques@eqsengenharia.com.br</t>
  </si>
  <si>
    <t>alexrambo88@gmail.com</t>
  </si>
  <si>
    <t>alexandre.gross@eqsengenharia.com.br</t>
  </si>
  <si>
    <t>ALEXANDRE DE SOUSA BRITO</t>
  </si>
  <si>
    <t>xandaotelecom23@gmail.com</t>
  </si>
  <si>
    <t>pireseqs@gmail.com</t>
  </si>
  <si>
    <t>alexsandro.conceicao@eqsengenharia.com.br</t>
  </si>
  <si>
    <t>alisson.rambo@eqseng.com.br</t>
  </si>
  <si>
    <t>ALLANCRISTIAN20@HOTMAIL.COM</t>
  </si>
  <si>
    <t>allan.rodrigues@eqsengenharia.com.br</t>
  </si>
  <si>
    <t>Gestor de Contas</t>
  </si>
  <si>
    <t>ALMIR SILVA DA ROSA</t>
  </si>
  <si>
    <t>almir.rosa@eqseng.com.br</t>
  </si>
  <si>
    <t>jocabertol@gmail.com</t>
  </si>
  <si>
    <t>amanda.cristina@eqsengenharia.com.br</t>
  </si>
  <si>
    <t>AMARALNUNES2012@HOTMAIL.COM</t>
  </si>
  <si>
    <t>ana.holanda@eqsengenharia.com.br</t>
  </si>
  <si>
    <t>ANA LUIZA OLIVEIRA CAMELO</t>
  </si>
  <si>
    <t>ana.luiza@eqsengenharia.com.br</t>
  </si>
  <si>
    <t>ANA PAULA MARTINS DE SOUZA</t>
  </si>
  <si>
    <t>ana.souza@eqsengenharia.com.br</t>
  </si>
  <si>
    <t>Administrador</t>
  </si>
  <si>
    <t>anderson.perez@eqsengenharia.com.br</t>
  </si>
  <si>
    <t>dyttofernandesalmeida1@gmail.com</t>
  </si>
  <si>
    <t>ANDERSON MARTINS</t>
  </si>
  <si>
    <t>AJW.MARTINS@GMAIL.COM</t>
  </si>
  <si>
    <t>anderson.vieira@eqsengenharia.com.br</t>
  </si>
  <si>
    <t>andre.escobar@eqseng.com.br</t>
  </si>
  <si>
    <t>ANDRE LUIS FINATTI AUGUSTO</t>
  </si>
  <si>
    <t>andreluis.finatti.prestserv@petrobras.com.br</t>
  </si>
  <si>
    <t>andre.oliveira.supervisor.telecom@gmail.com</t>
  </si>
  <si>
    <t>andre.santana@eqsengenharia.com.br</t>
  </si>
  <si>
    <t>andre.balotin@eqsengenharia.com.br</t>
  </si>
  <si>
    <t>toxcroen@gmail.com</t>
  </si>
  <si>
    <t>andrea.antunes@eqsengenharia.com.br</t>
  </si>
  <si>
    <t>ANDRESA INDIRA SANTANA AGGIO</t>
  </si>
  <si>
    <t>andresa.aggio@eqsengenharia.com.br</t>
  </si>
  <si>
    <t>ANDREY CARDOSO REGINALDO</t>
  </si>
  <si>
    <t>andrey.reginaldo@eqsengenharia.com.br</t>
  </si>
  <si>
    <t>anelise@eqsengenharia.com.br</t>
  </si>
  <si>
    <t>ANGELICA APARECIDA DOS SANTOS</t>
  </si>
  <si>
    <t>angelica.aparecida@eqseng.com.br</t>
  </si>
  <si>
    <t>antonio@eqseng.com.br</t>
  </si>
  <si>
    <t>adimendonca@gmail.com</t>
  </si>
  <si>
    <t>antonio.j1.silva26@gmail.com</t>
  </si>
  <si>
    <t>camargo0713@hotmail.com</t>
  </si>
  <si>
    <t>arley.luz@eqsengenharia.com.br</t>
  </si>
  <si>
    <t>arthur.gomes@eqsengenharia.com.br</t>
  </si>
  <si>
    <t>arturpagani@gmail.com</t>
  </si>
  <si>
    <t>atila_moura@hotmail.com</t>
  </si>
  <si>
    <t>ATILA SILVA DOS SANTOS</t>
  </si>
  <si>
    <t>atilars02@hotmail.com</t>
  </si>
  <si>
    <t>auro.pedroso@eqsengenharia.com.br</t>
  </si>
  <si>
    <t>beatriz.siqueira@eqseng.com.br</t>
  </si>
  <si>
    <t>mmcanoas@hotmail.com</t>
  </si>
  <si>
    <t>BRUNA LAIS AZEVEDO CUNHA</t>
  </si>
  <si>
    <t>brunalais_ac@hotmail.com</t>
  </si>
  <si>
    <t>BRUNO DE SOUZA PACHECO</t>
  </si>
  <si>
    <t>bruninhopacheco44@gmail.com</t>
  </si>
  <si>
    <t>bruno@eqsengenharia.com.br</t>
  </si>
  <si>
    <t>brunoenf02@icloud.com</t>
  </si>
  <si>
    <t>bruno.rodrigues@eqsengenharia.com.br</t>
  </si>
  <si>
    <t>bruno.dias@eqsengenharia.com.br</t>
  </si>
  <si>
    <t>caio.ribeiro@eqsengenharia.com.br</t>
  </si>
  <si>
    <t>caios.nunes@eqsengenharia.com.br</t>
  </si>
  <si>
    <t>camila.veloso@bcb.gov.br</t>
  </si>
  <si>
    <t>carlos.gigi@eqseng.com.br</t>
  </si>
  <si>
    <t>carlos.eduardo@eqsengenharia.com.br</t>
  </si>
  <si>
    <t>carlospaines@hotmail.com</t>
  </si>
  <si>
    <t>godoy.equisul@gmail.com</t>
  </si>
  <si>
    <t>caixa@eqsengenharia.com.br</t>
  </si>
  <si>
    <t>carlos.santos@eqseng.com.br</t>
  </si>
  <si>
    <t>CARLOS MOACIR FONTOURA MENDONCA</t>
  </si>
  <si>
    <t>carlos.mendonca@eqsengenharia.com.br</t>
  </si>
  <si>
    <t>carlosengenheiro33@gmail.com</t>
  </si>
  <si>
    <t>crenps@gmail.com</t>
  </si>
  <si>
    <t>carlos.peres@eqsengenharia.com.br</t>
  </si>
  <si>
    <t>caroline@eqsengenharia.com.br</t>
  </si>
  <si>
    <t>CASSIANO DOS SANTOS LYRA</t>
  </si>
  <si>
    <t>ecaslyra@gmail.com</t>
  </si>
  <si>
    <t>cmattyuzzy@gmail.com</t>
  </si>
  <si>
    <t>claudemir.rodrigues@eqsengenharia.com.br</t>
  </si>
  <si>
    <t>claudemir.moreira054@gmail.com</t>
  </si>
  <si>
    <t>amaralclaudinei@hotmail.com</t>
  </si>
  <si>
    <t>claudinei.lima@eqsengenharia.com.br</t>
  </si>
  <si>
    <t>claudiodonizete8321@gmail.com</t>
  </si>
  <si>
    <t>CLAUDIO LUIZ COSTA BAUER</t>
  </si>
  <si>
    <t>claudiobauer4@gmail.com</t>
  </si>
  <si>
    <t>clrenaldinunes@gmail.com</t>
  </si>
  <si>
    <t>claytonpr@gmail.com</t>
  </si>
  <si>
    <t>CLEBER RICARDO NASCIMENTO SILVA</t>
  </si>
  <si>
    <t>cleber.rns@uol.com.br</t>
  </si>
  <si>
    <t>binhoclebersonsantos@gmail.com</t>
  </si>
  <si>
    <t>CLEDIVALDO DINIZ BERNARDO</t>
  </si>
  <si>
    <t>DINIZCLEDIVALDO@GMAIL.COM</t>
  </si>
  <si>
    <t>CLEITON DA SILVA MONTALVÃO</t>
  </si>
  <si>
    <t>cleiton.montalvao@eqsengenharia.com.br</t>
  </si>
  <si>
    <t>tavarescleiton1986@gmail.com</t>
  </si>
  <si>
    <t>CLEOMAR DE SOUZA RODRIGUES</t>
  </si>
  <si>
    <t>CLEOMARDSR@GMAIL.COM</t>
  </si>
  <si>
    <t>cleriton.santos@hotmail.com</t>
  </si>
  <si>
    <t>bmx_sdr@hotmail.com</t>
  </si>
  <si>
    <t>conf</t>
  </si>
  <si>
    <t>conf@eqsengenharia.com.br</t>
  </si>
  <si>
    <t>CREMILSON JESUS FRANCA</t>
  </si>
  <si>
    <t>cremilson.franca@eqsengenharia.com.br</t>
  </si>
  <si>
    <t>creol.santos@gmail.com</t>
  </si>
  <si>
    <t>cristian.oliveira@eqseng.com.br</t>
  </si>
  <si>
    <t>CRISTIANE PEREIRA DE MELO</t>
  </si>
  <si>
    <t>cristiane-melo1994@hotmail.com</t>
  </si>
  <si>
    <t>cristiano.anesio@eqseng.com.br</t>
  </si>
  <si>
    <t>cristianovaladares4@gmail.com</t>
  </si>
  <si>
    <t>DANIEL CANTUARIO DA SILVEIRA</t>
  </si>
  <si>
    <t>silveirad139@gmail.com</t>
  </si>
  <si>
    <t>daniel.lopes@eqsengenharia.com.br</t>
  </si>
  <si>
    <t>daniel.duarte@eqsengenharia.com.br</t>
  </si>
  <si>
    <t>danieldeporfirio@gmail.com</t>
  </si>
  <si>
    <t>danielrc13@gmail.com</t>
  </si>
  <si>
    <t>dsassuncao@hotmail.com</t>
  </si>
  <si>
    <t>daniela.carvalho@eqsengenharia.com.br</t>
  </si>
  <si>
    <t>danilo.zanatta@eqseng.com.br</t>
  </si>
  <si>
    <t>DARCI CASARA</t>
  </si>
  <si>
    <t>darci.ms@eqsengenharia.com.br</t>
  </si>
  <si>
    <t>darlan@eqsengenharia.com.br</t>
  </si>
  <si>
    <t>davidspereira92@gmail.com</t>
  </si>
  <si>
    <t>deise@eqsengenharia.com.br</t>
  </si>
  <si>
    <t>demetriusgiangrossi@gmail.com</t>
  </si>
  <si>
    <t>denilsodidone@gmail.com</t>
  </si>
  <si>
    <t>denis.silva@eqsengenharia.com.br</t>
  </si>
  <si>
    <t>dhiego.diniz@eqsengenharia.com.br</t>
  </si>
  <si>
    <t>diegoalcan@hotmail.com</t>
  </si>
  <si>
    <t>diego.jesus_92@hotmail.com</t>
  </si>
  <si>
    <t>diego.grime@gmail.com</t>
  </si>
  <si>
    <t>diegojpudi@hotmail.com</t>
  </si>
  <si>
    <t>dionatan.conceito@gmail.com</t>
  </si>
  <si>
    <t>DIORGENES PICONI SAPATEIRO</t>
  </si>
  <si>
    <t>diorgines.sapateiro@eqsengenharia.com.br</t>
  </si>
  <si>
    <t>divanmiroma@gmail.com</t>
  </si>
  <si>
    <t>DJENIFER GABRIELE AVILA FREDERICH</t>
  </si>
  <si>
    <t>djenifer.frederich@eqsengenharia.com.br</t>
  </si>
  <si>
    <t>djony254@gmail.com</t>
  </si>
  <si>
    <t>dmitri92silva@gmail.com</t>
  </si>
  <si>
    <t>dominique.souza@eqseng.com.br</t>
  </si>
  <si>
    <t>DOUGLAS.BARBOSA.PRO@GMAIL.COM</t>
  </si>
  <si>
    <t>DOUGLAS BRITO FERREIRA</t>
  </si>
  <si>
    <t>aluno2165@gmail.com</t>
  </si>
  <si>
    <t>bruckdoug@gmail.com</t>
  </si>
  <si>
    <t>odouglastiago@gmail.com</t>
  </si>
  <si>
    <t>tecnicodouglas@live.com</t>
  </si>
  <si>
    <t>drywtop@outlook.com</t>
  </si>
  <si>
    <t>DYONES ONOFRE HORACIO DE OLIVEIRA</t>
  </si>
  <si>
    <t>mdmargoso@yahoo.com.br</t>
  </si>
  <si>
    <t>edercarvalho@eqsengenharia.com.br</t>
  </si>
  <si>
    <t>eder.medici@gmail.com</t>
  </si>
  <si>
    <t>Ederson_tjmsn@hotmail.com</t>
  </si>
  <si>
    <t>strelowederson@gmail.com</t>
  </si>
  <si>
    <t>ede_dutra@hotmail.com</t>
  </si>
  <si>
    <t>ediberto@eqseng.com.br</t>
  </si>
  <si>
    <t>cristiana.zimmermann@eqsengenharia.com.br</t>
  </si>
  <si>
    <t>EDINALDO LEAL DE SOUZA</t>
  </si>
  <si>
    <t>edinaldo.souza@eqsengenharia.com.br</t>
  </si>
  <si>
    <t>edipo.barreto@eqsengenharia.com.br</t>
  </si>
  <si>
    <t>edisonfgoncalves@gmail.com</t>
  </si>
  <si>
    <t>edmar.cardoso@eqsengenharia.com.br</t>
  </si>
  <si>
    <t>edmar@eqsengenharia.com.br</t>
  </si>
  <si>
    <t>EDNALDOALMEIDA.NI@GMAIL.COM</t>
  </si>
  <si>
    <t>ednei.santana@eqsengenharia.com.br</t>
  </si>
  <si>
    <t>CALITHOMAZ.EDSON@HOTMAIL.COM</t>
  </si>
  <si>
    <t>edsondellin@yahoo.com.br</t>
  </si>
  <si>
    <t>EDSON ROBERTO SPULDARI</t>
  </si>
  <si>
    <t>edson.spuldari@eqseng.com.br</t>
  </si>
  <si>
    <t>edson.silveira@eqsengenharia.com.br</t>
  </si>
  <si>
    <t>eduardo.silva@eqsengenharia.com.br</t>
  </si>
  <si>
    <t>eduardo.bonin@eqsengenharia.com.br</t>
  </si>
  <si>
    <t>eduardo.santos@eqsengenharia.com.br</t>
  </si>
  <si>
    <t>eliandrobruning@hotmail.com</t>
  </si>
  <si>
    <t>eliesertecvicen@gmail.com</t>
  </si>
  <si>
    <t>elio@eqsengenharia.com.br</t>
  </si>
  <si>
    <t>elisa.schneider@eqsengenharia.com.br</t>
  </si>
  <si>
    <t>eloi@eqsengenharia.com.br</t>
  </si>
  <si>
    <t>ELSON CARLOS SIMAO</t>
  </si>
  <si>
    <t>elsonsimao21@outlook.com</t>
  </si>
  <si>
    <t>emerson1002barros@gmail.com</t>
  </si>
  <si>
    <t>EMERSON ROMARIO ROMERO MARTINS</t>
  </si>
  <si>
    <t>emerson.r.r.martins@gmail.com</t>
  </si>
  <si>
    <t>enzio.mota@eqsengenharia.com.br</t>
  </si>
  <si>
    <t>erasmopemo@gmail.com</t>
  </si>
  <si>
    <t>matosbrunomatos89@gmail.com</t>
  </si>
  <si>
    <t>ericsonjucap@gmail.com</t>
  </si>
  <si>
    <t>erivan.gomes@eqseng.com.br</t>
  </si>
  <si>
    <t>everson@eqsengenharia.com.br</t>
  </si>
  <si>
    <t>eversonesteves7@gmail.com</t>
  </si>
  <si>
    <t>everton.loureto@eqsengenharia.com.br</t>
  </si>
  <si>
    <t>FABIANA CAMILA BARBOSA DE MORAES LIMA</t>
  </si>
  <si>
    <t>fabiana.lima@eqsengenharia.com.br</t>
  </si>
  <si>
    <t>fabianolitter@gmail.com</t>
  </si>
  <si>
    <t>fabio.pereira@eqsengenharia.com.br</t>
  </si>
  <si>
    <t>FABIOLIMA01@YAHOO.COM.BR</t>
  </si>
  <si>
    <t>fabio.hidelma@gmail.com</t>
  </si>
  <si>
    <t>FABIO HENRIQUE PECORARI CRUZ</t>
  </si>
  <si>
    <t>fabiohenriquepcruz@gmail.com</t>
  </si>
  <si>
    <t>fabinhomborges0304@gmail.com</t>
  </si>
  <si>
    <t>FABIO NOGUEIRA PEIXOTO</t>
  </si>
  <si>
    <t>fabio.peixoto@eqsengenharia.com.br</t>
  </si>
  <si>
    <t>provesi85@gmail.com</t>
  </si>
  <si>
    <t>frj3455@gmail.com</t>
  </si>
  <si>
    <t>fscsantos82@yahoo.com.br</t>
  </si>
  <si>
    <t>FAUSTO SOARES DE MATOS</t>
  </si>
  <si>
    <t>fausto.matos@eqseng.com.br</t>
  </si>
  <si>
    <t>felipe.albuquerque@eqsengenharia.com.br</t>
  </si>
  <si>
    <t>felipe.fontan@eqsengenharia.com.br</t>
  </si>
  <si>
    <t>FELIPE-BRITTO@HOTMAIL.COM</t>
  </si>
  <si>
    <t>FELIPE RAFAEL SUMBAK DE MATOS</t>
  </si>
  <si>
    <t>felipesumback1993@gmail.com</t>
  </si>
  <si>
    <t>fernanda@eqsengenharia.com.br</t>
  </si>
  <si>
    <t>Gestor Financeiro</t>
  </si>
  <si>
    <t>FERNANDO DE MELO</t>
  </si>
  <si>
    <t>ffernandinhodmelo@gmail.com</t>
  </si>
  <si>
    <t>fernando.duarte@eqsengenharia.com.br</t>
  </si>
  <si>
    <t>flavioferreirads@yahoo.com.br</t>
  </si>
  <si>
    <t>flavio.fernandes@eqsengenharia.com.br</t>
  </si>
  <si>
    <t>flavio.romero@eqsengenharia.com.br</t>
  </si>
  <si>
    <t>flaviopatrono77@gmail.com</t>
  </si>
  <si>
    <t>francielly.andrade@outlook.com</t>
  </si>
  <si>
    <t>b.francimario@yahoo.com</t>
  </si>
  <si>
    <t>francinildo.araujo@eqsengenharia.com.br</t>
  </si>
  <si>
    <t>francione.souza.lucena@gmail.com</t>
  </si>
  <si>
    <t>francisca.portela@eqsengenharia.com.br</t>
  </si>
  <si>
    <t>FRANCISCO ERICO FRANCA DE SOUSA</t>
  </si>
  <si>
    <t>francisco.franca@eqsengenharia.com.br</t>
  </si>
  <si>
    <t>MICHAEL_CFERNANDES@HOTMAIL.COM</t>
  </si>
  <si>
    <t>FRANCISCO REINALDO DE ALCANTARA SILVA</t>
  </si>
  <si>
    <t>franciscoreinaldo1970@gmail.com</t>
  </si>
  <si>
    <t>francisco.ricardosantos@gmail.com</t>
  </si>
  <si>
    <t>franvalsousafv@gmail.com</t>
  </si>
  <si>
    <t>francoafreire@gmail.com</t>
  </si>
  <si>
    <t>frederico.pedroso@eqsengenharia.com.br</t>
  </si>
  <si>
    <t>gabrielegger525@gmail.com</t>
  </si>
  <si>
    <t>gabriel.agnol@eqseng.com.br</t>
  </si>
  <si>
    <t>gmontaniferreira@gmail.com</t>
  </si>
  <si>
    <t>gefersonprichula@gmail.com</t>
  </si>
  <si>
    <t>genisson.ferreira@eqseng.com.br</t>
  </si>
  <si>
    <t>gerson.pereira.gerson@gmail.com</t>
  </si>
  <si>
    <t>gilmar.lacerda@eqsengenharia.com.br</t>
  </si>
  <si>
    <t>gisele.souza@eqsengenharia.com.br</t>
  </si>
  <si>
    <t>GLAUBERTYJOGLAU@HOTMAIL.COM</t>
  </si>
  <si>
    <t>GLAUCIO GONCALVES DE OLIVEIRA</t>
  </si>
  <si>
    <t>glaucio@eqsengenharia.com.br</t>
  </si>
  <si>
    <t>GUILHERME BATISTA DA SILVA</t>
  </si>
  <si>
    <t>guilherme.batista@eqsengenharia.com.br</t>
  </si>
  <si>
    <t>guilherme.medeiros@eqsengenharia.com.br</t>
  </si>
  <si>
    <t>g.ferreira3093@gmail.com</t>
  </si>
  <si>
    <t>guilherme.proenca@eqsengenharia.com.br</t>
  </si>
  <si>
    <t>guilherme.silva@eqsengenharia.com.br</t>
  </si>
  <si>
    <t>gustavodeosorio@hotmail.com</t>
  </si>
  <si>
    <t>gustavorfaria1000@gmail.com</t>
  </si>
  <si>
    <t>hedersilva22@hotmail.com</t>
  </si>
  <si>
    <t>heitormaurmann@gmail.com</t>
  </si>
  <si>
    <t>helder.ferreira@eqsengenharia.com.br</t>
  </si>
  <si>
    <t>helder.ustulin@eqsengenharia.com.br</t>
  </si>
  <si>
    <t>herlandson.matias@eqsengenharia.com.br</t>
  </si>
  <si>
    <t>hiagor.gomes@eqsengenharia.com.br</t>
  </si>
  <si>
    <t>higorlcerqueira@gmail.com</t>
  </si>
  <si>
    <t>hugo.alexandre@eqsengenharia.com.br</t>
  </si>
  <si>
    <t>HUGO DELLA JUSTINA</t>
  </si>
  <si>
    <t>hugo@eqsengenharia.com.br</t>
  </si>
  <si>
    <t>hugoeletric@gmail.com</t>
  </si>
  <si>
    <t>icaro.medeiros5532@gmail.com</t>
  </si>
  <si>
    <t>igorvargas51@gmail.com</t>
  </si>
  <si>
    <t>ilmarfontesvieira@gmail.com</t>
  </si>
  <si>
    <t>inebamporto@yahoo.com.br</t>
  </si>
  <si>
    <t>isabele.silva@eqsengenharia.com.br</t>
  </si>
  <si>
    <t>isaiasnego4@gmail.com</t>
  </si>
  <si>
    <t>isaquehenrique_@hotmail.com</t>
  </si>
  <si>
    <t>Ismael</t>
  </si>
  <si>
    <t>ismael@maistisolucoes.com.br</t>
  </si>
  <si>
    <t>ismael.weber85@gmail.com</t>
  </si>
  <si>
    <t>jackson.silva@eqsengenharia.com.br</t>
  </si>
  <si>
    <t>jacssonmaylon693@gmail.com</t>
  </si>
  <si>
    <t>jaderson.ferreira@eqsengenharia.com.br</t>
  </si>
  <si>
    <t>jaeder.junior@gmail.com</t>
  </si>
  <si>
    <t>jafer.ahmad@eqsengenharia.com.br</t>
  </si>
  <si>
    <t>Jaqueline.pereira@eqsengenharia.com.br</t>
  </si>
  <si>
    <t>jazemir.marques@eqsengenharia.com.br</t>
  </si>
  <si>
    <t>jeanfabiooliverio@gmail.com</t>
  </si>
  <si>
    <t>JEFERSON LUZ FIGUEIREDO</t>
  </si>
  <si>
    <t>JEFERFIG@GMAIL.COM</t>
  </si>
  <si>
    <t>zamproniodasilva@gmail.com</t>
  </si>
  <si>
    <t>Jefferson.silva@eqseng.com.br</t>
  </si>
  <si>
    <t>jeffersonnfreitas.36@gmail.com</t>
  </si>
  <si>
    <t>jessicamirandamedeiros@outlook.com</t>
  </si>
  <si>
    <t>jhefersondiassis@hotmail.com</t>
  </si>
  <si>
    <t>agostinho.eletronica@gmail.com</t>
  </si>
  <si>
    <t>ALEXANDRELIMASJBV@OUTLOOK.COM</t>
  </si>
  <si>
    <t>JGCCOSTA489@GMAIL.COM</t>
  </si>
  <si>
    <t>joaoviana631@gmail.com</t>
  </si>
  <si>
    <t>JOAO FELIPE BAGATIM DIAS PADILHA</t>
  </si>
  <si>
    <t>joaofelipe_10@hotmail.com</t>
  </si>
  <si>
    <t>joao.barbosa@eqsengenharia.com.br</t>
  </si>
  <si>
    <t>joelson.santos@eqsengenharia.com.br</t>
  </si>
  <si>
    <t>joelson001@gmail.com</t>
  </si>
  <si>
    <t>Jcavalcanti2412@gmail.com</t>
  </si>
  <si>
    <t>desplanchesjonas@gmail.com</t>
  </si>
  <si>
    <t>cefmanaus@eqsengenharia.com.br</t>
  </si>
  <si>
    <t>jorge.vargas@eqsengenharia.com.br</t>
  </si>
  <si>
    <t>jorge.cardoso@eqsengenharia.com.br</t>
  </si>
  <si>
    <t>jorge.neto@eqsengenharia.com.br</t>
  </si>
  <si>
    <t>jose.batista@eqsengenharia.com.br</t>
  </si>
  <si>
    <t>avnribeiro@hotmail.com</t>
  </si>
  <si>
    <t>zepradoeqs@gmail.com</t>
  </si>
  <si>
    <t>jose.furlanetto@eqsengenharia.com.br</t>
  </si>
  <si>
    <t>josevazcsl.53@gmail.com</t>
  </si>
  <si>
    <t>nei.engeman@gmail.com</t>
  </si>
  <si>
    <t>josenildodacunha@hotmail.com</t>
  </si>
  <si>
    <t>JOSE ROGERIO DA SILVEIRA CARDOSO JUNIOR</t>
  </si>
  <si>
    <t>juniorrogerio7@gmail.com</t>
  </si>
  <si>
    <t>valdoir@eqseng.com.br</t>
  </si>
  <si>
    <t>jose.felix@eqsengenharia.com.br</t>
  </si>
  <si>
    <t>jose.oliveira@eqsengenharia.com.br</t>
  </si>
  <si>
    <t>joseane.souza@eqsengenharia.com.br</t>
  </si>
  <si>
    <t>juan.amanajas@gmail.com</t>
  </si>
  <si>
    <t>JUDSON JOSE BATISTA MARINHO</t>
  </si>
  <si>
    <t>judson@eqsengenharia.com.br</t>
  </si>
  <si>
    <t>JULIA FRANCISCO MADUREIRA</t>
  </si>
  <si>
    <t>julia.madureira@eqsengenharia.com.br</t>
  </si>
  <si>
    <t>julia.peretti@eqsengenharia.com.br</t>
  </si>
  <si>
    <t>qualidade@eqsengenharia.com.br</t>
  </si>
  <si>
    <t>JULIANO CORDEIRO DOS SANTOS</t>
  </si>
  <si>
    <t>juliano@eqsengenharia.com.br</t>
  </si>
  <si>
    <t>Julianomessiassk8@gmail.com</t>
  </si>
  <si>
    <t>rosbackj@hotmail.com</t>
  </si>
  <si>
    <t>juliorocha160877@gmail.com</t>
  </si>
  <si>
    <t>justino.nogueira@eqsengenharia.com.br</t>
  </si>
  <si>
    <t>marketing@eqsengenharia.com.br</t>
  </si>
  <si>
    <t>kleitontorres@gmail.com</t>
  </si>
  <si>
    <t>lscanabarro@yahoo.com.br</t>
  </si>
  <si>
    <t>LAIS SOARES QUARESMA</t>
  </si>
  <si>
    <t>lais.quaresma@eqseng.com.br</t>
  </si>
  <si>
    <t>lauro.neto@eqsengenharia.com.br</t>
  </si>
  <si>
    <t>leandjaques@gmail.com</t>
  </si>
  <si>
    <t>LEANDROAPSTEFANINI@GMAIL.COM</t>
  </si>
  <si>
    <t>leandroaugustokohl@gmail.com</t>
  </si>
  <si>
    <t>leandrodemenezesassuncao@gmail.com</t>
  </si>
  <si>
    <t>LEANDRO DE PAULA ASSIS</t>
  </si>
  <si>
    <t>leandro.assis@eqseng.com.br</t>
  </si>
  <si>
    <t>leandro@eqsengenharia.com.br</t>
  </si>
  <si>
    <t>leandro.egas@eqseng.com.br</t>
  </si>
  <si>
    <t>leandro.figueredo@eqsengenharia.com.br</t>
  </si>
  <si>
    <t>LEANDRO GUSMAO</t>
  </si>
  <si>
    <t>LEANDRO.GMUNIZ@OUTLOOK.COM</t>
  </si>
  <si>
    <t>leandro.nunes@eqsengenharia.com.br</t>
  </si>
  <si>
    <t>souza@eqsengenharia.com.br</t>
  </si>
  <si>
    <t>leandro.tonani@gmail.com</t>
  </si>
  <si>
    <t>leonardoperacionalstte@gmail.com</t>
  </si>
  <si>
    <t>LEONARDO DE MEDEIROS MARTINS</t>
  </si>
  <si>
    <t>leonardo.martins@eqseng.com.br</t>
  </si>
  <si>
    <t>LEONARDO GONCALVES RIBEIRO FILHO</t>
  </si>
  <si>
    <t>leoeletrica65@gmail.com</t>
  </si>
  <si>
    <t>leonardo_orestes@hotmail.com</t>
  </si>
  <si>
    <t>leuavila@hotmail.com</t>
  </si>
  <si>
    <t>leticia@eqsengenharia.com.br</t>
  </si>
  <si>
    <t>LILIAN SANTOS DA SILVA</t>
  </si>
  <si>
    <t>lilian.silva@eqsengenharia.com.br</t>
  </si>
  <si>
    <t>lisandro.123silva@gmail.com</t>
  </si>
  <si>
    <t>loibatistaantunessaraiva@gmail.com</t>
  </si>
  <si>
    <t>luan.silva@eqseng.com.br</t>
  </si>
  <si>
    <t>lucasdepaulasilva2411@gmail.com</t>
  </si>
  <si>
    <t>lucas.bernado@eqseng.com.br</t>
  </si>
  <si>
    <t>lucas.santos@eqsengenharia.com.br</t>
  </si>
  <si>
    <t>lucas1.cta1@gmail.com</t>
  </si>
  <si>
    <t>lucas_pe18@hotmail.com</t>
  </si>
  <si>
    <t>lucas.galvao@eqsengenharia.com.br</t>
  </si>
  <si>
    <t>luciana.silva@eqsengenharia.com.br</t>
  </si>
  <si>
    <t>lucianoreal13@gmail.com</t>
  </si>
  <si>
    <t>lucianoljc@hotmail.com</t>
  </si>
  <si>
    <t>luciano.pereira@eqseng.com.br</t>
  </si>
  <si>
    <t>ludgeroh@gmail.com</t>
  </si>
  <si>
    <t>luis.broering@eqsengenharia.com.br</t>
  </si>
  <si>
    <t>lgsanttt@hotmail.com</t>
  </si>
  <si>
    <t>luis.felipe.1992@gmail.com</t>
  </si>
  <si>
    <t>luisbuhll@gmail.com</t>
  </si>
  <si>
    <t>LUIZ CARLOS NETO</t>
  </si>
  <si>
    <t>luizcarlosnetto@yahoo.com.br</t>
  </si>
  <si>
    <t>luizclaudior7@hotmail.com</t>
  </si>
  <si>
    <t>fernandolwt@gmail.com</t>
  </si>
  <si>
    <t>luiz.giorgio@eqseng.com.br</t>
  </si>
  <si>
    <t>luizhumbertolemes@outlook.com</t>
  </si>
  <si>
    <t>luiz.silva@eqsengenharia.com.br</t>
  </si>
  <si>
    <t>LUZINETH DA COSTA MARINHO</t>
  </si>
  <si>
    <t>luzineth.marinho@eqsengenharia.com.br</t>
  </si>
  <si>
    <t>MANOEL QUIRINO NETO</t>
  </si>
  <si>
    <t>eletricmano@gmail.com</t>
  </si>
  <si>
    <t>marcel.hcssa@gmail.com</t>
  </si>
  <si>
    <t>eng.marcelgomes@gmail.com</t>
  </si>
  <si>
    <t>carvalho.marcelalt@gmail.com</t>
  </si>
  <si>
    <t>MARCELO BEZERRA</t>
  </si>
  <si>
    <t>marcelo.bezerra@eqsengenharia.com.br</t>
  </si>
  <si>
    <t>marcelo.calixtro@eqseng.com.br</t>
  </si>
  <si>
    <t>marcelo.silva@eqsengenharia.com.br</t>
  </si>
  <si>
    <t>marcelo.calvertti@eqsengenharia.com.br</t>
  </si>
  <si>
    <t>marcelo.vedova@yahoo.com.br</t>
  </si>
  <si>
    <t>MARCELO DOS SANTOS SECCO</t>
  </si>
  <si>
    <t>marcelo.secco@eqseng.com.br</t>
  </si>
  <si>
    <t>marcelo.argemon@eqseng.com.br</t>
  </si>
  <si>
    <t>marcelo.teixeira@eqseng.com.br</t>
  </si>
  <si>
    <t>marcelo.junior@eqsengenharia.com.br</t>
  </si>
  <si>
    <t>mpllima13@gmail.com</t>
  </si>
  <si>
    <t>MARCELO VINICIUS GOUVEA</t>
  </si>
  <si>
    <t>marcelo.gouvea@ymail.com</t>
  </si>
  <si>
    <t>marcia.s@eqsengenharia.com.br</t>
  </si>
  <si>
    <t>marcio.ferreira@eqseng.com.br</t>
  </si>
  <si>
    <t>marcio.ribeiro@eqsengenharia.com.br</t>
  </si>
  <si>
    <t>marcio.correa@eqsengenharia.com.br</t>
  </si>
  <si>
    <t>marcio.joao@eqsengenharia.com.br</t>
  </si>
  <si>
    <t>mkmanutencao10@gmail.com</t>
  </si>
  <si>
    <t>051998306818m@gmail.com</t>
  </si>
  <si>
    <t>marco.lima@eqsengenharia.com.br</t>
  </si>
  <si>
    <t>MARCOS AURELIO CARIAS ASSIS</t>
  </si>
  <si>
    <t>marcos@eqsengenharia.com.br</t>
  </si>
  <si>
    <t>schultzmarcos@yahoo.com.br</t>
  </si>
  <si>
    <t>MARCOS RAIMUNDO DA COSTA</t>
  </si>
  <si>
    <t>marcos10rdc@gmail.com</t>
  </si>
  <si>
    <t>seger@eqsengenharia.com.br</t>
  </si>
  <si>
    <t>maria.neves@eqsengenharia.com.br</t>
  </si>
  <si>
    <t>maria.aragao@eqsengenharia.com.br</t>
  </si>
  <si>
    <t>MARIA EDUARDA DE JESUS TAVARES</t>
  </si>
  <si>
    <t>maria.tavares@eqsengenharia.com.br</t>
  </si>
  <si>
    <t>MATEUS DANTAS MIRANDA</t>
  </si>
  <si>
    <t>mateus.miranda@eqsengenharia.com.br</t>
  </si>
  <si>
    <t>mateus.bertol@yahoo.com.br</t>
  </si>
  <si>
    <t>matheus.guimaraes@eqseng.com.br</t>
  </si>
  <si>
    <t>MATHEUS LEANDRO BARROSO</t>
  </si>
  <si>
    <t>matheus.barrosoengcivil@gmail.com</t>
  </si>
  <si>
    <t>MAURICIO CACERES</t>
  </si>
  <si>
    <t>mauricio.caceres@eqseng.com.br</t>
  </si>
  <si>
    <t>mauriciosuperfrio02@gmail.com</t>
  </si>
  <si>
    <t>mauricio.camargo@eqseng.com.br</t>
  </si>
  <si>
    <t>maurocerino2013@hotmail.com</t>
  </si>
  <si>
    <t>mauro.saugo@gmail.com</t>
  </si>
  <si>
    <t>melsocezar@gmail.com</t>
  </si>
  <si>
    <t>MESSIAS MAIA LIMA</t>
  </si>
  <si>
    <t>messiasmaia487@gmail.com</t>
  </si>
  <si>
    <t>michael.santos@eqseng.com.br</t>
  </si>
  <si>
    <t>michel.venancio29@gmail.com</t>
  </si>
  <si>
    <t>MICHEL RODRIGUES FIALHO</t>
  </si>
  <si>
    <t>rodrigues.michel82@gmail.com</t>
  </si>
  <si>
    <t>michellmvs@gmail.com</t>
  </si>
  <si>
    <t>mjdmota@gmail.com</t>
  </si>
  <si>
    <t>milton.pitrowski@eqseng.com.br</t>
  </si>
  <si>
    <t>moises.cabral@eqsengenharia.com.br</t>
  </si>
  <si>
    <t>MONICA DE MORAIS BARROS RABELO</t>
  </si>
  <si>
    <t>monicaicm@yahoo.com.br</t>
  </si>
  <si>
    <t>murilo.almeida@eqsengenharia.com.br</t>
  </si>
  <si>
    <t>nedson.veloso@eqseng.com.br</t>
  </si>
  <si>
    <t>NELSON MOURA RIBEIRO</t>
  </si>
  <si>
    <t>nelson.ribeiro@eqsengenharia.com.br</t>
  </si>
  <si>
    <t>nertancastromaia@gmail.com</t>
  </si>
  <si>
    <t>neudoengeman@gmail.com</t>
  </si>
  <si>
    <t>NILSON FERREIRA DAMASCENO</t>
  </si>
  <si>
    <t>nilferrer49@gmail.com</t>
  </si>
  <si>
    <t>nilton.farias@eqseng.com.br</t>
  </si>
  <si>
    <t>niltondepaoli@gmail.com</t>
  </si>
  <si>
    <t>thiagonival@hotmail.com</t>
  </si>
  <si>
    <t>NORMAMCP2012@GMAIL.COM</t>
  </si>
  <si>
    <t>odairsoares.chocolate@gmail.com</t>
  </si>
  <si>
    <t>oreste.junior@eqseng.com.br</t>
  </si>
  <si>
    <t>oscar.palaro22@gmail.com</t>
  </si>
  <si>
    <t>osmanjunior@hotmail.com</t>
  </si>
  <si>
    <t>PABLO VICTOR VELINSK</t>
  </si>
  <si>
    <t>welinski52@gmail.com</t>
  </si>
  <si>
    <t>paloma.spinola@eqsengenharia.com.br</t>
  </si>
  <si>
    <t>paolacarolini@hotmail.com</t>
  </si>
  <si>
    <t>patrickantonievicz@gmail.com</t>
  </si>
  <si>
    <t>PATRICK DAUSSEN</t>
  </si>
  <si>
    <t>patrick@eqsengenharia.com.br</t>
  </si>
  <si>
    <t>PATRICK FERNANDO GOULART ALVES</t>
  </si>
  <si>
    <t>poctc@hotmail.com</t>
  </si>
  <si>
    <t>pamorim22@gmail.com</t>
  </si>
  <si>
    <t>paulo.brito@eqseng.com.br</t>
  </si>
  <si>
    <t>paulomarquestavares2019@gmail.com</t>
  </si>
  <si>
    <t>paulonilton.costa@gmail.com</t>
  </si>
  <si>
    <t>PAULO RICARDO WAETGE BELOTTI</t>
  </si>
  <si>
    <t>paulo.belotti@eqsengenharia.com.br</t>
  </si>
  <si>
    <t>tiagoomoi@gmail.com</t>
  </si>
  <si>
    <t>PEDRO HENRIQUE MARTINS BOTELHO</t>
  </si>
  <si>
    <t>pedro.botelho@eqsengenharia.com.br</t>
  </si>
  <si>
    <t>terpiprs@hotmail.com</t>
  </si>
  <si>
    <t>priscila.pereira@eqsengenharia.com.br</t>
  </si>
  <si>
    <t>rafael.vello@eqsengenharia.com.br</t>
  </si>
  <si>
    <t>carnielrafael3@gmail.com</t>
  </si>
  <si>
    <t>rafael.dornelles@eqseng.com.br</t>
  </si>
  <si>
    <t>rafael_natal_lachi@hotmail.com</t>
  </si>
  <si>
    <t>RAFAEL OLIVEIRA CANTANHEDE</t>
  </si>
  <si>
    <t>rocantanhede@yahoo.com.br</t>
  </si>
  <si>
    <t>rafael.cruz@eqsengenharia.com.br</t>
  </si>
  <si>
    <t>rafael.moura@eqsengenharia.com.br</t>
  </si>
  <si>
    <t>RAFAEL SILVA DA FONSECA</t>
  </si>
  <si>
    <t>rafael.fonseca@eqsengenharia.com.br</t>
  </si>
  <si>
    <t>RAFEL26@HOTMAIL.COM</t>
  </si>
  <si>
    <t>ramony.silva@eqsengenharia.com.br</t>
  </si>
  <si>
    <t>raquel.pantoja@eqsengenharia.com.br</t>
  </si>
  <si>
    <t>adriano_rsraul@outlook.com</t>
  </si>
  <si>
    <t>RENATA PALMA LEAL</t>
  </si>
  <si>
    <t>renata.leal@eqseng.com.br</t>
  </si>
  <si>
    <t>renato.parreiras@eqsengenharia.com.br</t>
  </si>
  <si>
    <t>RENATO PEREIRA DA SILVA</t>
  </si>
  <si>
    <t>renatthor26@gmail.com</t>
  </si>
  <si>
    <t>ricardo.dorneles@eqseng.com.br</t>
  </si>
  <si>
    <t>ricardo.filho@eqseng.com.br</t>
  </si>
  <si>
    <t>ricardo.luiz@eqseng.com.br</t>
  </si>
  <si>
    <t>ricazorzetto@gmail.com</t>
  </si>
  <si>
    <t>robert.caetano@eqsengenharia.com.br</t>
  </si>
  <si>
    <t>roberto.aliaga@eqsengenharia.com.br</t>
  </si>
  <si>
    <t>robertodominguespereira@outlook.com</t>
  </si>
  <si>
    <t>robsondaluzdasilva@hotmail.com</t>
  </si>
  <si>
    <t>robson.guedes@eqseng.com.br</t>
  </si>
  <si>
    <t>robsonfurtado3284@gmail.com</t>
  </si>
  <si>
    <t>rodrigo.balestrin@eqseng.com.br</t>
  </si>
  <si>
    <t>rodrigo.boldo@eqsengenharia.com.br</t>
  </si>
  <si>
    <t>RODRIGO BORGES MIOTTA</t>
  </si>
  <si>
    <t>rodrigo.miotta@eqsengenharia.com.br</t>
  </si>
  <si>
    <t>rodrigocesar@eqseng.com.br</t>
  </si>
  <si>
    <t>rodrigo.equisul@hotmail.com</t>
  </si>
  <si>
    <t>rodrigo.fran.correa@gmail.com</t>
  </si>
  <si>
    <t>rodrigo@eqsengenharia.com.br</t>
  </si>
  <si>
    <t>RODRIGO MACHADO MOTTA</t>
  </si>
  <si>
    <t>r3motta.rm@gmail.com</t>
  </si>
  <si>
    <t>RODRIGORIOSVELOSO@HOTMAIL.COM</t>
  </si>
  <si>
    <t>rodrigo.roberto@eqseng.com.br</t>
  </si>
  <si>
    <t>rodrigosc@eqseng.com.br</t>
  </si>
  <si>
    <t>rodrigo.santosdasilva@gmail.com</t>
  </si>
  <si>
    <t>rodrigo.vanzetta@eqsengenharia.com.br</t>
  </si>
  <si>
    <t>rogerio.oliveira@eqsengenharia.com.br</t>
  </si>
  <si>
    <t>rogerio.s@eqsengenharia.com.br</t>
  </si>
  <si>
    <t>ronaldo.carvalho@eqsengenharia.com.br</t>
  </si>
  <si>
    <t>ronaldo.lelis@eqsengenharia.com.br</t>
  </si>
  <si>
    <t>RONALDO NEIVA DA SILVA PACHECO</t>
  </si>
  <si>
    <t>ronesipa81@gmail.com</t>
  </si>
  <si>
    <t>ronaldorsantana@gmail.com</t>
  </si>
  <si>
    <t>roniojoserosa@gmail.com</t>
  </si>
  <si>
    <t>SAMUEL LEAL DE SOUZA</t>
  </si>
  <si>
    <t>samuelsouza@eqsengenharia.com.br</t>
  </si>
  <si>
    <t>sandra.machado@eqsengenharia.com.br</t>
  </si>
  <si>
    <t>sandro.barreto@eqsengenharia.com.br</t>
  </si>
  <si>
    <t>capistrano@eqseng.com.br</t>
  </si>
  <si>
    <t>SANDRO LUIZ NASCIMENTO</t>
  </si>
  <si>
    <t>bbbnu@eqseng.com.br</t>
  </si>
  <si>
    <t>SANDRO QUITERIO LOPES DOS SANTOS</t>
  </si>
  <si>
    <t>sandroquiteriolopes@gmail.com</t>
  </si>
  <si>
    <t>sara.barbosa@eqseng.com.br</t>
  </si>
  <si>
    <t>sauloap30@gmail.com</t>
  </si>
  <si>
    <t>sergio.debiazi@eqseng.com.br</t>
  </si>
  <si>
    <t>SERGIO LUIS DA COSTA</t>
  </si>
  <si>
    <t>sergioeqs@outlook.com</t>
  </si>
  <si>
    <t>sidneimachado1979@gmail.com</t>
  </si>
  <si>
    <t>silmara@eqsengenharia.com.br</t>
  </si>
  <si>
    <t>SILVALE DA SILVA</t>
  </si>
  <si>
    <t>silvales002@gmail.com</t>
  </si>
  <si>
    <t>silvio.odeli.filho@gmail.com</t>
  </si>
  <si>
    <t>silvio.goes@eqsengenharia.com.br</t>
  </si>
  <si>
    <t>STEPHANIE THAINARA DE OLIVEIRA ROCHA DA COSTA</t>
  </si>
  <si>
    <t>rh.mg@eqsengenharia.com.br</t>
  </si>
  <si>
    <t>thalita.gondim@eqseng.com.br</t>
  </si>
  <si>
    <t>THIAGO BENITES VIEIRA</t>
  </si>
  <si>
    <t>thiago.vieira@eqsengenharia.com.br</t>
  </si>
  <si>
    <t>thiago_vanzeler@hotmail.com</t>
  </si>
  <si>
    <t>duarte@eqsengenharia.com.br</t>
  </si>
  <si>
    <t>thiago.santos@eqseng.com.br</t>
  </si>
  <si>
    <t>thiago@eqsengenharia.com.br</t>
  </si>
  <si>
    <t>thiagolima.benco@gmail.com</t>
  </si>
  <si>
    <t>thiego.oliveira@eqseng.com.br</t>
  </si>
  <si>
    <t>tiagobcamargo8985@gmail.com</t>
  </si>
  <si>
    <t>tiago.branco@eqsengenharia.com.br</t>
  </si>
  <si>
    <t>kaiserclimatizacao@gmail.com</t>
  </si>
  <si>
    <t>TIAGO_JESUS_ARAUJO@HOTMAIL.COM</t>
  </si>
  <si>
    <t>tiagopaiva@eqsengenharia.com.br</t>
  </si>
  <si>
    <t>tiago.oliveira.afe@gmail.com</t>
  </si>
  <si>
    <t>tiago@eqseng.com.br</t>
  </si>
  <si>
    <t>tobiasdc@universo.univates.br</t>
  </si>
  <si>
    <t>tony.ramoscv.123@gmail.com</t>
  </si>
  <si>
    <t>velosoengenhariaeletrica@gmail.com</t>
  </si>
  <si>
    <t>birateixeira@gmail.com</t>
  </si>
  <si>
    <t>ulisses.oliveira@eqsengenharia.com.br</t>
  </si>
  <si>
    <t>valdemir@eqsengenharia.com.br</t>
  </si>
  <si>
    <t>VALDEMIR SOUSA DE OLIVEIRA</t>
  </si>
  <si>
    <t>valdemir.oliveira@eqsengenharia.onmicrosoft.com</t>
  </si>
  <si>
    <t>coutinhodossantosvaldir83@gmail.com</t>
  </si>
  <si>
    <t>valdir.voigt@eqsengenharia.com.br</t>
  </si>
  <si>
    <t>JUNNIORNORONHA9@GMAIL.COM</t>
  </si>
  <si>
    <t>victorcruz2201@gmail.com</t>
  </si>
  <si>
    <t>victor23pb@gmail.com</t>
  </si>
  <si>
    <t>victor@eqseng.com.br</t>
  </si>
  <si>
    <t>VINICIUS CARDOSO LOCATELLY FERREIRA</t>
  </si>
  <si>
    <t>vinicius.go@eqsengenharia.com.br</t>
  </si>
  <si>
    <t>viniciuspeixotobonetti@gmail.com</t>
  </si>
  <si>
    <t>VOLNEI ROGERIO SUNDYN</t>
  </si>
  <si>
    <t>volnei.sundyn@gmail.com</t>
  </si>
  <si>
    <t>WAGNER CAROLINO ALVES FILHO</t>
  </si>
  <si>
    <t>wagner_alves@outlook.com</t>
  </si>
  <si>
    <t>wagner.pereira@eqsengenharia.com.br</t>
  </si>
  <si>
    <t>wagner.gerhardt@eqsengenharia.com.br</t>
  </si>
  <si>
    <t>walternn79@gmail.com</t>
  </si>
  <si>
    <t>walter@eqsengenharia.com.br</t>
  </si>
  <si>
    <t>wanmartinss10@gmail.com</t>
  </si>
  <si>
    <t>welerson.rodrigues@eqsengenharia.com.br</t>
  </si>
  <si>
    <t>WELISON DINALDO FERREIRA DAMASCENO</t>
  </si>
  <si>
    <t>welison19891@gmail.com</t>
  </si>
  <si>
    <t>welltadaniela@bol.com.br</t>
  </si>
  <si>
    <t>wellingtonaguiar205@gmail.com</t>
  </si>
  <si>
    <t>geraldowelton1@gmail.com</t>
  </si>
  <si>
    <t>wesley.daiane@hotmail.com</t>
  </si>
  <si>
    <t>wesleygabriel30@hotmail.com</t>
  </si>
  <si>
    <t>wilkinson.barbosa@gmail.com</t>
  </si>
  <si>
    <t>williammartelet@gmail.com</t>
  </si>
  <si>
    <t>teixeira.will@gmail.com</t>
  </si>
  <si>
    <t>william.nunes@eqsengenharia.com.br</t>
  </si>
  <si>
    <t>wilson.campos@eqseng.com.br</t>
  </si>
  <si>
    <t>wilson.cabral@eqsengenharia.com.br</t>
  </si>
  <si>
    <t>Rótulos de Linha</t>
  </si>
  <si>
    <t>Total Geral</t>
  </si>
  <si>
    <t>ANSELMO VENTURI</t>
  </si>
  <si>
    <t>anselmoventuri@gmail.com</t>
  </si>
  <si>
    <t>CASSIO HENRIQUE ALBUQUERQUE DA SILVA</t>
  </si>
  <si>
    <t>cassio19albuquerque@gmail.com</t>
  </si>
  <si>
    <t>EDSON DE SOUSA ARAUJO</t>
  </si>
  <si>
    <t>ed-0891@hotmail.com</t>
  </si>
  <si>
    <t>ilmarfotesvieira@gmail.com</t>
  </si>
  <si>
    <t>JACKSON CAROLINO CARNEIRO</t>
  </si>
  <si>
    <t>jackson.carolino@gmail.com</t>
  </si>
  <si>
    <t>Jakcson.silva@eqsengenharia.com.br</t>
  </si>
  <si>
    <t>JONATAS DA ROSA DE OLIVEIRA</t>
  </si>
  <si>
    <t>jonatas140887@outlook.com</t>
  </si>
  <si>
    <t>JOSE CARLOS FERREIRA DE MEDEIROS</t>
  </si>
  <si>
    <t>romarinhocarlos@hotmail.com</t>
  </si>
  <si>
    <t>marciascatambulo@hotmail.com</t>
  </si>
  <si>
    <t>terpiprs@hotmail.com.br</t>
  </si>
  <si>
    <t>RAFAEL AUDELIR KOCHE</t>
  </si>
  <si>
    <t>rafael.koche@yahoo.com.br</t>
  </si>
  <si>
    <t>CARTÃO</t>
  </si>
  <si>
    <t>AGILLITAS</t>
  </si>
  <si>
    <t>Situação cpf</t>
  </si>
  <si>
    <t>situação nome</t>
  </si>
  <si>
    <t>CARTAO VALIDACAO</t>
  </si>
  <si>
    <t>02027745203</t>
  </si>
  <si>
    <t>07505987607</t>
  </si>
  <si>
    <t>JOSE ROBERTO DA SILVA FREIRE</t>
  </si>
  <si>
    <t>54229464134</t>
  </si>
  <si>
    <t>-</t>
  </si>
  <si>
    <t>INATIVO</t>
  </si>
  <si>
    <t>65973500225</t>
  </si>
  <si>
    <t>01767960107</t>
  </si>
  <si>
    <t>LEUSAFFAN GUSTAVO DE SIQUEIRA</t>
  </si>
  <si>
    <t>09502929667</t>
  </si>
  <si>
    <t>00526143959</t>
  </si>
  <si>
    <t>11992259755</t>
  </si>
  <si>
    <t>11897381638</t>
  </si>
  <si>
    <t>22730778829</t>
  </si>
  <si>
    <t>14829137711</t>
  </si>
  <si>
    <t>82277206172</t>
  </si>
  <si>
    <t>05456615959</t>
  </si>
  <si>
    <t>07690263623</t>
  </si>
  <si>
    <t>ISA CARLA DE OLIVEIRA LOPES</t>
  </si>
  <si>
    <t>06085235429</t>
  </si>
  <si>
    <t>RENATO DIAS DOS SANTOS</t>
  </si>
  <si>
    <t>03498210114</t>
  </si>
  <si>
    <t>91270529072</t>
  </si>
  <si>
    <t>34857901846</t>
  </si>
  <si>
    <t>94288259053</t>
  </si>
  <si>
    <t>FLASH</t>
  </si>
  <si>
    <t>VINICIUS ALVES VIEIRA</t>
  </si>
  <si>
    <t>EXCLUIR</t>
  </si>
  <si>
    <t>CARLOS AUGUSTO ALVES CAVALCANTI</t>
  </si>
  <si>
    <t>34168918807</t>
  </si>
  <si>
    <t>08326260401</t>
  </si>
  <si>
    <t>14084321613</t>
  </si>
  <si>
    <t>JOSÉ LUIS TERRIBILE</t>
  </si>
  <si>
    <t>65009304015</t>
  </si>
  <si>
    <t>05144026958</t>
  </si>
  <si>
    <t>01419704648</t>
  </si>
  <si>
    <t>07021071400</t>
  </si>
  <si>
    <t>07747008406</t>
  </si>
  <si>
    <t>80616232004</t>
  </si>
  <si>
    <t>03031202902</t>
  </si>
  <si>
    <t>INCLUIR</t>
  </si>
  <si>
    <t>10433881844</t>
  </si>
  <si>
    <t>11401604609</t>
  </si>
  <si>
    <t>09276240446</t>
  </si>
  <si>
    <t>94551804304</t>
  </si>
  <si>
    <t>09407167631</t>
  </si>
  <si>
    <t>ALISON ALVES DOS SANTOS</t>
  </si>
  <si>
    <t>05766838760</t>
  </si>
  <si>
    <t>01553544692</t>
  </si>
  <si>
    <t>01310014264</t>
  </si>
  <si>
    <t>00049250256</t>
  </si>
  <si>
    <t>99062208649</t>
  </si>
  <si>
    <t>08496764605</t>
  </si>
  <si>
    <t>CONTA ENCERRADA</t>
  </si>
  <si>
    <t>NÃO</t>
  </si>
  <si>
    <t>00635358077</t>
  </si>
  <si>
    <t>WEVERSON SANTANA SILVA</t>
  </si>
  <si>
    <t>03528389907</t>
  </si>
  <si>
    <t>05136678909</t>
  </si>
  <si>
    <t>11764705661</t>
  </si>
  <si>
    <t>DAVID WILSON SILVA DOS SANTOS</t>
  </si>
  <si>
    <t>04836584990</t>
  </si>
  <si>
    <t>62063774072</t>
  </si>
  <si>
    <t>60572957149</t>
  </si>
  <si>
    <t>11422891844</t>
  </si>
  <si>
    <t>77283759204</t>
  </si>
  <si>
    <t>98808559068</t>
  </si>
  <si>
    <t>CRISTIANE ANTUNES DA SILVA</t>
  </si>
  <si>
    <t>07193849743</t>
  </si>
  <si>
    <t>08492402989</t>
  </si>
  <si>
    <t>07060404902</t>
  </si>
  <si>
    <t>05522199679</t>
  </si>
  <si>
    <t>12682517633</t>
  </si>
  <si>
    <t>04471244981</t>
  </si>
  <si>
    <t>88367550978</t>
  </si>
  <si>
    <t>05492458981</t>
  </si>
  <si>
    <t>34596010862</t>
  </si>
  <si>
    <t>79248160387</t>
  </si>
  <si>
    <t>05864921947</t>
  </si>
  <si>
    <t>THAMIRES AURIENE SANTOS DE SOUZA</t>
  </si>
  <si>
    <t>06911519624</t>
  </si>
  <si>
    <t>JEAN SORTICA DOS SANTOS</t>
  </si>
  <si>
    <t>03363725906</t>
  </si>
  <si>
    <t>90443306087</t>
  </si>
  <si>
    <t>69010544915</t>
  </si>
  <si>
    <t>08940522680</t>
  </si>
  <si>
    <t>03066906086</t>
  </si>
  <si>
    <t>WALTER FRANCISCO PIRES</t>
  </si>
  <si>
    <t>93186460972</t>
  </si>
  <si>
    <t>01543078079</t>
  </si>
  <si>
    <t>FABIANO RODRIGUES DA SILVA</t>
  </si>
  <si>
    <t>03816889689</t>
  </si>
  <si>
    <t>12547938790</t>
  </si>
  <si>
    <t>00312735057</t>
  </si>
  <si>
    <t>08924586904</t>
  </si>
  <si>
    <t>16306431730</t>
  </si>
  <si>
    <t>03377983112</t>
  </si>
  <si>
    <t>EXcluir</t>
  </si>
  <si>
    <t>01696239478</t>
  </si>
  <si>
    <t>ROGERIO SILVA DOS SANTOS</t>
  </si>
  <si>
    <t>01723092550</t>
  </si>
  <si>
    <t>FABRICIO AFONSO COUTO</t>
  </si>
  <si>
    <t>84743603404</t>
  </si>
  <si>
    <t>09416352799</t>
  </si>
  <si>
    <t>01755089090</t>
  </si>
  <si>
    <t>AURELIO DE LUCA MIRANDA</t>
  </si>
  <si>
    <t>01565661338</t>
  </si>
  <si>
    <t>86016172049</t>
  </si>
  <si>
    <t>47331178253</t>
  </si>
  <si>
    <t>10531222926</t>
  </si>
  <si>
    <t>35575473880</t>
  </si>
  <si>
    <t>02474960902</t>
  </si>
  <si>
    <t>29157549850</t>
  </si>
  <si>
    <t>AMANDA ALVES MENDES</t>
  </si>
  <si>
    <t>01299509126</t>
  </si>
  <si>
    <t>45666792172</t>
  </si>
  <si>
    <t>04252409160</t>
  </si>
  <si>
    <t>EDER DA SILVA</t>
  </si>
  <si>
    <t>12877857603</t>
  </si>
  <si>
    <t>FRANCISCO FERREIRA DE SOUSA</t>
  </si>
  <si>
    <t>14565908719</t>
  </si>
  <si>
    <t>07673610400</t>
  </si>
  <si>
    <t>02679643909</t>
  </si>
  <si>
    <t>67324398049</t>
  </si>
  <si>
    <t>82107130000</t>
  </si>
  <si>
    <t>08103183776</t>
  </si>
  <si>
    <t>09871329970</t>
  </si>
  <si>
    <t>09547476661</t>
  </si>
  <si>
    <t>07809466690</t>
  </si>
  <si>
    <t>UMBERTO DE FRANCA SANTOS</t>
  </si>
  <si>
    <t>85087572634</t>
  </si>
  <si>
    <t>14845816792</t>
  </si>
  <si>
    <t>00053957040</t>
  </si>
  <si>
    <t>02080870017</t>
  </si>
  <si>
    <t>11454991631</t>
  </si>
  <si>
    <t>67094260334</t>
  </si>
  <si>
    <t>FELIPE DE LIMA FERNANDES</t>
  </si>
  <si>
    <t>08519866921</t>
  </si>
  <si>
    <t>04083479965</t>
  </si>
  <si>
    <t>MARIA GABRIELA MEDEIROS DE LUCENA</t>
  </si>
  <si>
    <t>82871396000</t>
  </si>
  <si>
    <t>00508936616</t>
  </si>
  <si>
    <t>02449603050</t>
  </si>
  <si>
    <t>10206563957</t>
  </si>
  <si>
    <t>90539176915</t>
  </si>
  <si>
    <t>05290622675</t>
  </si>
  <si>
    <t>09081639919</t>
  </si>
  <si>
    <t>JEFFERSON BATISTA PEREIRA</t>
  </si>
  <si>
    <t>07414082440</t>
  </si>
  <si>
    <t>01063690080</t>
  </si>
  <si>
    <t>02553373961</t>
  </si>
  <si>
    <t>26992280600</t>
  </si>
  <si>
    <t>08813588607</t>
  </si>
  <si>
    <t>05597823906</t>
  </si>
  <si>
    <t>04938920956</t>
  </si>
  <si>
    <t>FERNANDO CUNHA FONSECA</t>
  </si>
  <si>
    <t>06223031980</t>
  </si>
  <si>
    <t>07646535630</t>
  </si>
  <si>
    <t>20005473896</t>
  </si>
  <si>
    <t>06232824962</t>
  </si>
  <si>
    <t>04614285988</t>
  </si>
  <si>
    <t>33832720871</t>
  </si>
  <si>
    <t>63194252020</t>
  </si>
  <si>
    <t>28604876898</t>
  </si>
  <si>
    <t>04769973993</t>
  </si>
  <si>
    <t>03071605994</t>
  </si>
  <si>
    <t>07722232469</t>
  </si>
  <si>
    <t>27494577858</t>
  </si>
  <si>
    <t>07338782962</t>
  </si>
  <si>
    <t>01969938900</t>
  </si>
  <si>
    <t>98603566020</t>
  </si>
  <si>
    <t>37799797991</t>
  </si>
  <si>
    <t>07105914971</t>
  </si>
  <si>
    <t>00046347054</t>
  </si>
  <si>
    <t>JESSICA CRISTINA DE SOUZA SILVA</t>
  </si>
  <si>
    <t>JEFERSON MELO BOPSIN</t>
  </si>
  <si>
    <t>96610247072</t>
  </si>
  <si>
    <t>07053418952</t>
  </si>
  <si>
    <t>91920795987</t>
  </si>
  <si>
    <t>93457235953</t>
  </si>
  <si>
    <t>02705722955</t>
  </si>
  <si>
    <t>97592439549</t>
  </si>
  <si>
    <t>06285125970</t>
  </si>
  <si>
    <t>69116709004</t>
  </si>
  <si>
    <t>04859818903</t>
  </si>
  <si>
    <t>05769658550</t>
  </si>
  <si>
    <t>00851999077</t>
  </si>
  <si>
    <t>02960685946</t>
  </si>
  <si>
    <t>00011945265</t>
  </si>
  <si>
    <t>05731312958</t>
  </si>
  <si>
    <t>04377268783</t>
  </si>
  <si>
    <t>09983432935</t>
  </si>
  <si>
    <t>GABRIELA SOARES MAXIMO</t>
  </si>
  <si>
    <t>08042929579</t>
  </si>
  <si>
    <t>?</t>
  </si>
  <si>
    <t>06945595633</t>
  </si>
  <si>
    <t>11178519740</t>
  </si>
  <si>
    <t>06439531670</t>
  </si>
  <si>
    <t>HELIO CARLOS HULLER</t>
  </si>
  <si>
    <t>HERMES MOTTA SOARES</t>
  </si>
  <si>
    <t>82638837172</t>
  </si>
  <si>
    <t>44012861549</t>
  </si>
  <si>
    <t>00645883948</t>
  </si>
  <si>
    <t>10137575483</t>
  </si>
  <si>
    <t>07972796955</t>
  </si>
  <si>
    <t>06576357907</t>
  </si>
  <si>
    <t>15322365737</t>
  </si>
  <si>
    <t>PERÍCIA</t>
  </si>
  <si>
    <t>59772280906</t>
  </si>
  <si>
    <t>MATHEUS CORDEIRO DE SOUZA</t>
  </si>
  <si>
    <t>10997447923</t>
  </si>
  <si>
    <t>07214272946</t>
  </si>
  <si>
    <t>62525646991</t>
  </si>
  <si>
    <t>02988581428</t>
  </si>
  <si>
    <t>ZELIO CELITO NUNES JUNIOR</t>
  </si>
  <si>
    <t>94488185991</t>
  </si>
  <si>
    <t>admilsonfarias2016@gmail.com</t>
  </si>
  <si>
    <t>adson.santos@eqsengenharia.com.br</t>
  </si>
  <si>
    <t>ALEXANDRE DOS SANTOS</t>
  </si>
  <si>
    <t>alexandre.dos.santos82@gmail.com</t>
  </si>
  <si>
    <t>alexandre.conceicao@eqsengenharia.com.br</t>
  </si>
  <si>
    <t>ALVARO RAMON PRIMERA CASTILLO</t>
  </si>
  <si>
    <t>primeraalvaro51@gmail.com</t>
  </si>
  <si>
    <t>DANTONIOMARCOS294@GMAIL.COM</t>
  </si>
  <si>
    <t>arthursantos58@live.com</t>
  </si>
  <si>
    <t>artur.santos@eqsengenharia.com.br</t>
  </si>
  <si>
    <t>celso.rogerio@eqsengenharia.com.br</t>
  </si>
  <si>
    <t>charles.m.cavalheiro@gmail.com</t>
  </si>
  <si>
    <t>CINTIA DOS SANTOS RABELO</t>
  </si>
  <si>
    <t>CINTIABORGES53@GMAIL.COM</t>
  </si>
  <si>
    <t>claudemir.moreura054@gmail.com</t>
  </si>
  <si>
    <t>cristiano.anesio@gmail.com</t>
  </si>
  <si>
    <t>david.frigerio@eqsengenharia.com.br</t>
  </si>
  <si>
    <t>deboraaf2017@gmail.com</t>
  </si>
  <si>
    <t>dioneaguiar7@gmail.com</t>
  </si>
  <si>
    <t>divaniarita@yahoo.com.br</t>
  </si>
  <si>
    <t>ederson.pereira@eqseng.com.br</t>
  </si>
  <si>
    <t>ESDRAS SILVA SOUZA</t>
  </si>
  <si>
    <t>esdras.souza@eqsengenharia.com.br</t>
  </si>
  <si>
    <t>flavio.p.souza.prestserv@petrobras.com.br</t>
  </si>
  <si>
    <t>Gaelcabral0@outlook.com</t>
  </si>
  <si>
    <t>gabriel.egger@eqseng.com.br</t>
  </si>
  <si>
    <t>giliandias89@gmail.com</t>
  </si>
  <si>
    <t>giovani.dunnantuoni@eqsengenharia.com.br</t>
  </si>
  <si>
    <t>Heitor Ribeiro de Freitas Oliveira</t>
  </si>
  <si>
    <t>HOL116@HOTMAIL.COM</t>
  </si>
  <si>
    <t>SILVAHIGOR356@GMAIL.COM</t>
  </si>
  <si>
    <t>ITAMARLOPES@GMAIL.COM</t>
  </si>
  <si>
    <t>LOGISTICA@EQSENGENHARIA.COM.BR</t>
  </si>
  <si>
    <t>jaime.silva@eqsengenharia.com.br</t>
  </si>
  <si>
    <t>JWERNER95@OUTLOOK.COM</t>
  </si>
  <si>
    <t>JULIA FIGUEIREDO NECHEL</t>
  </si>
  <si>
    <t>julia.nechel@eqsengenharia.com.br</t>
  </si>
  <si>
    <t>juniovb7@hotmail.com</t>
  </si>
  <si>
    <t>luucascarvalho@outlook.com</t>
  </si>
  <si>
    <t>luis.costa@eqsengenharia.com.br</t>
  </si>
  <si>
    <t>marcela.carvalho@eqsengenharia.com.br</t>
  </si>
  <si>
    <t>MAURELIOMORAES@YAHOO.COM.BR</t>
  </si>
  <si>
    <t>eng.mariomarques@gmail.com</t>
  </si>
  <si>
    <t>SOUZAMATHEUS835@GMAIL.COM</t>
  </si>
  <si>
    <t>mauricio.jose@eqseng.com.br</t>
  </si>
  <si>
    <t>maykon1.bnu@gmail.com</t>
  </si>
  <si>
    <t>paulo92freitas@gmail.com</t>
  </si>
  <si>
    <t>RGTSSA@GMAIL.COM</t>
  </si>
  <si>
    <t>TIAGO TAVARES BARRETO</t>
  </si>
  <si>
    <t>tiago.barreto@eqsengenharia.com.br</t>
  </si>
  <si>
    <t>ueliton.candido@eqsengenharia.com.br</t>
  </si>
  <si>
    <t>VALTERHF@GMAIL.COM</t>
  </si>
  <si>
    <t>victorhugo_mf@outlook.com</t>
  </si>
  <si>
    <t>victoria.barros@eqseng.com.br</t>
  </si>
  <si>
    <t>wesley.dayane@hotmail.com</t>
  </si>
  <si>
    <t>01932662537</t>
  </si>
  <si>
    <t>83058133553</t>
  </si>
  <si>
    <t>82877904091</t>
  </si>
  <si>
    <t>99335220000</t>
  </si>
  <si>
    <t>10132301911</t>
  </si>
  <si>
    <t>09688866717</t>
  </si>
  <si>
    <t>07822591975</t>
  </si>
  <si>
    <t>01170402232</t>
  </si>
  <si>
    <t>13921847621</t>
  </si>
  <si>
    <t>32060157900</t>
  </si>
  <si>
    <t>13459423625</t>
  </si>
  <si>
    <t>85076538553</t>
  </si>
  <si>
    <t>82741980004</t>
  </si>
  <si>
    <t>09867858816</t>
  </si>
  <si>
    <t>12712136640</t>
  </si>
  <si>
    <t>75609444004</t>
  </si>
  <si>
    <t>08609699919</t>
  </si>
  <si>
    <t>92931901091</t>
  </si>
  <si>
    <t>02862032786</t>
  </si>
  <si>
    <t>01066881030</t>
  </si>
  <si>
    <t>04817177900</t>
  </si>
  <si>
    <t>85225720030</t>
  </si>
  <si>
    <t>05289382666</t>
  </si>
  <si>
    <t>06637541435</t>
  </si>
  <si>
    <t>37896893860</t>
  </si>
  <si>
    <t>06311884607</t>
  </si>
  <si>
    <t>05765681719</t>
  </si>
  <si>
    <t>00461757923</t>
  </si>
  <si>
    <t>38548259515</t>
  </si>
  <si>
    <t>91688205004</t>
  </si>
  <si>
    <t>31275798888</t>
  </si>
  <si>
    <t>73574031491</t>
  </si>
  <si>
    <t>04347084102</t>
  </si>
  <si>
    <t>FRANCIELLY FELIX CAVALCANTE DE ANDRADE</t>
  </si>
  <si>
    <t>FRANCISCO CARLOS GULLO DI MARCO</t>
  </si>
  <si>
    <t>05197099771</t>
  </si>
  <si>
    <t>06792773310</t>
  </si>
  <si>
    <t>15226997833</t>
  </si>
  <si>
    <t>41997553813</t>
  </si>
  <si>
    <t>37562230862</t>
  </si>
  <si>
    <t>09199781930</t>
  </si>
  <si>
    <t>04370282918</t>
  </si>
  <si>
    <t>01456786288</t>
  </si>
  <si>
    <t>00041171071</t>
  </si>
  <si>
    <t>00965306186</t>
  </si>
  <si>
    <t>60377348953</t>
  </si>
  <si>
    <t>08935547905</t>
  </si>
  <si>
    <t>10588522996</t>
  </si>
  <si>
    <t>PEDRO DO NASCIMENTO FARO</t>
  </si>
  <si>
    <t>42694515215</t>
  </si>
  <si>
    <t xml:space="preserve">CARGA FINAL </t>
  </si>
  <si>
    <t>FELIPE JOSE</t>
  </si>
  <si>
    <t>BB PREDIAL MS</t>
  </si>
  <si>
    <t>CEF FAC RO</t>
  </si>
  <si>
    <t>CENSIPAM PA</t>
  </si>
  <si>
    <t>PROSEGUR MG</t>
  </si>
  <si>
    <t>1QZ DE FEV 26</t>
  </si>
  <si>
    <t>CARGA PARCIAL</t>
  </si>
  <si>
    <t>Cartão Bloqueado</t>
  </si>
  <si>
    <t>78003652553</t>
  </si>
  <si>
    <t>07643300712</t>
  </si>
  <si>
    <t>cartao Ativo</t>
  </si>
  <si>
    <t xml:space="preserve">Soma de CARGA FINAL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</si>
</sst>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26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7"/>
      <color rgb="FF222222"/>
      <name val="Arial"/>
      <family val="2"/>
    </font>
    <font>
      <b/>
      <sz val="12"/>
      <color theme="1"/>
      <name val="Aptos Narrow"/>
      <family val="2"/>
      <scheme val="minor"/>
    </font>
    <font>
      <sz val="7"/>
      <color rgb="FF008C1F"/>
      <name val="Arial"/>
      <family val="2"/>
    </font>
    <font>
      <sz val="7"/>
      <color rgb="FFCD7F09"/>
      <name val="Arial"/>
      <family val="2"/>
    </font>
    <font>
      <sz val="7"/>
      <color rgb="FF3FA1FF"/>
      <name val="Arial"/>
      <family val="2"/>
    </font>
    <font>
      <sz val="7"/>
      <color rgb="FF9D0505"/>
      <name val="Arial"/>
      <family val="2"/>
    </font>
    <font>
      <sz val="7"/>
      <color rgb="FF444444"/>
      <name val="Arial"/>
      <family val="2"/>
    </font>
    <font>
      <sz val="8"/>
      <name val="Aptos Narrow"/>
      <family val="2"/>
      <scheme val="minor"/>
    </font>
    <font>
      <b/>
      <u/>
      <sz val="14"/>
      <color theme="0"/>
      <name val="Aptos Narrow"/>
      <family val="2"/>
      <scheme val="minor"/>
    </font>
    <font>
      <sz val="7"/>
      <color rgb="FF222222"/>
      <name val="Poppins"/>
    </font>
    <font>
      <sz val="7"/>
      <color rgb="FF444444"/>
      <name val="Poppins"/>
    </font>
    <font>
      <sz val="7"/>
      <color rgb="FF008C1F"/>
      <name val="Poppins"/>
    </font>
    <font>
      <sz val="7"/>
      <color rgb="FFCD7F09"/>
      <name val="Poppins"/>
    </font>
    <font>
      <sz val="7"/>
      <color rgb="FF3FA1FF"/>
      <name val="Poppins"/>
    </font>
    <font>
      <sz val="7"/>
      <color rgb="FF9D0505"/>
      <name val="Poppins"/>
    </font>
  </fonts>
  <fills count="2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ECF6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00000"/>
      </left>
      <right style="medium">
        <color rgb="FFC00000"/>
      </right>
      <top/>
      <bottom/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148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/>
    <xf numFmtId="0" fontId="4" fillId="5" borderId="1" xfId="0" applyFont="1" applyFill="1" applyBorder="1"/>
    <xf numFmtId="0" fontId="4" fillId="5" borderId="2" xfId="0" applyFont="1" applyFill="1" applyBorder="1"/>
    <xf numFmtId="1" fontId="4" fillId="8" borderId="2" xfId="0" applyNumberFormat="1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43" fontId="5" fillId="2" borderId="2" xfId="1" applyFont="1" applyFill="1" applyBorder="1"/>
    <xf numFmtId="43" fontId="4" fillId="6" borderId="2" xfId="1" applyFont="1" applyFill="1" applyBorder="1"/>
    <xf numFmtId="43" fontId="4" fillId="8" borderId="2" xfId="1" applyFont="1" applyFill="1" applyBorder="1"/>
    <xf numFmtId="43" fontId="4" fillId="3" borderId="2" xfId="1" applyFont="1" applyFill="1" applyBorder="1"/>
    <xf numFmtId="0" fontId="5" fillId="2" borderId="3" xfId="0" applyFont="1" applyFill="1" applyBorder="1"/>
    <xf numFmtId="0" fontId="4" fillId="5" borderId="4" xfId="0" applyFont="1" applyFill="1" applyBorder="1"/>
    <xf numFmtId="0" fontId="6" fillId="4" borderId="4" xfId="0" applyFont="1" applyFill="1" applyBorder="1"/>
    <xf numFmtId="1" fontId="0" fillId="0" borderId="0" xfId="0" applyNumberFormat="1"/>
    <xf numFmtId="1" fontId="0" fillId="4" borderId="0" xfId="0" applyNumberFormat="1" applyFill="1"/>
    <xf numFmtId="0" fontId="0" fillId="4" borderId="0" xfId="0" applyFill="1"/>
    <xf numFmtId="0" fontId="0" fillId="4" borderId="0" xfId="0" applyFill="1" applyAlignment="1">
      <alignment horizontal="center"/>
    </xf>
    <xf numFmtId="1" fontId="0" fillId="12" borderId="0" xfId="0" applyNumberFormat="1" applyFill="1"/>
    <xf numFmtId="0" fontId="0" fillId="12" borderId="0" xfId="0" applyFill="1"/>
    <xf numFmtId="0" fontId="0" fillId="12" borderId="0" xfId="0" applyFill="1" applyAlignment="1">
      <alignment horizontal="center"/>
    </xf>
    <xf numFmtId="0" fontId="4" fillId="6" borderId="4" xfId="0" applyFont="1" applyFill="1" applyBorder="1"/>
    <xf numFmtId="1" fontId="0" fillId="6" borderId="0" xfId="0" applyNumberFormat="1" applyFill="1"/>
    <xf numFmtId="0" fontId="0" fillId="6" borderId="0" xfId="0" applyFill="1"/>
    <xf numFmtId="0" fontId="0" fillId="6" borderId="0" xfId="0" applyFill="1" applyAlignment="1">
      <alignment horizontal="center"/>
    </xf>
    <xf numFmtId="1" fontId="0" fillId="7" borderId="0" xfId="0" applyNumberFormat="1" applyFill="1"/>
    <xf numFmtId="0" fontId="0" fillId="7" borderId="0" xfId="0" applyFill="1"/>
    <xf numFmtId="0" fontId="0" fillId="7" borderId="0" xfId="0" applyFill="1" applyAlignment="1">
      <alignment horizontal="center"/>
    </xf>
    <xf numFmtId="1" fontId="0" fillId="13" borderId="0" xfId="0" applyNumberFormat="1" applyFill="1"/>
    <xf numFmtId="0" fontId="0" fillId="13" borderId="0" xfId="0" applyFill="1"/>
    <xf numFmtId="0" fontId="0" fillId="13" borderId="0" xfId="0" applyFill="1" applyAlignment="1">
      <alignment horizontal="center"/>
    </xf>
    <xf numFmtId="1" fontId="0" fillId="14" borderId="0" xfId="0" applyNumberFormat="1" applyFill="1"/>
    <xf numFmtId="0" fontId="0" fillId="14" borderId="0" xfId="0" applyFill="1"/>
    <xf numFmtId="0" fontId="0" fillId="14" borderId="0" xfId="0" applyFill="1" applyAlignment="1">
      <alignment horizontal="center"/>
    </xf>
    <xf numFmtId="0" fontId="8" fillId="0" borderId="0" xfId="0" applyFont="1"/>
    <xf numFmtId="0" fontId="9" fillId="0" borderId="0" xfId="0" applyFont="1"/>
    <xf numFmtId="43" fontId="0" fillId="10" borderId="0" xfId="1" applyFont="1" applyFill="1"/>
    <xf numFmtId="0" fontId="0" fillId="10" borderId="0" xfId="0" applyFill="1"/>
    <xf numFmtId="0" fontId="9" fillId="10" borderId="0" xfId="0" applyFont="1" applyFill="1"/>
    <xf numFmtId="0" fontId="0" fillId="15" borderId="0" xfId="0" applyFill="1"/>
    <xf numFmtId="0" fontId="10" fillId="17" borderId="0" xfId="4" applyFill="1" applyAlignment="1">
      <alignment horizontal="center" vertical="center"/>
    </xf>
    <xf numFmtId="0" fontId="10" fillId="18" borderId="0" xfId="4" applyFill="1" applyAlignment="1">
      <alignment horizontal="center" vertical="center"/>
    </xf>
    <xf numFmtId="0" fontId="11" fillId="17" borderId="0" xfId="0" applyFont="1" applyFill="1" applyAlignment="1">
      <alignment vertical="center"/>
    </xf>
    <xf numFmtId="0" fontId="11" fillId="17" borderId="0" xfId="0" applyFont="1" applyFill="1" applyAlignment="1">
      <alignment horizontal="center" vertical="center"/>
    </xf>
    <xf numFmtId="0" fontId="11" fillId="18" borderId="0" xfId="0" applyFont="1" applyFill="1" applyAlignment="1">
      <alignment vertical="center"/>
    </xf>
    <xf numFmtId="0" fontId="11" fillId="18" borderId="0" xfId="0" applyFont="1" applyFill="1" applyAlignment="1">
      <alignment horizontal="center" vertical="center"/>
    </xf>
    <xf numFmtId="43" fontId="4" fillId="19" borderId="3" xfId="1" applyFont="1" applyFill="1" applyBorder="1"/>
    <xf numFmtId="0" fontId="13" fillId="17" borderId="0" xfId="0" applyFont="1" applyFill="1" applyAlignment="1">
      <alignment vertical="center"/>
    </xf>
    <xf numFmtId="0" fontId="14" fillId="17" borderId="0" xfId="0" applyFont="1" applyFill="1" applyAlignment="1">
      <alignment vertical="center"/>
    </xf>
    <xf numFmtId="0" fontId="15" fillId="17" borderId="0" xfId="0" applyFont="1" applyFill="1" applyAlignment="1">
      <alignment vertical="center"/>
    </xf>
    <xf numFmtId="0" fontId="14" fillId="18" borderId="0" xfId="0" applyFont="1" applyFill="1" applyAlignment="1">
      <alignment vertical="center"/>
    </xf>
    <xf numFmtId="0" fontId="16" fillId="17" borderId="0" xfId="0" applyFont="1" applyFill="1" applyAlignment="1">
      <alignment vertical="center"/>
    </xf>
    <xf numFmtId="0" fontId="17" fillId="17" borderId="0" xfId="0" applyFont="1" applyFill="1" applyAlignment="1">
      <alignment vertical="center"/>
    </xf>
    <xf numFmtId="0" fontId="13" fillId="18" borderId="0" xfId="0" applyFont="1" applyFill="1" applyAlignment="1">
      <alignment vertical="center"/>
    </xf>
    <xf numFmtId="0" fontId="17" fillId="18" borderId="0" xfId="0" applyFont="1" applyFill="1" applyAlignment="1">
      <alignment vertical="center"/>
    </xf>
    <xf numFmtId="0" fontId="11" fillId="16" borderId="0" xfId="0" applyFont="1" applyFill="1" applyAlignment="1">
      <alignment horizontal="left" vertical="center"/>
    </xf>
    <xf numFmtId="4" fontId="0" fillId="0" borderId="0" xfId="0" applyNumberFormat="1" applyAlignment="1">
      <alignment horizontal="center"/>
    </xf>
    <xf numFmtId="44" fontId="0" fillId="0" borderId="0" xfId="1" applyNumberFormat="1" applyFont="1"/>
    <xf numFmtId="44" fontId="5" fillId="9" borderId="2" xfId="1" applyNumberFormat="1" applyFont="1" applyFill="1" applyBorder="1"/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horizontal="center" vertical="center"/>
    </xf>
    <xf numFmtId="44" fontId="7" fillId="0" borderId="0" xfId="0" applyNumberFormat="1" applyFont="1" applyAlignment="1">
      <alignment horizontal="right" vertical="center"/>
    </xf>
    <xf numFmtId="0" fontId="0" fillId="10" borderId="0" xfId="0" applyFill="1" applyAlignment="1">
      <alignment vertical="center"/>
    </xf>
    <xf numFmtId="44" fontId="19" fillId="2" borderId="8" xfId="0" applyNumberFormat="1" applyFont="1" applyFill="1" applyBorder="1" applyAlignment="1">
      <alignment horizontal="right" vertical="center"/>
    </xf>
    <xf numFmtId="0" fontId="1" fillId="0" borderId="4" xfId="0" applyFont="1" applyBorder="1"/>
    <xf numFmtId="1" fontId="1" fillId="0" borderId="4" xfId="0" applyNumberFormat="1" applyFont="1" applyBorder="1" applyAlignment="1">
      <alignment horizontal="center"/>
    </xf>
    <xf numFmtId="43" fontId="1" fillId="0" borderId="4" xfId="1" applyFont="1" applyFill="1" applyBorder="1" applyAlignment="1">
      <alignment horizontal="center"/>
    </xf>
    <xf numFmtId="43" fontId="1" fillId="0" borderId="4" xfId="1" applyFont="1" applyFill="1" applyBorder="1" applyAlignment="1"/>
    <xf numFmtId="0" fontId="1" fillId="0" borderId="5" xfId="0" applyFont="1" applyBorder="1"/>
    <xf numFmtId="1" fontId="1" fillId="0" borderId="5" xfId="0" applyNumberFormat="1" applyFont="1" applyBorder="1" applyAlignment="1">
      <alignment horizontal="center"/>
    </xf>
    <xf numFmtId="43" fontId="1" fillId="0" borderId="5" xfId="1" applyFont="1" applyFill="1" applyBorder="1" applyAlignment="1"/>
    <xf numFmtId="0" fontId="1" fillId="4" borderId="4" xfId="0" applyFont="1" applyFill="1" applyBorder="1"/>
    <xf numFmtId="0" fontId="1" fillId="12" borderId="4" xfId="0" applyFont="1" applyFill="1" applyBorder="1"/>
    <xf numFmtId="0" fontId="1" fillId="6" borderId="4" xfId="0" applyFont="1" applyFill="1" applyBorder="1"/>
    <xf numFmtId="43" fontId="1" fillId="7" borderId="4" xfId="1" applyFont="1" applyFill="1" applyBorder="1"/>
    <xf numFmtId="0" fontId="1" fillId="7" borderId="4" xfId="0" applyFont="1" applyFill="1" applyBorder="1"/>
    <xf numFmtId="0" fontId="1" fillId="13" borderId="4" xfId="0" applyFont="1" applyFill="1" applyBorder="1"/>
    <xf numFmtId="0" fontId="1" fillId="3" borderId="4" xfId="0" applyFont="1" applyFill="1" applyBorder="1"/>
    <xf numFmtId="0" fontId="1" fillId="8" borderId="4" xfId="0" applyFont="1" applyFill="1" applyBorder="1"/>
    <xf numFmtId="0" fontId="1" fillId="14" borderId="4" xfId="0" applyFont="1" applyFill="1" applyBorder="1"/>
    <xf numFmtId="43" fontId="1" fillId="4" borderId="4" xfId="1" applyFont="1" applyFill="1" applyBorder="1"/>
    <xf numFmtId="0" fontId="1" fillId="11" borderId="4" xfId="0" applyFont="1" applyFill="1" applyBorder="1"/>
    <xf numFmtId="0" fontId="20" fillId="17" borderId="0" xfId="0" applyFont="1" applyFill="1" applyAlignment="1">
      <alignment vertical="center"/>
    </xf>
    <xf numFmtId="0" fontId="20" fillId="17" borderId="0" xfId="0" applyFont="1" applyFill="1" applyAlignment="1">
      <alignment horizontal="center" vertical="center"/>
    </xf>
    <xf numFmtId="0" fontId="20" fillId="18" borderId="0" xfId="0" applyFont="1" applyFill="1" applyAlignment="1">
      <alignment vertical="center"/>
    </xf>
    <xf numFmtId="0" fontId="20" fillId="18" borderId="0" xfId="0" applyFont="1" applyFill="1" applyAlignment="1">
      <alignment horizontal="center" vertical="center"/>
    </xf>
    <xf numFmtId="1" fontId="1" fillId="0" borderId="4" xfId="0" applyNumberFormat="1" applyFont="1" applyBorder="1" applyAlignment="1">
      <alignment horizontal="left"/>
    </xf>
    <xf numFmtId="0" fontId="22" fillId="17" borderId="0" xfId="0" applyFont="1" applyFill="1" applyAlignment="1">
      <alignment vertical="center"/>
    </xf>
    <xf numFmtId="0" fontId="23" fillId="17" borderId="0" xfId="0" applyFont="1" applyFill="1" applyAlignment="1">
      <alignment vertical="center"/>
    </xf>
    <xf numFmtId="0" fontId="24" fillId="17" borderId="0" xfId="0" applyFont="1" applyFill="1" applyAlignment="1">
      <alignment vertical="center"/>
    </xf>
    <xf numFmtId="0" fontId="22" fillId="18" borderId="0" xfId="0" applyFont="1" applyFill="1" applyAlignment="1">
      <alignment vertical="center"/>
    </xf>
    <xf numFmtId="0" fontId="21" fillId="17" borderId="0" xfId="0" applyFont="1" applyFill="1" applyAlignment="1">
      <alignment vertical="center"/>
    </xf>
    <xf numFmtId="0" fontId="25" fillId="17" borderId="0" xfId="0" applyFont="1" applyFill="1" applyAlignment="1">
      <alignment vertical="center"/>
    </xf>
    <xf numFmtId="0" fontId="24" fillId="18" borderId="0" xfId="0" applyFont="1" applyFill="1" applyAlignment="1">
      <alignment vertical="center"/>
    </xf>
    <xf numFmtId="1" fontId="1" fillId="0" borderId="5" xfId="0" applyNumberFormat="1" applyFont="1" applyBorder="1" applyAlignment="1">
      <alignment horizontal="left"/>
    </xf>
    <xf numFmtId="2" fontId="0" fillId="0" borderId="0" xfId="1" applyNumberFormat="1" applyFont="1"/>
    <xf numFmtId="0" fontId="20" fillId="16" borderId="0" xfId="0" applyFont="1" applyFill="1" applyAlignment="1">
      <alignment horizontal="left" vertical="center"/>
    </xf>
    <xf numFmtId="1" fontId="1" fillId="0" borderId="9" xfId="0" applyNumberFormat="1" applyFont="1" applyBorder="1" applyAlignment="1">
      <alignment horizontal="center"/>
    </xf>
    <xf numFmtId="43" fontId="4" fillId="13" borderId="2" xfId="1" applyFont="1" applyFill="1" applyBorder="1"/>
    <xf numFmtId="0" fontId="1" fillId="0" borderId="5" xfId="0" applyFont="1" applyBorder="1" applyAlignment="1">
      <alignment horizontal="center"/>
    </xf>
    <xf numFmtId="44" fontId="1" fillId="0" borderId="7" xfId="1" applyNumberFormat="1" applyFont="1" applyFill="1" applyBorder="1" applyAlignment="1"/>
    <xf numFmtId="43" fontId="0" fillId="0" borderId="0" xfId="0" applyNumberFormat="1"/>
    <xf numFmtId="43" fontId="1" fillId="0" borderId="4" xfId="0" applyNumberFormat="1" applyFont="1" applyBorder="1" applyAlignment="1">
      <alignment horizontal="center"/>
    </xf>
    <xf numFmtId="0" fontId="0" fillId="0" borderId="0" xfId="0" pivotButton="1"/>
    <xf numFmtId="1" fontId="0" fillId="0" borderId="0" xfId="0" applyNumberFormat="1" applyAlignment="1">
      <alignment horizontal="left"/>
    </xf>
    <xf numFmtId="43" fontId="4" fillId="7" borderId="2" xfId="1" applyFont="1" applyFill="1" applyBorder="1" applyAlignment="1">
      <alignment wrapText="1"/>
    </xf>
    <xf numFmtId="43" fontId="4" fillId="3" borderId="10" xfId="1" applyFont="1" applyFill="1" applyBorder="1"/>
    <xf numFmtId="44" fontId="12" fillId="3" borderId="0" xfId="1" applyNumberFormat="1" applyFont="1" applyFill="1" applyAlignment="1">
      <alignment horizontal="center" wrapText="1"/>
    </xf>
    <xf numFmtId="44" fontId="7" fillId="10" borderId="0" xfId="0" applyNumberFormat="1" applyFont="1" applyFill="1" applyAlignment="1">
      <alignment horizontal="right" vertical="center"/>
    </xf>
    <xf numFmtId="43" fontId="12" fillId="10" borderId="0" xfId="1" applyFont="1" applyFill="1" applyBorder="1" applyAlignment="1">
      <alignment horizontal="center" vertical="center"/>
    </xf>
    <xf numFmtId="43" fontId="12" fillId="10" borderId="0" xfId="1" applyFont="1" applyFill="1" applyBorder="1" applyAlignment="1">
      <alignment vertical="center"/>
    </xf>
    <xf numFmtId="1" fontId="1" fillId="0" borderId="4" xfId="0" applyNumberFormat="1" applyFont="1" applyFill="1" applyBorder="1" applyAlignment="1">
      <alignment vertical="center"/>
    </xf>
    <xf numFmtId="49" fontId="1" fillId="0" borderId="4" xfId="0" applyNumberFormat="1" applyFont="1" applyFill="1" applyBorder="1" applyAlignment="1">
      <alignment horizontal="center" vertical="center"/>
    </xf>
    <xf numFmtId="1" fontId="1" fillId="0" borderId="4" xfId="0" applyNumberFormat="1" applyFont="1" applyFill="1" applyBorder="1" applyAlignment="1">
      <alignment horizontal="center"/>
    </xf>
    <xf numFmtId="0" fontId="1" fillId="0" borderId="4" xfId="0" applyNumberFormat="1" applyFont="1" applyFill="1" applyBorder="1" applyAlignment="1">
      <alignment horizontal="center"/>
    </xf>
    <xf numFmtId="43" fontId="1" fillId="0" borderId="4" xfId="1" applyNumberFormat="1" applyFont="1" applyFill="1" applyBorder="1" applyAlignment="1">
      <alignment horizontal="center"/>
    </xf>
    <xf numFmtId="43" fontId="1" fillId="0" borderId="4" xfId="1" applyNumberFormat="1" applyFont="1" applyFill="1" applyBorder="1" applyAlignment="1"/>
    <xf numFmtId="44" fontId="1" fillId="0" borderId="4" xfId="1" applyNumberFormat="1" applyFont="1" applyFill="1" applyBorder="1" applyAlignment="1"/>
    <xf numFmtId="0" fontId="1" fillId="0" borderId="4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49" fontId="1" fillId="0" borderId="5" xfId="0" applyNumberFormat="1" applyFont="1" applyFill="1" applyBorder="1" applyAlignment="1">
      <alignment horizontal="center" vertical="center"/>
    </xf>
    <xf numFmtId="1" fontId="1" fillId="0" borderId="5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/>
    </xf>
    <xf numFmtId="43" fontId="1" fillId="0" borderId="5" xfId="1" applyNumberFormat="1" applyFont="1" applyFill="1" applyBorder="1" applyAlignment="1"/>
    <xf numFmtId="44" fontId="1" fillId="0" borderId="5" xfId="1" applyNumberFormat="1" applyFont="1" applyFill="1" applyBorder="1" applyAlignment="1"/>
    <xf numFmtId="1" fontId="1" fillId="0" borderId="9" xfId="0" applyNumberFormat="1" applyFont="1" applyFill="1" applyBorder="1" applyAlignment="1">
      <alignment horizontal="center"/>
    </xf>
    <xf numFmtId="1" fontId="1" fillId="0" borderId="2" xfId="0" applyNumberFormat="1" applyFont="1" applyFill="1" applyBorder="1" applyAlignment="1">
      <alignment horizontal="center"/>
    </xf>
    <xf numFmtId="43" fontId="1" fillId="0" borderId="6" xfId="1" applyNumberFormat="1" applyFont="1" applyFill="1" applyBorder="1" applyAlignment="1"/>
    <xf numFmtId="44" fontId="1" fillId="10" borderId="4" xfId="5" applyFont="1" applyFill="1" applyBorder="1" applyAlignment="1">
      <alignment horizontal="center"/>
    </xf>
    <xf numFmtId="1" fontId="1" fillId="0" borderId="5" xfId="0" applyNumberFormat="1" applyFont="1" applyFill="1" applyBorder="1" applyAlignment="1">
      <alignment vertical="center"/>
    </xf>
    <xf numFmtId="43" fontId="4" fillId="8" borderId="2" xfId="1" applyFont="1" applyFill="1" applyBorder="1" applyAlignment="1">
      <alignment horizontal="center" wrapText="1"/>
    </xf>
    <xf numFmtId="0" fontId="4" fillId="20" borderId="2" xfId="0" applyFont="1" applyFill="1" applyBorder="1" applyAlignment="1">
      <alignment wrapText="1"/>
    </xf>
    <xf numFmtId="0" fontId="1" fillId="3" borderId="5" xfId="0" applyFont="1" applyFill="1" applyBorder="1" applyAlignment="1">
      <alignment vertical="center"/>
    </xf>
    <xf numFmtId="49" fontId="1" fillId="3" borderId="5" xfId="0" applyNumberFormat="1" applyFont="1" applyFill="1" applyBorder="1" applyAlignment="1">
      <alignment horizontal="center" vertical="center"/>
    </xf>
    <xf numFmtId="1" fontId="1" fillId="3" borderId="4" xfId="0" applyNumberFormat="1" applyFont="1" applyFill="1" applyBorder="1" applyAlignment="1">
      <alignment horizontal="center"/>
    </xf>
    <xf numFmtId="1" fontId="1" fillId="3" borderId="5" xfId="0" applyNumberFormat="1" applyFont="1" applyFill="1" applyBorder="1" applyAlignment="1">
      <alignment horizontal="center"/>
    </xf>
    <xf numFmtId="1" fontId="1" fillId="3" borderId="9" xfId="0" applyNumberFormat="1" applyFont="1" applyFill="1" applyBorder="1" applyAlignment="1">
      <alignment horizontal="center"/>
    </xf>
    <xf numFmtId="0" fontId="1" fillId="3" borderId="5" xfId="0" applyNumberFormat="1" applyFont="1" applyFill="1" applyBorder="1" applyAlignment="1">
      <alignment horizontal="center"/>
    </xf>
    <xf numFmtId="43" fontId="1" fillId="3" borderId="4" xfId="0" applyNumberFormat="1" applyFont="1" applyFill="1" applyBorder="1" applyAlignment="1">
      <alignment horizontal="center"/>
    </xf>
    <xf numFmtId="43" fontId="1" fillId="3" borderId="4" xfId="1" applyNumberFormat="1" applyFont="1" applyFill="1" applyBorder="1" applyAlignment="1">
      <alignment horizontal="center"/>
    </xf>
    <xf numFmtId="43" fontId="1" fillId="3" borderId="4" xfId="1" applyFont="1" applyFill="1" applyBorder="1" applyAlignment="1">
      <alignment horizontal="center"/>
    </xf>
    <xf numFmtId="43" fontId="1" fillId="3" borderId="5" xfId="1" applyFont="1" applyFill="1" applyBorder="1" applyAlignment="1"/>
    <xf numFmtId="43" fontId="1" fillId="3" borderId="5" xfId="1" applyNumberFormat="1" applyFont="1" applyFill="1" applyBorder="1" applyAlignment="1"/>
    <xf numFmtId="44" fontId="1" fillId="3" borderId="5" xfId="1" applyNumberFormat="1" applyFont="1" applyFill="1" applyBorder="1" applyAlignment="1"/>
    <xf numFmtId="44" fontId="1" fillId="3" borderId="4" xfId="5" applyFont="1" applyFill="1" applyBorder="1" applyAlignment="1">
      <alignment horizontal="center"/>
    </xf>
    <xf numFmtId="43" fontId="1" fillId="3" borderId="6" xfId="1" applyNumberFormat="1" applyFont="1" applyFill="1" applyBorder="1" applyAlignment="1"/>
  </cellXfs>
  <cellStyles count="6">
    <cellStyle name="Hiperlink" xfId="4" builtinId="8"/>
    <cellStyle name="Moeda" xfId="5" builtinId="4"/>
    <cellStyle name="Normal" xfId="0" builtinId="0"/>
    <cellStyle name="Normal 2" xfId="2" xr:uid="{EBFD8F5D-09F2-4370-A866-F354BAFF3F73}"/>
    <cellStyle name="Vírgula" xfId="1" builtinId="3"/>
    <cellStyle name="Vírgula 2" xfId="3" xr:uid="{275FAA77-0EA5-4A4D-AA34-C3B227D2AC1B}"/>
  </cellStyles>
  <dxfs count="36"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theme="0"/>
        </patternFill>
      </fill>
      <alignment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0000"/>
      <color rgb="FFFFFFFF"/>
      <color rgb="FFFFCC00"/>
      <color rgb="FFF78363"/>
      <color rgb="FF0000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customXml" Target="../customXml/item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85723</xdr:colOff>
      <xdr:row>0</xdr:row>
      <xdr:rowOff>66676</xdr:rowOff>
    </xdr:from>
    <xdr:to>
      <xdr:col>4</xdr:col>
      <xdr:colOff>685800</xdr:colOff>
      <xdr:row>3</xdr:row>
      <xdr:rowOff>228600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GESTOR">
              <a:extLst>
                <a:ext uri="{FF2B5EF4-FFF2-40B4-BE49-F238E27FC236}">
                  <a16:creationId xmlns:a16="http://schemas.microsoft.com/office/drawing/2014/main" id="{44D62E2D-D76F-4CDD-8176-98A1933E03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ST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723" y="66676"/>
              <a:ext cx="5048252" cy="11620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</xdr:row>
          <xdr:rowOff>0</xdr:rowOff>
        </xdr:from>
        <xdr:to>
          <xdr:col>1</xdr:col>
          <xdr:colOff>914400</xdr:colOff>
          <xdr:row>33</xdr:row>
          <xdr:rowOff>28575</xdr:rowOff>
        </xdr:to>
        <xdr:sp macro="" textlink="">
          <xdr:nvSpPr>
            <xdr:cNvPr id="6145" name="Control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5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79.439088310188" createdVersion="8" refreshedVersion="8" minRefreshableVersion="3" recordCount="209" xr:uid="{70EC9730-AA3B-47C7-A5DF-5F6BB3AAE75B}">
  <cacheSource type="worksheet">
    <worksheetSource ref="B2:H211" sheet="RATEIO"/>
  </cacheSource>
  <cacheFields count="7">
    <cacheField name="PORTADOR" numFmtId="0">
      <sharedItems/>
    </cacheField>
    <cacheField name="CPF" numFmtId="0">
      <sharedItems/>
    </cacheField>
    <cacheField name="STATUS COLAB" numFmtId="1">
      <sharedItems/>
    </cacheField>
    <cacheField name="CENTRO CUSTO" numFmtId="1">
      <sharedItems/>
    </cacheField>
    <cacheField name="COD CENTRO CUSTO" numFmtId="1">
      <sharedItems containsSemiMixedTypes="0" containsString="0" containsNumber="1" containsInteger="1" minValue="1201044" maxValue="11110340001" count="93">
        <n v="11030850001"/>
        <n v="11030820001"/>
        <n v="11030290001"/>
        <n v="11030870001"/>
        <n v="11030750001"/>
        <n v="11030700001"/>
        <n v="11030770001"/>
        <n v="11030830001"/>
        <n v="11030900001"/>
        <n v="11030860001"/>
        <n v="11030620001"/>
        <n v="11062270001"/>
        <n v="11040160001"/>
        <n v="11061950001"/>
        <n v="11062650001"/>
        <n v="11030690001"/>
        <n v="11061820001"/>
        <n v="11061490001"/>
        <n v="1104150001"/>
        <n v="11061720001"/>
        <n v="11030810001"/>
        <n v="11080440001"/>
        <n v="11080170001"/>
        <n v="11030630001"/>
        <n v="11040130001"/>
        <n v="11040140001"/>
        <n v="11040170001"/>
        <n v="11040040001"/>
        <n v="11062740001"/>
        <n v="11030840001"/>
        <n v="11030790001"/>
        <n v="11030260001"/>
        <n v="11062640001"/>
        <n v="11061870001"/>
        <n v="11061940001"/>
        <n v="11061430001"/>
        <n v="11030600001"/>
        <n v="11080220001"/>
        <n v="11030710001"/>
        <n v="11030580001"/>
        <n v="11060710001"/>
        <n v="11030890001"/>
        <n v="11061480001"/>
        <n v="11080370001"/>
        <n v="11010420001"/>
        <n v="11030590001"/>
        <n v="11010400001"/>
        <n v="11030640001"/>
        <n v="11030570001"/>
        <n v="11030760001"/>
        <n v="11010370001"/>
        <n v="11061860001"/>
        <n v="11010180001"/>
        <n v="11062760001"/>
        <n v="11080230001"/>
        <n v="11030800001"/>
        <n v="11080400001"/>
        <n v="11061390001"/>
        <n v="11062670001"/>
        <n v="11062450001"/>
        <n v="11010060001"/>
        <n v="11030660001"/>
        <n v="11062110001"/>
        <n v="11062630001"/>
        <n v="11062900001"/>
        <n v="11080500001"/>
        <n v="11010140001"/>
        <n v="11080150001"/>
        <n v="11062280001"/>
        <n v="11030610001"/>
        <n v="11010300001"/>
        <n v="11062050001"/>
        <n v="11110340001"/>
        <n v="11062160001"/>
        <n v="11061810001"/>
        <n v="11061400001"/>
        <n v="11030780001"/>
        <n v="11062020001"/>
        <n v="11061890001"/>
        <n v="11061770001"/>
        <n v="11062350001"/>
        <n v="11010330001"/>
        <n v="11061980001"/>
        <n v="1201044"/>
        <n v="11010120001"/>
        <n v="11062850001"/>
        <n v="11010090001"/>
        <n v="11010150001"/>
        <n v="1201071"/>
        <n v="11062660001"/>
        <n v="11030730001"/>
        <n v="11063040001"/>
        <n v="11010170001"/>
      </sharedItems>
    </cacheField>
    <cacheField name="GESTOR" numFmtId="1">
      <sharedItems/>
    </cacheField>
    <cacheField name="CARGA FINAL " numFmtId="43">
      <sharedItems containsSemiMixedTypes="0" containsString="0" containsNumber="1" minValue="0.65999999999985448" maxValue="9996.78000000000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9">
  <r>
    <s v="ARLEY HENRIQUE DE SOUZA LUZ"/>
    <s v="01170402232"/>
    <s v="ATIVO"/>
    <s v="CEF GOIANIA CO"/>
    <x v="0"/>
    <s v="ANGELICA SOARES"/>
    <n v="1998"/>
  </r>
  <r>
    <s v="GUILHERME MOTTA RIBEIRO SILVA"/>
    <s v="11178519740"/>
    <s v="ATIVO"/>
    <s v="CEF ES"/>
    <x v="1"/>
    <s v="VINICIUS LOCATELLY"/>
    <n v="1994"/>
  </r>
  <r>
    <s v="FRANCIELLY FELIX CAVALCANTE DE ANDRADE"/>
    <s v="09276240446"/>
    <s v="ATIVO"/>
    <s v="CEF AM AC RR"/>
    <x v="2"/>
    <s v="ANGELICA SOARES"/>
    <n v="3998"/>
  </r>
  <r>
    <s v="THIAGO DE MEDEIROS VANZELER"/>
    <s v="11590627733"/>
    <s v="ATIVO"/>
    <s v="CEF INTERIOR RJ"/>
    <x v="3"/>
    <s v="ALLAN JEFFERSON"/>
    <n v="457"/>
  </r>
  <r>
    <s v="JOSE CLAUDIO RIBEIRO"/>
    <s v="61158852649"/>
    <s v="ATIVO"/>
    <s v="CEF SP SUL"/>
    <x v="4"/>
    <s v="LEANDRO NUNES"/>
    <n v="4000"/>
  </r>
  <r>
    <s v="MARIA EDUARDA ARAGAO"/>
    <s v="10363402950"/>
    <s v="ATIVO"/>
    <s v="CEF SUL SC"/>
    <x v="5"/>
    <s v="BRUNO LINHARES"/>
    <n v="266.27"/>
  </r>
  <r>
    <s v="GUILHERME FERREIRA DA SILVA"/>
    <s v="41997553813"/>
    <s v="ATIVO"/>
    <s v="CEF RECIFE PE"/>
    <x v="6"/>
    <s v="GERSON OLIVEIRA"/>
    <n v="1964"/>
  </r>
  <r>
    <s v="ORESTE BARBOSA DA SILVA JUNIOR"/>
    <s v="25075562850"/>
    <s v="ATIVO"/>
    <s v="CEF PIRACICABA SP"/>
    <x v="7"/>
    <s v="LEANDRO NUNES"/>
    <n v="2295.0100000000002"/>
  </r>
  <r>
    <s v="LEANDRO GUSMAO MUNIZ"/>
    <s v="13126691790"/>
    <s v="ATIVO"/>
    <s v="CEF INTERIOR RJ"/>
    <x v="3"/>
    <s v="ALLAN JEFFERSON"/>
    <n v="478.86"/>
  </r>
  <r>
    <s v="LEONARDO MURATORI ATHAYDE"/>
    <s v="03374811647"/>
    <s v="ATIVO"/>
    <s v="CEF FACILITIES CE"/>
    <x v="8"/>
    <s v="GERSON OLIVEIRA"/>
    <n v="985.03"/>
  </r>
  <r>
    <s v="JEFFERSON NAZARENO SILVA FREITAS"/>
    <s v="08103183776"/>
    <s v="ATIVO"/>
    <s v="CEF INTERIOR RJ"/>
    <x v="3"/>
    <s v="ALLAN JEFFERSON"/>
    <n v="994"/>
  </r>
  <r>
    <s v="CLAUDEMIR GREGOSKI RODRIGUES"/>
    <s v="05144026958"/>
    <s v="ATIVO"/>
    <s v="CEF FACILITIES CURITIBA PR"/>
    <x v="9"/>
    <s v="BRUNO LINHARES"/>
    <n v="997"/>
  </r>
  <r>
    <s v="ROGERIO GOMES DE OLIVEIRA"/>
    <s v="89591640030"/>
    <s v="ATIVO"/>
    <s v="CEF NORTE GAUCHO RS"/>
    <x v="10"/>
    <s v="ALEXANDRE GROSS"/>
    <n v="770.68"/>
  </r>
  <r>
    <s v="DANIEL SANTOS DE ASSUNCAO"/>
    <s v="97592439549"/>
    <s v="ATIVO"/>
    <s v="BANCO ITAU BA"/>
    <x v="11"/>
    <s v="GERSON OLIVEIRA"/>
    <n v="1499.47"/>
  </r>
  <r>
    <s v="RONALDO DE MATOS LELIS"/>
    <s v="47502843604"/>
    <s v="ATIVO"/>
    <s v="CLARO INFRA MG"/>
    <x v="12"/>
    <s v="HUGO ALEXANDRE"/>
    <n v="488.89"/>
  </r>
  <r>
    <s v="SILMARA CHAVES"/>
    <s v="02706762950"/>
    <s v="ATIVO"/>
    <s v="BB TIRADENTES PR"/>
    <x v="13"/>
    <s v="BRUNO LINHARES"/>
    <n v="478.49"/>
  </r>
  <r>
    <s v="MARCEL DA HORA CARVALHO"/>
    <s v="01730674500"/>
    <s v="ATIVO"/>
    <s v="POLICIA FEDERAL BA"/>
    <x v="14"/>
    <s v="GERSON OLIVEIRA"/>
    <n v="1434.36"/>
  </r>
  <r>
    <s v="DEISE SOARES DE CAMPOS"/>
    <s v="69116709004"/>
    <s v="ATIVO"/>
    <s v="CEF NORTE SC"/>
    <x v="15"/>
    <s v="BRUNO LINHARES"/>
    <n v="1600"/>
  </r>
  <r>
    <s v="MARCELO DE ANDRADE CALVETTI"/>
    <s v="02587708052"/>
    <s v="ATIVO"/>
    <s v="NET PORTO ALEGRE RS"/>
    <x v="16"/>
    <s v="ALEXANDRE GROSS"/>
    <n v="492.1"/>
  </r>
  <r>
    <s v="ANTONIO JOSE PEREIRA DA SILVA"/>
    <s v="08326260401"/>
    <s v="ATIVO"/>
    <s v="TELEFONICA NE"/>
    <x v="17"/>
    <s v="GERSON OLIVEIRA"/>
    <n v="998.25"/>
  </r>
  <r>
    <s v="WALTER DE CAMPOS NUNES NETO"/>
    <s v="99114160030"/>
    <s v="ATIVO"/>
    <s v="CLARO INFRA RS"/>
    <x v="18"/>
    <s v="BRUNO EDUARDO"/>
    <n v="2624.06"/>
  </r>
  <r>
    <s v="CLAUDINEI AMARAL"/>
    <s v="10433881844"/>
    <s v="ATIVO"/>
    <s v="TRIBUNAL DE JUSTICA PR"/>
    <x v="19"/>
    <s v="BRUNO LINHARES"/>
    <n v="229.69000000000005"/>
  </r>
  <r>
    <s v="MOISES DOS SANTOS CABRAL"/>
    <s v="68746458204"/>
    <s v="ATIVO"/>
    <s v="CEF FAC RO"/>
    <x v="20"/>
    <s v="ANGELICA SOARES"/>
    <n v="796.06"/>
  </r>
  <r>
    <s v="RENATO PARREIRAS"/>
    <s v="97162485634"/>
    <s v="ATIVO"/>
    <s v="CLARO INFRA MG"/>
    <x v="12"/>
    <s v="HUGO ALEXANDRE"/>
    <n v="760.74"/>
  </r>
  <r>
    <s v="JOSEANE DA SILVA SOUZA"/>
    <s v="71944885234"/>
    <s v="ATIVO"/>
    <s v="PTB AREAS VERDES SC"/>
    <x v="21"/>
    <s v="BRUNO LINHARES"/>
    <n v="77"/>
  </r>
  <r>
    <s v="EMERSON LEITE DE BARROS"/>
    <s v="34168918807"/>
    <s v="ATIVO"/>
    <s v="PTB INFRA SUDESTE"/>
    <x v="22"/>
    <s v="LEANDRO NUNES"/>
    <n v="2779.27"/>
  </r>
  <r>
    <s v="FABIO DIOGO BITTENCOURT"/>
    <s v="00526143959"/>
    <s v="ATIVO"/>
    <s v="CEF CENTRO GAUCHO RS"/>
    <x v="23"/>
    <s v="ALEXANDRE GROSS"/>
    <n v="2795"/>
  </r>
  <r>
    <s v="RONALDO RUFINO SANTANA"/>
    <s v="29758827855"/>
    <s v="ATIVO"/>
    <s v="CEF PIRACICABA SP"/>
    <x v="7"/>
    <s v="LEANDRO NUNES"/>
    <n v="2717.3"/>
  </r>
  <r>
    <s v="LUIZ FERNANDO CAVALHEIRO"/>
    <s v="03898579980"/>
    <s v="ATIVO"/>
    <s v="TRIBUNAL DE JUSTICA PR"/>
    <x v="19"/>
    <s v="BRUNO LINHARES"/>
    <n v="593.96"/>
  </r>
  <r>
    <s v="NORMAN CRANI PORTELLA"/>
    <s v="79794157953"/>
    <s v="ATIVO"/>
    <s v="TRIBUNAL DE JUSTICA PR"/>
    <x v="19"/>
    <s v="BRUNO LINHARES"/>
    <n v="221.64"/>
  </r>
  <r>
    <s v="ROBSON DOS SANTOS GUEDES"/>
    <s v="08418392983"/>
    <s v="ATIVO"/>
    <s v="CLARO INFRA SC"/>
    <x v="24"/>
    <s v="BRUNO EDUARDO"/>
    <n v="90"/>
  </r>
  <r>
    <s v="EDERSON LUIS BARROS DA ROSA"/>
    <s v="04614285988"/>
    <s v="ATIVO"/>
    <s v="CLARO INFRA PR"/>
    <x v="25"/>
    <s v="BRUNO EDUARDO"/>
    <n v="101.7"/>
  </r>
  <r>
    <s v="ADSON ARAUJO DA SILVA"/>
    <s v="94551804304"/>
    <s v="ATIVO"/>
    <s v="CLARO INFRA NORDESTE"/>
    <x v="26"/>
    <s v="FELIPE JOSE"/>
    <n v="1598.44"/>
  </r>
  <r>
    <s v="JOSE EUSTAQUIO DE SOUZA"/>
    <s v="27335364191"/>
    <s v="ATIVO"/>
    <s v="CLARO CO"/>
    <x v="27"/>
    <s v="ANGELICA SOARES"/>
    <n v="1499"/>
  </r>
  <r>
    <s v="FELIPE MORAES COSTA DE BRITTO"/>
    <s v="04347084102"/>
    <s v="ATIVO"/>
    <s v="INSS MT"/>
    <x v="28"/>
    <s v="ANGELICA SOARES"/>
    <n v="2471"/>
  </r>
  <r>
    <s v="RICARDO MURCIA GARCIA FILHO"/>
    <s v="27668763830"/>
    <s v="ATIVO"/>
    <s v="CEF BAURU SP"/>
    <x v="29"/>
    <s v="LEANDRO NUNES"/>
    <n v="995.14"/>
  </r>
  <r>
    <s v="MATHEUS FERNANDES GUIMARAES"/>
    <s v="17996820724"/>
    <s v="ATIVO"/>
    <s v="CEF NORTE PR"/>
    <x v="30"/>
    <s v="BRUNO LINHARES"/>
    <n v="1985.24"/>
  </r>
  <r>
    <s v="NIVALDO THIAGO DA CRUZ SANTOS"/>
    <s v="04442316929"/>
    <s v="ATIVO"/>
    <s v="CLARO INFRA PR"/>
    <x v="25"/>
    <s v="BRUNO EDUARDO"/>
    <n v="16.89"/>
  </r>
  <r>
    <s v="RAFAEL AMORIM VELLO"/>
    <s v="01677920599"/>
    <s v="ATIVO"/>
    <s v="CEF NORTE OESTE BA"/>
    <x v="31"/>
    <s v="GERSON OLIVEIRA"/>
    <n v="9996.7800000000007"/>
  </r>
  <r>
    <s v="VICTOR SIGOLO PINHEIRO PIMENTA"/>
    <s v="12237490619"/>
    <s v="ATIVO"/>
    <s v="INSS SP"/>
    <x v="32"/>
    <s v="LEANDRO NUNES"/>
    <n v="1190.5100000000305"/>
  </r>
  <r>
    <s v="JOSE CARLOS BATISTA"/>
    <s v="26652452804"/>
    <s v="ATIVO"/>
    <s v="PTB INFRA SUDESTE"/>
    <x v="22"/>
    <s v="LEANDRO NUNES"/>
    <n v="1830.6900000000023"/>
  </r>
  <r>
    <s v="CHARLES NEVES MATTIUZZI"/>
    <s v="12547938790"/>
    <s v="ATIVO"/>
    <s v="TELEFONICA ES"/>
    <x v="33"/>
    <s v="VINICIUS LOCATELLY"/>
    <n v="4099.3900000000003"/>
  </r>
  <r>
    <s v="CAIO FRANCESCONI RIBEIRO"/>
    <s v="08924586904"/>
    <s v="ATIVO"/>
    <s v="TJ APOIO PR"/>
    <x v="34"/>
    <s v="BRUNO LINHARES"/>
    <n v="599.99999999999989"/>
  </r>
  <r>
    <s v="FLAVIO FERNANDES DOS REIS LIMA"/>
    <s v="01767960107"/>
    <s v="ATIVO"/>
    <s v="TELEFONICA CO"/>
    <x v="35"/>
    <s v="ANGELICA SOARES"/>
    <n v="3098.640000000039"/>
  </r>
  <r>
    <s v="EVERTON CAMARGO DE LOURETO"/>
    <s v="91688205004"/>
    <s v="ATIVO"/>
    <s v="CEF VALE SINOS RS"/>
    <x v="36"/>
    <s v="ALEXANDRE GROSS"/>
    <n v="1785.0200000000841"/>
  </r>
  <r>
    <s v="BRUNO OLIVEIRA DIAS"/>
    <s v="11992259755"/>
    <s v="ATIVO"/>
    <s v="PTB TIC INFRA"/>
    <x v="37"/>
    <s v="VINICIUS LOCATELLY"/>
    <n v="341.89999999999418"/>
  </r>
  <r>
    <s v="CRISTIANO ANESIO GOMES DO NASCIMENTO"/>
    <s v="02862032786"/>
    <s v="ATIVO"/>
    <s v="CEF INTERIOR RJ"/>
    <x v="3"/>
    <s v="ALLAN JEFFERSON"/>
    <n v="931.06999999999437"/>
  </r>
  <r>
    <s v="EDUARDO ANDREY VENSON SILVA"/>
    <s v="02960685946"/>
    <s v="ATIVO"/>
    <s v="CEF OESTE SC"/>
    <x v="38"/>
    <s v="BRUNO LINHARES"/>
    <n v="477.9200000000493"/>
  </r>
  <r>
    <s v="LUDGERO HORACIO DE OLIVEIRA"/>
    <s v="06576198922"/>
    <s v="ATIVO"/>
    <s v="CEF NORTE PR"/>
    <x v="30"/>
    <s v="BRUNO LINHARES"/>
    <n v="3149.93"/>
  </r>
  <r>
    <s v="LUCAS RODRIGUES DE MOURA GALVAO"/>
    <s v="04013986175"/>
    <s v="ATIVO"/>
    <s v="CEF GOIANIA CO"/>
    <x v="0"/>
    <s v="ANGELICA SOARES"/>
    <n v="85.039999999993526"/>
  </r>
  <r>
    <s v="LEANDRO FIGUEREDO BELCHIOR"/>
    <s v="26513583802"/>
    <s v="ATIVO"/>
    <s v="INSS SP"/>
    <x v="32"/>
    <s v="LEANDRO NUNES"/>
    <n v="1134.3599999999969"/>
  </r>
  <r>
    <s v="CARLOS RENATO PACHECO DA SILVA"/>
    <s v="90443306087"/>
    <s v="ATIVO"/>
    <s v="CEF LESTE GAUCHO RS"/>
    <x v="39"/>
    <s v="ALEXANDRE GROSS"/>
    <n v="35.630000000001019"/>
  </r>
  <r>
    <s v="LUCIANO JOSE DO AMARAL PEREIRA"/>
    <s v="04434355708"/>
    <s v="ATIVO"/>
    <s v="CEF CENTRO NORTE SUL RJ"/>
    <x v="40"/>
    <s v="ALLAN JEFFERSON"/>
    <n v="3331.2100000000351"/>
  </r>
  <r>
    <s v="MICHAEL RODRIGUES SANTOS"/>
    <s v="37425574837"/>
    <s v="ATIVO"/>
    <s v="CEF SP SUL"/>
    <x v="4"/>
    <s v="LEANDRO NUNES"/>
    <n v="1919.5900000000511"/>
  </r>
  <r>
    <s v="ANA CRISTINA FREIRE HOLANDA"/>
    <s v="60023937220"/>
    <s v="ATIVO"/>
    <s v="CEF AM AC RR"/>
    <x v="2"/>
    <s v="ANGELICA SOARES"/>
    <n v="5500"/>
  </r>
  <r>
    <s v="TERCILA DA SILVA LOPES"/>
    <s v="67752721387"/>
    <s v="ATIVO"/>
    <s v="CEF CEARA"/>
    <x v="41"/>
    <s v="GERSON OLIVEIRA"/>
    <n v="1228.3200000000015"/>
  </r>
  <r>
    <s v="ADSON SANTOS DA SILVA"/>
    <s v="83058133553"/>
    <s v="ATIVO"/>
    <s v="TELEFONICA BA"/>
    <x v="42"/>
    <s v="GERSON OLIVEIRA"/>
    <n v="1784.07"/>
  </r>
  <r>
    <s v="THIAGO PEREIRA DE LIMA"/>
    <s v="06478105490"/>
    <s v="ATIVO"/>
    <s v="CLARO INFRA NORDESTE"/>
    <x v="26"/>
    <s v="FELIPE JOSE"/>
    <n v="7.0000000000000639"/>
  </r>
  <r>
    <s v="ABNER ANDRADE CAVALCANTE"/>
    <s v="02027745203"/>
    <s v="ATIVO"/>
    <s v="CEF AM AC RR"/>
    <x v="2"/>
    <s v="ANGELICA SOARES"/>
    <n v="9807.41"/>
  </r>
  <r>
    <s v="FELIPE JOSE DE ALBUQUERQUE OLIVEIRA"/>
    <s v="73574031491"/>
    <s v="ATIVO"/>
    <s v="CLARO INFRA NORDESTE"/>
    <x v="26"/>
    <s v="FELIPE JOSE"/>
    <n v="1761.1399999999999"/>
  </r>
  <r>
    <s v="CARLOS NASCIMENTO NONATO JUNIOR"/>
    <s v="65973500225"/>
    <s v="ATIVO"/>
    <s v="CEF AM AC RR"/>
    <x v="2"/>
    <s v="ANGELICA SOARES"/>
    <n v="3993.64"/>
  </r>
  <r>
    <s v="DIEGO JOSE DE PAULO"/>
    <s v="01553544692"/>
    <s v="ATIVO"/>
    <s v="CLARO INFRA MG"/>
    <x v="12"/>
    <s v="HUGO ALEXANDRE"/>
    <n v="1394.37"/>
  </r>
  <r>
    <s v="JUSTINO NOGUEIRA PEIXOTO JUNIOR"/>
    <s v="09246793790"/>
    <s v="ATIVO"/>
    <s v="PTB EDISE RJ"/>
    <x v="43"/>
    <s v="BRUNO LINHARES"/>
    <n v="2154.4299999999985"/>
  </r>
  <r>
    <s v="RAMON GOMES TEIXEIRA"/>
    <s v="83978054515"/>
    <s v="ATIVO"/>
    <s v="BB EDIFICIOS SP"/>
    <x v="44"/>
    <s v="LEANDRO NUNES"/>
    <n v="158.98000000000039"/>
  </r>
  <r>
    <s v="PAULO NILTON COSTA MOREIRA"/>
    <s v="45159599053"/>
    <s v="ATIVO"/>
    <s v="CEF EXTREMO SUL RS"/>
    <x v="45"/>
    <s v="ALEXANDRE GROSS"/>
    <n v="2156.34"/>
  </r>
  <r>
    <s v="ROGERIO COSTA PRADO"/>
    <s v="92160344320"/>
    <s v="ATIVO"/>
    <s v="BB MARANHAO MA"/>
    <x v="46"/>
    <s v="ANGELICA SOARES"/>
    <n v="2890.88"/>
  </r>
  <r>
    <s v="MARCO AURELIO DE ANDRADE MORAES"/>
    <s v="72756284220"/>
    <s v="ATIVO"/>
    <s v="CEF AM AC RR"/>
    <x v="2"/>
    <s v="ANGELICA SOARES"/>
    <n v="4994.37"/>
  </r>
  <r>
    <s v="CARLOS EDUARDO SCATAMBULO"/>
    <s v="22730778829"/>
    <s v="ATIVO"/>
    <s v="CEF LESTE SP"/>
    <x v="47"/>
    <s v="LEANDRO NUNES"/>
    <n v="4295.1000000000004"/>
  </r>
  <r>
    <s v="DHIEGO RIBEIRO DINIZ"/>
    <s v="00049250256"/>
    <s v="ATIVO"/>
    <s v="CEF GOIANIA CO"/>
    <x v="0"/>
    <s v="ANGELICA SOARES"/>
    <n v="1407.8199999999961"/>
  </r>
  <r>
    <s v="AGNO CHRISTIAN DE LIMA TELES"/>
    <s v="06911519624"/>
    <s v="ATIVO"/>
    <s v="CLARO INFRA MG"/>
    <x v="12"/>
    <s v="HUGO ALEXANDRE"/>
    <n v="4.8899999999975083"/>
  </r>
  <r>
    <s v="JAFER DA FONTOURA AHMAD"/>
    <s v="00041171071"/>
    <s v="ATIVO"/>
    <s v="CEF PORTO ALEGRE RS"/>
    <x v="48"/>
    <s v="ALEXANDRE GROSS"/>
    <n v="2790.79"/>
  </r>
  <r>
    <s v="THIEGO LEANDRO ALVES DE OLIVEIRA"/>
    <s v="07198282440"/>
    <s v="ATIVO"/>
    <s v="CEF RECIFE PE"/>
    <x v="6"/>
    <s v="GERSON OLIVEIRA"/>
    <n v="1333.7499999999927"/>
  </r>
  <r>
    <s v="LUCAS MARTINS MACAN"/>
    <s v="00975748998"/>
    <s v="ATIVO"/>
    <s v="CEF CEARA"/>
    <x v="41"/>
    <s v="GERSON OLIVEIRA"/>
    <n v="4944"/>
  </r>
  <r>
    <s v="ERICSON PINHEIRO DOS SANTOS"/>
    <s v="29157549850"/>
    <s v="ATIVO"/>
    <s v="CEF FACILITIES SP"/>
    <x v="49"/>
    <s v="LEANDRO NUNES"/>
    <n v="34.999999999998181"/>
  </r>
  <r>
    <s v="JOSE JONAS FURLANETTO"/>
    <s v="55889913115"/>
    <s v="ATIVO"/>
    <s v="BB NORTE OESTE PR"/>
    <x v="50"/>
    <s v="BRUNO LINHARES"/>
    <n v="662.07000000000016"/>
  </r>
  <r>
    <s v="ULISSES FERREIRA DE OLIVEIRA"/>
    <s v="01595939644"/>
    <s v="ATIVO"/>
    <s v="PTB TIC INFRA"/>
    <x v="37"/>
    <s v="VINICIUS LOCATELLY"/>
    <n v="3158.1000000000022"/>
  </r>
  <r>
    <s v="LUAN THIAGO DA SILVA"/>
    <s v="08030478437"/>
    <s v="ATIVO"/>
    <s v="CLARO INFRA NORDESTE"/>
    <x v="26"/>
    <s v="FELIPE JOSE"/>
    <n v="907.17"/>
  </r>
  <r>
    <s v="EDSON CALIXTO THOMAZ"/>
    <s v="05765681719"/>
    <s v="ATIVO"/>
    <s v="CEF INTERIOR RJ"/>
    <x v="3"/>
    <s v="ALLAN JEFFERSON"/>
    <n v="968.08"/>
  </r>
  <r>
    <s v="LUIZ GUSTAVO DI GIORGIO"/>
    <s v="29856268893"/>
    <s v="ATIVO"/>
    <s v="CEF LESTE SP"/>
    <x v="47"/>
    <s v="LEANDRO NUNES"/>
    <n v="99.979999999998654"/>
  </r>
  <r>
    <s v="BRUNO FERREIRA DE SOUZA RODRIGUES"/>
    <s v="16306431730"/>
    <s v="ATIVO"/>
    <s v="TELEFONICA RJ"/>
    <x v="51"/>
    <s v="ALLAN JEFFERSON"/>
    <n v="4991.3"/>
  </r>
  <r>
    <s v="SANDRO BARRETO DE SOUZA"/>
    <s v="78021324953"/>
    <s v="ATIVO"/>
    <s v="CEF SUL SC"/>
    <x v="5"/>
    <s v="BRUNO LINHARES"/>
    <n v="2122.4500000000116"/>
  </r>
  <r>
    <s v="JAIR ASSIS DA SILVA"/>
    <s v="60377348953"/>
    <s v="ATIVO"/>
    <s v="BB SERET SC"/>
    <x v="52"/>
    <s v="BRUNO LINHARES"/>
    <n v="332.75"/>
  </r>
  <r>
    <s v="EDMAR FERREIRA CARDOSO"/>
    <s v="06311884607"/>
    <s v="ATIVO"/>
    <s v="NET METROPOLITANA MG"/>
    <x v="53"/>
    <s v="HUGO ALEXANDRE"/>
    <n v="741.33"/>
  </r>
  <r>
    <s v="JAZEMIR DE SANTANA MARQUES"/>
    <s v="44012861549"/>
    <s v="ATIVO"/>
    <s v="PTB TRANSMISSAO BA"/>
    <x v="54"/>
    <s v="GERSON OLIVEIRA"/>
    <n v="739.2"/>
  </r>
  <r>
    <s v="RAUL ADRIANO DOS SANTOS"/>
    <s v="03288831902"/>
    <s v="ATIVO"/>
    <s v="TRIBUNAL DE JUSTICA PR"/>
    <x v="19"/>
    <s v="BRUNO LINHARES"/>
    <n v="79.119999999999877"/>
  </r>
  <r>
    <s v="DOUGLAS WESLEN CARDOSO DOS SANTOS"/>
    <s v="08784554932"/>
    <s v="ATIVO"/>
    <s v="TRIBUNAL DE JUSTICA PR"/>
    <x v="19"/>
    <s v="BRUNO LINHARES"/>
    <n v="29.900000000000347"/>
  </r>
  <r>
    <s v="MARCELO DE SOUZA DALA VEDOVA"/>
    <s v="05375810654"/>
    <s v="ATIVO"/>
    <s v="CEF FACILITIES BH"/>
    <x v="55"/>
    <s v="HUGO ALEXANDRE"/>
    <n v="260.89999999999918"/>
  </r>
  <r>
    <s v="ARTHUR SANTOS DE OLIVEIRA"/>
    <s v="13921847621"/>
    <s v="ATIVO"/>
    <s v="CLARO INFRA MG"/>
    <x v="12"/>
    <s v="HUGO ALEXANDRE"/>
    <n v="335.58999999999924"/>
  </r>
  <r>
    <s v="EDIBERTO GEORGE RELIQUIAS"/>
    <s v="34596010862"/>
    <s v="ATIVO"/>
    <s v="CEF FACILITIES SP"/>
    <x v="49"/>
    <s v="LEANDRO NUNES"/>
    <n v="0.65999999999985448"/>
  </r>
  <r>
    <s v="ARTHUR GOMES DE PAULO"/>
    <s v="12877857603"/>
    <s v="ATIVO"/>
    <s v="CLARO INFRA MG"/>
    <x v="12"/>
    <s v="HUGO ALEXANDRE"/>
    <n v="322.30000000000103"/>
  </r>
  <r>
    <s v="LEANDRO DE MENEZES ASSUNCAO"/>
    <s v="09072032640"/>
    <s v="ATIVO"/>
    <s v="CLARO INFRA MG"/>
    <x v="12"/>
    <s v="HUGO ALEXANDRE"/>
    <n v="697"/>
  </r>
  <r>
    <s v="ELIANDRO BRUNING"/>
    <s v="00461757923"/>
    <s v="ATIVO"/>
    <s v="TRIBUNAL DE JUSTICA PR"/>
    <x v="19"/>
    <s v="BRUNO LINHARES"/>
    <n v="557.22000000000105"/>
  </r>
  <r>
    <s v="LUIZ PAULO SILVA SOUSA JUNIOR"/>
    <s v="02678045129"/>
    <s v="ATIVO"/>
    <s v="TELEFONICA CO"/>
    <x v="35"/>
    <s v="ANGELICA SOARES"/>
    <n v="148.91999999999467"/>
  </r>
  <r>
    <s v="MARCEL GOMES DE OLIVEIRA"/>
    <s v="29011288823"/>
    <s v="ATIVO"/>
    <s v="CEF LESTE SP"/>
    <x v="47"/>
    <s v="LEANDRO NUNES"/>
    <n v="397.66999999999098"/>
  </r>
  <r>
    <s v="TIAGO DE OLIVEIRA PAIVA"/>
    <s v="10491624719"/>
    <s v="ATIVO"/>
    <s v="PTB REVAP REVITALIZACAO"/>
    <x v="56"/>
    <s v="BRUNO LINHARES"/>
    <n v="596.41"/>
  </r>
  <r>
    <s v="GABRIEL MONTANI FERREIRA"/>
    <s v="09871329970"/>
    <s v="ATIVO"/>
    <s v="TRIBUNAL DE JUSTICA PR"/>
    <x v="19"/>
    <s v="BRUNO LINHARES"/>
    <n v="679.35000000000218"/>
  </r>
  <r>
    <s v="DIEGO DE ALCANTARA MOTA MENDES"/>
    <s v="09407167631"/>
    <s v="ATIVO"/>
    <s v="CEF FACILITIES BH"/>
    <x v="55"/>
    <s v="HUGO ALEXANDRE"/>
    <n v="413.94000000000136"/>
  </r>
  <r>
    <s v="WESLLEY GABRIEL DA SILVA CARDOSO"/>
    <s v="87813416015"/>
    <s v="ATIVO"/>
    <s v="TELEFONICA RS"/>
    <x v="57"/>
    <s v="ALEXANDRE GROSS"/>
    <n v="2695.27"/>
  </r>
  <r>
    <s v="THALITA MANCILIO DIAS GONDIM"/>
    <s v="30941372880"/>
    <s v="ATIVO"/>
    <s v="TRIBUNAL DE JUSTICA SP"/>
    <x v="58"/>
    <s v="LEANDRO NUNES"/>
    <n v="268.98000000000047"/>
  </r>
  <r>
    <s v="LUCAS HENRIQUE ALVES DE OLIVEIRA"/>
    <s v="10977673618"/>
    <s v="ATIVO"/>
    <s v="NET LESTE MG"/>
    <x v="59"/>
    <s v="HUGO ALEXANDRE"/>
    <n v="789.69"/>
  </r>
  <r>
    <s v="ICARO MEDEIROS SILVA"/>
    <s v="01565661338"/>
    <s v="ATIVO"/>
    <s v="CLARO INFRA NORDESTE"/>
    <x v="26"/>
    <s v="FELIPE JOSE"/>
    <n v="203.99999999999909"/>
  </r>
  <r>
    <s v="FABIO PROVESI"/>
    <s v="05731312958"/>
    <s v="ATIVO"/>
    <s v="BB SERET SC"/>
    <x v="52"/>
    <s v="BRUNO LINHARES"/>
    <n v="492.17999999999995"/>
  </r>
  <r>
    <s v="ALAN RODRIGO SILVA ANDRADE"/>
    <s v="07722232469"/>
    <s v="ATIVO"/>
    <s v="BB ALAGOAS"/>
    <x v="60"/>
    <s v="GERSON OLIVEIRA"/>
    <n v="292.57000000000011"/>
  </r>
  <r>
    <s v="JAEDER RODRIGUES JUNIOR"/>
    <s v="07505987607"/>
    <s v="ATIVO"/>
    <s v="CEF NORDESTE MG"/>
    <x v="61"/>
    <s v="HUGO ALEXANDRE"/>
    <n v="3965.01"/>
  </r>
  <r>
    <s v="CARLOS ROBERTO DE CARVALHO PERES"/>
    <s v="09867858816"/>
    <s v="ATIVO"/>
    <s v="CLARO CO"/>
    <x v="27"/>
    <s v="ANGELICA SOARES"/>
    <n v="198.74999999999457"/>
  </r>
  <r>
    <s v="VINICIUS PEIXOTO BONETTI"/>
    <s v="09785002969"/>
    <s v="ATIVO"/>
    <s v="ARTERIS LITORAL SUL SC"/>
    <x v="62"/>
    <s v="BRUNO LINHARES"/>
    <n v="160"/>
  </r>
  <r>
    <s v="JOAO ALEXANDRE LIMA"/>
    <s v="10588522996"/>
    <s v="ATIVO"/>
    <s v="CEF FACILITIES CURITIBA PR"/>
    <x v="9"/>
    <s v="BRUNO LINHARES"/>
    <n v="714.63"/>
  </r>
  <r>
    <s v="JOELSON JUNIOR MARTINS DE GOES"/>
    <s v="03528389907"/>
    <s v="ATIVO"/>
    <s v="UFPR PR"/>
    <x v="63"/>
    <s v="BRUNO LINHARES"/>
    <n v="490.72"/>
  </r>
  <r>
    <s v="EDIPO SANTOS BARRETO"/>
    <s v="37896893860"/>
    <s v="ATIVO"/>
    <s v="TRIBUNAL DE JUSTICA SP"/>
    <x v="58"/>
    <s v="LEANDRO NUNES"/>
    <n v="320.29000000000002"/>
  </r>
  <r>
    <s v="JUNIO VICENTE BARBOSA"/>
    <s v="10054353670"/>
    <s v="ATIVO"/>
    <s v="CEF NORDESTE MG"/>
    <x v="61"/>
    <s v="HUGO ALEXANDRE"/>
    <n v="544.45999999999822"/>
  </r>
  <r>
    <s v="EDSON VEIGA SILVEIRA"/>
    <s v="62063774072"/>
    <s v="ATIVO"/>
    <s v="CLARO CO"/>
    <x v="27"/>
    <s v="ANGELICA SOARES"/>
    <n v="6208.89"/>
  </r>
  <r>
    <s v="AMANDA CRISTINA DA SILVA"/>
    <s v="07809466690"/>
    <s v="ATIVO"/>
    <s v="CEF FACILITIES BH"/>
    <x v="55"/>
    <s v="HUGO ALEXANDRE"/>
    <n v="350.42000000000144"/>
  </r>
  <r>
    <s v="WELERSON PUFF RODRIGUES"/>
    <s v="04352219657"/>
    <s v="ATIVO"/>
    <s v="PROSEGUR MG"/>
    <x v="64"/>
    <s v="HUGO ALEXANDRE"/>
    <n v="1489.9"/>
  </r>
  <r>
    <s v="UELITON SANTANA SANTOS"/>
    <s v="03686605597"/>
    <s v="ATIVO"/>
    <s v="TRANSPETRO BA"/>
    <x v="65"/>
    <s v="GERSON OLIVEIRA"/>
    <n v="405.7"/>
  </r>
  <r>
    <s v="LEANDRO SOUSA"/>
    <s v="00584427905"/>
    <s v="ATIVO"/>
    <s v="PTB AREAS VERDES SC"/>
    <x v="21"/>
    <s v="BRUNO LINHARES"/>
    <n v="332.49000000000024"/>
  </r>
  <r>
    <s v="ADILSON MELLO DE CAMARGO"/>
    <s v="67324398049"/>
    <s v="ATIVO"/>
    <s v="BB SERET RS"/>
    <x v="66"/>
    <s v="ALEXANDRE GROSS"/>
    <n v="592.98"/>
  </r>
  <r>
    <s v="JORGE NEGRI NETO"/>
    <s v="44997574600"/>
    <s v="ATIVO"/>
    <s v="PTB TIC NORDESTE"/>
    <x v="67"/>
    <s v="GERSON OLIVEIRA"/>
    <n v="1494"/>
  </r>
  <r>
    <s v="CLAUDIO DONIZETE DA SILVA"/>
    <s v="93457235953"/>
    <s v="ATIVO"/>
    <s v="TRIBUNAL DE JUSTICA PR"/>
    <x v="19"/>
    <s v="BRUNO LINHARES"/>
    <n v="373.39"/>
  </r>
  <r>
    <s v="SARA ARAGAO DA SILVA BARBOSA"/>
    <s v="49637513809"/>
    <s v="ATIVO"/>
    <s v="BANCO ITAU SP"/>
    <x v="68"/>
    <s v="LEANDRO NUNES"/>
    <n v="1461.25"/>
  </r>
  <r>
    <s v="WALTER LUIZ DE OLIVEIRA BRAGA"/>
    <s v="04042182291"/>
    <s v="ATIVO"/>
    <s v="CLARO CO"/>
    <x v="27"/>
    <s v="ANGELICA SOARES"/>
    <n v="223.18"/>
  </r>
  <r>
    <s v="ANDRE LUIZ SANTANA"/>
    <s v="11897381638"/>
    <s v="ATIVO"/>
    <s v="CEF SERRA GAUCHA RS"/>
    <x v="69"/>
    <s v="ALEXANDRE GROSS"/>
    <n v="2790.87"/>
  </r>
  <r>
    <s v="JESSICA DE MIRANDA MEDEIROS FELICIANO"/>
    <s v="10137575483"/>
    <s v="ATIVO"/>
    <s v="CEF PIRACICABA SP"/>
    <x v="7"/>
    <s v="LEANDRO NUNES"/>
    <n v="1912.07"/>
  </r>
  <r>
    <s v="CELIO GONCALVES DE OLIVEIRA JUNIOR"/>
    <s v="12712136640"/>
    <s v="ATIVO"/>
    <s v="NET LESTE MG"/>
    <x v="59"/>
    <s v="HUGO ALEXANDRE"/>
    <n v="419.7999999999999"/>
  </r>
  <r>
    <s v="RODRIGO ROBERTO DE SOUZA"/>
    <s v="05664820969"/>
    <s v="ATIVO"/>
    <s v="BB GRANDE FLORIANOPOLIS SC"/>
    <x v="70"/>
    <s v="BRUNO LINHARES"/>
    <n v="1466.42"/>
  </r>
  <r>
    <s v="CLAYTON DE OLIVEIRA"/>
    <s v="02928835954"/>
    <s v="ATIVO"/>
    <s v="CLARO INFRA PR"/>
    <x v="25"/>
    <s v="BRUNO EDUARDO"/>
    <n v="55.000000000000128"/>
  </r>
  <r>
    <s v="CLAUDINEI VICENTE DE LIMA"/>
    <s v="91920795987"/>
    <s v="ATIVO"/>
    <s v="CELESC NORTE SC"/>
    <x v="71"/>
    <s v="BRUNO EDUARDO"/>
    <n v="48.39999999999965"/>
  </r>
  <r>
    <s v="CAIOS VINICIUS NUNES BROERING"/>
    <s v="07053418952"/>
    <s v="ATIVO"/>
    <s v="CLARO INFRA SC"/>
    <x v="24"/>
    <s v="BRUNO EDUARDO"/>
    <n v="2161.1999999999998"/>
  </r>
  <r>
    <s v="JEFERSON ZAMPRONIO DA SILVA"/>
    <s v="07060404902"/>
    <s v="ATIVO"/>
    <s v="TRIBUNAL DE JUSTICA PR"/>
    <x v="19"/>
    <s v="BRUNO LINHARES"/>
    <n v="367.8"/>
  </r>
  <r>
    <s v="ANDRE VALERIO DE PAIVA"/>
    <s v="12682517633"/>
    <s v="ATIVO"/>
    <s v="CLARO INFRA MG"/>
    <x v="12"/>
    <s v="HUGO ALEXANDRE"/>
    <n v="188.54999999999995"/>
  </r>
  <r>
    <s v="SIDNEI MACHADO"/>
    <s v="02710155940"/>
    <s v="ATIVO"/>
    <s v="TRIBUNAL DE JUSTICA PR"/>
    <x v="19"/>
    <s v="BRUNO LINHARES"/>
    <n v="503.76"/>
  </r>
  <r>
    <s v="RAFAEL CARNIEL DA SILVA"/>
    <s v="05337927973"/>
    <s v="ATIVO"/>
    <s v="TRIBUNAL DE JUSTICA PR"/>
    <x v="19"/>
    <s v="BRUNO LINHARES"/>
    <n v="432.32"/>
  </r>
  <r>
    <s v="CLAUDEMIR MOREIRA"/>
    <s v="75609444004"/>
    <s v="ATIVO"/>
    <s v="TRIBUNAL DE JUSTICA PR"/>
    <x v="19"/>
    <s v="BRUNO LINHARES"/>
    <n v="566.55999999999995"/>
  </r>
  <r>
    <s v="LUCAS DE PAULA SILVA"/>
    <s v="08204909977"/>
    <s v="ATIVO"/>
    <s v="TRIBUNAL DE JUSTICA PR"/>
    <x v="19"/>
    <s v="BRUNO LINHARES"/>
    <n v="142.00000000000182"/>
  </r>
  <r>
    <s v="MARCIO BOUZAS FERREIRA"/>
    <s v="07318362780"/>
    <s v="ATIVO"/>
    <s v="VTAL CYBER RJ"/>
    <x v="72"/>
    <s v="ALLAN JEFFERSON"/>
    <n v="693.14"/>
  </r>
  <r>
    <s v="BEATRIZ SILVA DE SIQUEIRA"/>
    <s v="35575473880"/>
    <s v="ATIVO"/>
    <s v="CEF SP SUL"/>
    <x v="4"/>
    <s v="LEANDRO NUNES"/>
    <n v="2013.4599999999991"/>
  </r>
  <r>
    <s v="RODRIGO VANZETTA"/>
    <s v="99532344004"/>
    <s v="ATIVO"/>
    <s v="CEF NORTE GAUCHO RS"/>
    <x v="10"/>
    <s v="ALEXANDRE GROSS"/>
    <n v="2769.45"/>
  </r>
  <r>
    <s v="TIAGO FERNANDES SANTOS DE OLIVEIRA"/>
    <s v="00849381533"/>
    <s v="ATIVO"/>
    <s v="CARMO ENERGY"/>
    <x v="73"/>
    <s v="GERSON OLIVEIRA"/>
    <n v="593.33000000000004"/>
  </r>
  <r>
    <s v="CLEBERSON APARECIDO BORGES DOS SANTOS"/>
    <s v="05864921947"/>
    <s v="ATIVO"/>
    <s v="TRIBUNAL DE JUSTICA PR"/>
    <x v="19"/>
    <s v="BRUNO LINHARES"/>
    <n v="705.50999999995111"/>
  </r>
  <r>
    <s v="JORGE ANTONIO VARGAS DA SILVA"/>
    <s v="01063690080"/>
    <s v="ATIVO"/>
    <s v="NET CENTRO RS"/>
    <x v="74"/>
    <s v="ALEXANDRE GROSS"/>
    <n v="247.7"/>
  </r>
  <r>
    <s v="PAULO DE FREITAS PEREIRA"/>
    <s v="11634696611"/>
    <s v="ATIVO"/>
    <s v="CLARO INFRA MG"/>
    <x v="12"/>
    <s v="HUGO ALEXANDRE"/>
    <n v="347.47000000000048"/>
  </r>
  <r>
    <s v="DAVID DE OLIVEIRA FRIGERIO"/>
    <s v="04817177900"/>
    <s v="ATIVO"/>
    <s v="CEF NORTE PR"/>
    <x v="30"/>
    <s v="BRUNO LINHARES"/>
    <n v="2492.88"/>
  </r>
  <r>
    <s v="ANDERSON BICA PEREZ"/>
    <s v="00053957040"/>
    <s v="ATIVO"/>
    <s v="NET PORTO ALEGRE RS"/>
    <x v="16"/>
    <s v="ALEXANDRE GROSS"/>
    <n v="41.950000000000728"/>
  </r>
  <r>
    <s v="ROBERTO DOMINGUES PEREIRA"/>
    <s v="81480261068"/>
    <s v="ATIVO"/>
    <s v="TELEFONICA SC"/>
    <x v="75"/>
    <s v="BRUNO LINHARES"/>
    <n v="593.9"/>
  </r>
  <r>
    <s v="ODAIR CIRCO SOARES"/>
    <s v="84219122915"/>
    <s v="ATIVO"/>
    <s v="TRIBUNAL DE JUSTICA PR"/>
    <x v="19"/>
    <s v="BRUNO LINHARES"/>
    <n v="137.12"/>
  </r>
  <r>
    <s v="MARCELO GIMENEZ ARGEMON"/>
    <s v="95073272153"/>
    <s v="ATIVO"/>
    <s v="CEF FACILITIES CAMPINAS SP"/>
    <x v="76"/>
    <s v="LEANDRO NUNES"/>
    <n v="1763.51"/>
  </r>
  <r>
    <s v="RODRIGO FRANCISCO CORREA"/>
    <s v="03059202940"/>
    <s v="ATIVO"/>
    <s v="TRIBUNAL DE JUSTICA PR"/>
    <x v="19"/>
    <s v="BRUNO LINHARES"/>
    <n v="799.3"/>
  </r>
  <r>
    <s v="RAFAEL NATAL LACHI"/>
    <s v="03710085900"/>
    <s v="ATIVO"/>
    <s v="TRIBUNAL DE JUSTICA PR"/>
    <x v="19"/>
    <s v="BRUNO LINHARES"/>
    <n v="616.6"/>
  </r>
  <r>
    <s v="RODRIGO BALESTRIN"/>
    <s v="02845828918"/>
    <s v="ATIVO"/>
    <s v="CLARO INFRA SC"/>
    <x v="24"/>
    <s v="BRUNO EDUARDO"/>
    <n v="114.57"/>
  </r>
  <r>
    <s v="MARCIO CORREA DA SILVA"/>
    <s v="98717251087"/>
    <s v="ATIVO"/>
    <s v="NET CTA PR"/>
    <x v="77"/>
    <s v="BRUNO LINHARES"/>
    <n v="99.230000000000018"/>
  </r>
  <r>
    <s v="ALESSANDRO RODRIGO PASTRELLI"/>
    <s v="02474960902"/>
    <s v="ATIVO"/>
    <s v="NET APOIO PR"/>
    <x v="78"/>
    <s v="BRUNO LINHARES"/>
    <n v="389.57000000000335"/>
  </r>
  <r>
    <s v="CLEVERSON PAULOUSKI"/>
    <s v="08609699919"/>
    <s v="ATIVO"/>
    <s v="CLARO INFRA PR"/>
    <x v="25"/>
    <s v="BRUNO EDUARDO"/>
    <n v="63.379999999999939"/>
  </r>
  <r>
    <s v="MICHEL DOS SANTOS VENANCIO"/>
    <s v="06271222994"/>
    <s v="ATIVO"/>
    <s v="CLARO INFRA SC"/>
    <x v="24"/>
    <s v="BRUNO EDUARDO"/>
    <n v="90"/>
  </r>
  <r>
    <s v="ISAIAS DA SILVA"/>
    <s v="04083479965"/>
    <s v="ATIVO"/>
    <s v="TRIBUNAL DE JUSTICA PR"/>
    <x v="19"/>
    <s v="BRUNO LINHARES"/>
    <n v="800"/>
  </r>
  <r>
    <s v="JEFERSON ADRIANO WERNER"/>
    <s v="08935547905"/>
    <s v="ATIVO"/>
    <s v="TRIBUNAL DE JUSTICA PR"/>
    <x v="19"/>
    <s v="BRUNO LINHARES"/>
    <n v="795.42"/>
  </r>
  <r>
    <s v="FABIO MARTINS BORGES"/>
    <s v="05492458981"/>
    <s v="ATIVO"/>
    <s v="NET CTA PR"/>
    <x v="77"/>
    <s v="BRUNO LINHARES"/>
    <n v="56.130000000000322"/>
  </r>
  <r>
    <s v="MARCOS SEGER"/>
    <s v="97135631900"/>
    <s v="ATIVO"/>
    <s v="UFPR PR"/>
    <x v="63"/>
    <s v="BRUNO LINHARES"/>
    <n v="147.84000000000003"/>
  </r>
  <r>
    <s v="SERGIO ESTEVAM DEBIAZI"/>
    <s v="02063139342"/>
    <s v="ATIVO"/>
    <s v="CLARO INFRA SC"/>
    <x v="24"/>
    <s v="BRUNO EDUARDO"/>
    <n v="37.700000000000045"/>
  </r>
  <r>
    <s v="DANILO ZANATTA LUCIANO"/>
    <s v="06285125970"/>
    <s v="ATIVO"/>
    <s v="CLARO INFRA SC"/>
    <x v="24"/>
    <s v="BRUNO EDUARDO"/>
    <n v="71.500000000001023"/>
  </r>
  <r>
    <s v="FERNANDO RODRIGUES DUARTE"/>
    <s v="03377983112"/>
    <s v="ATIVO"/>
    <s v="CLARO CO"/>
    <x v="27"/>
    <s v="ANGELICA SOARES"/>
    <n v="3095.96"/>
  </r>
  <r>
    <s v="LUIS FELIPE RAYMUNDO GARCIA"/>
    <s v="06837861999"/>
    <s v="ATIVO"/>
    <s v="CLARO INFRA PR"/>
    <x v="25"/>
    <s v="BRUNO EDUARDO"/>
    <n v="142.11000000000001"/>
  </r>
  <r>
    <s v="DIEGO GRIME DE MELO"/>
    <s v="05597823906"/>
    <s v="ATIVO"/>
    <s v="CLARO INFRA PR"/>
    <x v="25"/>
    <s v="BRUNO EDUARDO"/>
    <n v="23.119999999999894"/>
  </r>
  <r>
    <s v="CREOL APARECIDO DOS SANTOS"/>
    <s v="03363725906"/>
    <s v="ATIVO"/>
    <s v="CLARO INFRA PR"/>
    <x v="25"/>
    <s v="BRUNO EDUARDO"/>
    <n v="22.799999999999713"/>
  </r>
  <r>
    <s v="ADAN LEONARDO SOUZA BATISTA"/>
    <s v="01932662537"/>
    <s v="ATIVO"/>
    <s v="TELEFONICA BA"/>
    <x v="42"/>
    <s v="GERSON OLIVEIRA"/>
    <n v="409.9"/>
  </r>
  <r>
    <s v="DOUGLAS TIAGO DE OLIVEIRA"/>
    <s v="08492402989"/>
    <s v="ATIVO"/>
    <s v="TRIBUNAL DE JUSTICA PR"/>
    <x v="19"/>
    <s v="BRUNO LINHARES"/>
    <n v="750"/>
  </r>
  <r>
    <s v="ARTUR JACO PAGANI DE SOUZA"/>
    <s v="07105914971"/>
    <s v="ATIVO"/>
    <s v="CLARO INFRA SC"/>
    <x v="24"/>
    <s v="BRUNO EDUARDO"/>
    <n v="28.210000000000719"/>
  </r>
  <r>
    <s v="DANIELA CARVALHO STAHLER"/>
    <s v="01066881030"/>
    <s v="ATIVO"/>
    <s v="NET APOIO RS"/>
    <x v="79"/>
    <s v="ALEXANDRE GROSS"/>
    <n v="69.860000000000127"/>
  </r>
  <r>
    <s v="LUCIANO DA SILVA DE PAULA"/>
    <s v="11489828923"/>
    <s v="ATIVO"/>
    <s v="CLARO INFRA PR"/>
    <x v="25"/>
    <s v="BRUNO EDUARDO"/>
    <n v="14.500000000000121"/>
  </r>
  <r>
    <s v="ALISSON RODRIGO RAMBO"/>
    <s v="07338782962"/>
    <s v="ATIVO"/>
    <s v="CLARO INFRA SC"/>
    <x v="24"/>
    <s v="BRUNO EDUARDO"/>
    <n v="80"/>
  </r>
  <r>
    <s v="HIGOR KELVYN SILVA AMORIM"/>
    <s v="09199781930"/>
    <s v="ATIVO"/>
    <s v="TELEFONICA SC"/>
    <x v="75"/>
    <s v="BRUNO LINHARES"/>
    <n v="861.22"/>
  </r>
  <r>
    <s v="ALLAN CRISTIAN DA CUNHA"/>
    <s v="10132301911"/>
    <s v="ATIVO"/>
    <s v="CLARO INFRA PR"/>
    <x v="25"/>
    <s v="BRUNO EDUARDO"/>
    <n v="14.419999999999987"/>
  </r>
  <r>
    <s v="ANTONIO MARCOS CAMARGO"/>
    <s v="04836584990"/>
    <s v="ATIVO"/>
    <s v="TRIBUNAL DE JUSTICA PR"/>
    <x v="19"/>
    <s v="BRUNO LINHARES"/>
    <n v="744.5"/>
  </r>
  <r>
    <s v="ADMILSON DOS SANTOS GALAN"/>
    <s v="04769973993"/>
    <s v="ATIVO"/>
    <s v="CEF NORTE SC"/>
    <x v="15"/>
    <s v="BRUNO LINHARES"/>
    <n v="793.6"/>
  </r>
  <r>
    <s v="ANDERSON RICARDO VIEIRA"/>
    <s v="07822591975"/>
    <s v="ATIVO"/>
    <s v="BB NORTE OESTE PR"/>
    <x v="50"/>
    <s v="BRUNO LINHARES"/>
    <n v="201.99999999999932"/>
  </r>
  <r>
    <s v="JONAS CAVALCANTI DE OLIVEIRA"/>
    <s v="01696239478"/>
    <s v="ATIVO"/>
    <s v="3R PETROLEUM NE"/>
    <x v="80"/>
    <s v="GERSON OLIVEIRA"/>
    <n v="1731.83"/>
  </r>
  <r>
    <s v="LUCAS HENRIQUE PINHO"/>
    <s v="45211709861"/>
    <s v="ATIVO"/>
    <s v="CLARO INFRA PR"/>
    <x v="25"/>
    <s v="BRUNO EDUARDO"/>
    <n v="35.900000000000006"/>
  </r>
  <r>
    <s v="JOSE DO PRADO ROSA"/>
    <s v="78296277972"/>
    <s v="ATIVO"/>
    <s v="CLARO INFRA PR"/>
    <x v="25"/>
    <s v="BRUNO EDUARDO"/>
    <n v="23.909999999999854"/>
  </r>
  <r>
    <s v="MARCELO PEREIRA LIMA"/>
    <s v="10254434894"/>
    <s v="ATIVO"/>
    <s v="BB CAMPINAS SP"/>
    <x v="81"/>
    <s v="LEANDRO NUNES"/>
    <n v="57"/>
  </r>
  <r>
    <s v="WELLINGTON ARION TAVARES"/>
    <s v="04747951954"/>
    <s v="ATIVO"/>
    <s v="TRIBUNAL DE JUSTICA PR"/>
    <x v="19"/>
    <s v="BRUNO LINHARES"/>
    <n v="674.22"/>
  </r>
  <r>
    <s v="ALAERTE JACINTO JUNIOR"/>
    <s v="03071605994"/>
    <s v="ATIVO"/>
    <s v="PTB AREAS VERDES SC"/>
    <x v="21"/>
    <s v="BRUNO LINHARES"/>
    <n v="350"/>
  </r>
  <r>
    <s v="FRANCISCO VALDENIR DE SOUSA"/>
    <s v="79248160387"/>
    <s v="ATIVO"/>
    <s v="CLARO INFRA PR"/>
    <x v="25"/>
    <s v="BRUNO EDUARDO"/>
    <n v="20"/>
  </r>
  <r>
    <s v="DENILSO DIDONE"/>
    <s v="04859818903"/>
    <s v="ATIVO"/>
    <s v="CLARO INFRA SC"/>
    <x v="24"/>
    <s v="BRUNO EDUARDO"/>
    <n v="104.8"/>
  </r>
  <r>
    <s v="JHEFERSON DIASSIS"/>
    <s v="07972796955"/>
    <s v="ATIVO"/>
    <s v="TRIBUNAL DE JUSTICA PR"/>
    <x v="19"/>
    <s v="BRUNO LINHARES"/>
    <n v="741.62"/>
  </r>
  <r>
    <s v="ALESSANDRO DE OLIVEIRA AZEVEDO"/>
    <s v="27494577858"/>
    <s v="ATIVO"/>
    <s v="CEF BAURU SP"/>
    <x v="29"/>
    <s v="LEANDRO NUNES"/>
    <n v="2992.77"/>
  </r>
  <r>
    <s v="JOSE NILDA DA CUNHA"/>
    <s v="69808112900"/>
    <s v="ATIVO"/>
    <s v="CLARO INFRA PR"/>
    <x v="25"/>
    <s v="BRUNO EDUARDO"/>
    <n v="3.2000000000000028"/>
  </r>
  <r>
    <s v="JACSSON MAYLON CASTRO CORREA"/>
    <s v="10206563957"/>
    <s v="ATIVO"/>
    <s v="TRIBUNAL DE JUSTICA PR"/>
    <x v="19"/>
    <s v="BRUNO LINHARES"/>
    <n v="695.94"/>
  </r>
  <r>
    <s v="WELTON GERALDO WROBLEWSKI"/>
    <s v="91443130982"/>
    <s v="ATIVO"/>
    <s v="TRIBUNAL DE JUSTICA PR"/>
    <x v="19"/>
    <s v="BRUNO LINHARES"/>
    <n v="204.01999999999998"/>
  </r>
  <r>
    <s v="CLAUDIO RENALDI NUNES"/>
    <s v="02705722955"/>
    <s v="ATIVO"/>
    <s v="TRIBUNAL DE JUSTICA PR"/>
    <x v="19"/>
    <s v="BRUNO LINHARES"/>
    <n v="309.89999999999998"/>
  </r>
  <r>
    <s v="MAURICIO JOSE CARDOSO"/>
    <s v="98394282091"/>
    <s v="ATIVO"/>
    <s v="GHC ARCON RS"/>
    <x v="82"/>
    <s v="ALEXANDRE GROSS"/>
    <n v="198.89999999999986"/>
  </r>
  <r>
    <s v="MAURO PEDRO SAUGO"/>
    <s v="90573625972"/>
    <s v="ATIVO"/>
    <s v="CLARO INFRA PR"/>
    <x v="25"/>
    <s v="BRUNO EDUARDO"/>
    <n v="41"/>
  </r>
  <r>
    <s v="LUCAS CARVALHO DE SOUZA"/>
    <s v="08781221924"/>
    <s v="ATIVO"/>
    <s v="TRIBUNAL DE JUSTICA PR"/>
    <x v="19"/>
    <s v="BRUNO LINHARES"/>
    <n v="524.51"/>
  </r>
  <r>
    <s v="LEANDRO DE QUADROS"/>
    <s v="03461295914"/>
    <s v="ATIVO"/>
    <s v="TELEFONICA SC"/>
    <x v="75"/>
    <s v="BRUNO LINHARES"/>
    <n v="700"/>
  </r>
  <r>
    <s v="GERSON OLIVEIRA DE CARVALHO"/>
    <s v="78003652553"/>
    <s v="ATIVO"/>
    <s v="ADM FILIAL NE"/>
    <x v="83"/>
    <s v="GERSON OLIVEIRA"/>
    <n v="500"/>
  </r>
  <r>
    <s v="WINDER DE SOUZA PIRES"/>
    <s v="04028795621"/>
    <s v="ATIVO"/>
    <s v="NET LESTE MG"/>
    <x v="59"/>
    <s v="HUGO ALEXANDRE"/>
    <n v="353.9"/>
  </r>
  <r>
    <s v="ANGELICA SOARES AMARANTE SILVA"/>
    <s v="07643300712"/>
    <s v="ATIVO"/>
    <s v="BB PREDIAL MS"/>
    <x v="84"/>
    <s v="ANGELICA SOARES"/>
    <n v="300"/>
  </r>
  <r>
    <s v="WILLIAM SANTANA NUNES"/>
    <s v="95417400068"/>
    <s v="ATIVO"/>
    <s v="GHC ARCON RS"/>
    <x v="82"/>
    <s v="ALEXANDRE GROSS"/>
    <n v="169.2"/>
  </r>
  <r>
    <s v="BRUNA LAIS DOS SANTOS PESSOA"/>
    <s v="13459423625"/>
    <s v="ATIVO"/>
    <s v="ASSEMBLEIA LEGISLATIVA MG"/>
    <x v="85"/>
    <s v="HUGO ALEXANDRE"/>
    <n v="56"/>
  </r>
  <r>
    <s v="CARLOS ALEXANDRE GIGI"/>
    <s v="20005473896"/>
    <s v="ATIVO"/>
    <s v="BB SP"/>
    <x v="86"/>
    <s v="LEANDRO NUNES"/>
    <n v="49.899999999999977"/>
  </r>
  <r>
    <s v="WAGNER DOS SANTOS PEREIRA"/>
    <s v="94512043004"/>
    <s v="ATIVO"/>
    <s v="BB SHOPPING ESTACAO PR"/>
    <x v="87"/>
    <s v="BRUNO LINHARES"/>
    <n v="109.5"/>
  </r>
  <r>
    <s v="OSCAR DOMINGO PALARO"/>
    <s v="03067535960"/>
    <s v="ATIVO"/>
    <s v="TRIBUNAL DE JUSTICA PR"/>
    <x v="19"/>
    <s v="BRUNO LINHARES"/>
    <n v="796.88"/>
  </r>
  <r>
    <s v="LUCAS HENRIQUE CORREA DOS SANTOS"/>
    <s v="10652119964"/>
    <s v="ATIVO"/>
    <s v="CLARO INFRA SC"/>
    <x v="24"/>
    <s v="BRUNO EDUARDO"/>
    <n v="105.35"/>
  </r>
  <r>
    <s v="WILLIAM NORONHA TEIXEIRA"/>
    <s v="02013700008"/>
    <s v="ATIVO"/>
    <s v="NET APOIO RS"/>
    <x v="79"/>
    <s v="ALEXANDRE GROSS"/>
    <n v="86.65"/>
  </r>
  <r>
    <s v="VICTOR MIGUEL PALARO"/>
    <s v="09265596996"/>
    <s v="ATIVO"/>
    <s v="TRIBUNAL DE JUSTICA PR"/>
    <x v="19"/>
    <s v="BRUNO LINHARES"/>
    <n v="585.79999999999995"/>
  </r>
  <r>
    <s v="PATRICK ANTONIEVICZ ALVES"/>
    <s v="06456801923"/>
    <s v="ATIVO"/>
    <s v="TRIBUNAL DE JUSTICA PR"/>
    <x v="19"/>
    <s v="BRUNO LINHARES"/>
    <n v="1334.89"/>
  </r>
  <r>
    <s v="DIVAN ALVES DE AMORIM"/>
    <s v="11422891844"/>
    <s v="ATIVO"/>
    <s v="TRIBUNAL DE JUSTICA PR"/>
    <x v="19"/>
    <s v="BRUNO LINHARES"/>
    <n v="742.9"/>
  </r>
  <r>
    <s v="PRISCILA GOTARDO PEREIRA"/>
    <s v="05168980945"/>
    <s v="ATIVO"/>
    <s v="ADM FILIAL SC"/>
    <x v="88"/>
    <s v="BRUNO LINHARES"/>
    <n v="142.89999999999998"/>
  </r>
  <r>
    <s v="DEBORA ARAUJO FIGUEIREDO"/>
    <s v="85225720030"/>
    <s v="ATIVO"/>
    <s v="DRF NOVO HAMBURGO RS"/>
    <x v="89"/>
    <s v="ALEXANDRE GROSS"/>
    <n v="746.4"/>
  </r>
  <r>
    <s v="RAQUEL PANTOJA SANTOS"/>
    <s v="89395140259"/>
    <s v="ATIVO"/>
    <s v="CEF BELEM FACILITIES PA"/>
    <x v="90"/>
    <s v="ANGELICA SOARES"/>
    <n v="13.080000000000041"/>
  </r>
  <r>
    <s v="PEDRO DO NASCIMENTO FARO"/>
    <s v="42694515215"/>
    <s v="ATIVO"/>
    <s v="CENSIPAM PA"/>
    <x v="91"/>
    <s v="ANGELICA SOARES"/>
    <n v="250"/>
  </r>
  <r>
    <s v="TULIO VELOSO HONORATO"/>
    <s v="12609931670"/>
    <s v="ATIVO"/>
    <s v="BB SUDESTE MG"/>
    <x v="92"/>
    <s v="HUGO ALEXANDRE"/>
    <n v="57.8500000000000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F1BFD2-E256-4FBD-A1C2-FDA867AA100C}" name="Tabela dinâmica5" cacheId="4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2:L96" firstHeaderRow="1" firstDataRow="1" firstDataCol="1"/>
  <pivotFields count="7">
    <pivotField showAll="0"/>
    <pivotField showAll="0"/>
    <pivotField showAll="0"/>
    <pivotField showAll="0"/>
    <pivotField axis="axisRow" numFmtId="1" showAll="0">
      <items count="94">
        <item x="83"/>
        <item x="88"/>
        <item x="18"/>
        <item x="60"/>
        <item x="86"/>
        <item x="84"/>
        <item x="66"/>
        <item x="87"/>
        <item x="92"/>
        <item x="52"/>
        <item x="70"/>
        <item x="81"/>
        <item x="50"/>
        <item x="46"/>
        <item x="44"/>
        <item x="31"/>
        <item x="2"/>
        <item x="48"/>
        <item x="39"/>
        <item x="45"/>
        <item x="36"/>
        <item x="69"/>
        <item x="10"/>
        <item x="23"/>
        <item x="47"/>
        <item x="61"/>
        <item x="15"/>
        <item x="5"/>
        <item x="38"/>
        <item x="90"/>
        <item x="4"/>
        <item x="49"/>
        <item x="6"/>
        <item x="76"/>
        <item x="30"/>
        <item x="55"/>
        <item x="20"/>
        <item x="1"/>
        <item x="7"/>
        <item x="29"/>
        <item x="0"/>
        <item x="9"/>
        <item x="3"/>
        <item x="41"/>
        <item x="8"/>
        <item x="27"/>
        <item x="24"/>
        <item x="25"/>
        <item x="12"/>
        <item x="26"/>
        <item x="40"/>
        <item x="57"/>
        <item x="75"/>
        <item x="35"/>
        <item x="42"/>
        <item x="17"/>
        <item x="19"/>
        <item x="79"/>
        <item x="74"/>
        <item x="16"/>
        <item x="51"/>
        <item x="33"/>
        <item x="78"/>
        <item x="34"/>
        <item x="13"/>
        <item x="82"/>
        <item x="77"/>
        <item x="71"/>
        <item x="62"/>
        <item x="73"/>
        <item x="11"/>
        <item x="68"/>
        <item x="80"/>
        <item x="59"/>
        <item x="63"/>
        <item x="32"/>
        <item x="14"/>
        <item x="89"/>
        <item x="58"/>
        <item x="28"/>
        <item x="53"/>
        <item x="85"/>
        <item x="64"/>
        <item x="91"/>
        <item x="67"/>
        <item x="22"/>
        <item x="37"/>
        <item x="54"/>
        <item x="43"/>
        <item x="56"/>
        <item x="21"/>
        <item x="65"/>
        <item x="72"/>
        <item t="default"/>
      </items>
    </pivotField>
    <pivotField showAll="0"/>
    <pivotField dataField="1" numFmtId="43" showAll="0"/>
  </pivotFields>
  <rowFields count="1">
    <field x="4"/>
  </rowFields>
  <row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rowItems>
  <colItems count="1">
    <i/>
  </colItems>
  <dataFields count="1">
    <dataField name="Soma de CARGA FINAL " fld="6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GESTOR" xr10:uid="{80983408-0691-40ED-88AD-AF9A16600B3B}" sourceName="GESTOR">
  <extLst>
    <x:ext xmlns:x15="http://schemas.microsoft.com/office/spreadsheetml/2010/11/main" uri="{2F2917AC-EB37-4324-AD4E-5DD8C200BD13}">
      <x15:tableSlicerCache tableId="1" column="6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STOR" xr10:uid="{8099B1C5-EFEA-43A4-84CA-F7EAA3C45394}" cache="SegmentaçãodeDados_GESTOR" caption="GESTOR" columnCount="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BED33D-9A1F-4B59-8ECF-DADD45360DAA}" name="Tabela1" displayName="Tabela1" ref="B6:T310" totalsRowShown="0" headerRowDxfId="35" dataDxfId="33" headerRowBorderDxfId="34" tableBorderDxfId="32" totalsRowBorderDxfId="31" dataCellStyle="Vírgula">
  <autoFilter ref="B6:T310" xr:uid="{8ABED33D-9A1F-4B59-8ECF-DADD45360DAA}"/>
  <tableColumns count="19">
    <tableColumn id="1" xr3:uid="{0F608AD9-EDE4-4F6D-B716-A25E9DB8127A}" name="PORTADOR" dataDxfId="30"/>
    <tableColumn id="2" xr3:uid="{41132F03-1C7B-43DE-B226-9DC4920B7B3E}" name="CPF" dataDxfId="29"/>
    <tableColumn id="4" xr3:uid="{25A3F502-F044-4B5E-8A1C-1982C8F70FD0}" name="STATUS COLAB" dataDxfId="15"/>
    <tableColumn id="5" xr3:uid="{B5C6908D-C733-4BC1-B75E-0445A596BA72}" name="CENTRO CUSTO" dataDxfId="28"/>
    <tableColumn id="8" xr3:uid="{F432F3C0-F635-44BD-91D3-13A575D46501}" name="COD CENTRO CUSTO" dataDxfId="12"/>
    <tableColumn id="6" xr3:uid="{F76A4B27-4C16-4601-BBAF-EBD8816270DD}" name="GESTOR" dataDxfId="19"/>
    <tableColumn id="3" xr3:uid="{D77E7CF3-C8CC-4DCC-A44B-900EBE95AE60}" name="DIREÇÃO" dataDxfId="18"/>
    <tableColumn id="7" xr3:uid="{A8D91A84-0697-4155-AE2F-0D70D23BE5EA}" name="SALDO REEMBOLSAR" dataDxfId="13"/>
    <tableColumn id="17" xr3:uid="{2BCBE73A-65BF-41C3-A6E4-1E8721EE2ACE}" name="SALDO PARCIAL PENDENTE" dataDxfId="16" dataCellStyle="Vírgula"/>
    <tableColumn id="9" xr3:uid="{B68F3CA2-C4AF-438A-BBD3-3C8B0FF673DF}" name="1QZ DE FEV 26" dataDxfId="27" dataCellStyle="Vírgula"/>
    <tableColumn id="13" xr3:uid="{86879EA4-34ED-4DE3-AA49-68CB72CE320E}" name="SALDO PENDENTE FINAL" dataDxfId="14" dataCellStyle="Vírgula">
      <calculatedColumnFormula>Tabela1[[#This Row],[SALDO PARCIAL PENDENTE]]-Tabela1[[#This Row],[1QZ DE FEV 26]]</calculatedColumnFormula>
    </tableColumn>
    <tableColumn id="19" xr3:uid="{0F5C7F95-2454-4D13-A54E-7D8DC2509C54}" name="2QZ DE JAN 26" dataDxfId="17" dataCellStyle="Vírgula"/>
    <tableColumn id="10" xr3:uid="{B48EC416-4283-4F65-9587-9DED903138BF}" name="SALDO CARTAO" dataDxfId="26" dataCellStyle="Vírgula"/>
    <tableColumn id="11" xr3:uid="{3487D7B2-D5B7-4500-82E9-B9ECAD656EDE}" name="ADIANTAMENTO" dataDxfId="25" dataCellStyle="Vírgula"/>
    <tableColumn id="12" xr3:uid="{D193E035-C7E0-41E6-8930-9F56F6D84AB5}" name="CARGA PARCIAL" dataDxfId="24" dataCellStyle="Vírgula">
      <calculatedColumnFormula>Tabela1[[#This Row],[2QZ DE JAN 26]]-Tabela1[[#This Row],[SALDO PENDENTE FINAL]]-Tabela1[[#This Row],[SALDO CARTAO]]-Tabela1[[#This Row],[ADIANTAMENTO]]</calculatedColumnFormula>
    </tableColumn>
    <tableColumn id="16" xr3:uid="{DA727568-5830-42CB-98B7-0F935B817BEA}" name="REEMBOLSO" dataDxfId="23" dataCellStyle="Vírgula"/>
    <tableColumn id="14" xr3:uid="{1BA95277-3B95-4B64-979B-4AC870AFDC4A}" name="CARGA FINAL " dataDxfId="22" dataCellStyle="Vírgula">
      <calculatedColumnFormula>IF(#REF!&lt;0,0,#REF!)+Tabela1[[#This Row],[REEMBOLSO]]</calculatedColumnFormula>
    </tableColumn>
    <tableColumn id="21" xr3:uid="{03A02484-0E61-4A6F-A64B-C5CC7C8C2D5E}" name="STATUS DO CARTAO" dataDxfId="21" dataCellStyle="Vírgula"/>
    <tableColumn id="15" xr3:uid="{DB7FAEF1-8BD7-415C-8575-86EC04DE7DCC}" name="OBS " dataDxfId="20" dataCellStyle="Vírgul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amp.vexpenses.com/settings/membros-de-equipe/896044" TargetMode="External"/><Relationship Id="rId21" Type="http://schemas.openxmlformats.org/officeDocument/2006/relationships/hyperlink" Target="https://amp.vexpenses.com/settings/membros-de-equipe/895963" TargetMode="External"/><Relationship Id="rId324" Type="http://schemas.openxmlformats.org/officeDocument/2006/relationships/hyperlink" Target="https://amp.vexpenses.com/settings/membros-de-equipe/896219" TargetMode="External"/><Relationship Id="rId531" Type="http://schemas.openxmlformats.org/officeDocument/2006/relationships/hyperlink" Target="https://amp.vexpenses.com/settings/membros-de-equipe/896387" TargetMode="External"/><Relationship Id="rId170" Type="http://schemas.openxmlformats.org/officeDocument/2006/relationships/hyperlink" Target="https://amp.vexpenses.com/settings/membros-de-equipe/896087" TargetMode="External"/><Relationship Id="rId268" Type="http://schemas.openxmlformats.org/officeDocument/2006/relationships/hyperlink" Target="https://amp.vexpenses.com/settings/membros-de-equipe/896174" TargetMode="External"/><Relationship Id="rId475" Type="http://schemas.openxmlformats.org/officeDocument/2006/relationships/hyperlink" Target="https://amp.vexpenses.com/settings/membros-de-equipe/917059" TargetMode="External"/><Relationship Id="rId32" Type="http://schemas.openxmlformats.org/officeDocument/2006/relationships/hyperlink" Target="https://amp.vexpenses.com/settings/membros-de-equipe/895970" TargetMode="External"/><Relationship Id="rId128" Type="http://schemas.openxmlformats.org/officeDocument/2006/relationships/hyperlink" Target="https://amp.vexpenses.com/settings/membros-de-equipe/896054" TargetMode="External"/><Relationship Id="rId335" Type="http://schemas.openxmlformats.org/officeDocument/2006/relationships/hyperlink" Target="https://amp.vexpenses.com/settings/membros-de-equipe/896225" TargetMode="External"/><Relationship Id="rId181" Type="http://schemas.openxmlformats.org/officeDocument/2006/relationships/hyperlink" Target="https://amp.vexpenses.com/settings/membros-de-equipe/896095" TargetMode="External"/><Relationship Id="rId402" Type="http://schemas.openxmlformats.org/officeDocument/2006/relationships/hyperlink" Target="https://amp.vexpenses.com/settings/membros-de-equipe/896279" TargetMode="External"/><Relationship Id="rId279" Type="http://schemas.openxmlformats.org/officeDocument/2006/relationships/hyperlink" Target="https://amp.vexpenses.com/settings/membros-de-equipe/896184" TargetMode="External"/><Relationship Id="rId486" Type="http://schemas.openxmlformats.org/officeDocument/2006/relationships/hyperlink" Target="https://amp.vexpenses.com/settings/membros-de-equipe/896348" TargetMode="External"/><Relationship Id="rId43" Type="http://schemas.openxmlformats.org/officeDocument/2006/relationships/hyperlink" Target="https://amp.vexpenses.com/settings/membros-de-equipe/934784" TargetMode="External"/><Relationship Id="rId139" Type="http://schemas.openxmlformats.org/officeDocument/2006/relationships/hyperlink" Target="https://amp.vexpenses.com/settings/membros-de-equipe/920852" TargetMode="External"/><Relationship Id="rId346" Type="http://schemas.openxmlformats.org/officeDocument/2006/relationships/hyperlink" Target="https://amp.vexpenses.com/settings/membros-de-equipe/896234" TargetMode="External"/><Relationship Id="rId85" Type="http://schemas.openxmlformats.org/officeDocument/2006/relationships/hyperlink" Target="https://amp.vexpenses.com/settings/membros-de-equipe/952397" TargetMode="External"/><Relationship Id="rId150" Type="http://schemas.openxmlformats.org/officeDocument/2006/relationships/hyperlink" Target="https://amp.vexpenses.com/settings/membros-de-equipe/896074" TargetMode="External"/><Relationship Id="rId192" Type="http://schemas.openxmlformats.org/officeDocument/2006/relationships/hyperlink" Target="https://amp.vexpenses.com/settings/membros-de-equipe/896107" TargetMode="External"/><Relationship Id="rId206" Type="http://schemas.openxmlformats.org/officeDocument/2006/relationships/hyperlink" Target="https://amp.vexpenses.com/settings/membros-de-equipe/896119" TargetMode="External"/><Relationship Id="rId413" Type="http://schemas.openxmlformats.org/officeDocument/2006/relationships/hyperlink" Target="https://amp.vexpenses.com/settings/membros-de-equipe/896288" TargetMode="External"/><Relationship Id="rId248" Type="http://schemas.openxmlformats.org/officeDocument/2006/relationships/hyperlink" Target="https://amp.vexpenses.com/settings/membros-de-equipe/896154" TargetMode="External"/><Relationship Id="rId455" Type="http://schemas.openxmlformats.org/officeDocument/2006/relationships/hyperlink" Target="https://amp.vexpenses.com/settings/membros-de-equipe/896319" TargetMode="External"/><Relationship Id="rId497" Type="http://schemas.openxmlformats.org/officeDocument/2006/relationships/hyperlink" Target="https://amp.vexpenses.com/settings/membros-de-equipe/896397" TargetMode="External"/><Relationship Id="rId12" Type="http://schemas.openxmlformats.org/officeDocument/2006/relationships/hyperlink" Target="https://amp.vexpenses.com/settings/membros-de-equipe/895956" TargetMode="External"/><Relationship Id="rId108" Type="http://schemas.openxmlformats.org/officeDocument/2006/relationships/hyperlink" Target="https://amp.vexpenses.com/settings/membros-de-equipe/917376" TargetMode="External"/><Relationship Id="rId315" Type="http://schemas.openxmlformats.org/officeDocument/2006/relationships/hyperlink" Target="https://amp.vexpenses.com/settings/membros-de-equipe/917049" TargetMode="External"/><Relationship Id="rId357" Type="http://schemas.openxmlformats.org/officeDocument/2006/relationships/hyperlink" Target="https://amp.vexpenses.com/settings/membros-de-equipe/933048" TargetMode="External"/><Relationship Id="rId522" Type="http://schemas.openxmlformats.org/officeDocument/2006/relationships/hyperlink" Target="https://amp.vexpenses.com/settings/membros-de-equipe/896379" TargetMode="External"/><Relationship Id="rId54" Type="http://schemas.openxmlformats.org/officeDocument/2006/relationships/hyperlink" Target="https://amp.vexpenses.com/settings/membros-de-equipe/895989" TargetMode="External"/><Relationship Id="rId96" Type="http://schemas.openxmlformats.org/officeDocument/2006/relationships/hyperlink" Target="https://amp.vexpenses.com/settings/membros-de-equipe/896031" TargetMode="External"/><Relationship Id="rId161" Type="http://schemas.openxmlformats.org/officeDocument/2006/relationships/hyperlink" Target="https://amp.vexpenses.com/settings/membros-de-equipe/896081" TargetMode="External"/><Relationship Id="rId217" Type="http://schemas.openxmlformats.org/officeDocument/2006/relationships/hyperlink" Target="https://amp.vexpenses.com/settings/membros-de-equipe/916374" TargetMode="External"/><Relationship Id="rId399" Type="http://schemas.openxmlformats.org/officeDocument/2006/relationships/hyperlink" Target="https://amp.vexpenses.com/settings/membros-de-equipe/896276" TargetMode="External"/><Relationship Id="rId259" Type="http://schemas.openxmlformats.org/officeDocument/2006/relationships/hyperlink" Target="https://amp.vexpenses.com/settings/membros-de-equipe/896164" TargetMode="External"/><Relationship Id="rId424" Type="http://schemas.openxmlformats.org/officeDocument/2006/relationships/hyperlink" Target="https://amp.vexpenses.com/settings/membros-de-equipe/896296" TargetMode="External"/><Relationship Id="rId466" Type="http://schemas.openxmlformats.org/officeDocument/2006/relationships/hyperlink" Target="https://amp.vexpenses.com/settings/membros-de-equipe/896330" TargetMode="External"/><Relationship Id="rId23" Type="http://schemas.openxmlformats.org/officeDocument/2006/relationships/hyperlink" Target="https://amp.vexpenses.com/settings/membros-de-equipe/895965" TargetMode="External"/><Relationship Id="rId119" Type="http://schemas.openxmlformats.org/officeDocument/2006/relationships/hyperlink" Target="https://amp.vexpenses.com/settings/membros-de-equipe/896045" TargetMode="External"/><Relationship Id="rId270" Type="http://schemas.openxmlformats.org/officeDocument/2006/relationships/hyperlink" Target="https://amp.vexpenses.com/settings/membros-de-equipe/916893" TargetMode="External"/><Relationship Id="rId326" Type="http://schemas.openxmlformats.org/officeDocument/2006/relationships/hyperlink" Target="https://amp.vexpenses.com/settings/membros-de-equipe/891904" TargetMode="External"/><Relationship Id="rId533" Type="http://schemas.openxmlformats.org/officeDocument/2006/relationships/hyperlink" Target="https://amp.vexpenses.com/settings/membros-de-equipe/896389" TargetMode="External"/><Relationship Id="rId65" Type="http://schemas.openxmlformats.org/officeDocument/2006/relationships/hyperlink" Target="https://amp.vexpenses.com/settings/membros-de-equipe/895999" TargetMode="External"/><Relationship Id="rId130" Type="http://schemas.openxmlformats.org/officeDocument/2006/relationships/hyperlink" Target="https://amp.vexpenses.com/settings/membros-de-equipe/896057" TargetMode="External"/><Relationship Id="rId368" Type="http://schemas.openxmlformats.org/officeDocument/2006/relationships/hyperlink" Target="https://amp.vexpenses.com/settings/membros-de-equipe/896249" TargetMode="External"/><Relationship Id="rId172" Type="http://schemas.openxmlformats.org/officeDocument/2006/relationships/hyperlink" Target="https://amp.vexpenses.com/settings/membros-de-equipe/896089" TargetMode="External"/><Relationship Id="rId228" Type="http://schemas.openxmlformats.org/officeDocument/2006/relationships/hyperlink" Target="https://amp.vexpenses.com/settings/membros-de-equipe/896136" TargetMode="External"/><Relationship Id="rId435" Type="http://schemas.openxmlformats.org/officeDocument/2006/relationships/hyperlink" Target="https://amp.vexpenses.com/settings/membros-de-equipe/923649" TargetMode="External"/><Relationship Id="rId477" Type="http://schemas.openxmlformats.org/officeDocument/2006/relationships/hyperlink" Target="https://amp.vexpenses.com/settings/membros-de-equipe/917364" TargetMode="External"/><Relationship Id="rId281" Type="http://schemas.openxmlformats.org/officeDocument/2006/relationships/hyperlink" Target="https://amp.vexpenses.com/settings/membros-de-equipe/896185" TargetMode="External"/><Relationship Id="rId337" Type="http://schemas.openxmlformats.org/officeDocument/2006/relationships/hyperlink" Target="https://amp.vexpenses.com/settings/membros-de-equipe/925993" TargetMode="External"/><Relationship Id="rId502" Type="http://schemas.openxmlformats.org/officeDocument/2006/relationships/hyperlink" Target="https://amp.vexpenses.com/settings/membros-de-equipe/896361" TargetMode="External"/><Relationship Id="rId34" Type="http://schemas.openxmlformats.org/officeDocument/2006/relationships/hyperlink" Target="https://amp.vexpenses.com/settings/membros-de-equipe/895972" TargetMode="External"/><Relationship Id="rId76" Type="http://schemas.openxmlformats.org/officeDocument/2006/relationships/hyperlink" Target="https://amp.vexpenses.com/settings/membros-de-equipe/896011" TargetMode="External"/><Relationship Id="rId141" Type="http://schemas.openxmlformats.org/officeDocument/2006/relationships/hyperlink" Target="https://amp.vexpenses.com/settings/membros-de-equipe/896066" TargetMode="External"/><Relationship Id="rId379" Type="http://schemas.openxmlformats.org/officeDocument/2006/relationships/hyperlink" Target="https://amp.vexpenses.com/settings/membros-de-equipe/896257" TargetMode="External"/><Relationship Id="rId7" Type="http://schemas.openxmlformats.org/officeDocument/2006/relationships/hyperlink" Target="https://amp.vexpenses.com/settings/membros-de-equipe/895949" TargetMode="External"/><Relationship Id="rId183" Type="http://schemas.openxmlformats.org/officeDocument/2006/relationships/hyperlink" Target="https://amp.vexpenses.com/settings/membros-de-equipe/940437" TargetMode="External"/><Relationship Id="rId239" Type="http://schemas.openxmlformats.org/officeDocument/2006/relationships/hyperlink" Target="https://amp.vexpenses.com/settings/membros-de-equipe/958951" TargetMode="External"/><Relationship Id="rId390" Type="http://schemas.openxmlformats.org/officeDocument/2006/relationships/hyperlink" Target="https://amp.vexpenses.com/settings/membros-de-equipe/896267" TargetMode="External"/><Relationship Id="rId404" Type="http://schemas.openxmlformats.org/officeDocument/2006/relationships/hyperlink" Target="https://amp.vexpenses.com/settings/membros-de-equipe/916915" TargetMode="External"/><Relationship Id="rId446" Type="http://schemas.openxmlformats.org/officeDocument/2006/relationships/hyperlink" Target="https://amp.vexpenses.com/settings/membros-de-equipe/896313" TargetMode="External"/><Relationship Id="rId250" Type="http://schemas.openxmlformats.org/officeDocument/2006/relationships/hyperlink" Target="https://amp.vexpenses.com/settings/membros-de-equipe/896157" TargetMode="External"/><Relationship Id="rId292" Type="http://schemas.openxmlformats.org/officeDocument/2006/relationships/hyperlink" Target="https://amp.vexpenses.com/settings/membros-de-equipe/896198" TargetMode="External"/><Relationship Id="rId306" Type="http://schemas.openxmlformats.org/officeDocument/2006/relationships/hyperlink" Target="https://amp.vexpenses.com/settings/membros-de-equipe/896208" TargetMode="External"/><Relationship Id="rId488" Type="http://schemas.openxmlformats.org/officeDocument/2006/relationships/hyperlink" Target="https://amp.vexpenses.com/settings/membros-de-equipe/896350" TargetMode="External"/><Relationship Id="rId45" Type="http://schemas.openxmlformats.org/officeDocument/2006/relationships/hyperlink" Target="https://amp.vexpenses.com/settings/membros-de-equipe/895981" TargetMode="External"/><Relationship Id="rId87" Type="http://schemas.openxmlformats.org/officeDocument/2006/relationships/hyperlink" Target="https://amp.vexpenses.com/settings/membros-de-equipe/896021" TargetMode="External"/><Relationship Id="rId110" Type="http://schemas.openxmlformats.org/officeDocument/2006/relationships/hyperlink" Target="https://amp.vexpenses.com/settings/membros-de-equipe/916919" TargetMode="External"/><Relationship Id="rId348" Type="http://schemas.openxmlformats.org/officeDocument/2006/relationships/hyperlink" Target="https://amp.vexpenses.com/settings/membros-de-equipe/896236" TargetMode="External"/><Relationship Id="rId513" Type="http://schemas.openxmlformats.org/officeDocument/2006/relationships/hyperlink" Target="https://amp.vexpenses.com/settings/membros-de-equipe/922852" TargetMode="External"/><Relationship Id="rId152" Type="http://schemas.openxmlformats.org/officeDocument/2006/relationships/hyperlink" Target="https://amp.vexpenses.com/settings/membros-de-equipe/915374" TargetMode="External"/><Relationship Id="rId194" Type="http://schemas.openxmlformats.org/officeDocument/2006/relationships/hyperlink" Target="https://amp.vexpenses.com/settings/membros-de-equipe/896109" TargetMode="External"/><Relationship Id="rId208" Type="http://schemas.openxmlformats.org/officeDocument/2006/relationships/hyperlink" Target="https://amp.vexpenses.com/settings/membros-de-equipe/896120" TargetMode="External"/><Relationship Id="rId415" Type="http://schemas.openxmlformats.org/officeDocument/2006/relationships/hyperlink" Target="https://amp.vexpenses.com/settings/membros-de-equipe/896290" TargetMode="External"/><Relationship Id="rId457" Type="http://schemas.openxmlformats.org/officeDocument/2006/relationships/hyperlink" Target="https://amp.vexpenses.com/settings/membros-de-equipe/896322" TargetMode="External"/><Relationship Id="rId261" Type="http://schemas.openxmlformats.org/officeDocument/2006/relationships/hyperlink" Target="https://amp.vexpenses.com/settings/membros-de-equipe/896166" TargetMode="External"/><Relationship Id="rId499" Type="http://schemas.openxmlformats.org/officeDocument/2006/relationships/hyperlink" Target="https://amp.vexpenses.com/settings/membros-de-equipe/930440" TargetMode="External"/><Relationship Id="rId14" Type="http://schemas.openxmlformats.org/officeDocument/2006/relationships/hyperlink" Target="https://amp.vexpenses.com/settings/membros-de-equipe/895957" TargetMode="External"/><Relationship Id="rId56" Type="http://schemas.openxmlformats.org/officeDocument/2006/relationships/hyperlink" Target="https://amp.vexpenses.com/settings/membros-de-equipe/895992" TargetMode="External"/><Relationship Id="rId317" Type="http://schemas.openxmlformats.org/officeDocument/2006/relationships/hyperlink" Target="https://amp.vexpenses.com/settings/membros-de-equipe/961469" TargetMode="External"/><Relationship Id="rId359" Type="http://schemas.openxmlformats.org/officeDocument/2006/relationships/hyperlink" Target="https://amp.vexpenses.com/settings/membros-de-equipe/917057" TargetMode="External"/><Relationship Id="rId524" Type="http://schemas.openxmlformats.org/officeDocument/2006/relationships/hyperlink" Target="https://amp.vexpenses.com/settings/membros-de-equipe/923842" TargetMode="External"/><Relationship Id="rId98" Type="http://schemas.openxmlformats.org/officeDocument/2006/relationships/hyperlink" Target="https://amp.vexpenses.com/settings/membros-de-equipe/896033" TargetMode="External"/><Relationship Id="rId121" Type="http://schemas.openxmlformats.org/officeDocument/2006/relationships/hyperlink" Target="https://amp.vexpenses.com/settings/membros-de-equipe/896047" TargetMode="External"/><Relationship Id="rId163" Type="http://schemas.openxmlformats.org/officeDocument/2006/relationships/hyperlink" Target="https://amp.vexpenses.com/settings/membros-de-equipe/896082" TargetMode="External"/><Relationship Id="rId219" Type="http://schemas.openxmlformats.org/officeDocument/2006/relationships/hyperlink" Target="https://amp.vexpenses.com/settings/membros-de-equipe/896128" TargetMode="External"/><Relationship Id="rId370" Type="http://schemas.openxmlformats.org/officeDocument/2006/relationships/hyperlink" Target="https://amp.vexpenses.com/settings/membros-de-equipe/913936" TargetMode="External"/><Relationship Id="rId426" Type="http://schemas.openxmlformats.org/officeDocument/2006/relationships/hyperlink" Target="https://amp.vexpenses.com/settings/membros-de-equipe/920083" TargetMode="External"/><Relationship Id="rId230" Type="http://schemas.openxmlformats.org/officeDocument/2006/relationships/hyperlink" Target="https://amp.vexpenses.com/settings/membros-de-equipe/954733" TargetMode="External"/><Relationship Id="rId468" Type="http://schemas.openxmlformats.org/officeDocument/2006/relationships/hyperlink" Target="https://amp.vexpenses.com/settings/membros-de-equipe/896331" TargetMode="External"/><Relationship Id="rId25" Type="http://schemas.openxmlformats.org/officeDocument/2006/relationships/hyperlink" Target="https://amp.vexpenses.com/settings/membros-de-equipe/895966" TargetMode="External"/><Relationship Id="rId67" Type="http://schemas.openxmlformats.org/officeDocument/2006/relationships/hyperlink" Target="https://amp.vexpenses.com/settings/membros-de-equipe/896001" TargetMode="External"/><Relationship Id="rId272" Type="http://schemas.openxmlformats.org/officeDocument/2006/relationships/hyperlink" Target="https://amp.vexpenses.com/settings/membros-de-equipe/896176" TargetMode="External"/><Relationship Id="rId328" Type="http://schemas.openxmlformats.org/officeDocument/2006/relationships/hyperlink" Target="https://amp.vexpenses.com/settings/membros-de-equipe/896221" TargetMode="External"/><Relationship Id="rId535" Type="http://schemas.openxmlformats.org/officeDocument/2006/relationships/hyperlink" Target="https://amp.vexpenses.com/settings/membros-de-equipe/896391" TargetMode="External"/><Relationship Id="rId132" Type="http://schemas.openxmlformats.org/officeDocument/2006/relationships/hyperlink" Target="https://amp.vexpenses.com/settings/membros-de-equipe/896059" TargetMode="External"/><Relationship Id="rId174" Type="http://schemas.openxmlformats.org/officeDocument/2006/relationships/hyperlink" Target="https://amp.vexpenses.com/settings/membros-de-equipe/896420" TargetMode="External"/><Relationship Id="rId381" Type="http://schemas.openxmlformats.org/officeDocument/2006/relationships/hyperlink" Target="https://amp.vexpenses.com/settings/membros-de-equipe/896259" TargetMode="External"/><Relationship Id="rId241" Type="http://schemas.openxmlformats.org/officeDocument/2006/relationships/hyperlink" Target="https://amp.vexpenses.com/settings/membros-de-equipe/896148" TargetMode="External"/><Relationship Id="rId437" Type="http://schemas.openxmlformats.org/officeDocument/2006/relationships/hyperlink" Target="https://amp.vexpenses.com/settings/membros-de-equipe/921795" TargetMode="External"/><Relationship Id="rId479" Type="http://schemas.openxmlformats.org/officeDocument/2006/relationships/hyperlink" Target="https://amp.vexpenses.com/settings/membros-de-equipe/896340" TargetMode="External"/><Relationship Id="rId36" Type="http://schemas.openxmlformats.org/officeDocument/2006/relationships/hyperlink" Target="https://amp.vexpenses.com/settings/membros-de-equipe/929757" TargetMode="External"/><Relationship Id="rId283" Type="http://schemas.openxmlformats.org/officeDocument/2006/relationships/hyperlink" Target="https://amp.vexpenses.com/settings/membros-de-equipe/896188" TargetMode="External"/><Relationship Id="rId339" Type="http://schemas.openxmlformats.org/officeDocument/2006/relationships/hyperlink" Target="https://amp.vexpenses.com/settings/membros-de-equipe/896228" TargetMode="External"/><Relationship Id="rId490" Type="http://schemas.openxmlformats.org/officeDocument/2006/relationships/hyperlink" Target="https://amp.vexpenses.com/settings/membros-de-equipe/896352" TargetMode="External"/><Relationship Id="rId504" Type="http://schemas.openxmlformats.org/officeDocument/2006/relationships/hyperlink" Target="https://amp.vexpenses.com/settings/membros-de-equipe/896362" TargetMode="External"/><Relationship Id="rId78" Type="http://schemas.openxmlformats.org/officeDocument/2006/relationships/hyperlink" Target="https://amp.vexpenses.com/settings/membros-de-equipe/896014" TargetMode="External"/><Relationship Id="rId101" Type="http://schemas.openxmlformats.org/officeDocument/2006/relationships/hyperlink" Target="https://amp.vexpenses.com/settings/membros-de-equipe/896034" TargetMode="External"/><Relationship Id="rId143" Type="http://schemas.openxmlformats.org/officeDocument/2006/relationships/hyperlink" Target="https://amp.vexpenses.com/settings/membros-de-equipe/896068" TargetMode="External"/><Relationship Id="rId185" Type="http://schemas.openxmlformats.org/officeDocument/2006/relationships/hyperlink" Target="https://amp.vexpenses.com/settings/membros-de-equipe/896101" TargetMode="External"/><Relationship Id="rId350" Type="http://schemas.openxmlformats.org/officeDocument/2006/relationships/hyperlink" Target="https://amp.vexpenses.com/settings/membros-de-equipe/916912" TargetMode="External"/><Relationship Id="rId406" Type="http://schemas.openxmlformats.org/officeDocument/2006/relationships/hyperlink" Target="https://amp.vexpenses.com/settings/membros-de-equipe/896282" TargetMode="External"/><Relationship Id="rId9" Type="http://schemas.openxmlformats.org/officeDocument/2006/relationships/hyperlink" Target="https://amp.vexpenses.com/settings/membros-de-equipe/895952" TargetMode="External"/><Relationship Id="rId210" Type="http://schemas.openxmlformats.org/officeDocument/2006/relationships/hyperlink" Target="https://amp.vexpenses.com/settings/membros-de-equipe/916905" TargetMode="External"/><Relationship Id="rId392" Type="http://schemas.openxmlformats.org/officeDocument/2006/relationships/hyperlink" Target="https://amp.vexpenses.com/settings/membros-de-equipe/896270" TargetMode="External"/><Relationship Id="rId448" Type="http://schemas.openxmlformats.org/officeDocument/2006/relationships/hyperlink" Target="https://amp.vexpenses.com/settings/membros-de-equipe/917081" TargetMode="External"/><Relationship Id="rId252" Type="http://schemas.openxmlformats.org/officeDocument/2006/relationships/hyperlink" Target="https://amp.vexpenses.com/settings/membros-de-equipe/931414" TargetMode="External"/><Relationship Id="rId294" Type="http://schemas.openxmlformats.org/officeDocument/2006/relationships/hyperlink" Target="https://amp.vexpenses.com/settings/membros-de-equipe/896200" TargetMode="External"/><Relationship Id="rId308" Type="http://schemas.openxmlformats.org/officeDocument/2006/relationships/hyperlink" Target="https://amp.vexpenses.com/settings/membros-de-equipe/896210" TargetMode="External"/><Relationship Id="rId515" Type="http://schemas.openxmlformats.org/officeDocument/2006/relationships/hyperlink" Target="https://amp.vexpenses.com/settings/membros-de-equipe/896373" TargetMode="External"/><Relationship Id="rId47" Type="http://schemas.openxmlformats.org/officeDocument/2006/relationships/hyperlink" Target="https://amp.vexpenses.com/settings/membros-de-equipe/895983" TargetMode="External"/><Relationship Id="rId89" Type="http://schemas.openxmlformats.org/officeDocument/2006/relationships/hyperlink" Target="https://amp.vexpenses.com/settings/membros-de-equipe/896024" TargetMode="External"/><Relationship Id="rId112" Type="http://schemas.openxmlformats.org/officeDocument/2006/relationships/hyperlink" Target="https://amp.vexpenses.com/settings/membros-de-equipe/923635" TargetMode="External"/><Relationship Id="rId154" Type="http://schemas.openxmlformats.org/officeDocument/2006/relationships/hyperlink" Target="https://amp.vexpenses.com/settings/membros-de-equipe/920845" TargetMode="External"/><Relationship Id="rId361" Type="http://schemas.openxmlformats.org/officeDocument/2006/relationships/hyperlink" Target="https://amp.vexpenses.com/settings/membros-de-equipe/896244" TargetMode="External"/><Relationship Id="rId196" Type="http://schemas.openxmlformats.org/officeDocument/2006/relationships/hyperlink" Target="https://amp.vexpenses.com/settings/membros-de-equipe/896111" TargetMode="External"/><Relationship Id="rId417" Type="http://schemas.openxmlformats.org/officeDocument/2006/relationships/hyperlink" Target="https://amp.vexpenses.com/settings/membros-de-equipe/896291" TargetMode="External"/><Relationship Id="rId459" Type="http://schemas.openxmlformats.org/officeDocument/2006/relationships/hyperlink" Target="https://amp.vexpenses.com/settings/membros-de-equipe/896324" TargetMode="External"/><Relationship Id="rId16" Type="http://schemas.openxmlformats.org/officeDocument/2006/relationships/hyperlink" Target="https://amp.vexpenses.com/settings/membros-de-equipe/929763" TargetMode="External"/><Relationship Id="rId221" Type="http://schemas.openxmlformats.org/officeDocument/2006/relationships/hyperlink" Target="https://amp.vexpenses.com/settings/membros-de-equipe/896131" TargetMode="External"/><Relationship Id="rId263" Type="http://schemas.openxmlformats.org/officeDocument/2006/relationships/hyperlink" Target="https://amp.vexpenses.com/settings/membros-de-equipe/896168" TargetMode="External"/><Relationship Id="rId319" Type="http://schemas.openxmlformats.org/officeDocument/2006/relationships/hyperlink" Target="https://amp.vexpenses.com/settings/membros-de-equipe/896217" TargetMode="External"/><Relationship Id="rId470" Type="http://schemas.openxmlformats.org/officeDocument/2006/relationships/hyperlink" Target="https://amp.vexpenses.com/settings/membros-de-equipe/896357" TargetMode="External"/><Relationship Id="rId526" Type="http://schemas.openxmlformats.org/officeDocument/2006/relationships/hyperlink" Target="https://amp.vexpenses.com/settings/membros-de-equipe/896381" TargetMode="External"/><Relationship Id="rId58" Type="http://schemas.openxmlformats.org/officeDocument/2006/relationships/hyperlink" Target="https://amp.vexpenses.com/settings/membros-de-equipe/895994" TargetMode="External"/><Relationship Id="rId123" Type="http://schemas.openxmlformats.org/officeDocument/2006/relationships/hyperlink" Target="https://amp.vexpenses.com/settings/membros-de-equipe/896049" TargetMode="External"/><Relationship Id="rId330" Type="http://schemas.openxmlformats.org/officeDocument/2006/relationships/hyperlink" Target="https://amp.vexpenses.com/settings/membros-de-equipe/896222" TargetMode="External"/><Relationship Id="rId165" Type="http://schemas.openxmlformats.org/officeDocument/2006/relationships/hyperlink" Target="https://amp.vexpenses.com/settings/membros-de-equipe/930420" TargetMode="External"/><Relationship Id="rId372" Type="http://schemas.openxmlformats.org/officeDocument/2006/relationships/hyperlink" Target="https://amp.vexpenses.com/settings/membros-de-equipe/896425" TargetMode="External"/><Relationship Id="rId428" Type="http://schemas.openxmlformats.org/officeDocument/2006/relationships/hyperlink" Target="https://amp.vexpenses.com/settings/membros-de-equipe/891978" TargetMode="External"/><Relationship Id="rId232" Type="http://schemas.openxmlformats.org/officeDocument/2006/relationships/hyperlink" Target="https://amp.vexpenses.com/settings/membros-de-equipe/896140" TargetMode="External"/><Relationship Id="rId274" Type="http://schemas.openxmlformats.org/officeDocument/2006/relationships/hyperlink" Target="https://amp.vexpenses.com/settings/membros-de-equipe/896178" TargetMode="External"/><Relationship Id="rId481" Type="http://schemas.openxmlformats.org/officeDocument/2006/relationships/hyperlink" Target="https://amp.vexpenses.com/settings/membros-de-equipe/896342" TargetMode="External"/><Relationship Id="rId27" Type="http://schemas.openxmlformats.org/officeDocument/2006/relationships/hyperlink" Target="https://amp.vexpenses.com/settings/membros-de-equipe/916897" TargetMode="External"/><Relationship Id="rId69" Type="http://schemas.openxmlformats.org/officeDocument/2006/relationships/hyperlink" Target="https://amp.vexpenses.com/settings/membros-de-equipe/896003" TargetMode="External"/><Relationship Id="rId134" Type="http://schemas.openxmlformats.org/officeDocument/2006/relationships/hyperlink" Target="https://amp.vexpenses.com/settings/membros-de-equipe/896061" TargetMode="External"/><Relationship Id="rId537" Type="http://schemas.openxmlformats.org/officeDocument/2006/relationships/hyperlink" Target="https://amp.vexpenses.com/settings/membros-de-equipe/896393" TargetMode="External"/><Relationship Id="rId80" Type="http://schemas.openxmlformats.org/officeDocument/2006/relationships/hyperlink" Target="https://amp.vexpenses.com/settings/membros-de-equipe/930924" TargetMode="External"/><Relationship Id="rId176" Type="http://schemas.openxmlformats.org/officeDocument/2006/relationships/hyperlink" Target="https://amp.vexpenses.com/settings/membros-de-equipe/917078" TargetMode="External"/><Relationship Id="rId341" Type="http://schemas.openxmlformats.org/officeDocument/2006/relationships/hyperlink" Target="https://amp.vexpenses.com/settings/membros-de-equipe/896230" TargetMode="External"/><Relationship Id="rId383" Type="http://schemas.openxmlformats.org/officeDocument/2006/relationships/hyperlink" Target="https://amp.vexpenses.com/settings/membros-de-equipe/891980" TargetMode="External"/><Relationship Id="rId439" Type="http://schemas.openxmlformats.org/officeDocument/2006/relationships/hyperlink" Target="https://amp.vexpenses.com/settings/membros-de-equipe/917065" TargetMode="External"/><Relationship Id="rId201" Type="http://schemas.openxmlformats.org/officeDocument/2006/relationships/hyperlink" Target="https://amp.vexpenses.com/settings/membros-de-equipe/896115" TargetMode="External"/><Relationship Id="rId243" Type="http://schemas.openxmlformats.org/officeDocument/2006/relationships/hyperlink" Target="https://amp.vexpenses.com/settings/membros-de-equipe/896150" TargetMode="External"/><Relationship Id="rId285" Type="http://schemas.openxmlformats.org/officeDocument/2006/relationships/hyperlink" Target="https://amp.vexpenses.com/settings/membros-de-equipe/958523" TargetMode="External"/><Relationship Id="rId450" Type="http://schemas.openxmlformats.org/officeDocument/2006/relationships/hyperlink" Target="https://amp.vexpenses.com/settings/membros-de-equipe/922275" TargetMode="External"/><Relationship Id="rId506" Type="http://schemas.openxmlformats.org/officeDocument/2006/relationships/hyperlink" Target="https://amp.vexpenses.com/settings/membros-de-equipe/896364" TargetMode="External"/><Relationship Id="rId38" Type="http://schemas.openxmlformats.org/officeDocument/2006/relationships/hyperlink" Target="https://amp.vexpenses.com/settings/membros-de-equipe/895976" TargetMode="External"/><Relationship Id="rId103" Type="http://schemas.openxmlformats.org/officeDocument/2006/relationships/hyperlink" Target="https://amp.vexpenses.com/settings/membros-de-equipe/896035" TargetMode="External"/><Relationship Id="rId310" Type="http://schemas.openxmlformats.org/officeDocument/2006/relationships/hyperlink" Target="https://amp.vexpenses.com/settings/membros-de-equipe/922276" TargetMode="External"/><Relationship Id="rId492" Type="http://schemas.openxmlformats.org/officeDocument/2006/relationships/hyperlink" Target="https://amp.vexpenses.com/settings/membros-de-equipe/920862" TargetMode="External"/><Relationship Id="rId91" Type="http://schemas.openxmlformats.org/officeDocument/2006/relationships/hyperlink" Target="https://amp.vexpenses.com/settings/membros-de-equipe/896026" TargetMode="External"/><Relationship Id="rId145" Type="http://schemas.openxmlformats.org/officeDocument/2006/relationships/hyperlink" Target="https://amp.vexpenses.com/settings/membros-de-equipe/930406" TargetMode="External"/><Relationship Id="rId187" Type="http://schemas.openxmlformats.org/officeDocument/2006/relationships/hyperlink" Target="https://amp.vexpenses.com/settings/membros-de-equipe/896102" TargetMode="External"/><Relationship Id="rId352" Type="http://schemas.openxmlformats.org/officeDocument/2006/relationships/hyperlink" Target="https://amp.vexpenses.com/settings/membros-de-equipe/896239" TargetMode="External"/><Relationship Id="rId394" Type="http://schemas.openxmlformats.org/officeDocument/2006/relationships/hyperlink" Target="https://amp.vexpenses.com/settings/membros-de-equipe/896271" TargetMode="External"/><Relationship Id="rId408" Type="http://schemas.openxmlformats.org/officeDocument/2006/relationships/hyperlink" Target="https://amp.vexpenses.com/settings/membros-de-equipe/896284" TargetMode="External"/><Relationship Id="rId212" Type="http://schemas.openxmlformats.org/officeDocument/2006/relationships/hyperlink" Target="https://amp.vexpenses.com/settings/membros-de-equipe/929761" TargetMode="External"/><Relationship Id="rId254" Type="http://schemas.openxmlformats.org/officeDocument/2006/relationships/hyperlink" Target="https://amp.vexpenses.com/settings/membros-de-equipe/930413" TargetMode="External"/><Relationship Id="rId49" Type="http://schemas.openxmlformats.org/officeDocument/2006/relationships/hyperlink" Target="https://amp.vexpenses.com/settings/membros-de-equipe/895985" TargetMode="External"/><Relationship Id="rId114" Type="http://schemas.openxmlformats.org/officeDocument/2006/relationships/hyperlink" Target="https://amp.vexpenses.com/settings/membros-de-equipe/896041" TargetMode="External"/><Relationship Id="rId296" Type="http://schemas.openxmlformats.org/officeDocument/2006/relationships/hyperlink" Target="https://amp.vexpenses.com/settings/membros-de-equipe/896202" TargetMode="External"/><Relationship Id="rId461" Type="http://schemas.openxmlformats.org/officeDocument/2006/relationships/hyperlink" Target="https://amp.vexpenses.com/settings/membros-de-equipe/896326" TargetMode="External"/><Relationship Id="rId517" Type="http://schemas.openxmlformats.org/officeDocument/2006/relationships/hyperlink" Target="https://amp.vexpenses.com/settings/membros-de-equipe/917368" TargetMode="External"/><Relationship Id="rId60" Type="http://schemas.openxmlformats.org/officeDocument/2006/relationships/hyperlink" Target="https://amp.vexpenses.com/settings/membros-de-equipe/895996" TargetMode="External"/><Relationship Id="rId156" Type="http://schemas.openxmlformats.org/officeDocument/2006/relationships/hyperlink" Target="https://amp.vexpenses.com/settings/membros-de-equipe/946535" TargetMode="External"/><Relationship Id="rId198" Type="http://schemas.openxmlformats.org/officeDocument/2006/relationships/hyperlink" Target="https://amp.vexpenses.com/settings/membros-de-equipe/896112" TargetMode="External"/><Relationship Id="rId321" Type="http://schemas.openxmlformats.org/officeDocument/2006/relationships/hyperlink" Target="https://amp.vexpenses.com/settings/membros-de-equipe/916906" TargetMode="External"/><Relationship Id="rId363" Type="http://schemas.openxmlformats.org/officeDocument/2006/relationships/hyperlink" Target="https://amp.vexpenses.com/settings/membros-de-equipe/896245" TargetMode="External"/><Relationship Id="rId419" Type="http://schemas.openxmlformats.org/officeDocument/2006/relationships/hyperlink" Target="https://amp.vexpenses.com/settings/membros-de-equipe/896293" TargetMode="External"/><Relationship Id="rId223" Type="http://schemas.openxmlformats.org/officeDocument/2006/relationships/hyperlink" Target="https://amp.vexpenses.com/settings/membros-de-equipe/917353" TargetMode="External"/><Relationship Id="rId430" Type="http://schemas.openxmlformats.org/officeDocument/2006/relationships/hyperlink" Target="https://amp.vexpenses.com/settings/membros-de-equipe/896299" TargetMode="External"/><Relationship Id="rId18" Type="http://schemas.openxmlformats.org/officeDocument/2006/relationships/hyperlink" Target="https://amp.vexpenses.com/settings/membros-de-equipe/950625" TargetMode="External"/><Relationship Id="rId265" Type="http://schemas.openxmlformats.org/officeDocument/2006/relationships/hyperlink" Target="https://amp.vexpenses.com/settings/membros-de-equipe/896171" TargetMode="External"/><Relationship Id="rId472" Type="http://schemas.openxmlformats.org/officeDocument/2006/relationships/hyperlink" Target="https://amp.vexpenses.com/settings/membros-de-equipe/928097" TargetMode="External"/><Relationship Id="rId528" Type="http://schemas.openxmlformats.org/officeDocument/2006/relationships/hyperlink" Target="https://amp.vexpenses.com/settings/membros-de-equipe/896384" TargetMode="External"/><Relationship Id="rId125" Type="http://schemas.openxmlformats.org/officeDocument/2006/relationships/hyperlink" Target="https://amp.vexpenses.com/settings/membros-de-equipe/896051" TargetMode="External"/><Relationship Id="rId167" Type="http://schemas.openxmlformats.org/officeDocument/2006/relationships/hyperlink" Target="https://amp.vexpenses.com/settings/membros-de-equipe/896085" TargetMode="External"/><Relationship Id="rId332" Type="http://schemas.openxmlformats.org/officeDocument/2006/relationships/hyperlink" Target="https://amp.vexpenses.com/settings/membros-de-equipe/917361" TargetMode="External"/><Relationship Id="rId374" Type="http://schemas.openxmlformats.org/officeDocument/2006/relationships/hyperlink" Target="https://amp.vexpenses.com/settings/membros-de-equipe/896253" TargetMode="External"/><Relationship Id="rId71" Type="http://schemas.openxmlformats.org/officeDocument/2006/relationships/hyperlink" Target="https://amp.vexpenses.com/settings/membros-de-equipe/896005" TargetMode="External"/><Relationship Id="rId234" Type="http://schemas.openxmlformats.org/officeDocument/2006/relationships/hyperlink" Target="https://amp.vexpenses.com/settings/membros-de-equipe/896142" TargetMode="External"/><Relationship Id="rId2" Type="http://schemas.openxmlformats.org/officeDocument/2006/relationships/hyperlink" Target="https://amp.vexpenses.com/settings/membros-de-equipe/923558" TargetMode="External"/><Relationship Id="rId29" Type="http://schemas.openxmlformats.org/officeDocument/2006/relationships/hyperlink" Target="https://amp.vexpenses.com/settings/membros-de-equipe/917318" TargetMode="External"/><Relationship Id="rId276" Type="http://schemas.openxmlformats.org/officeDocument/2006/relationships/hyperlink" Target="https://amp.vexpenses.com/settings/membros-de-equipe/896180" TargetMode="External"/><Relationship Id="rId441" Type="http://schemas.openxmlformats.org/officeDocument/2006/relationships/hyperlink" Target="https://amp.vexpenses.com/settings/membros-de-equipe/896306" TargetMode="External"/><Relationship Id="rId483" Type="http://schemas.openxmlformats.org/officeDocument/2006/relationships/hyperlink" Target="https://amp.vexpenses.com/settings/membros-de-equipe/896344" TargetMode="External"/><Relationship Id="rId539" Type="http://schemas.openxmlformats.org/officeDocument/2006/relationships/hyperlink" Target="https://amp.vexpenses.com/settings/membros-de-equipe/916366" TargetMode="External"/><Relationship Id="rId40" Type="http://schemas.openxmlformats.org/officeDocument/2006/relationships/hyperlink" Target="https://amp.vexpenses.com/settings/membros-de-equipe/895977" TargetMode="External"/><Relationship Id="rId136" Type="http://schemas.openxmlformats.org/officeDocument/2006/relationships/hyperlink" Target="https://amp.vexpenses.com/settings/membros-de-equipe/927175" TargetMode="External"/><Relationship Id="rId178" Type="http://schemas.openxmlformats.org/officeDocument/2006/relationships/hyperlink" Target="https://amp.vexpenses.com/settings/membros-de-equipe/896092" TargetMode="External"/><Relationship Id="rId301" Type="http://schemas.openxmlformats.org/officeDocument/2006/relationships/hyperlink" Target="https://amp.vexpenses.com/settings/membros-de-equipe/896205" TargetMode="External"/><Relationship Id="rId343" Type="http://schemas.openxmlformats.org/officeDocument/2006/relationships/hyperlink" Target="https://amp.vexpenses.com/settings/membros-de-equipe/916932" TargetMode="External"/><Relationship Id="rId82" Type="http://schemas.openxmlformats.org/officeDocument/2006/relationships/hyperlink" Target="https://amp.vexpenses.com/settings/membros-de-equipe/917342" TargetMode="External"/><Relationship Id="rId203" Type="http://schemas.openxmlformats.org/officeDocument/2006/relationships/hyperlink" Target="https://amp.vexpenses.com/settings/membros-de-equipe/896117" TargetMode="External"/><Relationship Id="rId385" Type="http://schemas.openxmlformats.org/officeDocument/2006/relationships/hyperlink" Target="https://amp.vexpenses.com/settings/membros-de-equipe/896264" TargetMode="External"/><Relationship Id="rId245" Type="http://schemas.openxmlformats.org/officeDocument/2006/relationships/hyperlink" Target="https://amp.vexpenses.com/settings/membros-de-equipe/896151" TargetMode="External"/><Relationship Id="rId287" Type="http://schemas.openxmlformats.org/officeDocument/2006/relationships/hyperlink" Target="https://amp.vexpenses.com/settings/membros-de-equipe/896192" TargetMode="External"/><Relationship Id="rId410" Type="http://schemas.openxmlformats.org/officeDocument/2006/relationships/hyperlink" Target="https://amp.vexpenses.com/settings/membros-de-equipe/896286" TargetMode="External"/><Relationship Id="rId452" Type="http://schemas.openxmlformats.org/officeDocument/2006/relationships/hyperlink" Target="https://amp.vexpenses.com/settings/membros-de-equipe/896316" TargetMode="External"/><Relationship Id="rId494" Type="http://schemas.openxmlformats.org/officeDocument/2006/relationships/hyperlink" Target="https://amp.vexpenses.com/settings/membros-de-equipe/896355" TargetMode="External"/><Relationship Id="rId508" Type="http://schemas.openxmlformats.org/officeDocument/2006/relationships/hyperlink" Target="https://amp.vexpenses.com/settings/membros-de-equipe/917052" TargetMode="External"/><Relationship Id="rId105" Type="http://schemas.openxmlformats.org/officeDocument/2006/relationships/hyperlink" Target="https://amp.vexpenses.com/settings/membros-de-equipe/890792" TargetMode="External"/><Relationship Id="rId147" Type="http://schemas.openxmlformats.org/officeDocument/2006/relationships/hyperlink" Target="https://amp.vexpenses.com/settings/membros-de-equipe/896071" TargetMode="External"/><Relationship Id="rId312" Type="http://schemas.openxmlformats.org/officeDocument/2006/relationships/hyperlink" Target="https://amp.vexpenses.com/settings/membros-de-equipe/896213" TargetMode="External"/><Relationship Id="rId354" Type="http://schemas.openxmlformats.org/officeDocument/2006/relationships/hyperlink" Target="https://amp.vexpenses.com/settings/membros-de-equipe/896241" TargetMode="External"/><Relationship Id="rId51" Type="http://schemas.openxmlformats.org/officeDocument/2006/relationships/hyperlink" Target="https://amp.vexpenses.com/settings/membros-de-equipe/895986" TargetMode="External"/><Relationship Id="rId93" Type="http://schemas.openxmlformats.org/officeDocument/2006/relationships/hyperlink" Target="https://amp.vexpenses.com/settings/membros-de-equipe/896028" TargetMode="External"/><Relationship Id="rId189" Type="http://schemas.openxmlformats.org/officeDocument/2006/relationships/hyperlink" Target="https://amp.vexpenses.com/settings/membros-de-equipe/896104" TargetMode="External"/><Relationship Id="rId396" Type="http://schemas.openxmlformats.org/officeDocument/2006/relationships/hyperlink" Target="https://amp.vexpenses.com/settings/membros-de-equipe/896273" TargetMode="External"/><Relationship Id="rId214" Type="http://schemas.openxmlformats.org/officeDocument/2006/relationships/hyperlink" Target="https://amp.vexpenses.com/settings/membros-de-equipe/896123" TargetMode="External"/><Relationship Id="rId256" Type="http://schemas.openxmlformats.org/officeDocument/2006/relationships/hyperlink" Target="https://amp.vexpenses.com/settings/membros-de-equipe/896162" TargetMode="External"/><Relationship Id="rId298" Type="http://schemas.openxmlformats.org/officeDocument/2006/relationships/hyperlink" Target="https://amp.vexpenses.com/settings/membros-de-equipe/896204" TargetMode="External"/><Relationship Id="rId421" Type="http://schemas.openxmlformats.org/officeDocument/2006/relationships/hyperlink" Target="https://amp.vexpenses.com/settings/membros-de-equipe/896294" TargetMode="External"/><Relationship Id="rId463" Type="http://schemas.openxmlformats.org/officeDocument/2006/relationships/hyperlink" Target="https://amp.vexpenses.com/settings/membros-de-equipe/896328" TargetMode="External"/><Relationship Id="rId519" Type="http://schemas.openxmlformats.org/officeDocument/2006/relationships/hyperlink" Target="https://amp.vexpenses.com/settings/membros-de-equipe/896376" TargetMode="External"/><Relationship Id="rId116" Type="http://schemas.openxmlformats.org/officeDocument/2006/relationships/hyperlink" Target="https://amp.vexpenses.com/settings/membros-de-equipe/896043" TargetMode="External"/><Relationship Id="rId158" Type="http://schemas.openxmlformats.org/officeDocument/2006/relationships/hyperlink" Target="https://amp.vexpenses.com/settings/membros-de-equipe/922738" TargetMode="External"/><Relationship Id="rId323" Type="http://schemas.openxmlformats.org/officeDocument/2006/relationships/hyperlink" Target="https://amp.vexpenses.com/settings/membros-de-equipe/916930" TargetMode="External"/><Relationship Id="rId530" Type="http://schemas.openxmlformats.org/officeDocument/2006/relationships/hyperlink" Target="https://amp.vexpenses.com/settings/membros-de-equipe/896386" TargetMode="External"/><Relationship Id="rId20" Type="http://schemas.openxmlformats.org/officeDocument/2006/relationships/hyperlink" Target="https://amp.vexpenses.com/settings/membros-de-equipe/895962" TargetMode="External"/><Relationship Id="rId62" Type="http://schemas.openxmlformats.org/officeDocument/2006/relationships/hyperlink" Target="https://amp.vexpenses.com/settings/membros-de-equipe/917085" TargetMode="External"/><Relationship Id="rId365" Type="http://schemas.openxmlformats.org/officeDocument/2006/relationships/hyperlink" Target="https://amp.vexpenses.com/settings/membros-de-equipe/929759" TargetMode="External"/><Relationship Id="rId225" Type="http://schemas.openxmlformats.org/officeDocument/2006/relationships/hyperlink" Target="https://amp.vexpenses.com/settings/membros-de-equipe/922784" TargetMode="External"/><Relationship Id="rId267" Type="http://schemas.openxmlformats.org/officeDocument/2006/relationships/hyperlink" Target="https://amp.vexpenses.com/settings/membros-de-equipe/896173" TargetMode="External"/><Relationship Id="rId432" Type="http://schemas.openxmlformats.org/officeDocument/2006/relationships/hyperlink" Target="https://amp.vexpenses.com/settings/membros-de-equipe/896301" TargetMode="External"/><Relationship Id="rId474" Type="http://schemas.openxmlformats.org/officeDocument/2006/relationships/hyperlink" Target="https://amp.vexpenses.com/settings/membros-de-equipe/896336" TargetMode="External"/><Relationship Id="rId127" Type="http://schemas.openxmlformats.org/officeDocument/2006/relationships/hyperlink" Target="https://amp.vexpenses.com/settings/membros-de-equipe/896053" TargetMode="External"/><Relationship Id="rId31" Type="http://schemas.openxmlformats.org/officeDocument/2006/relationships/hyperlink" Target="https://amp.vexpenses.com/settings/membros-de-equipe/918852" TargetMode="External"/><Relationship Id="rId73" Type="http://schemas.openxmlformats.org/officeDocument/2006/relationships/hyperlink" Target="https://amp.vexpenses.com/settings/membros-de-equipe/896007" TargetMode="External"/><Relationship Id="rId169" Type="http://schemas.openxmlformats.org/officeDocument/2006/relationships/hyperlink" Target="https://amp.vexpenses.com/settings/membros-de-equipe/946138" TargetMode="External"/><Relationship Id="rId334" Type="http://schemas.openxmlformats.org/officeDocument/2006/relationships/hyperlink" Target="https://amp.vexpenses.com/settings/membros-de-equipe/896224" TargetMode="External"/><Relationship Id="rId376" Type="http://schemas.openxmlformats.org/officeDocument/2006/relationships/hyperlink" Target="https://amp.vexpenses.com/settings/membros-de-equipe/896333" TargetMode="External"/><Relationship Id="rId541" Type="http://schemas.openxmlformats.org/officeDocument/2006/relationships/hyperlink" Target="https://amp.vexpenses.com/settings/membros-de-equipe/896395" TargetMode="External"/><Relationship Id="rId4" Type="http://schemas.openxmlformats.org/officeDocument/2006/relationships/hyperlink" Target="https://amp.vexpenses.com/settings/membros-de-equipe/895946" TargetMode="External"/><Relationship Id="rId180" Type="http://schemas.openxmlformats.org/officeDocument/2006/relationships/hyperlink" Target="https://amp.vexpenses.com/settings/membros-de-equipe/896094" TargetMode="External"/><Relationship Id="rId236" Type="http://schemas.openxmlformats.org/officeDocument/2006/relationships/hyperlink" Target="https://amp.vexpenses.com/settings/membros-de-equipe/923893" TargetMode="External"/><Relationship Id="rId278" Type="http://schemas.openxmlformats.org/officeDocument/2006/relationships/hyperlink" Target="https://amp.vexpenses.com/settings/membros-de-equipe/896183" TargetMode="External"/><Relationship Id="rId401" Type="http://schemas.openxmlformats.org/officeDocument/2006/relationships/hyperlink" Target="https://amp.vexpenses.com/settings/membros-de-equipe/896278" TargetMode="External"/><Relationship Id="rId443" Type="http://schemas.openxmlformats.org/officeDocument/2006/relationships/hyperlink" Target="https://amp.vexpenses.com/settings/membros-de-equipe/896310" TargetMode="External"/><Relationship Id="rId303" Type="http://schemas.openxmlformats.org/officeDocument/2006/relationships/hyperlink" Target="https://amp.vexpenses.com/settings/membros-de-equipe/896206" TargetMode="External"/><Relationship Id="rId485" Type="http://schemas.openxmlformats.org/officeDocument/2006/relationships/hyperlink" Target="https://amp.vexpenses.com/settings/membros-de-equipe/896347" TargetMode="External"/><Relationship Id="rId42" Type="http://schemas.openxmlformats.org/officeDocument/2006/relationships/hyperlink" Target="https://amp.vexpenses.com/settings/membros-de-equipe/952448" TargetMode="External"/><Relationship Id="rId84" Type="http://schemas.openxmlformats.org/officeDocument/2006/relationships/hyperlink" Target="https://amp.vexpenses.com/settings/membros-de-equipe/896019" TargetMode="External"/><Relationship Id="rId138" Type="http://schemas.openxmlformats.org/officeDocument/2006/relationships/hyperlink" Target="https://amp.vexpenses.com/settings/membros-de-equipe/896064" TargetMode="External"/><Relationship Id="rId345" Type="http://schemas.openxmlformats.org/officeDocument/2006/relationships/hyperlink" Target="https://amp.vexpenses.com/settings/membros-de-equipe/896233" TargetMode="External"/><Relationship Id="rId387" Type="http://schemas.openxmlformats.org/officeDocument/2006/relationships/hyperlink" Target="https://amp.vexpenses.com/settings/membros-de-equipe/896266" TargetMode="External"/><Relationship Id="rId510" Type="http://schemas.openxmlformats.org/officeDocument/2006/relationships/hyperlink" Target="https://amp.vexpenses.com/settings/membros-de-equipe/896367" TargetMode="External"/><Relationship Id="rId191" Type="http://schemas.openxmlformats.org/officeDocument/2006/relationships/hyperlink" Target="https://amp.vexpenses.com/settings/membros-de-equipe/896106" TargetMode="External"/><Relationship Id="rId205" Type="http://schemas.openxmlformats.org/officeDocument/2006/relationships/hyperlink" Target="https://amp.vexpenses.com/settings/membros-de-equipe/896118" TargetMode="External"/><Relationship Id="rId247" Type="http://schemas.openxmlformats.org/officeDocument/2006/relationships/hyperlink" Target="https://amp.vexpenses.com/settings/membros-de-equipe/896153" TargetMode="External"/><Relationship Id="rId412" Type="http://schemas.openxmlformats.org/officeDocument/2006/relationships/hyperlink" Target="https://amp.vexpenses.com/settings/membros-de-equipe/896287" TargetMode="External"/><Relationship Id="rId107" Type="http://schemas.openxmlformats.org/officeDocument/2006/relationships/hyperlink" Target="https://amp.vexpenses.com/settings/membros-de-equipe/896037" TargetMode="External"/><Relationship Id="rId289" Type="http://schemas.openxmlformats.org/officeDocument/2006/relationships/hyperlink" Target="https://amp.vexpenses.com/settings/membros-de-equipe/896195" TargetMode="External"/><Relationship Id="rId454" Type="http://schemas.openxmlformats.org/officeDocument/2006/relationships/hyperlink" Target="https://amp.vexpenses.com/settings/membros-de-equipe/896318" TargetMode="External"/><Relationship Id="rId496" Type="http://schemas.openxmlformats.org/officeDocument/2006/relationships/hyperlink" Target="https://amp.vexpenses.com/settings/membros-de-equipe/896356" TargetMode="External"/><Relationship Id="rId11" Type="http://schemas.openxmlformats.org/officeDocument/2006/relationships/hyperlink" Target="https://amp.vexpenses.com/settings/membros-de-equipe/895955" TargetMode="External"/><Relationship Id="rId53" Type="http://schemas.openxmlformats.org/officeDocument/2006/relationships/hyperlink" Target="https://amp.vexpenses.com/settings/membros-de-equipe/895988" TargetMode="External"/><Relationship Id="rId149" Type="http://schemas.openxmlformats.org/officeDocument/2006/relationships/hyperlink" Target="https://amp.vexpenses.com/settings/membros-de-equipe/896073" TargetMode="External"/><Relationship Id="rId314" Type="http://schemas.openxmlformats.org/officeDocument/2006/relationships/hyperlink" Target="https://amp.vexpenses.com/settings/membros-de-equipe/896214" TargetMode="External"/><Relationship Id="rId356" Type="http://schemas.openxmlformats.org/officeDocument/2006/relationships/hyperlink" Target="https://amp.vexpenses.com/settings/membros-de-equipe/896243" TargetMode="External"/><Relationship Id="rId398" Type="http://schemas.openxmlformats.org/officeDocument/2006/relationships/hyperlink" Target="https://amp.vexpenses.com/settings/membros-de-equipe/896275" TargetMode="External"/><Relationship Id="rId521" Type="http://schemas.openxmlformats.org/officeDocument/2006/relationships/hyperlink" Target="https://amp.vexpenses.com/settings/membros-de-equipe/896378" TargetMode="External"/><Relationship Id="rId95" Type="http://schemas.openxmlformats.org/officeDocument/2006/relationships/hyperlink" Target="https://amp.vexpenses.com/settings/membros-de-equipe/896030" TargetMode="External"/><Relationship Id="rId160" Type="http://schemas.openxmlformats.org/officeDocument/2006/relationships/hyperlink" Target="https://amp.vexpenses.com/settings/membros-de-equipe/961468" TargetMode="External"/><Relationship Id="rId216" Type="http://schemas.openxmlformats.org/officeDocument/2006/relationships/hyperlink" Target="https://amp.vexpenses.com/settings/membros-de-equipe/896125" TargetMode="External"/><Relationship Id="rId423" Type="http://schemas.openxmlformats.org/officeDocument/2006/relationships/hyperlink" Target="https://amp.vexpenses.com/settings/membros-de-equipe/920825" TargetMode="External"/><Relationship Id="rId258" Type="http://schemas.openxmlformats.org/officeDocument/2006/relationships/hyperlink" Target="https://amp.vexpenses.com/settings/membros-de-equipe/916884" TargetMode="External"/><Relationship Id="rId465" Type="http://schemas.openxmlformats.org/officeDocument/2006/relationships/hyperlink" Target="https://amp.vexpenses.com/settings/membros-de-equipe/896329" TargetMode="External"/><Relationship Id="rId22" Type="http://schemas.openxmlformats.org/officeDocument/2006/relationships/hyperlink" Target="https://amp.vexpenses.com/settings/membros-de-equipe/895964" TargetMode="External"/><Relationship Id="rId64" Type="http://schemas.openxmlformats.org/officeDocument/2006/relationships/hyperlink" Target="https://amp.vexpenses.com/settings/membros-de-equipe/930416" TargetMode="External"/><Relationship Id="rId118" Type="http://schemas.openxmlformats.org/officeDocument/2006/relationships/hyperlink" Target="https://amp.vexpenses.com/settings/membros-de-equipe/917345" TargetMode="External"/><Relationship Id="rId325" Type="http://schemas.openxmlformats.org/officeDocument/2006/relationships/hyperlink" Target="https://amp.vexpenses.com/settings/membros-de-equipe/896220" TargetMode="External"/><Relationship Id="rId367" Type="http://schemas.openxmlformats.org/officeDocument/2006/relationships/hyperlink" Target="https://amp.vexpenses.com/settings/membros-de-equipe/896248" TargetMode="External"/><Relationship Id="rId532" Type="http://schemas.openxmlformats.org/officeDocument/2006/relationships/hyperlink" Target="https://amp.vexpenses.com/settings/membros-de-equipe/896388" TargetMode="External"/><Relationship Id="rId171" Type="http://schemas.openxmlformats.org/officeDocument/2006/relationships/hyperlink" Target="https://amp.vexpenses.com/settings/membros-de-equipe/896088" TargetMode="External"/><Relationship Id="rId227" Type="http://schemas.openxmlformats.org/officeDocument/2006/relationships/hyperlink" Target="https://amp.vexpenses.com/settings/membros-de-equipe/896135" TargetMode="External"/><Relationship Id="rId269" Type="http://schemas.openxmlformats.org/officeDocument/2006/relationships/hyperlink" Target="https://amp.vexpenses.com/settings/membros-de-equipe/957803" TargetMode="External"/><Relationship Id="rId434" Type="http://schemas.openxmlformats.org/officeDocument/2006/relationships/hyperlink" Target="https://amp.vexpenses.com/settings/membros-de-equipe/896303" TargetMode="External"/><Relationship Id="rId476" Type="http://schemas.openxmlformats.org/officeDocument/2006/relationships/hyperlink" Target="https://amp.vexpenses.com/settings/membros-de-equipe/896338" TargetMode="External"/><Relationship Id="rId33" Type="http://schemas.openxmlformats.org/officeDocument/2006/relationships/hyperlink" Target="https://amp.vexpenses.com/settings/membros-de-equipe/895971" TargetMode="External"/><Relationship Id="rId129" Type="http://schemas.openxmlformats.org/officeDocument/2006/relationships/hyperlink" Target="https://amp.vexpenses.com/settings/membros-de-equipe/896055" TargetMode="External"/><Relationship Id="rId280" Type="http://schemas.openxmlformats.org/officeDocument/2006/relationships/hyperlink" Target="https://amp.vexpenses.com/settings/membros-de-equipe/921535" TargetMode="External"/><Relationship Id="rId336" Type="http://schemas.openxmlformats.org/officeDocument/2006/relationships/hyperlink" Target="https://amp.vexpenses.com/settings/membros-de-equipe/896226" TargetMode="External"/><Relationship Id="rId501" Type="http://schemas.openxmlformats.org/officeDocument/2006/relationships/hyperlink" Target="https://amp.vexpenses.com/settings/membros-de-equipe/896360" TargetMode="External"/><Relationship Id="rId75" Type="http://schemas.openxmlformats.org/officeDocument/2006/relationships/hyperlink" Target="https://amp.vexpenses.com/settings/membros-de-equipe/896009" TargetMode="External"/><Relationship Id="rId140" Type="http://schemas.openxmlformats.org/officeDocument/2006/relationships/hyperlink" Target="https://amp.vexpenses.com/settings/membros-de-equipe/896065" TargetMode="External"/><Relationship Id="rId182" Type="http://schemas.openxmlformats.org/officeDocument/2006/relationships/hyperlink" Target="https://amp.vexpenses.com/settings/membros-de-equipe/896096" TargetMode="External"/><Relationship Id="rId378" Type="http://schemas.openxmlformats.org/officeDocument/2006/relationships/hyperlink" Target="https://amp.vexpenses.com/settings/membros-de-equipe/896256" TargetMode="External"/><Relationship Id="rId403" Type="http://schemas.openxmlformats.org/officeDocument/2006/relationships/hyperlink" Target="https://amp.vexpenses.com/settings/membros-de-equipe/896280" TargetMode="External"/><Relationship Id="rId6" Type="http://schemas.openxmlformats.org/officeDocument/2006/relationships/hyperlink" Target="https://amp.vexpenses.com/settings/membros-de-equipe/895948" TargetMode="External"/><Relationship Id="rId238" Type="http://schemas.openxmlformats.org/officeDocument/2006/relationships/hyperlink" Target="https://amp.vexpenses.com/settings/membros-de-equipe/896145" TargetMode="External"/><Relationship Id="rId445" Type="http://schemas.openxmlformats.org/officeDocument/2006/relationships/hyperlink" Target="https://amp.vexpenses.com/settings/membros-de-equipe/896312" TargetMode="External"/><Relationship Id="rId487" Type="http://schemas.openxmlformats.org/officeDocument/2006/relationships/hyperlink" Target="https://amp.vexpenses.com/settings/membros-de-equipe/896349" TargetMode="External"/><Relationship Id="rId291" Type="http://schemas.openxmlformats.org/officeDocument/2006/relationships/hyperlink" Target="https://amp.vexpenses.com/settings/membros-de-equipe/896197" TargetMode="External"/><Relationship Id="rId305" Type="http://schemas.openxmlformats.org/officeDocument/2006/relationships/hyperlink" Target="https://amp.vexpenses.com/settings/membros-de-equipe/916936" TargetMode="External"/><Relationship Id="rId347" Type="http://schemas.openxmlformats.org/officeDocument/2006/relationships/hyperlink" Target="https://amp.vexpenses.com/settings/membros-de-equipe/896235" TargetMode="External"/><Relationship Id="rId512" Type="http://schemas.openxmlformats.org/officeDocument/2006/relationships/hyperlink" Target="https://amp.vexpenses.com/settings/membros-de-equipe/931255" TargetMode="External"/><Relationship Id="rId44" Type="http://schemas.openxmlformats.org/officeDocument/2006/relationships/hyperlink" Target="https://amp.vexpenses.com/settings/membros-de-equipe/917324" TargetMode="External"/><Relationship Id="rId86" Type="http://schemas.openxmlformats.org/officeDocument/2006/relationships/hyperlink" Target="https://amp.vexpenses.com/settings/membros-de-equipe/896020" TargetMode="External"/><Relationship Id="rId151" Type="http://schemas.openxmlformats.org/officeDocument/2006/relationships/hyperlink" Target="https://amp.vexpenses.com/settings/membros-de-equipe/896075" TargetMode="External"/><Relationship Id="rId389" Type="http://schemas.openxmlformats.org/officeDocument/2006/relationships/hyperlink" Target="https://amp.vexpenses.com/settings/membros-de-equipe/917363" TargetMode="External"/><Relationship Id="rId193" Type="http://schemas.openxmlformats.org/officeDocument/2006/relationships/hyperlink" Target="https://amp.vexpenses.com/settings/membros-de-equipe/917075" TargetMode="External"/><Relationship Id="rId207" Type="http://schemas.openxmlformats.org/officeDocument/2006/relationships/hyperlink" Target="https://amp.vexpenses.com/settings/membros-de-equipe/929756" TargetMode="External"/><Relationship Id="rId249" Type="http://schemas.openxmlformats.org/officeDocument/2006/relationships/hyperlink" Target="https://amp.vexpenses.com/settings/membros-de-equipe/896156" TargetMode="External"/><Relationship Id="rId414" Type="http://schemas.openxmlformats.org/officeDocument/2006/relationships/hyperlink" Target="https://amp.vexpenses.com/settings/membros-de-equipe/896289" TargetMode="External"/><Relationship Id="rId456" Type="http://schemas.openxmlformats.org/officeDocument/2006/relationships/hyperlink" Target="https://amp.vexpenses.com/settings/membros-de-equipe/896321" TargetMode="External"/><Relationship Id="rId498" Type="http://schemas.openxmlformats.org/officeDocument/2006/relationships/hyperlink" Target="https://amp.vexpenses.com/settings/membros-de-equipe/896358" TargetMode="External"/><Relationship Id="rId13" Type="http://schemas.openxmlformats.org/officeDocument/2006/relationships/hyperlink" Target="https://amp.vexpenses.com/settings/membros-de-equipe/916910" TargetMode="External"/><Relationship Id="rId109" Type="http://schemas.openxmlformats.org/officeDocument/2006/relationships/hyperlink" Target="https://amp.vexpenses.com/settings/membros-de-equipe/930913" TargetMode="External"/><Relationship Id="rId260" Type="http://schemas.openxmlformats.org/officeDocument/2006/relationships/hyperlink" Target="https://amp.vexpenses.com/settings/membros-de-equipe/896165" TargetMode="External"/><Relationship Id="rId316" Type="http://schemas.openxmlformats.org/officeDocument/2006/relationships/hyperlink" Target="https://amp.vexpenses.com/settings/membros-de-equipe/896215" TargetMode="External"/><Relationship Id="rId523" Type="http://schemas.openxmlformats.org/officeDocument/2006/relationships/hyperlink" Target="https://amp.vexpenses.com/settings/membros-de-equipe/957806" TargetMode="External"/><Relationship Id="rId55" Type="http://schemas.openxmlformats.org/officeDocument/2006/relationships/hyperlink" Target="https://amp.vexpenses.com/settings/membros-de-equipe/895991" TargetMode="External"/><Relationship Id="rId97" Type="http://schemas.openxmlformats.org/officeDocument/2006/relationships/hyperlink" Target="https://amp.vexpenses.com/settings/membros-de-equipe/896032" TargetMode="External"/><Relationship Id="rId120" Type="http://schemas.openxmlformats.org/officeDocument/2006/relationships/hyperlink" Target="https://amp.vexpenses.com/settings/membros-de-equipe/896046" TargetMode="External"/><Relationship Id="rId358" Type="http://schemas.openxmlformats.org/officeDocument/2006/relationships/hyperlink" Target="https://amp.vexpenses.com/settings/membros-de-equipe/928767" TargetMode="External"/><Relationship Id="rId162" Type="http://schemas.openxmlformats.org/officeDocument/2006/relationships/hyperlink" Target="https://amp.vexpenses.com/settings/membros-de-equipe/920872" TargetMode="External"/><Relationship Id="rId218" Type="http://schemas.openxmlformats.org/officeDocument/2006/relationships/hyperlink" Target="https://amp.vexpenses.com/settings/membros-de-equipe/896127" TargetMode="External"/><Relationship Id="rId425" Type="http://schemas.openxmlformats.org/officeDocument/2006/relationships/hyperlink" Target="https://amp.vexpenses.com/settings/membros-de-equipe/896297" TargetMode="External"/><Relationship Id="rId467" Type="http://schemas.openxmlformats.org/officeDocument/2006/relationships/hyperlink" Target="https://amp.vexpenses.com/settings/membros-de-equipe/963612" TargetMode="External"/><Relationship Id="rId271" Type="http://schemas.openxmlformats.org/officeDocument/2006/relationships/hyperlink" Target="https://amp.vexpenses.com/settings/membros-de-equipe/896175" TargetMode="External"/><Relationship Id="rId24" Type="http://schemas.openxmlformats.org/officeDocument/2006/relationships/hyperlink" Target="https://amp.vexpenses.com/settings/membros-de-equipe/917314" TargetMode="External"/><Relationship Id="rId66" Type="http://schemas.openxmlformats.org/officeDocument/2006/relationships/hyperlink" Target="https://amp.vexpenses.com/settings/membros-de-equipe/896000" TargetMode="External"/><Relationship Id="rId131" Type="http://schemas.openxmlformats.org/officeDocument/2006/relationships/hyperlink" Target="https://amp.vexpenses.com/settings/membros-de-equipe/896058" TargetMode="External"/><Relationship Id="rId327" Type="http://schemas.openxmlformats.org/officeDocument/2006/relationships/hyperlink" Target="https://amp.vexpenses.com/settings/membros-de-equipe/940725" TargetMode="External"/><Relationship Id="rId369" Type="http://schemas.openxmlformats.org/officeDocument/2006/relationships/hyperlink" Target="https://amp.vexpenses.com/settings/membros-de-equipe/896250" TargetMode="External"/><Relationship Id="rId534" Type="http://schemas.openxmlformats.org/officeDocument/2006/relationships/hyperlink" Target="https://amp.vexpenses.com/settings/membros-de-equipe/896390" TargetMode="External"/><Relationship Id="rId173" Type="http://schemas.openxmlformats.org/officeDocument/2006/relationships/hyperlink" Target="https://amp.vexpenses.com/settings/membros-de-equipe/896090" TargetMode="External"/><Relationship Id="rId229" Type="http://schemas.openxmlformats.org/officeDocument/2006/relationships/hyperlink" Target="https://amp.vexpenses.com/settings/membros-de-equipe/896137" TargetMode="External"/><Relationship Id="rId380" Type="http://schemas.openxmlformats.org/officeDocument/2006/relationships/hyperlink" Target="https://amp.vexpenses.com/settings/membros-de-equipe/896258" TargetMode="External"/><Relationship Id="rId436" Type="http://schemas.openxmlformats.org/officeDocument/2006/relationships/hyperlink" Target="https://amp.vexpenses.com/settings/membros-de-equipe/896304" TargetMode="External"/><Relationship Id="rId240" Type="http://schemas.openxmlformats.org/officeDocument/2006/relationships/hyperlink" Target="https://amp.vexpenses.com/settings/membros-de-equipe/896147" TargetMode="External"/><Relationship Id="rId478" Type="http://schemas.openxmlformats.org/officeDocument/2006/relationships/hyperlink" Target="https://amp.vexpenses.com/settings/membros-de-equipe/896339" TargetMode="External"/><Relationship Id="rId35" Type="http://schemas.openxmlformats.org/officeDocument/2006/relationships/hyperlink" Target="https://amp.vexpenses.com/settings/membros-de-equipe/895974" TargetMode="External"/><Relationship Id="rId77" Type="http://schemas.openxmlformats.org/officeDocument/2006/relationships/hyperlink" Target="https://amp.vexpenses.com/settings/membros-de-equipe/896012" TargetMode="External"/><Relationship Id="rId100" Type="http://schemas.openxmlformats.org/officeDocument/2006/relationships/hyperlink" Target="https://amp.vexpenses.com/settings/membros-de-equipe/935041" TargetMode="External"/><Relationship Id="rId282" Type="http://schemas.openxmlformats.org/officeDocument/2006/relationships/hyperlink" Target="https://amp.vexpenses.com/settings/membros-de-equipe/896186" TargetMode="External"/><Relationship Id="rId338" Type="http://schemas.openxmlformats.org/officeDocument/2006/relationships/hyperlink" Target="https://amp.vexpenses.com/settings/membros-de-equipe/896227" TargetMode="External"/><Relationship Id="rId503" Type="http://schemas.openxmlformats.org/officeDocument/2006/relationships/hyperlink" Target="https://amp.vexpenses.com/settings/membros-de-equipe/920855" TargetMode="External"/><Relationship Id="rId8" Type="http://schemas.openxmlformats.org/officeDocument/2006/relationships/hyperlink" Target="https://amp.vexpenses.com/settings/membros-de-equipe/895950" TargetMode="External"/><Relationship Id="rId142" Type="http://schemas.openxmlformats.org/officeDocument/2006/relationships/hyperlink" Target="https://amp.vexpenses.com/settings/membros-de-equipe/896067" TargetMode="External"/><Relationship Id="rId184" Type="http://schemas.openxmlformats.org/officeDocument/2006/relationships/hyperlink" Target="https://amp.vexpenses.com/settings/membros-de-equipe/896099" TargetMode="External"/><Relationship Id="rId391" Type="http://schemas.openxmlformats.org/officeDocument/2006/relationships/hyperlink" Target="https://amp.vexpenses.com/settings/membros-de-equipe/896269" TargetMode="External"/><Relationship Id="rId405" Type="http://schemas.openxmlformats.org/officeDocument/2006/relationships/hyperlink" Target="https://amp.vexpenses.com/settings/membros-de-equipe/896281" TargetMode="External"/><Relationship Id="rId447" Type="http://schemas.openxmlformats.org/officeDocument/2006/relationships/hyperlink" Target="https://amp.vexpenses.com/settings/membros-de-equipe/896314" TargetMode="External"/><Relationship Id="rId251" Type="http://schemas.openxmlformats.org/officeDocument/2006/relationships/hyperlink" Target="https://amp.vexpenses.com/settings/membros-de-equipe/896158" TargetMode="External"/><Relationship Id="rId489" Type="http://schemas.openxmlformats.org/officeDocument/2006/relationships/hyperlink" Target="https://amp.vexpenses.com/settings/membros-de-equipe/896351" TargetMode="External"/><Relationship Id="rId46" Type="http://schemas.openxmlformats.org/officeDocument/2006/relationships/hyperlink" Target="https://amp.vexpenses.com/settings/membros-de-equipe/895982" TargetMode="External"/><Relationship Id="rId293" Type="http://schemas.openxmlformats.org/officeDocument/2006/relationships/hyperlink" Target="https://amp.vexpenses.com/settings/membros-de-equipe/896199" TargetMode="External"/><Relationship Id="rId307" Type="http://schemas.openxmlformats.org/officeDocument/2006/relationships/hyperlink" Target="https://amp.vexpenses.com/settings/membros-de-equipe/896209" TargetMode="External"/><Relationship Id="rId349" Type="http://schemas.openxmlformats.org/officeDocument/2006/relationships/hyperlink" Target="https://amp.vexpenses.com/settings/membros-de-equipe/896237" TargetMode="External"/><Relationship Id="rId514" Type="http://schemas.openxmlformats.org/officeDocument/2006/relationships/hyperlink" Target="https://amp.vexpenses.com/settings/membros-de-equipe/896372" TargetMode="External"/><Relationship Id="rId88" Type="http://schemas.openxmlformats.org/officeDocument/2006/relationships/hyperlink" Target="https://amp.vexpenses.com/settings/membros-de-equipe/896023" TargetMode="External"/><Relationship Id="rId111" Type="http://schemas.openxmlformats.org/officeDocument/2006/relationships/hyperlink" Target="https://amp.vexpenses.com/settings/membros-de-equipe/896040" TargetMode="External"/><Relationship Id="rId153" Type="http://schemas.openxmlformats.org/officeDocument/2006/relationships/hyperlink" Target="https://amp.vexpenses.com/settings/membros-de-equipe/896076" TargetMode="External"/><Relationship Id="rId195" Type="http://schemas.openxmlformats.org/officeDocument/2006/relationships/hyperlink" Target="https://amp.vexpenses.com/settings/membros-de-equipe/917058" TargetMode="External"/><Relationship Id="rId209" Type="http://schemas.openxmlformats.org/officeDocument/2006/relationships/hyperlink" Target="https://amp.vexpenses.com/settings/membros-de-equipe/896121" TargetMode="External"/><Relationship Id="rId360" Type="http://schemas.openxmlformats.org/officeDocument/2006/relationships/hyperlink" Target="https://amp.vexpenses.com/settings/membros-de-equipe/917365" TargetMode="External"/><Relationship Id="rId416" Type="http://schemas.openxmlformats.org/officeDocument/2006/relationships/hyperlink" Target="https://amp.vexpenses.com/settings/membros-de-equipe/954642" TargetMode="External"/><Relationship Id="rId220" Type="http://schemas.openxmlformats.org/officeDocument/2006/relationships/hyperlink" Target="https://amp.vexpenses.com/settings/membros-de-equipe/896129" TargetMode="External"/><Relationship Id="rId458" Type="http://schemas.openxmlformats.org/officeDocument/2006/relationships/hyperlink" Target="https://amp.vexpenses.com/settings/membros-de-equipe/930412" TargetMode="External"/><Relationship Id="rId15" Type="http://schemas.openxmlformats.org/officeDocument/2006/relationships/hyperlink" Target="https://amp.vexpenses.com/settings/membros-de-equipe/895958" TargetMode="External"/><Relationship Id="rId57" Type="http://schemas.openxmlformats.org/officeDocument/2006/relationships/hyperlink" Target="https://amp.vexpenses.com/settings/membros-de-equipe/895993" TargetMode="External"/><Relationship Id="rId262" Type="http://schemas.openxmlformats.org/officeDocument/2006/relationships/hyperlink" Target="https://amp.vexpenses.com/settings/membros-de-equipe/921956" TargetMode="External"/><Relationship Id="rId318" Type="http://schemas.openxmlformats.org/officeDocument/2006/relationships/hyperlink" Target="https://amp.vexpenses.com/settings/membros-de-equipe/896216" TargetMode="External"/><Relationship Id="rId525" Type="http://schemas.openxmlformats.org/officeDocument/2006/relationships/hyperlink" Target="https://amp.vexpenses.com/settings/membros-de-equipe/896380" TargetMode="External"/><Relationship Id="rId99" Type="http://schemas.openxmlformats.org/officeDocument/2006/relationships/hyperlink" Target="https://amp.vexpenses.com/settings/membros-de-equipe/930403" TargetMode="External"/><Relationship Id="rId122" Type="http://schemas.openxmlformats.org/officeDocument/2006/relationships/hyperlink" Target="https://amp.vexpenses.com/settings/membros-de-equipe/896048" TargetMode="External"/><Relationship Id="rId164" Type="http://schemas.openxmlformats.org/officeDocument/2006/relationships/hyperlink" Target="https://amp.vexpenses.com/settings/membros-de-equipe/896083" TargetMode="External"/><Relationship Id="rId371" Type="http://schemas.openxmlformats.org/officeDocument/2006/relationships/hyperlink" Target="https://amp.vexpenses.com/settings/membros-de-equipe/896251" TargetMode="External"/><Relationship Id="rId427" Type="http://schemas.openxmlformats.org/officeDocument/2006/relationships/hyperlink" Target="https://amp.vexpenses.com/settings/membros-de-equipe/896298" TargetMode="External"/><Relationship Id="rId469" Type="http://schemas.openxmlformats.org/officeDocument/2006/relationships/hyperlink" Target="https://amp.vexpenses.com/settings/membros-de-equipe/896332" TargetMode="External"/><Relationship Id="rId26" Type="http://schemas.openxmlformats.org/officeDocument/2006/relationships/hyperlink" Target="https://amp.vexpenses.com/settings/membros-de-equipe/895967" TargetMode="External"/><Relationship Id="rId231" Type="http://schemas.openxmlformats.org/officeDocument/2006/relationships/hyperlink" Target="https://amp.vexpenses.com/settings/membros-de-equipe/896138" TargetMode="External"/><Relationship Id="rId273" Type="http://schemas.openxmlformats.org/officeDocument/2006/relationships/hyperlink" Target="https://amp.vexpenses.com/settings/membros-de-equipe/896177" TargetMode="External"/><Relationship Id="rId329" Type="http://schemas.openxmlformats.org/officeDocument/2006/relationships/hyperlink" Target="https://amp.vexpenses.com/settings/membros-de-equipe/923895" TargetMode="External"/><Relationship Id="rId480" Type="http://schemas.openxmlformats.org/officeDocument/2006/relationships/hyperlink" Target="https://amp.vexpenses.com/settings/membros-de-equipe/896341" TargetMode="External"/><Relationship Id="rId536" Type="http://schemas.openxmlformats.org/officeDocument/2006/relationships/hyperlink" Target="https://amp.vexpenses.com/settings/membros-de-equipe/896392" TargetMode="External"/><Relationship Id="rId68" Type="http://schemas.openxmlformats.org/officeDocument/2006/relationships/hyperlink" Target="https://amp.vexpenses.com/settings/membros-de-equipe/896002" TargetMode="External"/><Relationship Id="rId133" Type="http://schemas.openxmlformats.org/officeDocument/2006/relationships/hyperlink" Target="https://amp.vexpenses.com/settings/membros-de-equipe/896060" TargetMode="External"/><Relationship Id="rId175" Type="http://schemas.openxmlformats.org/officeDocument/2006/relationships/hyperlink" Target="https://amp.vexpenses.com/settings/membros-de-equipe/944251" TargetMode="External"/><Relationship Id="rId340" Type="http://schemas.openxmlformats.org/officeDocument/2006/relationships/hyperlink" Target="https://amp.vexpenses.com/settings/membros-de-equipe/896229" TargetMode="External"/><Relationship Id="rId200" Type="http://schemas.openxmlformats.org/officeDocument/2006/relationships/hyperlink" Target="https://amp.vexpenses.com/settings/membros-de-equipe/930400" TargetMode="External"/><Relationship Id="rId382" Type="http://schemas.openxmlformats.org/officeDocument/2006/relationships/hyperlink" Target="https://amp.vexpenses.com/settings/membros-de-equipe/946419" TargetMode="External"/><Relationship Id="rId438" Type="http://schemas.openxmlformats.org/officeDocument/2006/relationships/hyperlink" Target="https://amp.vexpenses.com/settings/membros-de-equipe/896305" TargetMode="External"/><Relationship Id="rId242" Type="http://schemas.openxmlformats.org/officeDocument/2006/relationships/hyperlink" Target="https://amp.vexpenses.com/settings/membros-de-equipe/896149" TargetMode="External"/><Relationship Id="rId284" Type="http://schemas.openxmlformats.org/officeDocument/2006/relationships/hyperlink" Target="https://amp.vexpenses.com/settings/membros-de-equipe/896189" TargetMode="External"/><Relationship Id="rId491" Type="http://schemas.openxmlformats.org/officeDocument/2006/relationships/hyperlink" Target="https://amp.vexpenses.com/settings/membros-de-equipe/896353" TargetMode="External"/><Relationship Id="rId505" Type="http://schemas.openxmlformats.org/officeDocument/2006/relationships/hyperlink" Target="https://amp.vexpenses.com/settings/membros-de-equipe/896363" TargetMode="External"/><Relationship Id="rId37" Type="http://schemas.openxmlformats.org/officeDocument/2006/relationships/hyperlink" Target="https://amp.vexpenses.com/settings/membros-de-equipe/895975" TargetMode="External"/><Relationship Id="rId79" Type="http://schemas.openxmlformats.org/officeDocument/2006/relationships/hyperlink" Target="https://amp.vexpenses.com/settings/membros-de-equipe/896015" TargetMode="External"/><Relationship Id="rId102" Type="http://schemas.openxmlformats.org/officeDocument/2006/relationships/hyperlink" Target="https://amp.vexpenses.com/settings/membros-de-equipe/921947" TargetMode="External"/><Relationship Id="rId144" Type="http://schemas.openxmlformats.org/officeDocument/2006/relationships/hyperlink" Target="https://amp.vexpenses.com/settings/membros-de-equipe/896069" TargetMode="External"/><Relationship Id="rId90" Type="http://schemas.openxmlformats.org/officeDocument/2006/relationships/hyperlink" Target="https://amp.vexpenses.com/settings/membros-de-equipe/896025" TargetMode="External"/><Relationship Id="rId186" Type="http://schemas.openxmlformats.org/officeDocument/2006/relationships/hyperlink" Target="https://amp.vexpenses.com/settings/membros-de-equipe/961342" TargetMode="External"/><Relationship Id="rId351" Type="http://schemas.openxmlformats.org/officeDocument/2006/relationships/hyperlink" Target="https://amp.vexpenses.com/settings/membros-de-equipe/896238" TargetMode="External"/><Relationship Id="rId393" Type="http://schemas.openxmlformats.org/officeDocument/2006/relationships/hyperlink" Target="https://amp.vexpenses.com/settings/membros-de-equipe/943299" TargetMode="External"/><Relationship Id="rId407" Type="http://schemas.openxmlformats.org/officeDocument/2006/relationships/hyperlink" Target="https://amp.vexpenses.com/settings/membros-de-equipe/896283" TargetMode="External"/><Relationship Id="rId449" Type="http://schemas.openxmlformats.org/officeDocument/2006/relationships/hyperlink" Target="https://amp.vexpenses.com/settings/membros-de-equipe/896315" TargetMode="External"/><Relationship Id="rId211" Type="http://schemas.openxmlformats.org/officeDocument/2006/relationships/hyperlink" Target="https://amp.vexpenses.com/settings/membros-de-equipe/896122" TargetMode="External"/><Relationship Id="rId253" Type="http://schemas.openxmlformats.org/officeDocument/2006/relationships/hyperlink" Target="https://amp.vexpenses.com/settings/membros-de-equipe/896159" TargetMode="External"/><Relationship Id="rId295" Type="http://schemas.openxmlformats.org/officeDocument/2006/relationships/hyperlink" Target="https://amp.vexpenses.com/settings/membros-de-equipe/896201" TargetMode="External"/><Relationship Id="rId309" Type="http://schemas.openxmlformats.org/officeDocument/2006/relationships/hyperlink" Target="https://amp.vexpenses.com/settings/membros-de-equipe/896211" TargetMode="External"/><Relationship Id="rId460" Type="http://schemas.openxmlformats.org/officeDocument/2006/relationships/hyperlink" Target="https://amp.vexpenses.com/settings/membros-de-equipe/896325" TargetMode="External"/><Relationship Id="rId516" Type="http://schemas.openxmlformats.org/officeDocument/2006/relationships/hyperlink" Target="https://amp.vexpenses.com/settings/membros-de-equipe/920868" TargetMode="External"/><Relationship Id="rId48" Type="http://schemas.openxmlformats.org/officeDocument/2006/relationships/hyperlink" Target="https://amp.vexpenses.com/settings/membros-de-equipe/895984" TargetMode="External"/><Relationship Id="rId113" Type="http://schemas.openxmlformats.org/officeDocument/2006/relationships/hyperlink" Target="https://amp.vexpenses.com/settings/membros-de-equipe/896419" TargetMode="External"/><Relationship Id="rId320" Type="http://schemas.openxmlformats.org/officeDocument/2006/relationships/hyperlink" Target="https://amp.vexpenses.com/settings/membros-de-equipe/896218" TargetMode="External"/><Relationship Id="rId155" Type="http://schemas.openxmlformats.org/officeDocument/2006/relationships/hyperlink" Target="https://amp.vexpenses.com/settings/membros-de-equipe/896077" TargetMode="External"/><Relationship Id="rId197" Type="http://schemas.openxmlformats.org/officeDocument/2006/relationships/hyperlink" Target="https://amp.vexpenses.com/settings/membros-de-equipe/927567" TargetMode="External"/><Relationship Id="rId362" Type="http://schemas.openxmlformats.org/officeDocument/2006/relationships/hyperlink" Target="https://amp.vexpenses.com/settings/membros-de-equipe/935493" TargetMode="External"/><Relationship Id="rId418" Type="http://schemas.openxmlformats.org/officeDocument/2006/relationships/hyperlink" Target="https://amp.vexpenses.com/settings/membros-de-equipe/896292" TargetMode="External"/><Relationship Id="rId222" Type="http://schemas.openxmlformats.org/officeDocument/2006/relationships/hyperlink" Target="https://amp.vexpenses.com/settings/membros-de-equipe/896132" TargetMode="External"/><Relationship Id="rId264" Type="http://schemas.openxmlformats.org/officeDocument/2006/relationships/hyperlink" Target="https://amp.vexpenses.com/settings/membros-de-equipe/896170" TargetMode="External"/><Relationship Id="rId471" Type="http://schemas.openxmlformats.org/officeDocument/2006/relationships/hyperlink" Target="https://amp.vexpenses.com/settings/membros-de-equipe/896335" TargetMode="External"/><Relationship Id="rId17" Type="http://schemas.openxmlformats.org/officeDocument/2006/relationships/hyperlink" Target="https://amp.vexpenses.com/settings/membros-de-equipe/895959" TargetMode="External"/><Relationship Id="rId59" Type="http://schemas.openxmlformats.org/officeDocument/2006/relationships/hyperlink" Target="https://amp.vexpenses.com/settings/membros-de-equipe/920071" TargetMode="External"/><Relationship Id="rId124" Type="http://schemas.openxmlformats.org/officeDocument/2006/relationships/hyperlink" Target="https://amp.vexpenses.com/settings/membros-de-equipe/896050" TargetMode="External"/><Relationship Id="rId527" Type="http://schemas.openxmlformats.org/officeDocument/2006/relationships/hyperlink" Target="https://amp.vexpenses.com/settings/membros-de-equipe/896383" TargetMode="External"/><Relationship Id="rId70" Type="http://schemas.openxmlformats.org/officeDocument/2006/relationships/hyperlink" Target="https://amp.vexpenses.com/settings/membros-de-equipe/896004" TargetMode="External"/><Relationship Id="rId166" Type="http://schemas.openxmlformats.org/officeDocument/2006/relationships/hyperlink" Target="https://amp.vexpenses.com/settings/membros-de-equipe/896084" TargetMode="External"/><Relationship Id="rId331" Type="http://schemas.openxmlformats.org/officeDocument/2006/relationships/hyperlink" Target="https://amp.vexpenses.com/settings/membros-de-equipe/896423" TargetMode="External"/><Relationship Id="rId373" Type="http://schemas.openxmlformats.org/officeDocument/2006/relationships/hyperlink" Target="https://amp.vexpenses.com/settings/membros-de-equipe/896252" TargetMode="External"/><Relationship Id="rId429" Type="http://schemas.openxmlformats.org/officeDocument/2006/relationships/hyperlink" Target="https://amp.vexpenses.com/settings/membros-de-equipe/918849" TargetMode="External"/><Relationship Id="rId1" Type="http://schemas.openxmlformats.org/officeDocument/2006/relationships/hyperlink" Target="https://amp.vexpenses.com/settings/membros-de-equipe/895944" TargetMode="External"/><Relationship Id="rId233" Type="http://schemas.openxmlformats.org/officeDocument/2006/relationships/hyperlink" Target="https://amp.vexpenses.com/settings/membros-de-equipe/896141" TargetMode="External"/><Relationship Id="rId440" Type="http://schemas.openxmlformats.org/officeDocument/2006/relationships/hyperlink" Target="https://amp.vexpenses.com/settings/membros-de-equipe/928994" TargetMode="External"/><Relationship Id="rId28" Type="http://schemas.openxmlformats.org/officeDocument/2006/relationships/hyperlink" Target="https://amp.vexpenses.com/settings/membros-de-equipe/895968" TargetMode="External"/><Relationship Id="rId275" Type="http://schemas.openxmlformats.org/officeDocument/2006/relationships/hyperlink" Target="https://amp.vexpenses.com/settings/membros-de-equipe/896179" TargetMode="External"/><Relationship Id="rId300" Type="http://schemas.openxmlformats.org/officeDocument/2006/relationships/hyperlink" Target="https://amp.vexpenses.com/settings/membros-de-equipe/923628" TargetMode="External"/><Relationship Id="rId482" Type="http://schemas.openxmlformats.org/officeDocument/2006/relationships/hyperlink" Target="https://amp.vexpenses.com/settings/membros-de-equipe/896343" TargetMode="External"/><Relationship Id="rId538" Type="http://schemas.openxmlformats.org/officeDocument/2006/relationships/hyperlink" Target="https://amp.vexpenses.com/settings/membros-de-equipe/896394" TargetMode="External"/><Relationship Id="rId81" Type="http://schemas.openxmlformats.org/officeDocument/2006/relationships/hyperlink" Target="https://amp.vexpenses.com/settings/membros-de-equipe/896017" TargetMode="External"/><Relationship Id="rId135" Type="http://schemas.openxmlformats.org/officeDocument/2006/relationships/hyperlink" Target="https://amp.vexpenses.com/settings/membros-de-equipe/896062" TargetMode="External"/><Relationship Id="rId177" Type="http://schemas.openxmlformats.org/officeDocument/2006/relationships/hyperlink" Target="https://amp.vexpenses.com/settings/membros-de-equipe/896091" TargetMode="External"/><Relationship Id="rId342" Type="http://schemas.openxmlformats.org/officeDocument/2006/relationships/hyperlink" Target="https://amp.vexpenses.com/settings/membros-de-equipe/896231" TargetMode="External"/><Relationship Id="rId384" Type="http://schemas.openxmlformats.org/officeDocument/2006/relationships/hyperlink" Target="https://amp.vexpenses.com/settings/membros-de-equipe/896262" TargetMode="External"/><Relationship Id="rId202" Type="http://schemas.openxmlformats.org/officeDocument/2006/relationships/hyperlink" Target="https://amp.vexpenses.com/settings/membros-de-equipe/896116" TargetMode="External"/><Relationship Id="rId244" Type="http://schemas.openxmlformats.org/officeDocument/2006/relationships/hyperlink" Target="https://amp.vexpenses.com/settings/membros-de-equipe/923651" TargetMode="External"/><Relationship Id="rId39" Type="http://schemas.openxmlformats.org/officeDocument/2006/relationships/hyperlink" Target="https://amp.vexpenses.com/settings/membros-de-equipe/891979" TargetMode="External"/><Relationship Id="rId286" Type="http://schemas.openxmlformats.org/officeDocument/2006/relationships/hyperlink" Target="https://amp.vexpenses.com/settings/membros-de-equipe/896191" TargetMode="External"/><Relationship Id="rId451" Type="http://schemas.openxmlformats.org/officeDocument/2006/relationships/hyperlink" Target="https://amp.vexpenses.com/settings/membros-de-equipe/950558" TargetMode="External"/><Relationship Id="rId493" Type="http://schemas.openxmlformats.org/officeDocument/2006/relationships/hyperlink" Target="https://amp.vexpenses.com/settings/membros-de-equipe/896354" TargetMode="External"/><Relationship Id="rId507" Type="http://schemas.openxmlformats.org/officeDocument/2006/relationships/hyperlink" Target="https://amp.vexpenses.com/settings/membros-de-equipe/896365" TargetMode="External"/><Relationship Id="rId50" Type="http://schemas.openxmlformats.org/officeDocument/2006/relationships/hyperlink" Target="https://amp.vexpenses.com/settings/membros-de-equipe/916889" TargetMode="External"/><Relationship Id="rId104" Type="http://schemas.openxmlformats.org/officeDocument/2006/relationships/hyperlink" Target="https://amp.vexpenses.com/settings/membros-de-equipe/896036" TargetMode="External"/><Relationship Id="rId146" Type="http://schemas.openxmlformats.org/officeDocument/2006/relationships/hyperlink" Target="https://amp.vexpenses.com/settings/membros-de-equipe/896070" TargetMode="External"/><Relationship Id="rId188" Type="http://schemas.openxmlformats.org/officeDocument/2006/relationships/hyperlink" Target="https://amp.vexpenses.com/settings/membros-de-equipe/896103" TargetMode="External"/><Relationship Id="rId311" Type="http://schemas.openxmlformats.org/officeDocument/2006/relationships/hyperlink" Target="https://amp.vexpenses.com/settings/membros-de-equipe/896212" TargetMode="External"/><Relationship Id="rId353" Type="http://schemas.openxmlformats.org/officeDocument/2006/relationships/hyperlink" Target="https://amp.vexpenses.com/settings/membros-de-equipe/896240" TargetMode="External"/><Relationship Id="rId395" Type="http://schemas.openxmlformats.org/officeDocument/2006/relationships/hyperlink" Target="https://amp.vexpenses.com/settings/membros-de-equipe/896272" TargetMode="External"/><Relationship Id="rId409" Type="http://schemas.openxmlformats.org/officeDocument/2006/relationships/hyperlink" Target="https://amp.vexpenses.com/settings/membros-de-equipe/896285" TargetMode="External"/><Relationship Id="rId92" Type="http://schemas.openxmlformats.org/officeDocument/2006/relationships/hyperlink" Target="https://amp.vexpenses.com/settings/membros-de-equipe/896027" TargetMode="External"/><Relationship Id="rId213" Type="http://schemas.openxmlformats.org/officeDocument/2006/relationships/hyperlink" Target="https://amp.vexpenses.com/settings/membros-de-equipe/951179" TargetMode="External"/><Relationship Id="rId420" Type="http://schemas.openxmlformats.org/officeDocument/2006/relationships/hyperlink" Target="https://amp.vexpenses.com/settings/membros-de-equipe/950243" TargetMode="External"/><Relationship Id="rId255" Type="http://schemas.openxmlformats.org/officeDocument/2006/relationships/hyperlink" Target="https://amp.vexpenses.com/settings/membros-de-equipe/896161" TargetMode="External"/><Relationship Id="rId297" Type="http://schemas.openxmlformats.org/officeDocument/2006/relationships/hyperlink" Target="https://amp.vexpenses.com/settings/membros-de-equipe/896203" TargetMode="External"/><Relationship Id="rId462" Type="http://schemas.openxmlformats.org/officeDocument/2006/relationships/hyperlink" Target="https://amp.vexpenses.com/settings/membros-de-equipe/896327" TargetMode="External"/><Relationship Id="rId518" Type="http://schemas.openxmlformats.org/officeDocument/2006/relationships/hyperlink" Target="https://amp.vexpenses.com/settings/membros-de-equipe/896424" TargetMode="External"/><Relationship Id="rId115" Type="http://schemas.openxmlformats.org/officeDocument/2006/relationships/hyperlink" Target="https://amp.vexpenses.com/settings/membros-de-equipe/917060" TargetMode="External"/><Relationship Id="rId157" Type="http://schemas.openxmlformats.org/officeDocument/2006/relationships/hyperlink" Target="https://amp.vexpenses.com/settings/membros-de-equipe/896079" TargetMode="External"/><Relationship Id="rId322" Type="http://schemas.openxmlformats.org/officeDocument/2006/relationships/hyperlink" Target="https://amp.vexpenses.com/settings/membros-de-equipe/917357" TargetMode="External"/><Relationship Id="rId364" Type="http://schemas.openxmlformats.org/officeDocument/2006/relationships/hyperlink" Target="https://amp.vexpenses.com/settings/membros-de-equipe/948926" TargetMode="External"/><Relationship Id="rId61" Type="http://schemas.openxmlformats.org/officeDocument/2006/relationships/hyperlink" Target="https://amp.vexpenses.com/settings/membros-de-equipe/895997" TargetMode="External"/><Relationship Id="rId199" Type="http://schemas.openxmlformats.org/officeDocument/2006/relationships/hyperlink" Target="https://amp.vexpenses.com/settings/membros-de-equipe/896113" TargetMode="External"/><Relationship Id="rId19" Type="http://schemas.openxmlformats.org/officeDocument/2006/relationships/hyperlink" Target="https://amp.vexpenses.com/settings/membros-de-equipe/895961" TargetMode="External"/><Relationship Id="rId224" Type="http://schemas.openxmlformats.org/officeDocument/2006/relationships/hyperlink" Target="https://amp.vexpenses.com/settings/membros-de-equipe/896133" TargetMode="External"/><Relationship Id="rId266" Type="http://schemas.openxmlformats.org/officeDocument/2006/relationships/hyperlink" Target="https://amp.vexpenses.com/settings/membros-de-equipe/896172" TargetMode="External"/><Relationship Id="rId431" Type="http://schemas.openxmlformats.org/officeDocument/2006/relationships/hyperlink" Target="https://amp.vexpenses.com/settings/membros-de-equipe/896300" TargetMode="External"/><Relationship Id="rId473" Type="http://schemas.openxmlformats.org/officeDocument/2006/relationships/hyperlink" Target="https://amp.vexpenses.com/settings/membros-de-equipe/921961" TargetMode="External"/><Relationship Id="rId529" Type="http://schemas.openxmlformats.org/officeDocument/2006/relationships/hyperlink" Target="https://amp.vexpenses.com/settings/membros-de-equipe/896385" TargetMode="External"/><Relationship Id="rId30" Type="http://schemas.openxmlformats.org/officeDocument/2006/relationships/hyperlink" Target="https://amp.vexpenses.com/settings/membros-de-equipe/895969" TargetMode="External"/><Relationship Id="rId126" Type="http://schemas.openxmlformats.org/officeDocument/2006/relationships/hyperlink" Target="https://amp.vexpenses.com/settings/membros-de-equipe/896052" TargetMode="External"/><Relationship Id="rId168" Type="http://schemas.openxmlformats.org/officeDocument/2006/relationships/hyperlink" Target="https://amp.vexpenses.com/settings/membros-de-equipe/896086" TargetMode="External"/><Relationship Id="rId333" Type="http://schemas.openxmlformats.org/officeDocument/2006/relationships/hyperlink" Target="https://amp.vexpenses.com/settings/membros-de-equipe/896223" TargetMode="External"/><Relationship Id="rId540" Type="http://schemas.openxmlformats.org/officeDocument/2006/relationships/hyperlink" Target="https://amp.vexpenses.com/settings/membros-de-equipe/921921" TargetMode="External"/><Relationship Id="rId72" Type="http://schemas.openxmlformats.org/officeDocument/2006/relationships/hyperlink" Target="https://amp.vexpenses.com/settings/membros-de-equipe/896006" TargetMode="External"/><Relationship Id="rId375" Type="http://schemas.openxmlformats.org/officeDocument/2006/relationships/hyperlink" Target="https://amp.vexpenses.com/settings/membros-de-equipe/896254" TargetMode="External"/><Relationship Id="rId3" Type="http://schemas.openxmlformats.org/officeDocument/2006/relationships/hyperlink" Target="https://amp.vexpenses.com/settings/membros-de-equipe/895945" TargetMode="External"/><Relationship Id="rId235" Type="http://schemas.openxmlformats.org/officeDocument/2006/relationships/hyperlink" Target="https://amp.vexpenses.com/settings/membros-de-equipe/896143" TargetMode="External"/><Relationship Id="rId277" Type="http://schemas.openxmlformats.org/officeDocument/2006/relationships/hyperlink" Target="https://amp.vexpenses.com/settings/membros-de-equipe/896181" TargetMode="External"/><Relationship Id="rId400" Type="http://schemas.openxmlformats.org/officeDocument/2006/relationships/hyperlink" Target="https://amp.vexpenses.com/settings/membros-de-equipe/896277" TargetMode="External"/><Relationship Id="rId442" Type="http://schemas.openxmlformats.org/officeDocument/2006/relationships/hyperlink" Target="https://amp.vexpenses.com/settings/membros-de-equipe/896308" TargetMode="External"/><Relationship Id="rId484" Type="http://schemas.openxmlformats.org/officeDocument/2006/relationships/hyperlink" Target="https://amp.vexpenses.com/settings/membros-de-equipe/896346" TargetMode="External"/><Relationship Id="rId137" Type="http://schemas.openxmlformats.org/officeDocument/2006/relationships/hyperlink" Target="https://amp.vexpenses.com/settings/membros-de-equipe/896063" TargetMode="External"/><Relationship Id="rId302" Type="http://schemas.openxmlformats.org/officeDocument/2006/relationships/hyperlink" Target="https://amp.vexpenses.com/settings/membros-de-equipe/921952" TargetMode="External"/><Relationship Id="rId344" Type="http://schemas.openxmlformats.org/officeDocument/2006/relationships/hyperlink" Target="https://amp.vexpenses.com/settings/membros-de-equipe/896232" TargetMode="External"/><Relationship Id="rId41" Type="http://schemas.openxmlformats.org/officeDocument/2006/relationships/hyperlink" Target="https://amp.vexpenses.com/settings/membros-de-equipe/895978" TargetMode="External"/><Relationship Id="rId83" Type="http://schemas.openxmlformats.org/officeDocument/2006/relationships/hyperlink" Target="https://amp.vexpenses.com/settings/membros-de-equipe/896018" TargetMode="External"/><Relationship Id="rId179" Type="http://schemas.openxmlformats.org/officeDocument/2006/relationships/hyperlink" Target="https://amp.vexpenses.com/settings/membros-de-equipe/896093" TargetMode="External"/><Relationship Id="rId386" Type="http://schemas.openxmlformats.org/officeDocument/2006/relationships/hyperlink" Target="https://amp.vexpenses.com/settings/membros-de-equipe/896265" TargetMode="External"/><Relationship Id="rId190" Type="http://schemas.openxmlformats.org/officeDocument/2006/relationships/hyperlink" Target="https://amp.vexpenses.com/settings/membros-de-equipe/896105" TargetMode="External"/><Relationship Id="rId204" Type="http://schemas.openxmlformats.org/officeDocument/2006/relationships/hyperlink" Target="https://amp.vexpenses.com/settings/membros-de-equipe/896421" TargetMode="External"/><Relationship Id="rId246" Type="http://schemas.openxmlformats.org/officeDocument/2006/relationships/hyperlink" Target="https://amp.vexpenses.com/settings/membros-de-equipe/896152" TargetMode="External"/><Relationship Id="rId288" Type="http://schemas.openxmlformats.org/officeDocument/2006/relationships/hyperlink" Target="https://amp.vexpenses.com/settings/membros-de-equipe/896193" TargetMode="External"/><Relationship Id="rId411" Type="http://schemas.openxmlformats.org/officeDocument/2006/relationships/hyperlink" Target="https://amp.vexpenses.com/settings/membros-de-equipe/921927" TargetMode="External"/><Relationship Id="rId453" Type="http://schemas.openxmlformats.org/officeDocument/2006/relationships/hyperlink" Target="https://amp.vexpenses.com/settings/membros-de-equipe/896317" TargetMode="External"/><Relationship Id="rId509" Type="http://schemas.openxmlformats.org/officeDocument/2006/relationships/hyperlink" Target="https://amp.vexpenses.com/settings/membros-de-equipe/896366" TargetMode="External"/><Relationship Id="rId106" Type="http://schemas.openxmlformats.org/officeDocument/2006/relationships/hyperlink" Target="https://amp.vexpenses.com/settings/membros-de-equipe/919653" TargetMode="External"/><Relationship Id="rId313" Type="http://schemas.openxmlformats.org/officeDocument/2006/relationships/hyperlink" Target="https://amp.vexpenses.com/settings/membros-de-equipe/923302" TargetMode="External"/><Relationship Id="rId495" Type="http://schemas.openxmlformats.org/officeDocument/2006/relationships/hyperlink" Target="https://amp.vexpenses.com/settings/membros-de-equipe/917051" TargetMode="External"/><Relationship Id="rId10" Type="http://schemas.openxmlformats.org/officeDocument/2006/relationships/hyperlink" Target="https://amp.vexpenses.com/settings/membros-de-equipe/895954" TargetMode="External"/><Relationship Id="rId52" Type="http://schemas.openxmlformats.org/officeDocument/2006/relationships/hyperlink" Target="https://amp.vexpenses.com/settings/membros-de-equipe/891977" TargetMode="External"/><Relationship Id="rId94" Type="http://schemas.openxmlformats.org/officeDocument/2006/relationships/hyperlink" Target="https://amp.vexpenses.com/settings/membros-de-equipe/896029" TargetMode="External"/><Relationship Id="rId148" Type="http://schemas.openxmlformats.org/officeDocument/2006/relationships/hyperlink" Target="https://amp.vexpenses.com/settings/membros-de-equipe/896072" TargetMode="External"/><Relationship Id="rId355" Type="http://schemas.openxmlformats.org/officeDocument/2006/relationships/hyperlink" Target="https://amp.vexpenses.com/settings/membros-de-equipe/896242" TargetMode="External"/><Relationship Id="rId397" Type="http://schemas.openxmlformats.org/officeDocument/2006/relationships/hyperlink" Target="https://amp.vexpenses.com/settings/membros-de-equipe/896274" TargetMode="External"/><Relationship Id="rId520" Type="http://schemas.openxmlformats.org/officeDocument/2006/relationships/hyperlink" Target="https://amp.vexpenses.com/settings/membros-de-equipe/896377" TargetMode="External"/><Relationship Id="rId215" Type="http://schemas.openxmlformats.org/officeDocument/2006/relationships/hyperlink" Target="https://amp.vexpenses.com/settings/membros-de-equipe/896124" TargetMode="External"/><Relationship Id="rId257" Type="http://schemas.openxmlformats.org/officeDocument/2006/relationships/hyperlink" Target="https://amp.vexpenses.com/settings/membros-de-equipe/896163" TargetMode="External"/><Relationship Id="rId422" Type="http://schemas.openxmlformats.org/officeDocument/2006/relationships/hyperlink" Target="https://amp.vexpenses.com/settings/membros-de-equipe/896295" TargetMode="External"/><Relationship Id="rId464" Type="http://schemas.openxmlformats.org/officeDocument/2006/relationships/hyperlink" Target="https://amp.vexpenses.com/settings/membros-de-equipe/917069" TargetMode="External"/><Relationship Id="rId299" Type="http://schemas.openxmlformats.org/officeDocument/2006/relationships/hyperlink" Target="https://amp.vexpenses.com/settings/membros-de-equipe/896422" TargetMode="External"/><Relationship Id="rId63" Type="http://schemas.openxmlformats.org/officeDocument/2006/relationships/hyperlink" Target="https://amp.vexpenses.com/settings/membros-de-equipe/895998" TargetMode="External"/><Relationship Id="rId159" Type="http://schemas.openxmlformats.org/officeDocument/2006/relationships/hyperlink" Target="https://amp.vexpenses.com/settings/membros-de-equipe/896080" TargetMode="External"/><Relationship Id="rId366" Type="http://schemas.openxmlformats.org/officeDocument/2006/relationships/hyperlink" Target="https://amp.vexpenses.com/settings/membros-de-equipe/896246" TargetMode="External"/><Relationship Id="rId226" Type="http://schemas.openxmlformats.org/officeDocument/2006/relationships/hyperlink" Target="https://amp.vexpenses.com/settings/membros-de-equipe/916921" TargetMode="External"/><Relationship Id="rId433" Type="http://schemas.openxmlformats.org/officeDocument/2006/relationships/hyperlink" Target="https://amp.vexpenses.com/settings/membros-de-equipe/896302" TargetMode="External"/><Relationship Id="rId74" Type="http://schemas.openxmlformats.org/officeDocument/2006/relationships/hyperlink" Target="https://amp.vexpenses.com/settings/membros-de-equipe/896008" TargetMode="External"/><Relationship Id="rId377" Type="http://schemas.openxmlformats.org/officeDocument/2006/relationships/hyperlink" Target="https://amp.vexpenses.com/settings/membros-de-equipe/896255" TargetMode="External"/><Relationship Id="rId500" Type="http://schemas.openxmlformats.org/officeDocument/2006/relationships/hyperlink" Target="https://amp.vexpenses.com/settings/membros-de-equipe/896359" TargetMode="External"/><Relationship Id="rId5" Type="http://schemas.openxmlformats.org/officeDocument/2006/relationships/hyperlink" Target="https://amp.vexpenses.com/settings/membros-de-equipe/895947" TargetMode="External"/><Relationship Id="rId237" Type="http://schemas.openxmlformats.org/officeDocument/2006/relationships/hyperlink" Target="https://amp.vexpenses.com/settings/membros-de-equipe/896144" TargetMode="External"/><Relationship Id="rId444" Type="http://schemas.openxmlformats.org/officeDocument/2006/relationships/hyperlink" Target="https://amp.vexpenses.com/settings/membros-de-equipe/896311" TargetMode="External"/><Relationship Id="rId290" Type="http://schemas.openxmlformats.org/officeDocument/2006/relationships/hyperlink" Target="https://amp.vexpenses.com/settings/membros-de-equipe/896196" TargetMode="External"/><Relationship Id="rId304" Type="http://schemas.openxmlformats.org/officeDocument/2006/relationships/hyperlink" Target="https://amp.vexpenses.com/settings/membros-de-equipe/896207" TargetMode="External"/><Relationship Id="rId388" Type="http://schemas.openxmlformats.org/officeDocument/2006/relationships/hyperlink" Target="https://amp.vexpenses.com/settings/membros-de-equipe/924050" TargetMode="External"/><Relationship Id="rId511" Type="http://schemas.openxmlformats.org/officeDocument/2006/relationships/hyperlink" Target="https://amp.vexpenses.com/settings/membros-de-equipe/896369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amp.vexpenses.com/settings/membros-de-equipe/917345" TargetMode="External"/><Relationship Id="rId21" Type="http://schemas.openxmlformats.org/officeDocument/2006/relationships/hyperlink" Target="https://amp.vexpenses.com/settings/membros-de-equipe/895964" TargetMode="External"/><Relationship Id="rId324" Type="http://schemas.openxmlformats.org/officeDocument/2006/relationships/hyperlink" Target="https://amp.vexpenses.com/settings/membros-de-equipe/923895" TargetMode="External"/><Relationship Id="rId531" Type="http://schemas.openxmlformats.org/officeDocument/2006/relationships/hyperlink" Target="https://amp.vexpenses.com/settings/membros-de-equipe/896189" TargetMode="External"/><Relationship Id="rId170" Type="http://schemas.openxmlformats.org/officeDocument/2006/relationships/hyperlink" Target="https://amp.vexpenses.com/settings/membros-de-equipe/896088" TargetMode="External"/><Relationship Id="rId268" Type="http://schemas.openxmlformats.org/officeDocument/2006/relationships/hyperlink" Target="https://amp.vexpenses.com/settings/membros-de-equipe/896177" TargetMode="External"/><Relationship Id="rId475" Type="http://schemas.openxmlformats.org/officeDocument/2006/relationships/hyperlink" Target="https://amp.vexpenses.com/settings/membros-de-equipe/896352" TargetMode="External"/><Relationship Id="rId32" Type="http://schemas.openxmlformats.org/officeDocument/2006/relationships/hyperlink" Target="https://amp.vexpenses.com/settings/membros-de-equipe/895971" TargetMode="External"/><Relationship Id="rId128" Type="http://schemas.openxmlformats.org/officeDocument/2006/relationships/hyperlink" Target="https://amp.vexpenses.com/settings/membros-de-equipe/896055" TargetMode="External"/><Relationship Id="rId335" Type="http://schemas.openxmlformats.org/officeDocument/2006/relationships/hyperlink" Target="https://amp.vexpenses.com/settings/membros-de-equipe/896229" TargetMode="External"/><Relationship Id="rId5" Type="http://schemas.openxmlformats.org/officeDocument/2006/relationships/hyperlink" Target="https://amp.vexpenses.com/settings/membros-de-equipe/895947" TargetMode="External"/><Relationship Id="rId181" Type="http://schemas.openxmlformats.org/officeDocument/2006/relationships/hyperlink" Target="https://amp.vexpenses.com/settings/membros-de-equipe/896096" TargetMode="External"/><Relationship Id="rId237" Type="http://schemas.openxmlformats.org/officeDocument/2006/relationships/hyperlink" Target="https://amp.vexpenses.com/settings/membros-de-equipe/896149" TargetMode="External"/><Relationship Id="rId402" Type="http://schemas.openxmlformats.org/officeDocument/2006/relationships/hyperlink" Target="https://amp.vexpenses.com/settings/membros-de-equipe/896284" TargetMode="External"/><Relationship Id="rId279" Type="http://schemas.openxmlformats.org/officeDocument/2006/relationships/hyperlink" Target="https://amp.vexpenses.com/settings/membros-de-equipe/896187" TargetMode="External"/><Relationship Id="rId444" Type="http://schemas.openxmlformats.org/officeDocument/2006/relationships/hyperlink" Target="https://amp.vexpenses.com/settings/membros-de-equipe/896316" TargetMode="External"/><Relationship Id="rId486" Type="http://schemas.openxmlformats.org/officeDocument/2006/relationships/hyperlink" Target="https://amp.vexpenses.com/settings/membros-de-equipe/896354" TargetMode="External"/><Relationship Id="rId43" Type="http://schemas.openxmlformats.org/officeDocument/2006/relationships/hyperlink" Target="https://amp.vexpenses.com/settings/membros-de-equipe/895981" TargetMode="External"/><Relationship Id="rId139" Type="http://schemas.openxmlformats.org/officeDocument/2006/relationships/hyperlink" Target="https://amp.vexpenses.com/settings/membros-de-equipe/896065" TargetMode="External"/><Relationship Id="rId290" Type="http://schemas.openxmlformats.org/officeDocument/2006/relationships/hyperlink" Target="https://amp.vexpenses.com/settings/membros-de-equipe/896200" TargetMode="External"/><Relationship Id="rId304" Type="http://schemas.openxmlformats.org/officeDocument/2006/relationships/hyperlink" Target="https://amp.vexpenses.com/settings/membros-de-equipe/896210" TargetMode="External"/><Relationship Id="rId346" Type="http://schemas.openxmlformats.org/officeDocument/2006/relationships/hyperlink" Target="https://amp.vexpenses.com/settings/membros-de-equipe/896238" TargetMode="External"/><Relationship Id="rId388" Type="http://schemas.openxmlformats.org/officeDocument/2006/relationships/hyperlink" Target="https://amp.vexpenses.com/settings/membros-de-equipe/896271" TargetMode="External"/><Relationship Id="rId511" Type="http://schemas.openxmlformats.org/officeDocument/2006/relationships/hyperlink" Target="https://amp.vexpenses.com/settings/membros-de-equipe/896378" TargetMode="External"/><Relationship Id="rId85" Type="http://schemas.openxmlformats.org/officeDocument/2006/relationships/hyperlink" Target="https://amp.vexpenses.com/settings/membros-de-equipe/896021" TargetMode="External"/><Relationship Id="rId150" Type="http://schemas.openxmlformats.org/officeDocument/2006/relationships/hyperlink" Target="https://amp.vexpenses.com/settings/membros-de-equipe/896075" TargetMode="External"/><Relationship Id="rId192" Type="http://schemas.openxmlformats.org/officeDocument/2006/relationships/hyperlink" Target="https://amp.vexpenses.com/settings/membros-de-equipe/896109" TargetMode="External"/><Relationship Id="rId206" Type="http://schemas.openxmlformats.org/officeDocument/2006/relationships/hyperlink" Target="https://amp.vexpenses.com/settings/membros-de-equipe/896120" TargetMode="External"/><Relationship Id="rId413" Type="http://schemas.openxmlformats.org/officeDocument/2006/relationships/hyperlink" Target="https://amp.vexpenses.com/settings/membros-de-equipe/896294" TargetMode="External"/><Relationship Id="rId248" Type="http://schemas.openxmlformats.org/officeDocument/2006/relationships/hyperlink" Target="https://amp.vexpenses.com/settings/membros-de-equipe/896159" TargetMode="External"/><Relationship Id="rId455" Type="http://schemas.openxmlformats.org/officeDocument/2006/relationships/hyperlink" Target="https://amp.vexpenses.com/settings/membros-de-equipe/896335" TargetMode="External"/><Relationship Id="rId497" Type="http://schemas.openxmlformats.org/officeDocument/2006/relationships/hyperlink" Target="https://amp.vexpenses.com/settings/membros-de-equipe/896362" TargetMode="External"/><Relationship Id="rId12" Type="http://schemas.openxmlformats.org/officeDocument/2006/relationships/hyperlink" Target="https://amp.vexpenses.com/settings/membros-de-equipe/895956" TargetMode="External"/><Relationship Id="rId108" Type="http://schemas.openxmlformats.org/officeDocument/2006/relationships/hyperlink" Target="https://amp.vexpenses.com/settings/membros-de-equipe/930913" TargetMode="External"/><Relationship Id="rId315" Type="http://schemas.openxmlformats.org/officeDocument/2006/relationships/hyperlink" Target="https://amp.vexpenses.com/settings/membros-de-equipe/896218" TargetMode="External"/><Relationship Id="rId357" Type="http://schemas.openxmlformats.org/officeDocument/2006/relationships/hyperlink" Target="https://amp.vexpenses.com/settings/membros-de-equipe/935493" TargetMode="External"/><Relationship Id="rId522" Type="http://schemas.openxmlformats.org/officeDocument/2006/relationships/hyperlink" Target="https://amp.vexpenses.com/settings/membros-de-equipe/896390" TargetMode="External"/><Relationship Id="rId54" Type="http://schemas.openxmlformats.org/officeDocument/2006/relationships/hyperlink" Target="https://amp.vexpenses.com/settings/membros-de-equipe/895991" TargetMode="External"/><Relationship Id="rId96" Type="http://schemas.openxmlformats.org/officeDocument/2006/relationships/hyperlink" Target="https://amp.vexpenses.com/settings/membros-de-equipe/896032" TargetMode="External"/><Relationship Id="rId161" Type="http://schemas.openxmlformats.org/officeDocument/2006/relationships/hyperlink" Target="https://amp.vexpenses.com/settings/membros-de-equipe/920872" TargetMode="External"/><Relationship Id="rId217" Type="http://schemas.openxmlformats.org/officeDocument/2006/relationships/hyperlink" Target="https://amp.vexpenses.com/settings/membros-de-equipe/896129" TargetMode="External"/><Relationship Id="rId399" Type="http://schemas.openxmlformats.org/officeDocument/2006/relationships/hyperlink" Target="https://amp.vexpenses.com/settings/membros-de-equipe/896281" TargetMode="External"/><Relationship Id="rId259" Type="http://schemas.openxmlformats.org/officeDocument/2006/relationships/hyperlink" Target="https://amp.vexpenses.com/settings/membros-de-equipe/896168" TargetMode="External"/><Relationship Id="rId424" Type="http://schemas.openxmlformats.org/officeDocument/2006/relationships/hyperlink" Target="https://amp.vexpenses.com/settings/membros-de-equipe/933590" TargetMode="External"/><Relationship Id="rId466" Type="http://schemas.openxmlformats.org/officeDocument/2006/relationships/hyperlink" Target="https://amp.vexpenses.com/settings/membros-de-equipe/896344" TargetMode="External"/><Relationship Id="rId23" Type="http://schemas.openxmlformats.org/officeDocument/2006/relationships/hyperlink" Target="https://amp.vexpenses.com/settings/membros-de-equipe/917314" TargetMode="External"/><Relationship Id="rId119" Type="http://schemas.openxmlformats.org/officeDocument/2006/relationships/hyperlink" Target="https://amp.vexpenses.com/settings/membros-de-equipe/896046" TargetMode="External"/><Relationship Id="rId270" Type="http://schemas.openxmlformats.org/officeDocument/2006/relationships/hyperlink" Target="https://amp.vexpenses.com/settings/membros-de-equipe/896179" TargetMode="External"/><Relationship Id="rId326" Type="http://schemas.openxmlformats.org/officeDocument/2006/relationships/hyperlink" Target="https://amp.vexpenses.com/settings/membros-de-equipe/896423" TargetMode="External"/><Relationship Id="rId65" Type="http://schemas.openxmlformats.org/officeDocument/2006/relationships/hyperlink" Target="https://amp.vexpenses.com/settings/membros-de-equipe/896000" TargetMode="External"/><Relationship Id="rId130" Type="http://schemas.openxmlformats.org/officeDocument/2006/relationships/hyperlink" Target="https://amp.vexpenses.com/settings/membros-de-equipe/896058" TargetMode="External"/><Relationship Id="rId368" Type="http://schemas.openxmlformats.org/officeDocument/2006/relationships/hyperlink" Target="https://amp.vexpenses.com/settings/membros-de-equipe/896253" TargetMode="External"/><Relationship Id="rId172" Type="http://schemas.openxmlformats.org/officeDocument/2006/relationships/hyperlink" Target="https://amp.vexpenses.com/settings/membros-de-equipe/896090" TargetMode="External"/><Relationship Id="rId228" Type="http://schemas.openxmlformats.org/officeDocument/2006/relationships/hyperlink" Target="https://amp.vexpenses.com/settings/membros-de-equipe/896140" TargetMode="External"/><Relationship Id="rId435" Type="http://schemas.openxmlformats.org/officeDocument/2006/relationships/hyperlink" Target="https://amp.vexpenses.com/settings/membros-de-equipe/896308" TargetMode="External"/><Relationship Id="rId477" Type="http://schemas.openxmlformats.org/officeDocument/2006/relationships/hyperlink" Target="https://amp.vexpenses.com/settings/membros-de-equipe/896217" TargetMode="External"/><Relationship Id="rId281" Type="http://schemas.openxmlformats.org/officeDocument/2006/relationships/hyperlink" Target="https://amp.vexpenses.com/settings/membros-de-equipe/896189" TargetMode="External"/><Relationship Id="rId337" Type="http://schemas.openxmlformats.org/officeDocument/2006/relationships/hyperlink" Target="https://amp.vexpenses.com/settings/membros-de-equipe/896231" TargetMode="External"/><Relationship Id="rId502" Type="http://schemas.openxmlformats.org/officeDocument/2006/relationships/hyperlink" Target="https://amp.vexpenses.com/settings/membros-de-equipe/922852" TargetMode="External"/><Relationship Id="rId34" Type="http://schemas.openxmlformats.org/officeDocument/2006/relationships/hyperlink" Target="https://amp.vexpenses.com/settings/membros-de-equipe/895974" TargetMode="External"/><Relationship Id="rId76" Type="http://schemas.openxmlformats.org/officeDocument/2006/relationships/hyperlink" Target="https://amp.vexpenses.com/settings/membros-de-equipe/896012" TargetMode="External"/><Relationship Id="rId141" Type="http://schemas.openxmlformats.org/officeDocument/2006/relationships/hyperlink" Target="https://amp.vexpenses.com/settings/membros-de-equipe/896067" TargetMode="External"/><Relationship Id="rId379" Type="http://schemas.openxmlformats.org/officeDocument/2006/relationships/hyperlink" Target="https://amp.vexpenses.com/settings/membros-de-equipe/896264" TargetMode="External"/><Relationship Id="rId7" Type="http://schemas.openxmlformats.org/officeDocument/2006/relationships/hyperlink" Target="https://amp.vexpenses.com/settings/membros-de-equipe/895949" TargetMode="External"/><Relationship Id="rId183" Type="http://schemas.openxmlformats.org/officeDocument/2006/relationships/hyperlink" Target="https://amp.vexpenses.com/settings/membros-de-equipe/896099" TargetMode="External"/><Relationship Id="rId239" Type="http://schemas.openxmlformats.org/officeDocument/2006/relationships/hyperlink" Target="https://amp.vexpenses.com/settings/membros-de-equipe/923651" TargetMode="External"/><Relationship Id="rId390" Type="http://schemas.openxmlformats.org/officeDocument/2006/relationships/hyperlink" Target="https://amp.vexpenses.com/settings/membros-de-equipe/896273" TargetMode="External"/><Relationship Id="rId404" Type="http://schemas.openxmlformats.org/officeDocument/2006/relationships/hyperlink" Target="https://amp.vexpenses.com/settings/membros-de-equipe/896286" TargetMode="External"/><Relationship Id="rId446" Type="http://schemas.openxmlformats.org/officeDocument/2006/relationships/hyperlink" Target="https://amp.vexpenses.com/settings/membros-de-equipe/896318" TargetMode="External"/><Relationship Id="rId250" Type="http://schemas.openxmlformats.org/officeDocument/2006/relationships/hyperlink" Target="https://amp.vexpenses.com/settings/membros-de-equipe/930413" TargetMode="External"/><Relationship Id="rId292" Type="http://schemas.openxmlformats.org/officeDocument/2006/relationships/hyperlink" Target="https://amp.vexpenses.com/settings/membros-de-equipe/896202" TargetMode="External"/><Relationship Id="rId306" Type="http://schemas.openxmlformats.org/officeDocument/2006/relationships/hyperlink" Target="https://amp.vexpenses.com/settings/membros-de-equipe/922276" TargetMode="External"/><Relationship Id="rId488" Type="http://schemas.openxmlformats.org/officeDocument/2006/relationships/hyperlink" Target="https://amp.vexpenses.com/settings/membros-de-equipe/896358" TargetMode="External"/><Relationship Id="rId45" Type="http://schemas.openxmlformats.org/officeDocument/2006/relationships/hyperlink" Target="https://amp.vexpenses.com/settings/membros-de-equipe/895983" TargetMode="External"/><Relationship Id="rId87" Type="http://schemas.openxmlformats.org/officeDocument/2006/relationships/hyperlink" Target="https://amp.vexpenses.com/settings/membros-de-equipe/896023" TargetMode="External"/><Relationship Id="rId110" Type="http://schemas.openxmlformats.org/officeDocument/2006/relationships/hyperlink" Target="https://amp.vexpenses.com/settings/membros-de-equipe/896040" TargetMode="External"/><Relationship Id="rId348" Type="http://schemas.openxmlformats.org/officeDocument/2006/relationships/hyperlink" Target="https://amp.vexpenses.com/settings/membros-de-equipe/896240" TargetMode="External"/><Relationship Id="rId513" Type="http://schemas.openxmlformats.org/officeDocument/2006/relationships/hyperlink" Target="https://amp.vexpenses.com/settings/membros-de-equipe/896380" TargetMode="External"/><Relationship Id="rId152" Type="http://schemas.openxmlformats.org/officeDocument/2006/relationships/hyperlink" Target="https://amp.vexpenses.com/settings/membros-de-equipe/896076" TargetMode="External"/><Relationship Id="rId194" Type="http://schemas.openxmlformats.org/officeDocument/2006/relationships/hyperlink" Target="https://amp.vexpenses.com/settings/membros-de-equipe/896111" TargetMode="External"/><Relationship Id="rId208" Type="http://schemas.openxmlformats.org/officeDocument/2006/relationships/hyperlink" Target="https://amp.vexpenses.com/settings/membros-de-equipe/916905" TargetMode="External"/><Relationship Id="rId415" Type="http://schemas.openxmlformats.org/officeDocument/2006/relationships/hyperlink" Target="https://amp.vexpenses.com/settings/membros-de-equipe/920825" TargetMode="External"/><Relationship Id="rId457" Type="http://schemas.openxmlformats.org/officeDocument/2006/relationships/hyperlink" Target="https://amp.vexpenses.com/settings/membros-de-equipe/896336" TargetMode="External"/><Relationship Id="rId261" Type="http://schemas.openxmlformats.org/officeDocument/2006/relationships/hyperlink" Target="https://amp.vexpenses.com/settings/membros-de-equipe/896171" TargetMode="External"/><Relationship Id="rId499" Type="http://schemas.openxmlformats.org/officeDocument/2006/relationships/hyperlink" Target="https://amp.vexpenses.com/settings/membros-de-equipe/917052" TargetMode="External"/><Relationship Id="rId14" Type="http://schemas.openxmlformats.org/officeDocument/2006/relationships/hyperlink" Target="https://amp.vexpenses.com/settings/membros-de-equipe/895957" TargetMode="External"/><Relationship Id="rId56" Type="http://schemas.openxmlformats.org/officeDocument/2006/relationships/hyperlink" Target="https://amp.vexpenses.com/settings/membros-de-equipe/895993" TargetMode="External"/><Relationship Id="rId317" Type="http://schemas.openxmlformats.org/officeDocument/2006/relationships/hyperlink" Target="https://amp.vexpenses.com/settings/membros-de-equipe/917357" TargetMode="External"/><Relationship Id="rId359" Type="http://schemas.openxmlformats.org/officeDocument/2006/relationships/hyperlink" Target="https://amp.vexpenses.com/settings/membros-de-equipe/929759" TargetMode="External"/><Relationship Id="rId524" Type="http://schemas.openxmlformats.org/officeDocument/2006/relationships/hyperlink" Target="https://amp.vexpenses.com/settings/membros-de-equipe/896392" TargetMode="External"/><Relationship Id="rId98" Type="http://schemas.openxmlformats.org/officeDocument/2006/relationships/hyperlink" Target="https://amp.vexpenses.com/settings/membros-de-equipe/930403" TargetMode="External"/><Relationship Id="rId121" Type="http://schemas.openxmlformats.org/officeDocument/2006/relationships/hyperlink" Target="https://amp.vexpenses.com/settings/membros-de-equipe/896048" TargetMode="External"/><Relationship Id="rId163" Type="http://schemas.openxmlformats.org/officeDocument/2006/relationships/hyperlink" Target="https://amp.vexpenses.com/settings/membros-de-equipe/896083" TargetMode="External"/><Relationship Id="rId219" Type="http://schemas.openxmlformats.org/officeDocument/2006/relationships/hyperlink" Target="https://amp.vexpenses.com/settings/membros-de-equipe/896132" TargetMode="External"/><Relationship Id="rId370" Type="http://schemas.openxmlformats.org/officeDocument/2006/relationships/hyperlink" Target="https://amp.vexpenses.com/settings/membros-de-equipe/896333" TargetMode="External"/><Relationship Id="rId426" Type="http://schemas.openxmlformats.org/officeDocument/2006/relationships/hyperlink" Target="https://amp.vexpenses.com/settings/membros-de-equipe/896302" TargetMode="External"/><Relationship Id="rId230" Type="http://schemas.openxmlformats.org/officeDocument/2006/relationships/hyperlink" Target="https://amp.vexpenses.com/settings/membros-de-equipe/896142" TargetMode="External"/><Relationship Id="rId468" Type="http://schemas.openxmlformats.org/officeDocument/2006/relationships/hyperlink" Target="https://amp.vexpenses.com/settings/membros-de-equipe/896257" TargetMode="External"/><Relationship Id="rId25" Type="http://schemas.openxmlformats.org/officeDocument/2006/relationships/hyperlink" Target="https://amp.vexpenses.com/settings/membros-de-equipe/895967" TargetMode="External"/><Relationship Id="rId67" Type="http://schemas.openxmlformats.org/officeDocument/2006/relationships/hyperlink" Target="https://amp.vexpenses.com/settings/membros-de-equipe/896002" TargetMode="External"/><Relationship Id="rId272" Type="http://schemas.openxmlformats.org/officeDocument/2006/relationships/hyperlink" Target="https://amp.vexpenses.com/settings/membros-de-equipe/896181" TargetMode="External"/><Relationship Id="rId328" Type="http://schemas.openxmlformats.org/officeDocument/2006/relationships/hyperlink" Target="https://amp.vexpenses.com/settings/membros-de-equipe/896223" TargetMode="External"/><Relationship Id="rId132" Type="http://schemas.openxmlformats.org/officeDocument/2006/relationships/hyperlink" Target="https://amp.vexpenses.com/settings/membros-de-equipe/896060" TargetMode="External"/><Relationship Id="rId174" Type="http://schemas.openxmlformats.org/officeDocument/2006/relationships/hyperlink" Target="https://amp.vexpenses.com/settings/membros-de-equipe/944251" TargetMode="External"/><Relationship Id="rId381" Type="http://schemas.openxmlformats.org/officeDocument/2006/relationships/hyperlink" Target="https://amp.vexpenses.com/settings/membros-de-equipe/896266" TargetMode="External"/><Relationship Id="rId241" Type="http://schemas.openxmlformats.org/officeDocument/2006/relationships/hyperlink" Target="https://amp.vexpenses.com/settings/membros-de-equipe/896152" TargetMode="External"/><Relationship Id="rId437" Type="http://schemas.openxmlformats.org/officeDocument/2006/relationships/hyperlink" Target="https://amp.vexpenses.com/settings/membros-de-equipe/896311" TargetMode="External"/><Relationship Id="rId479" Type="http://schemas.openxmlformats.org/officeDocument/2006/relationships/hyperlink" Target="https://amp.vexpenses.com/settings/membros-de-equipe/896034" TargetMode="External"/><Relationship Id="rId36" Type="http://schemas.openxmlformats.org/officeDocument/2006/relationships/hyperlink" Target="https://amp.vexpenses.com/settings/membros-de-equipe/895975" TargetMode="External"/><Relationship Id="rId283" Type="http://schemas.openxmlformats.org/officeDocument/2006/relationships/hyperlink" Target="https://amp.vexpenses.com/settings/membros-de-equipe/896192" TargetMode="External"/><Relationship Id="rId339" Type="http://schemas.openxmlformats.org/officeDocument/2006/relationships/hyperlink" Target="https://amp.vexpenses.com/settings/membros-de-equipe/896232" TargetMode="External"/><Relationship Id="rId490" Type="http://schemas.openxmlformats.org/officeDocument/2006/relationships/hyperlink" Target="https://amp.vexpenses.com/settings/membros-de-equipe/930440" TargetMode="External"/><Relationship Id="rId504" Type="http://schemas.openxmlformats.org/officeDocument/2006/relationships/hyperlink" Target="https://amp.vexpenses.com/settings/membros-de-equipe/896373" TargetMode="External"/><Relationship Id="rId78" Type="http://schemas.openxmlformats.org/officeDocument/2006/relationships/hyperlink" Target="https://amp.vexpenses.com/settings/membros-de-equipe/896015" TargetMode="External"/><Relationship Id="rId101" Type="http://schemas.openxmlformats.org/officeDocument/2006/relationships/hyperlink" Target="https://amp.vexpenses.com/settings/membros-de-equipe/921947" TargetMode="External"/><Relationship Id="rId143" Type="http://schemas.openxmlformats.org/officeDocument/2006/relationships/hyperlink" Target="https://amp.vexpenses.com/settings/membros-de-equipe/896069" TargetMode="External"/><Relationship Id="rId185" Type="http://schemas.openxmlformats.org/officeDocument/2006/relationships/hyperlink" Target="https://amp.vexpenses.com/settings/membros-de-equipe/896102" TargetMode="External"/><Relationship Id="rId350" Type="http://schemas.openxmlformats.org/officeDocument/2006/relationships/hyperlink" Target="https://amp.vexpenses.com/settings/membros-de-equipe/896242" TargetMode="External"/><Relationship Id="rId406" Type="http://schemas.openxmlformats.org/officeDocument/2006/relationships/hyperlink" Target="https://amp.vexpenses.com/settings/membros-de-equipe/896287" TargetMode="External"/><Relationship Id="rId9" Type="http://schemas.openxmlformats.org/officeDocument/2006/relationships/hyperlink" Target="https://amp.vexpenses.com/settings/membros-de-equipe/895952" TargetMode="External"/><Relationship Id="rId210" Type="http://schemas.openxmlformats.org/officeDocument/2006/relationships/hyperlink" Target="https://amp.vexpenses.com/settings/membros-de-equipe/929761" TargetMode="External"/><Relationship Id="rId392" Type="http://schemas.openxmlformats.org/officeDocument/2006/relationships/hyperlink" Target="https://amp.vexpenses.com/settings/membros-de-equipe/896275" TargetMode="External"/><Relationship Id="rId448" Type="http://schemas.openxmlformats.org/officeDocument/2006/relationships/hyperlink" Target="https://amp.vexpenses.com/settings/membros-de-equipe/896321" TargetMode="External"/><Relationship Id="rId252" Type="http://schemas.openxmlformats.org/officeDocument/2006/relationships/hyperlink" Target="https://amp.vexpenses.com/settings/membros-de-equipe/896162" TargetMode="External"/><Relationship Id="rId294" Type="http://schemas.openxmlformats.org/officeDocument/2006/relationships/hyperlink" Target="https://amp.vexpenses.com/settings/membros-de-equipe/896204" TargetMode="External"/><Relationship Id="rId308" Type="http://schemas.openxmlformats.org/officeDocument/2006/relationships/hyperlink" Target="https://amp.vexpenses.com/settings/membros-de-equipe/896213" TargetMode="External"/><Relationship Id="rId515" Type="http://schemas.openxmlformats.org/officeDocument/2006/relationships/hyperlink" Target="https://amp.vexpenses.com/settings/membros-de-equipe/896383" TargetMode="External"/><Relationship Id="rId47" Type="http://schemas.openxmlformats.org/officeDocument/2006/relationships/hyperlink" Target="https://amp.vexpenses.com/settings/membros-de-equipe/895985" TargetMode="External"/><Relationship Id="rId89" Type="http://schemas.openxmlformats.org/officeDocument/2006/relationships/hyperlink" Target="https://amp.vexpenses.com/settings/membros-de-equipe/896025" TargetMode="External"/><Relationship Id="rId112" Type="http://schemas.openxmlformats.org/officeDocument/2006/relationships/hyperlink" Target="https://amp.vexpenses.com/settings/membros-de-equipe/896419" TargetMode="External"/><Relationship Id="rId154" Type="http://schemas.openxmlformats.org/officeDocument/2006/relationships/hyperlink" Target="https://amp.vexpenses.com/settings/membros-de-equipe/896077" TargetMode="External"/><Relationship Id="rId361" Type="http://schemas.openxmlformats.org/officeDocument/2006/relationships/hyperlink" Target="https://amp.vexpenses.com/settings/membros-de-equipe/896248" TargetMode="External"/><Relationship Id="rId196" Type="http://schemas.openxmlformats.org/officeDocument/2006/relationships/hyperlink" Target="https://amp.vexpenses.com/settings/membros-de-equipe/896112" TargetMode="External"/><Relationship Id="rId417" Type="http://schemas.openxmlformats.org/officeDocument/2006/relationships/hyperlink" Target="https://amp.vexpenses.com/settings/membros-de-equipe/896297" TargetMode="External"/><Relationship Id="rId459" Type="http://schemas.openxmlformats.org/officeDocument/2006/relationships/hyperlink" Target="https://amp.vexpenses.com/settings/membros-de-equipe/917059" TargetMode="External"/><Relationship Id="rId16" Type="http://schemas.openxmlformats.org/officeDocument/2006/relationships/hyperlink" Target="https://amp.vexpenses.com/settings/membros-de-equipe/929763" TargetMode="External"/><Relationship Id="rId221" Type="http://schemas.openxmlformats.org/officeDocument/2006/relationships/hyperlink" Target="https://amp.vexpenses.com/settings/membros-de-equipe/896133" TargetMode="External"/><Relationship Id="rId263" Type="http://schemas.openxmlformats.org/officeDocument/2006/relationships/hyperlink" Target="https://amp.vexpenses.com/settings/membros-de-equipe/896173" TargetMode="External"/><Relationship Id="rId319" Type="http://schemas.openxmlformats.org/officeDocument/2006/relationships/hyperlink" Target="https://amp.vexpenses.com/settings/membros-de-equipe/896219" TargetMode="External"/><Relationship Id="rId470" Type="http://schemas.openxmlformats.org/officeDocument/2006/relationships/hyperlink" Target="https://amp.vexpenses.com/settings/membros-de-equipe/896347" TargetMode="External"/><Relationship Id="rId526" Type="http://schemas.openxmlformats.org/officeDocument/2006/relationships/hyperlink" Target="https://amp.vexpenses.com/settings/membros-de-equipe/896393" TargetMode="External"/><Relationship Id="rId58" Type="http://schemas.openxmlformats.org/officeDocument/2006/relationships/hyperlink" Target="https://amp.vexpenses.com/settings/membros-de-equipe/920071" TargetMode="External"/><Relationship Id="rId123" Type="http://schemas.openxmlformats.org/officeDocument/2006/relationships/hyperlink" Target="https://amp.vexpenses.com/settings/membros-de-equipe/896050" TargetMode="External"/><Relationship Id="rId330" Type="http://schemas.openxmlformats.org/officeDocument/2006/relationships/hyperlink" Target="https://amp.vexpenses.com/settings/membros-de-equipe/896225" TargetMode="External"/><Relationship Id="rId165" Type="http://schemas.openxmlformats.org/officeDocument/2006/relationships/hyperlink" Target="https://amp.vexpenses.com/settings/membros-de-equipe/896084" TargetMode="External"/><Relationship Id="rId372" Type="http://schemas.openxmlformats.org/officeDocument/2006/relationships/hyperlink" Target="https://amp.vexpenses.com/settings/membros-de-equipe/896256" TargetMode="External"/><Relationship Id="rId428" Type="http://schemas.openxmlformats.org/officeDocument/2006/relationships/hyperlink" Target="https://amp.vexpenses.com/settings/membros-de-equipe/923649" TargetMode="External"/><Relationship Id="rId232" Type="http://schemas.openxmlformats.org/officeDocument/2006/relationships/hyperlink" Target="https://amp.vexpenses.com/settings/membros-de-equipe/923893" TargetMode="External"/><Relationship Id="rId274" Type="http://schemas.openxmlformats.org/officeDocument/2006/relationships/hyperlink" Target="https://amp.vexpenses.com/settings/membros-de-equipe/896183" TargetMode="External"/><Relationship Id="rId481" Type="http://schemas.openxmlformats.org/officeDocument/2006/relationships/hyperlink" Target="https://amp.vexpenses.com/settings/membros-de-equipe/896394" TargetMode="External"/><Relationship Id="rId27" Type="http://schemas.openxmlformats.org/officeDocument/2006/relationships/hyperlink" Target="https://amp.vexpenses.com/settings/membros-de-equipe/895968" TargetMode="External"/><Relationship Id="rId69" Type="http://schemas.openxmlformats.org/officeDocument/2006/relationships/hyperlink" Target="https://amp.vexpenses.com/settings/membros-de-equipe/896004" TargetMode="External"/><Relationship Id="rId134" Type="http://schemas.openxmlformats.org/officeDocument/2006/relationships/hyperlink" Target="https://amp.vexpenses.com/settings/membros-de-equipe/896062" TargetMode="External"/><Relationship Id="rId80" Type="http://schemas.openxmlformats.org/officeDocument/2006/relationships/hyperlink" Target="https://amp.vexpenses.com/settings/membros-de-equipe/896017" TargetMode="External"/><Relationship Id="rId176" Type="http://schemas.openxmlformats.org/officeDocument/2006/relationships/hyperlink" Target="https://amp.vexpenses.com/settings/membros-de-equipe/896091" TargetMode="External"/><Relationship Id="rId341" Type="http://schemas.openxmlformats.org/officeDocument/2006/relationships/hyperlink" Target="https://amp.vexpenses.com/settings/membros-de-equipe/896234" TargetMode="External"/><Relationship Id="rId383" Type="http://schemas.openxmlformats.org/officeDocument/2006/relationships/hyperlink" Target="https://amp.vexpenses.com/settings/membros-de-equipe/917363" TargetMode="External"/><Relationship Id="rId439" Type="http://schemas.openxmlformats.org/officeDocument/2006/relationships/hyperlink" Target="https://amp.vexpenses.com/settings/membros-de-equipe/896313" TargetMode="External"/><Relationship Id="rId201" Type="http://schemas.openxmlformats.org/officeDocument/2006/relationships/hyperlink" Target="https://amp.vexpenses.com/settings/membros-de-equipe/896117" TargetMode="External"/><Relationship Id="rId243" Type="http://schemas.openxmlformats.org/officeDocument/2006/relationships/hyperlink" Target="https://amp.vexpenses.com/settings/membros-de-equipe/896154" TargetMode="External"/><Relationship Id="rId285" Type="http://schemas.openxmlformats.org/officeDocument/2006/relationships/hyperlink" Target="https://amp.vexpenses.com/settings/membros-de-equipe/896195" TargetMode="External"/><Relationship Id="rId450" Type="http://schemas.openxmlformats.org/officeDocument/2006/relationships/hyperlink" Target="https://amp.vexpenses.com/settings/membros-de-equipe/930412" TargetMode="External"/><Relationship Id="rId506" Type="http://schemas.openxmlformats.org/officeDocument/2006/relationships/hyperlink" Target="https://amp.vexpenses.com/settings/membros-de-equipe/896366" TargetMode="External"/><Relationship Id="rId38" Type="http://schemas.openxmlformats.org/officeDocument/2006/relationships/hyperlink" Target="https://amp.vexpenses.com/settings/membros-de-equipe/891979" TargetMode="External"/><Relationship Id="rId103" Type="http://schemas.openxmlformats.org/officeDocument/2006/relationships/hyperlink" Target="https://amp.vexpenses.com/settings/membros-de-equipe/896036" TargetMode="External"/><Relationship Id="rId310" Type="http://schemas.openxmlformats.org/officeDocument/2006/relationships/hyperlink" Target="https://amp.vexpenses.com/settings/membros-de-equipe/896214" TargetMode="External"/><Relationship Id="rId492" Type="http://schemas.openxmlformats.org/officeDocument/2006/relationships/hyperlink" Target="https://amp.vexpenses.com/settings/membros-de-equipe/896360" TargetMode="External"/><Relationship Id="rId91" Type="http://schemas.openxmlformats.org/officeDocument/2006/relationships/hyperlink" Target="https://amp.vexpenses.com/settings/membros-de-equipe/896027" TargetMode="External"/><Relationship Id="rId145" Type="http://schemas.openxmlformats.org/officeDocument/2006/relationships/hyperlink" Target="https://amp.vexpenses.com/settings/membros-de-equipe/896070" TargetMode="External"/><Relationship Id="rId187" Type="http://schemas.openxmlformats.org/officeDocument/2006/relationships/hyperlink" Target="https://amp.vexpenses.com/settings/membros-de-equipe/896104" TargetMode="External"/><Relationship Id="rId352" Type="http://schemas.openxmlformats.org/officeDocument/2006/relationships/hyperlink" Target="https://amp.vexpenses.com/settings/membros-de-equipe/933048" TargetMode="External"/><Relationship Id="rId394" Type="http://schemas.openxmlformats.org/officeDocument/2006/relationships/hyperlink" Target="https://amp.vexpenses.com/settings/membros-de-equipe/896277" TargetMode="External"/><Relationship Id="rId408" Type="http://schemas.openxmlformats.org/officeDocument/2006/relationships/hyperlink" Target="https://amp.vexpenses.com/settings/membros-de-equipe/896289" TargetMode="External"/><Relationship Id="rId212" Type="http://schemas.openxmlformats.org/officeDocument/2006/relationships/hyperlink" Target="https://amp.vexpenses.com/settings/membros-de-equipe/896124" TargetMode="External"/><Relationship Id="rId254" Type="http://schemas.openxmlformats.org/officeDocument/2006/relationships/hyperlink" Target="https://amp.vexpenses.com/settings/membros-de-equipe/916884" TargetMode="External"/><Relationship Id="rId49" Type="http://schemas.openxmlformats.org/officeDocument/2006/relationships/hyperlink" Target="https://amp.vexpenses.com/settings/membros-de-equipe/895986" TargetMode="External"/><Relationship Id="rId114" Type="http://schemas.openxmlformats.org/officeDocument/2006/relationships/hyperlink" Target="https://amp.vexpenses.com/settings/membros-de-equipe/917060" TargetMode="External"/><Relationship Id="rId296" Type="http://schemas.openxmlformats.org/officeDocument/2006/relationships/hyperlink" Target="https://amp.vexpenses.com/settings/membros-de-equipe/923628" TargetMode="External"/><Relationship Id="rId461" Type="http://schemas.openxmlformats.org/officeDocument/2006/relationships/hyperlink" Target="https://amp.vexpenses.com/settings/membros-de-equipe/896338" TargetMode="External"/><Relationship Id="rId517" Type="http://schemas.openxmlformats.org/officeDocument/2006/relationships/hyperlink" Target="https://amp.vexpenses.com/settings/membros-de-equipe/896384" TargetMode="External"/><Relationship Id="rId60" Type="http://schemas.openxmlformats.org/officeDocument/2006/relationships/hyperlink" Target="https://amp.vexpenses.com/settings/membros-de-equipe/895997" TargetMode="External"/><Relationship Id="rId156" Type="http://schemas.openxmlformats.org/officeDocument/2006/relationships/hyperlink" Target="https://amp.vexpenses.com/settings/membros-de-equipe/896079" TargetMode="External"/><Relationship Id="rId198" Type="http://schemas.openxmlformats.org/officeDocument/2006/relationships/hyperlink" Target="https://amp.vexpenses.com/settings/membros-de-equipe/930400" TargetMode="External"/><Relationship Id="rId321" Type="http://schemas.openxmlformats.org/officeDocument/2006/relationships/hyperlink" Target="https://amp.vexpenses.com/settings/membros-de-equipe/891904" TargetMode="External"/><Relationship Id="rId363" Type="http://schemas.openxmlformats.org/officeDocument/2006/relationships/hyperlink" Target="https://amp.vexpenses.com/settings/membros-de-equipe/896250" TargetMode="External"/><Relationship Id="rId419" Type="http://schemas.openxmlformats.org/officeDocument/2006/relationships/hyperlink" Target="https://amp.vexpenses.com/settings/membros-de-equipe/896298" TargetMode="External"/><Relationship Id="rId223" Type="http://schemas.openxmlformats.org/officeDocument/2006/relationships/hyperlink" Target="https://amp.vexpenses.com/settings/membros-de-equipe/916921" TargetMode="External"/><Relationship Id="rId430" Type="http://schemas.openxmlformats.org/officeDocument/2006/relationships/hyperlink" Target="https://amp.vexpenses.com/settings/membros-de-equipe/921795" TargetMode="External"/><Relationship Id="rId18" Type="http://schemas.openxmlformats.org/officeDocument/2006/relationships/hyperlink" Target="https://amp.vexpenses.com/settings/membros-de-equipe/895961" TargetMode="External"/><Relationship Id="rId265" Type="http://schemas.openxmlformats.org/officeDocument/2006/relationships/hyperlink" Target="https://amp.vexpenses.com/settings/membros-de-equipe/916893" TargetMode="External"/><Relationship Id="rId472" Type="http://schemas.openxmlformats.org/officeDocument/2006/relationships/hyperlink" Target="https://amp.vexpenses.com/settings/membros-de-equipe/896349" TargetMode="External"/><Relationship Id="rId528" Type="http://schemas.openxmlformats.org/officeDocument/2006/relationships/hyperlink" Target="https://amp.vexpenses.com/settings/membros-de-equipe/921921" TargetMode="External"/><Relationship Id="rId125" Type="http://schemas.openxmlformats.org/officeDocument/2006/relationships/hyperlink" Target="https://amp.vexpenses.com/settings/membros-de-equipe/896052" TargetMode="External"/><Relationship Id="rId167" Type="http://schemas.openxmlformats.org/officeDocument/2006/relationships/hyperlink" Target="https://amp.vexpenses.com/settings/membros-de-equipe/896086" TargetMode="External"/><Relationship Id="rId332" Type="http://schemas.openxmlformats.org/officeDocument/2006/relationships/hyperlink" Target="https://amp.vexpenses.com/settings/membros-de-equipe/925993" TargetMode="External"/><Relationship Id="rId374" Type="http://schemas.openxmlformats.org/officeDocument/2006/relationships/hyperlink" Target="https://amp.vexpenses.com/settings/membros-de-equipe/896258" TargetMode="External"/><Relationship Id="rId71" Type="http://schemas.openxmlformats.org/officeDocument/2006/relationships/hyperlink" Target="https://amp.vexpenses.com/settings/membros-de-equipe/896006" TargetMode="External"/><Relationship Id="rId234" Type="http://schemas.openxmlformats.org/officeDocument/2006/relationships/hyperlink" Target="https://amp.vexpenses.com/settings/membros-de-equipe/896145" TargetMode="External"/><Relationship Id="rId2" Type="http://schemas.openxmlformats.org/officeDocument/2006/relationships/hyperlink" Target="https://amp.vexpenses.com/settings/membros-de-equipe/923558" TargetMode="External"/><Relationship Id="rId29" Type="http://schemas.openxmlformats.org/officeDocument/2006/relationships/hyperlink" Target="https://amp.vexpenses.com/settings/membros-de-equipe/895969" TargetMode="External"/><Relationship Id="rId276" Type="http://schemas.openxmlformats.org/officeDocument/2006/relationships/hyperlink" Target="https://amp.vexpenses.com/settings/membros-de-equipe/921535" TargetMode="External"/><Relationship Id="rId441" Type="http://schemas.openxmlformats.org/officeDocument/2006/relationships/hyperlink" Target="https://amp.vexpenses.com/settings/membros-de-equipe/917081" TargetMode="External"/><Relationship Id="rId483" Type="http://schemas.openxmlformats.org/officeDocument/2006/relationships/hyperlink" Target="https://amp.vexpenses.com/settings/membros-de-equipe/920862" TargetMode="External"/><Relationship Id="rId40" Type="http://schemas.openxmlformats.org/officeDocument/2006/relationships/hyperlink" Target="https://amp.vexpenses.com/settings/membros-de-equipe/895978" TargetMode="External"/><Relationship Id="rId136" Type="http://schemas.openxmlformats.org/officeDocument/2006/relationships/hyperlink" Target="https://amp.vexpenses.com/settings/membros-de-equipe/896063" TargetMode="External"/><Relationship Id="rId178" Type="http://schemas.openxmlformats.org/officeDocument/2006/relationships/hyperlink" Target="https://amp.vexpenses.com/settings/membros-de-equipe/896093" TargetMode="External"/><Relationship Id="rId301" Type="http://schemas.openxmlformats.org/officeDocument/2006/relationships/hyperlink" Target="https://amp.vexpenses.com/settings/membros-de-equipe/916936" TargetMode="External"/><Relationship Id="rId343" Type="http://schemas.openxmlformats.org/officeDocument/2006/relationships/hyperlink" Target="https://amp.vexpenses.com/settings/membros-de-equipe/896236" TargetMode="External"/><Relationship Id="rId82" Type="http://schemas.openxmlformats.org/officeDocument/2006/relationships/hyperlink" Target="https://amp.vexpenses.com/settings/membros-de-equipe/896018" TargetMode="External"/><Relationship Id="rId203" Type="http://schemas.openxmlformats.org/officeDocument/2006/relationships/hyperlink" Target="https://amp.vexpenses.com/settings/membros-de-equipe/896118" TargetMode="External"/><Relationship Id="rId385" Type="http://schemas.openxmlformats.org/officeDocument/2006/relationships/hyperlink" Target="https://amp.vexpenses.com/settings/membros-de-equipe/896269" TargetMode="External"/><Relationship Id="rId245" Type="http://schemas.openxmlformats.org/officeDocument/2006/relationships/hyperlink" Target="https://amp.vexpenses.com/settings/membros-de-equipe/896157" TargetMode="External"/><Relationship Id="rId287" Type="http://schemas.openxmlformats.org/officeDocument/2006/relationships/hyperlink" Target="https://amp.vexpenses.com/settings/membros-de-equipe/896197" TargetMode="External"/><Relationship Id="rId410" Type="http://schemas.openxmlformats.org/officeDocument/2006/relationships/hyperlink" Target="https://amp.vexpenses.com/settings/membros-de-equipe/896291" TargetMode="External"/><Relationship Id="rId452" Type="http://schemas.openxmlformats.org/officeDocument/2006/relationships/hyperlink" Target="https://amp.vexpenses.com/settings/membros-de-equipe/896332" TargetMode="External"/><Relationship Id="rId494" Type="http://schemas.openxmlformats.org/officeDocument/2006/relationships/hyperlink" Target="https://amp.vexpenses.com/settings/membros-de-equipe/896364" TargetMode="External"/><Relationship Id="rId508" Type="http://schemas.openxmlformats.org/officeDocument/2006/relationships/hyperlink" Target="https://amp.vexpenses.com/settings/membros-de-equipe/896424" TargetMode="External"/><Relationship Id="rId105" Type="http://schemas.openxmlformats.org/officeDocument/2006/relationships/hyperlink" Target="https://amp.vexpenses.com/settings/membros-de-equipe/919653" TargetMode="External"/><Relationship Id="rId147" Type="http://schemas.openxmlformats.org/officeDocument/2006/relationships/hyperlink" Target="https://amp.vexpenses.com/settings/membros-de-equipe/896072" TargetMode="External"/><Relationship Id="rId312" Type="http://schemas.openxmlformats.org/officeDocument/2006/relationships/hyperlink" Target="https://amp.vexpenses.com/settings/membros-de-equipe/896215" TargetMode="External"/><Relationship Id="rId354" Type="http://schemas.openxmlformats.org/officeDocument/2006/relationships/hyperlink" Target="https://amp.vexpenses.com/settings/membros-de-equipe/917057" TargetMode="External"/><Relationship Id="rId51" Type="http://schemas.openxmlformats.org/officeDocument/2006/relationships/hyperlink" Target="https://amp.vexpenses.com/settings/membros-de-equipe/895988" TargetMode="External"/><Relationship Id="rId93" Type="http://schemas.openxmlformats.org/officeDocument/2006/relationships/hyperlink" Target="https://amp.vexpenses.com/settings/membros-de-equipe/896029" TargetMode="External"/><Relationship Id="rId189" Type="http://schemas.openxmlformats.org/officeDocument/2006/relationships/hyperlink" Target="https://amp.vexpenses.com/settings/membros-de-equipe/896106" TargetMode="External"/><Relationship Id="rId396" Type="http://schemas.openxmlformats.org/officeDocument/2006/relationships/hyperlink" Target="https://amp.vexpenses.com/settings/membros-de-equipe/896279" TargetMode="External"/><Relationship Id="rId214" Type="http://schemas.openxmlformats.org/officeDocument/2006/relationships/hyperlink" Target="https://amp.vexpenses.com/settings/membros-de-equipe/916374" TargetMode="External"/><Relationship Id="rId256" Type="http://schemas.openxmlformats.org/officeDocument/2006/relationships/hyperlink" Target="https://amp.vexpenses.com/settings/membros-de-equipe/896165" TargetMode="External"/><Relationship Id="rId298" Type="http://schemas.openxmlformats.org/officeDocument/2006/relationships/hyperlink" Target="https://amp.vexpenses.com/settings/membros-de-equipe/921952" TargetMode="External"/><Relationship Id="rId421" Type="http://schemas.openxmlformats.org/officeDocument/2006/relationships/hyperlink" Target="https://amp.vexpenses.com/settings/membros-de-equipe/918849" TargetMode="External"/><Relationship Id="rId463" Type="http://schemas.openxmlformats.org/officeDocument/2006/relationships/hyperlink" Target="https://amp.vexpenses.com/settings/membros-de-equipe/896339" TargetMode="External"/><Relationship Id="rId519" Type="http://schemas.openxmlformats.org/officeDocument/2006/relationships/hyperlink" Target="https://amp.vexpenses.com/settings/membros-de-equipe/896386" TargetMode="External"/><Relationship Id="rId116" Type="http://schemas.openxmlformats.org/officeDocument/2006/relationships/hyperlink" Target="https://amp.vexpenses.com/settings/membros-de-equipe/896044" TargetMode="External"/><Relationship Id="rId158" Type="http://schemas.openxmlformats.org/officeDocument/2006/relationships/hyperlink" Target="https://amp.vexpenses.com/settings/membros-de-equipe/896080" TargetMode="External"/><Relationship Id="rId323" Type="http://schemas.openxmlformats.org/officeDocument/2006/relationships/hyperlink" Target="https://amp.vexpenses.com/settings/membros-de-equipe/896221" TargetMode="External"/><Relationship Id="rId530" Type="http://schemas.openxmlformats.org/officeDocument/2006/relationships/hyperlink" Target="https://amp.vexpenses.com/settings/membros-de-equipe/896168" TargetMode="External"/><Relationship Id="rId20" Type="http://schemas.openxmlformats.org/officeDocument/2006/relationships/hyperlink" Target="https://amp.vexpenses.com/settings/membros-de-equipe/895963" TargetMode="External"/><Relationship Id="rId62" Type="http://schemas.openxmlformats.org/officeDocument/2006/relationships/hyperlink" Target="https://amp.vexpenses.com/settings/membros-de-equipe/895998" TargetMode="External"/><Relationship Id="rId365" Type="http://schemas.openxmlformats.org/officeDocument/2006/relationships/hyperlink" Target="https://amp.vexpenses.com/settings/membros-de-equipe/896251" TargetMode="External"/><Relationship Id="rId225" Type="http://schemas.openxmlformats.org/officeDocument/2006/relationships/hyperlink" Target="https://amp.vexpenses.com/settings/membros-de-equipe/896136" TargetMode="External"/><Relationship Id="rId267" Type="http://schemas.openxmlformats.org/officeDocument/2006/relationships/hyperlink" Target="https://amp.vexpenses.com/settings/membros-de-equipe/896176" TargetMode="External"/><Relationship Id="rId432" Type="http://schemas.openxmlformats.org/officeDocument/2006/relationships/hyperlink" Target="https://amp.vexpenses.com/settings/membros-de-equipe/917065" TargetMode="External"/><Relationship Id="rId474" Type="http://schemas.openxmlformats.org/officeDocument/2006/relationships/hyperlink" Target="https://amp.vexpenses.com/settings/membros-de-equipe/923635" TargetMode="External"/><Relationship Id="rId127" Type="http://schemas.openxmlformats.org/officeDocument/2006/relationships/hyperlink" Target="https://amp.vexpenses.com/settings/membros-de-equipe/896054" TargetMode="External"/><Relationship Id="rId31" Type="http://schemas.openxmlformats.org/officeDocument/2006/relationships/hyperlink" Target="https://amp.vexpenses.com/settings/membros-de-equipe/895970" TargetMode="External"/><Relationship Id="rId73" Type="http://schemas.openxmlformats.org/officeDocument/2006/relationships/hyperlink" Target="https://amp.vexpenses.com/settings/membros-de-equipe/896008" TargetMode="External"/><Relationship Id="rId169" Type="http://schemas.openxmlformats.org/officeDocument/2006/relationships/hyperlink" Target="https://amp.vexpenses.com/settings/membros-de-equipe/896087" TargetMode="External"/><Relationship Id="rId334" Type="http://schemas.openxmlformats.org/officeDocument/2006/relationships/hyperlink" Target="https://amp.vexpenses.com/settings/membros-de-equipe/896228" TargetMode="External"/><Relationship Id="rId376" Type="http://schemas.openxmlformats.org/officeDocument/2006/relationships/hyperlink" Target="https://amp.vexpenses.com/settings/membros-de-equipe/946419" TargetMode="External"/><Relationship Id="rId4" Type="http://schemas.openxmlformats.org/officeDocument/2006/relationships/hyperlink" Target="https://amp.vexpenses.com/settings/membros-de-equipe/895946" TargetMode="External"/><Relationship Id="rId180" Type="http://schemas.openxmlformats.org/officeDocument/2006/relationships/hyperlink" Target="https://amp.vexpenses.com/settings/membros-de-equipe/896095" TargetMode="External"/><Relationship Id="rId236" Type="http://schemas.openxmlformats.org/officeDocument/2006/relationships/hyperlink" Target="https://amp.vexpenses.com/settings/membros-de-equipe/896148" TargetMode="External"/><Relationship Id="rId278" Type="http://schemas.openxmlformats.org/officeDocument/2006/relationships/hyperlink" Target="https://amp.vexpenses.com/settings/membros-de-equipe/896186" TargetMode="External"/><Relationship Id="rId401" Type="http://schemas.openxmlformats.org/officeDocument/2006/relationships/hyperlink" Target="https://amp.vexpenses.com/settings/membros-de-equipe/896283" TargetMode="External"/><Relationship Id="rId443" Type="http://schemas.openxmlformats.org/officeDocument/2006/relationships/hyperlink" Target="https://amp.vexpenses.com/settings/membros-de-equipe/922275" TargetMode="External"/><Relationship Id="rId303" Type="http://schemas.openxmlformats.org/officeDocument/2006/relationships/hyperlink" Target="https://amp.vexpenses.com/settings/membros-de-equipe/896209" TargetMode="External"/><Relationship Id="rId485" Type="http://schemas.openxmlformats.org/officeDocument/2006/relationships/hyperlink" Target="https://amp.vexpenses.com/settings/membros-de-equipe/896356" TargetMode="External"/><Relationship Id="rId42" Type="http://schemas.openxmlformats.org/officeDocument/2006/relationships/hyperlink" Target="https://amp.vexpenses.com/settings/membros-de-equipe/917324" TargetMode="External"/><Relationship Id="rId84" Type="http://schemas.openxmlformats.org/officeDocument/2006/relationships/hyperlink" Target="https://amp.vexpenses.com/settings/membros-de-equipe/896020" TargetMode="External"/><Relationship Id="rId138" Type="http://schemas.openxmlformats.org/officeDocument/2006/relationships/hyperlink" Target="https://amp.vexpenses.com/settings/membros-de-equipe/920852" TargetMode="External"/><Relationship Id="rId345" Type="http://schemas.openxmlformats.org/officeDocument/2006/relationships/hyperlink" Target="https://amp.vexpenses.com/settings/membros-de-equipe/916912" TargetMode="External"/><Relationship Id="rId387" Type="http://schemas.openxmlformats.org/officeDocument/2006/relationships/hyperlink" Target="https://amp.vexpenses.com/settings/membros-de-equipe/943299" TargetMode="External"/><Relationship Id="rId510" Type="http://schemas.openxmlformats.org/officeDocument/2006/relationships/hyperlink" Target="https://amp.vexpenses.com/settings/membros-de-equipe/896377" TargetMode="External"/><Relationship Id="rId191" Type="http://schemas.openxmlformats.org/officeDocument/2006/relationships/hyperlink" Target="https://amp.vexpenses.com/settings/membros-de-equipe/917075" TargetMode="External"/><Relationship Id="rId205" Type="http://schemas.openxmlformats.org/officeDocument/2006/relationships/hyperlink" Target="https://amp.vexpenses.com/settings/membros-de-equipe/929756" TargetMode="External"/><Relationship Id="rId247" Type="http://schemas.openxmlformats.org/officeDocument/2006/relationships/hyperlink" Target="https://amp.vexpenses.com/settings/membros-de-equipe/931414" TargetMode="External"/><Relationship Id="rId412" Type="http://schemas.openxmlformats.org/officeDocument/2006/relationships/hyperlink" Target="https://amp.vexpenses.com/settings/membros-de-equipe/896293" TargetMode="External"/><Relationship Id="rId107" Type="http://schemas.openxmlformats.org/officeDocument/2006/relationships/hyperlink" Target="https://amp.vexpenses.com/settings/membros-de-equipe/917376" TargetMode="External"/><Relationship Id="rId289" Type="http://schemas.openxmlformats.org/officeDocument/2006/relationships/hyperlink" Target="https://amp.vexpenses.com/settings/membros-de-equipe/896199" TargetMode="External"/><Relationship Id="rId454" Type="http://schemas.openxmlformats.org/officeDocument/2006/relationships/hyperlink" Target="https://amp.vexpenses.com/settings/membros-de-equipe/896187" TargetMode="External"/><Relationship Id="rId496" Type="http://schemas.openxmlformats.org/officeDocument/2006/relationships/hyperlink" Target="https://amp.vexpenses.com/settings/membros-de-equipe/896298" TargetMode="External"/><Relationship Id="rId11" Type="http://schemas.openxmlformats.org/officeDocument/2006/relationships/hyperlink" Target="https://amp.vexpenses.com/settings/membros-de-equipe/895955" TargetMode="External"/><Relationship Id="rId53" Type="http://schemas.openxmlformats.org/officeDocument/2006/relationships/hyperlink" Target="https://amp.vexpenses.com/settings/membros-de-equipe/895990" TargetMode="External"/><Relationship Id="rId149" Type="http://schemas.openxmlformats.org/officeDocument/2006/relationships/hyperlink" Target="https://amp.vexpenses.com/settings/membros-de-equipe/896074" TargetMode="External"/><Relationship Id="rId314" Type="http://schemas.openxmlformats.org/officeDocument/2006/relationships/hyperlink" Target="https://amp.vexpenses.com/settings/membros-de-equipe/896217" TargetMode="External"/><Relationship Id="rId356" Type="http://schemas.openxmlformats.org/officeDocument/2006/relationships/hyperlink" Target="https://amp.vexpenses.com/settings/membros-de-equipe/896244" TargetMode="External"/><Relationship Id="rId398" Type="http://schemas.openxmlformats.org/officeDocument/2006/relationships/hyperlink" Target="https://amp.vexpenses.com/settings/membros-de-equipe/916915" TargetMode="External"/><Relationship Id="rId521" Type="http://schemas.openxmlformats.org/officeDocument/2006/relationships/hyperlink" Target="https://amp.vexpenses.com/settings/membros-de-equipe/896387" TargetMode="External"/><Relationship Id="rId95" Type="http://schemas.openxmlformats.org/officeDocument/2006/relationships/hyperlink" Target="https://amp.vexpenses.com/settings/membros-de-equipe/896031" TargetMode="External"/><Relationship Id="rId160" Type="http://schemas.openxmlformats.org/officeDocument/2006/relationships/hyperlink" Target="https://amp.vexpenses.com/settings/membros-de-equipe/923631" TargetMode="External"/><Relationship Id="rId216" Type="http://schemas.openxmlformats.org/officeDocument/2006/relationships/hyperlink" Target="https://amp.vexpenses.com/settings/membros-de-equipe/896128" TargetMode="External"/><Relationship Id="rId423" Type="http://schemas.openxmlformats.org/officeDocument/2006/relationships/hyperlink" Target="https://amp.vexpenses.com/settings/membros-de-equipe/896300" TargetMode="External"/><Relationship Id="rId258" Type="http://schemas.openxmlformats.org/officeDocument/2006/relationships/hyperlink" Target="https://amp.vexpenses.com/settings/membros-de-equipe/921956" TargetMode="External"/><Relationship Id="rId465" Type="http://schemas.openxmlformats.org/officeDocument/2006/relationships/hyperlink" Target="https://amp.vexpenses.com/settings/membros-de-equipe/896343" TargetMode="External"/><Relationship Id="rId22" Type="http://schemas.openxmlformats.org/officeDocument/2006/relationships/hyperlink" Target="https://amp.vexpenses.com/settings/membros-de-equipe/895965" TargetMode="External"/><Relationship Id="rId64" Type="http://schemas.openxmlformats.org/officeDocument/2006/relationships/hyperlink" Target="https://amp.vexpenses.com/settings/membros-de-equipe/895999" TargetMode="External"/><Relationship Id="rId118" Type="http://schemas.openxmlformats.org/officeDocument/2006/relationships/hyperlink" Target="https://amp.vexpenses.com/settings/membros-de-equipe/896045" TargetMode="External"/><Relationship Id="rId325" Type="http://schemas.openxmlformats.org/officeDocument/2006/relationships/hyperlink" Target="https://amp.vexpenses.com/settings/membros-de-equipe/896222" TargetMode="External"/><Relationship Id="rId367" Type="http://schemas.openxmlformats.org/officeDocument/2006/relationships/hyperlink" Target="https://amp.vexpenses.com/settings/membros-de-equipe/896252" TargetMode="External"/><Relationship Id="rId532" Type="http://schemas.openxmlformats.org/officeDocument/2006/relationships/hyperlink" Target="https://amp.vexpenses.com/settings/membros-de-equipe/895951" TargetMode="External"/><Relationship Id="rId171" Type="http://schemas.openxmlformats.org/officeDocument/2006/relationships/hyperlink" Target="https://amp.vexpenses.com/settings/membros-de-equipe/896089" TargetMode="External"/><Relationship Id="rId227" Type="http://schemas.openxmlformats.org/officeDocument/2006/relationships/hyperlink" Target="https://amp.vexpenses.com/settings/membros-de-equipe/896138" TargetMode="External"/><Relationship Id="rId269" Type="http://schemas.openxmlformats.org/officeDocument/2006/relationships/hyperlink" Target="https://amp.vexpenses.com/settings/membros-de-equipe/896178" TargetMode="External"/><Relationship Id="rId434" Type="http://schemas.openxmlformats.org/officeDocument/2006/relationships/hyperlink" Target="https://amp.vexpenses.com/settings/membros-de-equipe/896306" TargetMode="External"/><Relationship Id="rId476" Type="http://schemas.openxmlformats.org/officeDocument/2006/relationships/hyperlink" Target="https://amp.vexpenses.com/settings/membros-de-equipe/896351" TargetMode="External"/><Relationship Id="rId33" Type="http://schemas.openxmlformats.org/officeDocument/2006/relationships/hyperlink" Target="https://amp.vexpenses.com/settings/membros-de-equipe/895972" TargetMode="External"/><Relationship Id="rId129" Type="http://schemas.openxmlformats.org/officeDocument/2006/relationships/hyperlink" Target="https://amp.vexpenses.com/settings/membros-de-equipe/896057" TargetMode="External"/><Relationship Id="rId280" Type="http://schemas.openxmlformats.org/officeDocument/2006/relationships/hyperlink" Target="https://amp.vexpenses.com/settings/membros-de-equipe/896188" TargetMode="External"/><Relationship Id="rId336" Type="http://schemas.openxmlformats.org/officeDocument/2006/relationships/hyperlink" Target="https://amp.vexpenses.com/settings/membros-de-equipe/896230" TargetMode="External"/><Relationship Id="rId501" Type="http://schemas.openxmlformats.org/officeDocument/2006/relationships/hyperlink" Target="https://amp.vexpenses.com/settings/membros-de-equipe/896369" TargetMode="External"/><Relationship Id="rId75" Type="http://schemas.openxmlformats.org/officeDocument/2006/relationships/hyperlink" Target="https://amp.vexpenses.com/settings/membros-de-equipe/896011" TargetMode="External"/><Relationship Id="rId140" Type="http://schemas.openxmlformats.org/officeDocument/2006/relationships/hyperlink" Target="https://amp.vexpenses.com/settings/membros-de-equipe/896066" TargetMode="External"/><Relationship Id="rId182" Type="http://schemas.openxmlformats.org/officeDocument/2006/relationships/hyperlink" Target="https://amp.vexpenses.com/settings/membros-de-equipe/940437" TargetMode="External"/><Relationship Id="rId378" Type="http://schemas.openxmlformats.org/officeDocument/2006/relationships/hyperlink" Target="https://amp.vexpenses.com/settings/membros-de-equipe/896262" TargetMode="External"/><Relationship Id="rId403" Type="http://schemas.openxmlformats.org/officeDocument/2006/relationships/hyperlink" Target="https://amp.vexpenses.com/settings/membros-de-equipe/896285" TargetMode="External"/><Relationship Id="rId6" Type="http://schemas.openxmlformats.org/officeDocument/2006/relationships/hyperlink" Target="https://amp.vexpenses.com/settings/membros-de-equipe/895948" TargetMode="External"/><Relationship Id="rId238" Type="http://schemas.openxmlformats.org/officeDocument/2006/relationships/hyperlink" Target="https://amp.vexpenses.com/settings/membros-de-equipe/896150" TargetMode="External"/><Relationship Id="rId445" Type="http://schemas.openxmlformats.org/officeDocument/2006/relationships/hyperlink" Target="https://amp.vexpenses.com/settings/membros-de-equipe/896317" TargetMode="External"/><Relationship Id="rId487" Type="http://schemas.openxmlformats.org/officeDocument/2006/relationships/hyperlink" Target="https://amp.vexpenses.com/settings/membros-de-equipe/896397" TargetMode="External"/><Relationship Id="rId291" Type="http://schemas.openxmlformats.org/officeDocument/2006/relationships/hyperlink" Target="https://amp.vexpenses.com/settings/membros-de-equipe/896201" TargetMode="External"/><Relationship Id="rId305" Type="http://schemas.openxmlformats.org/officeDocument/2006/relationships/hyperlink" Target="https://amp.vexpenses.com/settings/membros-de-equipe/896211" TargetMode="External"/><Relationship Id="rId347" Type="http://schemas.openxmlformats.org/officeDocument/2006/relationships/hyperlink" Target="https://amp.vexpenses.com/settings/membros-de-equipe/896239" TargetMode="External"/><Relationship Id="rId512" Type="http://schemas.openxmlformats.org/officeDocument/2006/relationships/hyperlink" Target="https://amp.vexpenses.com/settings/membros-de-equipe/896379" TargetMode="External"/><Relationship Id="rId44" Type="http://schemas.openxmlformats.org/officeDocument/2006/relationships/hyperlink" Target="https://amp.vexpenses.com/settings/membros-de-equipe/895982" TargetMode="External"/><Relationship Id="rId86" Type="http://schemas.openxmlformats.org/officeDocument/2006/relationships/hyperlink" Target="https://amp.vexpenses.com/settings/membros-de-equipe/915897" TargetMode="External"/><Relationship Id="rId151" Type="http://schemas.openxmlformats.org/officeDocument/2006/relationships/hyperlink" Target="https://amp.vexpenses.com/settings/membros-de-equipe/915374" TargetMode="External"/><Relationship Id="rId389" Type="http://schemas.openxmlformats.org/officeDocument/2006/relationships/hyperlink" Target="https://amp.vexpenses.com/settings/membros-de-equipe/896272" TargetMode="External"/><Relationship Id="rId193" Type="http://schemas.openxmlformats.org/officeDocument/2006/relationships/hyperlink" Target="https://amp.vexpenses.com/settings/membros-de-equipe/917058" TargetMode="External"/><Relationship Id="rId207" Type="http://schemas.openxmlformats.org/officeDocument/2006/relationships/hyperlink" Target="https://amp.vexpenses.com/settings/membros-de-equipe/896121" TargetMode="External"/><Relationship Id="rId249" Type="http://schemas.openxmlformats.org/officeDocument/2006/relationships/hyperlink" Target="https://amp.vexpenses.com/settings/membros-de-equipe/896160" TargetMode="External"/><Relationship Id="rId414" Type="http://schemas.openxmlformats.org/officeDocument/2006/relationships/hyperlink" Target="https://amp.vexpenses.com/settings/membros-de-equipe/896295" TargetMode="External"/><Relationship Id="rId456" Type="http://schemas.openxmlformats.org/officeDocument/2006/relationships/hyperlink" Target="https://amp.vexpenses.com/settings/membros-de-equipe/928097" TargetMode="External"/><Relationship Id="rId498" Type="http://schemas.openxmlformats.org/officeDocument/2006/relationships/hyperlink" Target="https://amp.vexpenses.com/settings/membros-de-equipe/896365" TargetMode="External"/><Relationship Id="rId13" Type="http://schemas.openxmlformats.org/officeDocument/2006/relationships/hyperlink" Target="https://amp.vexpenses.com/settings/membros-de-equipe/916910" TargetMode="External"/><Relationship Id="rId109" Type="http://schemas.openxmlformats.org/officeDocument/2006/relationships/hyperlink" Target="https://amp.vexpenses.com/settings/membros-de-equipe/916919" TargetMode="External"/><Relationship Id="rId260" Type="http://schemas.openxmlformats.org/officeDocument/2006/relationships/hyperlink" Target="https://amp.vexpenses.com/settings/membros-de-equipe/896170" TargetMode="External"/><Relationship Id="rId316" Type="http://schemas.openxmlformats.org/officeDocument/2006/relationships/hyperlink" Target="https://amp.vexpenses.com/settings/membros-de-equipe/916906" TargetMode="External"/><Relationship Id="rId523" Type="http://schemas.openxmlformats.org/officeDocument/2006/relationships/hyperlink" Target="https://amp.vexpenses.com/settings/membros-de-equipe/896391" TargetMode="External"/><Relationship Id="rId55" Type="http://schemas.openxmlformats.org/officeDocument/2006/relationships/hyperlink" Target="https://amp.vexpenses.com/settings/membros-de-equipe/895992" TargetMode="External"/><Relationship Id="rId97" Type="http://schemas.openxmlformats.org/officeDocument/2006/relationships/hyperlink" Target="https://amp.vexpenses.com/settings/membros-de-equipe/896033" TargetMode="External"/><Relationship Id="rId120" Type="http://schemas.openxmlformats.org/officeDocument/2006/relationships/hyperlink" Target="https://amp.vexpenses.com/settings/membros-de-equipe/896047" TargetMode="External"/><Relationship Id="rId358" Type="http://schemas.openxmlformats.org/officeDocument/2006/relationships/hyperlink" Target="https://amp.vexpenses.com/settings/membros-de-equipe/896245" TargetMode="External"/><Relationship Id="rId162" Type="http://schemas.openxmlformats.org/officeDocument/2006/relationships/hyperlink" Target="https://amp.vexpenses.com/settings/membros-de-equipe/896082" TargetMode="External"/><Relationship Id="rId218" Type="http://schemas.openxmlformats.org/officeDocument/2006/relationships/hyperlink" Target="https://amp.vexpenses.com/settings/membros-de-equipe/896131" TargetMode="External"/><Relationship Id="rId425" Type="http://schemas.openxmlformats.org/officeDocument/2006/relationships/hyperlink" Target="https://amp.vexpenses.com/settings/membros-de-equipe/896301" TargetMode="External"/><Relationship Id="rId467" Type="http://schemas.openxmlformats.org/officeDocument/2006/relationships/hyperlink" Target="https://amp.vexpenses.com/settings/membros-de-equipe/896255" TargetMode="External"/><Relationship Id="rId271" Type="http://schemas.openxmlformats.org/officeDocument/2006/relationships/hyperlink" Target="https://amp.vexpenses.com/settings/membros-de-equipe/896180" TargetMode="External"/><Relationship Id="rId24" Type="http://schemas.openxmlformats.org/officeDocument/2006/relationships/hyperlink" Target="https://amp.vexpenses.com/settings/membros-de-equipe/895966" TargetMode="External"/><Relationship Id="rId66" Type="http://schemas.openxmlformats.org/officeDocument/2006/relationships/hyperlink" Target="https://amp.vexpenses.com/settings/membros-de-equipe/896001" TargetMode="External"/><Relationship Id="rId131" Type="http://schemas.openxmlformats.org/officeDocument/2006/relationships/hyperlink" Target="https://amp.vexpenses.com/settings/membros-de-equipe/896059" TargetMode="External"/><Relationship Id="rId327" Type="http://schemas.openxmlformats.org/officeDocument/2006/relationships/hyperlink" Target="https://amp.vexpenses.com/settings/membros-de-equipe/917361" TargetMode="External"/><Relationship Id="rId369" Type="http://schemas.openxmlformats.org/officeDocument/2006/relationships/hyperlink" Target="https://amp.vexpenses.com/settings/membros-de-equipe/896254" TargetMode="External"/><Relationship Id="rId173" Type="http://schemas.openxmlformats.org/officeDocument/2006/relationships/hyperlink" Target="https://amp.vexpenses.com/settings/membros-de-equipe/896420" TargetMode="External"/><Relationship Id="rId229" Type="http://schemas.openxmlformats.org/officeDocument/2006/relationships/hyperlink" Target="https://amp.vexpenses.com/settings/membros-de-equipe/896141" TargetMode="External"/><Relationship Id="rId380" Type="http://schemas.openxmlformats.org/officeDocument/2006/relationships/hyperlink" Target="https://amp.vexpenses.com/settings/membros-de-equipe/896265" TargetMode="External"/><Relationship Id="rId436" Type="http://schemas.openxmlformats.org/officeDocument/2006/relationships/hyperlink" Target="https://amp.vexpenses.com/settings/membros-de-equipe/896310" TargetMode="External"/><Relationship Id="rId240" Type="http://schemas.openxmlformats.org/officeDocument/2006/relationships/hyperlink" Target="https://amp.vexpenses.com/settings/membros-de-equipe/896151" TargetMode="External"/><Relationship Id="rId478" Type="http://schemas.openxmlformats.org/officeDocument/2006/relationships/hyperlink" Target="https://amp.vexpenses.com/settings/membros-de-equipe/896073" TargetMode="External"/><Relationship Id="rId35" Type="http://schemas.openxmlformats.org/officeDocument/2006/relationships/hyperlink" Target="https://amp.vexpenses.com/settings/membros-de-equipe/929757" TargetMode="External"/><Relationship Id="rId77" Type="http://schemas.openxmlformats.org/officeDocument/2006/relationships/hyperlink" Target="https://amp.vexpenses.com/settings/membros-de-equipe/896014" TargetMode="External"/><Relationship Id="rId100" Type="http://schemas.openxmlformats.org/officeDocument/2006/relationships/hyperlink" Target="https://amp.vexpenses.com/settings/membros-de-equipe/896034" TargetMode="External"/><Relationship Id="rId282" Type="http://schemas.openxmlformats.org/officeDocument/2006/relationships/hyperlink" Target="https://amp.vexpenses.com/settings/membros-de-equipe/896191" TargetMode="External"/><Relationship Id="rId338" Type="http://schemas.openxmlformats.org/officeDocument/2006/relationships/hyperlink" Target="https://amp.vexpenses.com/settings/membros-de-equipe/916932" TargetMode="External"/><Relationship Id="rId503" Type="http://schemas.openxmlformats.org/officeDocument/2006/relationships/hyperlink" Target="https://amp.vexpenses.com/settings/membros-de-equipe/931255" TargetMode="External"/><Relationship Id="rId8" Type="http://schemas.openxmlformats.org/officeDocument/2006/relationships/hyperlink" Target="https://amp.vexpenses.com/settings/membros-de-equipe/895950" TargetMode="External"/><Relationship Id="rId142" Type="http://schemas.openxmlformats.org/officeDocument/2006/relationships/hyperlink" Target="https://amp.vexpenses.com/settings/membros-de-equipe/896068" TargetMode="External"/><Relationship Id="rId184" Type="http://schemas.openxmlformats.org/officeDocument/2006/relationships/hyperlink" Target="https://amp.vexpenses.com/settings/membros-de-equipe/896101" TargetMode="External"/><Relationship Id="rId391" Type="http://schemas.openxmlformats.org/officeDocument/2006/relationships/hyperlink" Target="https://amp.vexpenses.com/settings/membros-de-equipe/896274" TargetMode="External"/><Relationship Id="rId405" Type="http://schemas.openxmlformats.org/officeDocument/2006/relationships/hyperlink" Target="https://amp.vexpenses.com/settings/membros-de-equipe/921927" TargetMode="External"/><Relationship Id="rId447" Type="http://schemas.openxmlformats.org/officeDocument/2006/relationships/hyperlink" Target="https://amp.vexpenses.com/settings/membros-de-equipe/896319" TargetMode="External"/><Relationship Id="rId251" Type="http://schemas.openxmlformats.org/officeDocument/2006/relationships/hyperlink" Target="https://amp.vexpenses.com/settings/membros-de-equipe/896161" TargetMode="External"/><Relationship Id="rId489" Type="http://schemas.openxmlformats.org/officeDocument/2006/relationships/hyperlink" Target="https://amp.vexpenses.com/settings/membros-de-equipe/896286" TargetMode="External"/><Relationship Id="rId46" Type="http://schemas.openxmlformats.org/officeDocument/2006/relationships/hyperlink" Target="https://amp.vexpenses.com/settings/membros-de-equipe/895984" TargetMode="External"/><Relationship Id="rId293" Type="http://schemas.openxmlformats.org/officeDocument/2006/relationships/hyperlink" Target="https://amp.vexpenses.com/settings/membros-de-equipe/896203" TargetMode="External"/><Relationship Id="rId307" Type="http://schemas.openxmlformats.org/officeDocument/2006/relationships/hyperlink" Target="https://amp.vexpenses.com/settings/membros-de-equipe/896212" TargetMode="External"/><Relationship Id="rId349" Type="http://schemas.openxmlformats.org/officeDocument/2006/relationships/hyperlink" Target="https://amp.vexpenses.com/settings/membros-de-equipe/896241" TargetMode="External"/><Relationship Id="rId514" Type="http://schemas.openxmlformats.org/officeDocument/2006/relationships/hyperlink" Target="https://amp.vexpenses.com/settings/membros-de-equipe/923842" TargetMode="External"/><Relationship Id="rId88" Type="http://schemas.openxmlformats.org/officeDocument/2006/relationships/hyperlink" Target="https://amp.vexpenses.com/settings/membros-de-equipe/896024" TargetMode="External"/><Relationship Id="rId111" Type="http://schemas.openxmlformats.org/officeDocument/2006/relationships/hyperlink" Target="https://amp.vexpenses.com/settings/membros-de-equipe/923635" TargetMode="External"/><Relationship Id="rId153" Type="http://schemas.openxmlformats.org/officeDocument/2006/relationships/hyperlink" Target="https://amp.vexpenses.com/settings/membros-de-equipe/920845" TargetMode="External"/><Relationship Id="rId195" Type="http://schemas.openxmlformats.org/officeDocument/2006/relationships/hyperlink" Target="https://amp.vexpenses.com/settings/membros-de-equipe/927567" TargetMode="External"/><Relationship Id="rId209" Type="http://schemas.openxmlformats.org/officeDocument/2006/relationships/hyperlink" Target="https://amp.vexpenses.com/settings/membros-de-equipe/896122" TargetMode="External"/><Relationship Id="rId360" Type="http://schemas.openxmlformats.org/officeDocument/2006/relationships/hyperlink" Target="https://amp.vexpenses.com/settings/membros-de-equipe/896246" TargetMode="External"/><Relationship Id="rId416" Type="http://schemas.openxmlformats.org/officeDocument/2006/relationships/hyperlink" Target="https://amp.vexpenses.com/settings/membros-de-equipe/896296" TargetMode="External"/><Relationship Id="rId220" Type="http://schemas.openxmlformats.org/officeDocument/2006/relationships/hyperlink" Target="https://amp.vexpenses.com/settings/membros-de-equipe/917353" TargetMode="External"/><Relationship Id="rId458" Type="http://schemas.openxmlformats.org/officeDocument/2006/relationships/hyperlink" Target="https://amp.vexpenses.com/settings/membros-de-equipe/921961" TargetMode="External"/><Relationship Id="rId15" Type="http://schemas.openxmlformats.org/officeDocument/2006/relationships/hyperlink" Target="https://amp.vexpenses.com/settings/membros-de-equipe/895958" TargetMode="External"/><Relationship Id="rId57" Type="http://schemas.openxmlformats.org/officeDocument/2006/relationships/hyperlink" Target="https://amp.vexpenses.com/settings/membros-de-equipe/895994" TargetMode="External"/><Relationship Id="rId262" Type="http://schemas.openxmlformats.org/officeDocument/2006/relationships/hyperlink" Target="https://amp.vexpenses.com/settings/membros-de-equipe/896172" TargetMode="External"/><Relationship Id="rId318" Type="http://schemas.openxmlformats.org/officeDocument/2006/relationships/hyperlink" Target="https://amp.vexpenses.com/settings/membros-de-equipe/916930" TargetMode="External"/><Relationship Id="rId525" Type="http://schemas.openxmlformats.org/officeDocument/2006/relationships/hyperlink" Target="https://amp.vexpenses.com/settings/membros-de-equipe/916366" TargetMode="External"/><Relationship Id="rId99" Type="http://schemas.openxmlformats.org/officeDocument/2006/relationships/hyperlink" Target="https://amp.vexpenses.com/settings/membros-de-equipe/935041" TargetMode="External"/><Relationship Id="rId122" Type="http://schemas.openxmlformats.org/officeDocument/2006/relationships/hyperlink" Target="https://amp.vexpenses.com/settings/membros-de-equipe/896049" TargetMode="External"/><Relationship Id="rId164" Type="http://schemas.openxmlformats.org/officeDocument/2006/relationships/hyperlink" Target="https://amp.vexpenses.com/settings/membros-de-equipe/930420" TargetMode="External"/><Relationship Id="rId371" Type="http://schemas.openxmlformats.org/officeDocument/2006/relationships/hyperlink" Target="https://amp.vexpenses.com/settings/membros-de-equipe/896255" TargetMode="External"/><Relationship Id="rId427" Type="http://schemas.openxmlformats.org/officeDocument/2006/relationships/hyperlink" Target="https://amp.vexpenses.com/settings/membros-de-equipe/896303" TargetMode="External"/><Relationship Id="rId469" Type="http://schemas.openxmlformats.org/officeDocument/2006/relationships/hyperlink" Target="https://amp.vexpenses.com/settings/membros-de-equipe/896346" TargetMode="External"/><Relationship Id="rId26" Type="http://schemas.openxmlformats.org/officeDocument/2006/relationships/hyperlink" Target="https://amp.vexpenses.com/settings/membros-de-equipe/916897" TargetMode="External"/><Relationship Id="rId231" Type="http://schemas.openxmlformats.org/officeDocument/2006/relationships/hyperlink" Target="https://amp.vexpenses.com/settings/membros-de-equipe/896143" TargetMode="External"/><Relationship Id="rId273" Type="http://schemas.openxmlformats.org/officeDocument/2006/relationships/hyperlink" Target="https://amp.vexpenses.com/settings/membros-de-equipe/896182" TargetMode="External"/><Relationship Id="rId329" Type="http://schemas.openxmlformats.org/officeDocument/2006/relationships/hyperlink" Target="https://amp.vexpenses.com/settings/membros-de-equipe/896224" TargetMode="External"/><Relationship Id="rId480" Type="http://schemas.openxmlformats.org/officeDocument/2006/relationships/hyperlink" Target="https://amp.vexpenses.com/settings/membros-de-equipe/896068" TargetMode="External"/><Relationship Id="rId68" Type="http://schemas.openxmlformats.org/officeDocument/2006/relationships/hyperlink" Target="https://amp.vexpenses.com/settings/membros-de-equipe/896003" TargetMode="External"/><Relationship Id="rId133" Type="http://schemas.openxmlformats.org/officeDocument/2006/relationships/hyperlink" Target="https://amp.vexpenses.com/settings/membros-de-equipe/896061" TargetMode="External"/><Relationship Id="rId175" Type="http://schemas.openxmlformats.org/officeDocument/2006/relationships/hyperlink" Target="https://amp.vexpenses.com/settings/membros-de-equipe/917078" TargetMode="External"/><Relationship Id="rId340" Type="http://schemas.openxmlformats.org/officeDocument/2006/relationships/hyperlink" Target="https://amp.vexpenses.com/settings/membros-de-equipe/896233" TargetMode="External"/><Relationship Id="rId200" Type="http://schemas.openxmlformats.org/officeDocument/2006/relationships/hyperlink" Target="https://amp.vexpenses.com/settings/membros-de-equipe/896116" TargetMode="External"/><Relationship Id="rId382" Type="http://schemas.openxmlformats.org/officeDocument/2006/relationships/hyperlink" Target="https://amp.vexpenses.com/settings/membros-de-equipe/924050" TargetMode="External"/><Relationship Id="rId438" Type="http://schemas.openxmlformats.org/officeDocument/2006/relationships/hyperlink" Target="https://amp.vexpenses.com/settings/membros-de-equipe/896312" TargetMode="External"/><Relationship Id="rId242" Type="http://schemas.openxmlformats.org/officeDocument/2006/relationships/hyperlink" Target="https://amp.vexpenses.com/settings/membros-de-equipe/896153" TargetMode="External"/><Relationship Id="rId284" Type="http://schemas.openxmlformats.org/officeDocument/2006/relationships/hyperlink" Target="https://amp.vexpenses.com/settings/membros-de-equipe/896193" TargetMode="External"/><Relationship Id="rId491" Type="http://schemas.openxmlformats.org/officeDocument/2006/relationships/hyperlink" Target="https://amp.vexpenses.com/settings/membros-de-equipe/920855" TargetMode="External"/><Relationship Id="rId505" Type="http://schemas.openxmlformats.org/officeDocument/2006/relationships/hyperlink" Target="https://amp.vexpenses.com/settings/membros-de-equipe/896196" TargetMode="External"/><Relationship Id="rId37" Type="http://schemas.openxmlformats.org/officeDocument/2006/relationships/hyperlink" Target="https://amp.vexpenses.com/settings/membros-de-equipe/895976" TargetMode="External"/><Relationship Id="rId79" Type="http://schemas.openxmlformats.org/officeDocument/2006/relationships/hyperlink" Target="https://amp.vexpenses.com/settings/membros-de-equipe/930924" TargetMode="External"/><Relationship Id="rId102" Type="http://schemas.openxmlformats.org/officeDocument/2006/relationships/hyperlink" Target="https://amp.vexpenses.com/settings/membros-de-equipe/896035" TargetMode="External"/><Relationship Id="rId144" Type="http://schemas.openxmlformats.org/officeDocument/2006/relationships/hyperlink" Target="https://amp.vexpenses.com/settings/membros-de-equipe/930406" TargetMode="External"/><Relationship Id="rId90" Type="http://schemas.openxmlformats.org/officeDocument/2006/relationships/hyperlink" Target="https://amp.vexpenses.com/settings/membros-de-equipe/896026" TargetMode="External"/><Relationship Id="rId186" Type="http://schemas.openxmlformats.org/officeDocument/2006/relationships/hyperlink" Target="https://amp.vexpenses.com/settings/membros-de-equipe/896103" TargetMode="External"/><Relationship Id="rId351" Type="http://schemas.openxmlformats.org/officeDocument/2006/relationships/hyperlink" Target="https://amp.vexpenses.com/settings/membros-de-equipe/896243" TargetMode="External"/><Relationship Id="rId393" Type="http://schemas.openxmlformats.org/officeDocument/2006/relationships/hyperlink" Target="https://amp.vexpenses.com/settings/membros-de-equipe/896276" TargetMode="External"/><Relationship Id="rId407" Type="http://schemas.openxmlformats.org/officeDocument/2006/relationships/hyperlink" Target="https://amp.vexpenses.com/settings/membros-de-equipe/896288" TargetMode="External"/><Relationship Id="rId449" Type="http://schemas.openxmlformats.org/officeDocument/2006/relationships/hyperlink" Target="https://amp.vexpenses.com/settings/membros-de-equipe/896322" TargetMode="External"/><Relationship Id="rId211" Type="http://schemas.openxmlformats.org/officeDocument/2006/relationships/hyperlink" Target="https://amp.vexpenses.com/settings/membros-de-equipe/896123" TargetMode="External"/><Relationship Id="rId253" Type="http://schemas.openxmlformats.org/officeDocument/2006/relationships/hyperlink" Target="https://amp.vexpenses.com/settings/membros-de-equipe/896163" TargetMode="External"/><Relationship Id="rId295" Type="http://schemas.openxmlformats.org/officeDocument/2006/relationships/hyperlink" Target="https://amp.vexpenses.com/settings/membros-de-equipe/896422" TargetMode="External"/><Relationship Id="rId309" Type="http://schemas.openxmlformats.org/officeDocument/2006/relationships/hyperlink" Target="https://amp.vexpenses.com/settings/membros-de-equipe/923302" TargetMode="External"/><Relationship Id="rId460" Type="http://schemas.openxmlformats.org/officeDocument/2006/relationships/hyperlink" Target="https://amp.vexpenses.com/settings/membros-de-equipe/896205" TargetMode="External"/><Relationship Id="rId516" Type="http://schemas.openxmlformats.org/officeDocument/2006/relationships/hyperlink" Target="https://amp.vexpenses.com/settings/membros-de-equipe/896381" TargetMode="External"/><Relationship Id="rId48" Type="http://schemas.openxmlformats.org/officeDocument/2006/relationships/hyperlink" Target="https://amp.vexpenses.com/settings/membros-de-equipe/916889" TargetMode="External"/><Relationship Id="rId113" Type="http://schemas.openxmlformats.org/officeDocument/2006/relationships/hyperlink" Target="https://amp.vexpenses.com/settings/membros-de-equipe/896041" TargetMode="External"/><Relationship Id="rId320" Type="http://schemas.openxmlformats.org/officeDocument/2006/relationships/hyperlink" Target="https://amp.vexpenses.com/settings/membros-de-equipe/896220" TargetMode="External"/><Relationship Id="rId155" Type="http://schemas.openxmlformats.org/officeDocument/2006/relationships/hyperlink" Target="https://amp.vexpenses.com/settings/membros-de-equipe/946535" TargetMode="External"/><Relationship Id="rId197" Type="http://schemas.openxmlformats.org/officeDocument/2006/relationships/hyperlink" Target="https://amp.vexpenses.com/settings/membros-de-equipe/896113" TargetMode="External"/><Relationship Id="rId362" Type="http://schemas.openxmlformats.org/officeDocument/2006/relationships/hyperlink" Target="https://amp.vexpenses.com/settings/membros-de-equipe/896249" TargetMode="External"/><Relationship Id="rId418" Type="http://schemas.openxmlformats.org/officeDocument/2006/relationships/hyperlink" Target="https://amp.vexpenses.com/settings/membros-de-equipe/920083" TargetMode="External"/><Relationship Id="rId222" Type="http://schemas.openxmlformats.org/officeDocument/2006/relationships/hyperlink" Target="https://amp.vexpenses.com/settings/membros-de-equipe/922784" TargetMode="External"/><Relationship Id="rId264" Type="http://schemas.openxmlformats.org/officeDocument/2006/relationships/hyperlink" Target="https://amp.vexpenses.com/settings/membros-de-equipe/896174" TargetMode="External"/><Relationship Id="rId471" Type="http://schemas.openxmlformats.org/officeDocument/2006/relationships/hyperlink" Target="https://amp.vexpenses.com/settings/membros-de-equipe/896348" TargetMode="External"/><Relationship Id="rId17" Type="http://schemas.openxmlformats.org/officeDocument/2006/relationships/hyperlink" Target="https://amp.vexpenses.com/settings/membros-de-equipe/895959" TargetMode="External"/><Relationship Id="rId59" Type="http://schemas.openxmlformats.org/officeDocument/2006/relationships/hyperlink" Target="https://amp.vexpenses.com/settings/membros-de-equipe/895996" TargetMode="External"/><Relationship Id="rId124" Type="http://schemas.openxmlformats.org/officeDocument/2006/relationships/hyperlink" Target="https://amp.vexpenses.com/settings/membros-de-equipe/896051" TargetMode="External"/><Relationship Id="rId527" Type="http://schemas.openxmlformats.org/officeDocument/2006/relationships/hyperlink" Target="https://amp.vexpenses.com/settings/membros-de-equipe/896395" TargetMode="External"/><Relationship Id="rId70" Type="http://schemas.openxmlformats.org/officeDocument/2006/relationships/hyperlink" Target="https://amp.vexpenses.com/settings/membros-de-equipe/896005" TargetMode="External"/><Relationship Id="rId166" Type="http://schemas.openxmlformats.org/officeDocument/2006/relationships/hyperlink" Target="https://amp.vexpenses.com/settings/membros-de-equipe/896085" TargetMode="External"/><Relationship Id="rId331" Type="http://schemas.openxmlformats.org/officeDocument/2006/relationships/hyperlink" Target="https://amp.vexpenses.com/settings/membros-de-equipe/896226" TargetMode="External"/><Relationship Id="rId373" Type="http://schemas.openxmlformats.org/officeDocument/2006/relationships/hyperlink" Target="https://amp.vexpenses.com/settings/membros-de-equipe/896257" TargetMode="External"/><Relationship Id="rId429" Type="http://schemas.openxmlformats.org/officeDocument/2006/relationships/hyperlink" Target="https://amp.vexpenses.com/settings/membros-de-equipe/896304" TargetMode="External"/><Relationship Id="rId1" Type="http://schemas.openxmlformats.org/officeDocument/2006/relationships/hyperlink" Target="https://amp.vexpenses.com/settings/membros-de-equipe/895944" TargetMode="External"/><Relationship Id="rId233" Type="http://schemas.openxmlformats.org/officeDocument/2006/relationships/hyperlink" Target="https://amp.vexpenses.com/settings/membros-de-equipe/896144" TargetMode="External"/><Relationship Id="rId440" Type="http://schemas.openxmlformats.org/officeDocument/2006/relationships/hyperlink" Target="https://amp.vexpenses.com/settings/membros-de-equipe/896314" TargetMode="External"/><Relationship Id="rId28" Type="http://schemas.openxmlformats.org/officeDocument/2006/relationships/hyperlink" Target="https://amp.vexpenses.com/settings/membros-de-equipe/917318" TargetMode="External"/><Relationship Id="rId275" Type="http://schemas.openxmlformats.org/officeDocument/2006/relationships/hyperlink" Target="https://amp.vexpenses.com/settings/membros-de-equipe/896184" TargetMode="External"/><Relationship Id="rId300" Type="http://schemas.openxmlformats.org/officeDocument/2006/relationships/hyperlink" Target="https://amp.vexpenses.com/settings/membros-de-equipe/896207" TargetMode="External"/><Relationship Id="rId482" Type="http://schemas.openxmlformats.org/officeDocument/2006/relationships/hyperlink" Target="https://amp.vexpenses.com/settings/membros-de-equipe/918849" TargetMode="External"/><Relationship Id="rId81" Type="http://schemas.openxmlformats.org/officeDocument/2006/relationships/hyperlink" Target="https://amp.vexpenses.com/settings/membros-de-equipe/917342" TargetMode="External"/><Relationship Id="rId135" Type="http://schemas.openxmlformats.org/officeDocument/2006/relationships/hyperlink" Target="https://amp.vexpenses.com/settings/membros-de-equipe/927175" TargetMode="External"/><Relationship Id="rId177" Type="http://schemas.openxmlformats.org/officeDocument/2006/relationships/hyperlink" Target="https://amp.vexpenses.com/settings/membros-de-equipe/896092" TargetMode="External"/><Relationship Id="rId342" Type="http://schemas.openxmlformats.org/officeDocument/2006/relationships/hyperlink" Target="https://amp.vexpenses.com/settings/membros-de-equipe/896235" TargetMode="External"/><Relationship Id="rId384" Type="http://schemas.openxmlformats.org/officeDocument/2006/relationships/hyperlink" Target="https://amp.vexpenses.com/settings/membros-de-equipe/896267" TargetMode="External"/><Relationship Id="rId202" Type="http://schemas.openxmlformats.org/officeDocument/2006/relationships/hyperlink" Target="https://amp.vexpenses.com/settings/membros-de-equipe/896421" TargetMode="External"/><Relationship Id="rId244" Type="http://schemas.openxmlformats.org/officeDocument/2006/relationships/hyperlink" Target="https://amp.vexpenses.com/settings/membros-de-equipe/896156" TargetMode="External"/><Relationship Id="rId39" Type="http://schemas.openxmlformats.org/officeDocument/2006/relationships/hyperlink" Target="https://amp.vexpenses.com/settings/membros-de-equipe/895977" TargetMode="External"/><Relationship Id="rId286" Type="http://schemas.openxmlformats.org/officeDocument/2006/relationships/hyperlink" Target="https://amp.vexpenses.com/settings/membros-de-equipe/896196" TargetMode="External"/><Relationship Id="rId451" Type="http://schemas.openxmlformats.org/officeDocument/2006/relationships/hyperlink" Target="https://amp.vexpenses.com/settings/membros-de-equipe/896273" TargetMode="External"/><Relationship Id="rId493" Type="http://schemas.openxmlformats.org/officeDocument/2006/relationships/hyperlink" Target="https://amp.vexpenses.com/settings/membros-de-equipe/896363" TargetMode="External"/><Relationship Id="rId507" Type="http://schemas.openxmlformats.org/officeDocument/2006/relationships/hyperlink" Target="https://amp.vexpenses.com/settings/membros-de-equipe/896376" TargetMode="External"/><Relationship Id="rId50" Type="http://schemas.openxmlformats.org/officeDocument/2006/relationships/hyperlink" Target="https://amp.vexpenses.com/settings/membros-de-equipe/891977" TargetMode="External"/><Relationship Id="rId104" Type="http://schemas.openxmlformats.org/officeDocument/2006/relationships/hyperlink" Target="https://amp.vexpenses.com/settings/membros-de-equipe/890792" TargetMode="External"/><Relationship Id="rId146" Type="http://schemas.openxmlformats.org/officeDocument/2006/relationships/hyperlink" Target="https://amp.vexpenses.com/settings/membros-de-equipe/896071" TargetMode="External"/><Relationship Id="rId188" Type="http://schemas.openxmlformats.org/officeDocument/2006/relationships/hyperlink" Target="https://amp.vexpenses.com/settings/membros-de-equipe/896105" TargetMode="External"/><Relationship Id="rId311" Type="http://schemas.openxmlformats.org/officeDocument/2006/relationships/hyperlink" Target="https://amp.vexpenses.com/settings/membros-de-equipe/917049" TargetMode="External"/><Relationship Id="rId353" Type="http://schemas.openxmlformats.org/officeDocument/2006/relationships/hyperlink" Target="https://amp.vexpenses.com/settings/membros-de-equipe/928767" TargetMode="External"/><Relationship Id="rId395" Type="http://schemas.openxmlformats.org/officeDocument/2006/relationships/hyperlink" Target="https://amp.vexpenses.com/settings/membros-de-equipe/896278" TargetMode="External"/><Relationship Id="rId409" Type="http://schemas.openxmlformats.org/officeDocument/2006/relationships/hyperlink" Target="https://amp.vexpenses.com/settings/membros-de-equipe/896290" TargetMode="External"/><Relationship Id="rId92" Type="http://schemas.openxmlformats.org/officeDocument/2006/relationships/hyperlink" Target="https://amp.vexpenses.com/settings/membros-de-equipe/896028" TargetMode="External"/><Relationship Id="rId213" Type="http://schemas.openxmlformats.org/officeDocument/2006/relationships/hyperlink" Target="https://amp.vexpenses.com/settings/membros-de-equipe/896125" TargetMode="External"/><Relationship Id="rId420" Type="http://schemas.openxmlformats.org/officeDocument/2006/relationships/hyperlink" Target="https://amp.vexpenses.com/settings/membros-de-equipe/891978" TargetMode="External"/><Relationship Id="rId255" Type="http://schemas.openxmlformats.org/officeDocument/2006/relationships/hyperlink" Target="https://amp.vexpenses.com/settings/membros-de-equipe/896164" TargetMode="External"/><Relationship Id="rId297" Type="http://schemas.openxmlformats.org/officeDocument/2006/relationships/hyperlink" Target="https://amp.vexpenses.com/settings/membros-de-equipe/896205" TargetMode="External"/><Relationship Id="rId462" Type="http://schemas.openxmlformats.org/officeDocument/2006/relationships/hyperlink" Target="https://amp.vexpenses.com/settings/membros-de-equipe/917364" TargetMode="External"/><Relationship Id="rId518" Type="http://schemas.openxmlformats.org/officeDocument/2006/relationships/hyperlink" Target="https://amp.vexpenses.com/settings/membros-de-equipe/896385" TargetMode="External"/><Relationship Id="rId115" Type="http://schemas.openxmlformats.org/officeDocument/2006/relationships/hyperlink" Target="https://amp.vexpenses.com/settings/membros-de-equipe/896043" TargetMode="External"/><Relationship Id="rId157" Type="http://schemas.openxmlformats.org/officeDocument/2006/relationships/hyperlink" Target="https://amp.vexpenses.com/settings/membros-de-equipe/922738" TargetMode="External"/><Relationship Id="rId322" Type="http://schemas.openxmlformats.org/officeDocument/2006/relationships/hyperlink" Target="https://amp.vexpenses.com/settings/membros-de-equipe/940725" TargetMode="External"/><Relationship Id="rId364" Type="http://schemas.openxmlformats.org/officeDocument/2006/relationships/hyperlink" Target="https://amp.vexpenses.com/settings/membros-de-equipe/913936" TargetMode="External"/><Relationship Id="rId61" Type="http://schemas.openxmlformats.org/officeDocument/2006/relationships/hyperlink" Target="https://amp.vexpenses.com/settings/membros-de-equipe/917085" TargetMode="External"/><Relationship Id="rId199" Type="http://schemas.openxmlformats.org/officeDocument/2006/relationships/hyperlink" Target="https://amp.vexpenses.com/settings/membros-de-equipe/896115" TargetMode="External"/><Relationship Id="rId19" Type="http://schemas.openxmlformats.org/officeDocument/2006/relationships/hyperlink" Target="https://amp.vexpenses.com/settings/membros-de-equipe/895962" TargetMode="External"/><Relationship Id="rId224" Type="http://schemas.openxmlformats.org/officeDocument/2006/relationships/hyperlink" Target="https://amp.vexpenses.com/settings/membros-de-equipe/896135" TargetMode="External"/><Relationship Id="rId266" Type="http://schemas.openxmlformats.org/officeDocument/2006/relationships/hyperlink" Target="https://amp.vexpenses.com/settings/membros-de-equipe/896175" TargetMode="External"/><Relationship Id="rId431" Type="http://schemas.openxmlformats.org/officeDocument/2006/relationships/hyperlink" Target="https://amp.vexpenses.com/settings/membros-de-equipe/896305" TargetMode="External"/><Relationship Id="rId473" Type="http://schemas.openxmlformats.org/officeDocument/2006/relationships/hyperlink" Target="https://amp.vexpenses.com/settings/membros-de-equipe/896350" TargetMode="External"/><Relationship Id="rId529" Type="http://schemas.openxmlformats.org/officeDocument/2006/relationships/hyperlink" Target="https://amp.vexpenses.com/settings/membros-de-equipe/916897" TargetMode="External"/><Relationship Id="rId30" Type="http://schemas.openxmlformats.org/officeDocument/2006/relationships/hyperlink" Target="https://amp.vexpenses.com/settings/membros-de-equipe/918852" TargetMode="External"/><Relationship Id="rId126" Type="http://schemas.openxmlformats.org/officeDocument/2006/relationships/hyperlink" Target="https://amp.vexpenses.com/settings/membros-de-equipe/896053" TargetMode="External"/><Relationship Id="rId168" Type="http://schemas.openxmlformats.org/officeDocument/2006/relationships/hyperlink" Target="https://amp.vexpenses.com/settings/membros-de-equipe/946138" TargetMode="External"/><Relationship Id="rId333" Type="http://schemas.openxmlformats.org/officeDocument/2006/relationships/hyperlink" Target="https://amp.vexpenses.com/settings/membros-de-equipe/896227" TargetMode="External"/><Relationship Id="rId72" Type="http://schemas.openxmlformats.org/officeDocument/2006/relationships/hyperlink" Target="https://amp.vexpenses.com/settings/membros-de-equipe/896007" TargetMode="External"/><Relationship Id="rId375" Type="http://schemas.openxmlformats.org/officeDocument/2006/relationships/hyperlink" Target="https://amp.vexpenses.com/settings/membros-de-equipe/896259" TargetMode="External"/><Relationship Id="rId3" Type="http://schemas.openxmlformats.org/officeDocument/2006/relationships/hyperlink" Target="https://amp.vexpenses.com/settings/membros-de-equipe/895945" TargetMode="External"/><Relationship Id="rId235" Type="http://schemas.openxmlformats.org/officeDocument/2006/relationships/hyperlink" Target="https://amp.vexpenses.com/settings/membros-de-equipe/896147" TargetMode="External"/><Relationship Id="rId277" Type="http://schemas.openxmlformats.org/officeDocument/2006/relationships/hyperlink" Target="https://amp.vexpenses.com/settings/membros-de-equipe/896185" TargetMode="External"/><Relationship Id="rId400" Type="http://schemas.openxmlformats.org/officeDocument/2006/relationships/hyperlink" Target="https://amp.vexpenses.com/settings/membros-de-equipe/896282" TargetMode="External"/><Relationship Id="rId442" Type="http://schemas.openxmlformats.org/officeDocument/2006/relationships/hyperlink" Target="https://amp.vexpenses.com/settings/membros-de-equipe/896315" TargetMode="External"/><Relationship Id="rId484" Type="http://schemas.openxmlformats.org/officeDocument/2006/relationships/hyperlink" Target="https://amp.vexpenses.com/settings/membros-de-equipe/896355" TargetMode="External"/><Relationship Id="rId137" Type="http://schemas.openxmlformats.org/officeDocument/2006/relationships/hyperlink" Target="https://amp.vexpenses.com/settings/membros-de-equipe/896064" TargetMode="External"/><Relationship Id="rId302" Type="http://schemas.openxmlformats.org/officeDocument/2006/relationships/hyperlink" Target="https://amp.vexpenses.com/settings/membros-de-equipe/896208" TargetMode="External"/><Relationship Id="rId344" Type="http://schemas.openxmlformats.org/officeDocument/2006/relationships/hyperlink" Target="https://amp.vexpenses.com/settings/membros-de-equipe/896237" TargetMode="External"/><Relationship Id="rId41" Type="http://schemas.openxmlformats.org/officeDocument/2006/relationships/hyperlink" Target="https://amp.vexpenses.com/settings/membros-de-equipe/934784" TargetMode="External"/><Relationship Id="rId83" Type="http://schemas.openxmlformats.org/officeDocument/2006/relationships/hyperlink" Target="https://amp.vexpenses.com/settings/membros-de-equipe/896019" TargetMode="External"/><Relationship Id="rId179" Type="http://schemas.openxmlformats.org/officeDocument/2006/relationships/hyperlink" Target="https://amp.vexpenses.com/settings/membros-de-equipe/896094" TargetMode="External"/><Relationship Id="rId386" Type="http://schemas.openxmlformats.org/officeDocument/2006/relationships/hyperlink" Target="https://amp.vexpenses.com/settings/membros-de-equipe/896270" TargetMode="External"/><Relationship Id="rId190" Type="http://schemas.openxmlformats.org/officeDocument/2006/relationships/hyperlink" Target="https://amp.vexpenses.com/settings/membros-de-equipe/896107" TargetMode="External"/><Relationship Id="rId204" Type="http://schemas.openxmlformats.org/officeDocument/2006/relationships/hyperlink" Target="https://amp.vexpenses.com/settings/membros-de-equipe/896119" TargetMode="External"/><Relationship Id="rId246" Type="http://schemas.openxmlformats.org/officeDocument/2006/relationships/hyperlink" Target="https://amp.vexpenses.com/settings/membros-de-equipe/896158" TargetMode="External"/><Relationship Id="rId288" Type="http://schemas.openxmlformats.org/officeDocument/2006/relationships/hyperlink" Target="https://amp.vexpenses.com/settings/membros-de-equipe/896198" TargetMode="External"/><Relationship Id="rId411" Type="http://schemas.openxmlformats.org/officeDocument/2006/relationships/hyperlink" Target="https://amp.vexpenses.com/settings/membros-de-equipe/896292" TargetMode="External"/><Relationship Id="rId453" Type="http://schemas.openxmlformats.org/officeDocument/2006/relationships/hyperlink" Target="https://amp.vexpenses.com/settings/membros-de-equipe/896357" TargetMode="External"/><Relationship Id="rId509" Type="http://schemas.openxmlformats.org/officeDocument/2006/relationships/hyperlink" Target="https://amp.vexpenses.com/settings/membros-de-equipe/917368" TargetMode="External"/><Relationship Id="rId106" Type="http://schemas.openxmlformats.org/officeDocument/2006/relationships/hyperlink" Target="https://amp.vexpenses.com/settings/membros-de-equipe/896037" TargetMode="External"/><Relationship Id="rId313" Type="http://schemas.openxmlformats.org/officeDocument/2006/relationships/hyperlink" Target="https://amp.vexpenses.com/settings/membros-de-equipe/896216" TargetMode="External"/><Relationship Id="rId495" Type="http://schemas.openxmlformats.org/officeDocument/2006/relationships/hyperlink" Target="https://amp.vexpenses.com/settings/membros-de-equipe/896359" TargetMode="External"/><Relationship Id="rId10" Type="http://schemas.openxmlformats.org/officeDocument/2006/relationships/hyperlink" Target="https://amp.vexpenses.com/settings/membros-de-equipe/895954" TargetMode="External"/><Relationship Id="rId52" Type="http://schemas.openxmlformats.org/officeDocument/2006/relationships/hyperlink" Target="https://amp.vexpenses.com/settings/membros-de-equipe/895989" TargetMode="External"/><Relationship Id="rId94" Type="http://schemas.openxmlformats.org/officeDocument/2006/relationships/hyperlink" Target="https://amp.vexpenses.com/settings/membros-de-equipe/896030" TargetMode="External"/><Relationship Id="rId148" Type="http://schemas.openxmlformats.org/officeDocument/2006/relationships/hyperlink" Target="https://amp.vexpenses.com/settings/membros-de-equipe/896073" TargetMode="External"/><Relationship Id="rId355" Type="http://schemas.openxmlformats.org/officeDocument/2006/relationships/hyperlink" Target="https://amp.vexpenses.com/settings/membros-de-equipe/917365" TargetMode="External"/><Relationship Id="rId397" Type="http://schemas.openxmlformats.org/officeDocument/2006/relationships/hyperlink" Target="https://amp.vexpenses.com/settings/membros-de-equipe/896280" TargetMode="External"/><Relationship Id="rId520" Type="http://schemas.openxmlformats.org/officeDocument/2006/relationships/hyperlink" Target="https://amp.vexpenses.com/settings/membros-de-equipe/896388" TargetMode="External"/><Relationship Id="rId215" Type="http://schemas.openxmlformats.org/officeDocument/2006/relationships/hyperlink" Target="https://amp.vexpenses.com/settings/membros-de-equipe/896127" TargetMode="External"/><Relationship Id="rId257" Type="http://schemas.openxmlformats.org/officeDocument/2006/relationships/hyperlink" Target="https://amp.vexpenses.com/settings/membros-de-equipe/896166" TargetMode="External"/><Relationship Id="rId422" Type="http://schemas.openxmlformats.org/officeDocument/2006/relationships/hyperlink" Target="https://amp.vexpenses.com/settings/membros-de-equipe/896299" TargetMode="External"/><Relationship Id="rId464" Type="http://schemas.openxmlformats.org/officeDocument/2006/relationships/hyperlink" Target="https://amp.vexpenses.com/settings/membros-de-equipe/896342" TargetMode="External"/><Relationship Id="rId299" Type="http://schemas.openxmlformats.org/officeDocument/2006/relationships/hyperlink" Target="https://amp.vexpenses.com/settings/membros-de-equipe/896206" TargetMode="External"/><Relationship Id="rId63" Type="http://schemas.openxmlformats.org/officeDocument/2006/relationships/hyperlink" Target="https://amp.vexpenses.com/settings/membros-de-equipe/930416" TargetMode="External"/><Relationship Id="rId159" Type="http://schemas.openxmlformats.org/officeDocument/2006/relationships/hyperlink" Target="https://amp.vexpenses.com/settings/membros-de-equipe/896081" TargetMode="External"/><Relationship Id="rId366" Type="http://schemas.openxmlformats.org/officeDocument/2006/relationships/hyperlink" Target="https://amp.vexpenses.com/settings/membros-de-equipe/896425" TargetMode="External"/><Relationship Id="rId226" Type="http://schemas.openxmlformats.org/officeDocument/2006/relationships/hyperlink" Target="https://amp.vexpenses.com/settings/membros-de-equipe/896137" TargetMode="External"/><Relationship Id="rId433" Type="http://schemas.openxmlformats.org/officeDocument/2006/relationships/hyperlink" Target="https://amp.vexpenses.com/settings/membros-de-equipe/928994" TargetMode="External"/><Relationship Id="rId74" Type="http://schemas.openxmlformats.org/officeDocument/2006/relationships/hyperlink" Target="https://amp.vexpenses.com/settings/membros-de-equipe/896009" TargetMode="External"/><Relationship Id="rId377" Type="http://schemas.openxmlformats.org/officeDocument/2006/relationships/hyperlink" Target="https://amp.vexpenses.com/settings/membros-de-equipe/891980" TargetMode="External"/><Relationship Id="rId500" Type="http://schemas.openxmlformats.org/officeDocument/2006/relationships/hyperlink" Target="https://amp.vexpenses.com/settings/membros-de-equipe/895985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amp.vexpenses.com/settings/membros-de-equipe/896419" TargetMode="External"/><Relationship Id="rId21" Type="http://schemas.openxmlformats.org/officeDocument/2006/relationships/hyperlink" Target="https://amp.vexpenses.com/settings/membros-de-equipe/895961" TargetMode="External"/><Relationship Id="rId324" Type="http://schemas.openxmlformats.org/officeDocument/2006/relationships/hyperlink" Target="https://amp.vexpenses.com/settings/membros-de-equipe/896213" TargetMode="External"/><Relationship Id="rId531" Type="http://schemas.openxmlformats.org/officeDocument/2006/relationships/hyperlink" Target="https://amp.vexpenses.com/settings/membros-de-equipe/896380" TargetMode="External"/><Relationship Id="rId170" Type="http://schemas.openxmlformats.org/officeDocument/2006/relationships/hyperlink" Target="https://amp.vexpenses.com/settings/membros-de-equipe/896082" TargetMode="External"/><Relationship Id="rId268" Type="http://schemas.openxmlformats.org/officeDocument/2006/relationships/hyperlink" Target="https://amp.vexpenses.com/settings/membros-de-equipe/896161" TargetMode="External"/><Relationship Id="rId475" Type="http://schemas.openxmlformats.org/officeDocument/2006/relationships/hyperlink" Target="https://amp.vexpenses.com/settings/membros-de-equipe/896332" TargetMode="External"/><Relationship Id="rId32" Type="http://schemas.openxmlformats.org/officeDocument/2006/relationships/hyperlink" Target="https://amp.vexpenses.com/settings/membros-de-equipe/895968" TargetMode="External"/><Relationship Id="rId128" Type="http://schemas.openxmlformats.org/officeDocument/2006/relationships/hyperlink" Target="https://amp.vexpenses.com/settings/membros-de-equipe/985850" TargetMode="External"/><Relationship Id="rId335" Type="http://schemas.openxmlformats.org/officeDocument/2006/relationships/hyperlink" Target="https://amp.vexpenses.com/settings/membros-de-equipe/891904" TargetMode="External"/><Relationship Id="rId542" Type="http://schemas.openxmlformats.org/officeDocument/2006/relationships/hyperlink" Target="https://amp.vexpenses.com/settings/membros-de-equipe/896393" TargetMode="External"/><Relationship Id="rId181" Type="http://schemas.openxmlformats.org/officeDocument/2006/relationships/hyperlink" Target="https://amp.vexpenses.com/settings/membros-de-equipe/944251" TargetMode="External"/><Relationship Id="rId402" Type="http://schemas.openxmlformats.org/officeDocument/2006/relationships/hyperlink" Target="https://amp.vexpenses.com/settings/membros-de-equipe/967438" TargetMode="External"/><Relationship Id="rId279" Type="http://schemas.openxmlformats.org/officeDocument/2006/relationships/hyperlink" Target="https://amp.vexpenses.com/settings/membros-de-equipe/896171" TargetMode="External"/><Relationship Id="rId486" Type="http://schemas.openxmlformats.org/officeDocument/2006/relationships/hyperlink" Target="https://amp.vexpenses.com/settings/membros-de-equipe/896343" TargetMode="External"/><Relationship Id="rId43" Type="http://schemas.openxmlformats.org/officeDocument/2006/relationships/hyperlink" Target="https://amp.vexpenses.com/settings/membros-de-equipe/895977" TargetMode="External"/><Relationship Id="rId139" Type="http://schemas.openxmlformats.org/officeDocument/2006/relationships/hyperlink" Target="https://amp.vexpenses.com/settings/membros-de-equipe/994751" TargetMode="External"/><Relationship Id="rId346" Type="http://schemas.openxmlformats.org/officeDocument/2006/relationships/hyperlink" Target="https://amp.vexpenses.com/settings/membros-de-equipe/896226" TargetMode="External"/><Relationship Id="rId192" Type="http://schemas.openxmlformats.org/officeDocument/2006/relationships/hyperlink" Target="https://amp.vexpenses.com/settings/membros-de-equipe/896101" TargetMode="External"/><Relationship Id="rId206" Type="http://schemas.openxmlformats.org/officeDocument/2006/relationships/hyperlink" Target="https://amp.vexpenses.com/settings/membros-de-equipe/896113" TargetMode="External"/><Relationship Id="rId413" Type="http://schemas.openxmlformats.org/officeDocument/2006/relationships/hyperlink" Target="https://amp.vexpenses.com/settings/membros-de-equipe/896280" TargetMode="External"/><Relationship Id="rId497" Type="http://schemas.openxmlformats.org/officeDocument/2006/relationships/hyperlink" Target="https://amp.vexpenses.com/settings/membros-de-equipe/896355" TargetMode="External"/><Relationship Id="rId12" Type="http://schemas.openxmlformats.org/officeDocument/2006/relationships/hyperlink" Target="https://amp.vexpenses.com/settings/membros-de-equipe/895955" TargetMode="External"/><Relationship Id="rId108" Type="http://schemas.openxmlformats.org/officeDocument/2006/relationships/hyperlink" Target="https://amp.vexpenses.com/settings/membros-de-equipe/896034" TargetMode="External"/><Relationship Id="rId315" Type="http://schemas.openxmlformats.org/officeDocument/2006/relationships/hyperlink" Target="https://amp.vexpenses.com/settings/membros-de-equipe/998959" TargetMode="External"/><Relationship Id="rId357" Type="http://schemas.openxmlformats.org/officeDocument/2006/relationships/hyperlink" Target="https://amp.vexpenses.com/settings/membros-de-equipe/896234" TargetMode="External"/><Relationship Id="rId522" Type="http://schemas.openxmlformats.org/officeDocument/2006/relationships/hyperlink" Target="https://amp.vexpenses.com/settings/membros-de-equipe/985833" TargetMode="External"/><Relationship Id="rId54" Type="http://schemas.openxmlformats.org/officeDocument/2006/relationships/hyperlink" Target="https://amp.vexpenses.com/settings/membros-de-equipe/895986" TargetMode="External"/><Relationship Id="rId96" Type="http://schemas.openxmlformats.org/officeDocument/2006/relationships/hyperlink" Target="https://amp.vexpenses.com/settings/membros-de-equipe/1001897" TargetMode="External"/><Relationship Id="rId161" Type="http://schemas.openxmlformats.org/officeDocument/2006/relationships/hyperlink" Target="https://amp.vexpenses.com/settings/membros-de-equipe/920845" TargetMode="External"/><Relationship Id="rId217" Type="http://schemas.openxmlformats.org/officeDocument/2006/relationships/hyperlink" Target="https://amp.vexpenses.com/settings/membros-de-equipe/896121" TargetMode="External"/><Relationship Id="rId399" Type="http://schemas.openxmlformats.org/officeDocument/2006/relationships/hyperlink" Target="https://amp.vexpenses.com/settings/membros-de-equipe/917363" TargetMode="External"/><Relationship Id="rId259" Type="http://schemas.openxmlformats.org/officeDocument/2006/relationships/hyperlink" Target="https://amp.vexpenses.com/settings/membros-de-equipe/896154" TargetMode="External"/><Relationship Id="rId424" Type="http://schemas.openxmlformats.org/officeDocument/2006/relationships/hyperlink" Target="https://amp.vexpenses.com/settings/membros-de-equipe/954642" TargetMode="External"/><Relationship Id="rId466" Type="http://schemas.openxmlformats.org/officeDocument/2006/relationships/hyperlink" Target="https://amp.vexpenses.com/settings/membros-de-equipe/896325" TargetMode="External"/><Relationship Id="rId23" Type="http://schemas.openxmlformats.org/officeDocument/2006/relationships/hyperlink" Target="https://amp.vexpenses.com/settings/membros-de-equipe/895963" TargetMode="External"/><Relationship Id="rId119" Type="http://schemas.openxmlformats.org/officeDocument/2006/relationships/hyperlink" Target="https://amp.vexpenses.com/settings/membros-de-equipe/917060" TargetMode="External"/><Relationship Id="rId270" Type="http://schemas.openxmlformats.org/officeDocument/2006/relationships/hyperlink" Target="https://amp.vexpenses.com/settings/membros-de-equipe/896163" TargetMode="External"/><Relationship Id="rId326" Type="http://schemas.openxmlformats.org/officeDocument/2006/relationships/hyperlink" Target="https://amp.vexpenses.com/settings/membros-de-equipe/917049" TargetMode="External"/><Relationship Id="rId533" Type="http://schemas.openxmlformats.org/officeDocument/2006/relationships/hyperlink" Target="https://amp.vexpenses.com/settings/membros-de-equipe/896383" TargetMode="External"/><Relationship Id="rId65" Type="http://schemas.openxmlformats.org/officeDocument/2006/relationships/hyperlink" Target="https://amp.vexpenses.com/settings/membros-de-equipe/973987" TargetMode="External"/><Relationship Id="rId130" Type="http://schemas.openxmlformats.org/officeDocument/2006/relationships/hyperlink" Target="https://amp.vexpenses.com/settings/membros-de-equipe/896050" TargetMode="External"/><Relationship Id="rId368" Type="http://schemas.openxmlformats.org/officeDocument/2006/relationships/hyperlink" Target="https://amp.vexpenses.com/settings/membros-de-equipe/928767" TargetMode="External"/><Relationship Id="rId172" Type="http://schemas.openxmlformats.org/officeDocument/2006/relationships/hyperlink" Target="https://amp.vexpenses.com/settings/membros-de-equipe/930420" TargetMode="External"/><Relationship Id="rId228" Type="http://schemas.openxmlformats.org/officeDocument/2006/relationships/hyperlink" Target="https://amp.vexpenses.com/settings/membros-de-equipe/896129" TargetMode="External"/><Relationship Id="rId435" Type="http://schemas.openxmlformats.org/officeDocument/2006/relationships/hyperlink" Target="https://amp.vexpenses.com/settings/membros-de-equipe/920083" TargetMode="External"/><Relationship Id="rId477" Type="http://schemas.openxmlformats.org/officeDocument/2006/relationships/hyperlink" Target="https://amp.vexpenses.com/settings/membros-de-equipe/896335" TargetMode="External"/><Relationship Id="rId281" Type="http://schemas.openxmlformats.org/officeDocument/2006/relationships/hyperlink" Target="https://amp.vexpenses.com/settings/membros-de-equipe/896173" TargetMode="External"/><Relationship Id="rId337" Type="http://schemas.openxmlformats.org/officeDocument/2006/relationships/hyperlink" Target="https://amp.vexpenses.com/settings/membros-de-equipe/896221" TargetMode="External"/><Relationship Id="rId502" Type="http://schemas.openxmlformats.org/officeDocument/2006/relationships/hyperlink" Target="https://amp.vexpenses.com/settings/membros-de-equipe/930440" TargetMode="External"/><Relationship Id="rId34" Type="http://schemas.openxmlformats.org/officeDocument/2006/relationships/hyperlink" Target="https://amp.vexpenses.com/settings/membros-de-equipe/895969" TargetMode="External"/><Relationship Id="rId76" Type="http://schemas.openxmlformats.org/officeDocument/2006/relationships/hyperlink" Target="https://amp.vexpenses.com/settings/membros-de-equipe/896005" TargetMode="External"/><Relationship Id="rId141" Type="http://schemas.openxmlformats.org/officeDocument/2006/relationships/hyperlink" Target="https://amp.vexpenses.com/settings/membros-de-equipe/896061" TargetMode="External"/><Relationship Id="rId379" Type="http://schemas.openxmlformats.org/officeDocument/2006/relationships/hyperlink" Target="https://amp.vexpenses.com/settings/membros-de-equipe/896250" TargetMode="External"/><Relationship Id="rId544" Type="http://schemas.openxmlformats.org/officeDocument/2006/relationships/hyperlink" Target="https://amp.vexpenses.com/settings/membros-de-equipe/916366" TargetMode="External"/><Relationship Id="rId7" Type="http://schemas.openxmlformats.org/officeDocument/2006/relationships/hyperlink" Target="https://amp.vexpenses.com/settings/membros-de-equipe/895949" TargetMode="External"/><Relationship Id="rId183" Type="http://schemas.openxmlformats.org/officeDocument/2006/relationships/hyperlink" Target="https://amp.vexpenses.com/settings/membros-de-equipe/896091" TargetMode="External"/><Relationship Id="rId239" Type="http://schemas.openxmlformats.org/officeDocument/2006/relationships/hyperlink" Target="https://amp.vexpenses.com/settings/membros-de-equipe/954733" TargetMode="External"/><Relationship Id="rId390" Type="http://schemas.openxmlformats.org/officeDocument/2006/relationships/hyperlink" Target="https://amp.vexpenses.com/settings/membros-de-equipe/896257" TargetMode="External"/><Relationship Id="rId404" Type="http://schemas.openxmlformats.org/officeDocument/2006/relationships/hyperlink" Target="https://amp.vexpenses.com/settings/membros-de-equipe/896271" TargetMode="External"/><Relationship Id="rId446" Type="http://schemas.openxmlformats.org/officeDocument/2006/relationships/hyperlink" Target="https://amp.vexpenses.com/settings/membros-de-equipe/921795" TargetMode="External"/><Relationship Id="rId250" Type="http://schemas.openxmlformats.org/officeDocument/2006/relationships/hyperlink" Target="https://amp.vexpenses.com/settings/membros-de-equipe/896147" TargetMode="External"/><Relationship Id="rId292" Type="http://schemas.openxmlformats.org/officeDocument/2006/relationships/hyperlink" Target="https://amp.vexpenses.com/settings/membros-de-equipe/896184" TargetMode="External"/><Relationship Id="rId306" Type="http://schemas.openxmlformats.org/officeDocument/2006/relationships/hyperlink" Target="https://amp.vexpenses.com/settings/membros-de-equipe/896199" TargetMode="External"/><Relationship Id="rId488" Type="http://schemas.openxmlformats.org/officeDocument/2006/relationships/hyperlink" Target="https://amp.vexpenses.com/settings/membros-de-equipe/896346" TargetMode="External"/><Relationship Id="rId45" Type="http://schemas.openxmlformats.org/officeDocument/2006/relationships/hyperlink" Target="https://amp.vexpenses.com/settings/membros-de-equipe/952448" TargetMode="External"/><Relationship Id="rId87" Type="http://schemas.openxmlformats.org/officeDocument/2006/relationships/hyperlink" Target="https://amp.vexpenses.com/settings/membros-de-equipe/917342" TargetMode="External"/><Relationship Id="rId110" Type="http://schemas.openxmlformats.org/officeDocument/2006/relationships/hyperlink" Target="https://amp.vexpenses.com/settings/membros-de-equipe/896036" TargetMode="External"/><Relationship Id="rId348" Type="http://schemas.openxmlformats.org/officeDocument/2006/relationships/hyperlink" Target="https://amp.vexpenses.com/settings/membros-de-equipe/896227" TargetMode="External"/><Relationship Id="rId513" Type="http://schemas.openxmlformats.org/officeDocument/2006/relationships/hyperlink" Target="https://amp.vexpenses.com/settings/membros-de-equipe/896366" TargetMode="External"/><Relationship Id="rId152" Type="http://schemas.openxmlformats.org/officeDocument/2006/relationships/hyperlink" Target="https://amp.vexpenses.com/settings/membros-de-equipe/930406" TargetMode="External"/><Relationship Id="rId194" Type="http://schemas.openxmlformats.org/officeDocument/2006/relationships/hyperlink" Target="https://amp.vexpenses.com/settings/membros-de-equipe/896102" TargetMode="External"/><Relationship Id="rId208" Type="http://schemas.openxmlformats.org/officeDocument/2006/relationships/hyperlink" Target="https://amp.vexpenses.com/settings/membros-de-equipe/896115" TargetMode="External"/><Relationship Id="rId415" Type="http://schemas.openxmlformats.org/officeDocument/2006/relationships/hyperlink" Target="https://amp.vexpenses.com/settings/membros-de-equipe/896282" TargetMode="External"/><Relationship Id="rId457" Type="http://schemas.openxmlformats.org/officeDocument/2006/relationships/hyperlink" Target="https://amp.vexpenses.com/settings/membros-de-equipe/922275" TargetMode="External"/><Relationship Id="rId261" Type="http://schemas.openxmlformats.org/officeDocument/2006/relationships/hyperlink" Target="https://amp.vexpenses.com/settings/membros-de-equipe/896157" TargetMode="External"/><Relationship Id="rId499" Type="http://schemas.openxmlformats.org/officeDocument/2006/relationships/hyperlink" Target="https://amp.vexpenses.com/settings/membros-de-equipe/896356" TargetMode="External"/><Relationship Id="rId14" Type="http://schemas.openxmlformats.org/officeDocument/2006/relationships/hyperlink" Target="https://amp.vexpenses.com/settings/membros-de-equipe/985870" TargetMode="External"/><Relationship Id="rId56" Type="http://schemas.openxmlformats.org/officeDocument/2006/relationships/hyperlink" Target="https://amp.vexpenses.com/settings/membros-de-equipe/895988" TargetMode="External"/><Relationship Id="rId317" Type="http://schemas.openxmlformats.org/officeDocument/2006/relationships/hyperlink" Target="https://amp.vexpenses.com/settings/membros-de-equipe/896207" TargetMode="External"/><Relationship Id="rId359" Type="http://schemas.openxmlformats.org/officeDocument/2006/relationships/hyperlink" Target="https://amp.vexpenses.com/settings/membros-de-equipe/896236" TargetMode="External"/><Relationship Id="rId524" Type="http://schemas.openxmlformats.org/officeDocument/2006/relationships/hyperlink" Target="https://amp.vexpenses.com/settings/membros-de-equipe/896424" TargetMode="External"/><Relationship Id="rId98" Type="http://schemas.openxmlformats.org/officeDocument/2006/relationships/hyperlink" Target="https://amp.vexpenses.com/settings/membros-de-equipe/896025" TargetMode="External"/><Relationship Id="rId121" Type="http://schemas.openxmlformats.org/officeDocument/2006/relationships/hyperlink" Target="https://amp.vexpenses.com/settings/membros-de-equipe/896044" TargetMode="External"/><Relationship Id="rId163" Type="http://schemas.openxmlformats.org/officeDocument/2006/relationships/hyperlink" Target="https://amp.vexpenses.com/settings/membros-de-equipe/946535" TargetMode="External"/><Relationship Id="rId219" Type="http://schemas.openxmlformats.org/officeDocument/2006/relationships/hyperlink" Target="https://amp.vexpenses.com/settings/membros-de-equipe/929761" TargetMode="External"/><Relationship Id="rId370" Type="http://schemas.openxmlformats.org/officeDocument/2006/relationships/hyperlink" Target="https://amp.vexpenses.com/settings/membros-de-equipe/917365" TargetMode="External"/><Relationship Id="rId426" Type="http://schemas.openxmlformats.org/officeDocument/2006/relationships/hyperlink" Target="https://amp.vexpenses.com/settings/membros-de-equipe/896292" TargetMode="External"/><Relationship Id="rId230" Type="http://schemas.openxmlformats.org/officeDocument/2006/relationships/hyperlink" Target="https://amp.vexpenses.com/settings/membros-de-equipe/896132" TargetMode="External"/><Relationship Id="rId468" Type="http://schemas.openxmlformats.org/officeDocument/2006/relationships/hyperlink" Target="https://amp.vexpenses.com/settings/membros-de-equipe/896327" TargetMode="External"/><Relationship Id="rId25" Type="http://schemas.openxmlformats.org/officeDocument/2006/relationships/hyperlink" Target="https://amp.vexpenses.com/settings/membros-de-equipe/895965" TargetMode="External"/><Relationship Id="rId67" Type="http://schemas.openxmlformats.org/officeDocument/2006/relationships/hyperlink" Target="https://amp.vexpenses.com/settings/membros-de-equipe/895997" TargetMode="External"/><Relationship Id="rId272" Type="http://schemas.openxmlformats.org/officeDocument/2006/relationships/hyperlink" Target="https://amp.vexpenses.com/settings/membros-de-equipe/986346" TargetMode="External"/><Relationship Id="rId328" Type="http://schemas.openxmlformats.org/officeDocument/2006/relationships/hyperlink" Target="https://amp.vexpenses.com/settings/membros-de-equipe/961469" TargetMode="External"/><Relationship Id="rId535" Type="http://schemas.openxmlformats.org/officeDocument/2006/relationships/hyperlink" Target="https://amp.vexpenses.com/settings/membros-de-equipe/896385" TargetMode="External"/><Relationship Id="rId132" Type="http://schemas.openxmlformats.org/officeDocument/2006/relationships/hyperlink" Target="https://amp.vexpenses.com/settings/membros-de-equipe/896052" TargetMode="External"/><Relationship Id="rId174" Type="http://schemas.openxmlformats.org/officeDocument/2006/relationships/hyperlink" Target="https://amp.vexpenses.com/settings/membros-de-equipe/896085" TargetMode="External"/><Relationship Id="rId381" Type="http://schemas.openxmlformats.org/officeDocument/2006/relationships/hyperlink" Target="https://amp.vexpenses.com/settings/membros-de-equipe/896251" TargetMode="External"/><Relationship Id="rId241" Type="http://schemas.openxmlformats.org/officeDocument/2006/relationships/hyperlink" Target="https://amp.vexpenses.com/settings/membros-de-equipe/896140" TargetMode="External"/><Relationship Id="rId437" Type="http://schemas.openxmlformats.org/officeDocument/2006/relationships/hyperlink" Target="https://amp.vexpenses.com/settings/membros-de-equipe/891978" TargetMode="External"/><Relationship Id="rId479" Type="http://schemas.openxmlformats.org/officeDocument/2006/relationships/hyperlink" Target="https://amp.vexpenses.com/settings/membros-de-equipe/896336" TargetMode="External"/><Relationship Id="rId36" Type="http://schemas.openxmlformats.org/officeDocument/2006/relationships/hyperlink" Target="https://amp.vexpenses.com/settings/membros-de-equipe/895970" TargetMode="External"/><Relationship Id="rId283" Type="http://schemas.openxmlformats.org/officeDocument/2006/relationships/hyperlink" Target="https://amp.vexpenses.com/settings/membros-de-equipe/957803" TargetMode="External"/><Relationship Id="rId339" Type="http://schemas.openxmlformats.org/officeDocument/2006/relationships/hyperlink" Target="https://amp.vexpenses.com/settings/membros-de-equipe/896222" TargetMode="External"/><Relationship Id="rId490" Type="http://schemas.openxmlformats.org/officeDocument/2006/relationships/hyperlink" Target="https://amp.vexpenses.com/settings/membros-de-equipe/896348" TargetMode="External"/><Relationship Id="rId504" Type="http://schemas.openxmlformats.org/officeDocument/2006/relationships/hyperlink" Target="https://amp.vexpenses.com/settings/membros-de-equipe/896360" TargetMode="External"/><Relationship Id="rId546" Type="http://schemas.openxmlformats.org/officeDocument/2006/relationships/hyperlink" Target="https://amp.vexpenses.com/settings/membros-de-equipe/896395" TargetMode="External"/><Relationship Id="rId78" Type="http://schemas.openxmlformats.org/officeDocument/2006/relationships/hyperlink" Target="https://amp.vexpenses.com/settings/membros-de-equipe/896007" TargetMode="External"/><Relationship Id="rId101" Type="http://schemas.openxmlformats.org/officeDocument/2006/relationships/hyperlink" Target="https://amp.vexpenses.com/settings/membros-de-equipe/896028" TargetMode="External"/><Relationship Id="rId143" Type="http://schemas.openxmlformats.org/officeDocument/2006/relationships/hyperlink" Target="https://amp.vexpenses.com/settings/membros-de-equipe/896062" TargetMode="External"/><Relationship Id="rId185" Type="http://schemas.openxmlformats.org/officeDocument/2006/relationships/hyperlink" Target="https://amp.vexpenses.com/settings/membros-de-equipe/896093" TargetMode="External"/><Relationship Id="rId350" Type="http://schemas.openxmlformats.org/officeDocument/2006/relationships/hyperlink" Target="https://amp.vexpenses.com/settings/membros-de-equipe/896229" TargetMode="External"/><Relationship Id="rId406" Type="http://schemas.openxmlformats.org/officeDocument/2006/relationships/hyperlink" Target="https://amp.vexpenses.com/settings/membros-de-equipe/896273" TargetMode="External"/><Relationship Id="rId9" Type="http://schemas.openxmlformats.org/officeDocument/2006/relationships/hyperlink" Target="https://amp.vexpenses.com/settings/membros-de-equipe/895950" TargetMode="External"/><Relationship Id="rId210" Type="http://schemas.openxmlformats.org/officeDocument/2006/relationships/hyperlink" Target="https://amp.vexpenses.com/settings/membros-de-equipe/896117" TargetMode="External"/><Relationship Id="rId392" Type="http://schemas.openxmlformats.org/officeDocument/2006/relationships/hyperlink" Target="https://amp.vexpenses.com/settings/membros-de-equipe/896259" TargetMode="External"/><Relationship Id="rId448" Type="http://schemas.openxmlformats.org/officeDocument/2006/relationships/hyperlink" Target="https://amp.vexpenses.com/settings/membros-de-equipe/996627" TargetMode="External"/><Relationship Id="rId252" Type="http://schemas.openxmlformats.org/officeDocument/2006/relationships/hyperlink" Target="https://amp.vexpenses.com/settings/membros-de-equipe/896148" TargetMode="External"/><Relationship Id="rId294" Type="http://schemas.openxmlformats.org/officeDocument/2006/relationships/hyperlink" Target="https://amp.vexpenses.com/settings/membros-de-equipe/896185" TargetMode="External"/><Relationship Id="rId308" Type="http://schemas.openxmlformats.org/officeDocument/2006/relationships/hyperlink" Target="https://amp.vexpenses.com/settings/membros-de-equipe/946419" TargetMode="External"/><Relationship Id="rId515" Type="http://schemas.openxmlformats.org/officeDocument/2006/relationships/hyperlink" Target="https://amp.vexpenses.com/settings/membros-de-equipe/968562" TargetMode="External"/><Relationship Id="rId47" Type="http://schemas.openxmlformats.org/officeDocument/2006/relationships/hyperlink" Target="https://amp.vexpenses.com/settings/membros-de-equipe/917324" TargetMode="External"/><Relationship Id="rId89" Type="http://schemas.openxmlformats.org/officeDocument/2006/relationships/hyperlink" Target="https://amp.vexpenses.com/settings/membros-de-equipe/896019" TargetMode="External"/><Relationship Id="rId112" Type="http://schemas.openxmlformats.org/officeDocument/2006/relationships/hyperlink" Target="https://amp.vexpenses.com/settings/membros-de-equipe/917376" TargetMode="External"/><Relationship Id="rId154" Type="http://schemas.openxmlformats.org/officeDocument/2006/relationships/hyperlink" Target="https://amp.vexpenses.com/settings/membros-de-equipe/896071" TargetMode="External"/><Relationship Id="rId361" Type="http://schemas.openxmlformats.org/officeDocument/2006/relationships/hyperlink" Target="https://amp.vexpenses.com/settings/membros-de-equipe/916912" TargetMode="External"/><Relationship Id="rId196" Type="http://schemas.openxmlformats.org/officeDocument/2006/relationships/hyperlink" Target="https://amp.vexpenses.com/settings/membros-de-equipe/896104" TargetMode="External"/><Relationship Id="rId417" Type="http://schemas.openxmlformats.org/officeDocument/2006/relationships/hyperlink" Target="https://amp.vexpenses.com/settings/membros-de-equipe/896285" TargetMode="External"/><Relationship Id="rId459" Type="http://schemas.openxmlformats.org/officeDocument/2006/relationships/hyperlink" Target="https://amp.vexpenses.com/settings/membros-de-equipe/896316" TargetMode="External"/><Relationship Id="rId16" Type="http://schemas.openxmlformats.org/officeDocument/2006/relationships/hyperlink" Target="https://amp.vexpenses.com/settings/membros-de-equipe/895957" TargetMode="External"/><Relationship Id="rId221" Type="http://schemas.openxmlformats.org/officeDocument/2006/relationships/hyperlink" Target="https://amp.vexpenses.com/settings/membros-de-equipe/896123" TargetMode="External"/><Relationship Id="rId263" Type="http://schemas.openxmlformats.org/officeDocument/2006/relationships/hyperlink" Target="https://amp.vexpenses.com/settings/membros-de-equipe/931414" TargetMode="External"/><Relationship Id="rId319" Type="http://schemas.openxmlformats.org/officeDocument/2006/relationships/hyperlink" Target="https://amp.vexpenses.com/settings/membros-de-equipe/896208" TargetMode="External"/><Relationship Id="rId470" Type="http://schemas.openxmlformats.org/officeDocument/2006/relationships/hyperlink" Target="https://amp.vexpenses.com/settings/membros-de-equipe/917069" TargetMode="External"/><Relationship Id="rId526" Type="http://schemas.openxmlformats.org/officeDocument/2006/relationships/hyperlink" Target="https://amp.vexpenses.com/settings/membros-de-equipe/999480" TargetMode="External"/><Relationship Id="rId58" Type="http://schemas.openxmlformats.org/officeDocument/2006/relationships/hyperlink" Target="https://amp.vexpenses.com/settings/membros-de-equipe/895991" TargetMode="External"/><Relationship Id="rId123" Type="http://schemas.openxmlformats.org/officeDocument/2006/relationships/hyperlink" Target="https://amp.vexpenses.com/settings/membros-de-equipe/896045" TargetMode="External"/><Relationship Id="rId330" Type="http://schemas.openxmlformats.org/officeDocument/2006/relationships/hyperlink" Target="https://amp.vexpenses.com/settings/membros-de-equipe/896217" TargetMode="External"/><Relationship Id="rId165" Type="http://schemas.openxmlformats.org/officeDocument/2006/relationships/hyperlink" Target="https://amp.vexpenses.com/settings/membros-de-equipe/922738" TargetMode="External"/><Relationship Id="rId372" Type="http://schemas.openxmlformats.org/officeDocument/2006/relationships/hyperlink" Target="https://amp.vexpenses.com/settings/membros-de-equipe/935493" TargetMode="External"/><Relationship Id="rId428" Type="http://schemas.openxmlformats.org/officeDocument/2006/relationships/hyperlink" Target="https://amp.vexpenses.com/settings/membros-de-equipe/950243" TargetMode="External"/><Relationship Id="rId232" Type="http://schemas.openxmlformats.org/officeDocument/2006/relationships/hyperlink" Target="https://amp.vexpenses.com/settings/membros-de-equipe/967142" TargetMode="External"/><Relationship Id="rId274" Type="http://schemas.openxmlformats.org/officeDocument/2006/relationships/hyperlink" Target="https://amp.vexpenses.com/settings/membros-de-equipe/896165" TargetMode="External"/><Relationship Id="rId481" Type="http://schemas.openxmlformats.org/officeDocument/2006/relationships/hyperlink" Target="https://amp.vexpenses.com/settings/membros-de-equipe/896338" TargetMode="External"/><Relationship Id="rId27" Type="http://schemas.openxmlformats.org/officeDocument/2006/relationships/hyperlink" Target="https://amp.vexpenses.com/settings/membros-de-equipe/895966" TargetMode="External"/><Relationship Id="rId69" Type="http://schemas.openxmlformats.org/officeDocument/2006/relationships/hyperlink" Target="https://amp.vexpenses.com/settings/membros-de-equipe/930416" TargetMode="External"/><Relationship Id="rId134" Type="http://schemas.openxmlformats.org/officeDocument/2006/relationships/hyperlink" Target="https://amp.vexpenses.com/settings/membros-de-equipe/896054" TargetMode="External"/><Relationship Id="rId537" Type="http://schemas.openxmlformats.org/officeDocument/2006/relationships/hyperlink" Target="https://amp.vexpenses.com/settings/membros-de-equipe/896388" TargetMode="External"/><Relationship Id="rId80" Type="http://schemas.openxmlformats.org/officeDocument/2006/relationships/hyperlink" Target="https://amp.vexpenses.com/settings/membros-de-equipe/896009" TargetMode="External"/><Relationship Id="rId176" Type="http://schemas.openxmlformats.org/officeDocument/2006/relationships/hyperlink" Target="https://amp.vexpenses.com/settings/membros-de-equipe/946138" TargetMode="External"/><Relationship Id="rId341" Type="http://schemas.openxmlformats.org/officeDocument/2006/relationships/hyperlink" Target="https://amp.vexpenses.com/settings/membros-de-equipe/896423" TargetMode="External"/><Relationship Id="rId383" Type="http://schemas.openxmlformats.org/officeDocument/2006/relationships/hyperlink" Target="https://amp.vexpenses.com/settings/membros-de-equipe/896252" TargetMode="External"/><Relationship Id="rId439" Type="http://schemas.openxmlformats.org/officeDocument/2006/relationships/hyperlink" Target="https://amp.vexpenses.com/settings/membros-de-equipe/896299" TargetMode="External"/><Relationship Id="rId201" Type="http://schemas.openxmlformats.org/officeDocument/2006/relationships/hyperlink" Target="https://amp.vexpenses.com/settings/membros-de-equipe/896109" TargetMode="External"/><Relationship Id="rId243" Type="http://schemas.openxmlformats.org/officeDocument/2006/relationships/hyperlink" Target="https://amp.vexpenses.com/settings/membros-de-equipe/896142" TargetMode="External"/><Relationship Id="rId285" Type="http://schemas.openxmlformats.org/officeDocument/2006/relationships/hyperlink" Target="https://amp.vexpenses.com/settings/membros-de-equipe/896175" TargetMode="External"/><Relationship Id="rId450" Type="http://schemas.openxmlformats.org/officeDocument/2006/relationships/hyperlink" Target="https://amp.vexpenses.com/settings/membros-de-equipe/896306" TargetMode="External"/><Relationship Id="rId506" Type="http://schemas.openxmlformats.org/officeDocument/2006/relationships/hyperlink" Target="https://amp.vexpenses.com/settings/membros-de-equipe/920855" TargetMode="External"/><Relationship Id="rId38" Type="http://schemas.openxmlformats.org/officeDocument/2006/relationships/hyperlink" Target="https://amp.vexpenses.com/settings/membros-de-equipe/895972" TargetMode="External"/><Relationship Id="rId103" Type="http://schemas.openxmlformats.org/officeDocument/2006/relationships/hyperlink" Target="https://amp.vexpenses.com/settings/membros-de-equipe/896031" TargetMode="External"/><Relationship Id="rId310" Type="http://schemas.openxmlformats.org/officeDocument/2006/relationships/hyperlink" Target="https://amp.vexpenses.com/settings/membros-de-equipe/896204" TargetMode="External"/><Relationship Id="rId492" Type="http://schemas.openxmlformats.org/officeDocument/2006/relationships/hyperlink" Target="https://amp.vexpenses.com/settings/membros-de-equipe/896350" TargetMode="External"/><Relationship Id="rId548" Type="http://schemas.openxmlformats.org/officeDocument/2006/relationships/vmlDrawing" Target="../drawings/vmlDrawing1.vml"/><Relationship Id="rId91" Type="http://schemas.openxmlformats.org/officeDocument/2006/relationships/hyperlink" Target="https://amp.vexpenses.com/settings/membros-de-equipe/896020" TargetMode="External"/><Relationship Id="rId145" Type="http://schemas.openxmlformats.org/officeDocument/2006/relationships/hyperlink" Target="https://amp.vexpenses.com/settings/membros-de-equipe/896063" TargetMode="External"/><Relationship Id="rId187" Type="http://schemas.openxmlformats.org/officeDocument/2006/relationships/hyperlink" Target="https://amp.vexpenses.com/settings/membros-de-equipe/896094" TargetMode="External"/><Relationship Id="rId352" Type="http://schemas.openxmlformats.org/officeDocument/2006/relationships/hyperlink" Target="https://amp.vexpenses.com/settings/membros-de-equipe/896231" TargetMode="External"/><Relationship Id="rId394" Type="http://schemas.openxmlformats.org/officeDocument/2006/relationships/hyperlink" Target="https://amp.vexpenses.com/settings/membros-de-equipe/891980" TargetMode="External"/><Relationship Id="rId408" Type="http://schemas.openxmlformats.org/officeDocument/2006/relationships/hyperlink" Target="https://amp.vexpenses.com/settings/membros-de-equipe/896275" TargetMode="External"/><Relationship Id="rId212" Type="http://schemas.openxmlformats.org/officeDocument/2006/relationships/hyperlink" Target="https://amp.vexpenses.com/settings/membros-de-equipe/896118" TargetMode="External"/><Relationship Id="rId254" Type="http://schemas.openxmlformats.org/officeDocument/2006/relationships/hyperlink" Target="https://amp.vexpenses.com/settings/membros-de-equipe/896150" TargetMode="External"/><Relationship Id="rId49" Type="http://schemas.openxmlformats.org/officeDocument/2006/relationships/hyperlink" Target="https://amp.vexpenses.com/settings/membros-de-equipe/895982" TargetMode="External"/><Relationship Id="rId114" Type="http://schemas.openxmlformats.org/officeDocument/2006/relationships/hyperlink" Target="https://amp.vexpenses.com/settings/membros-de-equipe/916919" TargetMode="External"/><Relationship Id="rId296" Type="http://schemas.openxmlformats.org/officeDocument/2006/relationships/hyperlink" Target="https://amp.vexpenses.com/settings/membros-de-equipe/896188" TargetMode="External"/><Relationship Id="rId461" Type="http://schemas.openxmlformats.org/officeDocument/2006/relationships/hyperlink" Target="https://amp.vexpenses.com/settings/membros-de-equipe/896318" TargetMode="External"/><Relationship Id="rId517" Type="http://schemas.openxmlformats.org/officeDocument/2006/relationships/hyperlink" Target="https://amp.vexpenses.com/settings/membros-de-equipe/931255" TargetMode="External"/><Relationship Id="rId60" Type="http://schemas.openxmlformats.org/officeDocument/2006/relationships/hyperlink" Target="https://amp.vexpenses.com/settings/membros-de-equipe/895993" TargetMode="External"/><Relationship Id="rId156" Type="http://schemas.openxmlformats.org/officeDocument/2006/relationships/hyperlink" Target="https://amp.vexpenses.com/settings/membros-de-equipe/896072" TargetMode="External"/><Relationship Id="rId198" Type="http://schemas.openxmlformats.org/officeDocument/2006/relationships/hyperlink" Target="https://amp.vexpenses.com/settings/membros-de-equipe/896106" TargetMode="External"/><Relationship Id="rId321" Type="http://schemas.openxmlformats.org/officeDocument/2006/relationships/hyperlink" Target="https://amp.vexpenses.com/settings/membros-de-equipe/896211" TargetMode="External"/><Relationship Id="rId363" Type="http://schemas.openxmlformats.org/officeDocument/2006/relationships/hyperlink" Target="https://amp.vexpenses.com/settings/membros-de-equipe/896240" TargetMode="External"/><Relationship Id="rId419" Type="http://schemas.openxmlformats.org/officeDocument/2006/relationships/hyperlink" Target="https://amp.vexpenses.com/settings/membros-de-equipe/921927" TargetMode="External"/><Relationship Id="rId223" Type="http://schemas.openxmlformats.org/officeDocument/2006/relationships/hyperlink" Target="https://amp.vexpenses.com/settings/membros-de-equipe/896125" TargetMode="External"/><Relationship Id="rId430" Type="http://schemas.openxmlformats.org/officeDocument/2006/relationships/hyperlink" Target="https://amp.vexpenses.com/settings/membros-de-equipe/896295" TargetMode="External"/><Relationship Id="rId18" Type="http://schemas.openxmlformats.org/officeDocument/2006/relationships/hyperlink" Target="https://amp.vexpenses.com/settings/membros-de-equipe/929763" TargetMode="External"/><Relationship Id="rId265" Type="http://schemas.openxmlformats.org/officeDocument/2006/relationships/hyperlink" Target="https://amp.vexpenses.com/settings/membros-de-equipe/978440" TargetMode="External"/><Relationship Id="rId472" Type="http://schemas.openxmlformats.org/officeDocument/2006/relationships/hyperlink" Target="https://amp.vexpenses.com/settings/membros-de-equipe/896330" TargetMode="External"/><Relationship Id="rId528" Type="http://schemas.openxmlformats.org/officeDocument/2006/relationships/hyperlink" Target="https://amp.vexpenses.com/settings/membros-de-equipe/896378" TargetMode="External"/><Relationship Id="rId125" Type="http://schemas.openxmlformats.org/officeDocument/2006/relationships/hyperlink" Target="https://amp.vexpenses.com/settings/membros-de-equipe/896047" TargetMode="External"/><Relationship Id="rId167" Type="http://schemas.openxmlformats.org/officeDocument/2006/relationships/hyperlink" Target="https://amp.vexpenses.com/settings/membros-de-equipe/961468" TargetMode="External"/><Relationship Id="rId332" Type="http://schemas.openxmlformats.org/officeDocument/2006/relationships/hyperlink" Target="https://amp.vexpenses.com/settings/membros-de-equipe/916906" TargetMode="External"/><Relationship Id="rId374" Type="http://schemas.openxmlformats.org/officeDocument/2006/relationships/hyperlink" Target="https://amp.vexpenses.com/settings/membros-de-equipe/948926" TargetMode="External"/><Relationship Id="rId71" Type="http://schemas.openxmlformats.org/officeDocument/2006/relationships/hyperlink" Target="https://amp.vexpenses.com/settings/membros-de-equipe/896000" TargetMode="External"/><Relationship Id="rId234" Type="http://schemas.openxmlformats.org/officeDocument/2006/relationships/hyperlink" Target="https://amp.vexpenses.com/settings/membros-de-equipe/997009" TargetMode="External"/><Relationship Id="rId2" Type="http://schemas.openxmlformats.org/officeDocument/2006/relationships/hyperlink" Target="https://amp.vexpenses.com/settings/membros-de-equipe/923558" TargetMode="External"/><Relationship Id="rId29" Type="http://schemas.openxmlformats.org/officeDocument/2006/relationships/hyperlink" Target="https://amp.vexpenses.com/settings/membros-de-equipe/916897" TargetMode="External"/><Relationship Id="rId276" Type="http://schemas.openxmlformats.org/officeDocument/2006/relationships/hyperlink" Target="https://amp.vexpenses.com/settings/membros-de-equipe/999216" TargetMode="External"/><Relationship Id="rId441" Type="http://schemas.openxmlformats.org/officeDocument/2006/relationships/hyperlink" Target="https://amp.vexpenses.com/settings/membros-de-equipe/896301" TargetMode="External"/><Relationship Id="rId483" Type="http://schemas.openxmlformats.org/officeDocument/2006/relationships/hyperlink" Target="https://amp.vexpenses.com/settings/membros-de-equipe/896339" TargetMode="External"/><Relationship Id="rId539" Type="http://schemas.openxmlformats.org/officeDocument/2006/relationships/hyperlink" Target="https://amp.vexpenses.com/settings/membros-de-equipe/896390" TargetMode="External"/><Relationship Id="rId40" Type="http://schemas.openxmlformats.org/officeDocument/2006/relationships/hyperlink" Target="https://amp.vexpenses.com/settings/membros-de-equipe/895974" TargetMode="External"/><Relationship Id="rId136" Type="http://schemas.openxmlformats.org/officeDocument/2006/relationships/hyperlink" Target="https://amp.vexpenses.com/settings/membros-de-equipe/896057" TargetMode="External"/><Relationship Id="rId178" Type="http://schemas.openxmlformats.org/officeDocument/2006/relationships/hyperlink" Target="https://amp.vexpenses.com/settings/membros-de-equipe/896088" TargetMode="External"/><Relationship Id="rId301" Type="http://schemas.openxmlformats.org/officeDocument/2006/relationships/hyperlink" Target="https://amp.vexpenses.com/settings/membros-de-equipe/896193" TargetMode="External"/><Relationship Id="rId343" Type="http://schemas.openxmlformats.org/officeDocument/2006/relationships/hyperlink" Target="https://amp.vexpenses.com/settings/membros-de-equipe/896223" TargetMode="External"/><Relationship Id="rId550" Type="http://schemas.openxmlformats.org/officeDocument/2006/relationships/image" Target="../media/image1.emf"/><Relationship Id="rId82" Type="http://schemas.openxmlformats.org/officeDocument/2006/relationships/hyperlink" Target="https://amp.vexpenses.com/settings/membros-de-equipe/896012" TargetMode="External"/><Relationship Id="rId203" Type="http://schemas.openxmlformats.org/officeDocument/2006/relationships/hyperlink" Target="https://amp.vexpenses.com/settings/membros-de-equipe/896111" TargetMode="External"/><Relationship Id="rId385" Type="http://schemas.openxmlformats.org/officeDocument/2006/relationships/hyperlink" Target="https://amp.vexpenses.com/settings/membros-de-equipe/1001913" TargetMode="External"/><Relationship Id="rId245" Type="http://schemas.openxmlformats.org/officeDocument/2006/relationships/hyperlink" Target="https://amp.vexpenses.com/settings/membros-de-equipe/923893" TargetMode="External"/><Relationship Id="rId287" Type="http://schemas.openxmlformats.org/officeDocument/2006/relationships/hyperlink" Target="https://amp.vexpenses.com/settings/membros-de-equipe/896178" TargetMode="External"/><Relationship Id="rId410" Type="http://schemas.openxmlformats.org/officeDocument/2006/relationships/hyperlink" Target="https://amp.vexpenses.com/settings/membros-de-equipe/896277" TargetMode="External"/><Relationship Id="rId452" Type="http://schemas.openxmlformats.org/officeDocument/2006/relationships/hyperlink" Target="https://amp.vexpenses.com/settings/membros-de-equipe/896311" TargetMode="External"/><Relationship Id="rId494" Type="http://schemas.openxmlformats.org/officeDocument/2006/relationships/hyperlink" Target="https://amp.vexpenses.com/settings/membros-de-equipe/896352" TargetMode="External"/><Relationship Id="rId508" Type="http://schemas.openxmlformats.org/officeDocument/2006/relationships/hyperlink" Target="https://amp.vexpenses.com/settings/membros-de-equipe/896363" TargetMode="External"/><Relationship Id="rId105" Type="http://schemas.openxmlformats.org/officeDocument/2006/relationships/hyperlink" Target="https://amp.vexpenses.com/settings/membros-de-equipe/896033" TargetMode="External"/><Relationship Id="rId147" Type="http://schemas.openxmlformats.org/officeDocument/2006/relationships/hyperlink" Target="https://amp.vexpenses.com/settings/membros-de-equipe/920852" TargetMode="External"/><Relationship Id="rId312" Type="http://schemas.openxmlformats.org/officeDocument/2006/relationships/hyperlink" Target="https://amp.vexpenses.com/settings/membros-de-equipe/923628" TargetMode="External"/><Relationship Id="rId354" Type="http://schemas.openxmlformats.org/officeDocument/2006/relationships/hyperlink" Target="https://amp.vexpenses.com/settings/membros-de-equipe/970758" TargetMode="External"/><Relationship Id="rId51" Type="http://schemas.openxmlformats.org/officeDocument/2006/relationships/hyperlink" Target="https://amp.vexpenses.com/settings/membros-de-equipe/895984" TargetMode="External"/><Relationship Id="rId93" Type="http://schemas.openxmlformats.org/officeDocument/2006/relationships/hyperlink" Target="https://amp.vexpenses.com/settings/membros-de-equipe/999640" TargetMode="External"/><Relationship Id="rId189" Type="http://schemas.openxmlformats.org/officeDocument/2006/relationships/hyperlink" Target="https://amp.vexpenses.com/settings/membros-de-equipe/896096" TargetMode="External"/><Relationship Id="rId396" Type="http://schemas.openxmlformats.org/officeDocument/2006/relationships/hyperlink" Target="https://amp.vexpenses.com/settings/membros-de-equipe/896263" TargetMode="External"/><Relationship Id="rId214" Type="http://schemas.openxmlformats.org/officeDocument/2006/relationships/hyperlink" Target="https://amp.vexpenses.com/settings/membros-de-equipe/896119" TargetMode="External"/><Relationship Id="rId256" Type="http://schemas.openxmlformats.org/officeDocument/2006/relationships/hyperlink" Target="https://amp.vexpenses.com/settings/membros-de-equipe/896151" TargetMode="External"/><Relationship Id="rId298" Type="http://schemas.openxmlformats.org/officeDocument/2006/relationships/hyperlink" Target="https://amp.vexpenses.com/settings/membros-de-equipe/958523" TargetMode="External"/><Relationship Id="rId421" Type="http://schemas.openxmlformats.org/officeDocument/2006/relationships/hyperlink" Target="https://amp.vexpenses.com/settings/membros-de-equipe/896288" TargetMode="External"/><Relationship Id="rId463" Type="http://schemas.openxmlformats.org/officeDocument/2006/relationships/hyperlink" Target="https://amp.vexpenses.com/settings/membros-de-equipe/896321" TargetMode="External"/><Relationship Id="rId519" Type="http://schemas.openxmlformats.org/officeDocument/2006/relationships/hyperlink" Target="https://amp.vexpenses.com/settings/membros-de-equipe/896373" TargetMode="External"/><Relationship Id="rId116" Type="http://schemas.openxmlformats.org/officeDocument/2006/relationships/hyperlink" Target="https://amp.vexpenses.com/settings/membros-de-equipe/923635" TargetMode="External"/><Relationship Id="rId158" Type="http://schemas.openxmlformats.org/officeDocument/2006/relationships/hyperlink" Target="https://amp.vexpenses.com/settings/membros-de-equipe/896074" TargetMode="External"/><Relationship Id="rId323" Type="http://schemas.openxmlformats.org/officeDocument/2006/relationships/hyperlink" Target="https://amp.vexpenses.com/settings/membros-de-equipe/896212" TargetMode="External"/><Relationship Id="rId530" Type="http://schemas.openxmlformats.org/officeDocument/2006/relationships/hyperlink" Target="https://amp.vexpenses.com/settings/membros-de-equipe/923842" TargetMode="External"/><Relationship Id="rId20" Type="http://schemas.openxmlformats.org/officeDocument/2006/relationships/hyperlink" Target="https://amp.vexpenses.com/settings/membros-de-equipe/950625" TargetMode="External"/><Relationship Id="rId62" Type="http://schemas.openxmlformats.org/officeDocument/2006/relationships/hyperlink" Target="https://amp.vexpenses.com/settings/membros-de-equipe/982780" TargetMode="External"/><Relationship Id="rId365" Type="http://schemas.openxmlformats.org/officeDocument/2006/relationships/hyperlink" Target="https://amp.vexpenses.com/settings/membros-de-equipe/896242" TargetMode="External"/><Relationship Id="rId225" Type="http://schemas.openxmlformats.org/officeDocument/2006/relationships/hyperlink" Target="https://amp.vexpenses.com/settings/membros-de-equipe/978280" TargetMode="External"/><Relationship Id="rId267" Type="http://schemas.openxmlformats.org/officeDocument/2006/relationships/hyperlink" Target="https://amp.vexpenses.com/settings/membros-de-equipe/930413" TargetMode="External"/><Relationship Id="rId432" Type="http://schemas.openxmlformats.org/officeDocument/2006/relationships/hyperlink" Target="https://amp.vexpenses.com/settings/membros-de-equipe/920825" TargetMode="External"/><Relationship Id="rId474" Type="http://schemas.openxmlformats.org/officeDocument/2006/relationships/hyperlink" Target="https://amp.vexpenses.com/settings/membros-de-equipe/896331" TargetMode="External"/><Relationship Id="rId127" Type="http://schemas.openxmlformats.org/officeDocument/2006/relationships/hyperlink" Target="https://amp.vexpenses.com/settings/membros-de-equipe/966214" TargetMode="External"/><Relationship Id="rId31" Type="http://schemas.openxmlformats.org/officeDocument/2006/relationships/hyperlink" Target="https://amp.vexpenses.com/settings/membros-de-equipe/971287" TargetMode="External"/><Relationship Id="rId73" Type="http://schemas.openxmlformats.org/officeDocument/2006/relationships/hyperlink" Target="https://amp.vexpenses.com/settings/membros-de-equipe/896002" TargetMode="External"/><Relationship Id="rId169" Type="http://schemas.openxmlformats.org/officeDocument/2006/relationships/hyperlink" Target="https://amp.vexpenses.com/settings/membros-de-equipe/920872" TargetMode="External"/><Relationship Id="rId334" Type="http://schemas.openxmlformats.org/officeDocument/2006/relationships/hyperlink" Target="https://amp.vexpenses.com/settings/membros-de-equipe/896220" TargetMode="External"/><Relationship Id="rId376" Type="http://schemas.openxmlformats.org/officeDocument/2006/relationships/hyperlink" Target="https://amp.vexpenses.com/settings/membros-de-equipe/896246" TargetMode="External"/><Relationship Id="rId541" Type="http://schemas.openxmlformats.org/officeDocument/2006/relationships/hyperlink" Target="https://amp.vexpenses.com/settings/membros-de-equipe/896392" TargetMode="External"/><Relationship Id="rId4" Type="http://schemas.openxmlformats.org/officeDocument/2006/relationships/hyperlink" Target="https://amp.vexpenses.com/settings/membros-de-equipe/895946" TargetMode="External"/><Relationship Id="rId180" Type="http://schemas.openxmlformats.org/officeDocument/2006/relationships/hyperlink" Target="https://amp.vexpenses.com/settings/membros-de-equipe/896420" TargetMode="External"/><Relationship Id="rId236" Type="http://schemas.openxmlformats.org/officeDocument/2006/relationships/hyperlink" Target="https://amp.vexpenses.com/settings/membros-de-equipe/916921" TargetMode="External"/><Relationship Id="rId278" Type="http://schemas.openxmlformats.org/officeDocument/2006/relationships/hyperlink" Target="https://amp.vexpenses.com/settings/membros-de-equipe/896170" TargetMode="External"/><Relationship Id="rId401" Type="http://schemas.openxmlformats.org/officeDocument/2006/relationships/hyperlink" Target="https://amp.vexpenses.com/settings/membros-de-equipe/896269" TargetMode="External"/><Relationship Id="rId443" Type="http://schemas.openxmlformats.org/officeDocument/2006/relationships/hyperlink" Target="https://amp.vexpenses.com/settings/membros-de-equipe/896303" TargetMode="External"/><Relationship Id="rId303" Type="http://schemas.openxmlformats.org/officeDocument/2006/relationships/hyperlink" Target="https://amp.vexpenses.com/settings/membros-de-equipe/896196" TargetMode="External"/><Relationship Id="rId485" Type="http://schemas.openxmlformats.org/officeDocument/2006/relationships/hyperlink" Target="https://amp.vexpenses.com/settings/membros-de-equipe/896342" TargetMode="External"/><Relationship Id="rId42" Type="http://schemas.openxmlformats.org/officeDocument/2006/relationships/hyperlink" Target="https://amp.vexpenses.com/settings/membros-de-equipe/895975" TargetMode="External"/><Relationship Id="rId84" Type="http://schemas.openxmlformats.org/officeDocument/2006/relationships/hyperlink" Target="https://amp.vexpenses.com/settings/membros-de-equipe/896015" TargetMode="External"/><Relationship Id="rId138" Type="http://schemas.openxmlformats.org/officeDocument/2006/relationships/hyperlink" Target="https://amp.vexpenses.com/settings/membros-de-equipe/896059" TargetMode="External"/><Relationship Id="rId345" Type="http://schemas.openxmlformats.org/officeDocument/2006/relationships/hyperlink" Target="https://amp.vexpenses.com/settings/membros-de-equipe/896225" TargetMode="External"/><Relationship Id="rId387" Type="http://schemas.openxmlformats.org/officeDocument/2006/relationships/hyperlink" Target="https://amp.vexpenses.com/settings/membros-de-equipe/896333" TargetMode="External"/><Relationship Id="rId510" Type="http://schemas.openxmlformats.org/officeDocument/2006/relationships/hyperlink" Target="https://amp.vexpenses.com/settings/membros-de-equipe/984799" TargetMode="External"/><Relationship Id="rId191" Type="http://schemas.openxmlformats.org/officeDocument/2006/relationships/hyperlink" Target="https://amp.vexpenses.com/settings/membros-de-equipe/896099" TargetMode="External"/><Relationship Id="rId205" Type="http://schemas.openxmlformats.org/officeDocument/2006/relationships/hyperlink" Target="https://amp.vexpenses.com/settings/membros-de-equipe/896112" TargetMode="External"/><Relationship Id="rId247" Type="http://schemas.openxmlformats.org/officeDocument/2006/relationships/hyperlink" Target="https://amp.vexpenses.com/settings/membros-de-equipe/896144" TargetMode="External"/><Relationship Id="rId412" Type="http://schemas.openxmlformats.org/officeDocument/2006/relationships/hyperlink" Target="https://amp.vexpenses.com/settings/membros-de-equipe/896279" TargetMode="External"/><Relationship Id="rId107" Type="http://schemas.openxmlformats.org/officeDocument/2006/relationships/hyperlink" Target="https://amp.vexpenses.com/settings/membros-de-equipe/935041" TargetMode="External"/><Relationship Id="rId289" Type="http://schemas.openxmlformats.org/officeDocument/2006/relationships/hyperlink" Target="https://amp.vexpenses.com/settings/membros-de-equipe/896180" TargetMode="External"/><Relationship Id="rId454" Type="http://schemas.openxmlformats.org/officeDocument/2006/relationships/hyperlink" Target="https://amp.vexpenses.com/settings/membros-de-equipe/896314" TargetMode="External"/><Relationship Id="rId496" Type="http://schemas.openxmlformats.org/officeDocument/2006/relationships/hyperlink" Target="https://amp.vexpenses.com/settings/membros-de-equipe/920862" TargetMode="External"/><Relationship Id="rId11" Type="http://schemas.openxmlformats.org/officeDocument/2006/relationships/hyperlink" Target="https://amp.vexpenses.com/settings/membros-de-equipe/895954" TargetMode="External"/><Relationship Id="rId53" Type="http://schemas.openxmlformats.org/officeDocument/2006/relationships/hyperlink" Target="https://amp.vexpenses.com/settings/membros-de-equipe/916889" TargetMode="External"/><Relationship Id="rId149" Type="http://schemas.openxmlformats.org/officeDocument/2006/relationships/hyperlink" Target="https://amp.vexpenses.com/settings/membros-de-equipe/896067" TargetMode="External"/><Relationship Id="rId314" Type="http://schemas.openxmlformats.org/officeDocument/2006/relationships/hyperlink" Target="https://amp.vexpenses.com/settings/membros-de-equipe/921952" TargetMode="External"/><Relationship Id="rId356" Type="http://schemas.openxmlformats.org/officeDocument/2006/relationships/hyperlink" Target="https://amp.vexpenses.com/settings/membros-de-equipe/896233" TargetMode="External"/><Relationship Id="rId398" Type="http://schemas.openxmlformats.org/officeDocument/2006/relationships/hyperlink" Target="https://amp.vexpenses.com/settings/membros-de-equipe/924050" TargetMode="External"/><Relationship Id="rId521" Type="http://schemas.openxmlformats.org/officeDocument/2006/relationships/hyperlink" Target="https://amp.vexpenses.com/settings/membros-de-equipe/920868" TargetMode="External"/><Relationship Id="rId95" Type="http://schemas.openxmlformats.org/officeDocument/2006/relationships/hyperlink" Target="https://amp.vexpenses.com/settings/membros-de-equipe/896023" TargetMode="External"/><Relationship Id="rId160" Type="http://schemas.openxmlformats.org/officeDocument/2006/relationships/hyperlink" Target="https://amp.vexpenses.com/settings/membros-de-equipe/915374" TargetMode="External"/><Relationship Id="rId216" Type="http://schemas.openxmlformats.org/officeDocument/2006/relationships/hyperlink" Target="https://amp.vexpenses.com/settings/membros-de-equipe/896120" TargetMode="External"/><Relationship Id="rId423" Type="http://schemas.openxmlformats.org/officeDocument/2006/relationships/hyperlink" Target="https://amp.vexpenses.com/settings/membros-de-equipe/896290" TargetMode="External"/><Relationship Id="rId258" Type="http://schemas.openxmlformats.org/officeDocument/2006/relationships/hyperlink" Target="https://amp.vexpenses.com/settings/membros-de-equipe/896153" TargetMode="External"/><Relationship Id="rId465" Type="http://schemas.openxmlformats.org/officeDocument/2006/relationships/hyperlink" Target="https://amp.vexpenses.com/settings/membros-de-equipe/896324" TargetMode="External"/><Relationship Id="rId22" Type="http://schemas.openxmlformats.org/officeDocument/2006/relationships/hyperlink" Target="https://amp.vexpenses.com/settings/membros-de-equipe/895962" TargetMode="External"/><Relationship Id="rId64" Type="http://schemas.openxmlformats.org/officeDocument/2006/relationships/hyperlink" Target="https://amp.vexpenses.com/settings/membros-de-equipe/895996" TargetMode="External"/><Relationship Id="rId118" Type="http://schemas.openxmlformats.org/officeDocument/2006/relationships/hyperlink" Target="https://amp.vexpenses.com/settings/membros-de-equipe/896041" TargetMode="External"/><Relationship Id="rId325" Type="http://schemas.openxmlformats.org/officeDocument/2006/relationships/hyperlink" Target="https://amp.vexpenses.com/settings/membros-de-equipe/896214" TargetMode="External"/><Relationship Id="rId367" Type="http://schemas.openxmlformats.org/officeDocument/2006/relationships/hyperlink" Target="https://amp.vexpenses.com/settings/membros-de-equipe/933048" TargetMode="External"/><Relationship Id="rId532" Type="http://schemas.openxmlformats.org/officeDocument/2006/relationships/hyperlink" Target="https://amp.vexpenses.com/settings/membros-de-equipe/896381" TargetMode="External"/><Relationship Id="rId171" Type="http://schemas.openxmlformats.org/officeDocument/2006/relationships/hyperlink" Target="https://amp.vexpenses.com/settings/membros-de-equipe/896083" TargetMode="External"/><Relationship Id="rId227" Type="http://schemas.openxmlformats.org/officeDocument/2006/relationships/hyperlink" Target="https://amp.vexpenses.com/settings/membros-de-equipe/896128" TargetMode="External"/><Relationship Id="rId269" Type="http://schemas.openxmlformats.org/officeDocument/2006/relationships/hyperlink" Target="https://amp.vexpenses.com/settings/membros-de-equipe/896162" TargetMode="External"/><Relationship Id="rId434" Type="http://schemas.openxmlformats.org/officeDocument/2006/relationships/hyperlink" Target="https://amp.vexpenses.com/settings/membros-de-equipe/896297" TargetMode="External"/><Relationship Id="rId476" Type="http://schemas.openxmlformats.org/officeDocument/2006/relationships/hyperlink" Target="https://amp.vexpenses.com/settings/membros-de-equipe/896357" TargetMode="External"/><Relationship Id="rId33" Type="http://schemas.openxmlformats.org/officeDocument/2006/relationships/hyperlink" Target="https://amp.vexpenses.com/settings/membros-de-equipe/917318" TargetMode="External"/><Relationship Id="rId129" Type="http://schemas.openxmlformats.org/officeDocument/2006/relationships/hyperlink" Target="https://amp.vexpenses.com/settings/membros-de-equipe/896049" TargetMode="External"/><Relationship Id="rId280" Type="http://schemas.openxmlformats.org/officeDocument/2006/relationships/hyperlink" Target="https://amp.vexpenses.com/settings/membros-de-equipe/896172" TargetMode="External"/><Relationship Id="rId336" Type="http://schemas.openxmlformats.org/officeDocument/2006/relationships/hyperlink" Target="https://amp.vexpenses.com/settings/membros-de-equipe/940725" TargetMode="External"/><Relationship Id="rId501" Type="http://schemas.openxmlformats.org/officeDocument/2006/relationships/hyperlink" Target="https://amp.vexpenses.com/settings/membros-de-equipe/896358" TargetMode="External"/><Relationship Id="rId543" Type="http://schemas.openxmlformats.org/officeDocument/2006/relationships/hyperlink" Target="https://amp.vexpenses.com/settings/membros-de-equipe/896394" TargetMode="External"/><Relationship Id="rId75" Type="http://schemas.openxmlformats.org/officeDocument/2006/relationships/hyperlink" Target="https://amp.vexpenses.com/settings/membros-de-equipe/896004" TargetMode="External"/><Relationship Id="rId140" Type="http://schemas.openxmlformats.org/officeDocument/2006/relationships/hyperlink" Target="https://amp.vexpenses.com/settings/membros-de-equipe/896060" TargetMode="External"/><Relationship Id="rId182" Type="http://schemas.openxmlformats.org/officeDocument/2006/relationships/hyperlink" Target="https://amp.vexpenses.com/settings/membros-de-equipe/917078" TargetMode="External"/><Relationship Id="rId378" Type="http://schemas.openxmlformats.org/officeDocument/2006/relationships/hyperlink" Target="https://amp.vexpenses.com/settings/membros-de-equipe/896249" TargetMode="External"/><Relationship Id="rId403" Type="http://schemas.openxmlformats.org/officeDocument/2006/relationships/hyperlink" Target="https://amp.vexpenses.com/settings/membros-de-equipe/896270" TargetMode="External"/><Relationship Id="rId6" Type="http://schemas.openxmlformats.org/officeDocument/2006/relationships/hyperlink" Target="https://amp.vexpenses.com/settings/membros-de-equipe/895948" TargetMode="External"/><Relationship Id="rId238" Type="http://schemas.openxmlformats.org/officeDocument/2006/relationships/hyperlink" Target="https://amp.vexpenses.com/settings/membros-de-equipe/896137" TargetMode="External"/><Relationship Id="rId445" Type="http://schemas.openxmlformats.org/officeDocument/2006/relationships/hyperlink" Target="https://amp.vexpenses.com/settings/membros-de-equipe/896304" TargetMode="External"/><Relationship Id="rId487" Type="http://schemas.openxmlformats.org/officeDocument/2006/relationships/hyperlink" Target="https://amp.vexpenses.com/settings/membros-de-equipe/896344" TargetMode="External"/><Relationship Id="rId291" Type="http://schemas.openxmlformats.org/officeDocument/2006/relationships/hyperlink" Target="https://amp.vexpenses.com/settings/membros-de-equipe/896183" TargetMode="External"/><Relationship Id="rId305" Type="http://schemas.openxmlformats.org/officeDocument/2006/relationships/hyperlink" Target="https://amp.vexpenses.com/settings/membros-de-equipe/896198" TargetMode="External"/><Relationship Id="rId347" Type="http://schemas.openxmlformats.org/officeDocument/2006/relationships/hyperlink" Target="https://amp.vexpenses.com/settings/membros-de-equipe/925993" TargetMode="External"/><Relationship Id="rId512" Type="http://schemas.openxmlformats.org/officeDocument/2006/relationships/hyperlink" Target="https://amp.vexpenses.com/settings/membros-de-equipe/917052" TargetMode="External"/><Relationship Id="rId44" Type="http://schemas.openxmlformats.org/officeDocument/2006/relationships/hyperlink" Target="https://amp.vexpenses.com/settings/membros-de-equipe/895978" TargetMode="External"/><Relationship Id="rId86" Type="http://schemas.openxmlformats.org/officeDocument/2006/relationships/hyperlink" Target="https://amp.vexpenses.com/settings/membros-de-equipe/896017" TargetMode="External"/><Relationship Id="rId151" Type="http://schemas.openxmlformats.org/officeDocument/2006/relationships/hyperlink" Target="https://amp.vexpenses.com/settings/membros-de-equipe/896069" TargetMode="External"/><Relationship Id="rId389" Type="http://schemas.openxmlformats.org/officeDocument/2006/relationships/hyperlink" Target="https://amp.vexpenses.com/settings/membros-de-equipe/896256" TargetMode="External"/><Relationship Id="rId193" Type="http://schemas.openxmlformats.org/officeDocument/2006/relationships/hyperlink" Target="https://amp.vexpenses.com/settings/membros-de-equipe/961342" TargetMode="External"/><Relationship Id="rId207" Type="http://schemas.openxmlformats.org/officeDocument/2006/relationships/hyperlink" Target="https://amp.vexpenses.com/settings/membros-de-equipe/930400" TargetMode="External"/><Relationship Id="rId249" Type="http://schemas.openxmlformats.org/officeDocument/2006/relationships/hyperlink" Target="https://amp.vexpenses.com/settings/membros-de-equipe/958951" TargetMode="External"/><Relationship Id="rId414" Type="http://schemas.openxmlformats.org/officeDocument/2006/relationships/hyperlink" Target="https://amp.vexpenses.com/settings/membros-de-equipe/896281" TargetMode="External"/><Relationship Id="rId456" Type="http://schemas.openxmlformats.org/officeDocument/2006/relationships/hyperlink" Target="https://amp.vexpenses.com/settings/membros-de-equipe/896315" TargetMode="External"/><Relationship Id="rId498" Type="http://schemas.openxmlformats.org/officeDocument/2006/relationships/hyperlink" Target="https://amp.vexpenses.com/settings/membros-de-equipe/917051" TargetMode="External"/><Relationship Id="rId13" Type="http://schemas.openxmlformats.org/officeDocument/2006/relationships/hyperlink" Target="https://amp.vexpenses.com/settings/membros-de-equipe/895956" TargetMode="External"/><Relationship Id="rId109" Type="http://schemas.openxmlformats.org/officeDocument/2006/relationships/hyperlink" Target="https://amp.vexpenses.com/settings/membros-de-equipe/896035" TargetMode="External"/><Relationship Id="rId260" Type="http://schemas.openxmlformats.org/officeDocument/2006/relationships/hyperlink" Target="https://amp.vexpenses.com/settings/membros-de-equipe/896156" TargetMode="External"/><Relationship Id="rId316" Type="http://schemas.openxmlformats.org/officeDocument/2006/relationships/hyperlink" Target="https://amp.vexpenses.com/settings/membros-de-equipe/896206" TargetMode="External"/><Relationship Id="rId523" Type="http://schemas.openxmlformats.org/officeDocument/2006/relationships/hyperlink" Target="https://amp.vexpenses.com/settings/membros-de-equipe/917368" TargetMode="External"/><Relationship Id="rId55" Type="http://schemas.openxmlformats.org/officeDocument/2006/relationships/hyperlink" Target="https://amp.vexpenses.com/settings/membros-de-equipe/891977" TargetMode="External"/><Relationship Id="rId97" Type="http://schemas.openxmlformats.org/officeDocument/2006/relationships/hyperlink" Target="https://amp.vexpenses.com/settings/membros-de-equipe/896024" TargetMode="External"/><Relationship Id="rId120" Type="http://schemas.openxmlformats.org/officeDocument/2006/relationships/hyperlink" Target="https://amp.vexpenses.com/settings/membros-de-equipe/896043" TargetMode="External"/><Relationship Id="rId358" Type="http://schemas.openxmlformats.org/officeDocument/2006/relationships/hyperlink" Target="https://amp.vexpenses.com/settings/membros-de-equipe/896235" TargetMode="External"/><Relationship Id="rId162" Type="http://schemas.openxmlformats.org/officeDocument/2006/relationships/hyperlink" Target="https://amp.vexpenses.com/settings/membros-de-equipe/896077" TargetMode="External"/><Relationship Id="rId218" Type="http://schemas.openxmlformats.org/officeDocument/2006/relationships/hyperlink" Target="https://amp.vexpenses.com/settings/membros-de-equipe/916905" TargetMode="External"/><Relationship Id="rId425" Type="http://schemas.openxmlformats.org/officeDocument/2006/relationships/hyperlink" Target="https://amp.vexpenses.com/settings/membros-de-equipe/896291" TargetMode="External"/><Relationship Id="rId467" Type="http://schemas.openxmlformats.org/officeDocument/2006/relationships/hyperlink" Target="https://amp.vexpenses.com/settings/membros-de-equipe/896326" TargetMode="External"/><Relationship Id="rId271" Type="http://schemas.openxmlformats.org/officeDocument/2006/relationships/hyperlink" Target="https://amp.vexpenses.com/settings/membros-de-equipe/916884" TargetMode="External"/><Relationship Id="rId24" Type="http://schemas.openxmlformats.org/officeDocument/2006/relationships/hyperlink" Target="https://amp.vexpenses.com/settings/membros-de-equipe/895964" TargetMode="External"/><Relationship Id="rId66" Type="http://schemas.openxmlformats.org/officeDocument/2006/relationships/hyperlink" Target="https://amp.vexpenses.com/settings/membros-de-equipe/985829" TargetMode="External"/><Relationship Id="rId131" Type="http://schemas.openxmlformats.org/officeDocument/2006/relationships/hyperlink" Target="https://amp.vexpenses.com/settings/membros-de-equipe/896051" TargetMode="External"/><Relationship Id="rId327" Type="http://schemas.openxmlformats.org/officeDocument/2006/relationships/hyperlink" Target="https://amp.vexpenses.com/settings/membros-de-equipe/896215" TargetMode="External"/><Relationship Id="rId369" Type="http://schemas.openxmlformats.org/officeDocument/2006/relationships/hyperlink" Target="https://amp.vexpenses.com/settings/membros-de-equipe/917057" TargetMode="External"/><Relationship Id="rId534" Type="http://schemas.openxmlformats.org/officeDocument/2006/relationships/hyperlink" Target="https://amp.vexpenses.com/settings/membros-de-equipe/896384" TargetMode="External"/><Relationship Id="rId173" Type="http://schemas.openxmlformats.org/officeDocument/2006/relationships/hyperlink" Target="https://amp.vexpenses.com/settings/membros-de-equipe/896084" TargetMode="External"/><Relationship Id="rId229" Type="http://schemas.openxmlformats.org/officeDocument/2006/relationships/hyperlink" Target="https://amp.vexpenses.com/settings/membros-de-equipe/896131" TargetMode="External"/><Relationship Id="rId380" Type="http://schemas.openxmlformats.org/officeDocument/2006/relationships/hyperlink" Target="https://amp.vexpenses.com/settings/membros-de-equipe/913936" TargetMode="External"/><Relationship Id="rId436" Type="http://schemas.openxmlformats.org/officeDocument/2006/relationships/hyperlink" Target="https://amp.vexpenses.com/settings/membros-de-equipe/896298" TargetMode="External"/><Relationship Id="rId240" Type="http://schemas.openxmlformats.org/officeDocument/2006/relationships/hyperlink" Target="https://amp.vexpenses.com/settings/membros-de-equipe/896138" TargetMode="External"/><Relationship Id="rId478" Type="http://schemas.openxmlformats.org/officeDocument/2006/relationships/hyperlink" Target="https://amp.vexpenses.com/settings/membros-de-equipe/928097" TargetMode="External"/><Relationship Id="rId35" Type="http://schemas.openxmlformats.org/officeDocument/2006/relationships/hyperlink" Target="https://amp.vexpenses.com/settings/membros-de-equipe/918852" TargetMode="External"/><Relationship Id="rId77" Type="http://schemas.openxmlformats.org/officeDocument/2006/relationships/hyperlink" Target="https://amp.vexpenses.com/settings/membros-de-equipe/896006" TargetMode="External"/><Relationship Id="rId100" Type="http://schemas.openxmlformats.org/officeDocument/2006/relationships/hyperlink" Target="https://amp.vexpenses.com/settings/membros-de-equipe/896027" TargetMode="External"/><Relationship Id="rId282" Type="http://schemas.openxmlformats.org/officeDocument/2006/relationships/hyperlink" Target="https://amp.vexpenses.com/settings/membros-de-equipe/896174" TargetMode="External"/><Relationship Id="rId338" Type="http://schemas.openxmlformats.org/officeDocument/2006/relationships/hyperlink" Target="https://amp.vexpenses.com/settings/membros-de-equipe/923895" TargetMode="External"/><Relationship Id="rId503" Type="http://schemas.openxmlformats.org/officeDocument/2006/relationships/hyperlink" Target="https://amp.vexpenses.com/settings/membros-de-equipe/896359" TargetMode="External"/><Relationship Id="rId545" Type="http://schemas.openxmlformats.org/officeDocument/2006/relationships/hyperlink" Target="https://amp.vexpenses.com/settings/membros-de-equipe/921921" TargetMode="External"/><Relationship Id="rId8" Type="http://schemas.openxmlformats.org/officeDocument/2006/relationships/hyperlink" Target="https://amp.vexpenses.com/settings/membros-de-equipe/978182" TargetMode="External"/><Relationship Id="rId142" Type="http://schemas.openxmlformats.org/officeDocument/2006/relationships/hyperlink" Target="https://amp.vexpenses.com/settings/membros-de-equipe/974110" TargetMode="External"/><Relationship Id="rId184" Type="http://schemas.openxmlformats.org/officeDocument/2006/relationships/hyperlink" Target="https://amp.vexpenses.com/settings/membros-de-equipe/896092" TargetMode="External"/><Relationship Id="rId391" Type="http://schemas.openxmlformats.org/officeDocument/2006/relationships/hyperlink" Target="https://amp.vexpenses.com/settings/membros-de-equipe/896258" TargetMode="External"/><Relationship Id="rId405" Type="http://schemas.openxmlformats.org/officeDocument/2006/relationships/hyperlink" Target="https://amp.vexpenses.com/settings/membros-de-equipe/896272" TargetMode="External"/><Relationship Id="rId447" Type="http://schemas.openxmlformats.org/officeDocument/2006/relationships/hyperlink" Target="https://amp.vexpenses.com/settings/membros-de-equipe/896305" TargetMode="External"/><Relationship Id="rId251" Type="http://schemas.openxmlformats.org/officeDocument/2006/relationships/hyperlink" Target="https://amp.vexpenses.com/settings/membros-de-equipe/969231" TargetMode="External"/><Relationship Id="rId489" Type="http://schemas.openxmlformats.org/officeDocument/2006/relationships/hyperlink" Target="https://amp.vexpenses.com/settings/membros-de-equipe/896347" TargetMode="External"/><Relationship Id="rId46" Type="http://schemas.openxmlformats.org/officeDocument/2006/relationships/hyperlink" Target="https://amp.vexpenses.com/settings/membros-de-equipe/934784" TargetMode="External"/><Relationship Id="rId293" Type="http://schemas.openxmlformats.org/officeDocument/2006/relationships/hyperlink" Target="https://amp.vexpenses.com/settings/membros-de-equipe/921535" TargetMode="External"/><Relationship Id="rId307" Type="http://schemas.openxmlformats.org/officeDocument/2006/relationships/hyperlink" Target="https://amp.vexpenses.com/settings/membros-de-equipe/896200" TargetMode="External"/><Relationship Id="rId349" Type="http://schemas.openxmlformats.org/officeDocument/2006/relationships/hyperlink" Target="https://amp.vexpenses.com/settings/membros-de-equipe/896228" TargetMode="External"/><Relationship Id="rId514" Type="http://schemas.openxmlformats.org/officeDocument/2006/relationships/hyperlink" Target="https://amp.vexpenses.com/settings/membros-de-equipe/896367" TargetMode="External"/><Relationship Id="rId88" Type="http://schemas.openxmlformats.org/officeDocument/2006/relationships/hyperlink" Target="https://amp.vexpenses.com/settings/membros-de-equipe/896018" TargetMode="External"/><Relationship Id="rId111" Type="http://schemas.openxmlformats.org/officeDocument/2006/relationships/hyperlink" Target="https://amp.vexpenses.com/settings/membros-de-equipe/896037" TargetMode="External"/><Relationship Id="rId153" Type="http://schemas.openxmlformats.org/officeDocument/2006/relationships/hyperlink" Target="https://amp.vexpenses.com/settings/membros-de-equipe/896070" TargetMode="External"/><Relationship Id="rId195" Type="http://schemas.openxmlformats.org/officeDocument/2006/relationships/hyperlink" Target="https://amp.vexpenses.com/settings/membros-de-equipe/896103" TargetMode="External"/><Relationship Id="rId209" Type="http://schemas.openxmlformats.org/officeDocument/2006/relationships/hyperlink" Target="https://amp.vexpenses.com/settings/membros-de-equipe/896116" TargetMode="External"/><Relationship Id="rId360" Type="http://schemas.openxmlformats.org/officeDocument/2006/relationships/hyperlink" Target="https://amp.vexpenses.com/settings/membros-de-equipe/896237" TargetMode="External"/><Relationship Id="rId416" Type="http://schemas.openxmlformats.org/officeDocument/2006/relationships/hyperlink" Target="https://amp.vexpenses.com/settings/membros-de-equipe/896284" TargetMode="External"/><Relationship Id="rId220" Type="http://schemas.openxmlformats.org/officeDocument/2006/relationships/hyperlink" Target="https://amp.vexpenses.com/settings/membros-de-equipe/951179" TargetMode="External"/><Relationship Id="rId458" Type="http://schemas.openxmlformats.org/officeDocument/2006/relationships/hyperlink" Target="https://amp.vexpenses.com/settings/membros-de-equipe/950558" TargetMode="External"/><Relationship Id="rId15" Type="http://schemas.openxmlformats.org/officeDocument/2006/relationships/hyperlink" Target="https://amp.vexpenses.com/settings/membros-de-equipe/916910" TargetMode="External"/><Relationship Id="rId57" Type="http://schemas.openxmlformats.org/officeDocument/2006/relationships/hyperlink" Target="https://amp.vexpenses.com/settings/membros-de-equipe/895989" TargetMode="External"/><Relationship Id="rId262" Type="http://schemas.openxmlformats.org/officeDocument/2006/relationships/hyperlink" Target="https://amp.vexpenses.com/settings/membros-de-equipe/896158" TargetMode="External"/><Relationship Id="rId318" Type="http://schemas.openxmlformats.org/officeDocument/2006/relationships/hyperlink" Target="https://amp.vexpenses.com/settings/membros-de-equipe/916936" TargetMode="External"/><Relationship Id="rId525" Type="http://schemas.openxmlformats.org/officeDocument/2006/relationships/hyperlink" Target="https://amp.vexpenses.com/settings/membros-de-equipe/896376" TargetMode="External"/><Relationship Id="rId99" Type="http://schemas.openxmlformats.org/officeDocument/2006/relationships/hyperlink" Target="https://amp.vexpenses.com/settings/membros-de-equipe/896026" TargetMode="External"/><Relationship Id="rId122" Type="http://schemas.openxmlformats.org/officeDocument/2006/relationships/hyperlink" Target="https://amp.vexpenses.com/settings/membros-de-equipe/917345" TargetMode="External"/><Relationship Id="rId164" Type="http://schemas.openxmlformats.org/officeDocument/2006/relationships/hyperlink" Target="https://amp.vexpenses.com/settings/membros-de-equipe/896079" TargetMode="External"/><Relationship Id="rId371" Type="http://schemas.openxmlformats.org/officeDocument/2006/relationships/hyperlink" Target="https://amp.vexpenses.com/settings/membros-de-equipe/896244" TargetMode="External"/><Relationship Id="rId427" Type="http://schemas.openxmlformats.org/officeDocument/2006/relationships/hyperlink" Target="https://amp.vexpenses.com/settings/membros-de-equipe/896293" TargetMode="External"/><Relationship Id="rId469" Type="http://schemas.openxmlformats.org/officeDocument/2006/relationships/hyperlink" Target="https://amp.vexpenses.com/settings/membros-de-equipe/896328" TargetMode="External"/><Relationship Id="rId26" Type="http://schemas.openxmlformats.org/officeDocument/2006/relationships/hyperlink" Target="https://amp.vexpenses.com/settings/membros-de-equipe/917314" TargetMode="External"/><Relationship Id="rId231" Type="http://schemas.openxmlformats.org/officeDocument/2006/relationships/hyperlink" Target="https://amp.vexpenses.com/settings/membros-de-equipe/917353" TargetMode="External"/><Relationship Id="rId273" Type="http://schemas.openxmlformats.org/officeDocument/2006/relationships/hyperlink" Target="https://amp.vexpenses.com/settings/membros-de-equipe/896164" TargetMode="External"/><Relationship Id="rId329" Type="http://schemas.openxmlformats.org/officeDocument/2006/relationships/hyperlink" Target="https://amp.vexpenses.com/settings/membros-de-equipe/896216" TargetMode="External"/><Relationship Id="rId480" Type="http://schemas.openxmlformats.org/officeDocument/2006/relationships/hyperlink" Target="https://amp.vexpenses.com/settings/membros-de-equipe/917059" TargetMode="External"/><Relationship Id="rId536" Type="http://schemas.openxmlformats.org/officeDocument/2006/relationships/hyperlink" Target="https://amp.vexpenses.com/settings/membros-de-equipe/896387" TargetMode="External"/><Relationship Id="rId68" Type="http://schemas.openxmlformats.org/officeDocument/2006/relationships/hyperlink" Target="https://amp.vexpenses.com/settings/membros-de-equipe/917085" TargetMode="External"/><Relationship Id="rId133" Type="http://schemas.openxmlformats.org/officeDocument/2006/relationships/hyperlink" Target="https://amp.vexpenses.com/settings/membros-de-equipe/896053" TargetMode="External"/><Relationship Id="rId175" Type="http://schemas.openxmlformats.org/officeDocument/2006/relationships/hyperlink" Target="https://amp.vexpenses.com/settings/membros-de-equipe/896086" TargetMode="External"/><Relationship Id="rId340" Type="http://schemas.openxmlformats.org/officeDocument/2006/relationships/hyperlink" Target="https://amp.vexpenses.com/settings/membros-de-equipe/979939" TargetMode="External"/><Relationship Id="rId200" Type="http://schemas.openxmlformats.org/officeDocument/2006/relationships/hyperlink" Target="https://amp.vexpenses.com/settings/membros-de-equipe/917075" TargetMode="External"/><Relationship Id="rId382" Type="http://schemas.openxmlformats.org/officeDocument/2006/relationships/hyperlink" Target="https://amp.vexpenses.com/settings/membros-de-equipe/896425" TargetMode="External"/><Relationship Id="rId438" Type="http://schemas.openxmlformats.org/officeDocument/2006/relationships/hyperlink" Target="https://amp.vexpenses.com/settings/membros-de-equipe/918849" TargetMode="External"/><Relationship Id="rId242" Type="http://schemas.openxmlformats.org/officeDocument/2006/relationships/hyperlink" Target="https://amp.vexpenses.com/settings/membros-de-equipe/896141" TargetMode="External"/><Relationship Id="rId284" Type="http://schemas.openxmlformats.org/officeDocument/2006/relationships/hyperlink" Target="https://amp.vexpenses.com/settings/membros-de-equipe/916893" TargetMode="External"/><Relationship Id="rId491" Type="http://schemas.openxmlformats.org/officeDocument/2006/relationships/hyperlink" Target="https://amp.vexpenses.com/settings/membros-de-equipe/896349" TargetMode="External"/><Relationship Id="rId505" Type="http://schemas.openxmlformats.org/officeDocument/2006/relationships/hyperlink" Target="https://amp.vexpenses.com/settings/membros-de-equipe/896361" TargetMode="External"/><Relationship Id="rId37" Type="http://schemas.openxmlformats.org/officeDocument/2006/relationships/hyperlink" Target="https://amp.vexpenses.com/settings/membros-de-equipe/895971" TargetMode="External"/><Relationship Id="rId79" Type="http://schemas.openxmlformats.org/officeDocument/2006/relationships/hyperlink" Target="https://amp.vexpenses.com/settings/membros-de-equipe/896008" TargetMode="External"/><Relationship Id="rId102" Type="http://schemas.openxmlformats.org/officeDocument/2006/relationships/hyperlink" Target="https://amp.vexpenses.com/settings/membros-de-equipe/896030" TargetMode="External"/><Relationship Id="rId144" Type="http://schemas.openxmlformats.org/officeDocument/2006/relationships/hyperlink" Target="https://amp.vexpenses.com/settings/membros-de-equipe/927175" TargetMode="External"/><Relationship Id="rId547" Type="http://schemas.openxmlformats.org/officeDocument/2006/relationships/drawing" Target="../drawings/drawing2.xml"/><Relationship Id="rId90" Type="http://schemas.openxmlformats.org/officeDocument/2006/relationships/hyperlink" Target="https://amp.vexpenses.com/settings/membros-de-equipe/952397" TargetMode="External"/><Relationship Id="rId186" Type="http://schemas.openxmlformats.org/officeDocument/2006/relationships/hyperlink" Target="https://amp.vexpenses.com/settings/membros-de-equipe/891979" TargetMode="External"/><Relationship Id="rId351" Type="http://schemas.openxmlformats.org/officeDocument/2006/relationships/hyperlink" Target="https://amp.vexpenses.com/settings/membros-de-equipe/896230" TargetMode="External"/><Relationship Id="rId393" Type="http://schemas.openxmlformats.org/officeDocument/2006/relationships/hyperlink" Target="https://amp.vexpenses.com/settings/membros-de-equipe/985835" TargetMode="External"/><Relationship Id="rId407" Type="http://schemas.openxmlformats.org/officeDocument/2006/relationships/hyperlink" Target="https://amp.vexpenses.com/settings/membros-de-equipe/896274" TargetMode="External"/><Relationship Id="rId449" Type="http://schemas.openxmlformats.org/officeDocument/2006/relationships/hyperlink" Target="https://amp.vexpenses.com/settings/membros-de-equipe/928994" TargetMode="External"/><Relationship Id="rId211" Type="http://schemas.openxmlformats.org/officeDocument/2006/relationships/hyperlink" Target="https://amp.vexpenses.com/settings/membros-de-equipe/896421" TargetMode="External"/><Relationship Id="rId253" Type="http://schemas.openxmlformats.org/officeDocument/2006/relationships/hyperlink" Target="https://amp.vexpenses.com/settings/membros-de-equipe/896149" TargetMode="External"/><Relationship Id="rId295" Type="http://schemas.openxmlformats.org/officeDocument/2006/relationships/hyperlink" Target="https://amp.vexpenses.com/settings/membros-de-equipe/896186" TargetMode="External"/><Relationship Id="rId309" Type="http://schemas.openxmlformats.org/officeDocument/2006/relationships/hyperlink" Target="https://amp.vexpenses.com/settings/membros-de-equipe/896203" TargetMode="External"/><Relationship Id="rId460" Type="http://schemas.openxmlformats.org/officeDocument/2006/relationships/hyperlink" Target="https://amp.vexpenses.com/settings/membros-de-equipe/896317" TargetMode="External"/><Relationship Id="rId516" Type="http://schemas.openxmlformats.org/officeDocument/2006/relationships/hyperlink" Target="https://amp.vexpenses.com/settings/membros-de-equipe/896369" TargetMode="External"/><Relationship Id="rId48" Type="http://schemas.openxmlformats.org/officeDocument/2006/relationships/hyperlink" Target="https://amp.vexpenses.com/settings/membros-de-equipe/895981" TargetMode="External"/><Relationship Id="rId113" Type="http://schemas.openxmlformats.org/officeDocument/2006/relationships/hyperlink" Target="https://amp.vexpenses.com/settings/membros-de-equipe/930913" TargetMode="External"/><Relationship Id="rId320" Type="http://schemas.openxmlformats.org/officeDocument/2006/relationships/hyperlink" Target="https://amp.vexpenses.com/settings/membros-de-equipe/896210" TargetMode="External"/><Relationship Id="rId155" Type="http://schemas.openxmlformats.org/officeDocument/2006/relationships/hyperlink" Target="https://amp.vexpenses.com/settings/membros-de-equipe/972167" TargetMode="External"/><Relationship Id="rId197" Type="http://schemas.openxmlformats.org/officeDocument/2006/relationships/hyperlink" Target="https://amp.vexpenses.com/settings/membros-de-equipe/896105" TargetMode="External"/><Relationship Id="rId362" Type="http://schemas.openxmlformats.org/officeDocument/2006/relationships/hyperlink" Target="https://amp.vexpenses.com/settings/membros-de-equipe/896238" TargetMode="External"/><Relationship Id="rId418" Type="http://schemas.openxmlformats.org/officeDocument/2006/relationships/hyperlink" Target="https://amp.vexpenses.com/settings/membros-de-equipe/896286" TargetMode="External"/><Relationship Id="rId222" Type="http://schemas.openxmlformats.org/officeDocument/2006/relationships/hyperlink" Target="https://amp.vexpenses.com/settings/membros-de-equipe/896124" TargetMode="External"/><Relationship Id="rId264" Type="http://schemas.openxmlformats.org/officeDocument/2006/relationships/hyperlink" Target="https://amp.vexpenses.com/settings/membros-de-equipe/896159" TargetMode="External"/><Relationship Id="rId471" Type="http://schemas.openxmlformats.org/officeDocument/2006/relationships/hyperlink" Target="https://amp.vexpenses.com/settings/membros-de-equipe/896329" TargetMode="External"/><Relationship Id="rId17" Type="http://schemas.openxmlformats.org/officeDocument/2006/relationships/hyperlink" Target="https://amp.vexpenses.com/settings/membros-de-equipe/895958" TargetMode="External"/><Relationship Id="rId59" Type="http://schemas.openxmlformats.org/officeDocument/2006/relationships/hyperlink" Target="https://amp.vexpenses.com/settings/membros-de-equipe/895992" TargetMode="External"/><Relationship Id="rId124" Type="http://schemas.openxmlformats.org/officeDocument/2006/relationships/hyperlink" Target="https://amp.vexpenses.com/settings/membros-de-equipe/896046" TargetMode="External"/><Relationship Id="rId527" Type="http://schemas.openxmlformats.org/officeDocument/2006/relationships/hyperlink" Target="https://amp.vexpenses.com/settings/membros-de-equipe/896377" TargetMode="External"/><Relationship Id="rId70" Type="http://schemas.openxmlformats.org/officeDocument/2006/relationships/hyperlink" Target="https://amp.vexpenses.com/settings/membros-de-equipe/895999" TargetMode="External"/><Relationship Id="rId166" Type="http://schemas.openxmlformats.org/officeDocument/2006/relationships/hyperlink" Target="https://amp.vexpenses.com/settings/membros-de-equipe/896080" TargetMode="External"/><Relationship Id="rId331" Type="http://schemas.openxmlformats.org/officeDocument/2006/relationships/hyperlink" Target="https://amp.vexpenses.com/settings/membros-de-equipe/896218" TargetMode="External"/><Relationship Id="rId373" Type="http://schemas.openxmlformats.org/officeDocument/2006/relationships/hyperlink" Target="https://amp.vexpenses.com/settings/membros-de-equipe/896245" TargetMode="External"/><Relationship Id="rId429" Type="http://schemas.openxmlformats.org/officeDocument/2006/relationships/hyperlink" Target="https://amp.vexpenses.com/settings/membros-de-equipe/896294" TargetMode="External"/><Relationship Id="rId1" Type="http://schemas.openxmlformats.org/officeDocument/2006/relationships/hyperlink" Target="https://amp.vexpenses.com/settings/membros-de-equipe/895944" TargetMode="External"/><Relationship Id="rId233" Type="http://schemas.openxmlformats.org/officeDocument/2006/relationships/hyperlink" Target="https://amp.vexpenses.com/settings/membros-de-equipe/896133" TargetMode="External"/><Relationship Id="rId440" Type="http://schemas.openxmlformats.org/officeDocument/2006/relationships/hyperlink" Target="https://amp.vexpenses.com/settings/membros-de-equipe/896300" TargetMode="External"/><Relationship Id="rId28" Type="http://schemas.openxmlformats.org/officeDocument/2006/relationships/hyperlink" Target="https://amp.vexpenses.com/settings/membros-de-equipe/895967" TargetMode="External"/><Relationship Id="rId275" Type="http://schemas.openxmlformats.org/officeDocument/2006/relationships/hyperlink" Target="https://amp.vexpenses.com/settings/membros-de-equipe/896166" TargetMode="External"/><Relationship Id="rId300" Type="http://schemas.openxmlformats.org/officeDocument/2006/relationships/hyperlink" Target="https://amp.vexpenses.com/settings/membros-de-equipe/896192" TargetMode="External"/><Relationship Id="rId482" Type="http://schemas.openxmlformats.org/officeDocument/2006/relationships/hyperlink" Target="https://amp.vexpenses.com/settings/membros-de-equipe/917364" TargetMode="External"/><Relationship Id="rId538" Type="http://schemas.openxmlformats.org/officeDocument/2006/relationships/hyperlink" Target="https://amp.vexpenses.com/settings/membros-de-equipe/896389" TargetMode="External"/><Relationship Id="rId81" Type="http://schemas.openxmlformats.org/officeDocument/2006/relationships/hyperlink" Target="https://amp.vexpenses.com/settings/membros-de-equipe/896011" TargetMode="External"/><Relationship Id="rId135" Type="http://schemas.openxmlformats.org/officeDocument/2006/relationships/hyperlink" Target="https://amp.vexpenses.com/settings/membros-de-equipe/896055" TargetMode="External"/><Relationship Id="rId177" Type="http://schemas.openxmlformats.org/officeDocument/2006/relationships/hyperlink" Target="https://amp.vexpenses.com/settings/membros-de-equipe/896087" TargetMode="External"/><Relationship Id="rId342" Type="http://schemas.openxmlformats.org/officeDocument/2006/relationships/hyperlink" Target="https://amp.vexpenses.com/settings/membros-de-equipe/917361" TargetMode="External"/><Relationship Id="rId384" Type="http://schemas.openxmlformats.org/officeDocument/2006/relationships/hyperlink" Target="https://amp.vexpenses.com/settings/membros-de-equipe/896253" TargetMode="External"/><Relationship Id="rId202" Type="http://schemas.openxmlformats.org/officeDocument/2006/relationships/hyperlink" Target="https://amp.vexpenses.com/settings/membros-de-equipe/917058" TargetMode="External"/><Relationship Id="rId244" Type="http://schemas.openxmlformats.org/officeDocument/2006/relationships/hyperlink" Target="https://amp.vexpenses.com/settings/membros-de-equipe/896143" TargetMode="External"/><Relationship Id="rId39" Type="http://schemas.openxmlformats.org/officeDocument/2006/relationships/hyperlink" Target="https://amp.vexpenses.com/settings/membros-de-equipe/966263" TargetMode="External"/><Relationship Id="rId286" Type="http://schemas.openxmlformats.org/officeDocument/2006/relationships/hyperlink" Target="https://amp.vexpenses.com/settings/membros-de-equipe/896177" TargetMode="External"/><Relationship Id="rId451" Type="http://schemas.openxmlformats.org/officeDocument/2006/relationships/hyperlink" Target="https://amp.vexpenses.com/settings/membros-de-equipe/896308" TargetMode="External"/><Relationship Id="rId493" Type="http://schemas.openxmlformats.org/officeDocument/2006/relationships/hyperlink" Target="https://amp.vexpenses.com/settings/membros-de-equipe/896351" TargetMode="External"/><Relationship Id="rId507" Type="http://schemas.openxmlformats.org/officeDocument/2006/relationships/hyperlink" Target="https://amp.vexpenses.com/settings/membros-de-equipe/896362" TargetMode="External"/><Relationship Id="rId549" Type="http://schemas.openxmlformats.org/officeDocument/2006/relationships/control" Target="../activeX/activeX1.xml"/><Relationship Id="rId50" Type="http://schemas.openxmlformats.org/officeDocument/2006/relationships/hyperlink" Target="https://amp.vexpenses.com/settings/membros-de-equipe/895983" TargetMode="External"/><Relationship Id="rId104" Type="http://schemas.openxmlformats.org/officeDocument/2006/relationships/hyperlink" Target="https://amp.vexpenses.com/settings/membros-de-equipe/896032" TargetMode="External"/><Relationship Id="rId146" Type="http://schemas.openxmlformats.org/officeDocument/2006/relationships/hyperlink" Target="https://amp.vexpenses.com/settings/membros-de-equipe/896064" TargetMode="External"/><Relationship Id="rId188" Type="http://schemas.openxmlformats.org/officeDocument/2006/relationships/hyperlink" Target="https://amp.vexpenses.com/settings/membros-de-equipe/896095" TargetMode="External"/><Relationship Id="rId311" Type="http://schemas.openxmlformats.org/officeDocument/2006/relationships/hyperlink" Target="https://amp.vexpenses.com/settings/membros-de-equipe/896422" TargetMode="External"/><Relationship Id="rId353" Type="http://schemas.openxmlformats.org/officeDocument/2006/relationships/hyperlink" Target="https://amp.vexpenses.com/settings/membros-de-equipe/916932" TargetMode="External"/><Relationship Id="rId395" Type="http://schemas.openxmlformats.org/officeDocument/2006/relationships/hyperlink" Target="https://amp.vexpenses.com/settings/membros-de-equipe/896262" TargetMode="External"/><Relationship Id="rId409" Type="http://schemas.openxmlformats.org/officeDocument/2006/relationships/hyperlink" Target="https://amp.vexpenses.com/settings/membros-de-equipe/896276" TargetMode="External"/><Relationship Id="rId92" Type="http://schemas.openxmlformats.org/officeDocument/2006/relationships/hyperlink" Target="https://amp.vexpenses.com/settings/membros-de-equipe/896021" TargetMode="External"/><Relationship Id="rId213" Type="http://schemas.openxmlformats.org/officeDocument/2006/relationships/hyperlink" Target="https://amp.vexpenses.com/settings/membros-de-equipe/1001575" TargetMode="External"/><Relationship Id="rId420" Type="http://schemas.openxmlformats.org/officeDocument/2006/relationships/hyperlink" Target="https://amp.vexpenses.com/settings/membros-de-equipe/896287" TargetMode="External"/><Relationship Id="rId255" Type="http://schemas.openxmlformats.org/officeDocument/2006/relationships/hyperlink" Target="https://amp.vexpenses.com/settings/membros-de-equipe/923651" TargetMode="External"/><Relationship Id="rId297" Type="http://schemas.openxmlformats.org/officeDocument/2006/relationships/hyperlink" Target="https://amp.vexpenses.com/settings/membros-de-equipe/896189" TargetMode="External"/><Relationship Id="rId462" Type="http://schemas.openxmlformats.org/officeDocument/2006/relationships/hyperlink" Target="https://amp.vexpenses.com/settings/membros-de-equipe/896319" TargetMode="External"/><Relationship Id="rId518" Type="http://schemas.openxmlformats.org/officeDocument/2006/relationships/hyperlink" Target="https://amp.vexpenses.com/settings/membros-de-equipe/896372" TargetMode="External"/><Relationship Id="rId115" Type="http://schemas.openxmlformats.org/officeDocument/2006/relationships/hyperlink" Target="https://amp.vexpenses.com/settings/membros-de-equipe/896040" TargetMode="External"/><Relationship Id="rId157" Type="http://schemas.openxmlformats.org/officeDocument/2006/relationships/hyperlink" Target="https://amp.vexpenses.com/settings/membros-de-equipe/896073" TargetMode="External"/><Relationship Id="rId322" Type="http://schemas.openxmlformats.org/officeDocument/2006/relationships/hyperlink" Target="https://amp.vexpenses.com/settings/membros-de-equipe/922276" TargetMode="External"/><Relationship Id="rId364" Type="http://schemas.openxmlformats.org/officeDocument/2006/relationships/hyperlink" Target="https://amp.vexpenses.com/settings/membros-de-equipe/896241" TargetMode="External"/><Relationship Id="rId61" Type="http://schemas.openxmlformats.org/officeDocument/2006/relationships/hyperlink" Target="https://amp.vexpenses.com/settings/membros-de-equipe/895994" TargetMode="External"/><Relationship Id="rId199" Type="http://schemas.openxmlformats.org/officeDocument/2006/relationships/hyperlink" Target="https://amp.vexpenses.com/settings/membros-de-equipe/896107" TargetMode="External"/><Relationship Id="rId19" Type="http://schemas.openxmlformats.org/officeDocument/2006/relationships/hyperlink" Target="https://amp.vexpenses.com/settings/membros-de-equipe/895959" TargetMode="External"/><Relationship Id="rId224" Type="http://schemas.openxmlformats.org/officeDocument/2006/relationships/hyperlink" Target="https://amp.vexpenses.com/settings/membros-de-equipe/916374" TargetMode="External"/><Relationship Id="rId266" Type="http://schemas.openxmlformats.org/officeDocument/2006/relationships/hyperlink" Target="https://amp.vexpenses.com/settings/membros-de-equipe/978694" TargetMode="External"/><Relationship Id="rId431" Type="http://schemas.openxmlformats.org/officeDocument/2006/relationships/hyperlink" Target="https://amp.vexpenses.com/settings/membros-de-equipe/973950" TargetMode="External"/><Relationship Id="rId473" Type="http://schemas.openxmlformats.org/officeDocument/2006/relationships/hyperlink" Target="https://amp.vexpenses.com/settings/membros-de-equipe/963612" TargetMode="External"/><Relationship Id="rId529" Type="http://schemas.openxmlformats.org/officeDocument/2006/relationships/hyperlink" Target="https://amp.vexpenses.com/settings/membros-de-equipe/957806" TargetMode="External"/><Relationship Id="rId30" Type="http://schemas.openxmlformats.org/officeDocument/2006/relationships/hyperlink" Target="https://amp.vexpenses.com/settings/membros-de-equipe/994742" TargetMode="External"/><Relationship Id="rId126" Type="http://schemas.openxmlformats.org/officeDocument/2006/relationships/hyperlink" Target="https://amp.vexpenses.com/settings/membros-de-equipe/896048" TargetMode="External"/><Relationship Id="rId168" Type="http://schemas.openxmlformats.org/officeDocument/2006/relationships/hyperlink" Target="https://amp.vexpenses.com/settings/membros-de-equipe/896081" TargetMode="External"/><Relationship Id="rId333" Type="http://schemas.openxmlformats.org/officeDocument/2006/relationships/hyperlink" Target="https://amp.vexpenses.com/settings/membros-de-equipe/896219" TargetMode="External"/><Relationship Id="rId540" Type="http://schemas.openxmlformats.org/officeDocument/2006/relationships/hyperlink" Target="https://amp.vexpenses.com/settings/membros-de-equipe/896391" TargetMode="External"/><Relationship Id="rId72" Type="http://schemas.openxmlformats.org/officeDocument/2006/relationships/hyperlink" Target="https://amp.vexpenses.com/settings/membros-de-equipe/896001" TargetMode="External"/><Relationship Id="rId375" Type="http://schemas.openxmlformats.org/officeDocument/2006/relationships/hyperlink" Target="https://amp.vexpenses.com/settings/membros-de-equipe/929759" TargetMode="External"/><Relationship Id="rId3" Type="http://schemas.openxmlformats.org/officeDocument/2006/relationships/hyperlink" Target="https://amp.vexpenses.com/settings/membros-de-equipe/895945" TargetMode="External"/><Relationship Id="rId235" Type="http://schemas.openxmlformats.org/officeDocument/2006/relationships/hyperlink" Target="https://amp.vexpenses.com/settings/membros-de-equipe/922784" TargetMode="External"/><Relationship Id="rId277" Type="http://schemas.openxmlformats.org/officeDocument/2006/relationships/hyperlink" Target="https://amp.vexpenses.com/settings/membros-de-equipe/896168" TargetMode="External"/><Relationship Id="rId400" Type="http://schemas.openxmlformats.org/officeDocument/2006/relationships/hyperlink" Target="https://amp.vexpenses.com/settings/membros-de-equipe/896267" TargetMode="External"/><Relationship Id="rId442" Type="http://schemas.openxmlformats.org/officeDocument/2006/relationships/hyperlink" Target="https://amp.vexpenses.com/settings/membros-de-equipe/896302" TargetMode="External"/><Relationship Id="rId484" Type="http://schemas.openxmlformats.org/officeDocument/2006/relationships/hyperlink" Target="https://amp.vexpenses.com/settings/membros-de-equipe/896340" TargetMode="External"/><Relationship Id="rId137" Type="http://schemas.openxmlformats.org/officeDocument/2006/relationships/hyperlink" Target="https://amp.vexpenses.com/settings/membros-de-equipe/896058" TargetMode="External"/><Relationship Id="rId302" Type="http://schemas.openxmlformats.org/officeDocument/2006/relationships/hyperlink" Target="https://amp.vexpenses.com/settings/membros-de-equipe/896195" TargetMode="External"/><Relationship Id="rId344" Type="http://schemas.openxmlformats.org/officeDocument/2006/relationships/hyperlink" Target="https://amp.vexpenses.com/settings/membros-de-equipe/896224" TargetMode="External"/><Relationship Id="rId41" Type="http://schemas.openxmlformats.org/officeDocument/2006/relationships/hyperlink" Target="https://amp.vexpenses.com/settings/membros-de-equipe/929757" TargetMode="External"/><Relationship Id="rId83" Type="http://schemas.openxmlformats.org/officeDocument/2006/relationships/hyperlink" Target="https://amp.vexpenses.com/settings/membros-de-equipe/896014" TargetMode="External"/><Relationship Id="rId179" Type="http://schemas.openxmlformats.org/officeDocument/2006/relationships/hyperlink" Target="https://amp.vexpenses.com/settings/membros-de-equipe/896090" TargetMode="External"/><Relationship Id="rId386" Type="http://schemas.openxmlformats.org/officeDocument/2006/relationships/hyperlink" Target="https://amp.vexpenses.com/settings/membros-de-equipe/896254" TargetMode="External"/><Relationship Id="rId190" Type="http://schemas.openxmlformats.org/officeDocument/2006/relationships/hyperlink" Target="https://amp.vexpenses.com/settings/membros-de-equipe/940437" TargetMode="External"/><Relationship Id="rId204" Type="http://schemas.openxmlformats.org/officeDocument/2006/relationships/hyperlink" Target="https://amp.vexpenses.com/settings/membros-de-equipe/927567" TargetMode="External"/><Relationship Id="rId246" Type="http://schemas.openxmlformats.org/officeDocument/2006/relationships/hyperlink" Target="https://amp.vexpenses.com/settings/membros-de-equipe/996991" TargetMode="External"/><Relationship Id="rId288" Type="http://schemas.openxmlformats.org/officeDocument/2006/relationships/hyperlink" Target="https://amp.vexpenses.com/settings/membros-de-equipe/896179" TargetMode="External"/><Relationship Id="rId411" Type="http://schemas.openxmlformats.org/officeDocument/2006/relationships/hyperlink" Target="https://amp.vexpenses.com/settings/membros-de-equipe/896278" TargetMode="External"/><Relationship Id="rId453" Type="http://schemas.openxmlformats.org/officeDocument/2006/relationships/hyperlink" Target="https://amp.vexpenses.com/settings/membros-de-equipe/896313" TargetMode="External"/><Relationship Id="rId509" Type="http://schemas.openxmlformats.org/officeDocument/2006/relationships/hyperlink" Target="https://amp.vexpenses.com/settings/membros-de-equipe/896364" TargetMode="External"/><Relationship Id="rId106" Type="http://schemas.openxmlformats.org/officeDocument/2006/relationships/hyperlink" Target="https://amp.vexpenses.com/settings/membros-de-equipe/930403" TargetMode="External"/><Relationship Id="rId313" Type="http://schemas.openxmlformats.org/officeDocument/2006/relationships/hyperlink" Target="https://amp.vexpenses.com/settings/membros-de-equipe/896205" TargetMode="External"/><Relationship Id="rId495" Type="http://schemas.openxmlformats.org/officeDocument/2006/relationships/hyperlink" Target="https://amp.vexpenses.com/settings/membros-de-equipe/896353" TargetMode="External"/><Relationship Id="rId10" Type="http://schemas.openxmlformats.org/officeDocument/2006/relationships/hyperlink" Target="https://amp.vexpenses.com/settings/membros-de-equipe/895952" TargetMode="External"/><Relationship Id="rId52" Type="http://schemas.openxmlformats.org/officeDocument/2006/relationships/hyperlink" Target="https://amp.vexpenses.com/settings/membros-de-equipe/895985" TargetMode="External"/><Relationship Id="rId94" Type="http://schemas.openxmlformats.org/officeDocument/2006/relationships/hyperlink" Target="https://amp.vexpenses.com/settings/membros-de-equipe/999490" TargetMode="External"/><Relationship Id="rId148" Type="http://schemas.openxmlformats.org/officeDocument/2006/relationships/hyperlink" Target="https://amp.vexpenses.com/settings/membros-de-equipe/896066" TargetMode="External"/><Relationship Id="rId355" Type="http://schemas.openxmlformats.org/officeDocument/2006/relationships/hyperlink" Target="https://amp.vexpenses.com/settings/membros-de-equipe/896232" TargetMode="External"/><Relationship Id="rId397" Type="http://schemas.openxmlformats.org/officeDocument/2006/relationships/hyperlink" Target="https://amp.vexpenses.com/settings/membros-de-equipe/896264" TargetMode="External"/><Relationship Id="rId520" Type="http://schemas.openxmlformats.org/officeDocument/2006/relationships/hyperlink" Target="https://amp.vexpenses.com/settings/membros-de-equipe/985826" TargetMode="External"/><Relationship Id="rId215" Type="http://schemas.openxmlformats.org/officeDocument/2006/relationships/hyperlink" Target="https://amp.vexpenses.com/settings/membros-de-equipe/929756" TargetMode="External"/><Relationship Id="rId257" Type="http://schemas.openxmlformats.org/officeDocument/2006/relationships/hyperlink" Target="https://amp.vexpenses.com/settings/membros-de-equipe/896152" TargetMode="External"/><Relationship Id="rId422" Type="http://schemas.openxmlformats.org/officeDocument/2006/relationships/hyperlink" Target="https://amp.vexpenses.com/settings/membros-de-equipe/896289" TargetMode="External"/><Relationship Id="rId464" Type="http://schemas.openxmlformats.org/officeDocument/2006/relationships/hyperlink" Target="https://amp.vexpenses.com/settings/membros-de-equipe/896322" TargetMode="External"/><Relationship Id="rId299" Type="http://schemas.openxmlformats.org/officeDocument/2006/relationships/hyperlink" Target="https://amp.vexpenses.com/settings/membros-de-equipe/896191" TargetMode="External"/><Relationship Id="rId63" Type="http://schemas.openxmlformats.org/officeDocument/2006/relationships/hyperlink" Target="https://amp.vexpenses.com/settings/membros-de-equipe/920071" TargetMode="External"/><Relationship Id="rId159" Type="http://schemas.openxmlformats.org/officeDocument/2006/relationships/hyperlink" Target="https://amp.vexpenses.com/settings/membros-de-equipe/896075" TargetMode="External"/><Relationship Id="rId366" Type="http://schemas.openxmlformats.org/officeDocument/2006/relationships/hyperlink" Target="https://amp.vexpenses.com/settings/membros-de-equipe/896243" TargetMode="External"/><Relationship Id="rId226" Type="http://schemas.openxmlformats.org/officeDocument/2006/relationships/hyperlink" Target="https://amp.vexpenses.com/settings/membros-de-equipe/896127" TargetMode="External"/><Relationship Id="rId433" Type="http://schemas.openxmlformats.org/officeDocument/2006/relationships/hyperlink" Target="https://amp.vexpenses.com/settings/membros-de-equipe/896296" TargetMode="External"/><Relationship Id="rId74" Type="http://schemas.openxmlformats.org/officeDocument/2006/relationships/hyperlink" Target="https://amp.vexpenses.com/settings/membros-de-equipe/896003" TargetMode="External"/><Relationship Id="rId377" Type="http://schemas.openxmlformats.org/officeDocument/2006/relationships/hyperlink" Target="https://amp.vexpenses.com/settings/membros-de-equipe/896248" TargetMode="External"/><Relationship Id="rId500" Type="http://schemas.openxmlformats.org/officeDocument/2006/relationships/hyperlink" Target="https://amp.vexpenses.com/settings/membros-de-equipe/896397" TargetMode="External"/><Relationship Id="rId5" Type="http://schemas.openxmlformats.org/officeDocument/2006/relationships/hyperlink" Target="https://amp.vexpenses.com/settings/membros-de-equipe/895947" TargetMode="External"/><Relationship Id="rId237" Type="http://schemas.openxmlformats.org/officeDocument/2006/relationships/hyperlink" Target="https://amp.vexpenses.com/settings/membros-de-equipe/896135" TargetMode="External"/><Relationship Id="rId444" Type="http://schemas.openxmlformats.org/officeDocument/2006/relationships/hyperlink" Target="https://amp.vexpenses.com/settings/membros-de-equipe/923649" TargetMode="External"/><Relationship Id="rId290" Type="http://schemas.openxmlformats.org/officeDocument/2006/relationships/hyperlink" Target="https://amp.vexpenses.com/settings/membros-de-equipe/896181" TargetMode="External"/><Relationship Id="rId304" Type="http://schemas.openxmlformats.org/officeDocument/2006/relationships/hyperlink" Target="https://amp.vexpenses.com/settings/membros-de-equipe/896197" TargetMode="External"/><Relationship Id="rId388" Type="http://schemas.openxmlformats.org/officeDocument/2006/relationships/hyperlink" Target="https://amp.vexpenses.com/settings/membros-de-equipe/896255" TargetMode="External"/><Relationship Id="rId511" Type="http://schemas.openxmlformats.org/officeDocument/2006/relationships/hyperlink" Target="https://amp.vexpenses.com/settings/membros-de-equipe/896365" TargetMode="External"/><Relationship Id="rId85" Type="http://schemas.openxmlformats.org/officeDocument/2006/relationships/hyperlink" Target="https://amp.vexpenses.com/settings/membros-de-equipe/930924" TargetMode="External"/><Relationship Id="rId150" Type="http://schemas.openxmlformats.org/officeDocument/2006/relationships/hyperlink" Target="https://amp.vexpenses.com/settings/membros-de-equipe/896068" TargetMode="External"/><Relationship Id="rId248" Type="http://schemas.openxmlformats.org/officeDocument/2006/relationships/hyperlink" Target="https://amp.vexpenses.com/settings/membros-de-equipe/896145" TargetMode="External"/><Relationship Id="rId455" Type="http://schemas.openxmlformats.org/officeDocument/2006/relationships/hyperlink" Target="https://amp.vexpenses.com/settings/membros-de-equipe/9170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D38CD-59C8-4EC5-850A-DB30BB453880}">
  <dimension ref="A2:AY310"/>
  <sheetViews>
    <sheetView showGridLines="0" topLeftCell="K291" workbookViewId="0">
      <selection activeCell="B6" sqref="B6:R310"/>
    </sheetView>
  </sheetViews>
  <sheetFormatPr defaultColWidth="8" defaultRowHeight="15.75" x14ac:dyDescent="0.25"/>
  <cols>
    <col min="1" max="1" width="3.625" style="35" customWidth="1"/>
    <col min="2" max="2" width="29.375" customWidth="1"/>
    <col min="3" max="3" width="10.5" customWidth="1"/>
    <col min="4" max="4" width="14.875" style="1" customWidth="1"/>
    <col min="5" max="5" width="21.375" style="1" customWidth="1"/>
    <col min="6" max="6" width="19" style="1" customWidth="1"/>
    <col min="7" max="7" width="16.375" customWidth="1"/>
    <col min="8" max="8" width="16.75" customWidth="1"/>
    <col min="9" max="9" width="12.375" customWidth="1"/>
    <col min="10" max="10" width="15.5" style="1" customWidth="1"/>
    <col min="11" max="11" width="13.375" style="1" bestFit="1" customWidth="1"/>
    <col min="12" max="12" width="15.375" style="1" bestFit="1" customWidth="1"/>
    <col min="13" max="13" width="13.375" style="1" bestFit="1" customWidth="1"/>
    <col min="14" max="14" width="14.25" style="1" bestFit="1" customWidth="1"/>
    <col min="15" max="15" width="12.25" customWidth="1"/>
    <col min="16" max="16" width="17.875" style="2" bestFit="1" customWidth="1"/>
    <col min="17" max="17" width="18.375" style="58" customWidth="1"/>
    <col min="18" max="18" width="25.75" style="3" bestFit="1" customWidth="1"/>
    <col min="19" max="19" width="17.25" style="3" customWidth="1"/>
    <col min="20" max="20" width="6" style="3" bestFit="1" customWidth="1"/>
    <col min="21" max="21" width="17.25" style="3" customWidth="1"/>
    <col min="22" max="51" width="8" style="38"/>
  </cols>
  <sheetData>
    <row r="2" spans="1:51" ht="31.5" customHeight="1" x14ac:dyDescent="0.25">
      <c r="N2" s="57"/>
      <c r="S2" s="111"/>
      <c r="T2" s="111"/>
      <c r="U2" s="97"/>
    </row>
    <row r="3" spans="1:51" ht="31.5" customHeight="1" x14ac:dyDescent="0.25">
      <c r="N3" s="57"/>
      <c r="S3" s="111"/>
      <c r="T3" s="111"/>
    </row>
    <row r="4" spans="1:51" ht="31.5" customHeight="1" thickBot="1" x14ac:dyDescent="0.3">
      <c r="O4" s="103"/>
      <c r="R4" s="109" t="s">
        <v>0</v>
      </c>
      <c r="S4" s="112"/>
      <c r="T4" s="112"/>
    </row>
    <row r="5" spans="1:51" s="61" customFormat="1" ht="36" customHeight="1" x14ac:dyDescent="0.25">
      <c r="A5" s="60"/>
      <c r="D5" s="62"/>
      <c r="E5" s="62"/>
      <c r="F5" s="62"/>
      <c r="I5" s="63">
        <f>SUBTOTAL(9,I7:I1048576)</f>
        <v>-34946.960000000079</v>
      </c>
      <c r="J5" s="63">
        <f>SUBTOTAL(9,J7:J1048576)</f>
        <v>230559.19999999987</v>
      </c>
      <c r="K5" s="63">
        <f>SUBTOTAL(9,K7:K1048576)</f>
        <v>256740.74000000034</v>
      </c>
      <c r="L5" s="63">
        <f>SUBTOTAL(9,L7:L1048576)</f>
        <v>144524.24999999968</v>
      </c>
      <c r="M5" s="63">
        <f>SUBTOTAL(9,M7:M1048576)</f>
        <v>407950</v>
      </c>
      <c r="N5" s="63">
        <f>SUBTOTAL(9,N7:N1048576)</f>
        <v>84815.140000000029</v>
      </c>
      <c r="O5" s="63">
        <f>SUBTOTAL(9,O7:O1048576)</f>
        <v>3000</v>
      </c>
      <c r="P5" s="63">
        <f>SUBTOTAL(9,P7:P1048576)</f>
        <v>175610.61000000031</v>
      </c>
      <c r="Q5" s="63">
        <f>SUBTOTAL(9,Q7:Q1048576)</f>
        <v>0</v>
      </c>
      <c r="R5" s="65">
        <f>SUBTOTAL(9,R7:R1048576)</f>
        <v>231100.01000000024</v>
      </c>
      <c r="S5" s="110"/>
      <c r="T5" s="110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</row>
    <row r="6" spans="1:51" ht="27" x14ac:dyDescent="0.25">
      <c r="B6" s="4" t="s">
        <v>1</v>
      </c>
      <c r="C6" s="4" t="s">
        <v>2</v>
      </c>
      <c r="D6" s="6" t="s">
        <v>3</v>
      </c>
      <c r="E6" s="7" t="s">
        <v>4</v>
      </c>
      <c r="F6" s="7" t="s">
        <v>5</v>
      </c>
      <c r="G6" s="5" t="s">
        <v>6</v>
      </c>
      <c r="H6" s="5" t="s">
        <v>7</v>
      </c>
      <c r="I6" s="133" t="s">
        <v>8</v>
      </c>
      <c r="J6" s="132" t="s">
        <v>9</v>
      </c>
      <c r="K6" s="11" t="s">
        <v>1821</v>
      </c>
      <c r="L6" s="107" t="s">
        <v>10</v>
      </c>
      <c r="M6" s="100" t="s">
        <v>11</v>
      </c>
      <c r="N6" s="8" t="s">
        <v>12</v>
      </c>
      <c r="O6" s="9" t="s">
        <v>13</v>
      </c>
      <c r="P6" s="10" t="s">
        <v>1822</v>
      </c>
      <c r="Q6" s="59" t="s">
        <v>14</v>
      </c>
      <c r="R6" s="108" t="s">
        <v>1815</v>
      </c>
      <c r="S6" s="47" t="s">
        <v>15</v>
      </c>
      <c r="T6" s="12" t="s">
        <v>16</v>
      </c>
      <c r="U6" s="38"/>
      <c r="AW6"/>
      <c r="AX6"/>
      <c r="AY6"/>
    </row>
    <row r="7" spans="1:51" x14ac:dyDescent="0.25">
      <c r="B7" s="120" t="s">
        <v>115</v>
      </c>
      <c r="C7" s="114" t="s">
        <v>1772</v>
      </c>
      <c r="D7" s="115" t="s">
        <v>18</v>
      </c>
      <c r="E7" s="115" t="s">
        <v>116</v>
      </c>
      <c r="F7" s="99">
        <v>11030850001</v>
      </c>
      <c r="G7" s="128" t="s">
        <v>20</v>
      </c>
      <c r="H7" s="116" t="s">
        <v>21</v>
      </c>
      <c r="I7" s="104">
        <v>-2610.9700000000048</v>
      </c>
      <c r="J7" s="117">
        <v>0</v>
      </c>
      <c r="K7" s="117">
        <v>1995.8</v>
      </c>
      <c r="L7" s="117">
        <f>IF(Tabela1[[#This Row],[SALDO PARCIAL PENDENTE]]-Tabela1[[#This Row],[1QZ DE FEV 26]]&lt;0,0,Tabela1[[#This Row],[SALDO PARCIAL PENDENTE]]-Tabela1[[#This Row],[1QZ DE FEV 26]])</f>
        <v>0</v>
      </c>
      <c r="M7" s="68">
        <v>2000</v>
      </c>
      <c r="N7" s="117">
        <v>2</v>
      </c>
      <c r="O7" s="69"/>
      <c r="P7" s="118">
        <f>Tabela1[[#This Row],[2QZ DE JAN 26]]-Tabela1[[#This Row],[SALDO PENDENTE FINAL]]-Tabela1[[#This Row],[SALDO CARTAO]]-Tabela1[[#This Row],[ADIANTAMENTO]]</f>
        <v>1998</v>
      </c>
      <c r="Q7" s="102"/>
      <c r="R7" s="130">
        <f>IF(Tabela1[[#This Row],[CARGA PARCIAL]]&lt;0,0,Tabela1[[#This Row],[CARGA PARCIAL]])+Tabela1[[#This Row],[REEMBOLSO]]</f>
        <v>1998</v>
      </c>
      <c r="S7" s="129" t="s">
        <v>22</v>
      </c>
      <c r="T7" s="72"/>
      <c r="U7" s="38"/>
      <c r="AW7"/>
      <c r="AX7"/>
      <c r="AY7"/>
    </row>
    <row r="8" spans="1:51" x14ac:dyDescent="0.25">
      <c r="B8" s="120" t="s">
        <v>336</v>
      </c>
      <c r="C8" s="114" t="s">
        <v>1690</v>
      </c>
      <c r="D8" s="115" t="s">
        <v>18</v>
      </c>
      <c r="E8" s="115" t="s">
        <v>309</v>
      </c>
      <c r="F8" s="71">
        <v>11030820001</v>
      </c>
      <c r="G8" s="115" t="s">
        <v>136</v>
      </c>
      <c r="H8" s="116" t="s">
        <v>137</v>
      </c>
      <c r="I8" s="104">
        <v>-2563.5100000000093</v>
      </c>
      <c r="J8" s="117">
        <v>0</v>
      </c>
      <c r="K8" s="117">
        <v>973.61</v>
      </c>
      <c r="L8" s="117">
        <f>IF(Tabela1[[#This Row],[SALDO PARCIAL PENDENTE]]-Tabela1[[#This Row],[1QZ DE FEV 26]]&lt;0,0,Tabela1[[#This Row],[SALDO PARCIAL PENDENTE]]-Tabela1[[#This Row],[1QZ DE FEV 26]])</f>
        <v>0</v>
      </c>
      <c r="M8" s="68">
        <v>2000</v>
      </c>
      <c r="N8" s="117">
        <v>6</v>
      </c>
      <c r="O8" s="69"/>
      <c r="P8" s="118">
        <f>Tabela1[[#This Row],[2QZ DE JAN 26]]-Tabela1[[#This Row],[SALDO PENDENTE FINAL]]-Tabela1[[#This Row],[SALDO CARTAO]]-Tabela1[[#This Row],[ADIANTAMENTO]]</f>
        <v>1994</v>
      </c>
      <c r="Q8" s="102"/>
      <c r="R8" s="130">
        <f>IF(Tabela1[[#This Row],[CARGA PARCIAL]]&lt;0,0,Tabela1[[#This Row],[CARGA PARCIAL]])+Tabela1[[#This Row],[REEMBOLSO]]</f>
        <v>1994</v>
      </c>
      <c r="S8" s="129" t="s">
        <v>22</v>
      </c>
      <c r="T8" s="69"/>
      <c r="U8" s="38"/>
      <c r="AW8"/>
      <c r="AX8"/>
      <c r="AY8"/>
    </row>
    <row r="9" spans="1:51" x14ac:dyDescent="0.25">
      <c r="B9" s="120" t="s">
        <v>1798</v>
      </c>
      <c r="C9" s="114" t="s">
        <v>1537</v>
      </c>
      <c r="D9" s="115" t="s">
        <v>18</v>
      </c>
      <c r="E9" s="115" t="s">
        <v>19</v>
      </c>
      <c r="F9" s="71">
        <v>11030290001</v>
      </c>
      <c r="G9" s="115" t="s">
        <v>20</v>
      </c>
      <c r="H9" s="116" t="s">
        <v>21</v>
      </c>
      <c r="I9" s="104">
        <v>-2144.1999999999971</v>
      </c>
      <c r="J9" s="117">
        <v>0</v>
      </c>
      <c r="K9" s="117">
        <v>0</v>
      </c>
      <c r="L9" s="117">
        <f>IF(Tabela1[[#This Row],[SALDO PARCIAL PENDENTE]]-Tabela1[[#This Row],[1QZ DE FEV 26]]&lt;0,0,Tabela1[[#This Row],[SALDO PARCIAL PENDENTE]]-Tabela1[[#This Row],[1QZ DE FEV 26]])</f>
        <v>0</v>
      </c>
      <c r="M9" s="68">
        <v>4000</v>
      </c>
      <c r="N9" s="117">
        <v>2</v>
      </c>
      <c r="O9" s="69"/>
      <c r="P9" s="118">
        <f>Tabela1[[#This Row],[2QZ DE JAN 26]]-Tabela1[[#This Row],[SALDO PENDENTE FINAL]]-Tabela1[[#This Row],[SALDO CARTAO]]-Tabela1[[#This Row],[ADIANTAMENTO]]</f>
        <v>3998</v>
      </c>
      <c r="Q9" s="102"/>
      <c r="R9" s="130">
        <f>IF(Tabela1[[#This Row],[CARGA PARCIAL]]&lt;0,0,Tabela1[[#This Row],[CARGA PARCIAL]])+Tabela1[[#This Row],[REEMBOLSO]]</f>
        <v>3998</v>
      </c>
      <c r="S9" s="129" t="s">
        <v>22</v>
      </c>
      <c r="T9" s="69"/>
      <c r="U9" s="38"/>
      <c r="AW9"/>
      <c r="AX9"/>
      <c r="AY9"/>
    </row>
    <row r="10" spans="1:51" x14ac:dyDescent="0.25">
      <c r="B10" s="120" t="s">
        <v>730</v>
      </c>
      <c r="C10" s="114" t="s">
        <v>731</v>
      </c>
      <c r="D10" s="115" t="s">
        <v>18</v>
      </c>
      <c r="E10" s="115" t="s">
        <v>187</v>
      </c>
      <c r="F10" s="71">
        <v>11030870001</v>
      </c>
      <c r="G10" s="115" t="s">
        <v>78</v>
      </c>
      <c r="H10" s="116" t="s">
        <v>21</v>
      </c>
      <c r="I10" s="104">
        <v>-2140.3600000000042</v>
      </c>
      <c r="J10" s="117">
        <v>0</v>
      </c>
      <c r="K10" s="117">
        <v>457</v>
      </c>
      <c r="L10" s="117">
        <f>IF(Tabela1[[#This Row],[SALDO PARCIAL PENDENTE]]-Tabela1[[#This Row],[1QZ DE FEV 26]]&lt;0,0,Tabela1[[#This Row],[SALDO PARCIAL PENDENTE]]-Tabela1[[#This Row],[1QZ DE FEV 26]])</f>
        <v>0</v>
      </c>
      <c r="M10" s="68">
        <v>500</v>
      </c>
      <c r="N10" s="117">
        <v>43</v>
      </c>
      <c r="O10" s="69"/>
      <c r="P10" s="118">
        <f>Tabela1[[#This Row],[2QZ DE JAN 26]]-Tabela1[[#This Row],[SALDO PENDENTE FINAL]]-Tabela1[[#This Row],[SALDO CARTAO]]-Tabela1[[#This Row],[ADIANTAMENTO]]</f>
        <v>457</v>
      </c>
      <c r="Q10" s="102"/>
      <c r="R10" s="130">
        <f>IF(Tabela1[[#This Row],[CARGA PARCIAL]]&lt;0,0,Tabela1[[#This Row],[CARGA PARCIAL]])+Tabela1[[#This Row],[REEMBOLSO]]</f>
        <v>457</v>
      </c>
      <c r="S10" s="129" t="s">
        <v>22</v>
      </c>
      <c r="T10" s="69"/>
      <c r="U10" s="38"/>
      <c r="AW10"/>
      <c r="AX10"/>
      <c r="AY10"/>
    </row>
    <row r="11" spans="1:51" x14ac:dyDescent="0.25">
      <c r="B11" s="120" t="s">
        <v>402</v>
      </c>
      <c r="C11" s="114" t="s">
        <v>403</v>
      </c>
      <c r="D11" s="115" t="s">
        <v>18</v>
      </c>
      <c r="E11" s="123" t="s">
        <v>124</v>
      </c>
      <c r="F11" s="71">
        <v>11030750001</v>
      </c>
      <c r="G11" s="115" t="s">
        <v>65</v>
      </c>
      <c r="H11" s="116" t="s">
        <v>31</v>
      </c>
      <c r="I11" s="104">
        <v>-2117.1300000000265</v>
      </c>
      <c r="J11" s="117">
        <v>0</v>
      </c>
      <c r="K11" s="117">
        <v>0</v>
      </c>
      <c r="L11" s="117">
        <f>IF(Tabela1[[#This Row],[SALDO PARCIAL PENDENTE]]-Tabela1[[#This Row],[1QZ DE FEV 26]]&lt;0,0,Tabela1[[#This Row],[SALDO PARCIAL PENDENTE]]-Tabela1[[#This Row],[1QZ DE FEV 26]])</f>
        <v>0</v>
      </c>
      <c r="M11" s="68">
        <v>4000</v>
      </c>
      <c r="N11" s="117">
        <v>0</v>
      </c>
      <c r="O11" s="69"/>
      <c r="P11" s="118">
        <f>Tabela1[[#This Row],[2QZ DE JAN 26]]-Tabela1[[#This Row],[SALDO PENDENTE FINAL]]-Tabela1[[#This Row],[SALDO CARTAO]]-Tabela1[[#This Row],[ADIANTAMENTO]]</f>
        <v>4000</v>
      </c>
      <c r="Q11" s="102"/>
      <c r="R11" s="130">
        <f>IF(Tabela1[[#This Row],[CARGA PARCIAL]]&lt;0,0,Tabela1[[#This Row],[CARGA PARCIAL]])+Tabela1[[#This Row],[REEMBOLSO]]</f>
        <v>4000</v>
      </c>
      <c r="S11" s="129" t="s">
        <v>22</v>
      </c>
      <c r="T11" s="72"/>
      <c r="U11" s="38"/>
      <c r="AW11"/>
      <c r="AX11"/>
      <c r="AY11"/>
    </row>
    <row r="12" spans="1:51" x14ac:dyDescent="0.25">
      <c r="B12" s="120" t="s">
        <v>559</v>
      </c>
      <c r="C12" s="114" t="s">
        <v>560</v>
      </c>
      <c r="D12" s="115" t="s">
        <v>18</v>
      </c>
      <c r="E12" s="115" t="s">
        <v>561</v>
      </c>
      <c r="F12" s="71">
        <v>11030700001</v>
      </c>
      <c r="G12" s="115" t="s">
        <v>30</v>
      </c>
      <c r="H12" s="116" t="s">
        <v>31</v>
      </c>
      <c r="I12" s="104">
        <v>-2017.5099999999879</v>
      </c>
      <c r="J12" s="117">
        <v>0</v>
      </c>
      <c r="K12" s="117">
        <v>2237.4299999999998</v>
      </c>
      <c r="L12" s="117">
        <f>IF(Tabela1[[#This Row],[SALDO PARCIAL PENDENTE]]-Tabela1[[#This Row],[1QZ DE FEV 26]]&lt;0,0,Tabela1[[#This Row],[SALDO PARCIAL PENDENTE]]-Tabela1[[#This Row],[1QZ DE FEV 26]])</f>
        <v>0</v>
      </c>
      <c r="M12" s="68">
        <v>1840</v>
      </c>
      <c r="N12" s="117">
        <v>1573.73</v>
      </c>
      <c r="O12" s="69"/>
      <c r="P12" s="118">
        <f>Tabela1[[#This Row],[2QZ DE JAN 26]]-Tabela1[[#This Row],[SALDO PENDENTE FINAL]]-Tabela1[[#This Row],[SALDO CARTAO]]-Tabela1[[#This Row],[ADIANTAMENTO]]</f>
        <v>266.27</v>
      </c>
      <c r="Q12" s="102"/>
      <c r="R12" s="130">
        <f>IF(Tabela1[[#This Row],[CARGA PARCIAL]]&lt;0,0,Tabela1[[#This Row],[CARGA PARCIAL]])+Tabela1[[#This Row],[REEMBOLSO]]</f>
        <v>266.27</v>
      </c>
      <c r="S12" s="129" t="s">
        <v>22</v>
      </c>
      <c r="T12" s="69"/>
      <c r="U12" s="38"/>
      <c r="AW12"/>
      <c r="AX12"/>
      <c r="AY12"/>
    </row>
    <row r="13" spans="1:51" x14ac:dyDescent="0.25">
      <c r="B13" s="120" t="s">
        <v>333</v>
      </c>
      <c r="C13" s="114" t="s">
        <v>1803</v>
      </c>
      <c r="D13" s="115" t="s">
        <v>18</v>
      </c>
      <c r="E13" s="123" t="s">
        <v>334</v>
      </c>
      <c r="F13" s="71">
        <v>11030770001</v>
      </c>
      <c r="G13" s="115" t="s">
        <v>24</v>
      </c>
      <c r="H13" s="116" t="s">
        <v>21</v>
      </c>
      <c r="I13" s="104">
        <v>-1827.0500000000175</v>
      </c>
      <c r="J13" s="117">
        <v>0</v>
      </c>
      <c r="K13" s="117">
        <v>1914</v>
      </c>
      <c r="L13" s="117">
        <f>IF(Tabela1[[#This Row],[SALDO PARCIAL PENDENTE]]-Tabela1[[#This Row],[1QZ DE FEV 26]]&lt;0,0,Tabela1[[#This Row],[SALDO PARCIAL PENDENTE]]-Tabela1[[#This Row],[1QZ DE FEV 26]])</f>
        <v>0</v>
      </c>
      <c r="M13" s="68">
        <v>2000</v>
      </c>
      <c r="N13" s="117">
        <v>36</v>
      </c>
      <c r="O13" s="69"/>
      <c r="P13" s="118">
        <f>Tabela1[[#This Row],[2QZ DE JAN 26]]-Tabela1[[#This Row],[SALDO PENDENTE FINAL]]-Tabela1[[#This Row],[SALDO CARTAO]]-Tabela1[[#This Row],[ADIANTAMENTO]]</f>
        <v>1964</v>
      </c>
      <c r="Q13" s="102"/>
      <c r="R13" s="130">
        <f>IF(Tabela1[[#This Row],[CARGA PARCIAL]]&lt;0,0,Tabela1[[#This Row],[CARGA PARCIAL]])+Tabela1[[#This Row],[REEMBOLSO]]</f>
        <v>1964</v>
      </c>
      <c r="S13" s="129" t="s">
        <v>22</v>
      </c>
      <c r="T13" s="72"/>
      <c r="U13" s="38"/>
      <c r="AW13"/>
      <c r="AX13"/>
      <c r="AY13"/>
    </row>
    <row r="14" spans="1:51" x14ac:dyDescent="0.25">
      <c r="B14" s="120" t="s">
        <v>606</v>
      </c>
      <c r="C14" s="114" t="s">
        <v>607</v>
      </c>
      <c r="D14" s="115" t="s">
        <v>18</v>
      </c>
      <c r="E14" s="123" t="s">
        <v>381</v>
      </c>
      <c r="F14" s="71">
        <v>11030830001</v>
      </c>
      <c r="G14" s="115" t="s">
        <v>65</v>
      </c>
      <c r="H14" s="116" t="s">
        <v>31</v>
      </c>
      <c r="I14" s="104">
        <v>-1525.0999999998842</v>
      </c>
      <c r="J14" s="117">
        <v>0</v>
      </c>
      <c r="K14" s="117">
        <v>3999.24</v>
      </c>
      <c r="L14" s="117">
        <f>IF(Tabela1[[#This Row],[SALDO PARCIAL PENDENTE]]-Tabela1[[#This Row],[1QZ DE FEV 26]]&lt;0,0,Tabela1[[#This Row],[SALDO PARCIAL PENDENTE]]-Tabela1[[#This Row],[1QZ DE FEV 26]])</f>
        <v>0</v>
      </c>
      <c r="M14" s="68">
        <v>3000</v>
      </c>
      <c r="N14" s="117">
        <v>704.99</v>
      </c>
      <c r="O14" s="69"/>
      <c r="P14" s="118">
        <f>Tabela1[[#This Row],[2QZ DE JAN 26]]-Tabela1[[#This Row],[SALDO PENDENTE FINAL]]-Tabela1[[#This Row],[SALDO CARTAO]]-Tabela1[[#This Row],[ADIANTAMENTO]]</f>
        <v>2295.0100000000002</v>
      </c>
      <c r="Q14" s="102"/>
      <c r="R14" s="130">
        <f>IF(Tabela1[[#This Row],[CARGA PARCIAL]]&lt;0,0,Tabela1[[#This Row],[CARGA PARCIAL]])+Tabela1[[#This Row],[REEMBOLSO]]</f>
        <v>2295.0100000000002</v>
      </c>
      <c r="S14" s="129" t="s">
        <v>22</v>
      </c>
      <c r="T14" s="72"/>
      <c r="U14" s="38"/>
      <c r="AW14"/>
      <c r="AX14"/>
      <c r="AY14"/>
    </row>
    <row r="15" spans="1:51" x14ac:dyDescent="0.25">
      <c r="B15" s="120" t="s">
        <v>454</v>
      </c>
      <c r="C15" s="114" t="s">
        <v>455</v>
      </c>
      <c r="D15" s="115" t="s">
        <v>18</v>
      </c>
      <c r="E15" s="115" t="s">
        <v>187</v>
      </c>
      <c r="F15" s="71">
        <v>11030870001</v>
      </c>
      <c r="G15" s="123" t="s">
        <v>78</v>
      </c>
      <c r="H15" s="116" t="s">
        <v>21</v>
      </c>
      <c r="I15" s="104">
        <v>-1444.05</v>
      </c>
      <c r="J15" s="117">
        <v>0</v>
      </c>
      <c r="K15" s="117">
        <v>6353.14</v>
      </c>
      <c r="L15" s="117">
        <f>IF(Tabela1[[#This Row],[SALDO PARCIAL PENDENTE]]-Tabela1[[#This Row],[1QZ DE FEV 26]]&lt;0,0,Tabela1[[#This Row],[SALDO PARCIAL PENDENTE]]-Tabela1[[#This Row],[1QZ DE FEV 26]])</f>
        <v>0</v>
      </c>
      <c r="M15" s="68">
        <v>500</v>
      </c>
      <c r="N15" s="117">
        <v>21.14</v>
      </c>
      <c r="O15" s="69"/>
      <c r="P15" s="118">
        <f>Tabela1[[#This Row],[2QZ DE JAN 26]]-Tabela1[[#This Row],[SALDO PENDENTE FINAL]]-Tabela1[[#This Row],[SALDO CARTAO]]-Tabela1[[#This Row],[ADIANTAMENTO]]</f>
        <v>478.86</v>
      </c>
      <c r="Q15" s="119"/>
      <c r="R15" s="130">
        <f>IF(Tabela1[[#This Row],[CARGA PARCIAL]]&lt;0,0,Tabela1[[#This Row],[CARGA PARCIAL]])+Tabela1[[#This Row],[REEMBOLSO]]</f>
        <v>478.86</v>
      </c>
      <c r="S15" s="129" t="s">
        <v>22</v>
      </c>
      <c r="T15" s="69"/>
      <c r="U15" s="38"/>
      <c r="AW15"/>
      <c r="AX15"/>
      <c r="AY15"/>
    </row>
    <row r="16" spans="1:51" x14ac:dyDescent="0.25">
      <c r="B16" s="120" t="s">
        <v>463</v>
      </c>
      <c r="C16" s="114" t="s">
        <v>464</v>
      </c>
      <c r="D16" s="115" t="s">
        <v>18</v>
      </c>
      <c r="E16" s="115" t="s">
        <v>465</v>
      </c>
      <c r="F16" s="71">
        <v>11030900001</v>
      </c>
      <c r="G16" s="127" t="s">
        <v>24</v>
      </c>
      <c r="H16" s="116" t="s">
        <v>21</v>
      </c>
      <c r="I16" s="104">
        <v>-1168.3699999999997</v>
      </c>
      <c r="J16" s="117">
        <v>0</v>
      </c>
      <c r="K16" s="117">
        <v>1937.6399999999999</v>
      </c>
      <c r="L16" s="117">
        <f>IF(Tabela1[[#This Row],[SALDO PARCIAL PENDENTE]]-Tabela1[[#This Row],[1QZ DE FEV 26]]&lt;0,0,Tabela1[[#This Row],[SALDO PARCIAL PENDENTE]]-Tabela1[[#This Row],[1QZ DE FEV 26]])</f>
        <v>0</v>
      </c>
      <c r="M16" s="68">
        <v>1000</v>
      </c>
      <c r="N16" s="117">
        <v>14.97</v>
      </c>
      <c r="O16" s="69"/>
      <c r="P16" s="118">
        <f>Tabela1[[#This Row],[2QZ DE JAN 26]]-Tabela1[[#This Row],[SALDO PENDENTE FINAL]]-Tabela1[[#This Row],[SALDO CARTAO]]-Tabela1[[#This Row],[ADIANTAMENTO]]</f>
        <v>985.03</v>
      </c>
      <c r="Q16" s="119"/>
      <c r="R16" s="130">
        <f>IF(Tabela1[[#This Row],[CARGA PARCIAL]]&lt;0,0,Tabela1[[#This Row],[CARGA PARCIAL]])+Tabela1[[#This Row],[REEMBOLSO]]</f>
        <v>985.03</v>
      </c>
      <c r="S16" s="129" t="s">
        <v>22</v>
      </c>
      <c r="T16" s="69"/>
      <c r="U16" s="38"/>
      <c r="AW16"/>
      <c r="AX16"/>
      <c r="AY16"/>
    </row>
    <row r="17" spans="2:51" x14ac:dyDescent="0.25">
      <c r="B17" s="121" t="s">
        <v>379</v>
      </c>
      <c r="C17" s="122" t="s">
        <v>1619</v>
      </c>
      <c r="D17" s="115" t="s">
        <v>18</v>
      </c>
      <c r="E17" s="123" t="s">
        <v>187</v>
      </c>
      <c r="F17" s="71">
        <v>11030870001</v>
      </c>
      <c r="G17" s="123" t="s">
        <v>78</v>
      </c>
      <c r="H17" s="124" t="s">
        <v>21</v>
      </c>
      <c r="I17" s="104">
        <v>-1144.4999999999982</v>
      </c>
      <c r="J17" s="117">
        <v>0</v>
      </c>
      <c r="K17" s="117">
        <v>994</v>
      </c>
      <c r="L17" s="117">
        <f>IF(Tabela1[[#This Row],[SALDO PARCIAL PENDENTE]]-Tabela1[[#This Row],[1QZ DE FEV 26]]&lt;0,0,Tabela1[[#This Row],[SALDO PARCIAL PENDENTE]]-Tabela1[[#This Row],[1QZ DE FEV 26]])</f>
        <v>0</v>
      </c>
      <c r="M17" s="68">
        <v>1000</v>
      </c>
      <c r="N17" s="117">
        <v>6</v>
      </c>
      <c r="O17" s="72"/>
      <c r="P17" s="125">
        <f>Tabela1[[#This Row],[2QZ DE JAN 26]]-Tabela1[[#This Row],[SALDO PENDENTE FINAL]]-Tabela1[[#This Row],[SALDO CARTAO]]-Tabela1[[#This Row],[ADIANTAMENTO]]</f>
        <v>994</v>
      </c>
      <c r="Q17" s="126"/>
      <c r="R17" s="130">
        <f>IF(Tabela1[[#This Row],[CARGA PARCIAL]]&lt;0,0,Tabela1[[#This Row],[CARGA PARCIAL]])+Tabela1[[#This Row],[REEMBOLSO]]</f>
        <v>994</v>
      </c>
      <c r="S17" s="129" t="s">
        <v>22</v>
      </c>
      <c r="T17" s="72"/>
      <c r="U17" s="38"/>
      <c r="AW17"/>
      <c r="AX17"/>
      <c r="AY17"/>
    </row>
    <row r="18" spans="2:51" x14ac:dyDescent="0.25">
      <c r="B18" s="121" t="s">
        <v>167</v>
      </c>
      <c r="C18" s="122" t="s">
        <v>1528</v>
      </c>
      <c r="D18" s="115" t="s">
        <v>18</v>
      </c>
      <c r="E18" s="123" t="s">
        <v>29</v>
      </c>
      <c r="F18" s="71">
        <v>11030860001</v>
      </c>
      <c r="G18" s="123" t="s">
        <v>30</v>
      </c>
      <c r="H18" s="124" t="s">
        <v>31</v>
      </c>
      <c r="I18" s="104">
        <v>-1119.3200000000015</v>
      </c>
      <c r="J18" s="117">
        <v>0</v>
      </c>
      <c r="K18" s="117">
        <v>0</v>
      </c>
      <c r="L18" s="117">
        <f>IF(Tabela1[[#This Row],[SALDO PARCIAL PENDENTE]]-Tabela1[[#This Row],[1QZ DE FEV 26]]&lt;0,0,Tabela1[[#This Row],[SALDO PARCIAL PENDENTE]]-Tabela1[[#This Row],[1QZ DE FEV 26]])</f>
        <v>0</v>
      </c>
      <c r="M18" s="68">
        <v>1000</v>
      </c>
      <c r="N18" s="117">
        <v>3</v>
      </c>
      <c r="O18" s="72"/>
      <c r="P18" s="125">
        <f>Tabela1[[#This Row],[2QZ DE JAN 26]]-Tabela1[[#This Row],[SALDO PENDENTE FINAL]]-Tabela1[[#This Row],[SALDO CARTAO]]-Tabela1[[#This Row],[ADIANTAMENTO]]</f>
        <v>997</v>
      </c>
      <c r="Q18" s="126"/>
      <c r="R18" s="130">
        <f>IF(Tabela1[[#This Row],[CARGA PARCIAL]]&lt;0,0,Tabela1[[#This Row],[CARGA PARCIAL]])+Tabela1[[#This Row],[REEMBOLSO]]</f>
        <v>997</v>
      </c>
      <c r="S18" s="129" t="s">
        <v>22</v>
      </c>
      <c r="T18" s="72"/>
      <c r="U18" s="38"/>
      <c r="AW18"/>
      <c r="AX18"/>
      <c r="AY18"/>
    </row>
    <row r="19" spans="2:51" x14ac:dyDescent="0.25">
      <c r="B19" s="121" t="s">
        <v>697</v>
      </c>
      <c r="C19" s="122" t="s">
        <v>698</v>
      </c>
      <c r="D19" s="115" t="s">
        <v>18</v>
      </c>
      <c r="E19" s="123" t="s">
        <v>317</v>
      </c>
      <c r="F19" s="71">
        <v>11030620001</v>
      </c>
      <c r="G19" s="123" t="s">
        <v>34</v>
      </c>
      <c r="H19" s="124" t="s">
        <v>31</v>
      </c>
      <c r="I19" s="104">
        <v>-956.77999999999918</v>
      </c>
      <c r="J19" s="117">
        <v>0</v>
      </c>
      <c r="K19" s="117">
        <v>0</v>
      </c>
      <c r="L19" s="117">
        <f>IF(Tabela1[[#This Row],[SALDO PARCIAL PENDENTE]]-Tabela1[[#This Row],[1QZ DE FEV 26]]&lt;0,0,Tabela1[[#This Row],[SALDO PARCIAL PENDENTE]]-Tabela1[[#This Row],[1QZ DE FEV 26]])</f>
        <v>0</v>
      </c>
      <c r="M19" s="68">
        <v>800</v>
      </c>
      <c r="N19" s="117">
        <v>29.32</v>
      </c>
      <c r="O19" s="72"/>
      <c r="P19" s="125">
        <f>Tabela1[[#This Row],[2QZ DE JAN 26]]-Tabela1[[#This Row],[SALDO PENDENTE FINAL]]-Tabela1[[#This Row],[SALDO CARTAO]]-Tabela1[[#This Row],[ADIANTAMENTO]]</f>
        <v>770.68</v>
      </c>
      <c r="Q19" s="126"/>
      <c r="R19" s="130">
        <f>IF(Tabela1[[#This Row],[CARGA PARCIAL]]&lt;0,0,Tabela1[[#This Row],[CARGA PARCIAL]])+Tabela1[[#This Row],[REEMBOLSO]]</f>
        <v>770.68</v>
      </c>
      <c r="S19" s="129" t="s">
        <v>22</v>
      </c>
      <c r="T19" s="72"/>
      <c r="U19" s="38"/>
      <c r="AW19"/>
      <c r="AX19"/>
      <c r="AY19"/>
    </row>
    <row r="20" spans="2:51" x14ac:dyDescent="0.25">
      <c r="B20" s="120" t="s">
        <v>194</v>
      </c>
      <c r="C20" s="114" t="s">
        <v>1675</v>
      </c>
      <c r="D20" s="115" t="s">
        <v>18</v>
      </c>
      <c r="E20" s="115" t="s">
        <v>195</v>
      </c>
      <c r="F20" s="71">
        <v>11062270001</v>
      </c>
      <c r="G20" s="123" t="s">
        <v>24</v>
      </c>
      <c r="H20" s="116" t="s">
        <v>21</v>
      </c>
      <c r="I20" s="104">
        <v>-867.12000000002558</v>
      </c>
      <c r="J20" s="117">
        <v>0</v>
      </c>
      <c r="K20" s="117">
        <v>1898.53</v>
      </c>
      <c r="L20" s="117">
        <f>IF(Tabela1[[#This Row],[SALDO PARCIAL PENDENTE]]-Tabela1[[#This Row],[1QZ DE FEV 26]]&lt;0,0,Tabela1[[#This Row],[SALDO PARCIAL PENDENTE]]-Tabela1[[#This Row],[1QZ DE FEV 26]])</f>
        <v>0</v>
      </c>
      <c r="M20" s="68">
        <v>1500</v>
      </c>
      <c r="N20" s="117">
        <v>0.53</v>
      </c>
      <c r="O20" s="69"/>
      <c r="P20" s="118">
        <f>Tabela1[[#This Row],[2QZ DE JAN 26]]-Tabela1[[#This Row],[SALDO PENDENTE FINAL]]-Tabela1[[#This Row],[SALDO CARTAO]]-Tabela1[[#This Row],[ADIANTAMENTO]]</f>
        <v>1499.47</v>
      </c>
      <c r="Q20" s="119"/>
      <c r="R20" s="130">
        <f>IF(Tabela1[[#This Row],[CARGA PARCIAL]]&lt;0,0,Tabela1[[#This Row],[CARGA PARCIAL]])+Tabela1[[#This Row],[REEMBOLSO]]</f>
        <v>1499.47</v>
      </c>
      <c r="S20" s="129" t="s">
        <v>22</v>
      </c>
      <c r="T20" s="69"/>
      <c r="U20" s="38"/>
      <c r="AW20"/>
      <c r="AX20"/>
      <c r="AY20"/>
    </row>
    <row r="21" spans="2:51" x14ac:dyDescent="0.25">
      <c r="B21" s="121" t="s">
        <v>700</v>
      </c>
      <c r="C21" s="122" t="s">
        <v>701</v>
      </c>
      <c r="D21" s="115" t="s">
        <v>18</v>
      </c>
      <c r="E21" s="123" t="s">
        <v>49</v>
      </c>
      <c r="F21" s="71">
        <v>11040160001</v>
      </c>
      <c r="G21" s="127" t="s">
        <v>27</v>
      </c>
      <c r="H21" s="124" t="s">
        <v>137</v>
      </c>
      <c r="I21" s="104">
        <v>-830.87000000000023</v>
      </c>
      <c r="J21" s="117">
        <v>0</v>
      </c>
      <c r="K21" s="117">
        <v>64.69999999999979</v>
      </c>
      <c r="L21" s="117">
        <f>IF(Tabela1[[#This Row],[SALDO PARCIAL PENDENTE]]-Tabela1[[#This Row],[1QZ DE FEV 26]]&lt;0,0,Tabela1[[#This Row],[SALDO PARCIAL PENDENTE]]-Tabela1[[#This Row],[1QZ DE FEV 26]])</f>
        <v>0</v>
      </c>
      <c r="M21" s="68">
        <v>500</v>
      </c>
      <c r="N21" s="117">
        <v>11.11</v>
      </c>
      <c r="O21" s="72"/>
      <c r="P21" s="125">
        <f>Tabela1[[#This Row],[2QZ DE JAN 26]]-Tabela1[[#This Row],[SALDO PENDENTE FINAL]]-Tabela1[[#This Row],[SALDO CARTAO]]-Tabela1[[#This Row],[ADIANTAMENTO]]</f>
        <v>488.89</v>
      </c>
      <c r="Q21" s="126"/>
      <c r="R21" s="130">
        <f>IF(Tabela1[[#This Row],[CARGA PARCIAL]]&lt;0,0,Tabela1[[#This Row],[CARGA PARCIAL]])+Tabela1[[#This Row],[REEMBOLSO]]</f>
        <v>488.89</v>
      </c>
      <c r="S21" s="129" t="s">
        <v>22</v>
      </c>
      <c r="T21" s="72"/>
      <c r="U21" s="38"/>
      <c r="AW21"/>
      <c r="AX21"/>
      <c r="AY21"/>
    </row>
    <row r="22" spans="2:51" x14ac:dyDescent="0.25">
      <c r="B22" s="121" t="s">
        <v>260</v>
      </c>
      <c r="C22" s="122" t="s">
        <v>1516</v>
      </c>
      <c r="D22" s="115" t="s">
        <v>18</v>
      </c>
      <c r="E22" s="123" t="s">
        <v>197</v>
      </c>
      <c r="F22" s="71">
        <v>11061770001</v>
      </c>
      <c r="G22" s="123" t="s">
        <v>34</v>
      </c>
      <c r="H22" s="124" t="s">
        <v>31</v>
      </c>
      <c r="I22" s="104">
        <v>-794.34999999999786</v>
      </c>
      <c r="J22" s="117">
        <v>0</v>
      </c>
      <c r="K22" s="117">
        <v>3628.96</v>
      </c>
      <c r="L22" s="117">
        <f>IF(Tabela1[[#This Row],[SALDO PARCIAL PENDENTE]]-Tabela1[[#This Row],[1QZ DE FEV 26]]&lt;0,0,Tabela1[[#This Row],[SALDO PARCIAL PENDENTE]]-Tabela1[[#This Row],[1QZ DE FEV 26]])</f>
        <v>0</v>
      </c>
      <c r="M22" s="68">
        <v>1000</v>
      </c>
      <c r="N22" s="117">
        <v>1734.86</v>
      </c>
      <c r="O22" s="72"/>
      <c r="P22" s="125">
        <f>Tabela1[[#This Row],[2QZ DE JAN 26]]-Tabela1[[#This Row],[SALDO PENDENTE FINAL]]-Tabela1[[#This Row],[SALDO CARTAO]]-Tabela1[[#This Row],[ADIANTAMENTO]]</f>
        <v>-734.8599999999999</v>
      </c>
      <c r="Q22" s="126"/>
      <c r="R22" s="130">
        <f>IF(Tabela1[[#This Row],[CARGA PARCIAL]]&lt;0,0,Tabela1[[#This Row],[CARGA PARCIAL]])+Tabela1[[#This Row],[REEMBOLSO]]</f>
        <v>0</v>
      </c>
      <c r="S22" s="129" t="s">
        <v>22</v>
      </c>
      <c r="T22" s="72"/>
      <c r="U22" s="38"/>
      <c r="AW22"/>
      <c r="AX22"/>
      <c r="AY22"/>
    </row>
    <row r="23" spans="2:51" x14ac:dyDescent="0.25">
      <c r="B23" s="121" t="s">
        <v>767</v>
      </c>
      <c r="C23" s="122" t="s">
        <v>768</v>
      </c>
      <c r="D23" s="115" t="s">
        <v>18</v>
      </c>
      <c r="E23" s="123" t="s">
        <v>55</v>
      </c>
      <c r="F23" s="71">
        <v>11062050001</v>
      </c>
      <c r="G23" s="123" t="s">
        <v>39</v>
      </c>
      <c r="H23" s="124" t="s">
        <v>31</v>
      </c>
      <c r="I23" s="104">
        <v>-727.90000000000089</v>
      </c>
      <c r="J23" s="117">
        <v>0</v>
      </c>
      <c r="K23" s="117">
        <v>982.9</v>
      </c>
      <c r="L23" s="117">
        <f>IF(Tabela1[[#This Row],[SALDO PARCIAL PENDENTE]]-Tabela1[[#This Row],[1QZ DE FEV 26]]&lt;0,0,Tabela1[[#This Row],[SALDO PARCIAL PENDENTE]]-Tabela1[[#This Row],[1QZ DE FEV 26]])</f>
        <v>0</v>
      </c>
      <c r="M23" s="68">
        <v>240</v>
      </c>
      <c r="N23" s="117">
        <v>967.9</v>
      </c>
      <c r="O23" s="72"/>
      <c r="P23" s="125">
        <f>Tabela1[[#This Row],[2QZ DE JAN 26]]-Tabela1[[#This Row],[SALDO PENDENTE FINAL]]-Tabela1[[#This Row],[SALDO CARTAO]]-Tabela1[[#This Row],[ADIANTAMENTO]]</f>
        <v>-727.9</v>
      </c>
      <c r="Q23" s="126"/>
      <c r="R23" s="130">
        <f>IF(Tabela1[[#This Row],[CARGA PARCIAL]]&lt;0,0,Tabela1[[#This Row],[CARGA PARCIAL]])+Tabela1[[#This Row],[REEMBOLSO]]</f>
        <v>0</v>
      </c>
      <c r="S23" s="129" t="s">
        <v>22</v>
      </c>
      <c r="T23" s="72"/>
      <c r="U23" s="38"/>
      <c r="AW23"/>
      <c r="AX23"/>
      <c r="AY23"/>
    </row>
    <row r="24" spans="2:51" x14ac:dyDescent="0.25">
      <c r="B24" s="120" t="s">
        <v>719</v>
      </c>
      <c r="C24" s="114" t="s">
        <v>720</v>
      </c>
      <c r="D24" s="115" t="s">
        <v>18</v>
      </c>
      <c r="E24" s="115" t="s">
        <v>721</v>
      </c>
      <c r="F24" s="71">
        <v>11061950001</v>
      </c>
      <c r="G24" s="123" t="s">
        <v>30</v>
      </c>
      <c r="H24" s="116" t="s">
        <v>31</v>
      </c>
      <c r="I24" s="104">
        <v>-705.06000000000017</v>
      </c>
      <c r="J24" s="117">
        <v>0</v>
      </c>
      <c r="K24" s="117">
        <v>0</v>
      </c>
      <c r="L24" s="117">
        <f>IF(Tabela1[[#This Row],[SALDO PARCIAL PENDENTE]]-Tabela1[[#This Row],[1QZ DE FEV 26]]&lt;0,0,Tabela1[[#This Row],[SALDO PARCIAL PENDENTE]]-Tabela1[[#This Row],[1QZ DE FEV 26]])</f>
        <v>0</v>
      </c>
      <c r="M24" s="68">
        <v>500</v>
      </c>
      <c r="N24" s="117">
        <v>21.51</v>
      </c>
      <c r="O24" s="69"/>
      <c r="P24" s="118">
        <f>Tabela1[[#This Row],[2QZ DE JAN 26]]-Tabela1[[#This Row],[SALDO PENDENTE FINAL]]-Tabela1[[#This Row],[SALDO CARTAO]]-Tabela1[[#This Row],[ADIANTAMENTO]]</f>
        <v>478.49</v>
      </c>
      <c r="Q24" s="119"/>
      <c r="R24" s="130">
        <f>IF(Tabela1[[#This Row],[CARGA PARCIAL]]&lt;0,0,Tabela1[[#This Row],[CARGA PARCIAL]])+Tabela1[[#This Row],[REEMBOLSO]]</f>
        <v>478.49</v>
      </c>
      <c r="S24" s="129" t="s">
        <v>22</v>
      </c>
      <c r="T24" s="69"/>
      <c r="U24" s="38"/>
      <c r="AW24"/>
      <c r="AX24"/>
      <c r="AY24"/>
    </row>
    <row r="25" spans="2:51" x14ac:dyDescent="0.25">
      <c r="B25" s="120" t="s">
        <v>516</v>
      </c>
      <c r="C25" s="114" t="s">
        <v>517</v>
      </c>
      <c r="D25" s="115" t="s">
        <v>18</v>
      </c>
      <c r="E25" s="115" t="s">
        <v>518</v>
      </c>
      <c r="F25" s="71">
        <v>11062650001</v>
      </c>
      <c r="G25" s="127" t="s">
        <v>24</v>
      </c>
      <c r="H25" s="116" t="s">
        <v>21</v>
      </c>
      <c r="I25" s="104">
        <v>-611.17000000001337</v>
      </c>
      <c r="J25" s="117">
        <v>0</v>
      </c>
      <c r="K25" s="117">
        <v>406.5</v>
      </c>
      <c r="L25" s="117">
        <f>IF(Tabela1[[#This Row],[SALDO PARCIAL PENDENTE]]-Tabela1[[#This Row],[1QZ DE FEV 26]]&lt;0,0,Tabela1[[#This Row],[SALDO PARCIAL PENDENTE]]-Tabela1[[#This Row],[1QZ DE FEV 26]])</f>
        <v>0</v>
      </c>
      <c r="M25" s="68">
        <v>1500</v>
      </c>
      <c r="N25" s="117">
        <v>65.64</v>
      </c>
      <c r="O25" s="69"/>
      <c r="P25" s="118">
        <f>Tabela1[[#This Row],[2QZ DE JAN 26]]-Tabela1[[#This Row],[SALDO PENDENTE FINAL]]-Tabela1[[#This Row],[SALDO CARTAO]]-Tabela1[[#This Row],[ADIANTAMENTO]]</f>
        <v>1434.36</v>
      </c>
      <c r="Q25" s="119"/>
      <c r="R25" s="130">
        <f>IF(Tabela1[[#This Row],[CARGA PARCIAL]]&lt;0,0,Tabela1[[#This Row],[CARGA PARCIAL]])+Tabela1[[#This Row],[REEMBOLSO]]</f>
        <v>1434.36</v>
      </c>
      <c r="S25" s="129" t="s">
        <v>22</v>
      </c>
      <c r="T25" s="69"/>
      <c r="U25" s="38"/>
      <c r="AW25"/>
      <c r="AX25"/>
      <c r="AY25"/>
    </row>
    <row r="26" spans="2:51" x14ac:dyDescent="0.25">
      <c r="B26" s="120" t="s">
        <v>206</v>
      </c>
      <c r="C26" s="114" t="s">
        <v>1677</v>
      </c>
      <c r="D26" s="115" t="s">
        <v>18</v>
      </c>
      <c r="E26" s="115" t="s">
        <v>43</v>
      </c>
      <c r="F26" s="71">
        <v>11030690001</v>
      </c>
      <c r="G26" s="127" t="s">
        <v>30</v>
      </c>
      <c r="H26" s="116" t="s">
        <v>31</v>
      </c>
      <c r="I26" s="104">
        <v>-577.81999999999607</v>
      </c>
      <c r="J26" s="117">
        <v>0</v>
      </c>
      <c r="K26" s="117">
        <v>0</v>
      </c>
      <c r="L26" s="117">
        <f>IF(Tabela1[[#This Row],[SALDO PARCIAL PENDENTE]]-Tabela1[[#This Row],[1QZ DE FEV 26]]&lt;0,0,Tabela1[[#This Row],[SALDO PARCIAL PENDENTE]]-Tabela1[[#This Row],[1QZ DE FEV 26]])</f>
        <v>0</v>
      </c>
      <c r="M26" s="68">
        <v>1600</v>
      </c>
      <c r="N26" s="117">
        <v>0</v>
      </c>
      <c r="O26" s="69"/>
      <c r="P26" s="118">
        <f>Tabela1[[#This Row],[2QZ DE JAN 26]]-Tabela1[[#This Row],[SALDO PENDENTE FINAL]]-Tabela1[[#This Row],[SALDO CARTAO]]-Tabela1[[#This Row],[ADIANTAMENTO]]</f>
        <v>1600</v>
      </c>
      <c r="Q26" s="119"/>
      <c r="R26" s="130">
        <f>IF(Tabela1[[#This Row],[CARGA PARCIAL]]&lt;0,0,Tabela1[[#This Row],[CARGA PARCIAL]])+Tabela1[[#This Row],[REEMBOLSO]]</f>
        <v>1600</v>
      </c>
      <c r="S26" s="129" t="s">
        <v>22</v>
      </c>
      <c r="T26" s="69"/>
      <c r="U26" s="38"/>
      <c r="AW26"/>
      <c r="AX26"/>
      <c r="AY26"/>
    </row>
    <row r="27" spans="2:51" x14ac:dyDescent="0.25">
      <c r="B27" s="121" t="s">
        <v>525</v>
      </c>
      <c r="C27" s="122" t="s">
        <v>526</v>
      </c>
      <c r="D27" s="115" t="s">
        <v>18</v>
      </c>
      <c r="E27" s="123" t="s">
        <v>81</v>
      </c>
      <c r="F27" s="71">
        <v>11061820001</v>
      </c>
      <c r="G27" s="127" t="s">
        <v>34</v>
      </c>
      <c r="H27" s="124" t="s">
        <v>31</v>
      </c>
      <c r="I27" s="104">
        <v>-524.50000000000034</v>
      </c>
      <c r="J27" s="117">
        <v>0</v>
      </c>
      <c r="K27" s="117">
        <v>1350.9</v>
      </c>
      <c r="L27" s="117">
        <f>IF(Tabela1[[#This Row],[SALDO PARCIAL PENDENTE]]-Tabela1[[#This Row],[1QZ DE FEV 26]]&lt;0,0,Tabela1[[#This Row],[SALDO PARCIAL PENDENTE]]-Tabela1[[#This Row],[1QZ DE FEV 26]])</f>
        <v>0</v>
      </c>
      <c r="M27" s="68">
        <v>500</v>
      </c>
      <c r="N27" s="117">
        <v>7.9</v>
      </c>
      <c r="O27" s="72"/>
      <c r="P27" s="125">
        <f>Tabela1[[#This Row],[2QZ DE JAN 26]]-Tabela1[[#This Row],[SALDO PENDENTE FINAL]]-Tabela1[[#This Row],[SALDO CARTAO]]-Tabela1[[#This Row],[ADIANTAMENTO]]</f>
        <v>492.1</v>
      </c>
      <c r="Q27" s="126"/>
      <c r="R27" s="130">
        <f>IF(Tabela1[[#This Row],[CARGA PARCIAL]]&lt;0,0,Tabela1[[#This Row],[CARGA PARCIAL]])+Tabela1[[#This Row],[REEMBOLSO]]</f>
        <v>492.1</v>
      </c>
      <c r="S27" s="129" t="s">
        <v>22</v>
      </c>
      <c r="T27" s="72"/>
      <c r="U27" s="38"/>
      <c r="AW27"/>
      <c r="AX27"/>
      <c r="AY27"/>
    </row>
    <row r="28" spans="2:51" x14ac:dyDescent="0.25">
      <c r="B28" s="120" t="s">
        <v>122</v>
      </c>
      <c r="C28" s="114" t="s">
        <v>1774</v>
      </c>
      <c r="D28" s="115" t="s">
        <v>18</v>
      </c>
      <c r="E28" s="115" t="s">
        <v>97</v>
      </c>
      <c r="F28" s="71">
        <v>11010370001</v>
      </c>
      <c r="G28" s="123" t="s">
        <v>30</v>
      </c>
      <c r="H28" s="116" t="s">
        <v>31</v>
      </c>
      <c r="I28" s="104">
        <v>-512.9399999999996</v>
      </c>
      <c r="J28" s="117">
        <v>0</v>
      </c>
      <c r="K28" s="117">
        <v>512.94000000000005</v>
      </c>
      <c r="L28" s="117">
        <f>IF(Tabela1[[#This Row],[SALDO PARCIAL PENDENTE]]-Tabela1[[#This Row],[1QZ DE FEV 26]]&lt;0,0,Tabela1[[#This Row],[SALDO PARCIAL PENDENTE]]-Tabela1[[#This Row],[1QZ DE FEV 26]])</f>
        <v>0</v>
      </c>
      <c r="M28" s="68">
        <v>700</v>
      </c>
      <c r="N28" s="117">
        <v>1464.45</v>
      </c>
      <c r="O28" s="69"/>
      <c r="P28" s="118">
        <f>Tabela1[[#This Row],[2QZ DE JAN 26]]-Tabela1[[#This Row],[SALDO PENDENTE FINAL]]-Tabela1[[#This Row],[SALDO CARTAO]]-Tabela1[[#This Row],[ADIANTAMENTO]]</f>
        <v>-764.45</v>
      </c>
      <c r="Q28" s="119"/>
      <c r="R28" s="130">
        <f>IF(Tabela1[[#This Row],[CARGA PARCIAL]]&lt;0,0,Tabela1[[#This Row],[CARGA PARCIAL]])+Tabela1[[#This Row],[REEMBOLSO]]</f>
        <v>0</v>
      </c>
      <c r="S28" s="129" t="s">
        <v>22</v>
      </c>
      <c r="T28" s="69"/>
      <c r="U28" s="38"/>
      <c r="AW28"/>
      <c r="AX28"/>
      <c r="AY28"/>
    </row>
    <row r="29" spans="2:51" x14ac:dyDescent="0.25">
      <c r="B29" s="120" t="s">
        <v>111</v>
      </c>
      <c r="C29" s="114" t="s">
        <v>1524</v>
      </c>
      <c r="D29" s="115" t="s">
        <v>18</v>
      </c>
      <c r="E29" s="115" t="s">
        <v>41</v>
      </c>
      <c r="F29" s="71">
        <v>11061490001</v>
      </c>
      <c r="G29" s="127" t="s">
        <v>24</v>
      </c>
      <c r="H29" s="116" t="s">
        <v>21</v>
      </c>
      <c r="I29" s="104">
        <v>-505.5900000000056</v>
      </c>
      <c r="J29" s="117">
        <v>0</v>
      </c>
      <c r="K29" s="117">
        <v>1992.75</v>
      </c>
      <c r="L29" s="117">
        <f>IF(Tabela1[[#This Row],[SALDO PARCIAL PENDENTE]]-Tabela1[[#This Row],[1QZ DE FEV 26]]&lt;0,0,Tabela1[[#This Row],[SALDO PARCIAL PENDENTE]]-Tabela1[[#This Row],[1QZ DE FEV 26]])</f>
        <v>0</v>
      </c>
      <c r="M29" s="68">
        <v>1000</v>
      </c>
      <c r="N29" s="117">
        <v>1.75</v>
      </c>
      <c r="O29" s="69"/>
      <c r="P29" s="118">
        <f>Tabela1[[#This Row],[2QZ DE JAN 26]]-Tabela1[[#This Row],[SALDO PENDENTE FINAL]]-Tabela1[[#This Row],[SALDO CARTAO]]-Tabela1[[#This Row],[ADIANTAMENTO]]</f>
        <v>998.25</v>
      </c>
      <c r="Q29" s="119"/>
      <c r="R29" s="130">
        <f>IF(Tabela1[[#This Row],[CARGA PARCIAL]]&lt;0,0,Tabela1[[#This Row],[CARGA PARCIAL]])+Tabela1[[#This Row],[REEMBOLSO]]</f>
        <v>998.25</v>
      </c>
      <c r="S29" s="129" t="s">
        <v>22</v>
      </c>
      <c r="T29" s="69"/>
      <c r="U29" s="38"/>
      <c r="AW29"/>
      <c r="AX29"/>
      <c r="AY29"/>
    </row>
    <row r="30" spans="2:51" x14ac:dyDescent="0.25">
      <c r="B30" s="121" t="s">
        <v>788</v>
      </c>
      <c r="C30" s="122" t="s">
        <v>789</v>
      </c>
      <c r="D30" s="115" t="s">
        <v>18</v>
      </c>
      <c r="E30" s="123" t="s">
        <v>46</v>
      </c>
      <c r="F30" s="71">
        <v>1104150001</v>
      </c>
      <c r="G30" s="127" t="s">
        <v>39</v>
      </c>
      <c r="H30" s="124" t="s">
        <v>31</v>
      </c>
      <c r="I30" s="104">
        <v>-425.93999999999733</v>
      </c>
      <c r="J30" s="117">
        <v>0</v>
      </c>
      <c r="K30" s="117">
        <v>4635.9399999999996</v>
      </c>
      <c r="L30" s="117">
        <f>IF(Tabela1[[#This Row],[SALDO PARCIAL PENDENTE]]-Tabela1[[#This Row],[1QZ DE FEV 26]]&lt;0,0,Tabela1[[#This Row],[SALDO PARCIAL PENDENTE]]-Tabela1[[#This Row],[1QZ DE FEV 26]])</f>
        <v>0</v>
      </c>
      <c r="M30" s="68">
        <v>5600</v>
      </c>
      <c r="N30" s="117">
        <v>2975.94</v>
      </c>
      <c r="O30" s="72"/>
      <c r="P30" s="125">
        <f>Tabela1[[#This Row],[2QZ DE JAN 26]]-Tabela1[[#This Row],[SALDO PENDENTE FINAL]]-Tabela1[[#This Row],[SALDO CARTAO]]-Tabela1[[#This Row],[ADIANTAMENTO]]</f>
        <v>2624.06</v>
      </c>
      <c r="Q30" s="126"/>
      <c r="R30" s="130">
        <f>IF(Tabela1[[#This Row],[CARGA PARCIAL]]&lt;0,0,Tabela1[[#This Row],[CARGA PARCIAL]])+Tabela1[[#This Row],[REEMBOLSO]]</f>
        <v>2624.06</v>
      </c>
      <c r="S30" s="129" t="s">
        <v>22</v>
      </c>
      <c r="T30" s="72"/>
      <c r="U30" s="38"/>
      <c r="AW30"/>
      <c r="AX30"/>
      <c r="AY30"/>
    </row>
    <row r="31" spans="2:51" x14ac:dyDescent="0.25">
      <c r="B31" s="121" t="s">
        <v>170</v>
      </c>
      <c r="C31" s="122" t="s">
        <v>1535</v>
      </c>
      <c r="D31" s="115" t="s">
        <v>18</v>
      </c>
      <c r="E31" s="123" t="s">
        <v>113</v>
      </c>
      <c r="F31" s="71">
        <v>11061720001</v>
      </c>
      <c r="G31" s="123" t="s">
        <v>30</v>
      </c>
      <c r="H31" s="124" t="s">
        <v>31</v>
      </c>
      <c r="I31" s="104">
        <v>-408.03000000000475</v>
      </c>
      <c r="J31" s="117">
        <v>0</v>
      </c>
      <c r="K31" s="117">
        <v>1308</v>
      </c>
      <c r="L31" s="117">
        <f>IF(Tabela1[[#This Row],[SALDO PARCIAL PENDENTE]]-Tabela1[[#This Row],[1QZ DE FEV 26]]&lt;0,0,Tabela1[[#This Row],[SALDO PARCIAL PENDENTE]]-Tabela1[[#This Row],[1QZ DE FEV 26]])</f>
        <v>0</v>
      </c>
      <c r="M31" s="68">
        <v>900</v>
      </c>
      <c r="N31" s="117">
        <v>670.31</v>
      </c>
      <c r="O31" s="72"/>
      <c r="P31" s="125">
        <f>Tabela1[[#This Row],[2QZ DE JAN 26]]-Tabela1[[#This Row],[SALDO PENDENTE FINAL]]-Tabela1[[#This Row],[SALDO CARTAO]]-Tabela1[[#This Row],[ADIANTAMENTO]]</f>
        <v>229.69000000000005</v>
      </c>
      <c r="Q31" s="126"/>
      <c r="R31" s="130">
        <f>IF(Tabela1[[#This Row],[CARGA PARCIAL]]&lt;0,0,Tabela1[[#This Row],[CARGA PARCIAL]])+Tabela1[[#This Row],[REEMBOLSO]]</f>
        <v>229.69000000000005</v>
      </c>
      <c r="S31" s="129" t="s">
        <v>22</v>
      </c>
      <c r="T31" s="72"/>
      <c r="U31" s="38"/>
      <c r="AW31"/>
      <c r="AX31"/>
      <c r="AY31"/>
    </row>
    <row r="32" spans="2:51" x14ac:dyDescent="0.25">
      <c r="B32" s="120" t="s">
        <v>588</v>
      </c>
      <c r="C32" s="114" t="s">
        <v>589</v>
      </c>
      <c r="D32" s="115" t="s">
        <v>18</v>
      </c>
      <c r="E32" s="115" t="s">
        <v>1818</v>
      </c>
      <c r="F32" s="71">
        <v>11030810001</v>
      </c>
      <c r="G32" s="123" t="s">
        <v>20</v>
      </c>
      <c r="H32" s="116" t="s">
        <v>21</v>
      </c>
      <c r="I32" s="104">
        <v>-385.95000000000567</v>
      </c>
      <c r="J32" s="117">
        <v>0</v>
      </c>
      <c r="K32" s="117">
        <v>289.65999999999997</v>
      </c>
      <c r="L32" s="117">
        <f>IF(Tabela1[[#This Row],[SALDO PARCIAL PENDENTE]]-Tabela1[[#This Row],[1QZ DE FEV 26]]&lt;0,0,Tabela1[[#This Row],[SALDO PARCIAL PENDENTE]]-Tabela1[[#This Row],[1QZ DE FEV 26]])</f>
        <v>0</v>
      </c>
      <c r="M32" s="68">
        <v>1000</v>
      </c>
      <c r="N32" s="117">
        <v>203.94</v>
      </c>
      <c r="O32" s="69"/>
      <c r="P32" s="118">
        <f>Tabela1[[#This Row],[2QZ DE JAN 26]]-Tabela1[[#This Row],[SALDO PENDENTE FINAL]]-Tabela1[[#This Row],[SALDO CARTAO]]-Tabela1[[#This Row],[ADIANTAMENTO]]</f>
        <v>796.06</v>
      </c>
      <c r="Q32" s="119"/>
      <c r="R32" s="130">
        <f>IF(Tabela1[[#This Row],[CARGA PARCIAL]]&lt;0,0,Tabela1[[#This Row],[CARGA PARCIAL]])+Tabela1[[#This Row],[REEMBOLSO]]</f>
        <v>796.06</v>
      </c>
      <c r="S32" s="129" t="s">
        <v>22</v>
      </c>
      <c r="T32" s="69"/>
      <c r="U32" s="38"/>
      <c r="AW32"/>
      <c r="AX32"/>
      <c r="AY32"/>
    </row>
    <row r="33" spans="2:51" x14ac:dyDescent="0.25">
      <c r="B33" s="121" t="s">
        <v>651</v>
      </c>
      <c r="C33" s="122" t="s">
        <v>652</v>
      </c>
      <c r="D33" s="115" t="s">
        <v>18</v>
      </c>
      <c r="E33" s="123" t="s">
        <v>49</v>
      </c>
      <c r="F33" s="71">
        <v>11040160001</v>
      </c>
      <c r="G33" s="127" t="s">
        <v>27</v>
      </c>
      <c r="H33" s="124" t="s">
        <v>137</v>
      </c>
      <c r="I33" s="104">
        <v>-384.75999999999908</v>
      </c>
      <c r="J33" s="117">
        <v>0</v>
      </c>
      <c r="K33" s="117">
        <v>693.25999999999931</v>
      </c>
      <c r="L33" s="117">
        <f>IF(Tabela1[[#This Row],[SALDO PARCIAL PENDENTE]]-Tabela1[[#This Row],[1QZ DE FEV 26]]&lt;0,0,Tabela1[[#This Row],[SALDO PARCIAL PENDENTE]]-Tabela1[[#This Row],[1QZ DE FEV 26]])</f>
        <v>0</v>
      </c>
      <c r="M33" s="68">
        <v>800</v>
      </c>
      <c r="N33" s="117">
        <v>39.26</v>
      </c>
      <c r="O33" s="72"/>
      <c r="P33" s="125">
        <f>Tabela1[[#This Row],[2QZ DE JAN 26]]-Tabela1[[#This Row],[SALDO PENDENTE FINAL]]-Tabela1[[#This Row],[SALDO CARTAO]]-Tabela1[[#This Row],[ADIANTAMENTO]]</f>
        <v>760.74</v>
      </c>
      <c r="Q33" s="126"/>
      <c r="R33" s="130">
        <f>IF(Tabela1[[#This Row],[CARGA PARCIAL]]&lt;0,0,Tabela1[[#This Row],[CARGA PARCIAL]])+Tabela1[[#This Row],[REEMBOLSO]]</f>
        <v>760.74</v>
      </c>
      <c r="S33" s="129" t="s">
        <v>22</v>
      </c>
      <c r="T33" s="72"/>
      <c r="U33" s="38"/>
      <c r="AW33"/>
      <c r="AX33"/>
      <c r="AY33"/>
    </row>
    <row r="34" spans="2:51" x14ac:dyDescent="0.25">
      <c r="B34" s="121" t="s">
        <v>420</v>
      </c>
      <c r="C34" s="122" t="s">
        <v>421</v>
      </c>
      <c r="D34" s="115" t="s">
        <v>18</v>
      </c>
      <c r="E34" s="123" t="s">
        <v>59</v>
      </c>
      <c r="F34" s="71">
        <v>11080440001</v>
      </c>
      <c r="G34" s="123" t="s">
        <v>30</v>
      </c>
      <c r="H34" s="124" t="s">
        <v>31</v>
      </c>
      <c r="I34" s="104">
        <v>-380</v>
      </c>
      <c r="J34" s="117">
        <v>0</v>
      </c>
      <c r="K34" s="117">
        <v>390</v>
      </c>
      <c r="L34" s="117">
        <f>IF(Tabela1[[#This Row],[SALDO PARCIAL PENDENTE]]-Tabela1[[#This Row],[1QZ DE FEV 26]]&lt;0,0,Tabela1[[#This Row],[SALDO PARCIAL PENDENTE]]-Tabela1[[#This Row],[1QZ DE FEV 26]])</f>
        <v>0</v>
      </c>
      <c r="M34" s="68">
        <v>350</v>
      </c>
      <c r="N34" s="117">
        <v>273</v>
      </c>
      <c r="O34" s="72"/>
      <c r="P34" s="125">
        <f>Tabela1[[#This Row],[2QZ DE JAN 26]]-Tabela1[[#This Row],[SALDO PENDENTE FINAL]]-Tabela1[[#This Row],[SALDO CARTAO]]-Tabela1[[#This Row],[ADIANTAMENTO]]</f>
        <v>77</v>
      </c>
      <c r="Q34" s="126"/>
      <c r="R34" s="130">
        <f>IF(Tabela1[[#This Row],[CARGA PARCIAL]]&lt;0,0,Tabela1[[#This Row],[CARGA PARCIAL]])+Tabela1[[#This Row],[REEMBOLSO]]</f>
        <v>77</v>
      </c>
      <c r="S34" s="129" t="s">
        <v>22</v>
      </c>
      <c r="T34" s="72"/>
      <c r="U34" s="38"/>
      <c r="AW34"/>
      <c r="AX34"/>
      <c r="AY34"/>
    </row>
    <row r="35" spans="2:51" x14ac:dyDescent="0.25">
      <c r="B35" s="120" t="s">
        <v>266</v>
      </c>
      <c r="C35" s="114" t="s">
        <v>1523</v>
      </c>
      <c r="D35" s="115" t="s">
        <v>18</v>
      </c>
      <c r="E35" s="115" t="s">
        <v>267</v>
      </c>
      <c r="F35" s="71">
        <v>11080170001</v>
      </c>
      <c r="G35" s="123" t="s">
        <v>65</v>
      </c>
      <c r="H35" s="116" t="s">
        <v>31</v>
      </c>
      <c r="I35" s="104">
        <v>-338.47000000001253</v>
      </c>
      <c r="J35" s="117">
        <v>0</v>
      </c>
      <c r="K35" s="117">
        <v>698.72999999999593</v>
      </c>
      <c r="L35" s="117">
        <f>IF(Tabela1[[#This Row],[SALDO PARCIAL PENDENTE]]-Tabela1[[#This Row],[1QZ DE FEV 26]]&lt;0,0,Tabela1[[#This Row],[SALDO PARCIAL PENDENTE]]-Tabela1[[#This Row],[1QZ DE FEV 26]])</f>
        <v>0</v>
      </c>
      <c r="M35" s="68">
        <v>2800</v>
      </c>
      <c r="N35" s="117">
        <v>20.73</v>
      </c>
      <c r="O35" s="69"/>
      <c r="P35" s="118">
        <f>Tabela1[[#This Row],[2QZ DE JAN 26]]-Tabela1[[#This Row],[SALDO PENDENTE FINAL]]-Tabela1[[#This Row],[SALDO CARTAO]]-Tabela1[[#This Row],[ADIANTAMENTO]]</f>
        <v>2779.27</v>
      </c>
      <c r="Q35" s="119"/>
      <c r="R35" s="130">
        <f>IF(Tabela1[[#This Row],[CARGA PARCIAL]]&lt;0,0,Tabela1[[#This Row],[CARGA PARCIAL]])+Tabela1[[#This Row],[REEMBOLSO]]</f>
        <v>2779.27</v>
      </c>
      <c r="S35" s="129" t="s">
        <v>22</v>
      </c>
      <c r="T35" s="69"/>
      <c r="U35" s="38"/>
      <c r="AW35"/>
      <c r="AX35"/>
      <c r="AY35"/>
    </row>
    <row r="36" spans="2:51" x14ac:dyDescent="0.25">
      <c r="B36" s="120" t="s">
        <v>705</v>
      </c>
      <c r="C36" s="114" t="s">
        <v>706</v>
      </c>
      <c r="D36" s="115" t="s">
        <v>18</v>
      </c>
      <c r="E36" s="115" t="s">
        <v>197</v>
      </c>
      <c r="F36" s="71">
        <v>11061770001</v>
      </c>
      <c r="G36" s="127" t="s">
        <v>34</v>
      </c>
      <c r="H36" s="116" t="s">
        <v>31</v>
      </c>
      <c r="I36" s="104">
        <v>-327.40999999999906</v>
      </c>
      <c r="J36" s="117">
        <v>0</v>
      </c>
      <c r="K36" s="117">
        <v>969.07999999999993</v>
      </c>
      <c r="L36" s="117">
        <f>IF(Tabela1[[#This Row],[SALDO PARCIAL PENDENTE]]-Tabela1[[#This Row],[1QZ DE FEV 26]]&lt;0,0,Tabela1[[#This Row],[SALDO PARCIAL PENDENTE]]-Tabela1[[#This Row],[1QZ DE FEV 26]])</f>
        <v>0</v>
      </c>
      <c r="M36" s="68">
        <v>200</v>
      </c>
      <c r="N36" s="117">
        <v>520.41</v>
      </c>
      <c r="O36" s="69"/>
      <c r="P36" s="118">
        <f>Tabela1[[#This Row],[2QZ DE JAN 26]]-Tabela1[[#This Row],[SALDO PENDENTE FINAL]]-Tabela1[[#This Row],[SALDO CARTAO]]-Tabela1[[#This Row],[ADIANTAMENTO]]</f>
        <v>-320.40999999999997</v>
      </c>
      <c r="Q36" s="119"/>
      <c r="R36" s="130">
        <f>IF(Tabela1[[#This Row],[CARGA PARCIAL]]&lt;0,0,Tabela1[[#This Row],[CARGA PARCIAL]])+Tabela1[[#This Row],[REEMBOLSO]]</f>
        <v>0</v>
      </c>
      <c r="S36" s="129" t="s">
        <v>22</v>
      </c>
      <c r="T36" s="69"/>
      <c r="U36" s="38"/>
      <c r="AW36"/>
      <c r="AX36"/>
      <c r="AY36"/>
    </row>
    <row r="37" spans="2:51" x14ac:dyDescent="0.25">
      <c r="B37" s="121" t="s">
        <v>658</v>
      </c>
      <c r="C37" s="122" t="s">
        <v>659</v>
      </c>
      <c r="D37" s="115" t="s">
        <v>18</v>
      </c>
      <c r="E37" s="123" t="s">
        <v>660</v>
      </c>
      <c r="F37" s="71">
        <v>11030650001</v>
      </c>
      <c r="G37" s="127" t="s">
        <v>34</v>
      </c>
      <c r="H37" s="124" t="s">
        <v>31</v>
      </c>
      <c r="I37" s="104">
        <v>-316.04999999999973</v>
      </c>
      <c r="J37" s="117">
        <v>0</v>
      </c>
      <c r="K37" s="117">
        <v>3223.98</v>
      </c>
      <c r="L37" s="117">
        <f>IF(Tabela1[[#This Row],[SALDO PARCIAL PENDENTE]]-Tabela1[[#This Row],[1QZ DE FEV 26]]&lt;0,0,Tabela1[[#This Row],[SALDO PARCIAL PENDENTE]]-Tabela1[[#This Row],[1QZ DE FEV 26]])</f>
        <v>0</v>
      </c>
      <c r="M37" s="68">
        <v>1000</v>
      </c>
      <c r="N37" s="117">
        <v>2116.31</v>
      </c>
      <c r="O37" s="72"/>
      <c r="P37" s="125">
        <f>Tabela1[[#This Row],[2QZ DE JAN 26]]-Tabela1[[#This Row],[SALDO PENDENTE FINAL]]-Tabela1[[#This Row],[SALDO CARTAO]]-Tabela1[[#This Row],[ADIANTAMENTO]]</f>
        <v>-1116.31</v>
      </c>
      <c r="Q37" s="126"/>
      <c r="R37" s="130">
        <f>IF(Tabela1[[#This Row],[CARGA PARCIAL]]&lt;0,0,Tabela1[[#This Row],[CARGA PARCIAL]])+Tabela1[[#This Row],[REEMBOLSO]]</f>
        <v>0</v>
      </c>
      <c r="S37" s="129" t="s">
        <v>22</v>
      </c>
      <c r="T37" s="72"/>
      <c r="U37" s="38"/>
      <c r="AW37"/>
      <c r="AX37"/>
      <c r="AY37"/>
    </row>
    <row r="38" spans="2:51" x14ac:dyDescent="0.25">
      <c r="B38" s="120" t="s">
        <v>281</v>
      </c>
      <c r="C38" s="114" t="s">
        <v>1504</v>
      </c>
      <c r="D38" s="115" t="s">
        <v>18</v>
      </c>
      <c r="E38" s="115" t="s">
        <v>148</v>
      </c>
      <c r="F38" s="71">
        <v>11030630001</v>
      </c>
      <c r="G38" s="123" t="s">
        <v>34</v>
      </c>
      <c r="H38" s="116" t="s">
        <v>31</v>
      </c>
      <c r="I38" s="104">
        <v>-303.23000000004686</v>
      </c>
      <c r="J38" s="117">
        <v>0</v>
      </c>
      <c r="K38" s="117">
        <v>2800</v>
      </c>
      <c r="L38" s="117">
        <f>IF(Tabela1[[#This Row],[SALDO PARCIAL PENDENTE]]-Tabela1[[#This Row],[1QZ DE FEV 26]]&lt;0,0,Tabela1[[#This Row],[SALDO PARCIAL PENDENTE]]-Tabela1[[#This Row],[1QZ DE FEV 26]])</f>
        <v>0</v>
      </c>
      <c r="M38" s="68">
        <v>2800</v>
      </c>
      <c r="N38" s="117">
        <v>5</v>
      </c>
      <c r="O38" s="69"/>
      <c r="P38" s="118">
        <f>Tabela1[[#This Row],[2QZ DE JAN 26]]-Tabela1[[#This Row],[SALDO PENDENTE FINAL]]-Tabela1[[#This Row],[SALDO CARTAO]]-Tabela1[[#This Row],[ADIANTAMENTO]]</f>
        <v>2795</v>
      </c>
      <c r="Q38" s="119"/>
      <c r="R38" s="130">
        <f>IF(Tabela1[[#This Row],[CARGA PARCIAL]]&lt;0,0,Tabela1[[#This Row],[CARGA PARCIAL]])+Tabela1[[#This Row],[REEMBOLSO]]</f>
        <v>2795</v>
      </c>
      <c r="S38" s="129" t="s">
        <v>22</v>
      </c>
      <c r="T38" s="69"/>
      <c r="U38" s="38"/>
      <c r="AW38"/>
      <c r="AX38"/>
      <c r="AY38"/>
    </row>
    <row r="39" spans="2:51" x14ac:dyDescent="0.25">
      <c r="B39" s="120" t="s">
        <v>702</v>
      </c>
      <c r="C39" s="114" t="s">
        <v>703</v>
      </c>
      <c r="D39" s="115" t="s">
        <v>18</v>
      </c>
      <c r="E39" s="115" t="s">
        <v>381</v>
      </c>
      <c r="F39" s="71">
        <v>11030830001</v>
      </c>
      <c r="G39" s="127" t="s">
        <v>65</v>
      </c>
      <c r="H39" s="116" t="s">
        <v>31</v>
      </c>
      <c r="I39" s="104">
        <v>-298.55000000004947</v>
      </c>
      <c r="J39" s="117">
        <v>0</v>
      </c>
      <c r="K39" s="117">
        <v>4952.8899999999994</v>
      </c>
      <c r="L39" s="117">
        <f>IF(Tabela1[[#This Row],[SALDO PARCIAL PENDENTE]]-Tabela1[[#This Row],[1QZ DE FEV 26]]&lt;0,0,Tabela1[[#This Row],[SALDO PARCIAL PENDENTE]]-Tabela1[[#This Row],[1QZ DE FEV 26]])</f>
        <v>0</v>
      </c>
      <c r="M39" s="68">
        <v>3000</v>
      </c>
      <c r="N39" s="117">
        <v>282.7</v>
      </c>
      <c r="O39" s="69"/>
      <c r="P39" s="118">
        <f>Tabela1[[#This Row],[2QZ DE JAN 26]]-Tabela1[[#This Row],[SALDO PENDENTE FINAL]]-Tabela1[[#This Row],[SALDO CARTAO]]-Tabela1[[#This Row],[ADIANTAMENTO]]</f>
        <v>2717.3</v>
      </c>
      <c r="Q39" s="119"/>
      <c r="R39" s="130">
        <f>IF(Tabela1[[#This Row],[CARGA PARCIAL]]&lt;0,0,Tabela1[[#This Row],[CARGA PARCIAL]])+Tabela1[[#This Row],[REEMBOLSO]]</f>
        <v>2717.3</v>
      </c>
      <c r="S39" s="129" t="s">
        <v>22</v>
      </c>
      <c r="T39" s="69"/>
      <c r="U39" s="38"/>
      <c r="AW39"/>
      <c r="AX39"/>
      <c r="AY39"/>
    </row>
    <row r="40" spans="2:51" x14ac:dyDescent="0.25">
      <c r="B40" s="120" t="s">
        <v>95</v>
      </c>
      <c r="C40" s="114" t="s">
        <v>1644</v>
      </c>
      <c r="D40" s="115" t="s">
        <v>18</v>
      </c>
      <c r="E40" s="115" t="s">
        <v>73</v>
      </c>
      <c r="F40" s="71">
        <v>11040140001</v>
      </c>
      <c r="G40" s="127" t="s">
        <v>39</v>
      </c>
      <c r="H40" s="116" t="s">
        <v>31</v>
      </c>
      <c r="I40" s="104">
        <v>-268.21000000000043</v>
      </c>
      <c r="J40" s="117">
        <v>0</v>
      </c>
      <c r="K40" s="117">
        <v>268.21000000000004</v>
      </c>
      <c r="L40" s="117">
        <f>IF(Tabela1[[#This Row],[SALDO PARCIAL PENDENTE]]-Tabela1[[#This Row],[1QZ DE FEV 26]]&lt;0,0,Tabela1[[#This Row],[SALDO PARCIAL PENDENTE]]-Tabela1[[#This Row],[1QZ DE FEV 26]])</f>
        <v>0</v>
      </c>
      <c r="M40" s="68">
        <v>100</v>
      </c>
      <c r="N40" s="117">
        <v>351.71</v>
      </c>
      <c r="O40" s="69"/>
      <c r="P40" s="118">
        <f>Tabela1[[#This Row],[2QZ DE JAN 26]]-Tabela1[[#This Row],[SALDO PENDENTE FINAL]]-Tabela1[[#This Row],[SALDO CARTAO]]-Tabela1[[#This Row],[ADIANTAMENTO]]</f>
        <v>-251.70999999999998</v>
      </c>
      <c r="Q40" s="119"/>
      <c r="R40" s="130">
        <f>IF(Tabela1[[#This Row],[CARGA PARCIAL]]&lt;0,0,Tabela1[[#This Row],[CARGA PARCIAL]])+Tabela1[[#This Row],[REEMBOLSO]]</f>
        <v>0</v>
      </c>
      <c r="S40" s="129" t="s">
        <v>22</v>
      </c>
      <c r="T40" s="69"/>
      <c r="U40" s="38"/>
      <c r="AW40"/>
      <c r="AX40"/>
      <c r="AY40"/>
    </row>
    <row r="41" spans="2:51" x14ac:dyDescent="0.25">
      <c r="B41" s="121" t="s">
        <v>509</v>
      </c>
      <c r="C41" s="122" t="s">
        <v>510</v>
      </c>
      <c r="D41" s="115" t="s">
        <v>18</v>
      </c>
      <c r="E41" s="123" t="s">
        <v>113</v>
      </c>
      <c r="F41" s="71">
        <v>11061720001</v>
      </c>
      <c r="G41" s="127" t="s">
        <v>30</v>
      </c>
      <c r="H41" s="124" t="s">
        <v>31</v>
      </c>
      <c r="I41" s="104">
        <v>-250.40000000000603</v>
      </c>
      <c r="J41" s="117">
        <v>0</v>
      </c>
      <c r="K41" s="117">
        <v>903.84</v>
      </c>
      <c r="L41" s="117">
        <f>IF(Tabela1[[#This Row],[SALDO PARCIAL PENDENTE]]-Tabela1[[#This Row],[1QZ DE FEV 26]]&lt;0,0,Tabela1[[#This Row],[SALDO PARCIAL PENDENTE]]-Tabela1[[#This Row],[1QZ DE FEV 26]])</f>
        <v>0</v>
      </c>
      <c r="M41" s="68">
        <v>800</v>
      </c>
      <c r="N41" s="117">
        <v>206.04</v>
      </c>
      <c r="O41" s="72"/>
      <c r="P41" s="125">
        <f>Tabela1[[#This Row],[2QZ DE JAN 26]]-Tabela1[[#This Row],[SALDO PENDENTE FINAL]]-Tabela1[[#This Row],[SALDO CARTAO]]-Tabela1[[#This Row],[ADIANTAMENTO]]</f>
        <v>593.96</v>
      </c>
      <c r="Q41" s="126"/>
      <c r="R41" s="130">
        <f>IF(Tabela1[[#This Row],[CARGA PARCIAL]]&lt;0,0,Tabela1[[#This Row],[CARGA PARCIAL]])+Tabela1[[#This Row],[REEMBOLSO]]</f>
        <v>593.96</v>
      </c>
      <c r="S41" s="129" t="s">
        <v>22</v>
      </c>
      <c r="T41" s="72"/>
      <c r="U41" s="38"/>
      <c r="AW41"/>
      <c r="AX41"/>
      <c r="AY41"/>
    </row>
    <row r="42" spans="2:51" x14ac:dyDescent="0.25">
      <c r="B42" s="120" t="s">
        <v>602</v>
      </c>
      <c r="C42" s="114" t="s">
        <v>603</v>
      </c>
      <c r="D42" s="115" t="s">
        <v>18</v>
      </c>
      <c r="E42" s="115" t="s">
        <v>113</v>
      </c>
      <c r="F42" s="71">
        <v>11061720001</v>
      </c>
      <c r="G42" s="123" t="s">
        <v>30</v>
      </c>
      <c r="H42" s="116" t="s">
        <v>31</v>
      </c>
      <c r="I42" s="104">
        <v>-243.86</v>
      </c>
      <c r="J42" s="117">
        <v>0</v>
      </c>
      <c r="K42" s="117">
        <v>741.64</v>
      </c>
      <c r="L42" s="117">
        <f>IF(Tabela1[[#This Row],[SALDO PARCIAL PENDENTE]]-Tabela1[[#This Row],[1QZ DE FEV 26]]&lt;0,0,Tabela1[[#This Row],[SALDO PARCIAL PENDENTE]]-Tabela1[[#This Row],[1QZ DE FEV 26]])</f>
        <v>0</v>
      </c>
      <c r="M42" s="68">
        <v>600</v>
      </c>
      <c r="N42" s="117">
        <v>378.36</v>
      </c>
      <c r="O42" s="69"/>
      <c r="P42" s="118">
        <f>Tabela1[[#This Row],[2QZ DE JAN 26]]-Tabela1[[#This Row],[SALDO PENDENTE FINAL]]-Tabela1[[#This Row],[SALDO CARTAO]]-Tabela1[[#This Row],[ADIANTAMENTO]]</f>
        <v>221.64</v>
      </c>
      <c r="Q42" s="119"/>
      <c r="R42" s="130">
        <f>IF(Tabela1[[#This Row],[CARGA PARCIAL]]&lt;0,0,Tabela1[[#This Row],[CARGA PARCIAL]])+Tabela1[[#This Row],[REEMBOLSO]]</f>
        <v>221.64</v>
      </c>
      <c r="S42" s="129" t="s">
        <v>22</v>
      </c>
      <c r="T42" s="69"/>
      <c r="U42" s="38"/>
      <c r="AW42"/>
      <c r="AX42"/>
      <c r="AY42"/>
    </row>
    <row r="43" spans="2:51" x14ac:dyDescent="0.25">
      <c r="B43" s="120" t="s">
        <v>666</v>
      </c>
      <c r="C43" s="114" t="s">
        <v>667</v>
      </c>
      <c r="D43" s="115" t="s">
        <v>18</v>
      </c>
      <c r="E43" s="115" t="s">
        <v>38</v>
      </c>
      <c r="F43" s="71">
        <v>11040130001</v>
      </c>
      <c r="G43" s="127" t="s">
        <v>39</v>
      </c>
      <c r="H43" s="116" t="s">
        <v>31</v>
      </c>
      <c r="I43" s="104">
        <v>-185.59999999999991</v>
      </c>
      <c r="J43" s="117">
        <v>0</v>
      </c>
      <c r="K43" s="117">
        <v>159.43</v>
      </c>
      <c r="L43" s="117">
        <f>IF(Tabela1[[#This Row],[SALDO PARCIAL PENDENTE]]-Tabela1[[#This Row],[1QZ DE FEV 26]]&lt;0,0,Tabela1[[#This Row],[SALDO PARCIAL PENDENTE]]-Tabela1[[#This Row],[1QZ DE FEV 26]])</f>
        <v>0</v>
      </c>
      <c r="M43" s="68">
        <v>160</v>
      </c>
      <c r="N43" s="117">
        <v>70</v>
      </c>
      <c r="O43" s="69"/>
      <c r="P43" s="118">
        <f>Tabela1[[#This Row],[2QZ DE JAN 26]]-Tabela1[[#This Row],[SALDO PENDENTE FINAL]]-Tabela1[[#This Row],[SALDO CARTAO]]-Tabela1[[#This Row],[ADIANTAMENTO]]</f>
        <v>90</v>
      </c>
      <c r="Q43" s="119"/>
      <c r="R43" s="130">
        <f>IF(Tabela1[[#This Row],[CARGA PARCIAL]]&lt;0,0,Tabela1[[#This Row],[CARGA PARCIAL]])+Tabela1[[#This Row],[REEMBOLSO]]</f>
        <v>90</v>
      </c>
      <c r="S43" s="129" t="s">
        <v>22</v>
      </c>
      <c r="T43" s="69"/>
      <c r="U43" s="38"/>
      <c r="AW43"/>
      <c r="AX43"/>
      <c r="AY43"/>
    </row>
    <row r="44" spans="2:51" x14ac:dyDescent="0.25">
      <c r="B44" s="120" t="s">
        <v>240</v>
      </c>
      <c r="C44" s="114" t="s">
        <v>1654</v>
      </c>
      <c r="D44" s="115" t="s">
        <v>18</v>
      </c>
      <c r="E44" s="115" t="s">
        <v>73</v>
      </c>
      <c r="F44" s="71">
        <v>11040140001</v>
      </c>
      <c r="G44" s="127" t="s">
        <v>39</v>
      </c>
      <c r="H44" s="116" t="s">
        <v>31</v>
      </c>
      <c r="I44" s="104">
        <v>-184.30000000000206</v>
      </c>
      <c r="J44" s="117">
        <v>0</v>
      </c>
      <c r="K44" s="117">
        <v>274.3</v>
      </c>
      <c r="L44" s="117">
        <f>IF(Tabela1[[#This Row],[SALDO PARCIAL PENDENTE]]-Tabela1[[#This Row],[1QZ DE FEV 26]]&lt;0,0,Tabela1[[#This Row],[SALDO PARCIAL PENDENTE]]-Tabela1[[#This Row],[1QZ DE FEV 26]])</f>
        <v>0</v>
      </c>
      <c r="M44" s="68">
        <v>200</v>
      </c>
      <c r="N44" s="117">
        <v>98.3</v>
      </c>
      <c r="O44" s="69"/>
      <c r="P44" s="118">
        <f>Tabela1[[#This Row],[2QZ DE JAN 26]]-Tabela1[[#This Row],[SALDO PENDENTE FINAL]]-Tabela1[[#This Row],[SALDO CARTAO]]-Tabela1[[#This Row],[ADIANTAMENTO]]</f>
        <v>101.7</v>
      </c>
      <c r="Q44" s="119"/>
      <c r="R44" s="130">
        <f>IF(Tabela1[[#This Row],[CARGA PARCIAL]]&lt;0,0,Tabela1[[#This Row],[CARGA PARCIAL]])+Tabela1[[#This Row],[REEMBOLSO]]</f>
        <v>101.7</v>
      </c>
      <c r="S44" s="129" t="s">
        <v>22</v>
      </c>
      <c r="T44" s="69"/>
      <c r="U44" s="38"/>
      <c r="AW44"/>
      <c r="AX44"/>
      <c r="AY44"/>
    </row>
    <row r="45" spans="2:51" x14ac:dyDescent="0.25">
      <c r="B45" s="113" t="s">
        <v>50</v>
      </c>
      <c r="C45" s="114" t="s">
        <v>1538</v>
      </c>
      <c r="D45" s="115" t="s">
        <v>18</v>
      </c>
      <c r="E45" s="115" t="s">
        <v>51</v>
      </c>
      <c r="F45" s="71">
        <v>11040170001</v>
      </c>
      <c r="G45" s="127" t="s">
        <v>1816</v>
      </c>
      <c r="H45" s="116" t="s">
        <v>21</v>
      </c>
      <c r="I45" s="104">
        <v>-176.01000000000437</v>
      </c>
      <c r="J45" s="117">
        <v>0</v>
      </c>
      <c r="K45" s="117">
        <v>1429.5599999999977</v>
      </c>
      <c r="L45" s="117">
        <f>IF(Tabela1[[#This Row],[SALDO PARCIAL PENDENTE]]-Tabela1[[#This Row],[1QZ DE FEV 26]]&lt;0,0,Tabela1[[#This Row],[SALDO PARCIAL PENDENTE]]-Tabela1[[#This Row],[1QZ DE FEV 26]])</f>
        <v>0</v>
      </c>
      <c r="M45" s="68">
        <v>1600</v>
      </c>
      <c r="N45" s="117">
        <v>1.56</v>
      </c>
      <c r="O45" s="69"/>
      <c r="P45" s="118">
        <f>Tabela1[[#This Row],[2QZ DE JAN 26]]-Tabela1[[#This Row],[SALDO PENDENTE FINAL]]-Tabela1[[#This Row],[SALDO CARTAO]]-Tabela1[[#This Row],[ADIANTAMENTO]]</f>
        <v>1598.44</v>
      </c>
      <c r="Q45" s="119"/>
      <c r="R45" s="130">
        <f>IF(Tabela1[[#This Row],[CARGA PARCIAL]]&lt;0,0,Tabela1[[#This Row],[CARGA PARCIAL]])+Tabela1[[#This Row],[REEMBOLSO]]</f>
        <v>1598.44</v>
      </c>
      <c r="S45" s="129" t="s">
        <v>22</v>
      </c>
      <c r="T45" s="69"/>
      <c r="U45" s="38"/>
      <c r="AW45"/>
      <c r="AX45"/>
      <c r="AY45"/>
    </row>
    <row r="46" spans="2:51" x14ac:dyDescent="0.25">
      <c r="B46" s="121" t="s">
        <v>681</v>
      </c>
      <c r="C46" s="122" t="s">
        <v>682</v>
      </c>
      <c r="D46" s="115" t="s">
        <v>18</v>
      </c>
      <c r="E46" s="123" t="s">
        <v>73</v>
      </c>
      <c r="F46" s="71">
        <v>11040140001</v>
      </c>
      <c r="G46" s="127" t="s">
        <v>39</v>
      </c>
      <c r="H46" s="124" t="s">
        <v>31</v>
      </c>
      <c r="I46" s="104">
        <v>-162.32000000000028</v>
      </c>
      <c r="J46" s="117">
        <v>0</v>
      </c>
      <c r="K46" s="117">
        <v>162.32</v>
      </c>
      <c r="L46" s="117">
        <f>IF(Tabela1[[#This Row],[SALDO PARCIAL PENDENTE]]-Tabela1[[#This Row],[1QZ DE FEV 26]]&lt;0,0,Tabela1[[#This Row],[SALDO PARCIAL PENDENTE]]-Tabela1[[#This Row],[1QZ DE FEV 26]])</f>
        <v>0</v>
      </c>
      <c r="M46" s="68">
        <v>50</v>
      </c>
      <c r="N46" s="117">
        <v>309.64</v>
      </c>
      <c r="O46" s="72"/>
      <c r="P46" s="125">
        <f>Tabela1[[#This Row],[2QZ DE JAN 26]]-Tabela1[[#This Row],[SALDO PENDENTE FINAL]]-Tabela1[[#This Row],[SALDO CARTAO]]-Tabela1[[#This Row],[ADIANTAMENTO]]</f>
        <v>-259.64</v>
      </c>
      <c r="Q46" s="126"/>
      <c r="R46" s="130">
        <f>IF(Tabela1[[#This Row],[CARGA PARCIAL]]&lt;0,0,Tabela1[[#This Row],[CARGA PARCIAL]])+Tabela1[[#This Row],[REEMBOLSO]]</f>
        <v>0</v>
      </c>
      <c r="S46" s="129" t="s">
        <v>22</v>
      </c>
      <c r="T46" s="72"/>
      <c r="U46" s="38"/>
      <c r="AW46"/>
      <c r="AX46"/>
      <c r="AY46"/>
    </row>
    <row r="47" spans="2:51" x14ac:dyDescent="0.25">
      <c r="B47" s="120" t="s">
        <v>406</v>
      </c>
      <c r="C47" s="114" t="s">
        <v>407</v>
      </c>
      <c r="D47" s="115" t="s">
        <v>18</v>
      </c>
      <c r="E47" s="115" t="s">
        <v>157</v>
      </c>
      <c r="F47" s="71">
        <v>11040040001</v>
      </c>
      <c r="G47" s="123" t="s">
        <v>20</v>
      </c>
      <c r="H47" s="116" t="s">
        <v>21</v>
      </c>
      <c r="I47" s="104">
        <v>-120.21999999999935</v>
      </c>
      <c r="J47" s="117">
        <v>0</v>
      </c>
      <c r="K47" s="117">
        <v>0</v>
      </c>
      <c r="L47" s="117">
        <f>IF(Tabela1[[#This Row],[SALDO PARCIAL PENDENTE]]-Tabela1[[#This Row],[1QZ DE FEV 26]]&lt;0,0,Tabela1[[#This Row],[SALDO PARCIAL PENDENTE]]-Tabela1[[#This Row],[1QZ DE FEV 26]])</f>
        <v>0</v>
      </c>
      <c r="M47" s="68">
        <v>1500</v>
      </c>
      <c r="N47" s="117">
        <v>1</v>
      </c>
      <c r="O47" s="69"/>
      <c r="P47" s="118">
        <f>Tabela1[[#This Row],[2QZ DE JAN 26]]-Tabela1[[#This Row],[SALDO PENDENTE FINAL]]-Tabela1[[#This Row],[SALDO CARTAO]]-Tabela1[[#This Row],[ADIANTAMENTO]]</f>
        <v>1499</v>
      </c>
      <c r="Q47" s="119"/>
      <c r="R47" s="130">
        <f>IF(Tabela1[[#This Row],[CARGA PARCIAL]]&lt;0,0,Tabela1[[#This Row],[CARGA PARCIAL]])+Tabela1[[#This Row],[REEMBOLSO]]</f>
        <v>1499</v>
      </c>
      <c r="S47" s="129" t="s">
        <v>22</v>
      </c>
      <c r="T47" s="69"/>
      <c r="U47" s="38"/>
      <c r="AW47"/>
      <c r="AX47"/>
      <c r="AY47"/>
    </row>
    <row r="48" spans="2:51" x14ac:dyDescent="0.25">
      <c r="B48" s="120" t="s">
        <v>289</v>
      </c>
      <c r="C48" s="114" t="s">
        <v>1797</v>
      </c>
      <c r="D48" s="115" t="s">
        <v>18</v>
      </c>
      <c r="E48" s="115" t="s">
        <v>290</v>
      </c>
      <c r="F48" s="71">
        <v>11062740001</v>
      </c>
      <c r="G48" s="127" t="s">
        <v>20</v>
      </c>
      <c r="H48" s="116" t="s">
        <v>21</v>
      </c>
      <c r="I48" s="104">
        <v>-116.01000000000204</v>
      </c>
      <c r="J48" s="117">
        <v>0</v>
      </c>
      <c r="K48" s="117">
        <v>0</v>
      </c>
      <c r="L48" s="117">
        <f>IF(Tabela1[[#This Row],[SALDO PARCIAL PENDENTE]]-Tabela1[[#This Row],[1QZ DE FEV 26]]&lt;0,0,Tabela1[[#This Row],[SALDO PARCIAL PENDENTE]]-Tabela1[[#This Row],[1QZ DE FEV 26]])</f>
        <v>0</v>
      </c>
      <c r="M48" s="68">
        <v>2500</v>
      </c>
      <c r="N48" s="117">
        <v>29</v>
      </c>
      <c r="O48" s="69"/>
      <c r="P48" s="118">
        <f>Tabela1[[#This Row],[2QZ DE JAN 26]]-Tabela1[[#This Row],[SALDO PENDENTE FINAL]]-Tabela1[[#This Row],[SALDO CARTAO]]-Tabela1[[#This Row],[ADIANTAMENTO]]</f>
        <v>2471</v>
      </c>
      <c r="Q48" s="119"/>
      <c r="R48" s="130">
        <f>IF(Tabela1[[#This Row],[CARGA PARCIAL]]&lt;0,0,Tabela1[[#This Row],[CARGA PARCIAL]])+Tabela1[[#This Row],[REEMBOLSO]]</f>
        <v>2471</v>
      </c>
      <c r="S48" s="129" t="s">
        <v>22</v>
      </c>
      <c r="T48" s="69"/>
      <c r="U48" s="38"/>
      <c r="AW48"/>
      <c r="AX48"/>
      <c r="AY48"/>
    </row>
    <row r="49" spans="2:51" x14ac:dyDescent="0.25">
      <c r="B49" s="120" t="s">
        <v>655</v>
      </c>
      <c r="C49" s="114" t="s">
        <v>656</v>
      </c>
      <c r="D49" s="115" t="s">
        <v>18</v>
      </c>
      <c r="E49" s="115" t="s">
        <v>64</v>
      </c>
      <c r="F49" s="71">
        <v>11030840001</v>
      </c>
      <c r="G49" s="127" t="s">
        <v>65</v>
      </c>
      <c r="H49" s="116" t="s">
        <v>31</v>
      </c>
      <c r="I49" s="104">
        <v>-81.869999999991137</v>
      </c>
      <c r="J49" s="117">
        <v>0</v>
      </c>
      <c r="K49" s="117">
        <v>1756.18</v>
      </c>
      <c r="L49" s="117">
        <f>IF(Tabela1[[#This Row],[SALDO PARCIAL PENDENTE]]-Tabela1[[#This Row],[1QZ DE FEV 26]]&lt;0,0,Tabela1[[#This Row],[SALDO PARCIAL PENDENTE]]-Tabela1[[#This Row],[1QZ DE FEV 26]])</f>
        <v>0</v>
      </c>
      <c r="M49" s="68">
        <v>1800</v>
      </c>
      <c r="N49" s="117">
        <v>804.86</v>
      </c>
      <c r="O49" s="69"/>
      <c r="P49" s="118">
        <f>Tabela1[[#This Row],[2QZ DE JAN 26]]-Tabela1[[#This Row],[SALDO PENDENTE FINAL]]-Tabela1[[#This Row],[SALDO CARTAO]]-Tabela1[[#This Row],[ADIANTAMENTO]]</f>
        <v>995.14</v>
      </c>
      <c r="Q49" s="119"/>
      <c r="R49" s="130">
        <f>IF(Tabela1[[#This Row],[CARGA PARCIAL]]&lt;0,0,Tabela1[[#This Row],[CARGA PARCIAL]])+Tabela1[[#This Row],[REEMBOLSO]]</f>
        <v>995.14</v>
      </c>
      <c r="S49" s="129" t="s">
        <v>22</v>
      </c>
      <c r="T49" s="69"/>
      <c r="U49" s="38"/>
      <c r="AW49"/>
      <c r="AX49"/>
      <c r="AY49"/>
    </row>
    <row r="50" spans="2:51" x14ac:dyDescent="0.25">
      <c r="B50" s="120" t="s">
        <v>565</v>
      </c>
      <c r="C50" s="114" t="s">
        <v>566</v>
      </c>
      <c r="D50" s="115" t="s">
        <v>18</v>
      </c>
      <c r="E50" s="115" t="s">
        <v>203</v>
      </c>
      <c r="F50" s="71">
        <v>11030790001</v>
      </c>
      <c r="G50" s="127" t="s">
        <v>30</v>
      </c>
      <c r="H50" s="116" t="s">
        <v>31</v>
      </c>
      <c r="I50" s="104">
        <v>-76.900000000003061</v>
      </c>
      <c r="J50" s="117">
        <v>0</v>
      </c>
      <c r="K50" s="117">
        <v>1792.760000000002</v>
      </c>
      <c r="L50" s="117">
        <f>IF(Tabela1[[#This Row],[SALDO PARCIAL PENDENTE]]-Tabela1[[#This Row],[1QZ DE FEV 26]]&lt;0,0,Tabela1[[#This Row],[SALDO PARCIAL PENDENTE]]-Tabela1[[#This Row],[1QZ DE FEV 26]])</f>
        <v>0</v>
      </c>
      <c r="M50" s="68">
        <v>2000</v>
      </c>
      <c r="N50" s="117">
        <v>14.76</v>
      </c>
      <c r="O50" s="69"/>
      <c r="P50" s="118">
        <f>Tabela1[[#This Row],[2QZ DE JAN 26]]-Tabela1[[#This Row],[SALDO PENDENTE FINAL]]-Tabela1[[#This Row],[SALDO CARTAO]]-Tabela1[[#This Row],[ADIANTAMENTO]]</f>
        <v>1985.24</v>
      </c>
      <c r="Q50" s="119"/>
      <c r="R50" s="130">
        <f>IF(Tabela1[[#This Row],[CARGA PARCIAL]]&lt;0,0,Tabela1[[#This Row],[CARGA PARCIAL]])+Tabela1[[#This Row],[REEMBOLSO]]</f>
        <v>1985.24</v>
      </c>
      <c r="S50" s="129" t="s">
        <v>22</v>
      </c>
      <c r="T50" s="69"/>
      <c r="U50" s="38"/>
      <c r="AW50"/>
      <c r="AX50"/>
      <c r="AY50"/>
    </row>
    <row r="51" spans="2:51" x14ac:dyDescent="0.25">
      <c r="B51" s="120" t="s">
        <v>600</v>
      </c>
      <c r="C51" s="114" t="s">
        <v>601</v>
      </c>
      <c r="D51" s="115" t="s">
        <v>18</v>
      </c>
      <c r="E51" s="115" t="s">
        <v>73</v>
      </c>
      <c r="F51" s="71">
        <v>11040140001</v>
      </c>
      <c r="G51" s="127" t="s">
        <v>39</v>
      </c>
      <c r="H51" s="116" t="s">
        <v>31</v>
      </c>
      <c r="I51" s="104">
        <v>-76.700000000000145</v>
      </c>
      <c r="J51" s="117">
        <v>0</v>
      </c>
      <c r="K51" s="117">
        <v>0</v>
      </c>
      <c r="L51" s="117">
        <f>IF(Tabela1[[#This Row],[SALDO PARCIAL PENDENTE]]-Tabela1[[#This Row],[1QZ DE FEV 26]]&lt;0,0,Tabela1[[#This Row],[SALDO PARCIAL PENDENTE]]-Tabela1[[#This Row],[1QZ DE FEV 26]])</f>
        <v>0</v>
      </c>
      <c r="M51" s="68">
        <v>50</v>
      </c>
      <c r="N51" s="117">
        <v>33.11</v>
      </c>
      <c r="O51" s="69"/>
      <c r="P51" s="118">
        <f>Tabela1[[#This Row],[2QZ DE JAN 26]]-Tabela1[[#This Row],[SALDO PENDENTE FINAL]]-Tabela1[[#This Row],[SALDO CARTAO]]-Tabela1[[#This Row],[ADIANTAMENTO]]</f>
        <v>16.89</v>
      </c>
      <c r="Q51" s="119"/>
      <c r="R51" s="130">
        <f>IF(Tabela1[[#This Row],[CARGA PARCIAL]]&lt;0,0,Tabela1[[#This Row],[CARGA PARCIAL]])+Tabela1[[#This Row],[REEMBOLSO]]</f>
        <v>16.89</v>
      </c>
      <c r="S51" s="129" t="s">
        <v>22</v>
      </c>
      <c r="T51" s="69"/>
      <c r="U51" s="38"/>
      <c r="AW51"/>
      <c r="AX51"/>
      <c r="AY51"/>
    </row>
    <row r="52" spans="2:51" x14ac:dyDescent="0.25">
      <c r="B52" s="120" t="s">
        <v>321</v>
      </c>
      <c r="C52" s="114" t="s">
        <v>1801</v>
      </c>
      <c r="D52" s="115" t="s">
        <v>18</v>
      </c>
      <c r="E52" s="115" t="s">
        <v>322</v>
      </c>
      <c r="F52" s="71">
        <v>11010400001</v>
      </c>
      <c r="G52" s="127" t="s">
        <v>20</v>
      </c>
      <c r="H52" s="116" t="s">
        <v>21</v>
      </c>
      <c r="I52" s="104">
        <v>0</v>
      </c>
      <c r="J52" s="117">
        <v>16110.21</v>
      </c>
      <c r="K52" s="117">
        <v>7400</v>
      </c>
      <c r="L52" s="117">
        <f>IF(Tabela1[[#This Row],[SALDO PARCIAL PENDENTE]]-Tabela1[[#This Row],[1QZ DE FEV 26]]&lt;0,0,Tabela1[[#This Row],[SALDO PARCIAL PENDENTE]]-Tabela1[[#This Row],[1QZ DE FEV 26]])</f>
        <v>8710.2099999999991</v>
      </c>
      <c r="M52" s="68">
        <v>4500</v>
      </c>
      <c r="N52" s="117">
        <v>2</v>
      </c>
      <c r="O52" s="69"/>
      <c r="P52" s="118">
        <f>Tabela1[[#This Row],[2QZ DE JAN 26]]-Tabela1[[#This Row],[SALDO PENDENTE FINAL]]-Tabela1[[#This Row],[SALDO CARTAO]]-Tabela1[[#This Row],[ADIANTAMENTO]]</f>
        <v>-4212.2099999999991</v>
      </c>
      <c r="Q52" s="119"/>
      <c r="R52" s="130">
        <f>IF(Tabela1[[#This Row],[CARGA PARCIAL]]&lt;0,0,Tabela1[[#This Row],[CARGA PARCIAL]])+Tabela1[[#This Row],[REEMBOLSO]]</f>
        <v>0</v>
      </c>
      <c r="S52" s="129" t="s">
        <v>22</v>
      </c>
      <c r="T52" s="69"/>
      <c r="U52" s="38"/>
      <c r="AW52"/>
      <c r="AX52"/>
      <c r="AY52"/>
    </row>
    <row r="53" spans="2:51" x14ac:dyDescent="0.25">
      <c r="B53" s="120" t="s">
        <v>632</v>
      </c>
      <c r="C53" s="114" t="s">
        <v>633</v>
      </c>
      <c r="D53" s="115" t="s">
        <v>18</v>
      </c>
      <c r="E53" s="115" t="s">
        <v>634</v>
      </c>
      <c r="F53" s="71">
        <v>11030260001</v>
      </c>
      <c r="G53" s="127" t="s">
        <v>24</v>
      </c>
      <c r="H53" s="116" t="s">
        <v>21</v>
      </c>
      <c r="I53" s="104">
        <v>0</v>
      </c>
      <c r="J53" s="117">
        <v>10732.300000000223</v>
      </c>
      <c r="K53" s="117">
        <v>15837.22000000003</v>
      </c>
      <c r="L53" s="117">
        <f>IF(Tabela1[[#This Row],[SALDO PARCIAL PENDENTE]]-Tabela1[[#This Row],[1QZ DE FEV 26]]&lt;0,0,Tabela1[[#This Row],[SALDO PARCIAL PENDENTE]]-Tabela1[[#This Row],[1QZ DE FEV 26]])</f>
        <v>0</v>
      </c>
      <c r="M53" s="68">
        <v>10000</v>
      </c>
      <c r="N53" s="117">
        <v>3.22</v>
      </c>
      <c r="O53" s="69"/>
      <c r="P53" s="118">
        <f>Tabela1[[#This Row],[2QZ DE JAN 26]]-Tabela1[[#This Row],[SALDO PENDENTE FINAL]]-Tabela1[[#This Row],[SALDO CARTAO]]-Tabela1[[#This Row],[ADIANTAMENTO]]</f>
        <v>9996.7800000000007</v>
      </c>
      <c r="Q53" s="119"/>
      <c r="R53" s="130">
        <f>IF(Tabela1[[#This Row],[CARGA PARCIAL]]&lt;0,0,Tabela1[[#This Row],[CARGA PARCIAL]])+Tabela1[[#This Row],[REEMBOLSO]]</f>
        <v>9996.7800000000007</v>
      </c>
      <c r="S53" s="129" t="s">
        <v>22</v>
      </c>
      <c r="T53" s="69"/>
      <c r="U53" s="38"/>
      <c r="AW53"/>
      <c r="AX53"/>
      <c r="AY53"/>
    </row>
    <row r="54" spans="2:51" x14ac:dyDescent="0.25">
      <c r="B54" s="121" t="s">
        <v>675</v>
      </c>
      <c r="C54" s="122" t="s">
        <v>676</v>
      </c>
      <c r="D54" s="115" t="s">
        <v>18</v>
      </c>
      <c r="E54" s="123" t="s">
        <v>634</v>
      </c>
      <c r="F54" s="71">
        <v>11030260001</v>
      </c>
      <c r="G54" s="127" t="s">
        <v>24</v>
      </c>
      <c r="H54" s="124" t="s">
        <v>21</v>
      </c>
      <c r="I54" s="104">
        <v>0</v>
      </c>
      <c r="J54" s="117">
        <v>7740.4600000000009</v>
      </c>
      <c r="K54" s="117">
        <v>0</v>
      </c>
      <c r="L54" s="117">
        <f>IF(Tabela1[[#This Row],[SALDO PARCIAL PENDENTE]]-Tabela1[[#This Row],[1QZ DE FEV 26]]&lt;0,0,Tabela1[[#This Row],[SALDO PARCIAL PENDENTE]]-Tabela1[[#This Row],[1QZ DE FEV 26]])</f>
        <v>7740.4600000000009</v>
      </c>
      <c r="M54" s="68">
        <v>700</v>
      </c>
      <c r="N54" s="117">
        <v>1180</v>
      </c>
      <c r="O54" s="72"/>
      <c r="P54" s="125">
        <f>Tabela1[[#This Row],[2QZ DE JAN 26]]-Tabela1[[#This Row],[SALDO PENDENTE FINAL]]-Tabela1[[#This Row],[SALDO CARTAO]]-Tabela1[[#This Row],[ADIANTAMENTO]]</f>
        <v>-8220.4600000000009</v>
      </c>
      <c r="Q54" s="126"/>
      <c r="R54" s="130">
        <f>IF(Tabela1[[#This Row],[CARGA PARCIAL]]&lt;0,0,Tabela1[[#This Row],[CARGA PARCIAL]])+Tabela1[[#This Row],[REEMBOLSO]]</f>
        <v>0</v>
      </c>
      <c r="S54" s="129" t="s">
        <v>22</v>
      </c>
      <c r="T54" s="72"/>
      <c r="U54" s="38"/>
      <c r="AW54"/>
      <c r="AX54"/>
      <c r="AY54"/>
    </row>
    <row r="55" spans="2:51" x14ac:dyDescent="0.25">
      <c r="B55" s="120" t="s">
        <v>388</v>
      </c>
      <c r="C55" s="114" t="s">
        <v>1511</v>
      </c>
      <c r="D55" s="115" t="s">
        <v>18</v>
      </c>
      <c r="E55" s="115" t="s">
        <v>389</v>
      </c>
      <c r="F55" s="71">
        <v>11060700001</v>
      </c>
      <c r="G55" s="123" t="s">
        <v>27</v>
      </c>
      <c r="H55" s="116" t="s">
        <v>137</v>
      </c>
      <c r="I55" s="104">
        <v>0</v>
      </c>
      <c r="J55" s="117">
        <v>4914.8199999999051</v>
      </c>
      <c r="K55" s="117">
        <v>1655.3800000000267</v>
      </c>
      <c r="L55" s="117">
        <f>IF(Tabela1[[#This Row],[SALDO PARCIAL PENDENTE]]-Tabela1[[#This Row],[1QZ DE FEV 26]]&lt;0,0,Tabela1[[#This Row],[SALDO PARCIAL PENDENTE]]-Tabela1[[#This Row],[1QZ DE FEV 26]])</f>
        <v>3259.4399999998786</v>
      </c>
      <c r="M55" s="68">
        <v>3000</v>
      </c>
      <c r="N55" s="117">
        <v>71.180000000000007</v>
      </c>
      <c r="O55" s="69"/>
      <c r="P55" s="118">
        <f>Tabela1[[#This Row],[2QZ DE JAN 26]]-Tabela1[[#This Row],[SALDO PENDENTE FINAL]]-Tabela1[[#This Row],[SALDO CARTAO]]-Tabela1[[#This Row],[ADIANTAMENTO]]</f>
        <v>-330.61999999987864</v>
      </c>
      <c r="Q55" s="119"/>
      <c r="R55" s="130">
        <f>IF(Tabela1[[#This Row],[CARGA PARCIAL]]&lt;0,0,Tabela1[[#This Row],[CARGA PARCIAL]])+Tabela1[[#This Row],[REEMBOLSO]]</f>
        <v>0</v>
      </c>
      <c r="S55" s="129" t="s">
        <v>22</v>
      </c>
      <c r="T55" s="69"/>
      <c r="U55" s="38"/>
      <c r="AW55"/>
      <c r="AX55"/>
      <c r="AY55"/>
    </row>
    <row r="56" spans="2:51" x14ac:dyDescent="0.25">
      <c r="B56" s="120" t="s">
        <v>777</v>
      </c>
      <c r="C56" s="114" t="s">
        <v>778</v>
      </c>
      <c r="D56" s="115" t="s">
        <v>18</v>
      </c>
      <c r="E56" s="115" t="s">
        <v>453</v>
      </c>
      <c r="F56" s="71">
        <v>11062640001</v>
      </c>
      <c r="G56" s="127" t="s">
        <v>65</v>
      </c>
      <c r="H56" s="116" t="s">
        <v>31</v>
      </c>
      <c r="I56" s="104">
        <v>0</v>
      </c>
      <c r="J56" s="117">
        <v>4290.8399999999856</v>
      </c>
      <c r="K56" s="117">
        <v>503.76000000001625</v>
      </c>
      <c r="L56" s="117">
        <f>IF(Tabela1[[#This Row],[SALDO PARCIAL PENDENTE]]-Tabela1[[#This Row],[1QZ DE FEV 26]]&lt;0,0,Tabela1[[#This Row],[SALDO PARCIAL PENDENTE]]-Tabela1[[#This Row],[1QZ DE FEV 26]])</f>
        <v>3787.0799999999695</v>
      </c>
      <c r="M56" s="68">
        <v>5000</v>
      </c>
      <c r="N56" s="117">
        <v>22.41</v>
      </c>
      <c r="O56" s="69"/>
      <c r="P56" s="118">
        <f>Tabela1[[#This Row],[2QZ DE JAN 26]]-Tabela1[[#This Row],[SALDO PENDENTE FINAL]]-Tabela1[[#This Row],[SALDO CARTAO]]-Tabela1[[#This Row],[ADIANTAMENTO]]</f>
        <v>1190.5100000000305</v>
      </c>
      <c r="Q56" s="119"/>
      <c r="R56" s="130">
        <f>IF(Tabela1[[#This Row],[CARGA PARCIAL]]&lt;0,0,Tabela1[[#This Row],[CARGA PARCIAL]])+Tabela1[[#This Row],[REEMBOLSO]]</f>
        <v>1190.5100000000305</v>
      </c>
      <c r="S56" s="129" t="s">
        <v>22</v>
      </c>
      <c r="T56" s="69"/>
      <c r="U56" s="38"/>
      <c r="AW56"/>
      <c r="AX56"/>
      <c r="AY56"/>
    </row>
    <row r="57" spans="2:51" x14ac:dyDescent="0.25">
      <c r="B57" s="120" t="s">
        <v>713</v>
      </c>
      <c r="C57" s="114" t="s">
        <v>714</v>
      </c>
      <c r="D57" s="115" t="s">
        <v>18</v>
      </c>
      <c r="E57" s="115" t="s">
        <v>124</v>
      </c>
      <c r="F57" s="71">
        <v>11030750001</v>
      </c>
      <c r="G57" s="127" t="s">
        <v>65</v>
      </c>
      <c r="H57" s="116" t="s">
        <v>31</v>
      </c>
      <c r="I57" s="104">
        <v>0</v>
      </c>
      <c r="J57" s="117">
        <v>4263.4000000000051</v>
      </c>
      <c r="K57" s="117">
        <v>2319.0600000000086</v>
      </c>
      <c r="L57" s="117">
        <f>IF(Tabela1[[#This Row],[SALDO PARCIAL PENDENTE]]-Tabela1[[#This Row],[1QZ DE FEV 26]]&lt;0,0,Tabela1[[#This Row],[SALDO PARCIAL PENDENTE]]-Tabela1[[#This Row],[1QZ DE FEV 26]])</f>
        <v>1944.3399999999965</v>
      </c>
      <c r="M57" s="68">
        <v>1750</v>
      </c>
      <c r="N57" s="117">
        <v>9.18</v>
      </c>
      <c r="O57" s="69"/>
      <c r="P57" s="118">
        <f>Tabela1[[#This Row],[2QZ DE JAN 26]]-Tabela1[[#This Row],[SALDO PENDENTE FINAL]]-Tabela1[[#This Row],[SALDO CARTAO]]-Tabela1[[#This Row],[ADIANTAMENTO]]</f>
        <v>-203.51999999999651</v>
      </c>
      <c r="Q57" s="119"/>
      <c r="R57" s="130">
        <f>IF(Tabela1[[#This Row],[CARGA PARCIAL]]&lt;0,0,Tabela1[[#This Row],[CARGA PARCIAL]])+Tabela1[[#This Row],[REEMBOLSO]]</f>
        <v>0</v>
      </c>
      <c r="S57" s="129" t="s">
        <v>22</v>
      </c>
      <c r="T57" s="69"/>
      <c r="U57" s="38"/>
      <c r="AW57"/>
      <c r="AX57"/>
      <c r="AY57"/>
    </row>
    <row r="58" spans="2:51" x14ac:dyDescent="0.25">
      <c r="B58" s="120" t="s">
        <v>757</v>
      </c>
      <c r="C58" s="114" t="s">
        <v>758</v>
      </c>
      <c r="D58" s="115" t="s">
        <v>18</v>
      </c>
      <c r="E58" s="115" t="s">
        <v>168</v>
      </c>
      <c r="F58" s="71">
        <v>11010410001</v>
      </c>
      <c r="G58" s="127" t="s">
        <v>30</v>
      </c>
      <c r="H58" s="116" t="s">
        <v>31</v>
      </c>
      <c r="I58" s="104">
        <v>0</v>
      </c>
      <c r="J58" s="117">
        <v>4249.910000000008</v>
      </c>
      <c r="K58" s="117">
        <v>0</v>
      </c>
      <c r="L58" s="117">
        <f>IF(Tabela1[[#This Row],[SALDO PARCIAL PENDENTE]]-Tabela1[[#This Row],[1QZ DE FEV 26]]&lt;0,0,Tabela1[[#This Row],[SALDO PARCIAL PENDENTE]]-Tabela1[[#This Row],[1QZ DE FEV 26]])</f>
        <v>4249.910000000008</v>
      </c>
      <c r="M58" s="68">
        <v>4000</v>
      </c>
      <c r="N58" s="117">
        <v>213.94</v>
      </c>
      <c r="O58" s="69"/>
      <c r="P58" s="118">
        <f>Tabela1[[#This Row],[2QZ DE JAN 26]]-Tabela1[[#This Row],[SALDO PENDENTE FINAL]]-Tabela1[[#This Row],[SALDO CARTAO]]-Tabela1[[#This Row],[ADIANTAMENTO]]</f>
        <v>-463.85000000000804</v>
      </c>
      <c r="Q58" s="119"/>
      <c r="R58" s="130">
        <f>IF(Tabela1[[#This Row],[CARGA PARCIAL]]&lt;0,0,Tabela1[[#This Row],[CARGA PARCIAL]])+Tabela1[[#This Row],[REEMBOLSO]]</f>
        <v>0</v>
      </c>
      <c r="S58" s="129" t="s">
        <v>22</v>
      </c>
      <c r="T58" s="69"/>
      <c r="U58" s="38"/>
      <c r="AW58"/>
      <c r="AX58"/>
      <c r="AY58"/>
    </row>
    <row r="59" spans="2:51" x14ac:dyDescent="0.25">
      <c r="B59" s="121" t="s">
        <v>400</v>
      </c>
      <c r="C59" s="122" t="s">
        <v>401</v>
      </c>
      <c r="D59" s="115" t="s">
        <v>18</v>
      </c>
      <c r="E59" s="123" t="s">
        <v>267</v>
      </c>
      <c r="F59" s="71">
        <v>11080170001</v>
      </c>
      <c r="G59" s="127" t="s">
        <v>65</v>
      </c>
      <c r="H59" s="124" t="s">
        <v>31</v>
      </c>
      <c r="I59" s="104">
        <v>0</v>
      </c>
      <c r="J59" s="117">
        <v>4169.3099999999977</v>
      </c>
      <c r="K59" s="117">
        <v>0</v>
      </c>
      <c r="L59" s="117">
        <f>IF(Tabela1[[#This Row],[SALDO PARCIAL PENDENTE]]-Tabela1[[#This Row],[1QZ DE FEV 26]]&lt;0,0,Tabela1[[#This Row],[SALDO PARCIAL PENDENTE]]-Tabela1[[#This Row],[1QZ DE FEV 26]])</f>
        <v>4169.3099999999977</v>
      </c>
      <c r="M59" s="68">
        <v>6000</v>
      </c>
      <c r="N59" s="117">
        <v>0</v>
      </c>
      <c r="O59" s="72"/>
      <c r="P59" s="125">
        <f>Tabela1[[#This Row],[2QZ DE JAN 26]]-Tabela1[[#This Row],[SALDO PENDENTE FINAL]]-Tabela1[[#This Row],[SALDO CARTAO]]-Tabela1[[#This Row],[ADIANTAMENTO]]</f>
        <v>1830.6900000000023</v>
      </c>
      <c r="Q59" s="126"/>
      <c r="R59" s="130">
        <f>IF(Tabela1[[#This Row],[CARGA PARCIAL]]&lt;0,0,Tabela1[[#This Row],[CARGA PARCIAL]])+Tabela1[[#This Row],[REEMBOLSO]]</f>
        <v>1830.6900000000023</v>
      </c>
      <c r="S59" s="129" t="s">
        <v>22</v>
      </c>
      <c r="T59" s="72"/>
      <c r="U59" s="38"/>
      <c r="AW59"/>
      <c r="AX59"/>
      <c r="AY59"/>
    </row>
    <row r="60" spans="2:51" x14ac:dyDescent="0.25">
      <c r="B60" s="121" t="s">
        <v>165</v>
      </c>
      <c r="C60" s="122" t="s">
        <v>1586</v>
      </c>
      <c r="D60" s="115" t="s">
        <v>18</v>
      </c>
      <c r="E60" s="123" t="s">
        <v>166</v>
      </c>
      <c r="F60" s="71">
        <v>11061870001</v>
      </c>
      <c r="G60" s="123" t="s">
        <v>136</v>
      </c>
      <c r="H60" s="124" t="s">
        <v>137</v>
      </c>
      <c r="I60" s="104">
        <v>0</v>
      </c>
      <c r="J60" s="117">
        <v>4064.3900000000035</v>
      </c>
      <c r="K60" s="117">
        <v>4963.6099999999997</v>
      </c>
      <c r="L60" s="117">
        <f>IF(Tabela1[[#This Row],[SALDO PARCIAL PENDENTE]]-Tabela1[[#This Row],[1QZ DE FEV 26]]&lt;0,0,Tabela1[[#This Row],[SALDO PARCIAL PENDENTE]]-Tabela1[[#This Row],[1QZ DE FEV 26]])</f>
        <v>0</v>
      </c>
      <c r="M60" s="68">
        <v>4200</v>
      </c>
      <c r="N60" s="117">
        <v>100.61</v>
      </c>
      <c r="O60" s="72"/>
      <c r="P60" s="125">
        <f>Tabela1[[#This Row],[2QZ DE JAN 26]]-Tabela1[[#This Row],[SALDO PENDENTE FINAL]]-Tabela1[[#This Row],[SALDO CARTAO]]-Tabela1[[#This Row],[ADIANTAMENTO]]</f>
        <v>4099.3900000000003</v>
      </c>
      <c r="Q60" s="126"/>
      <c r="R60" s="130">
        <f>IF(Tabela1[[#This Row],[CARGA PARCIAL]]&lt;0,0,Tabela1[[#This Row],[CARGA PARCIAL]])+Tabela1[[#This Row],[REEMBOLSO]]</f>
        <v>4099.3900000000003</v>
      </c>
      <c r="S60" s="129" t="s">
        <v>22</v>
      </c>
      <c r="T60" s="72"/>
      <c r="U60" s="38"/>
      <c r="AW60"/>
      <c r="AX60"/>
      <c r="AY60"/>
    </row>
    <row r="61" spans="2:51" x14ac:dyDescent="0.25">
      <c r="B61" s="120" t="s">
        <v>593</v>
      </c>
      <c r="C61" s="114" t="s">
        <v>594</v>
      </c>
      <c r="D61" s="115" t="s">
        <v>18</v>
      </c>
      <c r="E61" s="115" t="s">
        <v>366</v>
      </c>
      <c r="F61" s="71">
        <v>11030660001</v>
      </c>
      <c r="G61" s="123" t="s">
        <v>27</v>
      </c>
      <c r="H61" s="116" t="s">
        <v>137</v>
      </c>
      <c r="I61" s="104">
        <v>0</v>
      </c>
      <c r="J61" s="117">
        <v>4061.1900000000041</v>
      </c>
      <c r="K61" s="117">
        <v>0</v>
      </c>
      <c r="L61" s="117">
        <f>IF(Tabela1[[#This Row],[SALDO PARCIAL PENDENTE]]-Tabela1[[#This Row],[1QZ DE FEV 26]]&lt;0,0,Tabela1[[#This Row],[SALDO PARCIAL PENDENTE]]-Tabela1[[#This Row],[1QZ DE FEV 26]])</f>
        <v>4061.1900000000041</v>
      </c>
      <c r="M61" s="68">
        <v>1000</v>
      </c>
      <c r="N61" s="117">
        <v>0</v>
      </c>
      <c r="O61" s="69"/>
      <c r="P61" s="118">
        <f>Tabela1[[#This Row],[2QZ DE JAN 26]]-Tabela1[[#This Row],[SALDO PENDENTE FINAL]]-Tabela1[[#This Row],[SALDO CARTAO]]-Tabela1[[#This Row],[ADIANTAMENTO]]</f>
        <v>-3061.1900000000041</v>
      </c>
      <c r="Q61" s="119"/>
      <c r="R61" s="130">
        <f>IF(Tabela1[[#This Row],[CARGA PARCIAL]]&lt;0,0,Tabela1[[#This Row],[CARGA PARCIAL]])+Tabela1[[#This Row],[REEMBOLSO]]</f>
        <v>0</v>
      </c>
      <c r="S61" s="129" t="s">
        <v>22</v>
      </c>
      <c r="T61" s="69"/>
      <c r="U61" s="38"/>
      <c r="AW61"/>
      <c r="AX61"/>
      <c r="AY61"/>
    </row>
    <row r="62" spans="2:51" x14ac:dyDescent="0.25">
      <c r="B62" s="120" t="s">
        <v>274</v>
      </c>
      <c r="C62" s="114" t="s">
        <v>1598</v>
      </c>
      <c r="D62" s="115" t="s">
        <v>18</v>
      </c>
      <c r="E62" s="115" t="s">
        <v>275</v>
      </c>
      <c r="F62" s="71">
        <v>11050090001</v>
      </c>
      <c r="G62" s="127" t="s">
        <v>78</v>
      </c>
      <c r="H62" s="116" t="s">
        <v>21</v>
      </c>
      <c r="I62" s="104">
        <v>0</v>
      </c>
      <c r="J62" s="117">
        <v>4000</v>
      </c>
      <c r="K62" s="117">
        <v>0</v>
      </c>
      <c r="L62" s="117">
        <f>IF(Tabela1[[#This Row],[SALDO PARCIAL PENDENTE]]-Tabela1[[#This Row],[1QZ DE FEV 26]]&lt;0,0,Tabela1[[#This Row],[SALDO PARCIAL PENDENTE]]-Tabela1[[#This Row],[1QZ DE FEV 26]])</f>
        <v>4000</v>
      </c>
      <c r="M62" s="68">
        <v>2000</v>
      </c>
      <c r="N62" s="117">
        <v>0</v>
      </c>
      <c r="O62" s="69"/>
      <c r="P62" s="118">
        <f>Tabela1[[#This Row],[2QZ DE JAN 26]]-Tabela1[[#This Row],[SALDO PENDENTE FINAL]]-Tabela1[[#This Row],[SALDO CARTAO]]-Tabela1[[#This Row],[ADIANTAMENTO]]</f>
        <v>-2000</v>
      </c>
      <c r="Q62" s="119"/>
      <c r="R62" s="130">
        <f>IF(Tabela1[[#This Row],[CARGA PARCIAL]]&lt;0,0,Tabela1[[#This Row],[CARGA PARCIAL]])+Tabela1[[#This Row],[REEMBOLSO]]</f>
        <v>0</v>
      </c>
      <c r="S62" s="129" t="s">
        <v>22</v>
      </c>
      <c r="T62" s="69"/>
      <c r="U62" s="38"/>
      <c r="AW62"/>
      <c r="AX62"/>
      <c r="AY62"/>
    </row>
    <row r="63" spans="2:51" x14ac:dyDescent="0.25">
      <c r="B63" s="121" t="s">
        <v>709</v>
      </c>
      <c r="C63" s="122" t="s">
        <v>710</v>
      </c>
      <c r="D63" s="115" t="s">
        <v>18</v>
      </c>
      <c r="E63" s="123" t="s">
        <v>64</v>
      </c>
      <c r="F63" s="71">
        <v>11030840001</v>
      </c>
      <c r="G63" s="127" t="s">
        <v>65</v>
      </c>
      <c r="H63" s="124" t="s">
        <v>31</v>
      </c>
      <c r="I63" s="104">
        <v>0</v>
      </c>
      <c r="J63" s="117">
        <v>3777.7900000000018</v>
      </c>
      <c r="K63" s="117">
        <v>0</v>
      </c>
      <c r="L63" s="117">
        <f>IF(Tabela1[[#This Row],[SALDO PARCIAL PENDENTE]]-Tabela1[[#This Row],[1QZ DE FEV 26]]&lt;0,0,Tabela1[[#This Row],[SALDO PARCIAL PENDENTE]]-Tabela1[[#This Row],[1QZ DE FEV 26]])</f>
        <v>3777.7900000000018</v>
      </c>
      <c r="M63" s="68">
        <v>4000</v>
      </c>
      <c r="N63" s="117">
        <v>822.54</v>
      </c>
      <c r="O63" s="72"/>
      <c r="P63" s="125">
        <f>Tabela1[[#This Row],[2QZ DE JAN 26]]-Tabela1[[#This Row],[SALDO PENDENTE FINAL]]-Tabela1[[#This Row],[SALDO CARTAO]]-Tabela1[[#This Row],[ADIANTAMENTO]]</f>
        <v>-600.33000000000175</v>
      </c>
      <c r="Q63" s="126"/>
      <c r="R63" s="130">
        <f>IF(Tabela1[[#This Row],[CARGA PARCIAL]]&lt;0,0,Tabela1[[#This Row],[CARGA PARCIAL]])+Tabela1[[#This Row],[REEMBOLSO]]</f>
        <v>0</v>
      </c>
      <c r="S63" s="129" t="s">
        <v>22</v>
      </c>
      <c r="T63" s="72"/>
      <c r="U63" s="38"/>
      <c r="AW63"/>
      <c r="AX63"/>
      <c r="AY63"/>
    </row>
    <row r="64" spans="2:51" x14ac:dyDescent="0.25">
      <c r="B64" s="134" t="s">
        <v>138</v>
      </c>
      <c r="C64" s="135" t="s">
        <v>1588</v>
      </c>
      <c r="D64" s="136" t="s">
        <v>18</v>
      </c>
      <c r="E64" s="137" t="s">
        <v>139</v>
      </c>
      <c r="F64" s="137">
        <v>11061940001</v>
      </c>
      <c r="G64" s="137" t="s">
        <v>30</v>
      </c>
      <c r="H64" s="139" t="s">
        <v>31</v>
      </c>
      <c r="I64" s="140">
        <v>0</v>
      </c>
      <c r="J64" s="141">
        <v>1795.18</v>
      </c>
      <c r="K64" s="141">
        <v>0</v>
      </c>
      <c r="L64" s="141">
        <f>IF(Tabela1[[#This Row],[SALDO PARCIAL PENDENTE]]-Tabela1[[#This Row],[1QZ DE FEV 26]]&lt;0,0,Tabela1[[#This Row],[SALDO PARCIAL PENDENTE]]-Tabela1[[#This Row],[1QZ DE FEV 26]])</f>
        <v>1795.18</v>
      </c>
      <c r="M64" s="142">
        <v>2400</v>
      </c>
      <c r="N64" s="141">
        <v>4.82</v>
      </c>
      <c r="O64" s="143"/>
      <c r="P64" s="144">
        <f>Tabela1[[#This Row],[2QZ DE JAN 26]]-Tabela1[[#This Row],[SALDO PENDENTE FINAL]]-Tabela1[[#This Row],[SALDO CARTAO]]-Tabela1[[#This Row],[ADIANTAMENTO]]</f>
        <v>599.99999999999989</v>
      </c>
      <c r="Q64" s="145"/>
      <c r="R64" s="146">
        <f>IF(Tabela1[[#This Row],[CARGA PARCIAL]]&lt;0,0,Tabela1[[#This Row],[CARGA PARCIAL]])+Tabela1[[#This Row],[REEMBOLSO]]</f>
        <v>599.99999999999989</v>
      </c>
      <c r="S64" s="147" t="s">
        <v>22</v>
      </c>
      <c r="T64" s="72"/>
      <c r="U64" s="38"/>
      <c r="AW64"/>
      <c r="AX64"/>
      <c r="AY64"/>
    </row>
    <row r="65" spans="2:51" x14ac:dyDescent="0.25">
      <c r="B65" s="120" t="s">
        <v>294</v>
      </c>
      <c r="C65" s="114" t="s">
        <v>1501</v>
      </c>
      <c r="D65" s="115" t="s">
        <v>18</v>
      </c>
      <c r="E65" s="115" t="s">
        <v>295</v>
      </c>
      <c r="F65" s="71">
        <v>11061430001</v>
      </c>
      <c r="G65" s="123" t="s">
        <v>20</v>
      </c>
      <c r="H65" s="116" t="s">
        <v>21</v>
      </c>
      <c r="I65" s="104">
        <v>0</v>
      </c>
      <c r="J65" s="117">
        <v>3722.359999999981</v>
      </c>
      <c r="K65" s="117">
        <v>2620.4400000000201</v>
      </c>
      <c r="L65" s="117">
        <f>IF(Tabela1[[#This Row],[SALDO PARCIAL PENDENTE]]-Tabela1[[#This Row],[1QZ DE FEV 26]]&lt;0,0,Tabela1[[#This Row],[SALDO PARCIAL PENDENTE]]-Tabela1[[#This Row],[1QZ DE FEV 26]])</f>
        <v>1101.919999999961</v>
      </c>
      <c r="M65" s="68">
        <v>4900</v>
      </c>
      <c r="N65" s="117">
        <v>699.44</v>
      </c>
      <c r="O65" s="69"/>
      <c r="P65" s="118">
        <f>Tabela1[[#This Row],[2QZ DE JAN 26]]-Tabela1[[#This Row],[SALDO PENDENTE FINAL]]-Tabela1[[#This Row],[SALDO CARTAO]]-Tabela1[[#This Row],[ADIANTAMENTO]]</f>
        <v>3098.640000000039</v>
      </c>
      <c r="Q65" s="119"/>
      <c r="R65" s="130">
        <f>IF(Tabela1[[#This Row],[CARGA PARCIAL]]&lt;0,0,Tabela1[[#This Row],[CARGA PARCIAL]])+Tabela1[[#This Row],[REEMBOLSO]]</f>
        <v>3098.640000000039</v>
      </c>
      <c r="S65" s="129" t="s">
        <v>22</v>
      </c>
      <c r="T65" s="69"/>
      <c r="U65" s="38"/>
      <c r="AW65"/>
      <c r="AX65"/>
      <c r="AY65"/>
    </row>
    <row r="66" spans="2:51" x14ac:dyDescent="0.25">
      <c r="B66" s="120" t="s">
        <v>552</v>
      </c>
      <c r="C66" s="114" t="s">
        <v>553</v>
      </c>
      <c r="D66" s="115" t="s">
        <v>18</v>
      </c>
      <c r="E66" s="115" t="s">
        <v>554</v>
      </c>
      <c r="F66" s="71">
        <v>11061880001</v>
      </c>
      <c r="G66" s="127" t="s">
        <v>27</v>
      </c>
      <c r="H66" s="116" t="s">
        <v>137</v>
      </c>
      <c r="I66" s="104">
        <v>0</v>
      </c>
      <c r="J66" s="117">
        <v>3658.2300000000018</v>
      </c>
      <c r="K66" s="117">
        <v>2325.86</v>
      </c>
      <c r="L66" s="117">
        <f>IF(Tabela1[[#This Row],[SALDO PARCIAL PENDENTE]]-Tabela1[[#This Row],[1QZ DE FEV 26]]&lt;0,0,Tabela1[[#This Row],[SALDO PARCIAL PENDENTE]]-Tabela1[[#This Row],[1QZ DE FEV 26]])</f>
        <v>1332.3700000000017</v>
      </c>
      <c r="M66" s="68">
        <v>2000</v>
      </c>
      <c r="N66" s="117">
        <v>471.35</v>
      </c>
      <c r="O66" s="69">
        <v>2000</v>
      </c>
      <c r="P66" s="118">
        <f>Tabela1[[#This Row],[2QZ DE JAN 26]]-Tabela1[[#This Row],[SALDO PENDENTE FINAL]]-Tabela1[[#This Row],[SALDO CARTAO]]-Tabela1[[#This Row],[ADIANTAMENTO]]</f>
        <v>-1803.7200000000016</v>
      </c>
      <c r="Q66" s="119"/>
      <c r="R66" s="130">
        <f>IF(Tabela1[[#This Row],[CARGA PARCIAL]]&lt;0,0,Tabela1[[#This Row],[CARGA PARCIAL]])+Tabela1[[#This Row],[REEMBOLSO]]</f>
        <v>0</v>
      </c>
      <c r="S66" s="129" t="s">
        <v>22</v>
      </c>
      <c r="T66" s="69"/>
      <c r="U66" s="38"/>
      <c r="AW66"/>
      <c r="AX66"/>
      <c r="AY66"/>
    </row>
    <row r="67" spans="2:51" s="36" customFormat="1" x14ac:dyDescent="0.25">
      <c r="B67" s="120" t="s">
        <v>276</v>
      </c>
      <c r="C67" s="114" t="s">
        <v>1794</v>
      </c>
      <c r="D67" s="115" t="s">
        <v>18</v>
      </c>
      <c r="E67" s="115" t="s">
        <v>69</v>
      </c>
      <c r="F67" s="71">
        <v>11030600001</v>
      </c>
      <c r="G67" s="127" t="s">
        <v>34</v>
      </c>
      <c r="H67" s="116" t="s">
        <v>31</v>
      </c>
      <c r="I67" s="104">
        <v>0</v>
      </c>
      <c r="J67" s="117">
        <v>3483.9799999999636</v>
      </c>
      <c r="K67" s="117">
        <v>2469.5200000000477</v>
      </c>
      <c r="L67" s="117">
        <f>IF(Tabela1[[#This Row],[SALDO PARCIAL PENDENTE]]-Tabela1[[#This Row],[1QZ DE FEV 26]]&lt;0,0,Tabela1[[#This Row],[SALDO PARCIAL PENDENTE]]-Tabela1[[#This Row],[1QZ DE FEV 26]])</f>
        <v>1014.4599999999159</v>
      </c>
      <c r="M67" s="68">
        <v>2800</v>
      </c>
      <c r="N67" s="117">
        <v>0.52</v>
      </c>
      <c r="O67" s="69"/>
      <c r="P67" s="118">
        <f>Tabela1[[#This Row],[2QZ DE JAN 26]]-Tabela1[[#This Row],[SALDO PENDENTE FINAL]]-Tabela1[[#This Row],[SALDO CARTAO]]-Tabela1[[#This Row],[ADIANTAMENTO]]</f>
        <v>1785.0200000000841</v>
      </c>
      <c r="Q67" s="119"/>
      <c r="R67" s="130">
        <f>IF(Tabela1[[#This Row],[CARGA PARCIAL]]&lt;0,0,Tabela1[[#This Row],[CARGA PARCIAL]])+Tabela1[[#This Row],[REEMBOLSO]]</f>
        <v>1785.0200000000841</v>
      </c>
      <c r="S67" s="129" t="s">
        <v>22</v>
      </c>
      <c r="T67" s="6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</row>
    <row r="68" spans="2:51" s="36" customFormat="1" x14ac:dyDescent="0.25">
      <c r="B68" s="120" t="s">
        <v>134</v>
      </c>
      <c r="C68" s="114" t="s">
        <v>1505</v>
      </c>
      <c r="D68" s="115" t="s">
        <v>18</v>
      </c>
      <c r="E68" s="115" t="s">
        <v>135</v>
      </c>
      <c r="F68" s="71">
        <v>11080220001</v>
      </c>
      <c r="G68" s="127" t="s">
        <v>136</v>
      </c>
      <c r="H68" s="116" t="s">
        <v>137</v>
      </c>
      <c r="I68" s="104">
        <v>0</v>
      </c>
      <c r="J68" s="117">
        <v>3403.900000000006</v>
      </c>
      <c r="K68" s="117">
        <v>0</v>
      </c>
      <c r="L68" s="117">
        <f>IF(Tabela1[[#This Row],[SALDO PARCIAL PENDENTE]]-Tabela1[[#This Row],[1QZ DE FEV 26]]&lt;0,0,Tabela1[[#This Row],[SALDO PARCIAL PENDENTE]]-Tabela1[[#This Row],[1QZ DE FEV 26]])</f>
        <v>3403.900000000006</v>
      </c>
      <c r="M68" s="68">
        <v>6200</v>
      </c>
      <c r="N68" s="117">
        <v>2454.1999999999998</v>
      </c>
      <c r="O68" s="69"/>
      <c r="P68" s="118">
        <f>Tabela1[[#This Row],[2QZ DE JAN 26]]-Tabela1[[#This Row],[SALDO PENDENTE FINAL]]-Tabela1[[#This Row],[SALDO CARTAO]]-Tabela1[[#This Row],[ADIANTAMENTO]]</f>
        <v>341.89999999999418</v>
      </c>
      <c r="Q68" s="119"/>
      <c r="R68" s="130">
        <f>IF(Tabela1[[#This Row],[CARGA PARCIAL]]&lt;0,0,Tabela1[[#This Row],[CARGA PARCIAL]])+Tabela1[[#This Row],[REEMBOLSO]]</f>
        <v>341.89999999999418</v>
      </c>
      <c r="S68" s="129" t="s">
        <v>22</v>
      </c>
      <c r="T68" s="6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</row>
    <row r="69" spans="2:51" s="36" customFormat="1" x14ac:dyDescent="0.25">
      <c r="B69" s="120" t="s">
        <v>86</v>
      </c>
      <c r="C69" s="114" t="s">
        <v>1770</v>
      </c>
      <c r="D69" s="115" t="s">
        <v>18</v>
      </c>
      <c r="E69" s="115" t="s">
        <v>87</v>
      </c>
      <c r="F69" s="71">
        <v>1201007</v>
      </c>
      <c r="G69" s="127" t="s">
        <v>78</v>
      </c>
      <c r="H69" s="116" t="s">
        <v>21</v>
      </c>
      <c r="I69" s="104">
        <v>0</v>
      </c>
      <c r="J69" s="117">
        <v>3227.35</v>
      </c>
      <c r="K69" s="117">
        <v>0</v>
      </c>
      <c r="L69" s="117">
        <f>IF(Tabela1[[#This Row],[SALDO PARCIAL PENDENTE]]-Tabela1[[#This Row],[1QZ DE FEV 26]]&lt;0,0,Tabela1[[#This Row],[SALDO PARCIAL PENDENTE]]-Tabela1[[#This Row],[1QZ DE FEV 26]])</f>
        <v>3227.35</v>
      </c>
      <c r="M69" s="68">
        <v>500</v>
      </c>
      <c r="N69" s="117">
        <v>0</v>
      </c>
      <c r="O69" s="69"/>
      <c r="P69" s="118">
        <f>Tabela1[[#This Row],[2QZ DE JAN 26]]-Tabela1[[#This Row],[SALDO PENDENTE FINAL]]-Tabela1[[#This Row],[SALDO CARTAO]]-Tabela1[[#This Row],[ADIANTAMENTO]]</f>
        <v>-2727.35</v>
      </c>
      <c r="Q69" s="119"/>
      <c r="R69" s="130">
        <f>IF(Tabela1[[#This Row],[CARGA PARCIAL]]&lt;0,0,Tabela1[[#This Row],[CARGA PARCIAL]])+Tabela1[[#This Row],[REEMBOLSO]]</f>
        <v>0</v>
      </c>
      <c r="S69" s="129" t="s">
        <v>22</v>
      </c>
      <c r="T69" s="6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</row>
    <row r="70" spans="2:51" s="36" customFormat="1" x14ac:dyDescent="0.25">
      <c r="B70" s="121" t="s">
        <v>186</v>
      </c>
      <c r="C70" s="122" t="s">
        <v>1783</v>
      </c>
      <c r="D70" s="115" t="s">
        <v>18</v>
      </c>
      <c r="E70" s="123" t="s">
        <v>187</v>
      </c>
      <c r="F70" s="71">
        <v>11030870001</v>
      </c>
      <c r="G70" s="127" t="s">
        <v>78</v>
      </c>
      <c r="H70" s="124" t="s">
        <v>21</v>
      </c>
      <c r="I70" s="104">
        <v>0</v>
      </c>
      <c r="J70" s="117">
        <v>3224.8500000000045</v>
      </c>
      <c r="K70" s="117">
        <v>924.06999999999869</v>
      </c>
      <c r="L70" s="117">
        <f>IF(Tabela1[[#This Row],[SALDO PARCIAL PENDENTE]]-Tabela1[[#This Row],[1QZ DE FEV 26]]&lt;0,0,Tabela1[[#This Row],[SALDO PARCIAL PENDENTE]]-Tabela1[[#This Row],[1QZ DE FEV 26]])</f>
        <v>2300.7800000000057</v>
      </c>
      <c r="M70" s="68">
        <v>3250</v>
      </c>
      <c r="N70" s="117">
        <v>18.149999999999999</v>
      </c>
      <c r="O70" s="72"/>
      <c r="P70" s="125">
        <f>Tabela1[[#This Row],[2QZ DE JAN 26]]-Tabela1[[#This Row],[SALDO PENDENTE FINAL]]-Tabela1[[#This Row],[SALDO CARTAO]]-Tabela1[[#This Row],[ADIANTAMENTO]]</f>
        <v>931.06999999999437</v>
      </c>
      <c r="Q70" s="126"/>
      <c r="R70" s="130">
        <f>IF(Tabela1[[#This Row],[CARGA PARCIAL]]&lt;0,0,Tabela1[[#This Row],[CARGA PARCIAL]])+Tabela1[[#This Row],[REEMBOLSO]]</f>
        <v>931.06999999999437</v>
      </c>
      <c r="S70" s="129" t="s">
        <v>22</v>
      </c>
      <c r="T70" s="72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</row>
    <row r="71" spans="2:51" x14ac:dyDescent="0.25">
      <c r="B71" s="120" t="s">
        <v>268</v>
      </c>
      <c r="C71" s="114" t="s">
        <v>1793</v>
      </c>
      <c r="D71" s="115" t="s">
        <v>18</v>
      </c>
      <c r="E71" s="115" t="s">
        <v>53</v>
      </c>
      <c r="F71" s="71">
        <v>11061480001</v>
      </c>
      <c r="G71" s="123" t="s">
        <v>24</v>
      </c>
      <c r="H71" s="116" t="s">
        <v>21</v>
      </c>
      <c r="I71" s="104">
        <v>0</v>
      </c>
      <c r="J71" s="117">
        <v>3082.8099999999708</v>
      </c>
      <c r="K71" s="117">
        <v>0</v>
      </c>
      <c r="L71" s="117">
        <f>IF(Tabela1[[#This Row],[SALDO PARCIAL PENDENTE]]-Tabela1[[#This Row],[1QZ DE FEV 26]]&lt;0,0,Tabela1[[#This Row],[SALDO PARCIAL PENDENTE]]-Tabela1[[#This Row],[1QZ DE FEV 26]])</f>
        <v>3082.8099999999708</v>
      </c>
      <c r="M71" s="68">
        <v>4000</v>
      </c>
      <c r="N71" s="117">
        <v>917.19</v>
      </c>
      <c r="O71" s="69"/>
      <c r="P71" s="118">
        <f>Tabela1[[#This Row],[2QZ DE JAN 26]]-Tabela1[[#This Row],[SALDO PENDENTE FINAL]]-Tabela1[[#This Row],[SALDO CARTAO]]-Tabela1[[#This Row],[ADIANTAMENTO]]</f>
        <v>2.9103830456733704E-11</v>
      </c>
      <c r="Q71" s="119"/>
      <c r="R71" s="130">
        <f>IF(Tabela1[[#This Row],[CARGA PARCIAL]]&lt;0,0,Tabela1[[#This Row],[CARGA PARCIAL]])+Tabela1[[#This Row],[REEMBOLSO]]</f>
        <v>2.9103830456733704E-11</v>
      </c>
      <c r="S71" s="129" t="s">
        <v>22</v>
      </c>
      <c r="T71" s="69"/>
      <c r="U71" s="37"/>
      <c r="AW71"/>
      <c r="AX71"/>
      <c r="AY71"/>
    </row>
    <row r="72" spans="2:51" x14ac:dyDescent="0.25">
      <c r="B72" s="121" t="s">
        <v>257</v>
      </c>
      <c r="C72" s="122" t="s">
        <v>1681</v>
      </c>
      <c r="D72" s="115" t="s">
        <v>18</v>
      </c>
      <c r="E72" s="123" t="s">
        <v>258</v>
      </c>
      <c r="F72" s="71">
        <v>11030710001</v>
      </c>
      <c r="G72" s="127" t="s">
        <v>30</v>
      </c>
      <c r="H72" s="124" t="s">
        <v>31</v>
      </c>
      <c r="I72" s="104">
        <v>0</v>
      </c>
      <c r="J72" s="117">
        <v>3082.629999999981</v>
      </c>
      <c r="K72" s="117">
        <v>689.97000000003004</v>
      </c>
      <c r="L72" s="117">
        <f>IF(Tabela1[[#This Row],[SALDO PARCIAL PENDENTE]]-Tabela1[[#This Row],[1QZ DE FEV 26]]&lt;0,0,Tabela1[[#This Row],[SALDO PARCIAL PENDENTE]]-Tabela1[[#This Row],[1QZ DE FEV 26]])</f>
        <v>2392.6599999999507</v>
      </c>
      <c r="M72" s="68">
        <v>3600</v>
      </c>
      <c r="N72" s="117">
        <v>729.42</v>
      </c>
      <c r="O72" s="72"/>
      <c r="P72" s="125">
        <f>Tabela1[[#This Row],[2QZ DE JAN 26]]-Tabela1[[#This Row],[SALDO PENDENTE FINAL]]-Tabela1[[#This Row],[SALDO CARTAO]]-Tabela1[[#This Row],[ADIANTAMENTO]]</f>
        <v>477.9200000000493</v>
      </c>
      <c r="Q72" s="126"/>
      <c r="R72" s="130">
        <f>IF(Tabela1[[#This Row],[CARGA PARCIAL]]&lt;0,0,Tabela1[[#This Row],[CARGA PARCIAL]])+Tabela1[[#This Row],[REEMBOLSO]]</f>
        <v>477.9200000000493</v>
      </c>
      <c r="S72" s="129" t="s">
        <v>22</v>
      </c>
      <c r="T72" s="72"/>
      <c r="U72" s="37"/>
      <c r="AW72"/>
      <c r="AX72"/>
      <c r="AY72"/>
    </row>
    <row r="73" spans="2:51" x14ac:dyDescent="0.25">
      <c r="B73" s="121" t="s">
        <v>499</v>
      </c>
      <c r="C73" s="122" t="s">
        <v>500</v>
      </c>
      <c r="D73" s="115" t="s">
        <v>18</v>
      </c>
      <c r="E73" s="123" t="s">
        <v>203</v>
      </c>
      <c r="F73" s="71">
        <v>11030790001</v>
      </c>
      <c r="G73" s="123" t="s">
        <v>30</v>
      </c>
      <c r="H73" s="124" t="s">
        <v>31</v>
      </c>
      <c r="I73" s="104">
        <v>0</v>
      </c>
      <c r="J73" s="117">
        <v>2987.9299999999562</v>
      </c>
      <c r="K73" s="117">
        <v>4831.2200000000594</v>
      </c>
      <c r="L73" s="117">
        <f>IF(Tabela1[[#This Row],[SALDO PARCIAL PENDENTE]]-Tabela1[[#This Row],[1QZ DE FEV 26]]&lt;0,0,Tabela1[[#This Row],[SALDO PARCIAL PENDENTE]]-Tabela1[[#This Row],[1QZ DE FEV 26]])</f>
        <v>0</v>
      </c>
      <c r="M73" s="68">
        <v>6500</v>
      </c>
      <c r="N73" s="117">
        <v>3350.07</v>
      </c>
      <c r="O73" s="72"/>
      <c r="P73" s="125">
        <f>Tabela1[[#This Row],[2QZ DE JAN 26]]-Tabela1[[#This Row],[SALDO PENDENTE FINAL]]-Tabela1[[#This Row],[SALDO CARTAO]]-Tabela1[[#This Row],[ADIANTAMENTO]]</f>
        <v>3149.93</v>
      </c>
      <c r="Q73" s="126"/>
      <c r="R73" s="130">
        <f>IF(Tabela1[[#This Row],[CARGA PARCIAL]]&lt;0,0,Tabela1[[#This Row],[CARGA PARCIAL]])+Tabela1[[#This Row],[REEMBOLSO]]</f>
        <v>3149.93</v>
      </c>
      <c r="S73" s="129" t="s">
        <v>22</v>
      </c>
      <c r="T73" s="72"/>
      <c r="U73" s="37"/>
      <c r="AW73"/>
      <c r="AX73"/>
      <c r="AY73"/>
    </row>
    <row r="74" spans="2:51" x14ac:dyDescent="0.25">
      <c r="B74" s="120" t="s">
        <v>490</v>
      </c>
      <c r="C74" s="114" t="s">
        <v>491</v>
      </c>
      <c r="D74" s="115" t="s">
        <v>18</v>
      </c>
      <c r="E74" s="115" t="s">
        <v>116</v>
      </c>
      <c r="F74" s="71">
        <v>11030850001</v>
      </c>
      <c r="G74" s="123" t="s">
        <v>20</v>
      </c>
      <c r="H74" s="116" t="s">
        <v>21</v>
      </c>
      <c r="I74" s="104">
        <v>0</v>
      </c>
      <c r="J74" s="117">
        <v>2913.3800000000065</v>
      </c>
      <c r="K74" s="117">
        <v>0</v>
      </c>
      <c r="L74" s="117">
        <f>IF(Tabela1[[#This Row],[SALDO PARCIAL PENDENTE]]-Tabela1[[#This Row],[1QZ DE FEV 26]]&lt;0,0,Tabela1[[#This Row],[SALDO PARCIAL PENDENTE]]-Tabela1[[#This Row],[1QZ DE FEV 26]])</f>
        <v>2913.3800000000065</v>
      </c>
      <c r="M74" s="68">
        <v>3000</v>
      </c>
      <c r="N74" s="117">
        <v>1.58</v>
      </c>
      <c r="O74" s="69"/>
      <c r="P74" s="118">
        <f>Tabela1[[#This Row],[2QZ DE JAN 26]]-Tabela1[[#This Row],[SALDO PENDENTE FINAL]]-Tabela1[[#This Row],[SALDO CARTAO]]-Tabela1[[#This Row],[ADIANTAMENTO]]</f>
        <v>85.039999999993526</v>
      </c>
      <c r="Q74" s="119"/>
      <c r="R74" s="130">
        <f>IF(Tabela1[[#This Row],[CARGA PARCIAL]]&lt;0,0,Tabela1[[#This Row],[CARGA PARCIAL]])+Tabela1[[#This Row],[REEMBOLSO]]</f>
        <v>85.039999999993526</v>
      </c>
      <c r="S74" s="129" t="s">
        <v>22</v>
      </c>
      <c r="T74" s="69"/>
      <c r="U74" s="37"/>
      <c r="AW74"/>
      <c r="AX74"/>
      <c r="AY74"/>
    </row>
    <row r="75" spans="2:51" x14ac:dyDescent="0.25">
      <c r="B75" s="121" t="s">
        <v>451</v>
      </c>
      <c r="C75" s="122" t="s">
        <v>452</v>
      </c>
      <c r="D75" s="115" t="s">
        <v>18</v>
      </c>
      <c r="E75" s="123" t="s">
        <v>453</v>
      </c>
      <c r="F75" s="71">
        <v>11062640001</v>
      </c>
      <c r="G75" s="127" t="s">
        <v>65</v>
      </c>
      <c r="H75" s="124" t="s">
        <v>31</v>
      </c>
      <c r="I75" s="104">
        <v>0</v>
      </c>
      <c r="J75" s="117">
        <v>2865.6400000000031</v>
      </c>
      <c r="K75" s="117">
        <v>0</v>
      </c>
      <c r="L75" s="117">
        <f>IF(Tabela1[[#This Row],[SALDO PARCIAL PENDENTE]]-Tabela1[[#This Row],[1QZ DE FEV 26]]&lt;0,0,Tabela1[[#This Row],[SALDO PARCIAL PENDENTE]]-Tabela1[[#This Row],[1QZ DE FEV 26]])</f>
        <v>2865.6400000000031</v>
      </c>
      <c r="M75" s="68">
        <v>4000</v>
      </c>
      <c r="N75" s="117">
        <v>0</v>
      </c>
      <c r="O75" s="72"/>
      <c r="P75" s="125">
        <f>Tabela1[[#This Row],[2QZ DE JAN 26]]-Tabela1[[#This Row],[SALDO PENDENTE FINAL]]-Tabela1[[#This Row],[SALDO CARTAO]]-Tabela1[[#This Row],[ADIANTAMENTO]]</f>
        <v>1134.3599999999969</v>
      </c>
      <c r="Q75" s="126"/>
      <c r="R75" s="130">
        <f>IF(Tabela1[[#This Row],[CARGA PARCIAL]]&lt;0,0,Tabela1[[#This Row],[CARGA PARCIAL]])+Tabela1[[#This Row],[REEMBOLSO]]</f>
        <v>1134.3599999999969</v>
      </c>
      <c r="S75" s="129" t="s">
        <v>22</v>
      </c>
      <c r="T75" s="72"/>
      <c r="U75" s="37"/>
      <c r="AW75"/>
      <c r="AX75"/>
      <c r="AY75"/>
    </row>
    <row r="76" spans="2:51" x14ac:dyDescent="0.25">
      <c r="B76" s="120" t="s">
        <v>154</v>
      </c>
      <c r="C76" s="114" t="s">
        <v>1577</v>
      </c>
      <c r="D76" s="115" t="s">
        <v>18</v>
      </c>
      <c r="E76" s="115" t="s">
        <v>155</v>
      </c>
      <c r="F76" s="71">
        <v>11030580001</v>
      </c>
      <c r="G76" s="123" t="s">
        <v>34</v>
      </c>
      <c r="H76" s="116" t="s">
        <v>31</v>
      </c>
      <c r="I76" s="104">
        <v>0</v>
      </c>
      <c r="J76" s="117">
        <v>2764.369999999999</v>
      </c>
      <c r="K76" s="117">
        <v>0</v>
      </c>
      <c r="L76" s="117">
        <f>IF(Tabela1[[#This Row],[SALDO PARCIAL PENDENTE]]-Tabela1[[#This Row],[1QZ DE FEV 26]]&lt;0,0,Tabela1[[#This Row],[SALDO PARCIAL PENDENTE]]-Tabela1[[#This Row],[1QZ DE FEV 26]])</f>
        <v>2764.369999999999</v>
      </c>
      <c r="M76" s="68">
        <v>2800</v>
      </c>
      <c r="N76" s="117">
        <v>0</v>
      </c>
      <c r="O76" s="69"/>
      <c r="P76" s="118">
        <f>Tabela1[[#This Row],[2QZ DE JAN 26]]-Tabela1[[#This Row],[SALDO PENDENTE FINAL]]-Tabela1[[#This Row],[SALDO CARTAO]]-Tabela1[[#This Row],[ADIANTAMENTO]]</f>
        <v>35.630000000001019</v>
      </c>
      <c r="Q76" s="119"/>
      <c r="R76" s="130">
        <f>IF(Tabela1[[#This Row],[CARGA PARCIAL]]&lt;0,0,Tabela1[[#This Row],[CARGA PARCIAL]])+Tabela1[[#This Row],[REEMBOLSO]]</f>
        <v>35.630000000001019</v>
      </c>
      <c r="S76" s="129" t="s">
        <v>22</v>
      </c>
      <c r="T76" s="69"/>
      <c r="U76" s="37"/>
      <c r="AW76"/>
      <c r="AX76"/>
      <c r="AY76"/>
    </row>
    <row r="77" spans="2:51" x14ac:dyDescent="0.25">
      <c r="B77" s="121" t="s">
        <v>342</v>
      </c>
      <c r="C77" s="122" t="s">
        <v>1804</v>
      </c>
      <c r="D77" s="115" t="s">
        <v>18</v>
      </c>
      <c r="E77" s="123" t="s">
        <v>228</v>
      </c>
      <c r="F77" s="71">
        <v>11062670001</v>
      </c>
      <c r="G77" s="123" t="s">
        <v>65</v>
      </c>
      <c r="H77" s="124" t="s">
        <v>31</v>
      </c>
      <c r="I77" s="104">
        <v>0</v>
      </c>
      <c r="J77" s="117">
        <v>2678.7799999999997</v>
      </c>
      <c r="K77" s="117">
        <v>0</v>
      </c>
      <c r="L77" s="117">
        <f>IF(Tabela1[[#This Row],[SALDO PARCIAL PENDENTE]]-Tabela1[[#This Row],[1QZ DE FEV 26]]&lt;0,0,Tabela1[[#This Row],[SALDO PARCIAL PENDENTE]]-Tabela1[[#This Row],[1QZ DE FEV 26]])</f>
        <v>2678.7799999999997</v>
      </c>
      <c r="M77" s="68">
        <v>1000</v>
      </c>
      <c r="N77" s="117">
        <v>0</v>
      </c>
      <c r="O77" s="72"/>
      <c r="P77" s="125">
        <f>Tabela1[[#This Row],[2QZ DE JAN 26]]-Tabela1[[#This Row],[SALDO PENDENTE FINAL]]-Tabela1[[#This Row],[SALDO CARTAO]]-Tabela1[[#This Row],[ADIANTAMENTO]]</f>
        <v>-1678.7799999999997</v>
      </c>
      <c r="Q77" s="126"/>
      <c r="R77" s="130">
        <f>IF(Tabela1[[#This Row],[CARGA PARCIAL]]&lt;0,0,Tabela1[[#This Row],[CARGA PARCIAL]])+Tabela1[[#This Row],[REEMBOLSO]]</f>
        <v>0</v>
      </c>
      <c r="S77" s="129" t="s">
        <v>22</v>
      </c>
      <c r="T77" s="72"/>
      <c r="U77" s="37"/>
      <c r="AW77"/>
      <c r="AX77"/>
      <c r="AY77"/>
    </row>
    <row r="78" spans="2:51" x14ac:dyDescent="0.25">
      <c r="B78" s="121" t="s">
        <v>584</v>
      </c>
      <c r="C78" s="122" t="s">
        <v>585</v>
      </c>
      <c r="D78" s="115" t="s">
        <v>18</v>
      </c>
      <c r="E78" s="123" t="s">
        <v>586</v>
      </c>
      <c r="F78" s="71">
        <v>11062830001</v>
      </c>
      <c r="G78" s="123" t="s">
        <v>24</v>
      </c>
      <c r="H78" s="124" t="s">
        <v>21</v>
      </c>
      <c r="I78" s="104">
        <v>0</v>
      </c>
      <c r="J78" s="117">
        <v>2579.4899999999993</v>
      </c>
      <c r="K78" s="117">
        <v>907</v>
      </c>
      <c r="L78" s="117">
        <f>IF(Tabela1[[#This Row],[SALDO PARCIAL PENDENTE]]-Tabela1[[#This Row],[1QZ DE FEV 26]]&lt;0,0,Tabela1[[#This Row],[SALDO PARCIAL PENDENTE]]-Tabela1[[#This Row],[1QZ DE FEV 26]])</f>
        <v>1672.4899999999993</v>
      </c>
      <c r="M78" s="68">
        <v>1500</v>
      </c>
      <c r="N78" s="117">
        <v>0.92</v>
      </c>
      <c r="O78" s="72"/>
      <c r="P78" s="125">
        <f>Tabela1[[#This Row],[2QZ DE JAN 26]]-Tabela1[[#This Row],[SALDO PENDENTE FINAL]]-Tabela1[[#This Row],[SALDO CARTAO]]-Tabela1[[#This Row],[ADIANTAMENTO]]</f>
        <v>-173.40999999999931</v>
      </c>
      <c r="Q78" s="126"/>
      <c r="R78" s="130">
        <f>IF(Tabela1[[#This Row],[CARGA PARCIAL]]&lt;0,0,Tabela1[[#This Row],[CARGA PARCIAL]])+Tabela1[[#This Row],[REEMBOLSO]]</f>
        <v>0</v>
      </c>
      <c r="S78" s="129" t="s">
        <v>22</v>
      </c>
      <c r="T78" s="72"/>
      <c r="U78" s="37"/>
      <c r="AW78"/>
      <c r="AX78"/>
      <c r="AY78"/>
    </row>
    <row r="79" spans="2:51" x14ac:dyDescent="0.25">
      <c r="B79" s="120" t="s">
        <v>235</v>
      </c>
      <c r="C79" s="114" t="s">
        <v>236</v>
      </c>
      <c r="D79" s="115" t="s">
        <v>18</v>
      </c>
      <c r="E79" s="115" t="s">
        <v>49</v>
      </c>
      <c r="F79" s="71">
        <v>11040160001</v>
      </c>
      <c r="G79" s="123" t="s">
        <v>27</v>
      </c>
      <c r="H79" s="116" t="s">
        <v>137</v>
      </c>
      <c r="I79" s="104">
        <v>0</v>
      </c>
      <c r="J79" s="117">
        <v>2497.6500000000033</v>
      </c>
      <c r="K79" s="117">
        <v>0</v>
      </c>
      <c r="L79" s="117">
        <f>IF(Tabela1[[#This Row],[SALDO PARCIAL PENDENTE]]-Tabela1[[#This Row],[1QZ DE FEV 26]]&lt;0,0,Tabela1[[#This Row],[SALDO PARCIAL PENDENTE]]-Tabela1[[#This Row],[1QZ DE FEV 26]])</f>
        <v>2497.6500000000033</v>
      </c>
      <c r="M79" s="68">
        <v>1500</v>
      </c>
      <c r="N79" s="117">
        <v>0</v>
      </c>
      <c r="O79" s="69"/>
      <c r="P79" s="118">
        <f>Tabela1[[#This Row],[2QZ DE JAN 26]]-Tabela1[[#This Row],[SALDO PENDENTE FINAL]]-Tabela1[[#This Row],[SALDO CARTAO]]-Tabela1[[#This Row],[ADIANTAMENTO]]</f>
        <v>-997.65000000000327</v>
      </c>
      <c r="Q79" s="119"/>
      <c r="R79" s="130">
        <f>IF(Tabela1[[#This Row],[CARGA PARCIAL]]&lt;0,0,Tabela1[[#This Row],[CARGA PARCIAL]])+Tabela1[[#This Row],[REEMBOLSO]]</f>
        <v>0</v>
      </c>
      <c r="S79" s="129" t="s">
        <v>22</v>
      </c>
      <c r="T79" s="69"/>
      <c r="U79" s="37"/>
      <c r="AW79"/>
      <c r="AX79"/>
      <c r="AY79"/>
    </row>
    <row r="80" spans="2:51" x14ac:dyDescent="0.25">
      <c r="B80" s="120" t="s">
        <v>497</v>
      </c>
      <c r="C80" s="114" t="s">
        <v>498</v>
      </c>
      <c r="D80" s="115" t="s">
        <v>18</v>
      </c>
      <c r="E80" s="115" t="s">
        <v>77</v>
      </c>
      <c r="F80" s="71">
        <v>11060710001</v>
      </c>
      <c r="G80" s="127" t="s">
        <v>78</v>
      </c>
      <c r="H80" s="116" t="s">
        <v>21</v>
      </c>
      <c r="I80" s="104">
        <v>0</v>
      </c>
      <c r="J80" s="117">
        <v>2437.0499999999752</v>
      </c>
      <c r="K80" s="117">
        <v>1808.9100000000101</v>
      </c>
      <c r="L80" s="117">
        <f>IF(Tabela1[[#This Row],[SALDO PARCIAL PENDENTE]]-Tabela1[[#This Row],[1QZ DE FEV 26]]&lt;0,0,Tabela1[[#This Row],[SALDO PARCIAL PENDENTE]]-Tabela1[[#This Row],[1QZ DE FEV 26]])</f>
        <v>628.13999999996508</v>
      </c>
      <c r="M80" s="68">
        <v>4000</v>
      </c>
      <c r="N80" s="117">
        <v>40.65</v>
      </c>
      <c r="O80" s="69"/>
      <c r="P80" s="118">
        <f>Tabela1[[#This Row],[2QZ DE JAN 26]]-Tabela1[[#This Row],[SALDO PENDENTE FINAL]]-Tabela1[[#This Row],[SALDO CARTAO]]-Tabela1[[#This Row],[ADIANTAMENTO]]</f>
        <v>3331.2100000000351</v>
      </c>
      <c r="Q80" s="119"/>
      <c r="R80" s="130">
        <f>IF(Tabela1[[#This Row],[CARGA PARCIAL]]&lt;0,0,Tabela1[[#This Row],[CARGA PARCIAL]])+Tabela1[[#This Row],[REEMBOLSO]]</f>
        <v>3331.2100000000351</v>
      </c>
      <c r="S80" s="129" t="s">
        <v>22</v>
      </c>
      <c r="T80" s="69"/>
      <c r="U80" s="37"/>
      <c r="AW80"/>
      <c r="AX80"/>
      <c r="AY80"/>
    </row>
    <row r="81" spans="2:51" x14ac:dyDescent="0.25">
      <c r="B81" s="121" t="s">
        <v>673</v>
      </c>
      <c r="C81" s="122" t="s">
        <v>674</v>
      </c>
      <c r="D81" s="115" t="s">
        <v>18</v>
      </c>
      <c r="E81" s="123" t="s">
        <v>157</v>
      </c>
      <c r="F81" s="71">
        <v>11040040001</v>
      </c>
      <c r="G81" s="127" t="s">
        <v>20</v>
      </c>
      <c r="H81" s="124" t="s">
        <v>21</v>
      </c>
      <c r="I81" s="104">
        <v>0</v>
      </c>
      <c r="J81" s="117">
        <v>2392.1200000000026</v>
      </c>
      <c r="K81" s="117">
        <v>0</v>
      </c>
      <c r="L81" s="117">
        <f>IF(Tabela1[[#This Row],[SALDO PARCIAL PENDENTE]]-Tabela1[[#This Row],[1QZ DE FEV 26]]&lt;0,0,Tabela1[[#This Row],[SALDO PARCIAL PENDENTE]]-Tabela1[[#This Row],[1QZ DE FEV 26]])</f>
        <v>2392.1200000000026</v>
      </c>
      <c r="M81" s="68">
        <v>1100</v>
      </c>
      <c r="N81" s="117">
        <v>6.25</v>
      </c>
      <c r="O81" s="72"/>
      <c r="P81" s="125">
        <f>Tabela1[[#This Row],[2QZ DE JAN 26]]-Tabela1[[#This Row],[SALDO PENDENTE FINAL]]-Tabela1[[#This Row],[SALDO CARTAO]]-Tabela1[[#This Row],[ADIANTAMENTO]]</f>
        <v>-1298.3700000000026</v>
      </c>
      <c r="Q81" s="126"/>
      <c r="R81" s="130">
        <f>IF(Tabela1[[#This Row],[CARGA PARCIAL]]&lt;0,0,Tabela1[[#This Row],[CARGA PARCIAL]])+Tabela1[[#This Row],[REEMBOLSO]]</f>
        <v>0</v>
      </c>
      <c r="S81" s="129" t="s">
        <v>22</v>
      </c>
      <c r="T81" s="72"/>
      <c r="U81" s="37"/>
      <c r="AW81"/>
      <c r="AX81"/>
      <c r="AY81"/>
    </row>
    <row r="82" spans="2:51" x14ac:dyDescent="0.25">
      <c r="B82" s="121" t="s">
        <v>338</v>
      </c>
      <c r="C82" s="122" t="s">
        <v>1603</v>
      </c>
      <c r="D82" s="115" t="s">
        <v>18</v>
      </c>
      <c r="E82" s="123" t="s">
        <v>113</v>
      </c>
      <c r="F82" s="71">
        <v>11061720001</v>
      </c>
      <c r="G82" s="123" t="s">
        <v>30</v>
      </c>
      <c r="H82" s="124" t="s">
        <v>31</v>
      </c>
      <c r="I82" s="104">
        <v>0</v>
      </c>
      <c r="J82" s="117">
        <v>2251.85</v>
      </c>
      <c r="K82" s="117">
        <v>0</v>
      </c>
      <c r="L82" s="117">
        <f>IF(Tabela1[[#This Row],[SALDO PARCIAL PENDENTE]]-Tabela1[[#This Row],[1QZ DE FEV 26]]&lt;0,0,Tabela1[[#This Row],[SALDO PARCIAL PENDENTE]]-Tabela1[[#This Row],[1QZ DE FEV 26]])</f>
        <v>2251.85</v>
      </c>
      <c r="M82" s="68">
        <v>1600</v>
      </c>
      <c r="N82" s="117">
        <v>19.440000000000001</v>
      </c>
      <c r="O82" s="72"/>
      <c r="P82" s="125">
        <f>Tabela1[[#This Row],[2QZ DE JAN 26]]-Tabela1[[#This Row],[SALDO PENDENTE FINAL]]-Tabela1[[#This Row],[SALDO CARTAO]]-Tabela1[[#This Row],[ADIANTAMENTO]]</f>
        <v>-671.29</v>
      </c>
      <c r="Q82" s="126"/>
      <c r="R82" s="130">
        <f>IF(Tabela1[[#This Row],[CARGA PARCIAL]]&lt;0,0,Tabela1[[#This Row],[CARGA PARCIAL]])+Tabela1[[#This Row],[REEMBOLSO]]</f>
        <v>0</v>
      </c>
      <c r="S82" s="129" t="s">
        <v>22</v>
      </c>
      <c r="T82" s="72"/>
      <c r="U82" s="37"/>
      <c r="AW82"/>
      <c r="AX82"/>
      <c r="AY82"/>
    </row>
    <row r="83" spans="2:51" x14ac:dyDescent="0.25">
      <c r="B83" s="120" t="s">
        <v>690</v>
      </c>
      <c r="C83" s="114" t="s">
        <v>691</v>
      </c>
      <c r="D83" s="115" t="s">
        <v>18</v>
      </c>
      <c r="E83" s="115" t="s">
        <v>692</v>
      </c>
      <c r="F83" s="71">
        <v>11062290001</v>
      </c>
      <c r="G83" s="123" t="s">
        <v>78</v>
      </c>
      <c r="H83" s="116" t="s">
        <v>21</v>
      </c>
      <c r="I83" s="104">
        <v>0</v>
      </c>
      <c r="J83" s="117">
        <v>2100.1200000000044</v>
      </c>
      <c r="K83" s="117">
        <v>0</v>
      </c>
      <c r="L83" s="117">
        <f>IF(Tabela1[[#This Row],[SALDO PARCIAL PENDENTE]]-Tabela1[[#This Row],[1QZ DE FEV 26]]&lt;0,0,Tabela1[[#This Row],[SALDO PARCIAL PENDENTE]]-Tabela1[[#This Row],[1QZ DE FEV 26]])</f>
        <v>2100.1200000000044</v>
      </c>
      <c r="M83" s="68">
        <v>2000</v>
      </c>
      <c r="N83" s="117">
        <v>22.58</v>
      </c>
      <c r="O83" s="69"/>
      <c r="P83" s="118">
        <f>Tabela1[[#This Row],[2QZ DE JAN 26]]-Tabela1[[#This Row],[SALDO PENDENTE FINAL]]-Tabela1[[#This Row],[SALDO CARTAO]]-Tabela1[[#This Row],[ADIANTAMENTO]]</f>
        <v>-122.70000000000444</v>
      </c>
      <c r="Q83" s="119"/>
      <c r="R83" s="130">
        <f>IF(Tabela1[[#This Row],[CARGA PARCIAL]]&lt;0,0,Tabela1[[#This Row],[CARGA PARCIAL]])+Tabela1[[#This Row],[REEMBOLSO]]</f>
        <v>0</v>
      </c>
      <c r="S83" s="129" t="s">
        <v>22</v>
      </c>
      <c r="T83" s="69"/>
      <c r="U83" s="37"/>
      <c r="AW83"/>
      <c r="AX83"/>
      <c r="AY83"/>
    </row>
    <row r="84" spans="2:51" x14ac:dyDescent="0.25">
      <c r="B84" s="120" t="s">
        <v>368</v>
      </c>
      <c r="C84" s="114" t="s">
        <v>1809</v>
      </c>
      <c r="D84" s="115" t="s">
        <v>18</v>
      </c>
      <c r="E84" s="115" t="s">
        <v>157</v>
      </c>
      <c r="F84" s="71">
        <v>11040040001</v>
      </c>
      <c r="G84" s="127" t="s">
        <v>20</v>
      </c>
      <c r="H84" s="116" t="s">
        <v>21</v>
      </c>
      <c r="I84" s="104">
        <v>0</v>
      </c>
      <c r="J84" s="117">
        <v>2053.6199999999967</v>
      </c>
      <c r="K84" s="117">
        <v>0</v>
      </c>
      <c r="L84" s="117">
        <f>IF(Tabela1[[#This Row],[SALDO PARCIAL PENDENTE]]-Tabela1[[#This Row],[1QZ DE FEV 26]]&lt;0,0,Tabela1[[#This Row],[SALDO PARCIAL PENDENTE]]-Tabela1[[#This Row],[1QZ DE FEV 26]])</f>
        <v>2053.6199999999967</v>
      </c>
      <c r="M84" s="68">
        <v>1600</v>
      </c>
      <c r="N84" s="117">
        <v>19.57</v>
      </c>
      <c r="O84" s="69"/>
      <c r="P84" s="118">
        <f>Tabela1[[#This Row],[2QZ DE JAN 26]]-Tabela1[[#This Row],[SALDO PENDENTE FINAL]]-Tabela1[[#This Row],[SALDO CARTAO]]-Tabela1[[#This Row],[ADIANTAMENTO]]</f>
        <v>-473.1899999999967</v>
      </c>
      <c r="Q84" s="119"/>
      <c r="R84" s="130">
        <f>IF(Tabela1[[#This Row],[CARGA PARCIAL]]&lt;0,0,Tabela1[[#This Row],[CARGA PARCIAL]])+Tabela1[[#This Row],[REEMBOLSO]]</f>
        <v>0</v>
      </c>
      <c r="S84" s="129" t="s">
        <v>22</v>
      </c>
      <c r="T84" s="69"/>
      <c r="U84" s="37"/>
      <c r="AW84"/>
      <c r="AX84"/>
      <c r="AY84"/>
    </row>
    <row r="85" spans="2:51" x14ac:dyDescent="0.25">
      <c r="B85" s="121" t="s">
        <v>577</v>
      </c>
      <c r="C85" s="122" t="s">
        <v>578</v>
      </c>
      <c r="D85" s="115" t="s">
        <v>18</v>
      </c>
      <c r="E85" s="123" t="s">
        <v>124</v>
      </c>
      <c r="F85" s="71">
        <v>11030750001</v>
      </c>
      <c r="G85" s="127" t="s">
        <v>65</v>
      </c>
      <c r="H85" s="124" t="s">
        <v>31</v>
      </c>
      <c r="I85" s="104">
        <v>0</v>
      </c>
      <c r="J85" s="117">
        <v>2040.5399999999781</v>
      </c>
      <c r="K85" s="117">
        <v>616.09000000002914</v>
      </c>
      <c r="L85" s="117">
        <f>IF(Tabela1[[#This Row],[SALDO PARCIAL PENDENTE]]-Tabela1[[#This Row],[1QZ DE FEV 26]]&lt;0,0,Tabela1[[#This Row],[SALDO PARCIAL PENDENTE]]-Tabela1[[#This Row],[1QZ DE FEV 26]])</f>
        <v>1424.4499999999489</v>
      </c>
      <c r="M85" s="68">
        <v>3350</v>
      </c>
      <c r="N85" s="117">
        <v>5.96</v>
      </c>
      <c r="O85" s="72"/>
      <c r="P85" s="125">
        <f>Tabela1[[#This Row],[2QZ DE JAN 26]]-Tabela1[[#This Row],[SALDO PENDENTE FINAL]]-Tabela1[[#This Row],[SALDO CARTAO]]-Tabela1[[#This Row],[ADIANTAMENTO]]</f>
        <v>1919.5900000000511</v>
      </c>
      <c r="Q85" s="126"/>
      <c r="R85" s="130">
        <f>IF(Tabela1[[#This Row],[CARGA PARCIAL]]&lt;0,0,Tabela1[[#This Row],[CARGA PARCIAL]])+Tabela1[[#This Row],[REEMBOLSO]]</f>
        <v>1919.5900000000511</v>
      </c>
      <c r="S85" s="129" t="s">
        <v>22</v>
      </c>
      <c r="T85" s="72"/>
      <c r="U85" s="37"/>
      <c r="AW85"/>
      <c r="AX85"/>
      <c r="AY85"/>
    </row>
    <row r="86" spans="2:51" x14ac:dyDescent="0.25">
      <c r="B86" s="120" t="s">
        <v>92</v>
      </c>
      <c r="C86" s="114" t="s">
        <v>93</v>
      </c>
      <c r="D86" s="115" t="s">
        <v>18</v>
      </c>
      <c r="E86" s="115" t="s">
        <v>19</v>
      </c>
      <c r="F86" s="71">
        <v>11030290001</v>
      </c>
      <c r="G86" s="123" t="s">
        <v>20</v>
      </c>
      <c r="H86" s="116" t="s">
        <v>21</v>
      </c>
      <c r="I86" s="104">
        <v>0</v>
      </c>
      <c r="J86" s="117">
        <v>2022.5399999999718</v>
      </c>
      <c r="K86" s="117">
        <v>3958.7000000000189</v>
      </c>
      <c r="L86" s="117">
        <f>IF(Tabela1[[#This Row],[SALDO PARCIAL PENDENTE]]-Tabela1[[#This Row],[1QZ DE FEV 26]]&lt;0,0,Tabela1[[#This Row],[SALDO PARCIAL PENDENTE]]-Tabela1[[#This Row],[1QZ DE FEV 26]])</f>
        <v>0</v>
      </c>
      <c r="M86" s="68">
        <v>5500</v>
      </c>
      <c r="N86" s="117">
        <v>0</v>
      </c>
      <c r="O86" s="69"/>
      <c r="P86" s="118">
        <f>Tabela1[[#This Row],[2QZ DE JAN 26]]-Tabela1[[#This Row],[SALDO PENDENTE FINAL]]-Tabela1[[#This Row],[SALDO CARTAO]]-Tabela1[[#This Row],[ADIANTAMENTO]]</f>
        <v>5500</v>
      </c>
      <c r="Q86" s="119"/>
      <c r="R86" s="130">
        <f>IF(Tabela1[[#This Row],[CARGA PARCIAL]]&lt;0,0,Tabela1[[#This Row],[CARGA PARCIAL]])+Tabela1[[#This Row],[REEMBOLSO]]</f>
        <v>5500</v>
      </c>
      <c r="S86" s="129" t="s">
        <v>22</v>
      </c>
      <c r="T86" s="69"/>
      <c r="U86" s="37"/>
      <c r="AW86"/>
      <c r="AX86"/>
      <c r="AY86"/>
    </row>
    <row r="87" spans="2:51" x14ac:dyDescent="0.25">
      <c r="B87" s="120" t="s">
        <v>726</v>
      </c>
      <c r="C87" s="114" t="s">
        <v>727</v>
      </c>
      <c r="D87" s="115" t="s">
        <v>18</v>
      </c>
      <c r="E87" s="115" t="s">
        <v>487</v>
      </c>
      <c r="F87" s="71">
        <v>11030890001</v>
      </c>
      <c r="G87" s="127" t="s">
        <v>24</v>
      </c>
      <c r="H87" s="116" t="s">
        <v>21</v>
      </c>
      <c r="I87" s="104">
        <v>0</v>
      </c>
      <c r="J87" s="117">
        <v>1975.68</v>
      </c>
      <c r="K87" s="117">
        <v>1214.3200000000015</v>
      </c>
      <c r="L87" s="117">
        <f>IF(Tabela1[[#This Row],[SALDO PARCIAL PENDENTE]]-Tabela1[[#This Row],[1QZ DE FEV 26]]&lt;0,0,Tabela1[[#This Row],[SALDO PARCIAL PENDENTE]]-Tabela1[[#This Row],[1QZ DE FEV 26]])</f>
        <v>761.35999999999854</v>
      </c>
      <c r="M87" s="68">
        <v>2000</v>
      </c>
      <c r="N87" s="117">
        <v>10.32</v>
      </c>
      <c r="O87" s="69"/>
      <c r="P87" s="118">
        <f>Tabela1[[#This Row],[2QZ DE JAN 26]]-Tabela1[[#This Row],[SALDO PENDENTE FINAL]]-Tabela1[[#This Row],[SALDO CARTAO]]-Tabela1[[#This Row],[ADIANTAMENTO]]</f>
        <v>1228.3200000000015</v>
      </c>
      <c r="Q87" s="119"/>
      <c r="R87" s="130">
        <f>IF(Tabela1[[#This Row],[CARGA PARCIAL]]&lt;0,0,Tabela1[[#This Row],[CARGA PARCIAL]])+Tabela1[[#This Row],[REEMBOLSO]]</f>
        <v>1228.3200000000015</v>
      </c>
      <c r="S87" s="129" t="s">
        <v>22</v>
      </c>
      <c r="T87" s="69"/>
      <c r="U87" s="37"/>
      <c r="AW87"/>
      <c r="AX87"/>
      <c r="AY87"/>
    </row>
    <row r="88" spans="2:51" x14ac:dyDescent="0.25">
      <c r="B88" s="120" t="s">
        <v>109</v>
      </c>
      <c r="C88" s="114" t="s">
        <v>1541</v>
      </c>
      <c r="D88" s="115" t="s">
        <v>18</v>
      </c>
      <c r="E88" s="115" t="s">
        <v>110</v>
      </c>
      <c r="F88" s="71">
        <v>11061690001</v>
      </c>
      <c r="G88" s="127" t="s">
        <v>78</v>
      </c>
      <c r="H88" s="116" t="s">
        <v>21</v>
      </c>
      <c r="I88" s="104">
        <v>0</v>
      </c>
      <c r="J88" s="117">
        <v>1801.4399999999869</v>
      </c>
      <c r="K88" s="117">
        <v>0</v>
      </c>
      <c r="L88" s="117">
        <f>IF(Tabela1[[#This Row],[SALDO PARCIAL PENDENTE]]-Tabela1[[#This Row],[1QZ DE FEV 26]]&lt;0,0,Tabela1[[#This Row],[SALDO PARCIAL PENDENTE]]-Tabela1[[#This Row],[1QZ DE FEV 26]])</f>
        <v>1801.4399999999869</v>
      </c>
      <c r="M88" s="68">
        <v>5000</v>
      </c>
      <c r="N88" s="117">
        <v>4529.46</v>
      </c>
      <c r="O88" s="69"/>
      <c r="P88" s="118">
        <f>Tabela1[[#This Row],[2QZ DE JAN 26]]-Tabela1[[#This Row],[SALDO PENDENTE FINAL]]-Tabela1[[#This Row],[SALDO CARTAO]]-Tabela1[[#This Row],[ADIANTAMENTO]]</f>
        <v>-1330.8999999999869</v>
      </c>
      <c r="Q88" s="119"/>
      <c r="R88" s="130">
        <f>IF(Tabela1[[#This Row],[CARGA PARCIAL]]&lt;0,0,Tabela1[[#This Row],[CARGA PARCIAL]])+Tabela1[[#This Row],[REEMBOLSO]]</f>
        <v>0</v>
      </c>
      <c r="S88" s="129" t="s">
        <v>22</v>
      </c>
      <c r="T88" s="69"/>
      <c r="U88" s="37"/>
      <c r="AW88"/>
      <c r="AX88"/>
      <c r="AY88"/>
    </row>
    <row r="89" spans="2:51" x14ac:dyDescent="0.25">
      <c r="B89" s="120" t="s">
        <v>612</v>
      </c>
      <c r="C89" s="114" t="s">
        <v>613</v>
      </c>
      <c r="D89" s="115" t="s">
        <v>18</v>
      </c>
      <c r="E89" s="115" t="s">
        <v>614</v>
      </c>
      <c r="F89" s="71">
        <v>11080260001</v>
      </c>
      <c r="G89" s="127" t="s">
        <v>30</v>
      </c>
      <c r="H89" s="116" t="s">
        <v>31</v>
      </c>
      <c r="I89" s="104">
        <v>0</v>
      </c>
      <c r="J89" s="117">
        <v>1793.7099999999994</v>
      </c>
      <c r="K89" s="117">
        <v>0</v>
      </c>
      <c r="L89" s="117">
        <f>IF(Tabela1[[#This Row],[SALDO PARCIAL PENDENTE]]-Tabela1[[#This Row],[1QZ DE FEV 26]]&lt;0,0,Tabela1[[#This Row],[SALDO PARCIAL PENDENTE]]-Tabela1[[#This Row],[1QZ DE FEV 26]])</f>
        <v>1793.7099999999994</v>
      </c>
      <c r="M89" s="68">
        <v>1200</v>
      </c>
      <c r="N89" s="117">
        <v>8.1999999999999993</v>
      </c>
      <c r="O89" s="69"/>
      <c r="P89" s="118">
        <f>Tabela1[[#This Row],[2QZ DE JAN 26]]-Tabela1[[#This Row],[SALDO PENDENTE FINAL]]-Tabela1[[#This Row],[SALDO CARTAO]]-Tabela1[[#This Row],[ADIANTAMENTO]]</f>
        <v>-601.9099999999994</v>
      </c>
      <c r="Q89" s="119"/>
      <c r="R89" s="130">
        <f>IF(Tabela1[[#This Row],[CARGA PARCIAL]]&lt;0,0,Tabela1[[#This Row],[CARGA PARCIAL]])+Tabela1[[#This Row],[REEMBOLSO]]</f>
        <v>0</v>
      </c>
      <c r="S89" s="129" t="s">
        <v>22</v>
      </c>
      <c r="T89" s="69"/>
      <c r="U89" s="37"/>
      <c r="AW89"/>
      <c r="AX89"/>
      <c r="AY89"/>
    </row>
    <row r="90" spans="2:51" x14ac:dyDescent="0.25">
      <c r="B90" s="131" t="s">
        <v>52</v>
      </c>
      <c r="C90" s="122" t="s">
        <v>1766</v>
      </c>
      <c r="D90" s="115" t="s">
        <v>18</v>
      </c>
      <c r="E90" s="123" t="s">
        <v>53</v>
      </c>
      <c r="F90" s="71">
        <v>11061480001</v>
      </c>
      <c r="G90" s="127" t="s">
        <v>24</v>
      </c>
      <c r="H90" s="124" t="s">
        <v>21</v>
      </c>
      <c r="I90" s="104">
        <v>0</v>
      </c>
      <c r="J90" s="117">
        <v>1777.0699999999995</v>
      </c>
      <c r="K90" s="117">
        <v>1997.25</v>
      </c>
      <c r="L90" s="117">
        <f>IF(Tabela1[[#This Row],[SALDO PARCIAL PENDENTE]]-Tabela1[[#This Row],[1QZ DE FEV 26]]&lt;0,0,Tabela1[[#This Row],[SALDO PARCIAL PENDENTE]]-Tabela1[[#This Row],[1QZ DE FEV 26]])</f>
        <v>0</v>
      </c>
      <c r="M90" s="68">
        <v>2000</v>
      </c>
      <c r="N90" s="117">
        <v>215.93</v>
      </c>
      <c r="O90" s="72"/>
      <c r="P90" s="125">
        <f>Tabela1[[#This Row],[2QZ DE JAN 26]]-Tabela1[[#This Row],[SALDO PENDENTE FINAL]]-Tabela1[[#This Row],[SALDO CARTAO]]-Tabela1[[#This Row],[ADIANTAMENTO]]</f>
        <v>1784.07</v>
      </c>
      <c r="Q90" s="126"/>
      <c r="R90" s="130">
        <f>IF(Tabela1[[#This Row],[CARGA PARCIAL]]&lt;0,0,Tabela1[[#This Row],[CARGA PARCIAL]])+Tabela1[[#This Row],[REEMBOLSO]]</f>
        <v>1784.07</v>
      </c>
      <c r="S90" s="129" t="s">
        <v>22</v>
      </c>
      <c r="T90" s="72"/>
      <c r="U90" s="37"/>
      <c r="AW90"/>
      <c r="AX90"/>
      <c r="AY90"/>
    </row>
    <row r="91" spans="2:51" x14ac:dyDescent="0.25">
      <c r="B91" s="120" t="s">
        <v>736</v>
      </c>
      <c r="C91" s="114" t="s">
        <v>737</v>
      </c>
      <c r="D91" s="115" t="s">
        <v>18</v>
      </c>
      <c r="E91" s="115" t="s">
        <v>51</v>
      </c>
      <c r="F91" s="71">
        <v>11040170001</v>
      </c>
      <c r="G91" s="123" t="s">
        <v>1816</v>
      </c>
      <c r="H91" s="116" t="s">
        <v>21</v>
      </c>
      <c r="I91" s="104">
        <v>0</v>
      </c>
      <c r="J91" s="117">
        <v>1762.57</v>
      </c>
      <c r="K91" s="117">
        <v>7.0000000000000639</v>
      </c>
      <c r="L91" s="117">
        <f>IF(Tabela1[[#This Row],[SALDO PARCIAL PENDENTE]]-Tabela1[[#This Row],[1QZ DE FEV 26]]&lt;0,0,Tabela1[[#This Row],[SALDO PARCIAL PENDENTE]]-Tabela1[[#This Row],[1QZ DE FEV 26]])</f>
        <v>1755.57</v>
      </c>
      <c r="M91" s="68">
        <v>1800</v>
      </c>
      <c r="N91" s="117">
        <v>37.43</v>
      </c>
      <c r="O91" s="69"/>
      <c r="P91" s="118">
        <f>Tabela1[[#This Row],[2QZ DE JAN 26]]-Tabela1[[#This Row],[SALDO PENDENTE FINAL]]-Tabela1[[#This Row],[SALDO CARTAO]]-Tabela1[[#This Row],[ADIANTAMENTO]]</f>
        <v>7.0000000000000639</v>
      </c>
      <c r="Q91" s="119"/>
      <c r="R91" s="130">
        <f>IF(Tabela1[[#This Row],[CARGA PARCIAL]]&lt;0,0,Tabela1[[#This Row],[CARGA PARCIAL]])+Tabela1[[#This Row],[REEMBOLSO]]</f>
        <v>7.0000000000000639</v>
      </c>
      <c r="S91" s="129" t="s">
        <v>22</v>
      </c>
      <c r="T91" s="69"/>
      <c r="U91" s="37"/>
      <c r="AW91"/>
      <c r="AX91"/>
      <c r="AY91"/>
    </row>
    <row r="92" spans="2:51" x14ac:dyDescent="0.25">
      <c r="B92" s="121" t="s">
        <v>488</v>
      </c>
      <c r="C92" s="122" t="s">
        <v>489</v>
      </c>
      <c r="D92" s="115" t="s">
        <v>18</v>
      </c>
      <c r="E92" s="123" t="s">
        <v>160</v>
      </c>
      <c r="F92" s="71">
        <v>11062450001</v>
      </c>
      <c r="G92" s="127" t="s">
        <v>27</v>
      </c>
      <c r="H92" s="124" t="s">
        <v>137</v>
      </c>
      <c r="I92" s="104">
        <v>0</v>
      </c>
      <c r="J92" s="117">
        <v>1705.369999999999</v>
      </c>
      <c r="K92" s="117">
        <v>0</v>
      </c>
      <c r="L92" s="117">
        <f>IF(Tabela1[[#This Row],[SALDO PARCIAL PENDENTE]]-Tabela1[[#This Row],[1QZ DE FEV 26]]&lt;0,0,Tabela1[[#This Row],[SALDO PARCIAL PENDENTE]]-Tabela1[[#This Row],[1QZ DE FEV 26]])</f>
        <v>1705.369999999999</v>
      </c>
      <c r="M92" s="68">
        <v>1500</v>
      </c>
      <c r="N92" s="117">
        <v>0</v>
      </c>
      <c r="O92" s="72"/>
      <c r="P92" s="125">
        <f>Tabela1[[#This Row],[2QZ DE JAN 26]]-Tabela1[[#This Row],[SALDO PENDENTE FINAL]]-Tabela1[[#This Row],[SALDO CARTAO]]-Tabela1[[#This Row],[ADIANTAMENTO]]</f>
        <v>-205.36999999999898</v>
      </c>
      <c r="Q92" s="126"/>
      <c r="R92" s="130">
        <f>IF(Tabela1[[#This Row],[CARGA PARCIAL]]&lt;0,0,Tabela1[[#This Row],[CARGA PARCIAL]])+Tabela1[[#This Row],[REEMBOLSO]]</f>
        <v>0</v>
      </c>
      <c r="S92" s="129" t="s">
        <v>22</v>
      </c>
      <c r="T92" s="72"/>
      <c r="U92" s="37"/>
      <c r="AW92"/>
      <c r="AX92"/>
      <c r="AY92"/>
    </row>
    <row r="93" spans="2:51" x14ac:dyDescent="0.25">
      <c r="B93" s="96" t="s">
        <v>17</v>
      </c>
      <c r="C93" s="71" t="s">
        <v>1494</v>
      </c>
      <c r="D93" s="115" t="s">
        <v>18</v>
      </c>
      <c r="E93" s="71" t="s">
        <v>19</v>
      </c>
      <c r="F93" s="71">
        <v>11030290001</v>
      </c>
      <c r="G93" s="123" t="s">
        <v>20</v>
      </c>
      <c r="H93" s="71" t="s">
        <v>21</v>
      </c>
      <c r="I93" s="104">
        <v>0</v>
      </c>
      <c r="J93" s="117">
        <v>1497.7199999999978</v>
      </c>
      <c r="K93" s="117">
        <v>9480.5900000000493</v>
      </c>
      <c r="L93" s="117">
        <f>IF(Tabela1[[#This Row],[SALDO PARCIAL PENDENTE]]-Tabela1[[#This Row],[1QZ DE FEV 26]]&lt;0,0,Tabela1[[#This Row],[SALDO PARCIAL PENDENTE]]-Tabela1[[#This Row],[1QZ DE FEV 26]])</f>
        <v>0</v>
      </c>
      <c r="M93" s="68">
        <v>9840</v>
      </c>
      <c r="N93" s="117">
        <v>32.590000000000003</v>
      </c>
      <c r="O93" s="72"/>
      <c r="P93" s="72">
        <f>Tabela1[[#This Row],[2QZ DE JAN 26]]-Tabela1[[#This Row],[SALDO PENDENTE FINAL]]-Tabela1[[#This Row],[SALDO CARTAO]]-Tabela1[[#This Row],[ADIANTAMENTO]]</f>
        <v>9807.41</v>
      </c>
      <c r="Q93" s="126"/>
      <c r="R93" s="130">
        <f>IF(Tabela1[[#This Row],[CARGA PARCIAL]]&lt;0,0,Tabela1[[#This Row],[CARGA PARCIAL]])+Tabela1[[#This Row],[REEMBOLSO]]</f>
        <v>9807.41</v>
      </c>
      <c r="S93" s="129" t="s">
        <v>22</v>
      </c>
      <c r="T93" s="72"/>
      <c r="U93" s="37"/>
      <c r="AW93"/>
      <c r="AX93"/>
      <c r="AY93"/>
    </row>
    <row r="94" spans="2:51" x14ac:dyDescent="0.25">
      <c r="B94" s="121" t="s">
        <v>279</v>
      </c>
      <c r="C94" s="122" t="s">
        <v>1795</v>
      </c>
      <c r="D94" s="115" t="s">
        <v>18</v>
      </c>
      <c r="E94" s="123" t="s">
        <v>280</v>
      </c>
      <c r="F94" s="71">
        <v>11080490001</v>
      </c>
      <c r="G94" s="123" t="s">
        <v>65</v>
      </c>
      <c r="H94" s="124" t="s">
        <v>31</v>
      </c>
      <c r="I94" s="104">
        <v>0</v>
      </c>
      <c r="J94" s="117">
        <v>1485.03</v>
      </c>
      <c r="K94" s="117">
        <v>0</v>
      </c>
      <c r="L94" s="117">
        <f>IF(Tabela1[[#This Row],[SALDO PARCIAL PENDENTE]]-Tabela1[[#This Row],[1QZ DE FEV 26]]&lt;0,0,Tabela1[[#This Row],[SALDO PARCIAL PENDENTE]]-Tabela1[[#This Row],[1QZ DE FEV 26]])</f>
        <v>1485.03</v>
      </c>
      <c r="M94" s="68">
        <v>1500</v>
      </c>
      <c r="N94" s="117">
        <v>164.97</v>
      </c>
      <c r="O94" s="72"/>
      <c r="P94" s="125">
        <f>Tabela1[[#This Row],[2QZ DE JAN 26]]-Tabela1[[#This Row],[SALDO PENDENTE FINAL]]-Tabela1[[#This Row],[SALDO CARTAO]]-Tabela1[[#This Row],[ADIANTAMENTO]]</f>
        <v>-149.99999999999997</v>
      </c>
      <c r="Q94" s="126"/>
      <c r="R94" s="130">
        <f>IF(Tabela1[[#This Row],[CARGA PARCIAL]]&lt;0,0,Tabela1[[#This Row],[CARGA PARCIAL]])+Tabela1[[#This Row],[REEMBOLSO]]</f>
        <v>0</v>
      </c>
      <c r="S94" s="129" t="s">
        <v>22</v>
      </c>
      <c r="T94" s="72"/>
      <c r="U94" s="37"/>
      <c r="AW94"/>
      <c r="AX94"/>
      <c r="AY94"/>
    </row>
    <row r="95" spans="2:51" x14ac:dyDescent="0.25">
      <c r="B95" s="120" t="s">
        <v>287</v>
      </c>
      <c r="C95" s="114" t="s">
        <v>1796</v>
      </c>
      <c r="D95" s="115" t="s">
        <v>18</v>
      </c>
      <c r="E95" s="115" t="s">
        <v>51</v>
      </c>
      <c r="F95" s="71">
        <v>11040170001</v>
      </c>
      <c r="G95" s="123" t="s">
        <v>1816</v>
      </c>
      <c r="H95" s="116" t="s">
        <v>21</v>
      </c>
      <c r="I95" s="104">
        <v>0</v>
      </c>
      <c r="J95" s="117">
        <v>1449.0899999999897</v>
      </c>
      <c r="K95" s="117">
        <v>2209.86</v>
      </c>
      <c r="L95" s="117">
        <f>IF(Tabela1[[#This Row],[SALDO PARCIAL PENDENTE]]-Tabela1[[#This Row],[1QZ DE FEV 26]]&lt;0,0,Tabela1[[#This Row],[SALDO PARCIAL PENDENTE]]-Tabela1[[#This Row],[1QZ DE FEV 26]])</f>
        <v>0</v>
      </c>
      <c r="M95" s="68">
        <v>2000</v>
      </c>
      <c r="N95" s="117">
        <v>238.86</v>
      </c>
      <c r="O95" s="69"/>
      <c r="P95" s="118">
        <f>Tabela1[[#This Row],[2QZ DE JAN 26]]-Tabela1[[#This Row],[SALDO PENDENTE FINAL]]-Tabela1[[#This Row],[SALDO CARTAO]]-Tabela1[[#This Row],[ADIANTAMENTO]]</f>
        <v>1761.1399999999999</v>
      </c>
      <c r="Q95" s="119"/>
      <c r="R95" s="130">
        <f>IF(Tabela1[[#This Row],[CARGA PARCIAL]]&lt;0,0,Tabela1[[#This Row],[CARGA PARCIAL]])+Tabela1[[#This Row],[REEMBOLSO]]</f>
        <v>1761.1399999999999</v>
      </c>
      <c r="S95" s="129" t="s">
        <v>22</v>
      </c>
      <c r="T95" s="69"/>
      <c r="U95" s="37"/>
      <c r="AW95"/>
      <c r="AX95"/>
      <c r="AY95"/>
    </row>
    <row r="96" spans="2:51" x14ac:dyDescent="0.25">
      <c r="B96" s="121" t="s">
        <v>302</v>
      </c>
      <c r="C96" s="122" t="s">
        <v>1530</v>
      </c>
      <c r="D96" s="115" t="s">
        <v>18</v>
      </c>
      <c r="E96" s="123" t="s">
        <v>51</v>
      </c>
      <c r="F96" s="71">
        <v>11040170001</v>
      </c>
      <c r="G96" s="127" t="s">
        <v>1816</v>
      </c>
      <c r="H96" s="124" t="s">
        <v>21</v>
      </c>
      <c r="I96" s="104">
        <v>0</v>
      </c>
      <c r="J96" s="117">
        <v>1442.569999999997</v>
      </c>
      <c r="K96" s="117">
        <v>0</v>
      </c>
      <c r="L96" s="117">
        <f>IF(Tabela1[[#This Row],[SALDO PARCIAL PENDENTE]]-Tabela1[[#This Row],[1QZ DE FEV 26]]&lt;0,0,Tabela1[[#This Row],[SALDO PARCIAL PENDENTE]]-Tabela1[[#This Row],[1QZ DE FEV 26]])</f>
        <v>1442.569999999997</v>
      </c>
      <c r="M96" s="68">
        <v>1000</v>
      </c>
      <c r="N96" s="117">
        <v>5.46</v>
      </c>
      <c r="O96" s="72"/>
      <c r="P96" s="125">
        <f>Tabela1[[#This Row],[2QZ DE JAN 26]]-Tabela1[[#This Row],[SALDO PENDENTE FINAL]]-Tabela1[[#This Row],[SALDO CARTAO]]-Tabela1[[#This Row],[ADIANTAMENTO]]</f>
        <v>-448.02999999999696</v>
      </c>
      <c r="Q96" s="126"/>
      <c r="R96" s="130">
        <f>IF(Tabela1[[#This Row],[CARGA PARCIAL]]&lt;0,0,Tabela1[[#This Row],[CARGA PARCIAL]])+Tabela1[[#This Row],[REEMBOLSO]]</f>
        <v>0</v>
      </c>
      <c r="S96" s="129" t="s">
        <v>22</v>
      </c>
      <c r="T96" s="72"/>
      <c r="U96" s="37"/>
      <c r="AW96"/>
      <c r="AX96"/>
      <c r="AY96"/>
    </row>
    <row r="97" spans="2:51" x14ac:dyDescent="0.25">
      <c r="B97" s="120" t="s">
        <v>153</v>
      </c>
      <c r="C97" s="114" t="s">
        <v>1500</v>
      </c>
      <c r="D97" s="115" t="s">
        <v>18</v>
      </c>
      <c r="E97" s="115" t="s">
        <v>19</v>
      </c>
      <c r="F97" s="71">
        <v>11030290001</v>
      </c>
      <c r="G97" s="123" t="s">
        <v>20</v>
      </c>
      <c r="H97" s="116" t="s">
        <v>21</v>
      </c>
      <c r="I97" s="104">
        <v>0</v>
      </c>
      <c r="J97" s="117">
        <v>1377.7599999999954</v>
      </c>
      <c r="K97" s="117">
        <v>2915.6100000000006</v>
      </c>
      <c r="L97" s="117">
        <f>IF(Tabela1[[#This Row],[SALDO PARCIAL PENDENTE]]-Tabela1[[#This Row],[1QZ DE FEV 26]]&lt;0,0,Tabela1[[#This Row],[SALDO PARCIAL PENDENTE]]-Tabela1[[#This Row],[1QZ DE FEV 26]])</f>
        <v>0</v>
      </c>
      <c r="M97" s="68">
        <v>4000</v>
      </c>
      <c r="N97" s="117">
        <v>6.36</v>
      </c>
      <c r="O97" s="69"/>
      <c r="P97" s="118">
        <f>Tabela1[[#This Row],[2QZ DE JAN 26]]-Tabela1[[#This Row],[SALDO PENDENTE FINAL]]-Tabela1[[#This Row],[SALDO CARTAO]]-Tabela1[[#This Row],[ADIANTAMENTO]]</f>
        <v>3993.64</v>
      </c>
      <c r="Q97" s="119"/>
      <c r="R97" s="130">
        <f>IF(Tabela1[[#This Row],[CARGA PARCIAL]]&lt;0,0,Tabela1[[#This Row],[CARGA PARCIAL]])+Tabela1[[#This Row],[REEMBOLSO]]</f>
        <v>3993.64</v>
      </c>
      <c r="S97" s="129" t="s">
        <v>22</v>
      </c>
      <c r="T97" s="69"/>
      <c r="U97" s="37"/>
      <c r="AW97"/>
      <c r="AX97"/>
      <c r="AY97"/>
    </row>
    <row r="98" spans="2:51" x14ac:dyDescent="0.25">
      <c r="B98" s="120" t="s">
        <v>217</v>
      </c>
      <c r="C98" s="114" t="s">
        <v>1542</v>
      </c>
      <c r="D98" s="115" t="s">
        <v>18</v>
      </c>
      <c r="E98" s="115" t="s">
        <v>49</v>
      </c>
      <c r="F98" s="71">
        <v>11040160001</v>
      </c>
      <c r="G98" s="127" t="s">
        <v>27</v>
      </c>
      <c r="H98" s="116" t="s">
        <v>137</v>
      </c>
      <c r="I98" s="104">
        <v>0</v>
      </c>
      <c r="J98" s="117">
        <v>1373.3700000000017</v>
      </c>
      <c r="K98" s="117">
        <v>2110.63</v>
      </c>
      <c r="L98" s="117">
        <f>IF(Tabela1[[#This Row],[SALDO PARCIAL PENDENTE]]-Tabela1[[#This Row],[1QZ DE FEV 26]]&lt;0,0,Tabela1[[#This Row],[SALDO PARCIAL PENDENTE]]-Tabela1[[#This Row],[1QZ DE FEV 26]])</f>
        <v>0</v>
      </c>
      <c r="M98" s="68">
        <v>1400</v>
      </c>
      <c r="N98" s="117">
        <v>5.63</v>
      </c>
      <c r="O98" s="69"/>
      <c r="P98" s="118">
        <f>Tabela1[[#This Row],[2QZ DE JAN 26]]-Tabela1[[#This Row],[SALDO PENDENTE FINAL]]-Tabela1[[#This Row],[SALDO CARTAO]]-Tabela1[[#This Row],[ADIANTAMENTO]]</f>
        <v>1394.37</v>
      </c>
      <c r="Q98" s="119"/>
      <c r="R98" s="130">
        <f>IF(Tabela1[[#This Row],[CARGA PARCIAL]]&lt;0,0,Tabela1[[#This Row],[CARGA PARCIAL]])+Tabela1[[#This Row],[REEMBOLSO]]</f>
        <v>1394.37</v>
      </c>
      <c r="S98" s="129" t="s">
        <v>22</v>
      </c>
      <c r="T98" s="69"/>
      <c r="U98" s="37"/>
      <c r="AW98"/>
      <c r="AX98"/>
      <c r="AY98"/>
    </row>
    <row r="99" spans="2:51" x14ac:dyDescent="0.25">
      <c r="B99" s="121" t="s">
        <v>563</v>
      </c>
      <c r="C99" s="122" t="s">
        <v>564</v>
      </c>
      <c r="D99" s="115" t="s">
        <v>18</v>
      </c>
      <c r="E99" s="123" t="s">
        <v>49</v>
      </c>
      <c r="F99" s="71">
        <v>11040160001</v>
      </c>
      <c r="G99" s="127" t="s">
        <v>27</v>
      </c>
      <c r="H99" s="124" t="s">
        <v>137</v>
      </c>
      <c r="I99" s="104">
        <v>0</v>
      </c>
      <c r="J99" s="117">
        <v>1361.33</v>
      </c>
      <c r="K99" s="117">
        <v>0</v>
      </c>
      <c r="L99" s="117">
        <f>IF(Tabela1[[#This Row],[SALDO PARCIAL PENDENTE]]-Tabela1[[#This Row],[1QZ DE FEV 26]]&lt;0,0,Tabela1[[#This Row],[SALDO PARCIAL PENDENTE]]-Tabela1[[#This Row],[1QZ DE FEV 26]])</f>
        <v>1361.33</v>
      </c>
      <c r="M99" s="68">
        <v>1000</v>
      </c>
      <c r="N99" s="117">
        <v>0</v>
      </c>
      <c r="O99" s="72"/>
      <c r="P99" s="125">
        <f>Tabela1[[#This Row],[2QZ DE JAN 26]]-Tabela1[[#This Row],[SALDO PENDENTE FINAL]]-Tabela1[[#This Row],[SALDO CARTAO]]-Tabela1[[#This Row],[ADIANTAMENTO]]</f>
        <v>-361.32999999999993</v>
      </c>
      <c r="Q99" s="126"/>
      <c r="R99" s="130">
        <f>IF(Tabela1[[#This Row],[CARGA PARCIAL]]&lt;0,0,Tabela1[[#This Row],[CARGA PARCIAL]])+Tabela1[[#This Row],[REEMBOLSO]]</f>
        <v>0</v>
      </c>
      <c r="S99" s="129" t="s">
        <v>22</v>
      </c>
      <c r="T99" s="72"/>
      <c r="U99" s="37"/>
      <c r="AW99"/>
      <c r="AX99"/>
      <c r="AY99"/>
    </row>
    <row r="100" spans="2:51" x14ac:dyDescent="0.25">
      <c r="B100" s="121" t="s">
        <v>433</v>
      </c>
      <c r="C100" s="122" t="s">
        <v>434</v>
      </c>
      <c r="D100" s="115" t="s">
        <v>18</v>
      </c>
      <c r="E100" s="123" t="s">
        <v>315</v>
      </c>
      <c r="F100" s="71">
        <v>11080370001</v>
      </c>
      <c r="G100" s="123" t="s">
        <v>30</v>
      </c>
      <c r="H100" s="124" t="s">
        <v>31</v>
      </c>
      <c r="I100" s="104">
        <v>0</v>
      </c>
      <c r="J100" s="117">
        <v>1352.5700000000015</v>
      </c>
      <c r="K100" s="117">
        <v>0</v>
      </c>
      <c r="L100" s="117">
        <f>IF(Tabela1[[#This Row],[SALDO PARCIAL PENDENTE]]-Tabela1[[#This Row],[1QZ DE FEV 26]]&lt;0,0,Tabela1[[#This Row],[SALDO PARCIAL PENDENTE]]-Tabela1[[#This Row],[1QZ DE FEV 26]])</f>
        <v>1352.5700000000015</v>
      </c>
      <c r="M100" s="68">
        <v>7000</v>
      </c>
      <c r="N100" s="117">
        <v>3493</v>
      </c>
      <c r="O100" s="72"/>
      <c r="P100" s="125">
        <f>Tabela1[[#This Row],[2QZ DE JAN 26]]-Tabela1[[#This Row],[SALDO PENDENTE FINAL]]-Tabela1[[#This Row],[SALDO CARTAO]]-Tabela1[[#This Row],[ADIANTAMENTO]]</f>
        <v>2154.4299999999985</v>
      </c>
      <c r="Q100" s="126"/>
      <c r="R100" s="130">
        <f>IF(Tabela1[[#This Row],[CARGA PARCIAL]]&lt;0,0,Tabela1[[#This Row],[CARGA PARCIAL]])+Tabela1[[#This Row],[REEMBOLSO]]</f>
        <v>2154.4299999999985</v>
      </c>
      <c r="S100" s="129" t="s">
        <v>22</v>
      </c>
      <c r="T100" s="72"/>
      <c r="U100" s="37"/>
      <c r="AW100"/>
      <c r="AX100"/>
      <c r="AY100"/>
    </row>
    <row r="101" spans="2:51" x14ac:dyDescent="0.25">
      <c r="B101" s="120" t="s">
        <v>644</v>
      </c>
      <c r="C101" s="114" t="s">
        <v>645</v>
      </c>
      <c r="D101" s="115" t="s">
        <v>18</v>
      </c>
      <c r="E101" s="115" t="s">
        <v>329</v>
      </c>
      <c r="F101" s="71">
        <v>11010420001</v>
      </c>
      <c r="G101" s="123" t="s">
        <v>65</v>
      </c>
      <c r="H101" s="116" t="s">
        <v>31</v>
      </c>
      <c r="I101" s="104">
        <v>0</v>
      </c>
      <c r="J101" s="117">
        <v>1340.4</v>
      </c>
      <c r="K101" s="117">
        <v>158.98000000000036</v>
      </c>
      <c r="L101" s="117">
        <f>IF(Tabela1[[#This Row],[SALDO PARCIAL PENDENTE]]-Tabela1[[#This Row],[1QZ DE FEV 26]]&lt;0,0,Tabela1[[#This Row],[SALDO PARCIAL PENDENTE]]-Tabela1[[#This Row],[1QZ DE FEV 26]])</f>
        <v>1181.4199999999996</v>
      </c>
      <c r="M101" s="68">
        <v>1500</v>
      </c>
      <c r="N101" s="117">
        <v>159.6</v>
      </c>
      <c r="O101" s="69"/>
      <c r="P101" s="118">
        <f>Tabela1[[#This Row],[2QZ DE JAN 26]]-Tabela1[[#This Row],[SALDO PENDENTE FINAL]]-Tabela1[[#This Row],[SALDO CARTAO]]-Tabela1[[#This Row],[ADIANTAMENTO]]</f>
        <v>158.98000000000039</v>
      </c>
      <c r="Q101" s="119"/>
      <c r="R101" s="130">
        <f>IF(Tabela1[[#This Row],[CARGA PARCIAL]]&lt;0,0,Tabela1[[#This Row],[CARGA PARCIAL]])+Tabela1[[#This Row],[REEMBOLSO]]</f>
        <v>158.98000000000039</v>
      </c>
      <c r="S101" s="129" t="s">
        <v>22</v>
      </c>
      <c r="T101" s="69"/>
      <c r="U101" s="37"/>
      <c r="AW101"/>
      <c r="AX101"/>
      <c r="AY101"/>
    </row>
    <row r="102" spans="2:51" x14ac:dyDescent="0.25">
      <c r="B102" s="121" t="s">
        <v>625</v>
      </c>
      <c r="C102" s="122" t="s">
        <v>626</v>
      </c>
      <c r="D102" s="115" t="s">
        <v>18</v>
      </c>
      <c r="E102" s="123" t="s">
        <v>179</v>
      </c>
      <c r="F102" s="71">
        <v>11030590001</v>
      </c>
      <c r="G102" s="127" t="s">
        <v>34</v>
      </c>
      <c r="H102" s="124" t="s">
        <v>31</v>
      </c>
      <c r="I102" s="104">
        <v>0</v>
      </c>
      <c r="J102" s="117">
        <v>1305.2299999999996</v>
      </c>
      <c r="K102" s="117">
        <v>2682.9299999999898</v>
      </c>
      <c r="L102" s="117">
        <f>IF(Tabela1[[#This Row],[SALDO PARCIAL PENDENTE]]-Tabela1[[#This Row],[1QZ DE FEV 26]]&lt;0,0,Tabela1[[#This Row],[SALDO PARCIAL PENDENTE]]-Tabela1[[#This Row],[1QZ DE FEV 26]])</f>
        <v>0</v>
      </c>
      <c r="M102" s="68">
        <v>3000</v>
      </c>
      <c r="N102" s="117">
        <v>843.66</v>
      </c>
      <c r="O102" s="72"/>
      <c r="P102" s="125">
        <f>Tabela1[[#This Row],[2QZ DE JAN 26]]-Tabela1[[#This Row],[SALDO PENDENTE FINAL]]-Tabela1[[#This Row],[SALDO CARTAO]]-Tabela1[[#This Row],[ADIANTAMENTO]]</f>
        <v>2156.34</v>
      </c>
      <c r="Q102" s="126"/>
      <c r="R102" s="130">
        <f>IF(Tabela1[[#This Row],[CARGA PARCIAL]]&lt;0,0,Tabela1[[#This Row],[CARGA PARCIAL]])+Tabela1[[#This Row],[REEMBOLSO]]</f>
        <v>2156.34</v>
      </c>
      <c r="S102" s="129" t="s">
        <v>22</v>
      </c>
      <c r="T102" s="72"/>
      <c r="U102" s="37"/>
      <c r="AW102"/>
      <c r="AX102"/>
      <c r="AY102"/>
    </row>
    <row r="103" spans="2:51" x14ac:dyDescent="0.25">
      <c r="B103" s="121" t="s">
        <v>370</v>
      </c>
      <c r="C103" s="122" t="s">
        <v>1543</v>
      </c>
      <c r="D103" s="115" t="s">
        <v>18</v>
      </c>
      <c r="E103" s="123" t="s">
        <v>371</v>
      </c>
      <c r="F103" s="71">
        <v>11030720001</v>
      </c>
      <c r="G103" s="123" t="s">
        <v>20</v>
      </c>
      <c r="H103" s="124" t="s">
        <v>21</v>
      </c>
      <c r="I103" s="104">
        <v>0</v>
      </c>
      <c r="J103" s="117">
        <v>1299.9700000000043</v>
      </c>
      <c r="K103" s="117">
        <v>0</v>
      </c>
      <c r="L103" s="117">
        <f>IF(Tabela1[[#This Row],[SALDO PARCIAL PENDENTE]]-Tabela1[[#This Row],[1QZ DE FEV 26]]&lt;0,0,Tabela1[[#This Row],[SALDO PARCIAL PENDENTE]]-Tabela1[[#This Row],[1QZ DE FEV 26]])</f>
        <v>1299.9700000000043</v>
      </c>
      <c r="M103" s="68">
        <v>1200</v>
      </c>
      <c r="N103" s="117">
        <v>162.81</v>
      </c>
      <c r="O103" s="72"/>
      <c r="P103" s="125">
        <f>Tabela1[[#This Row],[2QZ DE JAN 26]]-Tabela1[[#This Row],[SALDO PENDENTE FINAL]]-Tabela1[[#This Row],[SALDO CARTAO]]-Tabela1[[#This Row],[ADIANTAMENTO]]</f>
        <v>-262.78000000000435</v>
      </c>
      <c r="Q103" s="126"/>
      <c r="R103" s="130">
        <f>IF(Tabela1[[#This Row],[CARGA PARCIAL]]&lt;0,0,Tabela1[[#This Row],[CARGA PARCIAL]])+Tabela1[[#This Row],[REEMBOLSO]]</f>
        <v>0</v>
      </c>
      <c r="S103" s="129" t="s">
        <v>22</v>
      </c>
      <c r="T103" s="72"/>
      <c r="U103" s="37"/>
      <c r="AW103"/>
      <c r="AX103"/>
      <c r="AY103"/>
    </row>
    <row r="104" spans="2:51" x14ac:dyDescent="0.25">
      <c r="B104" s="121" t="s">
        <v>695</v>
      </c>
      <c r="C104" s="122" t="s">
        <v>696</v>
      </c>
      <c r="D104" s="115" t="s">
        <v>18</v>
      </c>
      <c r="E104" s="123" t="s">
        <v>322</v>
      </c>
      <c r="F104" s="71">
        <v>11010400001</v>
      </c>
      <c r="G104" s="123" t="s">
        <v>20</v>
      </c>
      <c r="H104" s="124" t="s">
        <v>21</v>
      </c>
      <c r="I104" s="104">
        <v>0</v>
      </c>
      <c r="J104" s="117">
        <v>1281.5199999999995</v>
      </c>
      <c r="K104" s="117">
        <v>9000</v>
      </c>
      <c r="L104" s="117">
        <f>IF(Tabela1[[#This Row],[SALDO PARCIAL PENDENTE]]-Tabela1[[#This Row],[1QZ DE FEV 26]]&lt;0,0,Tabela1[[#This Row],[SALDO PARCIAL PENDENTE]]-Tabela1[[#This Row],[1QZ DE FEV 26]])</f>
        <v>0</v>
      </c>
      <c r="M104" s="68">
        <v>3500</v>
      </c>
      <c r="N104" s="117">
        <v>609.12</v>
      </c>
      <c r="O104" s="72"/>
      <c r="P104" s="125">
        <f>Tabela1[[#This Row],[2QZ DE JAN 26]]-Tabela1[[#This Row],[SALDO PENDENTE FINAL]]-Tabela1[[#This Row],[SALDO CARTAO]]-Tabela1[[#This Row],[ADIANTAMENTO]]</f>
        <v>2890.88</v>
      </c>
      <c r="Q104" s="126"/>
      <c r="R104" s="130">
        <f>IF(Tabela1[[#This Row],[CARGA PARCIAL]]&lt;0,0,Tabela1[[#This Row],[CARGA PARCIAL]])+Tabela1[[#This Row],[REEMBOLSO]]</f>
        <v>2890.88</v>
      </c>
      <c r="S104" s="129" t="s">
        <v>22</v>
      </c>
      <c r="T104" s="72"/>
      <c r="U104" s="37"/>
      <c r="AW104"/>
      <c r="AX104"/>
      <c r="AY104"/>
    </row>
    <row r="105" spans="2:51" x14ac:dyDescent="0.25">
      <c r="B105" s="121" t="s">
        <v>102</v>
      </c>
      <c r="C105" s="122" t="s">
        <v>1664</v>
      </c>
      <c r="D105" s="115" t="s">
        <v>18</v>
      </c>
      <c r="E105" s="123" t="s">
        <v>55</v>
      </c>
      <c r="F105" s="71">
        <v>11062050001</v>
      </c>
      <c r="G105" s="123" t="s">
        <v>39</v>
      </c>
      <c r="H105" s="124" t="s">
        <v>31</v>
      </c>
      <c r="I105" s="104">
        <v>0</v>
      </c>
      <c r="J105" s="117">
        <v>1271.5900000000011</v>
      </c>
      <c r="K105" s="117">
        <v>742.41</v>
      </c>
      <c r="L105" s="117">
        <f>IF(Tabela1[[#This Row],[SALDO PARCIAL PENDENTE]]-Tabela1[[#This Row],[1QZ DE FEV 26]]&lt;0,0,Tabela1[[#This Row],[SALDO PARCIAL PENDENTE]]-Tabela1[[#This Row],[1QZ DE FEV 26]])</f>
        <v>529.18000000000109</v>
      </c>
      <c r="M105" s="68">
        <v>1200</v>
      </c>
      <c r="N105" s="117">
        <v>2715.41</v>
      </c>
      <c r="O105" s="72"/>
      <c r="P105" s="125">
        <f>Tabela1[[#This Row],[2QZ DE JAN 26]]-Tabela1[[#This Row],[SALDO PENDENTE FINAL]]-Tabela1[[#This Row],[SALDO CARTAO]]-Tabela1[[#This Row],[ADIANTAMENTO]]</f>
        <v>-2044.5900000000011</v>
      </c>
      <c r="Q105" s="126"/>
      <c r="R105" s="130">
        <f>IF(Tabela1[[#This Row],[CARGA PARCIAL]]&lt;0,0,Tabela1[[#This Row],[CARGA PARCIAL]])+Tabela1[[#This Row],[REEMBOLSO]]</f>
        <v>0</v>
      </c>
      <c r="S105" s="129" t="s">
        <v>22</v>
      </c>
      <c r="T105" s="72"/>
      <c r="U105" s="37"/>
      <c r="AW105"/>
      <c r="AX105"/>
      <c r="AY105"/>
    </row>
    <row r="106" spans="2:51" x14ac:dyDescent="0.25">
      <c r="B106" s="120" t="s">
        <v>550</v>
      </c>
      <c r="C106" s="114" t="s">
        <v>551</v>
      </c>
      <c r="D106" s="115" t="s">
        <v>18</v>
      </c>
      <c r="E106" s="115" t="s">
        <v>19</v>
      </c>
      <c r="F106" s="71">
        <v>11030290001</v>
      </c>
      <c r="G106" s="123" t="s">
        <v>20</v>
      </c>
      <c r="H106" s="116" t="s">
        <v>21</v>
      </c>
      <c r="I106" s="104">
        <v>0</v>
      </c>
      <c r="J106" s="117">
        <v>1257.4500000000016</v>
      </c>
      <c r="K106" s="117">
        <v>2361.6299999999974</v>
      </c>
      <c r="L106" s="117">
        <f>IF(Tabela1[[#This Row],[SALDO PARCIAL PENDENTE]]-Tabela1[[#This Row],[1QZ DE FEV 26]]&lt;0,0,Tabela1[[#This Row],[SALDO PARCIAL PENDENTE]]-Tabela1[[#This Row],[1QZ DE FEV 26]])</f>
        <v>0</v>
      </c>
      <c r="M106" s="68">
        <v>5000</v>
      </c>
      <c r="N106" s="117">
        <v>5.63</v>
      </c>
      <c r="O106" s="69"/>
      <c r="P106" s="118">
        <f>Tabela1[[#This Row],[2QZ DE JAN 26]]-Tabela1[[#This Row],[SALDO PENDENTE FINAL]]-Tabela1[[#This Row],[SALDO CARTAO]]-Tabela1[[#This Row],[ADIANTAMENTO]]</f>
        <v>4994.37</v>
      </c>
      <c r="Q106" s="119"/>
      <c r="R106" s="130">
        <f>IF(Tabela1[[#This Row],[CARGA PARCIAL]]&lt;0,0,Tabela1[[#This Row],[CARGA PARCIAL]])+Tabela1[[#This Row],[REEMBOLSO]]</f>
        <v>4994.37</v>
      </c>
      <c r="S106" s="129" t="s">
        <v>22</v>
      </c>
      <c r="T106" s="69"/>
      <c r="U106" s="37"/>
      <c r="AW106"/>
      <c r="AX106"/>
      <c r="AY106"/>
    </row>
    <row r="107" spans="2:51" x14ac:dyDescent="0.25">
      <c r="B107" s="120" t="s">
        <v>145</v>
      </c>
      <c r="C107" s="114" t="s">
        <v>1507</v>
      </c>
      <c r="D107" s="115" t="s">
        <v>18</v>
      </c>
      <c r="E107" s="115" t="s">
        <v>146</v>
      </c>
      <c r="F107" s="71">
        <v>11030640001</v>
      </c>
      <c r="G107" s="127" t="s">
        <v>65</v>
      </c>
      <c r="H107" s="116" t="s">
        <v>31</v>
      </c>
      <c r="I107" s="104">
        <v>0</v>
      </c>
      <c r="J107" s="117">
        <v>1235.2699999999109</v>
      </c>
      <c r="K107" s="117">
        <v>1613.9000000000669</v>
      </c>
      <c r="L107" s="117">
        <f>IF(Tabela1[[#This Row],[SALDO PARCIAL PENDENTE]]-Tabela1[[#This Row],[1QZ DE FEV 26]]&lt;0,0,Tabela1[[#This Row],[SALDO PARCIAL PENDENTE]]-Tabela1[[#This Row],[1QZ DE FEV 26]])</f>
        <v>0</v>
      </c>
      <c r="M107" s="68">
        <v>4300</v>
      </c>
      <c r="N107" s="117">
        <v>4.9000000000000004</v>
      </c>
      <c r="O107" s="69"/>
      <c r="P107" s="118">
        <f>Tabela1[[#This Row],[2QZ DE JAN 26]]-Tabela1[[#This Row],[SALDO PENDENTE FINAL]]-Tabela1[[#This Row],[SALDO CARTAO]]-Tabela1[[#This Row],[ADIANTAMENTO]]</f>
        <v>4295.1000000000004</v>
      </c>
      <c r="Q107" s="119"/>
      <c r="R107" s="130">
        <f>IF(Tabela1[[#This Row],[CARGA PARCIAL]]&lt;0,0,Tabela1[[#This Row],[CARGA PARCIAL]])+Tabela1[[#This Row],[REEMBOLSO]]</f>
        <v>4295.1000000000004</v>
      </c>
      <c r="S107" s="129" t="s">
        <v>22</v>
      </c>
      <c r="T107" s="69"/>
      <c r="U107" s="37"/>
      <c r="AW107"/>
      <c r="AX107"/>
      <c r="AY107"/>
    </row>
    <row r="108" spans="2:51" x14ac:dyDescent="0.25">
      <c r="B108" s="120" t="s">
        <v>617</v>
      </c>
      <c r="C108" s="114" t="s">
        <v>618</v>
      </c>
      <c r="D108" s="115" t="s">
        <v>18</v>
      </c>
      <c r="E108" s="115" t="s">
        <v>561</v>
      </c>
      <c r="F108" s="71">
        <v>11030700001</v>
      </c>
      <c r="G108" s="127" t="s">
        <v>30</v>
      </c>
      <c r="H108" s="116" t="s">
        <v>31</v>
      </c>
      <c r="I108" s="104">
        <v>0</v>
      </c>
      <c r="J108" s="117">
        <v>1197.180000000001</v>
      </c>
      <c r="K108" s="117">
        <v>0</v>
      </c>
      <c r="L108" s="117">
        <f>IF(Tabela1[[#This Row],[SALDO PARCIAL PENDENTE]]-Tabela1[[#This Row],[1QZ DE FEV 26]]&lt;0,0,Tabela1[[#This Row],[SALDO PARCIAL PENDENTE]]-Tabela1[[#This Row],[1QZ DE FEV 26]])</f>
        <v>1197.180000000001</v>
      </c>
      <c r="M108" s="68">
        <v>1200</v>
      </c>
      <c r="N108" s="117">
        <v>2.82</v>
      </c>
      <c r="O108" s="69"/>
      <c r="P108" s="118">
        <f>Tabela1[[#This Row],[2QZ DE JAN 26]]-Tabela1[[#This Row],[SALDO PENDENTE FINAL]]-Tabela1[[#This Row],[SALDO CARTAO]]-Tabela1[[#This Row],[ADIANTAMENTO]]</f>
        <v>-9.7299945878148719E-13</v>
      </c>
      <c r="Q108" s="119"/>
      <c r="R108" s="130">
        <f>IF(Tabela1[[#This Row],[CARGA PARCIAL]]&lt;0,0,Tabela1[[#This Row],[CARGA PARCIAL]])+Tabela1[[#This Row],[REEMBOLSO]]</f>
        <v>0</v>
      </c>
      <c r="S108" s="129" t="s">
        <v>22</v>
      </c>
      <c r="T108" s="69"/>
      <c r="U108" s="37"/>
      <c r="AW108"/>
      <c r="AX108"/>
      <c r="AY108"/>
    </row>
    <row r="109" spans="2:51" x14ac:dyDescent="0.25">
      <c r="B109" s="120" t="s">
        <v>212</v>
      </c>
      <c r="C109" s="114" t="s">
        <v>1544</v>
      </c>
      <c r="D109" s="115" t="s">
        <v>18</v>
      </c>
      <c r="E109" s="115" t="s">
        <v>116</v>
      </c>
      <c r="F109" s="71">
        <v>11030850001</v>
      </c>
      <c r="G109" s="127" t="s">
        <v>20</v>
      </c>
      <c r="H109" s="116" t="s">
        <v>21</v>
      </c>
      <c r="I109" s="104">
        <v>0</v>
      </c>
      <c r="J109" s="117">
        <v>1169.1799999999932</v>
      </c>
      <c r="K109" s="117">
        <v>586.17999999998938</v>
      </c>
      <c r="L109" s="117">
        <f>IF(Tabela1[[#This Row],[SALDO PARCIAL PENDENTE]]-Tabela1[[#This Row],[1QZ DE FEV 26]]&lt;0,0,Tabela1[[#This Row],[SALDO PARCIAL PENDENTE]]-Tabela1[[#This Row],[1QZ DE FEV 26]])</f>
        <v>583.00000000000387</v>
      </c>
      <c r="M109" s="68">
        <v>2000</v>
      </c>
      <c r="N109" s="117">
        <v>9.18</v>
      </c>
      <c r="O109" s="69"/>
      <c r="P109" s="118">
        <f>Tabela1[[#This Row],[2QZ DE JAN 26]]-Tabela1[[#This Row],[SALDO PENDENTE FINAL]]-Tabela1[[#This Row],[SALDO CARTAO]]-Tabela1[[#This Row],[ADIANTAMENTO]]</f>
        <v>1407.8199999999961</v>
      </c>
      <c r="Q109" s="119"/>
      <c r="R109" s="130">
        <f>IF(Tabela1[[#This Row],[CARGA PARCIAL]]&lt;0,0,Tabela1[[#This Row],[CARGA PARCIAL]])+Tabela1[[#This Row],[REEMBOLSO]]</f>
        <v>1407.8199999999961</v>
      </c>
      <c r="S109" s="129" t="s">
        <v>22</v>
      </c>
      <c r="T109" s="69"/>
      <c r="U109" s="37"/>
      <c r="AW109"/>
      <c r="AX109"/>
      <c r="AY109"/>
    </row>
    <row r="110" spans="2:51" x14ac:dyDescent="0.25">
      <c r="B110" s="121" t="s">
        <v>56</v>
      </c>
      <c r="C110" s="122" t="s">
        <v>1574</v>
      </c>
      <c r="D110" s="115" t="s">
        <v>18</v>
      </c>
      <c r="E110" s="123" t="s">
        <v>49</v>
      </c>
      <c r="F110" s="71">
        <v>11040160001</v>
      </c>
      <c r="G110" s="127" t="s">
        <v>27</v>
      </c>
      <c r="H110" s="124" t="s">
        <v>137</v>
      </c>
      <c r="I110" s="104">
        <v>0</v>
      </c>
      <c r="J110" s="117">
        <v>1159.110000000001</v>
      </c>
      <c r="K110" s="117">
        <v>417.09999999999854</v>
      </c>
      <c r="L110" s="117">
        <f>IF(Tabela1[[#This Row],[SALDO PARCIAL PENDENTE]]-Tabela1[[#This Row],[1QZ DE FEV 26]]&lt;0,0,Tabela1[[#This Row],[SALDO PARCIAL PENDENTE]]-Tabela1[[#This Row],[1QZ DE FEV 26]])</f>
        <v>742.01000000000249</v>
      </c>
      <c r="M110" s="68">
        <v>750</v>
      </c>
      <c r="N110" s="117">
        <v>3.1</v>
      </c>
      <c r="O110" s="72"/>
      <c r="P110" s="125">
        <f>Tabela1[[#This Row],[2QZ DE JAN 26]]-Tabela1[[#This Row],[SALDO PENDENTE FINAL]]-Tabela1[[#This Row],[SALDO CARTAO]]-Tabela1[[#This Row],[ADIANTAMENTO]]</f>
        <v>4.8899999999975083</v>
      </c>
      <c r="Q110" s="126"/>
      <c r="R110" s="130">
        <f>IF(Tabela1[[#This Row],[CARGA PARCIAL]]&lt;0,0,Tabela1[[#This Row],[CARGA PARCIAL]])+Tabela1[[#This Row],[REEMBOLSO]]</f>
        <v>4.8899999999975083</v>
      </c>
      <c r="S110" s="129" t="s">
        <v>22</v>
      </c>
      <c r="T110" s="72"/>
      <c r="U110" s="37"/>
      <c r="AW110"/>
      <c r="AX110"/>
      <c r="AY110"/>
    </row>
    <row r="111" spans="2:51" x14ac:dyDescent="0.25">
      <c r="B111" s="121" t="s">
        <v>367</v>
      </c>
      <c r="C111" s="122" t="s">
        <v>1808</v>
      </c>
      <c r="D111" s="115" t="s">
        <v>18</v>
      </c>
      <c r="E111" s="123" t="s">
        <v>150</v>
      </c>
      <c r="F111" s="71">
        <v>11030570001</v>
      </c>
      <c r="G111" s="123" t="s">
        <v>34</v>
      </c>
      <c r="H111" s="124" t="s">
        <v>31</v>
      </c>
      <c r="I111" s="104">
        <v>0</v>
      </c>
      <c r="J111" s="117">
        <v>1125.5599999999931</v>
      </c>
      <c r="K111" s="117">
        <v>1422.3000000000138</v>
      </c>
      <c r="L111" s="117">
        <f>IF(Tabela1[[#This Row],[SALDO PARCIAL PENDENTE]]-Tabela1[[#This Row],[1QZ DE FEV 26]]&lt;0,0,Tabela1[[#This Row],[SALDO PARCIAL PENDENTE]]-Tabela1[[#This Row],[1QZ DE FEV 26]])</f>
        <v>0</v>
      </c>
      <c r="M111" s="68">
        <v>2800</v>
      </c>
      <c r="N111" s="117">
        <v>9.2100000000000009</v>
      </c>
      <c r="O111" s="72"/>
      <c r="P111" s="125">
        <f>Tabela1[[#This Row],[2QZ DE JAN 26]]-Tabela1[[#This Row],[SALDO PENDENTE FINAL]]-Tabela1[[#This Row],[SALDO CARTAO]]-Tabela1[[#This Row],[ADIANTAMENTO]]</f>
        <v>2790.79</v>
      </c>
      <c r="Q111" s="126"/>
      <c r="R111" s="130">
        <f>IF(Tabela1[[#This Row],[CARGA PARCIAL]]&lt;0,0,Tabela1[[#This Row],[CARGA PARCIAL]])+Tabela1[[#This Row],[REEMBOLSO]]</f>
        <v>2790.79</v>
      </c>
      <c r="S111" s="129" t="s">
        <v>22</v>
      </c>
      <c r="T111" s="72"/>
      <c r="U111" s="37"/>
      <c r="AW111"/>
      <c r="AX111"/>
      <c r="AY111"/>
    </row>
    <row r="112" spans="2:51" x14ac:dyDescent="0.25">
      <c r="B112" s="121" t="s">
        <v>738</v>
      </c>
      <c r="C112" s="122" t="s">
        <v>739</v>
      </c>
      <c r="D112" s="115" t="s">
        <v>18</v>
      </c>
      <c r="E112" s="123" t="s">
        <v>334</v>
      </c>
      <c r="F112" s="71">
        <v>11030770001</v>
      </c>
      <c r="G112" s="123" t="s">
        <v>24</v>
      </c>
      <c r="H112" s="124" t="s">
        <v>21</v>
      </c>
      <c r="I112" s="104">
        <v>0</v>
      </c>
      <c r="J112" s="117">
        <v>1087.2499999999986</v>
      </c>
      <c r="K112" s="117">
        <v>926.34999999999127</v>
      </c>
      <c r="L112" s="117">
        <f>IF(Tabela1[[#This Row],[SALDO PARCIAL PENDENTE]]-Tabela1[[#This Row],[1QZ DE FEV 26]]&lt;0,0,Tabela1[[#This Row],[SALDO PARCIAL PENDENTE]]-Tabela1[[#This Row],[1QZ DE FEV 26]])</f>
        <v>160.90000000000737</v>
      </c>
      <c r="M112" s="68">
        <v>1500</v>
      </c>
      <c r="N112" s="117">
        <v>5.35</v>
      </c>
      <c r="O112" s="72"/>
      <c r="P112" s="125">
        <f>Tabela1[[#This Row],[2QZ DE JAN 26]]-Tabela1[[#This Row],[SALDO PENDENTE FINAL]]-Tabela1[[#This Row],[SALDO CARTAO]]-Tabela1[[#This Row],[ADIANTAMENTO]]</f>
        <v>1333.7499999999927</v>
      </c>
      <c r="Q112" s="126"/>
      <c r="R112" s="130">
        <f>IF(Tabela1[[#This Row],[CARGA PARCIAL]]&lt;0,0,Tabela1[[#This Row],[CARGA PARCIAL]])+Tabela1[[#This Row],[REEMBOLSO]]</f>
        <v>1333.7499999999927</v>
      </c>
      <c r="S112" s="129" t="s">
        <v>22</v>
      </c>
      <c r="T112" s="72"/>
      <c r="U112" s="37"/>
      <c r="AW112"/>
      <c r="AX112"/>
      <c r="AY112"/>
    </row>
    <row r="113" spans="2:51" x14ac:dyDescent="0.25">
      <c r="B113" s="120" t="s">
        <v>429</v>
      </c>
      <c r="C113" s="114" t="s">
        <v>430</v>
      </c>
      <c r="D113" s="115" t="s">
        <v>18</v>
      </c>
      <c r="E113" s="115" t="s">
        <v>113</v>
      </c>
      <c r="F113" s="71">
        <v>11061720001</v>
      </c>
      <c r="G113" s="123" t="s">
        <v>30</v>
      </c>
      <c r="H113" s="116" t="s">
        <v>31</v>
      </c>
      <c r="I113" s="104">
        <v>0</v>
      </c>
      <c r="J113" s="117">
        <v>1080.0000000000002</v>
      </c>
      <c r="K113" s="117">
        <v>0</v>
      </c>
      <c r="L113" s="117">
        <f>IF(Tabela1[[#This Row],[SALDO PARCIAL PENDENTE]]-Tabela1[[#This Row],[1QZ DE FEV 26]]&lt;0,0,Tabela1[[#This Row],[SALDO PARCIAL PENDENTE]]-Tabela1[[#This Row],[1QZ DE FEV 26]])</f>
        <v>1080.0000000000002</v>
      </c>
      <c r="M113" s="68">
        <v>800</v>
      </c>
      <c r="N113" s="117">
        <v>18.8</v>
      </c>
      <c r="O113" s="69"/>
      <c r="P113" s="118">
        <f>Tabela1[[#This Row],[2QZ DE JAN 26]]-Tabela1[[#This Row],[SALDO PENDENTE FINAL]]-Tabela1[[#This Row],[SALDO CARTAO]]-Tabela1[[#This Row],[ADIANTAMENTO]]</f>
        <v>-298.80000000000024</v>
      </c>
      <c r="Q113" s="119"/>
      <c r="R113" s="130">
        <f>IF(Tabela1[[#This Row],[CARGA PARCIAL]]&lt;0,0,Tabela1[[#This Row],[CARGA PARCIAL]])+Tabela1[[#This Row],[REEMBOLSO]]</f>
        <v>0</v>
      </c>
      <c r="S113" s="129" t="s">
        <v>22</v>
      </c>
      <c r="T113" s="69"/>
      <c r="U113" s="37"/>
      <c r="AW113"/>
      <c r="AX113"/>
      <c r="AY113"/>
    </row>
    <row r="114" spans="2:51" x14ac:dyDescent="0.25">
      <c r="B114" s="121" t="s">
        <v>485</v>
      </c>
      <c r="C114" s="122" t="s">
        <v>486</v>
      </c>
      <c r="D114" s="115" t="s">
        <v>18</v>
      </c>
      <c r="E114" s="123" t="s">
        <v>487</v>
      </c>
      <c r="F114" s="71">
        <v>11030890001</v>
      </c>
      <c r="G114" s="127" t="s">
        <v>24</v>
      </c>
      <c r="H114" s="124" t="s">
        <v>21</v>
      </c>
      <c r="I114" s="104">
        <v>0</v>
      </c>
      <c r="J114" s="117">
        <v>1058.7000000000189</v>
      </c>
      <c r="K114" s="117">
        <v>6000</v>
      </c>
      <c r="L114" s="117">
        <f>IF(Tabela1[[#This Row],[SALDO PARCIAL PENDENTE]]-Tabela1[[#This Row],[1QZ DE FEV 26]]&lt;0,0,Tabela1[[#This Row],[SALDO PARCIAL PENDENTE]]-Tabela1[[#This Row],[1QZ DE FEV 26]])</f>
        <v>0</v>
      </c>
      <c r="M114" s="68">
        <v>6000</v>
      </c>
      <c r="N114" s="117">
        <v>56</v>
      </c>
      <c r="O114" s="72">
        <v>1000</v>
      </c>
      <c r="P114" s="125">
        <f>Tabela1[[#This Row],[2QZ DE JAN 26]]-Tabela1[[#This Row],[SALDO PENDENTE FINAL]]-Tabela1[[#This Row],[SALDO CARTAO]]-Tabela1[[#This Row],[ADIANTAMENTO]]</f>
        <v>4944</v>
      </c>
      <c r="Q114" s="126"/>
      <c r="R114" s="130">
        <f>IF(Tabela1[[#This Row],[CARGA PARCIAL]]&lt;0,0,Tabela1[[#This Row],[CARGA PARCIAL]])+Tabela1[[#This Row],[REEMBOLSO]]</f>
        <v>4944</v>
      </c>
      <c r="S114" s="129" t="s">
        <v>22</v>
      </c>
      <c r="T114" s="72"/>
      <c r="U114" s="37"/>
      <c r="AW114"/>
      <c r="AX114"/>
      <c r="AY114"/>
    </row>
    <row r="115" spans="2:51" x14ac:dyDescent="0.25">
      <c r="B115" s="120" t="s">
        <v>456</v>
      </c>
      <c r="C115" s="114" t="s">
        <v>457</v>
      </c>
      <c r="D115" s="115" t="s">
        <v>18</v>
      </c>
      <c r="E115" s="115" t="s">
        <v>458</v>
      </c>
      <c r="F115" s="71">
        <v>1201008</v>
      </c>
      <c r="G115" s="123" t="s">
        <v>65</v>
      </c>
      <c r="H115" s="116" t="s">
        <v>31</v>
      </c>
      <c r="I115" s="104">
        <v>0</v>
      </c>
      <c r="J115" s="117">
        <v>1022.0600000000022</v>
      </c>
      <c r="K115" s="117">
        <v>0</v>
      </c>
      <c r="L115" s="117">
        <f>IF(Tabela1[[#This Row],[SALDO PARCIAL PENDENTE]]-Tabela1[[#This Row],[1QZ DE FEV 26]]&lt;0,0,Tabela1[[#This Row],[SALDO PARCIAL PENDENTE]]-Tabela1[[#This Row],[1QZ DE FEV 26]])</f>
        <v>1022.0600000000022</v>
      </c>
      <c r="M115" s="68">
        <v>500</v>
      </c>
      <c r="N115" s="117">
        <v>3123.79</v>
      </c>
      <c r="O115" s="69"/>
      <c r="P115" s="118">
        <f>Tabela1[[#This Row],[2QZ DE JAN 26]]-Tabela1[[#This Row],[SALDO PENDENTE FINAL]]-Tabela1[[#This Row],[SALDO CARTAO]]-Tabela1[[#This Row],[ADIANTAMENTO]]</f>
        <v>-3645.8500000000022</v>
      </c>
      <c r="Q115" s="119"/>
      <c r="R115" s="130">
        <f>IF(Tabela1[[#This Row],[CARGA PARCIAL]]&lt;0,0,Tabela1[[#This Row],[CARGA PARCIAL]])+Tabela1[[#This Row],[REEMBOLSO]]</f>
        <v>0</v>
      </c>
      <c r="S115" s="129" t="s">
        <v>22</v>
      </c>
      <c r="T115" s="69"/>
      <c r="U115" s="37"/>
      <c r="AW115"/>
      <c r="AX115"/>
      <c r="AY115"/>
    </row>
    <row r="116" spans="2:51" x14ac:dyDescent="0.25">
      <c r="B116" s="121" t="s">
        <v>1799</v>
      </c>
      <c r="C116" s="122" t="s">
        <v>1800</v>
      </c>
      <c r="D116" s="115" t="s">
        <v>18</v>
      </c>
      <c r="E116" s="123" t="s">
        <v>487</v>
      </c>
      <c r="F116" s="71">
        <v>11030890001</v>
      </c>
      <c r="G116" s="127" t="s">
        <v>24</v>
      </c>
      <c r="H116" s="124" t="s">
        <v>21</v>
      </c>
      <c r="I116" s="104">
        <v>0</v>
      </c>
      <c r="J116" s="117">
        <v>1000</v>
      </c>
      <c r="K116" s="117">
        <v>0</v>
      </c>
      <c r="L116" s="117">
        <f>IF(Tabela1[[#This Row],[SALDO PARCIAL PENDENTE]]-Tabela1[[#This Row],[1QZ DE FEV 26]]&lt;0,0,Tabela1[[#This Row],[SALDO PARCIAL PENDENTE]]-Tabela1[[#This Row],[1QZ DE FEV 26]])</f>
        <v>1000</v>
      </c>
      <c r="M116" s="68">
        <v>2000</v>
      </c>
      <c r="N116" s="117">
        <v>1393</v>
      </c>
      <c r="O116" s="72"/>
      <c r="P116" s="125">
        <f>Tabela1[[#This Row],[2QZ DE JAN 26]]-Tabela1[[#This Row],[SALDO PENDENTE FINAL]]-Tabela1[[#This Row],[SALDO CARTAO]]-Tabela1[[#This Row],[ADIANTAMENTO]]</f>
        <v>-393</v>
      </c>
      <c r="Q116" s="126"/>
      <c r="R116" s="130">
        <f>IF(Tabela1[[#This Row],[CARGA PARCIAL]]&lt;0,0,Tabela1[[#This Row],[CARGA PARCIAL]])+Tabela1[[#This Row],[REEMBOLSO]]</f>
        <v>0</v>
      </c>
      <c r="S116" s="129" t="s">
        <v>22</v>
      </c>
      <c r="T116" s="72"/>
      <c r="U116" s="37"/>
      <c r="AW116"/>
      <c r="AX116"/>
      <c r="AY116"/>
    </row>
    <row r="117" spans="2:51" x14ac:dyDescent="0.25">
      <c r="B117" s="120" t="s">
        <v>416</v>
      </c>
      <c r="C117" s="114" t="s">
        <v>417</v>
      </c>
      <c r="D117" s="115" t="s">
        <v>18</v>
      </c>
      <c r="E117" s="115" t="s">
        <v>41</v>
      </c>
      <c r="F117" s="71">
        <v>11061490001</v>
      </c>
      <c r="G117" s="123" t="s">
        <v>24</v>
      </c>
      <c r="H117" s="116" t="s">
        <v>21</v>
      </c>
      <c r="I117" s="104">
        <v>0</v>
      </c>
      <c r="J117" s="117">
        <v>999.99999999999955</v>
      </c>
      <c r="K117" s="117">
        <v>0</v>
      </c>
      <c r="L117" s="117">
        <f>IF(Tabela1[[#This Row],[SALDO PARCIAL PENDENTE]]-Tabela1[[#This Row],[1QZ DE FEV 26]]&lt;0,0,Tabela1[[#This Row],[SALDO PARCIAL PENDENTE]]-Tabela1[[#This Row],[1QZ DE FEV 26]])</f>
        <v>999.99999999999955</v>
      </c>
      <c r="M117" s="68">
        <v>1000</v>
      </c>
      <c r="N117" s="117">
        <v>0</v>
      </c>
      <c r="O117" s="69"/>
      <c r="P117" s="118">
        <f>Tabela1[[#This Row],[2QZ DE JAN 26]]-Tabela1[[#This Row],[SALDO PENDENTE FINAL]]-Tabela1[[#This Row],[SALDO CARTAO]]-Tabela1[[#This Row],[ADIANTAMENTO]]</f>
        <v>4.5474735088646412E-13</v>
      </c>
      <c r="Q117" s="119"/>
      <c r="R117" s="130">
        <f>IF(Tabela1[[#This Row],[CARGA PARCIAL]]&lt;0,0,Tabela1[[#This Row],[CARGA PARCIAL]])+Tabela1[[#This Row],[REEMBOLSO]]</f>
        <v>4.5474735088646412E-13</v>
      </c>
      <c r="S117" s="129" t="s">
        <v>22</v>
      </c>
      <c r="T117" s="69"/>
      <c r="U117" s="37"/>
      <c r="AW117"/>
      <c r="AX117"/>
      <c r="AY117"/>
    </row>
    <row r="118" spans="2:51" x14ac:dyDescent="0.25">
      <c r="B118" s="120" t="s">
        <v>271</v>
      </c>
      <c r="C118" s="114" t="s">
        <v>1606</v>
      </c>
      <c r="D118" s="115" t="s">
        <v>18</v>
      </c>
      <c r="E118" s="115" t="s">
        <v>245</v>
      </c>
      <c r="F118" s="71">
        <v>11030760001</v>
      </c>
      <c r="G118" s="127" t="s">
        <v>65</v>
      </c>
      <c r="H118" s="116" t="s">
        <v>31</v>
      </c>
      <c r="I118" s="104">
        <v>0</v>
      </c>
      <c r="J118" s="117">
        <v>978.31000000000085</v>
      </c>
      <c r="K118" s="117">
        <v>34.999999999999091</v>
      </c>
      <c r="L118" s="117">
        <f>IF(Tabela1[[#This Row],[SALDO PARCIAL PENDENTE]]-Tabela1[[#This Row],[1QZ DE FEV 26]]&lt;0,0,Tabela1[[#This Row],[SALDO PARCIAL PENDENTE]]-Tabela1[[#This Row],[1QZ DE FEV 26]])</f>
        <v>943.31000000000176</v>
      </c>
      <c r="M118" s="68">
        <v>1500</v>
      </c>
      <c r="N118" s="117">
        <v>521.69000000000005</v>
      </c>
      <c r="O118" s="69"/>
      <c r="P118" s="118">
        <f>Tabela1[[#This Row],[2QZ DE JAN 26]]-Tabela1[[#This Row],[SALDO PENDENTE FINAL]]-Tabela1[[#This Row],[SALDO CARTAO]]-Tabela1[[#This Row],[ADIANTAMENTO]]</f>
        <v>34.999999999998181</v>
      </c>
      <c r="Q118" s="119"/>
      <c r="R118" s="130">
        <f>IF(Tabela1[[#This Row],[CARGA PARCIAL]]&lt;0,0,Tabela1[[#This Row],[CARGA PARCIAL]])+Tabela1[[#This Row],[REEMBOLSO]]</f>
        <v>34.999999999998181</v>
      </c>
      <c r="S118" s="129" t="s">
        <v>22</v>
      </c>
      <c r="T118" s="69"/>
      <c r="U118" s="37"/>
      <c r="AW118"/>
      <c r="AX118"/>
      <c r="AY118"/>
    </row>
    <row r="119" spans="2:51" x14ac:dyDescent="0.25">
      <c r="B119" s="120" t="s">
        <v>408</v>
      </c>
      <c r="C119" s="114" t="s">
        <v>409</v>
      </c>
      <c r="D119" s="115" t="s">
        <v>18</v>
      </c>
      <c r="E119" s="115" t="s">
        <v>97</v>
      </c>
      <c r="F119" s="71">
        <v>11010370001</v>
      </c>
      <c r="G119" s="127" t="s">
        <v>30</v>
      </c>
      <c r="H119" s="116" t="s">
        <v>31</v>
      </c>
      <c r="I119" s="104">
        <v>0</v>
      </c>
      <c r="J119" s="117">
        <v>961.87999999999954</v>
      </c>
      <c r="K119" s="117">
        <v>655.06999999999971</v>
      </c>
      <c r="L119" s="117">
        <f>IF(Tabela1[[#This Row],[SALDO PARCIAL PENDENTE]]-Tabela1[[#This Row],[1QZ DE FEV 26]]&lt;0,0,Tabela1[[#This Row],[SALDO PARCIAL PENDENTE]]-Tabela1[[#This Row],[1QZ DE FEV 26]])</f>
        <v>306.80999999999983</v>
      </c>
      <c r="M119" s="68">
        <v>1000</v>
      </c>
      <c r="N119" s="117">
        <v>31.12</v>
      </c>
      <c r="O119" s="69"/>
      <c r="P119" s="118">
        <f>Tabela1[[#This Row],[2QZ DE JAN 26]]-Tabela1[[#This Row],[SALDO PENDENTE FINAL]]-Tabela1[[#This Row],[SALDO CARTAO]]-Tabela1[[#This Row],[ADIANTAMENTO]]</f>
        <v>662.07000000000016</v>
      </c>
      <c r="Q119" s="119"/>
      <c r="R119" s="130">
        <f>IF(Tabela1[[#This Row],[CARGA PARCIAL]]&lt;0,0,Tabela1[[#This Row],[CARGA PARCIAL]])+Tabela1[[#This Row],[REEMBOLSO]]</f>
        <v>662.07000000000016</v>
      </c>
      <c r="S119" s="129" t="s">
        <v>22</v>
      </c>
      <c r="T119" s="69"/>
      <c r="U119" s="37"/>
      <c r="AW119"/>
      <c r="AX119"/>
      <c r="AY119"/>
    </row>
    <row r="120" spans="2:51" x14ac:dyDescent="0.25">
      <c r="B120" s="121" t="s">
        <v>763</v>
      </c>
      <c r="C120" s="122" t="s">
        <v>764</v>
      </c>
      <c r="D120" s="115" t="s">
        <v>18</v>
      </c>
      <c r="E120" s="123" t="s">
        <v>135</v>
      </c>
      <c r="F120" s="71">
        <v>11080220001</v>
      </c>
      <c r="G120" s="127" t="s">
        <v>136</v>
      </c>
      <c r="H120" s="124" t="s">
        <v>137</v>
      </c>
      <c r="I120" s="104">
        <v>0</v>
      </c>
      <c r="J120" s="117">
        <v>952.43999999999778</v>
      </c>
      <c r="K120" s="117">
        <v>0</v>
      </c>
      <c r="L120" s="117">
        <f>IF(Tabela1[[#This Row],[SALDO PARCIAL PENDENTE]]-Tabela1[[#This Row],[1QZ DE FEV 26]]&lt;0,0,Tabela1[[#This Row],[SALDO PARCIAL PENDENTE]]-Tabela1[[#This Row],[1QZ DE FEV 26]])</f>
        <v>952.43999999999778</v>
      </c>
      <c r="M120" s="68">
        <v>4150</v>
      </c>
      <c r="N120" s="117">
        <v>39.46</v>
      </c>
      <c r="O120" s="72"/>
      <c r="P120" s="125">
        <f>Tabela1[[#This Row],[2QZ DE JAN 26]]-Tabela1[[#This Row],[SALDO PENDENTE FINAL]]-Tabela1[[#This Row],[SALDO CARTAO]]-Tabela1[[#This Row],[ADIANTAMENTO]]</f>
        <v>3158.1000000000022</v>
      </c>
      <c r="Q120" s="126"/>
      <c r="R120" s="130">
        <f>IF(Tabela1[[#This Row],[CARGA PARCIAL]]&lt;0,0,Tabela1[[#This Row],[CARGA PARCIAL]])+Tabela1[[#This Row],[REEMBOLSO]]</f>
        <v>3158.1000000000022</v>
      </c>
      <c r="S120" s="129" t="s">
        <v>22</v>
      </c>
      <c r="T120" s="72"/>
      <c r="U120" s="37"/>
      <c r="AW120"/>
      <c r="AX120"/>
      <c r="AY120"/>
    </row>
    <row r="121" spans="2:51" x14ac:dyDescent="0.25">
      <c r="B121" s="121" t="s">
        <v>472</v>
      </c>
      <c r="C121" s="122" t="s">
        <v>473</v>
      </c>
      <c r="D121" s="115" t="s">
        <v>18</v>
      </c>
      <c r="E121" s="123" t="s">
        <v>51</v>
      </c>
      <c r="F121" s="71">
        <v>11040170001</v>
      </c>
      <c r="G121" s="123" t="s">
        <v>1816</v>
      </c>
      <c r="H121" s="124" t="s">
        <v>21</v>
      </c>
      <c r="I121" s="104">
        <v>0</v>
      </c>
      <c r="J121" s="117">
        <v>907.17000000000178</v>
      </c>
      <c r="K121" s="117">
        <v>1000</v>
      </c>
      <c r="L121" s="117">
        <f>IF(Tabela1[[#This Row],[SALDO PARCIAL PENDENTE]]-Tabela1[[#This Row],[1QZ DE FEV 26]]&lt;0,0,Tabela1[[#This Row],[SALDO PARCIAL PENDENTE]]-Tabela1[[#This Row],[1QZ DE FEV 26]])</f>
        <v>0</v>
      </c>
      <c r="M121" s="68">
        <v>1000</v>
      </c>
      <c r="N121" s="117">
        <v>92.83</v>
      </c>
      <c r="O121" s="72"/>
      <c r="P121" s="125">
        <f>Tabela1[[#This Row],[2QZ DE JAN 26]]-Tabela1[[#This Row],[SALDO PENDENTE FINAL]]-Tabela1[[#This Row],[SALDO CARTAO]]-Tabela1[[#This Row],[ADIANTAMENTO]]</f>
        <v>907.17</v>
      </c>
      <c r="Q121" s="126"/>
      <c r="R121" s="130">
        <f>IF(Tabela1[[#This Row],[CARGA PARCIAL]]&lt;0,0,Tabela1[[#This Row],[CARGA PARCIAL]])+Tabela1[[#This Row],[REEMBOLSO]]</f>
        <v>907.17</v>
      </c>
      <c r="S121" s="129" t="s">
        <v>22</v>
      </c>
      <c r="T121" s="72"/>
      <c r="AY121"/>
    </row>
    <row r="122" spans="2:51" x14ac:dyDescent="0.25">
      <c r="B122" s="121" t="s">
        <v>296</v>
      </c>
      <c r="C122" s="122" t="s">
        <v>1634</v>
      </c>
      <c r="D122" s="115" t="s">
        <v>18</v>
      </c>
      <c r="E122" s="123" t="s">
        <v>71</v>
      </c>
      <c r="F122" s="71">
        <v>11061810001</v>
      </c>
      <c r="G122" s="123" t="s">
        <v>34</v>
      </c>
      <c r="H122" s="124" t="s">
        <v>31</v>
      </c>
      <c r="I122" s="104">
        <v>0</v>
      </c>
      <c r="J122" s="117">
        <v>906</v>
      </c>
      <c r="K122" s="117">
        <v>0</v>
      </c>
      <c r="L122" s="117">
        <f>IF(Tabela1[[#This Row],[SALDO PARCIAL PENDENTE]]-Tabela1[[#This Row],[1QZ DE FEV 26]]&lt;0,0,Tabela1[[#This Row],[SALDO PARCIAL PENDENTE]]-Tabela1[[#This Row],[1QZ DE FEV 26]])</f>
        <v>906</v>
      </c>
      <c r="M122" s="68">
        <v>120</v>
      </c>
      <c r="N122" s="117">
        <v>0</v>
      </c>
      <c r="O122" s="72"/>
      <c r="P122" s="125">
        <f>Tabela1[[#This Row],[2QZ DE JAN 26]]-Tabela1[[#This Row],[SALDO PENDENTE FINAL]]-Tabela1[[#This Row],[SALDO CARTAO]]-Tabela1[[#This Row],[ADIANTAMENTO]]</f>
        <v>-786</v>
      </c>
      <c r="Q122" s="126"/>
      <c r="R122" s="130">
        <f>IF(Tabela1[[#This Row],[CARGA PARCIAL]]&lt;0,0,Tabela1[[#This Row],[CARGA PARCIAL]])+Tabela1[[#This Row],[REEMBOLSO]]</f>
        <v>0</v>
      </c>
      <c r="S122" s="129" t="s">
        <v>22</v>
      </c>
      <c r="T122" s="72"/>
      <c r="AY122"/>
    </row>
    <row r="123" spans="2:51" x14ac:dyDescent="0.25">
      <c r="B123" s="121" t="s">
        <v>254</v>
      </c>
      <c r="C123" s="122" t="s">
        <v>1791</v>
      </c>
      <c r="D123" s="115" t="s">
        <v>18</v>
      </c>
      <c r="E123" s="123" t="s">
        <v>187</v>
      </c>
      <c r="F123" s="71">
        <v>11030870001</v>
      </c>
      <c r="G123" s="123" t="s">
        <v>78</v>
      </c>
      <c r="H123" s="124" t="s">
        <v>21</v>
      </c>
      <c r="I123" s="104">
        <v>0</v>
      </c>
      <c r="J123" s="117">
        <v>905.66</v>
      </c>
      <c r="K123" s="117">
        <v>1942.92</v>
      </c>
      <c r="L123" s="117">
        <f>IF(Tabela1[[#This Row],[SALDO PARCIAL PENDENTE]]-Tabela1[[#This Row],[1QZ DE FEV 26]]&lt;0,0,Tabela1[[#This Row],[SALDO PARCIAL PENDENTE]]-Tabela1[[#This Row],[1QZ DE FEV 26]])</f>
        <v>0</v>
      </c>
      <c r="M123" s="68">
        <v>1000</v>
      </c>
      <c r="N123" s="117">
        <v>31.92</v>
      </c>
      <c r="O123" s="72"/>
      <c r="P123" s="125">
        <f>Tabela1[[#This Row],[2QZ DE JAN 26]]-Tabela1[[#This Row],[SALDO PENDENTE FINAL]]-Tabela1[[#This Row],[SALDO CARTAO]]-Tabela1[[#This Row],[ADIANTAMENTO]]</f>
        <v>968.08</v>
      </c>
      <c r="Q123" s="126"/>
      <c r="R123" s="130">
        <f>IF(Tabela1[[#This Row],[CARGA PARCIAL]]&lt;0,0,Tabela1[[#This Row],[CARGA PARCIAL]])+Tabela1[[#This Row],[REEMBOLSO]]</f>
        <v>968.08</v>
      </c>
      <c r="S123" s="129" t="s">
        <v>22</v>
      </c>
      <c r="T123" s="72"/>
      <c r="AY123"/>
    </row>
    <row r="124" spans="2:51" x14ac:dyDescent="0.25">
      <c r="B124" s="121" t="s">
        <v>511</v>
      </c>
      <c r="C124" s="122" t="s">
        <v>512</v>
      </c>
      <c r="D124" s="115" t="s">
        <v>18</v>
      </c>
      <c r="E124" s="123" t="s">
        <v>146</v>
      </c>
      <c r="F124" s="71">
        <v>11030640001</v>
      </c>
      <c r="G124" s="123" t="s">
        <v>65</v>
      </c>
      <c r="H124" s="124" t="s">
        <v>31</v>
      </c>
      <c r="I124" s="104">
        <v>0</v>
      </c>
      <c r="J124" s="117">
        <v>900.02000000000135</v>
      </c>
      <c r="K124" s="117">
        <v>0</v>
      </c>
      <c r="L124" s="117">
        <f>IF(Tabela1[[#This Row],[SALDO PARCIAL PENDENTE]]-Tabela1[[#This Row],[1QZ DE FEV 26]]&lt;0,0,Tabela1[[#This Row],[SALDO PARCIAL PENDENTE]]-Tabela1[[#This Row],[1QZ DE FEV 26]])</f>
        <v>900.02000000000135</v>
      </c>
      <c r="M124" s="68">
        <v>1000</v>
      </c>
      <c r="N124" s="117">
        <v>0</v>
      </c>
      <c r="O124" s="72"/>
      <c r="P124" s="125">
        <f>Tabela1[[#This Row],[2QZ DE JAN 26]]-Tabela1[[#This Row],[SALDO PENDENTE FINAL]]-Tabela1[[#This Row],[SALDO CARTAO]]-Tabela1[[#This Row],[ADIANTAMENTO]]</f>
        <v>99.979999999998654</v>
      </c>
      <c r="Q124" s="126"/>
      <c r="R124" s="130">
        <f>IF(Tabela1[[#This Row],[CARGA PARCIAL]]&lt;0,0,Tabela1[[#This Row],[CARGA PARCIAL]])+Tabela1[[#This Row],[REEMBOLSO]]</f>
        <v>99.979999999998654</v>
      </c>
      <c r="S124" s="129" t="s">
        <v>22</v>
      </c>
      <c r="T124" s="72"/>
      <c r="AY124"/>
    </row>
    <row r="125" spans="2:51" x14ac:dyDescent="0.25">
      <c r="B125" s="120" t="s">
        <v>128</v>
      </c>
      <c r="C125" s="114" t="s">
        <v>129</v>
      </c>
      <c r="D125" s="115" t="s">
        <v>18</v>
      </c>
      <c r="E125" s="115" t="s">
        <v>130</v>
      </c>
      <c r="F125" s="71">
        <v>1201071</v>
      </c>
      <c r="G125" s="123" t="s">
        <v>30</v>
      </c>
      <c r="H125" s="116" t="s">
        <v>31</v>
      </c>
      <c r="I125" s="104">
        <v>0</v>
      </c>
      <c r="J125" s="117">
        <v>873.29999999999939</v>
      </c>
      <c r="K125" s="117">
        <v>0</v>
      </c>
      <c r="L125" s="117">
        <f>IF(Tabela1[[#This Row],[SALDO PARCIAL PENDENTE]]-Tabela1[[#This Row],[1QZ DE FEV 26]]&lt;0,0,Tabela1[[#This Row],[SALDO PARCIAL PENDENTE]]-Tabela1[[#This Row],[1QZ DE FEV 26]])</f>
        <v>873.29999999999939</v>
      </c>
      <c r="M125" s="68">
        <v>700</v>
      </c>
      <c r="N125" s="117">
        <v>0</v>
      </c>
      <c r="O125" s="69"/>
      <c r="P125" s="118">
        <f>Tabela1[[#This Row],[2QZ DE JAN 26]]-Tabela1[[#This Row],[SALDO PENDENTE FINAL]]-Tabela1[[#This Row],[SALDO CARTAO]]-Tabela1[[#This Row],[ADIANTAMENTO]]</f>
        <v>-173.29999999999939</v>
      </c>
      <c r="Q125" s="119"/>
      <c r="R125" s="130">
        <f>IF(Tabela1[[#This Row],[CARGA PARCIAL]]&lt;0,0,Tabela1[[#This Row],[CARGA PARCIAL]])+Tabela1[[#This Row],[REEMBOLSO]]</f>
        <v>0</v>
      </c>
      <c r="S125" s="129" t="s">
        <v>22</v>
      </c>
      <c r="T125" s="69"/>
      <c r="AY125"/>
    </row>
    <row r="126" spans="2:51" x14ac:dyDescent="0.25">
      <c r="B126" s="121" t="s">
        <v>131</v>
      </c>
      <c r="C126" s="122" t="s">
        <v>1589</v>
      </c>
      <c r="D126" s="115" t="s">
        <v>18</v>
      </c>
      <c r="E126" s="123" t="s">
        <v>132</v>
      </c>
      <c r="F126" s="71">
        <v>11061860001</v>
      </c>
      <c r="G126" s="123" t="s">
        <v>78</v>
      </c>
      <c r="H126" s="124" t="s">
        <v>21</v>
      </c>
      <c r="I126" s="104">
        <v>0</v>
      </c>
      <c r="J126" s="117">
        <v>854.92999999999734</v>
      </c>
      <c r="K126" s="117">
        <v>4993</v>
      </c>
      <c r="L126" s="117">
        <f>IF(Tabela1[[#This Row],[SALDO PARCIAL PENDENTE]]-Tabela1[[#This Row],[1QZ DE FEV 26]]&lt;0,0,Tabela1[[#This Row],[SALDO PARCIAL PENDENTE]]-Tabela1[[#This Row],[1QZ DE FEV 26]])</f>
        <v>0</v>
      </c>
      <c r="M126" s="68">
        <v>5000</v>
      </c>
      <c r="N126" s="117">
        <v>8.6999999999999993</v>
      </c>
      <c r="O126" s="72"/>
      <c r="P126" s="125">
        <f>Tabela1[[#This Row],[2QZ DE JAN 26]]-Tabela1[[#This Row],[SALDO PENDENTE FINAL]]-Tabela1[[#This Row],[SALDO CARTAO]]-Tabela1[[#This Row],[ADIANTAMENTO]]</f>
        <v>4991.3</v>
      </c>
      <c r="Q126" s="126"/>
      <c r="R126" s="130">
        <f>IF(Tabela1[[#This Row],[CARGA PARCIAL]]&lt;0,0,Tabela1[[#This Row],[CARGA PARCIAL]])+Tabela1[[#This Row],[REEMBOLSO]]</f>
        <v>4991.3</v>
      </c>
      <c r="S126" s="129" t="s">
        <v>22</v>
      </c>
      <c r="T126" s="72"/>
      <c r="AY126"/>
    </row>
    <row r="127" spans="2:51" x14ac:dyDescent="0.25">
      <c r="B127" s="121" t="s">
        <v>771</v>
      </c>
      <c r="C127" s="122" t="s">
        <v>772</v>
      </c>
      <c r="D127" s="115" t="s">
        <v>18</v>
      </c>
      <c r="E127" s="123" t="s">
        <v>228</v>
      </c>
      <c r="F127" s="71">
        <v>11062670001</v>
      </c>
      <c r="G127" s="123" t="s">
        <v>65</v>
      </c>
      <c r="H127" s="124" t="s">
        <v>31</v>
      </c>
      <c r="I127" s="104">
        <v>0</v>
      </c>
      <c r="J127" s="117">
        <v>837.99999999999955</v>
      </c>
      <c r="K127" s="117">
        <v>0</v>
      </c>
      <c r="L127" s="117">
        <f>IF(Tabela1[[#This Row],[SALDO PARCIAL PENDENTE]]-Tabela1[[#This Row],[1QZ DE FEV 26]]&lt;0,0,Tabela1[[#This Row],[SALDO PARCIAL PENDENTE]]-Tabela1[[#This Row],[1QZ DE FEV 26]])</f>
        <v>837.99999999999955</v>
      </c>
      <c r="M127" s="68">
        <v>800</v>
      </c>
      <c r="N127" s="117">
        <v>3</v>
      </c>
      <c r="O127" s="72"/>
      <c r="P127" s="125">
        <f>Tabela1[[#This Row],[2QZ DE JAN 26]]-Tabela1[[#This Row],[SALDO PENDENTE FINAL]]-Tabela1[[#This Row],[SALDO CARTAO]]-Tabela1[[#This Row],[ADIANTAMENTO]]</f>
        <v>-40.999999999999545</v>
      </c>
      <c r="Q127" s="126"/>
      <c r="R127" s="130">
        <f>IF(Tabela1[[#This Row],[CARGA PARCIAL]]&lt;0,0,Tabela1[[#This Row],[CARGA PARCIAL]])+Tabela1[[#This Row],[REEMBOLSO]]</f>
        <v>0</v>
      </c>
      <c r="S127" s="129" t="s">
        <v>22</v>
      </c>
      <c r="T127" s="72"/>
      <c r="AY127"/>
    </row>
    <row r="128" spans="2:51" x14ac:dyDescent="0.25">
      <c r="B128" s="121" t="s">
        <v>707</v>
      </c>
      <c r="C128" s="122" t="s">
        <v>708</v>
      </c>
      <c r="D128" s="115" t="s">
        <v>18</v>
      </c>
      <c r="E128" s="123" t="s">
        <v>561</v>
      </c>
      <c r="F128" s="71">
        <v>11030700001</v>
      </c>
      <c r="G128" s="123" t="s">
        <v>30</v>
      </c>
      <c r="H128" s="124" t="s">
        <v>31</v>
      </c>
      <c r="I128" s="104">
        <v>0</v>
      </c>
      <c r="J128" s="117">
        <v>748.54999999998836</v>
      </c>
      <c r="K128" s="117">
        <v>0</v>
      </c>
      <c r="L128" s="117">
        <f>IF(Tabela1[[#This Row],[SALDO PARCIAL PENDENTE]]-Tabela1[[#This Row],[1QZ DE FEV 26]]&lt;0,0,Tabela1[[#This Row],[SALDO PARCIAL PENDENTE]]-Tabela1[[#This Row],[1QZ DE FEV 26]])</f>
        <v>748.54999999998836</v>
      </c>
      <c r="M128" s="68">
        <v>2880</v>
      </c>
      <c r="N128" s="117">
        <v>9</v>
      </c>
      <c r="O128" s="72"/>
      <c r="P128" s="125">
        <f>Tabela1[[#This Row],[2QZ DE JAN 26]]-Tabela1[[#This Row],[SALDO PENDENTE FINAL]]-Tabela1[[#This Row],[SALDO CARTAO]]-Tabela1[[#This Row],[ADIANTAMENTO]]</f>
        <v>2122.4500000000116</v>
      </c>
      <c r="Q128" s="126"/>
      <c r="R128" s="130">
        <f>IF(Tabela1[[#This Row],[CARGA PARCIAL]]&lt;0,0,Tabela1[[#This Row],[CARGA PARCIAL]])+Tabela1[[#This Row],[REEMBOLSO]]</f>
        <v>2122.4500000000116</v>
      </c>
      <c r="S128" s="129" t="s">
        <v>22</v>
      </c>
      <c r="T128" s="72"/>
      <c r="AY128"/>
    </row>
    <row r="129" spans="2:51" x14ac:dyDescent="0.25">
      <c r="B129" s="120" t="s">
        <v>74</v>
      </c>
      <c r="C129" s="114" t="s">
        <v>1656</v>
      </c>
      <c r="D129" s="115" t="s">
        <v>18</v>
      </c>
      <c r="E129" s="115" t="s">
        <v>75</v>
      </c>
      <c r="F129" s="71">
        <v>1201005</v>
      </c>
      <c r="G129" s="123" t="s">
        <v>34</v>
      </c>
      <c r="H129" s="116" t="s">
        <v>31</v>
      </c>
      <c r="I129" s="104">
        <v>0</v>
      </c>
      <c r="J129" s="117">
        <v>742.03999999999962</v>
      </c>
      <c r="K129" s="117">
        <v>0</v>
      </c>
      <c r="L129" s="117">
        <f>IF(Tabela1[[#This Row],[SALDO PARCIAL PENDENTE]]-Tabela1[[#This Row],[1QZ DE FEV 26]]&lt;0,0,Tabela1[[#This Row],[SALDO PARCIAL PENDENTE]]-Tabela1[[#This Row],[1QZ DE FEV 26]])</f>
        <v>742.03999999999962</v>
      </c>
      <c r="M129" s="68">
        <v>500</v>
      </c>
      <c r="N129" s="117">
        <v>261.11</v>
      </c>
      <c r="O129" s="69"/>
      <c r="P129" s="118">
        <f>Tabela1[[#This Row],[2QZ DE JAN 26]]-Tabela1[[#This Row],[SALDO PENDENTE FINAL]]-Tabela1[[#This Row],[SALDO CARTAO]]-Tabela1[[#This Row],[ADIANTAMENTO]]</f>
        <v>-503.14999999999964</v>
      </c>
      <c r="Q129" s="119"/>
      <c r="R129" s="130">
        <f>IF(Tabela1[[#This Row],[CARGA PARCIAL]]&lt;0,0,Tabela1[[#This Row],[CARGA PARCIAL]])+Tabela1[[#This Row],[REEMBOLSO]]</f>
        <v>0</v>
      </c>
      <c r="S129" s="129" t="s">
        <v>22</v>
      </c>
      <c r="T129" s="69"/>
      <c r="AY129"/>
    </row>
    <row r="130" spans="2:51" x14ac:dyDescent="0.25">
      <c r="B130" s="121" t="s">
        <v>369</v>
      </c>
      <c r="C130" s="122" t="s">
        <v>1810</v>
      </c>
      <c r="D130" s="115" t="s">
        <v>18</v>
      </c>
      <c r="E130" s="123" t="s">
        <v>284</v>
      </c>
      <c r="F130" s="71">
        <v>11010180001</v>
      </c>
      <c r="G130" s="127" t="s">
        <v>30</v>
      </c>
      <c r="H130" s="124" t="s">
        <v>31</v>
      </c>
      <c r="I130" s="104">
        <v>0</v>
      </c>
      <c r="J130" s="117">
        <v>735.29</v>
      </c>
      <c r="K130" s="117">
        <v>1200</v>
      </c>
      <c r="L130" s="117">
        <f>IF(Tabela1[[#This Row],[SALDO PARCIAL PENDENTE]]-Tabela1[[#This Row],[1QZ DE FEV 26]]&lt;0,0,Tabela1[[#This Row],[SALDO PARCIAL PENDENTE]]-Tabela1[[#This Row],[1QZ DE FEV 26]])</f>
        <v>0</v>
      </c>
      <c r="M130" s="68">
        <v>800</v>
      </c>
      <c r="N130" s="117">
        <v>467.25</v>
      </c>
      <c r="O130" s="72"/>
      <c r="P130" s="125">
        <f>Tabela1[[#This Row],[2QZ DE JAN 26]]-Tabela1[[#This Row],[SALDO PENDENTE FINAL]]-Tabela1[[#This Row],[SALDO CARTAO]]-Tabela1[[#This Row],[ADIANTAMENTO]]</f>
        <v>332.75</v>
      </c>
      <c r="Q130" s="126"/>
      <c r="R130" s="130">
        <f>IF(Tabela1[[#This Row],[CARGA PARCIAL]]&lt;0,0,Tabela1[[#This Row],[CARGA PARCIAL]])+Tabela1[[#This Row],[REEMBOLSO]]</f>
        <v>332.75</v>
      </c>
      <c r="S130" s="129" t="s">
        <v>22</v>
      </c>
      <c r="T130" s="72"/>
      <c r="AY130"/>
    </row>
    <row r="131" spans="2:51" x14ac:dyDescent="0.25">
      <c r="B131" s="120" t="s">
        <v>249</v>
      </c>
      <c r="C131" s="114" t="s">
        <v>1790</v>
      </c>
      <c r="D131" s="115" t="s">
        <v>18</v>
      </c>
      <c r="E131" s="115" t="s">
        <v>250</v>
      </c>
      <c r="F131" s="71">
        <v>11062760001</v>
      </c>
      <c r="G131" s="123" t="s">
        <v>27</v>
      </c>
      <c r="H131" s="116" t="s">
        <v>137</v>
      </c>
      <c r="I131" s="104">
        <v>0</v>
      </c>
      <c r="J131" s="117">
        <v>734.33000000000163</v>
      </c>
      <c r="K131" s="117">
        <v>857.75</v>
      </c>
      <c r="L131" s="117">
        <f>IF(Tabela1[[#This Row],[SALDO PARCIAL PENDENTE]]-Tabela1[[#This Row],[1QZ DE FEV 26]]&lt;0,0,Tabela1[[#This Row],[SALDO PARCIAL PENDENTE]]-Tabela1[[#This Row],[1QZ DE FEV 26]])</f>
        <v>0</v>
      </c>
      <c r="M131" s="68">
        <v>750</v>
      </c>
      <c r="N131" s="117">
        <v>8.67</v>
      </c>
      <c r="O131" s="69"/>
      <c r="P131" s="118">
        <f>Tabela1[[#This Row],[2QZ DE JAN 26]]-Tabela1[[#This Row],[SALDO PENDENTE FINAL]]-Tabela1[[#This Row],[SALDO CARTAO]]-Tabela1[[#This Row],[ADIANTAMENTO]]</f>
        <v>741.33</v>
      </c>
      <c r="Q131" s="119"/>
      <c r="R131" s="130">
        <f>IF(Tabela1[[#This Row],[CARGA PARCIAL]]&lt;0,0,Tabela1[[#This Row],[CARGA PARCIAL]])+Tabela1[[#This Row],[REEMBOLSO]]</f>
        <v>741.33</v>
      </c>
      <c r="S131" s="129" t="s">
        <v>22</v>
      </c>
      <c r="T131" s="69"/>
      <c r="AY131"/>
    </row>
    <row r="132" spans="2:51" x14ac:dyDescent="0.25">
      <c r="B132" s="121" t="s">
        <v>70</v>
      </c>
      <c r="C132" s="122" t="s">
        <v>1767</v>
      </c>
      <c r="D132" s="115" t="s">
        <v>18</v>
      </c>
      <c r="E132" s="123" t="s">
        <v>71</v>
      </c>
      <c r="F132" s="71">
        <v>11061810001</v>
      </c>
      <c r="G132" s="127" t="s">
        <v>34</v>
      </c>
      <c r="H132" s="124" t="s">
        <v>31</v>
      </c>
      <c r="I132" s="104">
        <v>0</v>
      </c>
      <c r="J132" s="117">
        <v>730.0000000000025</v>
      </c>
      <c r="K132" s="117">
        <v>0</v>
      </c>
      <c r="L132" s="117">
        <f>IF(Tabela1[[#This Row],[SALDO PARCIAL PENDENTE]]-Tabela1[[#This Row],[1QZ DE FEV 26]]&lt;0,0,Tabela1[[#This Row],[SALDO PARCIAL PENDENTE]]-Tabela1[[#This Row],[1QZ DE FEV 26]])</f>
        <v>730.0000000000025</v>
      </c>
      <c r="M132" s="68">
        <v>200</v>
      </c>
      <c r="N132" s="117">
        <v>84</v>
      </c>
      <c r="O132" s="72"/>
      <c r="P132" s="125">
        <f>Tabela1[[#This Row],[2QZ DE JAN 26]]-Tabela1[[#This Row],[SALDO PENDENTE FINAL]]-Tabela1[[#This Row],[SALDO CARTAO]]-Tabela1[[#This Row],[ADIANTAMENTO]]</f>
        <v>-614.0000000000025</v>
      </c>
      <c r="Q132" s="126"/>
      <c r="R132" s="130">
        <f>IF(Tabela1[[#This Row],[CARGA PARCIAL]]&lt;0,0,Tabela1[[#This Row],[CARGA PARCIAL]])+Tabela1[[#This Row],[REEMBOLSO]]</f>
        <v>0</v>
      </c>
      <c r="S132" s="129" t="s">
        <v>22</v>
      </c>
      <c r="T132" s="72"/>
      <c r="AY132"/>
    </row>
    <row r="133" spans="2:51" x14ac:dyDescent="0.25">
      <c r="B133" s="120" t="s">
        <v>346</v>
      </c>
      <c r="C133" s="114" t="s">
        <v>1655</v>
      </c>
      <c r="D133" s="115" t="s">
        <v>18</v>
      </c>
      <c r="E133" s="115" t="s">
        <v>347</v>
      </c>
      <c r="F133" s="71">
        <v>11062360001</v>
      </c>
      <c r="G133" s="123" t="s">
        <v>65</v>
      </c>
      <c r="H133" s="116" t="s">
        <v>31</v>
      </c>
      <c r="I133" s="104">
        <v>0</v>
      </c>
      <c r="J133" s="117">
        <v>730</v>
      </c>
      <c r="K133" s="117">
        <v>0</v>
      </c>
      <c r="L133" s="117">
        <f>IF(Tabela1[[#This Row],[SALDO PARCIAL PENDENTE]]-Tabela1[[#This Row],[1QZ DE FEV 26]]&lt;0,0,Tabela1[[#This Row],[SALDO PARCIAL PENDENTE]]-Tabela1[[#This Row],[1QZ DE FEV 26]])</f>
        <v>730</v>
      </c>
      <c r="M133" s="68">
        <v>500</v>
      </c>
      <c r="N133" s="117">
        <v>0</v>
      </c>
      <c r="O133" s="69"/>
      <c r="P133" s="118">
        <f>Tabela1[[#This Row],[2QZ DE JAN 26]]-Tabela1[[#This Row],[SALDO PENDENTE FINAL]]-Tabela1[[#This Row],[SALDO CARTAO]]-Tabela1[[#This Row],[ADIANTAMENTO]]</f>
        <v>-230</v>
      </c>
      <c r="Q133" s="119"/>
      <c r="R133" s="130">
        <f>IF(Tabela1[[#This Row],[CARGA PARCIAL]]&lt;0,0,Tabela1[[#This Row],[CARGA PARCIAL]])+Tabela1[[#This Row],[REEMBOLSO]]</f>
        <v>0</v>
      </c>
      <c r="S133" s="129" t="s">
        <v>22</v>
      </c>
      <c r="T133" s="69"/>
      <c r="AY133"/>
    </row>
    <row r="134" spans="2:51" x14ac:dyDescent="0.25">
      <c r="B134" s="121" t="s">
        <v>372</v>
      </c>
      <c r="C134" s="122" t="s">
        <v>1695</v>
      </c>
      <c r="D134" s="115" t="s">
        <v>18</v>
      </c>
      <c r="E134" s="123" t="s">
        <v>373</v>
      </c>
      <c r="F134" s="71">
        <v>11080230001</v>
      </c>
      <c r="G134" s="127" t="s">
        <v>24</v>
      </c>
      <c r="H134" s="124" t="s">
        <v>21</v>
      </c>
      <c r="I134" s="104">
        <v>0</v>
      </c>
      <c r="J134" s="117">
        <v>725.20000000000095</v>
      </c>
      <c r="K134" s="117">
        <v>1181.8</v>
      </c>
      <c r="L134" s="117">
        <f>IF(Tabela1[[#This Row],[SALDO PARCIAL PENDENTE]]-Tabela1[[#This Row],[1QZ DE FEV 26]]&lt;0,0,Tabela1[[#This Row],[SALDO PARCIAL PENDENTE]]-Tabela1[[#This Row],[1QZ DE FEV 26]])</f>
        <v>0</v>
      </c>
      <c r="M134" s="68">
        <v>750</v>
      </c>
      <c r="N134" s="117">
        <v>10.8</v>
      </c>
      <c r="O134" s="72"/>
      <c r="P134" s="125">
        <f>Tabela1[[#This Row],[2QZ DE JAN 26]]-Tabela1[[#This Row],[SALDO PENDENTE FINAL]]-Tabela1[[#This Row],[SALDO CARTAO]]-Tabela1[[#This Row],[ADIANTAMENTO]]</f>
        <v>739.2</v>
      </c>
      <c r="Q134" s="126"/>
      <c r="R134" s="130">
        <f>IF(Tabela1[[#This Row],[CARGA PARCIAL]]&lt;0,0,Tabela1[[#This Row],[CARGA PARCIAL]])+Tabela1[[#This Row],[REEMBOLSO]]</f>
        <v>739.2</v>
      </c>
      <c r="S134" s="129" t="s">
        <v>22</v>
      </c>
      <c r="T134" s="72"/>
      <c r="AY134"/>
    </row>
    <row r="135" spans="2:51" x14ac:dyDescent="0.25">
      <c r="B135" s="121" t="s">
        <v>418</v>
      </c>
      <c r="C135" s="122" t="s">
        <v>419</v>
      </c>
      <c r="D135" s="115" t="s">
        <v>18</v>
      </c>
      <c r="E135" s="123" t="s">
        <v>299</v>
      </c>
      <c r="F135" s="71">
        <v>11080200001</v>
      </c>
      <c r="G135" s="123" t="s">
        <v>24</v>
      </c>
      <c r="H135" s="124" t="s">
        <v>21</v>
      </c>
      <c r="I135" s="104">
        <v>0</v>
      </c>
      <c r="J135" s="117">
        <v>724.77999999999975</v>
      </c>
      <c r="K135" s="117">
        <v>0</v>
      </c>
      <c r="L135" s="117">
        <f>IF(Tabela1[[#This Row],[SALDO PARCIAL PENDENTE]]-Tabela1[[#This Row],[1QZ DE FEV 26]]&lt;0,0,Tabela1[[#This Row],[SALDO PARCIAL PENDENTE]]-Tabela1[[#This Row],[1QZ DE FEV 26]])</f>
        <v>724.77999999999975</v>
      </c>
      <c r="M135" s="68">
        <v>500</v>
      </c>
      <c r="N135" s="117">
        <v>0</v>
      </c>
      <c r="O135" s="72"/>
      <c r="P135" s="125">
        <f>Tabela1[[#This Row],[2QZ DE JAN 26]]-Tabela1[[#This Row],[SALDO PENDENTE FINAL]]-Tabela1[[#This Row],[SALDO CARTAO]]-Tabela1[[#This Row],[ADIANTAMENTO]]</f>
        <v>-224.77999999999975</v>
      </c>
      <c r="Q135" s="126"/>
      <c r="R135" s="130">
        <f>IF(Tabela1[[#This Row],[CARGA PARCIAL]]&lt;0,0,Tabela1[[#This Row],[CARGA PARCIAL]])+Tabela1[[#This Row],[REEMBOLSO]]</f>
        <v>0</v>
      </c>
      <c r="S135" s="129" t="s">
        <v>22</v>
      </c>
      <c r="T135" s="72"/>
      <c r="AY135"/>
    </row>
    <row r="136" spans="2:51" x14ac:dyDescent="0.25">
      <c r="B136" s="121" t="s">
        <v>743</v>
      </c>
      <c r="C136" s="122" t="s">
        <v>744</v>
      </c>
      <c r="D136" s="115" t="s">
        <v>18</v>
      </c>
      <c r="E136" s="123" t="s">
        <v>228</v>
      </c>
      <c r="F136" s="71">
        <v>11062670001</v>
      </c>
      <c r="G136" s="123" t="s">
        <v>65</v>
      </c>
      <c r="H136" s="124" t="s">
        <v>31</v>
      </c>
      <c r="I136" s="104">
        <v>0</v>
      </c>
      <c r="J136" s="117">
        <v>722.89999999999952</v>
      </c>
      <c r="K136" s="117">
        <v>0</v>
      </c>
      <c r="L136" s="117">
        <f>IF(Tabela1[[#This Row],[SALDO PARCIAL PENDENTE]]-Tabela1[[#This Row],[1QZ DE FEV 26]]&lt;0,0,Tabela1[[#This Row],[SALDO PARCIAL PENDENTE]]-Tabela1[[#This Row],[1QZ DE FEV 26]])</f>
        <v>722.89999999999952</v>
      </c>
      <c r="M136" s="68">
        <v>800</v>
      </c>
      <c r="N136" s="117">
        <v>99.35</v>
      </c>
      <c r="O136" s="72"/>
      <c r="P136" s="125">
        <f>Tabela1[[#This Row],[2QZ DE JAN 26]]-Tabela1[[#This Row],[SALDO PENDENTE FINAL]]-Tabela1[[#This Row],[SALDO CARTAO]]-Tabela1[[#This Row],[ADIANTAMENTO]]</f>
        <v>-22.249999999999517</v>
      </c>
      <c r="Q136" s="126"/>
      <c r="R136" s="130">
        <f>IF(Tabela1[[#This Row],[CARGA PARCIAL]]&lt;0,0,Tabela1[[#This Row],[CARGA PARCIAL]])+Tabela1[[#This Row],[REEMBOLSO]]</f>
        <v>0</v>
      </c>
      <c r="S136" s="129" t="s">
        <v>22</v>
      </c>
      <c r="T136" s="72"/>
      <c r="AY136"/>
    </row>
    <row r="137" spans="2:51" x14ac:dyDescent="0.25">
      <c r="B137" s="121" t="s">
        <v>649</v>
      </c>
      <c r="C137" s="122" t="s">
        <v>650</v>
      </c>
      <c r="D137" s="115" t="s">
        <v>18</v>
      </c>
      <c r="E137" s="123" t="s">
        <v>113</v>
      </c>
      <c r="F137" s="71">
        <v>11061720001</v>
      </c>
      <c r="G137" s="123" t="s">
        <v>30</v>
      </c>
      <c r="H137" s="124" t="s">
        <v>31</v>
      </c>
      <c r="I137" s="104">
        <v>0</v>
      </c>
      <c r="J137" s="117">
        <v>708.99000000000012</v>
      </c>
      <c r="K137" s="117">
        <v>0</v>
      </c>
      <c r="L137" s="117">
        <f>IF(Tabela1[[#This Row],[SALDO PARCIAL PENDENTE]]-Tabela1[[#This Row],[1QZ DE FEV 26]]&lt;0,0,Tabela1[[#This Row],[SALDO PARCIAL PENDENTE]]-Tabela1[[#This Row],[1QZ DE FEV 26]])</f>
        <v>708.99000000000012</v>
      </c>
      <c r="M137" s="68">
        <v>800</v>
      </c>
      <c r="N137" s="117">
        <v>11.89</v>
      </c>
      <c r="O137" s="72"/>
      <c r="P137" s="125">
        <f>Tabela1[[#This Row],[2QZ DE JAN 26]]-Tabela1[[#This Row],[SALDO PENDENTE FINAL]]-Tabela1[[#This Row],[SALDO CARTAO]]-Tabela1[[#This Row],[ADIANTAMENTO]]</f>
        <v>79.119999999999877</v>
      </c>
      <c r="Q137" s="126"/>
      <c r="R137" s="130">
        <f>IF(Tabela1[[#This Row],[CARGA PARCIAL]]&lt;0,0,Tabela1[[#This Row],[CARGA PARCIAL]])+Tabela1[[#This Row],[REEMBOLSO]]</f>
        <v>79.119999999999877</v>
      </c>
      <c r="S137" s="129" t="s">
        <v>22</v>
      </c>
      <c r="T137" s="72"/>
      <c r="AY137"/>
    </row>
    <row r="138" spans="2:51" x14ac:dyDescent="0.25">
      <c r="B138" s="120" t="s">
        <v>233</v>
      </c>
      <c r="C138" s="114" t="s">
        <v>234</v>
      </c>
      <c r="D138" s="115" t="s">
        <v>18</v>
      </c>
      <c r="E138" s="115" t="s">
        <v>113</v>
      </c>
      <c r="F138" s="71">
        <v>11061720001</v>
      </c>
      <c r="G138" s="123" t="s">
        <v>30</v>
      </c>
      <c r="H138" s="116" t="s">
        <v>31</v>
      </c>
      <c r="I138" s="104">
        <v>0</v>
      </c>
      <c r="J138" s="117">
        <v>699.99999999999989</v>
      </c>
      <c r="K138" s="117">
        <v>2.5579538487363607E-13</v>
      </c>
      <c r="L138" s="117">
        <f>IF(Tabela1[[#This Row],[SALDO PARCIAL PENDENTE]]-Tabela1[[#This Row],[1QZ DE FEV 26]]&lt;0,0,Tabela1[[#This Row],[SALDO PARCIAL PENDENTE]]-Tabela1[[#This Row],[1QZ DE FEV 26]])</f>
        <v>699.99999999999966</v>
      </c>
      <c r="M138" s="68">
        <v>800</v>
      </c>
      <c r="N138" s="117">
        <v>70.099999999999994</v>
      </c>
      <c r="O138" s="69"/>
      <c r="P138" s="118">
        <f>Tabela1[[#This Row],[2QZ DE JAN 26]]-Tabela1[[#This Row],[SALDO PENDENTE FINAL]]-Tabela1[[#This Row],[SALDO CARTAO]]-Tabela1[[#This Row],[ADIANTAMENTO]]</f>
        <v>29.900000000000347</v>
      </c>
      <c r="Q138" s="119"/>
      <c r="R138" s="130">
        <f>IF(Tabela1[[#This Row],[CARGA PARCIAL]]&lt;0,0,Tabela1[[#This Row],[CARGA PARCIAL]])+Tabela1[[#This Row],[REEMBOLSO]]</f>
        <v>29.900000000000347</v>
      </c>
      <c r="S138" s="129" t="s">
        <v>22</v>
      </c>
      <c r="T138" s="69"/>
      <c r="AY138"/>
    </row>
    <row r="139" spans="2:51" x14ac:dyDescent="0.25">
      <c r="B139" s="121" t="s">
        <v>527</v>
      </c>
      <c r="C139" s="122" t="s">
        <v>528</v>
      </c>
      <c r="D139" s="115" t="s">
        <v>18</v>
      </c>
      <c r="E139" s="123" t="s">
        <v>26</v>
      </c>
      <c r="F139" s="71">
        <v>11030800001</v>
      </c>
      <c r="G139" s="127" t="s">
        <v>27</v>
      </c>
      <c r="H139" s="124" t="s">
        <v>137</v>
      </c>
      <c r="I139" s="104">
        <v>0</v>
      </c>
      <c r="J139" s="117">
        <v>689.98000000000093</v>
      </c>
      <c r="K139" s="117">
        <v>260.90000000000009</v>
      </c>
      <c r="L139" s="117">
        <f>IF(Tabela1[[#This Row],[SALDO PARCIAL PENDENTE]]-Tabela1[[#This Row],[1QZ DE FEV 26]]&lt;0,0,Tabela1[[#This Row],[SALDO PARCIAL PENDENTE]]-Tabela1[[#This Row],[1QZ DE FEV 26]])</f>
        <v>429.08000000000084</v>
      </c>
      <c r="M139" s="68">
        <v>1000</v>
      </c>
      <c r="N139" s="117">
        <v>310.02</v>
      </c>
      <c r="O139" s="72"/>
      <c r="P139" s="125">
        <f>Tabela1[[#This Row],[2QZ DE JAN 26]]-Tabela1[[#This Row],[SALDO PENDENTE FINAL]]-Tabela1[[#This Row],[SALDO CARTAO]]-Tabela1[[#This Row],[ADIANTAMENTO]]</f>
        <v>260.89999999999918</v>
      </c>
      <c r="Q139" s="126"/>
      <c r="R139" s="130">
        <f>IF(Tabela1[[#This Row],[CARGA PARCIAL]]&lt;0,0,Tabela1[[#This Row],[CARGA PARCIAL]])+Tabela1[[#This Row],[REEMBOLSO]]</f>
        <v>260.89999999999918</v>
      </c>
      <c r="S139" s="129" t="s">
        <v>22</v>
      </c>
      <c r="T139" s="72"/>
      <c r="AY139"/>
    </row>
    <row r="140" spans="2:51" x14ac:dyDescent="0.25">
      <c r="B140" s="121" t="s">
        <v>118</v>
      </c>
      <c r="C140" s="122" t="s">
        <v>1773</v>
      </c>
      <c r="D140" s="115" t="s">
        <v>18</v>
      </c>
      <c r="E140" s="123" t="s">
        <v>49</v>
      </c>
      <c r="F140" s="71">
        <v>11040160001</v>
      </c>
      <c r="G140" s="123" t="s">
        <v>27</v>
      </c>
      <c r="H140" s="124" t="s">
        <v>137</v>
      </c>
      <c r="I140" s="104">
        <v>0</v>
      </c>
      <c r="J140" s="117">
        <v>686.89000000000044</v>
      </c>
      <c r="K140" s="117">
        <v>328.58999999999969</v>
      </c>
      <c r="L140" s="117">
        <f>IF(Tabela1[[#This Row],[SALDO PARCIAL PENDENTE]]-Tabela1[[#This Row],[1QZ DE FEV 26]]&lt;0,0,Tabela1[[#This Row],[SALDO PARCIAL PENDENTE]]-Tabela1[[#This Row],[1QZ DE FEV 26]])</f>
        <v>358.30000000000075</v>
      </c>
      <c r="M140" s="68">
        <v>700</v>
      </c>
      <c r="N140" s="117">
        <v>6.11</v>
      </c>
      <c r="O140" s="72"/>
      <c r="P140" s="125">
        <f>Tabela1[[#This Row],[2QZ DE JAN 26]]-Tabela1[[#This Row],[SALDO PENDENTE FINAL]]-Tabela1[[#This Row],[SALDO CARTAO]]-Tabela1[[#This Row],[ADIANTAMENTO]]</f>
        <v>335.58999999999924</v>
      </c>
      <c r="Q140" s="126"/>
      <c r="R140" s="130">
        <f>IF(Tabela1[[#This Row],[CARGA PARCIAL]]&lt;0,0,Tabela1[[#This Row],[CARGA PARCIAL]])+Tabela1[[#This Row],[REEMBOLSO]]</f>
        <v>335.58999999999924</v>
      </c>
      <c r="S140" s="129" t="s">
        <v>22</v>
      </c>
      <c r="T140" s="72"/>
      <c r="AY140"/>
    </row>
    <row r="141" spans="2:51" x14ac:dyDescent="0.25">
      <c r="B141" s="120" t="s">
        <v>443</v>
      </c>
      <c r="C141" s="114" t="s">
        <v>444</v>
      </c>
      <c r="D141" s="115" t="s">
        <v>18</v>
      </c>
      <c r="E141" s="115" t="s">
        <v>228</v>
      </c>
      <c r="F141" s="71">
        <v>11062670001</v>
      </c>
      <c r="G141" s="123" t="s">
        <v>65</v>
      </c>
      <c r="H141" s="116" t="s">
        <v>31</v>
      </c>
      <c r="I141" s="104">
        <v>0</v>
      </c>
      <c r="J141" s="117">
        <v>677.00000000000148</v>
      </c>
      <c r="K141" s="117">
        <v>0</v>
      </c>
      <c r="L141" s="117">
        <f>IF(Tabela1[[#This Row],[SALDO PARCIAL PENDENTE]]-Tabela1[[#This Row],[1QZ DE FEV 26]]&lt;0,0,Tabela1[[#This Row],[SALDO PARCIAL PENDENTE]]-Tabela1[[#This Row],[1QZ DE FEV 26]])</f>
        <v>677.00000000000148</v>
      </c>
      <c r="M141" s="68">
        <v>800</v>
      </c>
      <c r="N141" s="117">
        <v>139.4</v>
      </c>
      <c r="O141" s="69"/>
      <c r="P141" s="118">
        <f>Tabela1[[#This Row],[2QZ DE JAN 26]]-Tabela1[[#This Row],[SALDO PENDENTE FINAL]]-Tabela1[[#This Row],[SALDO CARTAO]]-Tabela1[[#This Row],[ADIANTAMENTO]]</f>
        <v>-16.400000000001484</v>
      </c>
      <c r="Q141" s="119"/>
      <c r="R141" s="130">
        <f>IF(Tabela1[[#This Row],[CARGA PARCIAL]]&lt;0,0,Tabela1[[#This Row],[CARGA PARCIAL]])+Tabela1[[#This Row],[REEMBOLSO]]</f>
        <v>0</v>
      </c>
      <c r="S141" s="129" t="s">
        <v>22</v>
      </c>
      <c r="T141" s="69"/>
      <c r="AY141"/>
    </row>
    <row r="142" spans="2:51" x14ac:dyDescent="0.25">
      <c r="B142" s="120" t="s">
        <v>244</v>
      </c>
      <c r="C142" s="114" t="s">
        <v>1570</v>
      </c>
      <c r="D142" s="115" t="s">
        <v>18</v>
      </c>
      <c r="E142" s="115" t="s">
        <v>245</v>
      </c>
      <c r="F142" s="71">
        <v>11030760001</v>
      </c>
      <c r="G142" s="127" t="s">
        <v>65</v>
      </c>
      <c r="H142" s="116" t="s">
        <v>31</v>
      </c>
      <c r="I142" s="104">
        <v>0</v>
      </c>
      <c r="J142" s="117">
        <v>674.34000000000015</v>
      </c>
      <c r="K142" s="117">
        <v>0</v>
      </c>
      <c r="L142" s="117">
        <f>IF(Tabela1[[#This Row],[SALDO PARCIAL PENDENTE]]-Tabela1[[#This Row],[1QZ DE FEV 26]]&lt;0,0,Tabela1[[#This Row],[SALDO PARCIAL PENDENTE]]-Tabela1[[#This Row],[1QZ DE FEV 26]])</f>
        <v>674.34000000000015</v>
      </c>
      <c r="M142" s="68">
        <v>675</v>
      </c>
      <c r="N142" s="117">
        <v>0</v>
      </c>
      <c r="O142" s="69"/>
      <c r="P142" s="118">
        <f>Tabela1[[#This Row],[2QZ DE JAN 26]]-Tabela1[[#This Row],[SALDO PENDENTE FINAL]]-Tabela1[[#This Row],[SALDO CARTAO]]-Tabela1[[#This Row],[ADIANTAMENTO]]</f>
        <v>0.65999999999985448</v>
      </c>
      <c r="Q142" s="119"/>
      <c r="R142" s="130">
        <f>IF(Tabela1[[#This Row],[CARGA PARCIAL]]&lt;0,0,Tabela1[[#This Row],[CARGA PARCIAL]])+Tabela1[[#This Row],[REEMBOLSO]]</f>
        <v>0.65999999999985448</v>
      </c>
      <c r="S142" s="129" t="s">
        <v>22</v>
      </c>
      <c r="T142" s="69"/>
      <c r="AY142"/>
    </row>
    <row r="143" spans="2:51" x14ac:dyDescent="0.25">
      <c r="B143" s="121" t="s">
        <v>117</v>
      </c>
      <c r="C143" s="122" t="s">
        <v>1612</v>
      </c>
      <c r="D143" s="115" t="s">
        <v>18</v>
      </c>
      <c r="E143" s="123" t="s">
        <v>49</v>
      </c>
      <c r="F143" s="71">
        <v>11040160001</v>
      </c>
      <c r="G143" s="127" t="s">
        <v>27</v>
      </c>
      <c r="H143" s="124" t="s">
        <v>137</v>
      </c>
      <c r="I143" s="104">
        <v>0</v>
      </c>
      <c r="J143" s="117">
        <v>671.7</v>
      </c>
      <c r="K143" s="117">
        <v>201.30000000000109</v>
      </c>
      <c r="L143" s="117">
        <f>IF(Tabela1[[#This Row],[SALDO PARCIAL PENDENTE]]-Tabela1[[#This Row],[1QZ DE FEV 26]]&lt;0,0,Tabela1[[#This Row],[SALDO PARCIAL PENDENTE]]-Tabela1[[#This Row],[1QZ DE FEV 26]])</f>
        <v>470.39999999999895</v>
      </c>
      <c r="M143" s="68">
        <v>800</v>
      </c>
      <c r="N143" s="117">
        <v>7.3</v>
      </c>
      <c r="O143" s="72"/>
      <c r="P143" s="125">
        <f>Tabela1[[#This Row],[2QZ DE JAN 26]]-Tabela1[[#This Row],[SALDO PENDENTE FINAL]]-Tabela1[[#This Row],[SALDO CARTAO]]-Tabela1[[#This Row],[ADIANTAMENTO]]</f>
        <v>322.30000000000103</v>
      </c>
      <c r="Q143" s="126"/>
      <c r="R143" s="130">
        <f>IF(Tabela1[[#This Row],[CARGA PARCIAL]]&lt;0,0,Tabela1[[#This Row],[CARGA PARCIAL]])+Tabela1[[#This Row],[REEMBOLSO]]</f>
        <v>322.30000000000103</v>
      </c>
      <c r="S143" s="129" t="s">
        <v>22</v>
      </c>
      <c r="T143" s="72"/>
      <c r="AY143"/>
    </row>
    <row r="144" spans="2:51" x14ac:dyDescent="0.25">
      <c r="B144" s="120" t="s">
        <v>570</v>
      </c>
      <c r="C144" s="114" t="s">
        <v>571</v>
      </c>
      <c r="D144" s="115" t="s">
        <v>18</v>
      </c>
      <c r="E144" s="115" t="s">
        <v>71</v>
      </c>
      <c r="F144" s="71">
        <v>11061810001</v>
      </c>
      <c r="G144" s="123" t="s">
        <v>34</v>
      </c>
      <c r="H144" s="116" t="s">
        <v>31</v>
      </c>
      <c r="I144" s="104">
        <v>0</v>
      </c>
      <c r="J144" s="117">
        <v>671.02</v>
      </c>
      <c r="K144" s="117">
        <v>0</v>
      </c>
      <c r="L144" s="117">
        <f>IF(Tabela1[[#This Row],[SALDO PARCIAL PENDENTE]]-Tabela1[[#This Row],[1QZ DE FEV 26]]&lt;0,0,Tabela1[[#This Row],[SALDO PARCIAL PENDENTE]]-Tabela1[[#This Row],[1QZ DE FEV 26]])</f>
        <v>671.02</v>
      </c>
      <c r="M144" s="68">
        <v>200</v>
      </c>
      <c r="N144" s="117">
        <v>14.98</v>
      </c>
      <c r="O144" s="69"/>
      <c r="P144" s="118">
        <f>Tabela1[[#This Row],[2QZ DE JAN 26]]-Tabela1[[#This Row],[SALDO PENDENTE FINAL]]-Tabela1[[#This Row],[SALDO CARTAO]]-Tabela1[[#This Row],[ADIANTAMENTO]]</f>
        <v>-486</v>
      </c>
      <c r="Q144" s="119"/>
      <c r="R144" s="130">
        <f>IF(Tabela1[[#This Row],[CARGA PARCIAL]]&lt;0,0,Tabela1[[#This Row],[CARGA PARCIAL]])+Tabela1[[#This Row],[REEMBOLSO]]</f>
        <v>0</v>
      </c>
      <c r="S144" s="129" t="s">
        <v>22</v>
      </c>
      <c r="T144" s="69"/>
      <c r="AY144"/>
    </row>
    <row r="145" spans="2:51" x14ac:dyDescent="0.25">
      <c r="B145" s="121" t="s">
        <v>446</v>
      </c>
      <c r="C145" s="122" t="s">
        <v>447</v>
      </c>
      <c r="D145" s="115" t="s">
        <v>18</v>
      </c>
      <c r="E145" s="123" t="s">
        <v>49</v>
      </c>
      <c r="F145" s="71">
        <v>11040160001</v>
      </c>
      <c r="G145" s="127" t="s">
        <v>27</v>
      </c>
      <c r="H145" s="124" t="s">
        <v>137</v>
      </c>
      <c r="I145" s="104">
        <v>0</v>
      </c>
      <c r="J145" s="117">
        <v>667.86000000000058</v>
      </c>
      <c r="K145" s="117">
        <v>697</v>
      </c>
      <c r="L145" s="117">
        <f>IF(Tabela1[[#This Row],[SALDO PARCIAL PENDENTE]]-Tabela1[[#This Row],[1QZ DE FEV 26]]&lt;0,0,Tabela1[[#This Row],[SALDO PARCIAL PENDENTE]]-Tabela1[[#This Row],[1QZ DE FEV 26]])</f>
        <v>0</v>
      </c>
      <c r="M145" s="68">
        <v>700</v>
      </c>
      <c r="N145" s="117">
        <v>3</v>
      </c>
      <c r="O145" s="72"/>
      <c r="P145" s="125">
        <f>Tabela1[[#This Row],[2QZ DE JAN 26]]-Tabela1[[#This Row],[SALDO PENDENTE FINAL]]-Tabela1[[#This Row],[SALDO CARTAO]]-Tabela1[[#This Row],[ADIANTAMENTO]]</f>
        <v>697</v>
      </c>
      <c r="Q145" s="126"/>
      <c r="R145" s="130">
        <f>IF(Tabela1[[#This Row],[CARGA PARCIAL]]&lt;0,0,Tabela1[[#This Row],[CARGA PARCIAL]])+Tabela1[[#This Row],[REEMBOLSO]]</f>
        <v>697</v>
      </c>
      <c r="S145" s="129" t="s">
        <v>22</v>
      </c>
      <c r="T145" s="72"/>
      <c r="AY145"/>
    </row>
    <row r="146" spans="2:51" x14ac:dyDescent="0.25">
      <c r="B146" s="121" t="s">
        <v>261</v>
      </c>
      <c r="C146" s="122" t="s">
        <v>1792</v>
      </c>
      <c r="D146" s="115" t="s">
        <v>18</v>
      </c>
      <c r="E146" s="123" t="s">
        <v>113</v>
      </c>
      <c r="F146" s="71">
        <v>11061720001</v>
      </c>
      <c r="G146" s="123" t="s">
        <v>30</v>
      </c>
      <c r="H146" s="124" t="s">
        <v>31</v>
      </c>
      <c r="I146" s="104">
        <v>0</v>
      </c>
      <c r="J146" s="117">
        <v>659.99999999999898</v>
      </c>
      <c r="K146" s="117">
        <v>419.84</v>
      </c>
      <c r="L146" s="117">
        <f>IF(Tabela1[[#This Row],[SALDO PARCIAL PENDENTE]]-Tabela1[[#This Row],[1QZ DE FEV 26]]&lt;0,0,Tabela1[[#This Row],[SALDO PARCIAL PENDENTE]]-Tabela1[[#This Row],[1QZ DE FEV 26]])</f>
        <v>240.159999999999</v>
      </c>
      <c r="M146" s="68">
        <v>800</v>
      </c>
      <c r="N146" s="117">
        <v>2.62</v>
      </c>
      <c r="O146" s="72"/>
      <c r="P146" s="125">
        <f>Tabela1[[#This Row],[2QZ DE JAN 26]]-Tabela1[[#This Row],[SALDO PENDENTE FINAL]]-Tabela1[[#This Row],[SALDO CARTAO]]-Tabela1[[#This Row],[ADIANTAMENTO]]</f>
        <v>557.22000000000105</v>
      </c>
      <c r="Q146" s="126"/>
      <c r="R146" s="130">
        <f>IF(Tabela1[[#This Row],[CARGA PARCIAL]]&lt;0,0,Tabela1[[#This Row],[CARGA PARCIAL]])+Tabela1[[#This Row],[REEMBOLSO]]</f>
        <v>557.22000000000105</v>
      </c>
      <c r="S146" s="129" t="s">
        <v>22</v>
      </c>
      <c r="T146" s="72"/>
      <c r="AY146"/>
    </row>
    <row r="147" spans="2:51" x14ac:dyDescent="0.25">
      <c r="B147" s="120" t="s">
        <v>514</v>
      </c>
      <c r="C147" s="114" t="s">
        <v>515</v>
      </c>
      <c r="D147" s="115" t="s">
        <v>18</v>
      </c>
      <c r="E147" s="115" t="s">
        <v>295</v>
      </c>
      <c r="F147" s="71">
        <v>11061430001</v>
      </c>
      <c r="G147" s="123" t="s">
        <v>20</v>
      </c>
      <c r="H147" s="116" t="s">
        <v>21</v>
      </c>
      <c r="I147" s="104">
        <v>0</v>
      </c>
      <c r="J147" s="117">
        <v>643.36000000000217</v>
      </c>
      <c r="K147" s="117">
        <v>116.97999999999686</v>
      </c>
      <c r="L147" s="117">
        <f>IF(Tabela1[[#This Row],[SALDO PARCIAL PENDENTE]]-Tabela1[[#This Row],[1QZ DE FEV 26]]&lt;0,0,Tabela1[[#This Row],[SALDO PARCIAL PENDENTE]]-Tabela1[[#This Row],[1QZ DE FEV 26]])</f>
        <v>526.38000000000534</v>
      </c>
      <c r="M147" s="68">
        <v>800</v>
      </c>
      <c r="N147" s="117">
        <v>124.7</v>
      </c>
      <c r="O147" s="69"/>
      <c r="P147" s="118">
        <f>Tabela1[[#This Row],[2QZ DE JAN 26]]-Tabela1[[#This Row],[SALDO PENDENTE FINAL]]-Tabela1[[#This Row],[SALDO CARTAO]]-Tabela1[[#This Row],[ADIANTAMENTO]]</f>
        <v>148.91999999999467</v>
      </c>
      <c r="Q147" s="119"/>
      <c r="R147" s="130">
        <f>IF(Tabela1[[#This Row],[CARGA PARCIAL]]&lt;0,0,Tabela1[[#This Row],[CARGA PARCIAL]])+Tabela1[[#This Row],[REEMBOLSO]]</f>
        <v>148.91999999999467</v>
      </c>
      <c r="S147" s="129" t="s">
        <v>22</v>
      </c>
      <c r="T147" s="69"/>
    </row>
    <row r="148" spans="2:51" x14ac:dyDescent="0.25">
      <c r="B148" s="121" t="s">
        <v>125</v>
      </c>
      <c r="C148" s="122" t="s">
        <v>1667</v>
      </c>
      <c r="D148" s="115" t="s">
        <v>18</v>
      </c>
      <c r="E148" s="123" t="s">
        <v>38</v>
      </c>
      <c r="F148" s="71">
        <v>11040130001</v>
      </c>
      <c r="G148" s="127" t="s">
        <v>39</v>
      </c>
      <c r="H148" s="124" t="s">
        <v>31</v>
      </c>
      <c r="I148" s="104">
        <v>0</v>
      </c>
      <c r="J148" s="117">
        <v>620.74999999999989</v>
      </c>
      <c r="K148" s="117">
        <v>0</v>
      </c>
      <c r="L148" s="117">
        <f>IF(Tabela1[[#This Row],[SALDO PARCIAL PENDENTE]]-Tabela1[[#This Row],[1QZ DE FEV 26]]&lt;0,0,Tabela1[[#This Row],[SALDO PARCIAL PENDENTE]]-Tabela1[[#This Row],[1QZ DE FEV 26]])</f>
        <v>620.74999999999989</v>
      </c>
      <c r="M148" s="68">
        <v>120</v>
      </c>
      <c r="N148" s="117">
        <v>0</v>
      </c>
      <c r="O148" s="72"/>
      <c r="P148" s="125">
        <f>Tabela1[[#This Row],[2QZ DE JAN 26]]-Tabela1[[#This Row],[SALDO PENDENTE FINAL]]-Tabela1[[#This Row],[SALDO CARTAO]]-Tabela1[[#This Row],[ADIANTAMENTO]]</f>
        <v>-500.74999999999989</v>
      </c>
      <c r="Q148" s="126"/>
      <c r="R148" s="130">
        <f>IF(Tabela1[[#This Row],[CARGA PARCIAL]]&lt;0,0,Tabela1[[#This Row],[CARGA PARCIAL]])+Tabela1[[#This Row],[REEMBOLSO]]</f>
        <v>0</v>
      </c>
      <c r="S148" s="129" t="s">
        <v>22</v>
      </c>
      <c r="T148" s="72"/>
    </row>
    <row r="149" spans="2:51" x14ac:dyDescent="0.25">
      <c r="B149" s="120" t="s">
        <v>519</v>
      </c>
      <c r="C149" s="114" t="s">
        <v>520</v>
      </c>
      <c r="D149" s="115" t="s">
        <v>18</v>
      </c>
      <c r="E149" s="115" t="s">
        <v>146</v>
      </c>
      <c r="F149" s="71">
        <v>11030640001</v>
      </c>
      <c r="G149" s="123" t="s">
        <v>65</v>
      </c>
      <c r="H149" s="116" t="s">
        <v>31</v>
      </c>
      <c r="I149" s="104">
        <v>0</v>
      </c>
      <c r="J149" s="117">
        <v>616.33000000000527</v>
      </c>
      <c r="K149" s="117">
        <v>218.86999999999625</v>
      </c>
      <c r="L149" s="117">
        <f>IF(Tabela1[[#This Row],[SALDO PARCIAL PENDENTE]]-Tabela1[[#This Row],[1QZ DE FEV 26]]&lt;0,0,Tabela1[[#This Row],[SALDO PARCIAL PENDENTE]]-Tabela1[[#This Row],[1QZ DE FEV 26]])</f>
        <v>397.46000000000902</v>
      </c>
      <c r="M149" s="68">
        <v>800</v>
      </c>
      <c r="N149" s="117">
        <v>4.87</v>
      </c>
      <c r="O149" s="69"/>
      <c r="P149" s="118">
        <f>Tabela1[[#This Row],[2QZ DE JAN 26]]-Tabela1[[#This Row],[SALDO PENDENTE FINAL]]-Tabela1[[#This Row],[SALDO CARTAO]]-Tabela1[[#This Row],[ADIANTAMENTO]]</f>
        <v>397.66999999999098</v>
      </c>
      <c r="Q149" s="119"/>
      <c r="R149" s="130">
        <f>IF(Tabela1[[#This Row],[CARGA PARCIAL]]&lt;0,0,Tabela1[[#This Row],[CARGA PARCIAL]])+Tabela1[[#This Row],[REEMBOLSO]]</f>
        <v>397.66999999999098</v>
      </c>
      <c r="S149" s="129" t="s">
        <v>22</v>
      </c>
      <c r="T149" s="69"/>
    </row>
    <row r="150" spans="2:51" x14ac:dyDescent="0.25">
      <c r="B150" s="120" t="s">
        <v>348</v>
      </c>
      <c r="C150" s="114" t="s">
        <v>1651</v>
      </c>
      <c r="D150" s="115" t="s">
        <v>18</v>
      </c>
      <c r="E150" s="115" t="s">
        <v>349</v>
      </c>
      <c r="F150" s="71">
        <v>1201017</v>
      </c>
      <c r="G150" s="127" t="s">
        <v>27</v>
      </c>
      <c r="H150" s="116" t="s">
        <v>137</v>
      </c>
      <c r="I150" s="104">
        <v>0</v>
      </c>
      <c r="J150" s="117">
        <v>608.96999999999844</v>
      </c>
      <c r="K150" s="117">
        <v>0</v>
      </c>
      <c r="L150" s="117">
        <f>IF(Tabela1[[#This Row],[SALDO PARCIAL PENDENTE]]-Tabela1[[#This Row],[1QZ DE FEV 26]]&lt;0,0,Tabela1[[#This Row],[SALDO PARCIAL PENDENTE]]-Tabela1[[#This Row],[1QZ DE FEV 26]])</f>
        <v>608.96999999999844</v>
      </c>
      <c r="M150" s="68">
        <v>500</v>
      </c>
      <c r="N150" s="117">
        <v>0</v>
      </c>
      <c r="O150" s="69"/>
      <c r="P150" s="118">
        <f>Tabela1[[#This Row],[2QZ DE JAN 26]]-Tabela1[[#This Row],[SALDO PENDENTE FINAL]]-Tabela1[[#This Row],[SALDO CARTAO]]-Tabela1[[#This Row],[ADIANTAMENTO]]</f>
        <v>-108.96999999999844</v>
      </c>
      <c r="Q150" s="119"/>
      <c r="R150" s="130">
        <f>IF(Tabela1[[#This Row],[CARGA PARCIAL]]&lt;0,0,Tabela1[[#This Row],[CARGA PARCIAL]])+Tabela1[[#This Row],[REEMBOLSO]]</f>
        <v>0</v>
      </c>
      <c r="S150" s="129" t="s">
        <v>22</v>
      </c>
      <c r="T150" s="69"/>
    </row>
    <row r="151" spans="2:51" x14ac:dyDescent="0.25">
      <c r="B151" s="120" t="s">
        <v>466</v>
      </c>
      <c r="C151" s="114" t="s">
        <v>467</v>
      </c>
      <c r="D151" s="115" t="s">
        <v>18</v>
      </c>
      <c r="E151" s="115" t="s">
        <v>51</v>
      </c>
      <c r="F151" s="71">
        <v>11040170001</v>
      </c>
      <c r="G151" s="127" t="s">
        <v>1816</v>
      </c>
      <c r="H151" s="116" t="s">
        <v>21</v>
      </c>
      <c r="I151" s="104">
        <v>0</v>
      </c>
      <c r="J151" s="117">
        <v>603.28</v>
      </c>
      <c r="K151" s="117">
        <v>168.14999999999606</v>
      </c>
      <c r="L151" s="117">
        <f>IF(Tabela1[[#This Row],[SALDO PARCIAL PENDENTE]]-Tabela1[[#This Row],[1QZ DE FEV 26]]&lt;0,0,Tabela1[[#This Row],[SALDO PARCIAL PENDENTE]]-Tabela1[[#This Row],[1QZ DE FEV 26]])</f>
        <v>435.13000000000392</v>
      </c>
      <c r="M151" s="68">
        <v>200</v>
      </c>
      <c r="N151" s="117">
        <v>176.72</v>
      </c>
      <c r="O151" s="69"/>
      <c r="P151" s="118">
        <f>Tabela1[[#This Row],[2QZ DE JAN 26]]-Tabela1[[#This Row],[SALDO PENDENTE FINAL]]-Tabela1[[#This Row],[SALDO CARTAO]]-Tabela1[[#This Row],[ADIANTAMENTO]]</f>
        <v>-411.85000000000389</v>
      </c>
      <c r="Q151" s="119"/>
      <c r="R151" s="130">
        <f>IF(Tabela1[[#This Row],[CARGA PARCIAL]]&lt;0,0,Tabela1[[#This Row],[CARGA PARCIAL]])+Tabela1[[#This Row],[REEMBOLSO]]</f>
        <v>0</v>
      </c>
      <c r="S151" s="129" t="s">
        <v>22</v>
      </c>
      <c r="T151" s="69"/>
    </row>
    <row r="152" spans="2:51" x14ac:dyDescent="0.25">
      <c r="B152" s="120" t="s">
        <v>745</v>
      </c>
      <c r="C152" s="114" t="s">
        <v>746</v>
      </c>
      <c r="D152" s="115" t="s">
        <v>18</v>
      </c>
      <c r="E152" s="115" t="s">
        <v>747</v>
      </c>
      <c r="F152" s="71">
        <v>11080400001</v>
      </c>
      <c r="G152" s="127" t="s">
        <v>30</v>
      </c>
      <c r="H152" s="116" t="s">
        <v>31</v>
      </c>
      <c r="I152" s="104">
        <v>0</v>
      </c>
      <c r="J152" s="117">
        <v>589.41000000000088</v>
      </c>
      <c r="K152" s="117">
        <v>717.59</v>
      </c>
      <c r="L152" s="117">
        <f>IF(Tabela1[[#This Row],[SALDO PARCIAL PENDENTE]]-Tabela1[[#This Row],[1QZ DE FEV 26]]&lt;0,0,Tabela1[[#This Row],[SALDO PARCIAL PENDENTE]]-Tabela1[[#This Row],[1QZ DE FEV 26]])</f>
        <v>0</v>
      </c>
      <c r="M152" s="68">
        <v>600</v>
      </c>
      <c r="N152" s="117">
        <v>3.59</v>
      </c>
      <c r="O152" s="69"/>
      <c r="P152" s="118">
        <f>Tabela1[[#This Row],[2QZ DE JAN 26]]-Tabela1[[#This Row],[SALDO PENDENTE FINAL]]-Tabela1[[#This Row],[SALDO CARTAO]]-Tabela1[[#This Row],[ADIANTAMENTO]]</f>
        <v>596.41</v>
      </c>
      <c r="Q152" s="119"/>
      <c r="R152" s="130">
        <f>IF(Tabela1[[#This Row],[CARGA PARCIAL]]&lt;0,0,Tabela1[[#This Row],[CARGA PARCIAL]])+Tabela1[[#This Row],[REEMBOLSO]]</f>
        <v>596.41</v>
      </c>
      <c r="S152" s="129" t="s">
        <v>22</v>
      </c>
      <c r="T152" s="69"/>
    </row>
    <row r="153" spans="2:51" x14ac:dyDescent="0.25">
      <c r="B153" s="120" t="s">
        <v>314</v>
      </c>
      <c r="C153" s="114" t="s">
        <v>1620</v>
      </c>
      <c r="D153" s="115" t="s">
        <v>18</v>
      </c>
      <c r="E153" s="115" t="s">
        <v>113</v>
      </c>
      <c r="F153" s="71">
        <v>11061720001</v>
      </c>
      <c r="G153" s="127" t="s">
        <v>30</v>
      </c>
      <c r="H153" s="116" t="s">
        <v>31</v>
      </c>
      <c r="I153" s="104">
        <v>0</v>
      </c>
      <c r="J153" s="117">
        <v>586.11999999999671</v>
      </c>
      <c r="K153" s="117">
        <v>471.27999999999884</v>
      </c>
      <c r="L153" s="117">
        <f>IF(Tabela1[[#This Row],[SALDO PARCIAL PENDENTE]]-Tabela1[[#This Row],[1QZ DE FEV 26]]&lt;0,0,Tabela1[[#This Row],[SALDO PARCIAL PENDENTE]]-Tabela1[[#This Row],[1QZ DE FEV 26]])</f>
        <v>114.83999999999787</v>
      </c>
      <c r="M153" s="68">
        <v>800</v>
      </c>
      <c r="N153" s="117">
        <v>5.81</v>
      </c>
      <c r="O153" s="69"/>
      <c r="P153" s="118">
        <f>Tabela1[[#This Row],[2QZ DE JAN 26]]-Tabela1[[#This Row],[SALDO PENDENTE FINAL]]-Tabela1[[#This Row],[SALDO CARTAO]]-Tabela1[[#This Row],[ADIANTAMENTO]]</f>
        <v>679.35000000000218</v>
      </c>
      <c r="Q153" s="119"/>
      <c r="R153" s="130">
        <f>IF(Tabela1[[#This Row],[CARGA PARCIAL]]&lt;0,0,Tabela1[[#This Row],[CARGA PARCIAL]])+Tabela1[[#This Row],[REEMBOLSO]]</f>
        <v>679.35000000000218</v>
      </c>
      <c r="S153" s="129" t="s">
        <v>22</v>
      </c>
      <c r="T153" s="69"/>
    </row>
    <row r="154" spans="2:51" x14ac:dyDescent="0.25">
      <c r="B154" s="120" t="s">
        <v>213</v>
      </c>
      <c r="C154" s="114" t="s">
        <v>1539</v>
      </c>
      <c r="D154" s="115" t="s">
        <v>18</v>
      </c>
      <c r="E154" s="115" t="s">
        <v>26</v>
      </c>
      <c r="F154" s="71">
        <v>11030800001</v>
      </c>
      <c r="G154" s="127" t="s">
        <v>27</v>
      </c>
      <c r="H154" s="116" t="s">
        <v>137</v>
      </c>
      <c r="I154" s="104">
        <v>0</v>
      </c>
      <c r="J154" s="117">
        <v>579.95999999999822</v>
      </c>
      <c r="K154" s="117">
        <v>413.9399999999996</v>
      </c>
      <c r="L154" s="117">
        <f>IF(Tabela1[[#This Row],[SALDO PARCIAL PENDENTE]]-Tabela1[[#This Row],[1QZ DE FEV 26]]&lt;0,0,Tabela1[[#This Row],[SALDO PARCIAL PENDENTE]]-Tabela1[[#This Row],[1QZ DE FEV 26]])</f>
        <v>166.01999999999862</v>
      </c>
      <c r="M154" s="68">
        <v>1000</v>
      </c>
      <c r="N154" s="117">
        <v>420.04</v>
      </c>
      <c r="O154" s="69"/>
      <c r="P154" s="118">
        <f>Tabela1[[#This Row],[2QZ DE JAN 26]]-Tabela1[[#This Row],[SALDO PENDENTE FINAL]]-Tabela1[[#This Row],[SALDO CARTAO]]-Tabela1[[#This Row],[ADIANTAMENTO]]</f>
        <v>413.94000000000136</v>
      </c>
      <c r="Q154" s="119"/>
      <c r="R154" s="130">
        <f>IF(Tabela1[[#This Row],[CARGA PARCIAL]]&lt;0,0,Tabela1[[#This Row],[CARGA PARCIAL]])+Tabela1[[#This Row],[REEMBOLSO]]</f>
        <v>413.94000000000136</v>
      </c>
      <c r="S154" s="129" t="s">
        <v>22</v>
      </c>
      <c r="T154" s="69"/>
    </row>
    <row r="155" spans="2:51" x14ac:dyDescent="0.25">
      <c r="B155" s="121" t="s">
        <v>801</v>
      </c>
      <c r="C155" s="122" t="s">
        <v>802</v>
      </c>
      <c r="D155" s="115" t="s">
        <v>18</v>
      </c>
      <c r="E155" s="123" t="s">
        <v>803</v>
      </c>
      <c r="F155" s="71">
        <v>11061390001</v>
      </c>
      <c r="G155" s="127" t="s">
        <v>34</v>
      </c>
      <c r="H155" s="124" t="s">
        <v>31</v>
      </c>
      <c r="I155" s="104">
        <v>0</v>
      </c>
      <c r="J155" s="117">
        <v>537.74999999999227</v>
      </c>
      <c r="K155" s="117">
        <v>702.73000000000684</v>
      </c>
      <c r="L155" s="117">
        <f>IF(Tabela1[[#This Row],[SALDO PARCIAL PENDENTE]]-Tabela1[[#This Row],[1QZ DE FEV 26]]&lt;0,0,Tabela1[[#This Row],[SALDO PARCIAL PENDENTE]]-Tabela1[[#This Row],[1QZ DE FEV 26]])</f>
        <v>0</v>
      </c>
      <c r="M155" s="68">
        <v>2700</v>
      </c>
      <c r="N155" s="117">
        <v>4.7300000000000004</v>
      </c>
      <c r="O155" s="72"/>
      <c r="P155" s="125">
        <f>Tabela1[[#This Row],[2QZ DE JAN 26]]-Tabela1[[#This Row],[SALDO PENDENTE FINAL]]-Tabela1[[#This Row],[SALDO CARTAO]]-Tabela1[[#This Row],[ADIANTAMENTO]]</f>
        <v>2695.27</v>
      </c>
      <c r="Q155" s="126"/>
      <c r="R155" s="130">
        <f>IF(Tabela1[[#This Row],[CARGA PARCIAL]]&lt;0,0,Tabela1[[#This Row],[CARGA PARCIAL]])+Tabela1[[#This Row],[REEMBOLSO]]</f>
        <v>2695.27</v>
      </c>
      <c r="S155" s="129" t="s">
        <v>22</v>
      </c>
      <c r="T155" s="72"/>
    </row>
    <row r="156" spans="2:51" x14ac:dyDescent="0.25">
      <c r="B156" s="121" t="s">
        <v>728</v>
      </c>
      <c r="C156" s="122" t="s">
        <v>729</v>
      </c>
      <c r="D156" s="115" t="s">
        <v>18</v>
      </c>
      <c r="E156" s="123" t="s">
        <v>228</v>
      </c>
      <c r="F156" s="71">
        <v>11062670001</v>
      </c>
      <c r="G156" s="123" t="s">
        <v>65</v>
      </c>
      <c r="H156" s="124" t="s">
        <v>31</v>
      </c>
      <c r="I156" s="104">
        <v>0</v>
      </c>
      <c r="J156" s="117">
        <v>529.99999999999955</v>
      </c>
      <c r="K156" s="117">
        <v>0</v>
      </c>
      <c r="L156" s="117">
        <f>IF(Tabela1[[#This Row],[SALDO PARCIAL PENDENTE]]-Tabela1[[#This Row],[1QZ DE FEV 26]]&lt;0,0,Tabela1[[#This Row],[SALDO PARCIAL PENDENTE]]-Tabela1[[#This Row],[1QZ DE FEV 26]])</f>
        <v>529.99999999999955</v>
      </c>
      <c r="M156" s="68">
        <v>800</v>
      </c>
      <c r="N156" s="117">
        <v>1.02</v>
      </c>
      <c r="O156" s="72"/>
      <c r="P156" s="125">
        <f>Tabela1[[#This Row],[2QZ DE JAN 26]]-Tabela1[[#This Row],[SALDO PENDENTE FINAL]]-Tabela1[[#This Row],[SALDO CARTAO]]-Tabela1[[#This Row],[ADIANTAMENTO]]</f>
        <v>268.98000000000047</v>
      </c>
      <c r="Q156" s="126"/>
      <c r="R156" s="130">
        <f>IF(Tabela1[[#This Row],[CARGA PARCIAL]]&lt;0,0,Tabela1[[#This Row],[CARGA PARCIAL]])+Tabela1[[#This Row],[REEMBOLSO]]</f>
        <v>268.98000000000047</v>
      </c>
      <c r="S156" s="129" t="s">
        <v>22</v>
      </c>
      <c r="T156" s="72"/>
    </row>
    <row r="157" spans="2:51" x14ac:dyDescent="0.25">
      <c r="B157" s="120" t="s">
        <v>479</v>
      </c>
      <c r="C157" s="114" t="s">
        <v>480</v>
      </c>
      <c r="D157" s="115" t="s">
        <v>18</v>
      </c>
      <c r="E157" s="115" t="s">
        <v>160</v>
      </c>
      <c r="F157" s="71">
        <v>11062450001</v>
      </c>
      <c r="G157" s="123" t="s">
        <v>27</v>
      </c>
      <c r="H157" s="116" t="s">
        <v>137</v>
      </c>
      <c r="I157" s="104">
        <v>0</v>
      </c>
      <c r="J157" s="117">
        <v>500.76</v>
      </c>
      <c r="K157" s="117">
        <v>482.94000000000005</v>
      </c>
      <c r="L157" s="117">
        <f>IF(Tabela1[[#This Row],[SALDO PARCIAL PENDENTE]]-Tabela1[[#This Row],[1QZ DE FEV 26]]&lt;0,0,Tabela1[[#This Row],[SALDO PARCIAL PENDENTE]]-Tabela1[[#This Row],[1QZ DE FEV 26]])</f>
        <v>17.819999999999936</v>
      </c>
      <c r="M157" s="68">
        <v>1000</v>
      </c>
      <c r="N157" s="117">
        <v>192.49</v>
      </c>
      <c r="O157" s="69"/>
      <c r="P157" s="118">
        <f>Tabela1[[#This Row],[2QZ DE JAN 26]]-Tabela1[[#This Row],[SALDO PENDENTE FINAL]]-Tabela1[[#This Row],[SALDO CARTAO]]-Tabela1[[#This Row],[ADIANTAMENTO]]</f>
        <v>789.69</v>
      </c>
      <c r="Q157" s="119"/>
      <c r="R157" s="130">
        <f>IF(Tabela1[[#This Row],[CARGA PARCIAL]]&lt;0,0,Tabela1[[#This Row],[CARGA PARCIAL]])+Tabela1[[#This Row],[REEMBOLSO]]</f>
        <v>789.69</v>
      </c>
      <c r="S157" s="129" t="s">
        <v>22</v>
      </c>
      <c r="T157" s="69"/>
    </row>
    <row r="158" spans="2:51" x14ac:dyDescent="0.25">
      <c r="B158" s="120" t="s">
        <v>351</v>
      </c>
      <c r="C158" s="114" t="s">
        <v>1600</v>
      </c>
      <c r="D158" s="115" t="s">
        <v>18</v>
      </c>
      <c r="E158" s="115" t="s">
        <v>51</v>
      </c>
      <c r="F158" s="71">
        <v>11040170001</v>
      </c>
      <c r="G158" s="127" t="s">
        <v>1816</v>
      </c>
      <c r="H158" s="116" t="s">
        <v>21</v>
      </c>
      <c r="I158" s="104">
        <v>0</v>
      </c>
      <c r="J158" s="117">
        <v>500.00000000000091</v>
      </c>
      <c r="K158" s="117">
        <v>14</v>
      </c>
      <c r="L158" s="117">
        <f>IF(Tabela1[[#This Row],[SALDO PARCIAL PENDENTE]]-Tabela1[[#This Row],[1QZ DE FEV 26]]&lt;0,0,Tabela1[[#This Row],[SALDO PARCIAL PENDENTE]]-Tabela1[[#This Row],[1QZ DE FEV 26]])</f>
        <v>486.00000000000091</v>
      </c>
      <c r="M158" s="68">
        <v>1500</v>
      </c>
      <c r="N158" s="117">
        <v>810</v>
      </c>
      <c r="O158" s="69"/>
      <c r="P158" s="118">
        <f>Tabela1[[#This Row],[2QZ DE JAN 26]]-Tabela1[[#This Row],[SALDO PENDENTE FINAL]]-Tabela1[[#This Row],[SALDO CARTAO]]-Tabela1[[#This Row],[ADIANTAMENTO]]</f>
        <v>203.99999999999909</v>
      </c>
      <c r="Q158" s="119"/>
      <c r="R158" s="130">
        <f>IF(Tabela1[[#This Row],[CARGA PARCIAL]]&lt;0,0,Tabela1[[#This Row],[CARGA PARCIAL]])+Tabela1[[#This Row],[REEMBOLSO]]</f>
        <v>203.99999999999909</v>
      </c>
      <c r="S158" s="129" t="s">
        <v>22</v>
      </c>
      <c r="T158" s="69"/>
    </row>
    <row r="159" spans="2:51" x14ac:dyDescent="0.25">
      <c r="B159" s="96" t="s">
        <v>25</v>
      </c>
      <c r="C159" s="71" t="s">
        <v>1624</v>
      </c>
      <c r="D159" s="115" t="s">
        <v>18</v>
      </c>
      <c r="E159" s="71" t="s">
        <v>26</v>
      </c>
      <c r="F159" s="71">
        <v>11030800001</v>
      </c>
      <c r="G159" s="127" t="s">
        <v>27</v>
      </c>
      <c r="H159" s="71" t="s">
        <v>137</v>
      </c>
      <c r="I159" s="104">
        <v>0</v>
      </c>
      <c r="J159" s="117">
        <v>500.00000000000034</v>
      </c>
      <c r="K159" s="117">
        <v>0</v>
      </c>
      <c r="L159" s="117">
        <f>IF(Tabela1[[#This Row],[SALDO PARCIAL PENDENTE]]-Tabela1[[#This Row],[1QZ DE FEV 26]]&lt;0,0,Tabela1[[#This Row],[SALDO PARCIAL PENDENTE]]-Tabela1[[#This Row],[1QZ DE FEV 26]])</f>
        <v>500.00000000000034</v>
      </c>
      <c r="M159" s="68">
        <v>500</v>
      </c>
      <c r="N159" s="117">
        <v>0</v>
      </c>
      <c r="O159" s="72"/>
      <c r="P159" s="72">
        <f>Tabela1[[#This Row],[2QZ DE JAN 26]]-Tabela1[[#This Row],[SALDO PENDENTE FINAL]]-Tabela1[[#This Row],[SALDO CARTAO]]-Tabela1[[#This Row],[ADIANTAMENTO]]</f>
        <v>-3.4106051316484809E-13</v>
      </c>
      <c r="Q159" s="126"/>
      <c r="R159" s="130">
        <f>IF(Tabela1[[#This Row],[CARGA PARCIAL]]&lt;0,0,Tabela1[[#This Row],[CARGA PARCIAL]])+Tabela1[[#This Row],[REEMBOLSO]]</f>
        <v>0</v>
      </c>
      <c r="S159" s="129" t="s">
        <v>22</v>
      </c>
      <c r="T159" s="72"/>
    </row>
    <row r="160" spans="2:51" x14ac:dyDescent="0.25">
      <c r="B160" s="121" t="s">
        <v>687</v>
      </c>
      <c r="C160" s="122" t="s">
        <v>688</v>
      </c>
      <c r="D160" s="115" t="s">
        <v>18</v>
      </c>
      <c r="E160" s="123" t="s">
        <v>689</v>
      </c>
      <c r="F160" s="71">
        <v>11060720001</v>
      </c>
      <c r="G160" s="123" t="s">
        <v>30</v>
      </c>
      <c r="H160" s="124" t="s">
        <v>31</v>
      </c>
      <c r="I160" s="104">
        <v>0</v>
      </c>
      <c r="J160" s="117">
        <v>500</v>
      </c>
      <c r="K160" s="117">
        <v>0</v>
      </c>
      <c r="L160" s="117">
        <f>IF(Tabela1[[#This Row],[SALDO PARCIAL PENDENTE]]-Tabela1[[#This Row],[1QZ DE FEV 26]]&lt;0,0,Tabela1[[#This Row],[SALDO PARCIAL PENDENTE]]-Tabela1[[#This Row],[1QZ DE FEV 26]])</f>
        <v>500</v>
      </c>
      <c r="M160" s="68">
        <v>500</v>
      </c>
      <c r="N160" s="117">
        <v>0</v>
      </c>
      <c r="O160" s="72"/>
      <c r="P160" s="125">
        <f>Tabela1[[#This Row],[2QZ DE JAN 26]]-Tabela1[[#This Row],[SALDO PENDENTE FINAL]]-Tabela1[[#This Row],[SALDO CARTAO]]-Tabela1[[#This Row],[ADIANTAMENTO]]</f>
        <v>0</v>
      </c>
      <c r="Q160" s="126"/>
      <c r="R160" s="130">
        <f>IF(Tabela1[[#This Row],[CARGA PARCIAL]]&lt;0,0,Tabela1[[#This Row],[CARGA PARCIAL]])+Tabela1[[#This Row],[REEMBOLSO]]</f>
        <v>0</v>
      </c>
      <c r="S160" s="129" t="s">
        <v>22</v>
      </c>
      <c r="T160" s="72"/>
    </row>
    <row r="161" spans="2:20" x14ac:dyDescent="0.25">
      <c r="B161" s="121" t="s">
        <v>283</v>
      </c>
      <c r="C161" s="122" t="s">
        <v>1683</v>
      </c>
      <c r="D161" s="115" t="s">
        <v>18</v>
      </c>
      <c r="E161" s="123" t="s">
        <v>284</v>
      </c>
      <c r="F161" s="71">
        <v>11010180001</v>
      </c>
      <c r="G161" s="123" t="s">
        <v>30</v>
      </c>
      <c r="H161" s="124" t="s">
        <v>31</v>
      </c>
      <c r="I161" s="104">
        <v>0</v>
      </c>
      <c r="J161" s="117">
        <v>492.18000000000541</v>
      </c>
      <c r="K161" s="117">
        <v>1637.04</v>
      </c>
      <c r="L161" s="117">
        <f>IF(Tabela1[[#This Row],[SALDO PARCIAL PENDENTE]]-Tabela1[[#This Row],[1QZ DE FEV 26]]&lt;0,0,Tabela1[[#This Row],[SALDO PARCIAL PENDENTE]]-Tabela1[[#This Row],[1QZ DE FEV 26]])</f>
        <v>0</v>
      </c>
      <c r="M161" s="68">
        <v>1500</v>
      </c>
      <c r="N161" s="117">
        <v>1007.82</v>
      </c>
      <c r="O161" s="72"/>
      <c r="P161" s="125">
        <f>Tabela1[[#This Row],[2QZ DE JAN 26]]-Tabela1[[#This Row],[SALDO PENDENTE FINAL]]-Tabela1[[#This Row],[SALDO CARTAO]]-Tabela1[[#This Row],[ADIANTAMENTO]]</f>
        <v>492.17999999999995</v>
      </c>
      <c r="Q161" s="126"/>
      <c r="R161" s="130">
        <f>IF(Tabela1[[#This Row],[CARGA PARCIAL]]&lt;0,0,Tabela1[[#This Row],[CARGA PARCIAL]])+Tabela1[[#This Row],[REEMBOLSO]]</f>
        <v>492.17999999999995</v>
      </c>
      <c r="S161" s="129" t="s">
        <v>22</v>
      </c>
      <c r="T161" s="72"/>
    </row>
    <row r="162" spans="2:20" x14ac:dyDescent="0.25">
      <c r="B162" s="120" t="s">
        <v>60</v>
      </c>
      <c r="C162" s="114" t="s">
        <v>1660</v>
      </c>
      <c r="D162" s="115" t="s">
        <v>18</v>
      </c>
      <c r="E162" s="115" t="s">
        <v>61</v>
      </c>
      <c r="F162" s="71">
        <v>11010060001</v>
      </c>
      <c r="G162" s="123" t="s">
        <v>24</v>
      </c>
      <c r="H162" s="116" t="s">
        <v>21</v>
      </c>
      <c r="I162" s="104">
        <v>0</v>
      </c>
      <c r="J162" s="117">
        <v>488.50999999999993</v>
      </c>
      <c r="K162" s="117">
        <v>239.15000000000003</v>
      </c>
      <c r="L162" s="117">
        <f>IF(Tabela1[[#This Row],[SALDO PARCIAL PENDENTE]]-Tabela1[[#This Row],[1QZ DE FEV 26]]&lt;0,0,Tabela1[[#This Row],[SALDO PARCIAL PENDENTE]]-Tabela1[[#This Row],[1QZ DE FEV 26]])</f>
        <v>249.3599999999999</v>
      </c>
      <c r="M162" s="68">
        <v>800</v>
      </c>
      <c r="N162" s="117">
        <v>258.07</v>
      </c>
      <c r="O162" s="69"/>
      <c r="P162" s="118">
        <f>Tabela1[[#This Row],[2QZ DE JAN 26]]-Tabela1[[#This Row],[SALDO PENDENTE FINAL]]-Tabela1[[#This Row],[SALDO CARTAO]]-Tabela1[[#This Row],[ADIANTAMENTO]]</f>
        <v>292.57000000000011</v>
      </c>
      <c r="Q162" s="119"/>
      <c r="R162" s="130">
        <f>IF(Tabela1[[#This Row],[CARGA PARCIAL]]&lt;0,0,Tabela1[[#This Row],[CARGA PARCIAL]])+Tabela1[[#This Row],[REEMBOLSO]]</f>
        <v>292.57000000000011</v>
      </c>
      <c r="S162" s="129" t="s">
        <v>22</v>
      </c>
      <c r="T162" s="69"/>
    </row>
    <row r="163" spans="2:20" x14ac:dyDescent="0.25">
      <c r="B163" s="120" t="s">
        <v>365</v>
      </c>
      <c r="C163" s="114" t="s">
        <v>1495</v>
      </c>
      <c r="D163" s="115" t="s">
        <v>18</v>
      </c>
      <c r="E163" s="115" t="s">
        <v>366</v>
      </c>
      <c r="F163" s="71">
        <v>11030660001</v>
      </c>
      <c r="G163" s="127" t="s">
        <v>27</v>
      </c>
      <c r="H163" s="116" t="s">
        <v>137</v>
      </c>
      <c r="I163" s="104">
        <v>0</v>
      </c>
      <c r="J163" s="117">
        <v>488.05000000000814</v>
      </c>
      <c r="K163" s="117">
        <v>4060.9899999999761</v>
      </c>
      <c r="L163" s="117">
        <f>IF(Tabela1[[#This Row],[SALDO PARCIAL PENDENTE]]-Tabela1[[#This Row],[1QZ DE FEV 26]]&lt;0,0,Tabela1[[#This Row],[SALDO PARCIAL PENDENTE]]-Tabela1[[#This Row],[1QZ DE FEV 26]])</f>
        <v>0</v>
      </c>
      <c r="M163" s="68">
        <v>4000</v>
      </c>
      <c r="N163" s="117">
        <v>34.99</v>
      </c>
      <c r="O163" s="69"/>
      <c r="P163" s="118">
        <f>Tabela1[[#This Row],[2QZ DE JAN 26]]-Tabela1[[#This Row],[SALDO PENDENTE FINAL]]-Tabela1[[#This Row],[SALDO CARTAO]]-Tabela1[[#This Row],[ADIANTAMENTO]]</f>
        <v>3965.01</v>
      </c>
      <c r="Q163" s="119"/>
      <c r="R163" s="130">
        <f>IF(Tabela1[[#This Row],[CARGA PARCIAL]]&lt;0,0,Tabela1[[#This Row],[CARGA PARCIAL]])+Tabela1[[#This Row],[REEMBOLSO]]</f>
        <v>3965.01</v>
      </c>
      <c r="S163" s="129" t="s">
        <v>22</v>
      </c>
      <c r="T163" s="69"/>
    </row>
    <row r="164" spans="2:20" x14ac:dyDescent="0.25">
      <c r="B164" s="120" t="s">
        <v>156</v>
      </c>
      <c r="C164" s="114" t="s">
        <v>1778</v>
      </c>
      <c r="D164" s="115" t="s">
        <v>18</v>
      </c>
      <c r="E164" s="115" t="s">
        <v>157</v>
      </c>
      <c r="F164" s="71">
        <v>11040040001</v>
      </c>
      <c r="G164" s="127" t="s">
        <v>20</v>
      </c>
      <c r="H164" s="116" t="s">
        <v>21</v>
      </c>
      <c r="I164" s="104">
        <v>0</v>
      </c>
      <c r="J164" s="117">
        <v>484.27000000000544</v>
      </c>
      <c r="K164" s="117">
        <v>0</v>
      </c>
      <c r="L164" s="117">
        <f>IF(Tabela1[[#This Row],[SALDO PARCIAL PENDENTE]]-Tabela1[[#This Row],[1QZ DE FEV 26]]&lt;0,0,Tabela1[[#This Row],[SALDO PARCIAL PENDENTE]]-Tabela1[[#This Row],[1QZ DE FEV 26]])</f>
        <v>484.27000000000544</v>
      </c>
      <c r="M164" s="68">
        <v>700</v>
      </c>
      <c r="N164" s="117">
        <v>16.98</v>
      </c>
      <c r="O164" s="69"/>
      <c r="P164" s="118">
        <f>Tabela1[[#This Row],[2QZ DE JAN 26]]-Tabela1[[#This Row],[SALDO PENDENTE FINAL]]-Tabela1[[#This Row],[SALDO CARTAO]]-Tabela1[[#This Row],[ADIANTAMENTO]]</f>
        <v>198.74999999999457</v>
      </c>
      <c r="Q164" s="119"/>
      <c r="R164" s="130">
        <f>IF(Tabela1[[#This Row],[CARGA PARCIAL]]&lt;0,0,Tabela1[[#This Row],[CARGA PARCIAL]])+Tabela1[[#This Row],[REEMBOLSO]]</f>
        <v>198.74999999999457</v>
      </c>
      <c r="S164" s="129" t="s">
        <v>22</v>
      </c>
      <c r="T164" s="69"/>
    </row>
    <row r="165" spans="2:20" x14ac:dyDescent="0.25">
      <c r="B165" s="134" t="s">
        <v>780</v>
      </c>
      <c r="C165" s="135" t="s">
        <v>781</v>
      </c>
      <c r="D165" s="136" t="s">
        <v>18</v>
      </c>
      <c r="E165" s="137" t="s">
        <v>782</v>
      </c>
      <c r="F165" s="137">
        <v>11062110001</v>
      </c>
      <c r="G165" s="138" t="s">
        <v>30</v>
      </c>
      <c r="H165" s="139" t="s">
        <v>31</v>
      </c>
      <c r="I165" s="140">
        <v>0</v>
      </c>
      <c r="J165" s="141">
        <v>140</v>
      </c>
      <c r="K165" s="141">
        <v>0</v>
      </c>
      <c r="L165" s="141">
        <f>IF(Tabela1[[#This Row],[SALDO PARCIAL PENDENTE]]-Tabela1[[#This Row],[1QZ DE FEV 26]]&lt;0,0,Tabela1[[#This Row],[SALDO PARCIAL PENDENTE]]-Tabela1[[#This Row],[1QZ DE FEV 26]])</f>
        <v>140</v>
      </c>
      <c r="M165" s="142">
        <v>300</v>
      </c>
      <c r="N165" s="141">
        <v>0</v>
      </c>
      <c r="O165" s="143"/>
      <c r="P165" s="144">
        <f>Tabela1[[#This Row],[2QZ DE JAN 26]]-Tabela1[[#This Row],[SALDO PENDENTE FINAL]]-Tabela1[[#This Row],[SALDO CARTAO]]-Tabela1[[#This Row],[ADIANTAMENTO]]</f>
        <v>160</v>
      </c>
      <c r="Q165" s="145"/>
      <c r="R165" s="146">
        <f>IF(Tabela1[[#This Row],[CARGA PARCIAL]]&lt;0,0,Tabela1[[#This Row],[CARGA PARCIAL]])+Tabela1[[#This Row],[REEMBOLSO]]</f>
        <v>160</v>
      </c>
      <c r="S165" s="147" t="s">
        <v>22</v>
      </c>
      <c r="T165" s="72"/>
    </row>
    <row r="166" spans="2:20" x14ac:dyDescent="0.25">
      <c r="B166" s="96" t="s">
        <v>48</v>
      </c>
      <c r="C166" s="71" t="s">
        <v>1646</v>
      </c>
      <c r="D166" s="115" t="s">
        <v>18</v>
      </c>
      <c r="E166" s="71" t="s">
        <v>49</v>
      </c>
      <c r="F166" s="71">
        <v>11040160001</v>
      </c>
      <c r="G166" s="123" t="s">
        <v>27</v>
      </c>
      <c r="H166" s="71" t="s">
        <v>137</v>
      </c>
      <c r="I166" s="104">
        <v>0</v>
      </c>
      <c r="J166" s="117">
        <v>480.58</v>
      </c>
      <c r="K166" s="117">
        <v>0</v>
      </c>
      <c r="L166" s="117">
        <f>IF(Tabela1[[#This Row],[SALDO PARCIAL PENDENTE]]-Tabela1[[#This Row],[1QZ DE FEV 26]]&lt;0,0,Tabela1[[#This Row],[SALDO PARCIAL PENDENTE]]-Tabela1[[#This Row],[1QZ DE FEV 26]])</f>
        <v>480.58</v>
      </c>
      <c r="M166" s="68">
        <v>400</v>
      </c>
      <c r="N166" s="117">
        <v>0</v>
      </c>
      <c r="O166" s="72"/>
      <c r="P166" s="72">
        <f>Tabela1[[#This Row],[2QZ DE JAN 26]]-Tabela1[[#This Row],[SALDO PENDENTE FINAL]]-Tabela1[[#This Row],[SALDO CARTAO]]-Tabela1[[#This Row],[ADIANTAMENTO]]</f>
        <v>-80.579999999999984</v>
      </c>
      <c r="Q166" s="126"/>
      <c r="R166" s="130">
        <f>IF(Tabela1[[#This Row],[CARGA PARCIAL]]&lt;0,0,Tabela1[[#This Row],[CARGA PARCIAL]])+Tabela1[[#This Row],[REEMBOLSO]]</f>
        <v>0</v>
      </c>
      <c r="S166" s="129" t="s">
        <v>22</v>
      </c>
      <c r="T166" s="72"/>
    </row>
    <row r="167" spans="2:20" x14ac:dyDescent="0.25">
      <c r="B167" s="120" t="s">
        <v>384</v>
      </c>
      <c r="C167" s="114" t="s">
        <v>1812</v>
      </c>
      <c r="D167" s="115" t="s">
        <v>18</v>
      </c>
      <c r="E167" s="115" t="s">
        <v>29</v>
      </c>
      <c r="F167" s="71">
        <v>11030860001</v>
      </c>
      <c r="G167" s="123" t="s">
        <v>30</v>
      </c>
      <c r="H167" s="116" t="s">
        <v>31</v>
      </c>
      <c r="I167" s="104">
        <v>0</v>
      </c>
      <c r="J167" s="117">
        <v>461.05000000000007</v>
      </c>
      <c r="K167" s="117">
        <v>841.30999999999949</v>
      </c>
      <c r="L167" s="117">
        <f>IF(Tabela1[[#This Row],[SALDO PARCIAL PENDENTE]]-Tabela1[[#This Row],[1QZ DE FEV 26]]&lt;0,0,Tabela1[[#This Row],[SALDO PARCIAL PENDENTE]]-Tabela1[[#This Row],[1QZ DE FEV 26]])</f>
        <v>0</v>
      </c>
      <c r="M167" s="68">
        <v>1000</v>
      </c>
      <c r="N167" s="117">
        <v>285.37</v>
      </c>
      <c r="O167" s="69"/>
      <c r="P167" s="118">
        <f>Tabela1[[#This Row],[2QZ DE JAN 26]]-Tabela1[[#This Row],[SALDO PENDENTE FINAL]]-Tabela1[[#This Row],[SALDO CARTAO]]-Tabela1[[#This Row],[ADIANTAMENTO]]</f>
        <v>714.63</v>
      </c>
      <c r="Q167" s="119"/>
      <c r="R167" s="130">
        <f>IF(Tabela1[[#This Row],[CARGA PARCIAL]]&lt;0,0,Tabela1[[#This Row],[CARGA PARCIAL]])+Tabela1[[#This Row],[REEMBOLSO]]</f>
        <v>714.63</v>
      </c>
      <c r="S167" s="129" t="s">
        <v>22</v>
      </c>
      <c r="T167" s="69"/>
    </row>
    <row r="168" spans="2:20" x14ac:dyDescent="0.25">
      <c r="B168" s="121" t="s">
        <v>390</v>
      </c>
      <c r="C168" s="122" t="s">
        <v>1551</v>
      </c>
      <c r="D168" s="115" t="s">
        <v>18</v>
      </c>
      <c r="E168" s="123" t="s">
        <v>391</v>
      </c>
      <c r="F168" s="71">
        <v>11062630001</v>
      </c>
      <c r="G168" s="127" t="s">
        <v>30</v>
      </c>
      <c r="H168" s="124" t="s">
        <v>31</v>
      </c>
      <c r="I168" s="104">
        <v>0</v>
      </c>
      <c r="J168" s="117">
        <v>458.71999999999866</v>
      </c>
      <c r="K168" s="117">
        <v>858.23</v>
      </c>
      <c r="L168" s="117">
        <f>IF(Tabela1[[#This Row],[SALDO PARCIAL PENDENTE]]-Tabela1[[#This Row],[1QZ DE FEV 26]]&lt;0,0,Tabela1[[#This Row],[SALDO PARCIAL PENDENTE]]-Tabela1[[#This Row],[1QZ DE FEV 26]])</f>
        <v>0</v>
      </c>
      <c r="M168" s="68">
        <v>500</v>
      </c>
      <c r="N168" s="117">
        <v>9.2799999999999994</v>
      </c>
      <c r="O168" s="72"/>
      <c r="P168" s="125">
        <f>Tabela1[[#This Row],[2QZ DE JAN 26]]-Tabela1[[#This Row],[SALDO PENDENTE FINAL]]-Tabela1[[#This Row],[SALDO CARTAO]]-Tabela1[[#This Row],[ADIANTAMENTO]]</f>
        <v>490.72</v>
      </c>
      <c r="Q168" s="126"/>
      <c r="R168" s="130">
        <f>IF(Tabela1[[#This Row],[CARGA PARCIAL]]&lt;0,0,Tabela1[[#This Row],[CARGA PARCIAL]])+Tabela1[[#This Row],[REEMBOLSO]]</f>
        <v>490.72</v>
      </c>
      <c r="S168" s="129" t="s">
        <v>22</v>
      </c>
      <c r="T168" s="72"/>
    </row>
    <row r="169" spans="2:20" x14ac:dyDescent="0.25">
      <c r="B169" s="120" t="s">
        <v>242</v>
      </c>
      <c r="C169" s="114" t="s">
        <v>1587</v>
      </c>
      <c r="D169" s="115" t="s">
        <v>18</v>
      </c>
      <c r="E169" s="115" t="s">
        <v>243</v>
      </c>
      <c r="F169" s="71">
        <v>11062120001</v>
      </c>
      <c r="G169" s="123" t="s">
        <v>30</v>
      </c>
      <c r="H169" s="116" t="s">
        <v>31</v>
      </c>
      <c r="I169" s="104">
        <v>0</v>
      </c>
      <c r="J169" s="117">
        <v>457.399999999991</v>
      </c>
      <c r="K169" s="117">
        <v>0</v>
      </c>
      <c r="L169" s="117">
        <f>IF(Tabela1[[#This Row],[SALDO PARCIAL PENDENTE]]-Tabela1[[#This Row],[1QZ DE FEV 26]]&lt;0,0,Tabela1[[#This Row],[SALDO PARCIAL PENDENTE]]-Tabela1[[#This Row],[1QZ DE FEV 26]])</f>
        <v>457.399999999991</v>
      </c>
      <c r="M169" s="68">
        <v>400</v>
      </c>
      <c r="N169" s="117">
        <v>19</v>
      </c>
      <c r="O169" s="69"/>
      <c r="P169" s="118">
        <f>Tabela1[[#This Row],[2QZ DE JAN 26]]-Tabela1[[#This Row],[SALDO PENDENTE FINAL]]-Tabela1[[#This Row],[SALDO CARTAO]]-Tabela1[[#This Row],[ADIANTAMENTO]]</f>
        <v>-76.399999999990996</v>
      </c>
      <c r="Q169" s="119"/>
      <c r="R169" s="130">
        <f>IF(Tabela1[[#This Row],[CARGA PARCIAL]]&lt;0,0,Tabela1[[#This Row],[CARGA PARCIAL]])+Tabela1[[#This Row],[REEMBOLSO]]</f>
        <v>0</v>
      </c>
      <c r="S169" s="129" t="s">
        <v>22</v>
      </c>
      <c r="T169" s="69"/>
    </row>
    <row r="170" spans="2:20" x14ac:dyDescent="0.25">
      <c r="B170" s="120" t="s">
        <v>247</v>
      </c>
      <c r="C170" s="114" t="s">
        <v>1789</v>
      </c>
      <c r="D170" s="115" t="s">
        <v>18</v>
      </c>
      <c r="E170" s="115" t="s">
        <v>228</v>
      </c>
      <c r="F170" s="71">
        <v>11062670001</v>
      </c>
      <c r="G170" s="127" t="s">
        <v>65</v>
      </c>
      <c r="H170" s="116" t="s">
        <v>31</v>
      </c>
      <c r="I170" s="104">
        <v>0</v>
      </c>
      <c r="J170" s="117">
        <v>456.13999999999857</v>
      </c>
      <c r="K170" s="117">
        <v>921.0600000000004</v>
      </c>
      <c r="L170" s="117">
        <f>IF(Tabela1[[#This Row],[SALDO PARCIAL PENDENTE]]-Tabela1[[#This Row],[1QZ DE FEV 26]]&lt;0,0,Tabela1[[#This Row],[SALDO PARCIAL PENDENTE]]-Tabela1[[#This Row],[1QZ DE FEV 26]])</f>
        <v>0</v>
      </c>
      <c r="M170" s="68">
        <v>800</v>
      </c>
      <c r="N170" s="117">
        <v>479.71</v>
      </c>
      <c r="O170" s="69"/>
      <c r="P170" s="118">
        <f>Tabela1[[#This Row],[2QZ DE JAN 26]]-Tabela1[[#This Row],[SALDO PENDENTE FINAL]]-Tabela1[[#This Row],[SALDO CARTAO]]-Tabela1[[#This Row],[ADIANTAMENTO]]</f>
        <v>320.29000000000002</v>
      </c>
      <c r="Q170" s="119"/>
      <c r="R170" s="130">
        <f>IF(Tabela1[[#This Row],[CARGA PARCIAL]]&lt;0,0,Tabela1[[#This Row],[CARGA PARCIAL]])+Tabela1[[#This Row],[REEMBOLSO]]</f>
        <v>320.29000000000002</v>
      </c>
      <c r="S170" s="129" t="s">
        <v>22</v>
      </c>
      <c r="T170" s="69"/>
    </row>
    <row r="171" spans="2:20" x14ac:dyDescent="0.25">
      <c r="B171" s="120" t="s">
        <v>431</v>
      </c>
      <c r="C171" s="114" t="s">
        <v>432</v>
      </c>
      <c r="D171" s="115" t="s">
        <v>18</v>
      </c>
      <c r="E171" s="115" t="s">
        <v>366</v>
      </c>
      <c r="F171" s="71">
        <v>11030660001</v>
      </c>
      <c r="G171" s="127" t="s">
        <v>27</v>
      </c>
      <c r="H171" s="116" t="s">
        <v>137</v>
      </c>
      <c r="I171" s="104">
        <v>0</v>
      </c>
      <c r="J171" s="117">
        <v>452.54000000000127</v>
      </c>
      <c r="K171" s="117">
        <v>262.05999999999949</v>
      </c>
      <c r="L171" s="117">
        <f>IF(Tabela1[[#This Row],[SALDO PARCIAL PENDENTE]]-Tabela1[[#This Row],[1QZ DE FEV 26]]&lt;0,0,Tabela1[[#This Row],[SALDO PARCIAL PENDENTE]]-Tabela1[[#This Row],[1QZ DE FEV 26]])</f>
        <v>190.48000000000178</v>
      </c>
      <c r="M171" s="68">
        <v>1000</v>
      </c>
      <c r="N171" s="117">
        <v>265.06</v>
      </c>
      <c r="O171" s="69"/>
      <c r="P171" s="118">
        <f>Tabela1[[#This Row],[2QZ DE JAN 26]]-Tabela1[[#This Row],[SALDO PENDENTE FINAL]]-Tabela1[[#This Row],[SALDO CARTAO]]-Tabela1[[#This Row],[ADIANTAMENTO]]</f>
        <v>544.45999999999822</v>
      </c>
      <c r="Q171" s="119"/>
      <c r="R171" s="130">
        <f>IF(Tabela1[[#This Row],[CARGA PARCIAL]]&lt;0,0,Tabela1[[#This Row],[CARGA PARCIAL]])+Tabela1[[#This Row],[REEMBOLSO]]</f>
        <v>544.45999999999822</v>
      </c>
      <c r="S171" s="129" t="s">
        <v>22</v>
      </c>
      <c r="T171" s="69"/>
    </row>
    <row r="172" spans="2:20" x14ac:dyDescent="0.25">
      <c r="B172" s="121" t="s">
        <v>256</v>
      </c>
      <c r="C172" s="122" t="s">
        <v>1556</v>
      </c>
      <c r="D172" s="115" t="s">
        <v>18</v>
      </c>
      <c r="E172" s="123" t="s">
        <v>157</v>
      </c>
      <c r="F172" s="71">
        <v>11040040001</v>
      </c>
      <c r="G172" s="127" t="s">
        <v>20</v>
      </c>
      <c r="H172" s="124" t="s">
        <v>21</v>
      </c>
      <c r="I172" s="104">
        <v>0</v>
      </c>
      <c r="J172" s="117">
        <v>440.45000000000675</v>
      </c>
      <c r="K172" s="117">
        <v>5448.11</v>
      </c>
      <c r="L172" s="117">
        <f>IF(Tabela1[[#This Row],[SALDO PARCIAL PENDENTE]]-Tabela1[[#This Row],[1QZ DE FEV 26]]&lt;0,0,Tabela1[[#This Row],[SALDO PARCIAL PENDENTE]]-Tabela1[[#This Row],[1QZ DE FEV 26]])</f>
        <v>0</v>
      </c>
      <c r="M172" s="68">
        <v>6660</v>
      </c>
      <c r="N172" s="117">
        <v>451.11</v>
      </c>
      <c r="O172" s="72"/>
      <c r="P172" s="125">
        <f>Tabela1[[#This Row],[2QZ DE JAN 26]]-Tabela1[[#This Row],[SALDO PENDENTE FINAL]]-Tabela1[[#This Row],[SALDO CARTAO]]-Tabela1[[#This Row],[ADIANTAMENTO]]</f>
        <v>6208.89</v>
      </c>
      <c r="Q172" s="126"/>
      <c r="R172" s="130">
        <f>IF(Tabela1[[#This Row],[CARGA PARCIAL]]&lt;0,0,Tabela1[[#This Row],[CARGA PARCIAL]])+Tabela1[[#This Row],[REEMBOLSO]]</f>
        <v>6208.89</v>
      </c>
      <c r="S172" s="129" t="s">
        <v>22</v>
      </c>
      <c r="T172" s="72"/>
    </row>
    <row r="173" spans="2:20" x14ac:dyDescent="0.25">
      <c r="B173" s="120" t="s">
        <v>90</v>
      </c>
      <c r="C173" s="114" t="s">
        <v>1622</v>
      </c>
      <c r="D173" s="115" t="s">
        <v>18</v>
      </c>
      <c r="E173" s="115" t="s">
        <v>26</v>
      </c>
      <c r="F173" s="71">
        <v>11030800001</v>
      </c>
      <c r="G173" s="123" t="s">
        <v>27</v>
      </c>
      <c r="H173" s="116" t="s">
        <v>137</v>
      </c>
      <c r="I173" s="104">
        <v>0</v>
      </c>
      <c r="J173" s="117">
        <v>432.62999999999909</v>
      </c>
      <c r="K173" s="117">
        <v>335.42000000000053</v>
      </c>
      <c r="L173" s="117">
        <f>IF(Tabela1[[#This Row],[SALDO PARCIAL PENDENTE]]-Tabela1[[#This Row],[1QZ DE FEV 26]]&lt;0,0,Tabela1[[#This Row],[SALDO PARCIAL PENDENTE]]-Tabela1[[#This Row],[1QZ DE FEV 26]])</f>
        <v>97.209999999998558</v>
      </c>
      <c r="M173" s="68">
        <v>500</v>
      </c>
      <c r="N173" s="117">
        <v>52.37</v>
      </c>
      <c r="O173" s="69"/>
      <c r="P173" s="118">
        <f>Tabela1[[#This Row],[2QZ DE JAN 26]]-Tabela1[[#This Row],[SALDO PENDENTE FINAL]]-Tabela1[[#This Row],[SALDO CARTAO]]-Tabela1[[#This Row],[ADIANTAMENTO]]</f>
        <v>350.42000000000144</v>
      </c>
      <c r="Q173" s="119"/>
      <c r="R173" s="130">
        <f>IF(Tabela1[[#This Row],[CARGA PARCIAL]]&lt;0,0,Tabela1[[#This Row],[CARGA PARCIAL]])+Tabela1[[#This Row],[REEMBOLSO]]</f>
        <v>350.42000000000144</v>
      </c>
      <c r="S173" s="129" t="s">
        <v>22</v>
      </c>
      <c r="T173" s="69"/>
    </row>
    <row r="174" spans="2:20" x14ac:dyDescent="0.25">
      <c r="B174" s="121" t="s">
        <v>793</v>
      </c>
      <c r="C174" s="122" t="s">
        <v>794</v>
      </c>
      <c r="D174" s="115" t="s">
        <v>18</v>
      </c>
      <c r="E174" s="123" t="s">
        <v>1820</v>
      </c>
      <c r="F174" s="71">
        <v>11062900001</v>
      </c>
      <c r="G174" s="127" t="s">
        <v>27</v>
      </c>
      <c r="H174" s="124" t="s">
        <v>137</v>
      </c>
      <c r="I174" s="104">
        <v>0</v>
      </c>
      <c r="J174" s="117">
        <v>425.15</v>
      </c>
      <c r="K174" s="117">
        <v>1928.1</v>
      </c>
      <c r="L174" s="117">
        <f>IF(Tabela1[[#This Row],[SALDO PARCIAL PENDENTE]]-Tabela1[[#This Row],[1QZ DE FEV 26]]&lt;0,0,Tabela1[[#This Row],[SALDO PARCIAL PENDENTE]]-Tabela1[[#This Row],[1QZ DE FEV 26]])</f>
        <v>0</v>
      </c>
      <c r="M174" s="68">
        <v>1500</v>
      </c>
      <c r="N174" s="117">
        <v>10.1</v>
      </c>
      <c r="O174" s="72"/>
      <c r="P174" s="125">
        <f>Tabela1[[#This Row],[2QZ DE JAN 26]]-Tabela1[[#This Row],[SALDO PENDENTE FINAL]]-Tabela1[[#This Row],[SALDO CARTAO]]-Tabela1[[#This Row],[ADIANTAMENTO]]</f>
        <v>1489.9</v>
      </c>
      <c r="Q174" s="126"/>
      <c r="R174" s="130">
        <f>IF(Tabela1[[#This Row],[CARGA PARCIAL]]&lt;0,0,Tabela1[[#This Row],[CARGA PARCIAL]])+Tabela1[[#This Row],[REEMBOLSO]]</f>
        <v>1489.9</v>
      </c>
      <c r="S174" s="129" t="s">
        <v>22</v>
      </c>
      <c r="T174" s="72"/>
    </row>
    <row r="175" spans="2:20" x14ac:dyDescent="0.25">
      <c r="B175" s="120" t="s">
        <v>760</v>
      </c>
      <c r="C175" s="114" t="s">
        <v>761</v>
      </c>
      <c r="D175" s="115" t="s">
        <v>18</v>
      </c>
      <c r="E175" s="115" t="s">
        <v>762</v>
      </c>
      <c r="F175" s="71">
        <v>11080500001</v>
      </c>
      <c r="G175" s="123" t="s">
        <v>24</v>
      </c>
      <c r="H175" s="116" t="s">
        <v>21</v>
      </c>
      <c r="I175" s="104">
        <v>0</v>
      </c>
      <c r="J175" s="117">
        <v>424.5</v>
      </c>
      <c r="K175" s="117">
        <v>405.7</v>
      </c>
      <c r="L175" s="117">
        <f>IF(Tabela1[[#This Row],[SALDO PARCIAL PENDENTE]]-Tabela1[[#This Row],[1QZ DE FEV 26]]&lt;0,0,Tabela1[[#This Row],[SALDO PARCIAL PENDENTE]]-Tabela1[[#This Row],[1QZ DE FEV 26]])</f>
        <v>18.800000000000011</v>
      </c>
      <c r="M175" s="68">
        <v>500</v>
      </c>
      <c r="N175" s="117">
        <v>75.5</v>
      </c>
      <c r="O175" s="69"/>
      <c r="P175" s="118">
        <f>Tabela1[[#This Row],[2QZ DE JAN 26]]-Tabela1[[#This Row],[SALDO PENDENTE FINAL]]-Tabela1[[#This Row],[SALDO CARTAO]]-Tabela1[[#This Row],[ADIANTAMENTO]]</f>
        <v>405.7</v>
      </c>
      <c r="Q175" s="119"/>
      <c r="R175" s="130">
        <f>IF(Tabela1[[#This Row],[CARGA PARCIAL]]&lt;0,0,Tabela1[[#This Row],[CARGA PARCIAL]])+Tabela1[[#This Row],[REEMBOLSO]]</f>
        <v>405.7</v>
      </c>
      <c r="S175" s="129" t="s">
        <v>22</v>
      </c>
      <c r="T175" s="69"/>
    </row>
    <row r="176" spans="2:20" x14ac:dyDescent="0.25">
      <c r="B176" s="120" t="s">
        <v>459</v>
      </c>
      <c r="C176" s="114" t="s">
        <v>460</v>
      </c>
      <c r="D176" s="115" t="s">
        <v>18</v>
      </c>
      <c r="E176" s="115" t="s">
        <v>59</v>
      </c>
      <c r="F176" s="71">
        <v>11080440001</v>
      </c>
      <c r="G176" s="127" t="s">
        <v>30</v>
      </c>
      <c r="H176" s="116" t="s">
        <v>31</v>
      </c>
      <c r="I176" s="104">
        <v>0</v>
      </c>
      <c r="J176" s="117">
        <v>418.47999999999979</v>
      </c>
      <c r="K176" s="117">
        <v>236.49</v>
      </c>
      <c r="L176" s="117">
        <f>IF(Tabela1[[#This Row],[SALDO PARCIAL PENDENTE]]-Tabela1[[#This Row],[1QZ DE FEV 26]]&lt;0,0,Tabela1[[#This Row],[SALDO PARCIAL PENDENTE]]-Tabela1[[#This Row],[1QZ DE FEV 26]])</f>
        <v>181.98999999999978</v>
      </c>
      <c r="M176" s="68">
        <v>2000</v>
      </c>
      <c r="N176" s="117">
        <v>1485.52</v>
      </c>
      <c r="O176" s="69"/>
      <c r="P176" s="118">
        <f>Tabela1[[#This Row],[2QZ DE JAN 26]]-Tabela1[[#This Row],[SALDO PENDENTE FINAL]]-Tabela1[[#This Row],[SALDO CARTAO]]-Tabela1[[#This Row],[ADIANTAMENTO]]</f>
        <v>332.49000000000024</v>
      </c>
      <c r="Q176" s="119"/>
      <c r="R176" s="130">
        <f>IF(Tabela1[[#This Row],[CARGA PARCIAL]]&lt;0,0,Tabela1[[#This Row],[CARGA PARCIAL]])+Tabela1[[#This Row],[REEMBOLSO]]</f>
        <v>332.49000000000024</v>
      </c>
      <c r="S176" s="129" t="s">
        <v>22</v>
      </c>
      <c r="T176" s="69"/>
    </row>
    <row r="177" spans="2:20" x14ac:dyDescent="0.25">
      <c r="B177" s="120" t="s">
        <v>88</v>
      </c>
      <c r="C177" s="114" t="s">
        <v>1663</v>
      </c>
      <c r="D177" s="115" t="s">
        <v>18</v>
      </c>
      <c r="E177" s="115" t="s">
        <v>89</v>
      </c>
      <c r="F177" s="71">
        <v>11061850001</v>
      </c>
      <c r="G177" s="127" t="s">
        <v>30</v>
      </c>
      <c r="H177" s="116" t="s">
        <v>31</v>
      </c>
      <c r="I177" s="104">
        <v>0</v>
      </c>
      <c r="J177" s="117">
        <v>416.21000000000004</v>
      </c>
      <c r="K177" s="117">
        <v>0</v>
      </c>
      <c r="L177" s="117">
        <f>IF(Tabela1[[#This Row],[SALDO PARCIAL PENDENTE]]-Tabela1[[#This Row],[1QZ DE FEV 26]]&lt;0,0,Tabela1[[#This Row],[SALDO PARCIAL PENDENTE]]-Tabela1[[#This Row],[1QZ DE FEV 26]])</f>
        <v>416.21000000000004</v>
      </c>
      <c r="M177" s="68">
        <v>400</v>
      </c>
      <c r="N177" s="117">
        <v>0</v>
      </c>
      <c r="O177" s="69"/>
      <c r="P177" s="118">
        <f>Tabela1[[#This Row],[2QZ DE JAN 26]]-Tabela1[[#This Row],[SALDO PENDENTE FINAL]]-Tabela1[[#This Row],[SALDO CARTAO]]-Tabela1[[#This Row],[ADIANTAMENTO]]</f>
        <v>-16.210000000000036</v>
      </c>
      <c r="Q177" s="119"/>
      <c r="R177" s="130">
        <f>IF(Tabela1[[#This Row],[CARGA PARCIAL]]&lt;0,0,Tabela1[[#This Row],[CARGA PARCIAL]])+Tabela1[[#This Row],[REEMBOLSO]]</f>
        <v>0</v>
      </c>
      <c r="S177" s="129" t="s">
        <v>22</v>
      </c>
      <c r="T177" s="69"/>
    </row>
    <row r="178" spans="2:20" x14ac:dyDescent="0.25">
      <c r="B178" s="121" t="s">
        <v>596</v>
      </c>
      <c r="C178" s="122" t="s">
        <v>597</v>
      </c>
      <c r="D178" s="115" t="s">
        <v>18</v>
      </c>
      <c r="E178" s="123" t="s">
        <v>38</v>
      </c>
      <c r="F178" s="71">
        <v>11040130001</v>
      </c>
      <c r="G178" s="127" t="s">
        <v>39</v>
      </c>
      <c r="H178" s="124" t="s">
        <v>31</v>
      </c>
      <c r="I178" s="104">
        <v>0</v>
      </c>
      <c r="J178" s="117">
        <v>406.49</v>
      </c>
      <c r="K178" s="117">
        <v>0</v>
      </c>
      <c r="L178" s="117">
        <f>IF(Tabela1[[#This Row],[SALDO PARCIAL PENDENTE]]-Tabela1[[#This Row],[1QZ DE FEV 26]]&lt;0,0,Tabela1[[#This Row],[SALDO PARCIAL PENDENTE]]-Tabela1[[#This Row],[1QZ DE FEV 26]])</f>
        <v>406.49</v>
      </c>
      <c r="M178" s="68">
        <v>120</v>
      </c>
      <c r="N178" s="117">
        <v>5.01</v>
      </c>
      <c r="O178" s="72"/>
      <c r="P178" s="125">
        <f>Tabela1[[#This Row],[2QZ DE JAN 26]]-Tabela1[[#This Row],[SALDO PENDENTE FINAL]]-Tabela1[[#This Row],[SALDO CARTAO]]-Tabela1[[#This Row],[ADIANTAMENTO]]</f>
        <v>-291.5</v>
      </c>
      <c r="Q178" s="126"/>
      <c r="R178" s="130">
        <f>IF(Tabela1[[#This Row],[CARGA PARCIAL]]&lt;0,0,Tabela1[[#This Row],[CARGA PARCIAL]])+Tabela1[[#This Row],[REEMBOLSO]]</f>
        <v>0</v>
      </c>
      <c r="S178" s="129" t="s">
        <v>22</v>
      </c>
      <c r="T178" s="72"/>
    </row>
    <row r="179" spans="2:20" x14ac:dyDescent="0.25">
      <c r="B179" s="96" t="s">
        <v>32</v>
      </c>
      <c r="C179" s="71" t="s">
        <v>1617</v>
      </c>
      <c r="D179" s="115" t="s">
        <v>18</v>
      </c>
      <c r="E179" s="71" t="s">
        <v>33</v>
      </c>
      <c r="F179" s="71">
        <v>11010140001</v>
      </c>
      <c r="G179" s="123" t="s">
        <v>34</v>
      </c>
      <c r="H179" s="101" t="s">
        <v>31</v>
      </c>
      <c r="I179" s="104">
        <v>0</v>
      </c>
      <c r="J179" s="117">
        <v>399.57000000000016</v>
      </c>
      <c r="K179" s="117">
        <v>538.79000000000087</v>
      </c>
      <c r="L179" s="117">
        <f>IF(Tabela1[[#This Row],[SALDO PARCIAL PENDENTE]]-Tabela1[[#This Row],[1QZ DE FEV 26]]&lt;0,0,Tabela1[[#This Row],[SALDO PARCIAL PENDENTE]]-Tabela1[[#This Row],[1QZ DE FEV 26]])</f>
        <v>0</v>
      </c>
      <c r="M179" s="68">
        <v>600</v>
      </c>
      <c r="N179" s="117">
        <v>7.02</v>
      </c>
      <c r="O179" s="72"/>
      <c r="P179" s="72">
        <f>Tabela1[[#This Row],[2QZ DE JAN 26]]-Tabela1[[#This Row],[SALDO PENDENTE FINAL]]-Tabela1[[#This Row],[SALDO CARTAO]]-Tabela1[[#This Row],[ADIANTAMENTO]]</f>
        <v>592.98</v>
      </c>
      <c r="Q179" s="126"/>
      <c r="R179" s="130">
        <f>IF(Tabela1[[#This Row],[CARGA PARCIAL]]&lt;0,0,Tabela1[[#This Row],[CARGA PARCIAL]])+Tabela1[[#This Row],[REEMBOLSO]]</f>
        <v>592.98</v>
      </c>
      <c r="S179" s="129" t="s">
        <v>22</v>
      </c>
      <c r="T179" s="72"/>
    </row>
    <row r="180" spans="2:20" x14ac:dyDescent="0.25">
      <c r="B180" s="121" t="s">
        <v>210</v>
      </c>
      <c r="C180" s="122" t="s">
        <v>1788</v>
      </c>
      <c r="D180" s="115" t="s">
        <v>18</v>
      </c>
      <c r="E180" s="123" t="s">
        <v>211</v>
      </c>
      <c r="F180" s="71">
        <v>11062610001</v>
      </c>
      <c r="G180" s="123" t="s">
        <v>24</v>
      </c>
      <c r="H180" s="124" t="s">
        <v>21</v>
      </c>
      <c r="I180" s="104">
        <v>0</v>
      </c>
      <c r="J180" s="117">
        <v>397.75</v>
      </c>
      <c r="K180" s="117">
        <v>0</v>
      </c>
      <c r="L180" s="117">
        <f>IF(Tabela1[[#This Row],[SALDO PARCIAL PENDENTE]]-Tabela1[[#This Row],[1QZ DE FEV 26]]&lt;0,0,Tabela1[[#This Row],[SALDO PARCIAL PENDENTE]]-Tabela1[[#This Row],[1QZ DE FEV 26]])</f>
        <v>397.75</v>
      </c>
      <c r="M180" s="68">
        <v>400</v>
      </c>
      <c r="N180" s="117">
        <v>2.25</v>
      </c>
      <c r="O180" s="72"/>
      <c r="P180" s="125">
        <f>Tabela1[[#This Row],[2QZ DE JAN 26]]-Tabela1[[#This Row],[SALDO PENDENTE FINAL]]-Tabela1[[#This Row],[SALDO CARTAO]]-Tabela1[[#This Row],[ADIANTAMENTO]]</f>
        <v>0</v>
      </c>
      <c r="Q180" s="126"/>
      <c r="R180" s="130">
        <f>IF(Tabela1[[#This Row],[CARGA PARCIAL]]&lt;0,0,Tabela1[[#This Row],[CARGA PARCIAL]])+Tabela1[[#This Row],[REEMBOLSO]]</f>
        <v>0</v>
      </c>
      <c r="S180" s="129" t="s">
        <v>22</v>
      </c>
      <c r="T180" s="72"/>
    </row>
    <row r="181" spans="2:20" x14ac:dyDescent="0.25">
      <c r="B181" s="121" t="s">
        <v>398</v>
      </c>
      <c r="C181" s="122" t="s">
        <v>399</v>
      </c>
      <c r="D181" s="115" t="s">
        <v>18</v>
      </c>
      <c r="E181" s="123" t="s">
        <v>360</v>
      </c>
      <c r="F181" s="71">
        <v>11080150001</v>
      </c>
      <c r="G181" s="127" t="s">
        <v>24</v>
      </c>
      <c r="H181" s="124" t="s">
        <v>21</v>
      </c>
      <c r="I181" s="104">
        <v>0</v>
      </c>
      <c r="J181" s="117">
        <v>374.71999999999753</v>
      </c>
      <c r="K181" s="117">
        <v>1494</v>
      </c>
      <c r="L181" s="117">
        <f>IF(Tabela1[[#This Row],[SALDO PARCIAL PENDENTE]]-Tabela1[[#This Row],[1QZ DE FEV 26]]&lt;0,0,Tabela1[[#This Row],[SALDO PARCIAL PENDENTE]]-Tabela1[[#This Row],[1QZ DE FEV 26]])</f>
        <v>0</v>
      </c>
      <c r="M181" s="68">
        <v>1500</v>
      </c>
      <c r="N181" s="117">
        <v>6</v>
      </c>
      <c r="O181" s="72"/>
      <c r="P181" s="125">
        <f>Tabela1[[#This Row],[2QZ DE JAN 26]]-Tabela1[[#This Row],[SALDO PENDENTE FINAL]]-Tabela1[[#This Row],[SALDO CARTAO]]-Tabela1[[#This Row],[ADIANTAMENTO]]</f>
        <v>1494</v>
      </c>
      <c r="Q181" s="126"/>
      <c r="R181" s="130">
        <f>IF(Tabela1[[#This Row],[CARGA PARCIAL]]&lt;0,0,Tabela1[[#This Row],[CARGA PARCIAL]])+Tabela1[[#This Row],[REEMBOLSO]]</f>
        <v>1494</v>
      </c>
      <c r="S181" s="129" t="s">
        <v>22</v>
      </c>
      <c r="T181" s="72"/>
    </row>
    <row r="182" spans="2:20" x14ac:dyDescent="0.25">
      <c r="B182" s="121" t="s">
        <v>172</v>
      </c>
      <c r="C182" s="122" t="s">
        <v>1673</v>
      </c>
      <c r="D182" s="115" t="s">
        <v>18</v>
      </c>
      <c r="E182" s="123" t="s">
        <v>113</v>
      </c>
      <c r="F182" s="71">
        <v>11061720001</v>
      </c>
      <c r="G182" s="123" t="s">
        <v>30</v>
      </c>
      <c r="H182" s="124" t="s">
        <v>31</v>
      </c>
      <c r="I182" s="104">
        <v>0</v>
      </c>
      <c r="J182" s="117">
        <v>373.39</v>
      </c>
      <c r="K182" s="117">
        <v>409.57999999999993</v>
      </c>
      <c r="L182" s="117">
        <f>IF(Tabela1[[#This Row],[SALDO PARCIAL PENDENTE]]-Tabela1[[#This Row],[1QZ DE FEV 26]]&lt;0,0,Tabela1[[#This Row],[SALDO PARCIAL PENDENTE]]-Tabela1[[#This Row],[1QZ DE FEV 26]])</f>
        <v>0</v>
      </c>
      <c r="M182" s="68">
        <v>600</v>
      </c>
      <c r="N182" s="117">
        <v>226.61</v>
      </c>
      <c r="O182" s="72"/>
      <c r="P182" s="125">
        <f>Tabela1[[#This Row],[2QZ DE JAN 26]]-Tabela1[[#This Row],[SALDO PENDENTE FINAL]]-Tabela1[[#This Row],[SALDO CARTAO]]-Tabela1[[#This Row],[ADIANTAMENTO]]</f>
        <v>373.39</v>
      </c>
      <c r="Q182" s="126"/>
      <c r="R182" s="130">
        <f>IF(Tabela1[[#This Row],[CARGA PARCIAL]]&lt;0,0,Tabela1[[#This Row],[CARGA PARCIAL]])+Tabela1[[#This Row],[REEMBOLSO]]</f>
        <v>373.39</v>
      </c>
      <c r="S182" s="129" t="s">
        <v>22</v>
      </c>
      <c r="T182" s="72"/>
    </row>
    <row r="183" spans="2:20" x14ac:dyDescent="0.25">
      <c r="B183" s="120" t="s">
        <v>711</v>
      </c>
      <c r="C183" s="114" t="s">
        <v>712</v>
      </c>
      <c r="D183" s="115" t="s">
        <v>18</v>
      </c>
      <c r="E183" s="115" t="s">
        <v>439</v>
      </c>
      <c r="F183" s="71">
        <v>11062280001</v>
      </c>
      <c r="G183" s="123" t="s">
        <v>65</v>
      </c>
      <c r="H183" s="116" t="s">
        <v>31</v>
      </c>
      <c r="I183" s="104">
        <v>0</v>
      </c>
      <c r="J183" s="117">
        <v>353.75999999999476</v>
      </c>
      <c r="K183" s="117">
        <v>869.31000000000131</v>
      </c>
      <c r="L183" s="117">
        <f>IF(Tabela1[[#This Row],[SALDO PARCIAL PENDENTE]]-Tabela1[[#This Row],[1QZ DE FEV 26]]&lt;0,0,Tabela1[[#This Row],[SALDO PARCIAL PENDENTE]]-Tabela1[[#This Row],[1QZ DE FEV 26]])</f>
        <v>0</v>
      </c>
      <c r="M183" s="68">
        <v>1500</v>
      </c>
      <c r="N183" s="117">
        <v>38.75</v>
      </c>
      <c r="O183" s="69"/>
      <c r="P183" s="118">
        <f>Tabela1[[#This Row],[2QZ DE JAN 26]]-Tabela1[[#This Row],[SALDO PENDENTE FINAL]]-Tabela1[[#This Row],[SALDO CARTAO]]-Tabela1[[#This Row],[ADIANTAMENTO]]</f>
        <v>1461.25</v>
      </c>
      <c r="Q183" s="119"/>
      <c r="R183" s="130">
        <f>IF(Tabela1[[#This Row],[CARGA PARCIAL]]&lt;0,0,Tabela1[[#This Row],[CARGA PARCIAL]])+Tabela1[[#This Row],[REEMBOLSO]]</f>
        <v>1461.25</v>
      </c>
      <c r="S183" s="129" t="s">
        <v>22</v>
      </c>
      <c r="T183" s="69"/>
    </row>
    <row r="184" spans="2:20" x14ac:dyDescent="0.25">
      <c r="B184" s="121" t="s">
        <v>313</v>
      </c>
      <c r="C184" s="122" t="s">
        <v>1685</v>
      </c>
      <c r="D184" s="115" t="s">
        <v>18</v>
      </c>
      <c r="E184" s="123" t="s">
        <v>38</v>
      </c>
      <c r="F184" s="71">
        <v>11040130001</v>
      </c>
      <c r="G184" s="127" t="s">
        <v>39</v>
      </c>
      <c r="H184" s="124" t="s">
        <v>31</v>
      </c>
      <c r="I184" s="104">
        <v>0</v>
      </c>
      <c r="J184" s="117">
        <v>350.00000000000045</v>
      </c>
      <c r="K184" s="117">
        <v>0</v>
      </c>
      <c r="L184" s="117">
        <f>IF(Tabela1[[#This Row],[SALDO PARCIAL PENDENTE]]-Tabela1[[#This Row],[1QZ DE FEV 26]]&lt;0,0,Tabela1[[#This Row],[SALDO PARCIAL PENDENTE]]-Tabela1[[#This Row],[1QZ DE FEV 26]])</f>
        <v>350.00000000000045</v>
      </c>
      <c r="M184" s="68">
        <v>120</v>
      </c>
      <c r="N184" s="117">
        <v>16</v>
      </c>
      <c r="O184" s="72"/>
      <c r="P184" s="125">
        <f>Tabela1[[#This Row],[2QZ DE JAN 26]]-Tabela1[[#This Row],[SALDO PENDENTE FINAL]]-Tabela1[[#This Row],[SALDO CARTAO]]-Tabela1[[#This Row],[ADIANTAMENTO]]</f>
        <v>-246.00000000000045</v>
      </c>
      <c r="Q184" s="126"/>
      <c r="R184" s="130">
        <f>IF(Tabela1[[#This Row],[CARGA PARCIAL]]&lt;0,0,Tabela1[[#This Row],[CARGA PARCIAL]])+Tabela1[[#This Row],[REEMBOLSO]]</f>
        <v>0</v>
      </c>
      <c r="S184" s="129" t="s">
        <v>22</v>
      </c>
      <c r="T184" s="72"/>
    </row>
    <row r="185" spans="2:20" x14ac:dyDescent="0.25">
      <c r="B185" s="121" t="s">
        <v>328</v>
      </c>
      <c r="C185" s="122" t="s">
        <v>1802</v>
      </c>
      <c r="D185" s="115" t="s">
        <v>18</v>
      </c>
      <c r="E185" s="123" t="s">
        <v>329</v>
      </c>
      <c r="F185" s="71">
        <v>11010420001</v>
      </c>
      <c r="G185" s="123" t="s">
        <v>65</v>
      </c>
      <c r="H185" s="124" t="s">
        <v>31</v>
      </c>
      <c r="I185" s="104">
        <v>0</v>
      </c>
      <c r="J185" s="117">
        <v>329</v>
      </c>
      <c r="K185" s="117">
        <v>0</v>
      </c>
      <c r="L185" s="117">
        <f>IF(Tabela1[[#This Row],[SALDO PARCIAL PENDENTE]]-Tabela1[[#This Row],[1QZ DE FEV 26]]&lt;0,0,Tabela1[[#This Row],[SALDO PARCIAL PENDENTE]]-Tabela1[[#This Row],[1QZ DE FEV 26]])</f>
        <v>329</v>
      </c>
      <c r="M185" s="68">
        <v>500</v>
      </c>
      <c r="N185" s="117">
        <v>171</v>
      </c>
      <c r="O185" s="72"/>
      <c r="P185" s="125">
        <f>Tabela1[[#This Row],[2QZ DE JAN 26]]-Tabela1[[#This Row],[SALDO PENDENTE FINAL]]-Tabela1[[#This Row],[SALDO CARTAO]]-Tabela1[[#This Row],[ADIANTAMENTO]]</f>
        <v>0</v>
      </c>
      <c r="Q185" s="126"/>
      <c r="R185" s="130">
        <f>IF(Tabela1[[#This Row],[CARGA PARCIAL]]&lt;0,0,Tabela1[[#This Row],[CARGA PARCIAL]])+Tabela1[[#This Row],[REEMBOLSO]]</f>
        <v>0</v>
      </c>
      <c r="S185" s="129" t="s">
        <v>22</v>
      </c>
      <c r="T185" s="72"/>
    </row>
    <row r="186" spans="2:20" x14ac:dyDescent="0.25">
      <c r="B186" s="121" t="s">
        <v>640</v>
      </c>
      <c r="C186" s="122" t="s">
        <v>641</v>
      </c>
      <c r="D186" s="115" t="s">
        <v>18</v>
      </c>
      <c r="E186" s="123" t="s">
        <v>49</v>
      </c>
      <c r="F186" s="71">
        <v>11040160001</v>
      </c>
      <c r="G186" s="123" t="s">
        <v>27</v>
      </c>
      <c r="H186" s="124" t="s">
        <v>137</v>
      </c>
      <c r="I186" s="104">
        <v>0</v>
      </c>
      <c r="J186" s="117">
        <v>323.29000000000269</v>
      </c>
      <c r="K186" s="117">
        <v>0</v>
      </c>
      <c r="L186" s="117">
        <f>IF(Tabela1[[#This Row],[SALDO PARCIAL PENDENTE]]-Tabela1[[#This Row],[1QZ DE FEV 26]]&lt;0,0,Tabela1[[#This Row],[SALDO PARCIAL PENDENTE]]-Tabela1[[#This Row],[1QZ DE FEV 26]])</f>
        <v>323.29000000000269</v>
      </c>
      <c r="M186" s="68">
        <v>800</v>
      </c>
      <c r="N186" s="117">
        <v>513</v>
      </c>
      <c r="O186" s="72"/>
      <c r="P186" s="125">
        <f>Tabela1[[#This Row],[2QZ DE JAN 26]]-Tabela1[[#This Row],[SALDO PENDENTE FINAL]]-Tabela1[[#This Row],[SALDO CARTAO]]-Tabela1[[#This Row],[ADIANTAMENTO]]</f>
        <v>-36.290000000002692</v>
      </c>
      <c r="Q186" s="126"/>
      <c r="R186" s="130">
        <f>IF(Tabela1[[#This Row],[CARGA PARCIAL]]&lt;0,0,Tabela1[[#This Row],[CARGA PARCIAL]])+Tabela1[[#This Row],[REEMBOLSO]]</f>
        <v>0</v>
      </c>
      <c r="S186" s="129" t="s">
        <v>22</v>
      </c>
      <c r="T186" s="72"/>
    </row>
    <row r="187" spans="2:20" x14ac:dyDescent="0.25">
      <c r="B187" s="120" t="s">
        <v>790</v>
      </c>
      <c r="C187" s="114" t="s">
        <v>791</v>
      </c>
      <c r="D187" s="115" t="s">
        <v>18</v>
      </c>
      <c r="E187" s="115" t="s">
        <v>157</v>
      </c>
      <c r="F187" s="71">
        <v>11040040001</v>
      </c>
      <c r="G187" s="123" t="s">
        <v>20</v>
      </c>
      <c r="H187" s="116" t="s">
        <v>21</v>
      </c>
      <c r="I187" s="104">
        <v>0</v>
      </c>
      <c r="J187" s="117">
        <v>323.1799999999991</v>
      </c>
      <c r="K187" s="117">
        <v>452.26000000000113</v>
      </c>
      <c r="L187" s="117">
        <f>IF(Tabela1[[#This Row],[SALDO PARCIAL PENDENTE]]-Tabela1[[#This Row],[1QZ DE FEV 26]]&lt;0,0,Tabela1[[#This Row],[SALDO PARCIAL PENDENTE]]-Tabela1[[#This Row],[1QZ DE FEV 26]])</f>
        <v>0</v>
      </c>
      <c r="M187" s="68">
        <v>700</v>
      </c>
      <c r="N187" s="117">
        <v>476.82</v>
      </c>
      <c r="O187" s="69"/>
      <c r="P187" s="118">
        <f>Tabela1[[#This Row],[2QZ DE JAN 26]]-Tabela1[[#This Row],[SALDO PENDENTE FINAL]]-Tabela1[[#This Row],[SALDO CARTAO]]-Tabela1[[#This Row],[ADIANTAMENTO]]</f>
        <v>223.18</v>
      </c>
      <c r="Q187" s="119"/>
      <c r="R187" s="130">
        <f>IF(Tabela1[[#This Row],[CARGA PARCIAL]]&lt;0,0,Tabela1[[#This Row],[CARGA PARCIAL]])+Tabela1[[#This Row],[REEMBOLSO]]</f>
        <v>223.18</v>
      </c>
      <c r="S187" s="129" t="s">
        <v>1823</v>
      </c>
      <c r="T187" s="69"/>
    </row>
    <row r="188" spans="2:20" x14ac:dyDescent="0.25">
      <c r="B188" s="120" t="s">
        <v>107</v>
      </c>
      <c r="C188" s="114" t="s">
        <v>1645</v>
      </c>
      <c r="D188" s="115" t="s">
        <v>18</v>
      </c>
      <c r="E188" s="115" t="s">
        <v>108</v>
      </c>
      <c r="F188" s="71">
        <v>11110330001</v>
      </c>
      <c r="G188" s="127" t="s">
        <v>27</v>
      </c>
      <c r="H188" s="116" t="s">
        <v>137</v>
      </c>
      <c r="I188" s="104">
        <v>0</v>
      </c>
      <c r="J188" s="117">
        <v>323</v>
      </c>
      <c r="K188" s="117">
        <v>0</v>
      </c>
      <c r="L188" s="117">
        <f>IF(Tabela1[[#This Row],[SALDO PARCIAL PENDENTE]]-Tabela1[[#This Row],[1QZ DE FEV 26]]&lt;0,0,Tabela1[[#This Row],[SALDO PARCIAL PENDENTE]]-Tabela1[[#This Row],[1QZ DE FEV 26]])</f>
        <v>323</v>
      </c>
      <c r="M188" s="68">
        <v>300</v>
      </c>
      <c r="N188" s="117">
        <v>0</v>
      </c>
      <c r="O188" s="69"/>
      <c r="P188" s="118">
        <f>Tabela1[[#This Row],[2QZ DE JAN 26]]-Tabela1[[#This Row],[SALDO PENDENTE FINAL]]-Tabela1[[#This Row],[SALDO CARTAO]]-Tabela1[[#This Row],[ADIANTAMENTO]]</f>
        <v>-23</v>
      </c>
      <c r="Q188" s="119"/>
      <c r="R188" s="130">
        <f>IF(Tabela1[[#This Row],[CARGA PARCIAL]]&lt;0,0,Tabela1[[#This Row],[CARGA PARCIAL]])+Tabela1[[#This Row],[REEMBOLSO]]</f>
        <v>0</v>
      </c>
      <c r="S188" s="129" t="s">
        <v>22</v>
      </c>
      <c r="T188" s="69"/>
    </row>
    <row r="189" spans="2:20" x14ac:dyDescent="0.25">
      <c r="B189" s="120" t="s">
        <v>226</v>
      </c>
      <c r="C189" s="114" t="s">
        <v>1680</v>
      </c>
      <c r="D189" s="115" t="s">
        <v>18</v>
      </c>
      <c r="E189" s="115" t="s">
        <v>38</v>
      </c>
      <c r="F189" s="71">
        <v>11040130001</v>
      </c>
      <c r="G189" s="127" t="s">
        <v>39</v>
      </c>
      <c r="H189" s="116" t="s">
        <v>31</v>
      </c>
      <c r="I189" s="104">
        <v>0</v>
      </c>
      <c r="J189" s="117">
        <v>310.00000000000017</v>
      </c>
      <c r="K189" s="117">
        <v>0</v>
      </c>
      <c r="L189" s="117">
        <f>IF(Tabela1[[#This Row],[SALDO PARCIAL PENDENTE]]-Tabela1[[#This Row],[1QZ DE FEV 26]]&lt;0,0,Tabela1[[#This Row],[SALDO PARCIAL PENDENTE]]-Tabela1[[#This Row],[1QZ DE FEV 26]])</f>
        <v>310.00000000000017</v>
      </c>
      <c r="M189" s="68">
        <v>120</v>
      </c>
      <c r="N189" s="117">
        <v>0.16</v>
      </c>
      <c r="O189" s="69"/>
      <c r="P189" s="118">
        <f>Tabela1[[#This Row],[2QZ DE JAN 26]]-Tabela1[[#This Row],[SALDO PENDENTE FINAL]]-Tabela1[[#This Row],[SALDO CARTAO]]-Tabela1[[#This Row],[ADIANTAMENTO]]</f>
        <v>-190.16000000000017</v>
      </c>
      <c r="Q189" s="119"/>
      <c r="R189" s="130">
        <f>IF(Tabela1[[#This Row],[CARGA PARCIAL]]&lt;0,0,Tabela1[[#This Row],[CARGA PARCIAL]])+Tabela1[[#This Row],[REEMBOLSO]]</f>
        <v>0</v>
      </c>
      <c r="S189" s="129" t="s">
        <v>1823</v>
      </c>
      <c r="T189" s="69"/>
    </row>
    <row r="190" spans="2:20" x14ac:dyDescent="0.25">
      <c r="B190" s="121" t="s">
        <v>189</v>
      </c>
      <c r="C190" s="122" t="s">
        <v>1518</v>
      </c>
      <c r="D190" s="115" t="s">
        <v>18</v>
      </c>
      <c r="E190" s="123" t="s">
        <v>190</v>
      </c>
      <c r="F190" s="71">
        <v>11061200001</v>
      </c>
      <c r="G190" s="127" t="s">
        <v>30</v>
      </c>
      <c r="H190" s="124" t="s">
        <v>31</v>
      </c>
      <c r="I190" s="104">
        <v>0</v>
      </c>
      <c r="J190" s="117">
        <v>305.45000000000084</v>
      </c>
      <c r="K190" s="117">
        <v>1415.6500000000008</v>
      </c>
      <c r="L190" s="117">
        <f>IF(Tabela1[[#This Row],[SALDO PARCIAL PENDENTE]]-Tabela1[[#This Row],[1QZ DE FEV 26]]&lt;0,0,Tabela1[[#This Row],[SALDO PARCIAL PENDENTE]]-Tabela1[[#This Row],[1QZ DE FEV 26]])</f>
        <v>0</v>
      </c>
      <c r="M190" s="68">
        <v>410</v>
      </c>
      <c r="N190" s="117">
        <v>455.65</v>
      </c>
      <c r="O190" s="72"/>
      <c r="P190" s="125">
        <f>Tabela1[[#This Row],[2QZ DE JAN 26]]-Tabela1[[#This Row],[SALDO PENDENTE FINAL]]-Tabela1[[#This Row],[SALDO CARTAO]]-Tabela1[[#This Row],[ADIANTAMENTO]]</f>
        <v>-45.649999999999977</v>
      </c>
      <c r="Q190" s="126"/>
      <c r="R190" s="130">
        <f>IF(Tabela1[[#This Row],[CARGA PARCIAL]]&lt;0,0,Tabela1[[#This Row],[CARGA PARCIAL]])+Tabela1[[#This Row],[REEMBOLSO]]</f>
        <v>0</v>
      </c>
      <c r="S190" s="129" t="s">
        <v>22</v>
      </c>
      <c r="T190" s="72"/>
    </row>
    <row r="191" spans="2:20" x14ac:dyDescent="0.25">
      <c r="B191" s="120" t="s">
        <v>100</v>
      </c>
      <c r="C191" s="114" t="s">
        <v>1506</v>
      </c>
      <c r="D191" s="115" t="s">
        <v>18</v>
      </c>
      <c r="E191" s="115" t="s">
        <v>101</v>
      </c>
      <c r="F191" s="71">
        <v>11030610001</v>
      </c>
      <c r="G191" s="123" t="s">
        <v>34</v>
      </c>
      <c r="H191" s="116" t="s">
        <v>31</v>
      </c>
      <c r="I191" s="104">
        <v>0</v>
      </c>
      <c r="J191" s="117">
        <v>299.75999999995577</v>
      </c>
      <c r="K191" s="117">
        <v>3668.13</v>
      </c>
      <c r="L191" s="117">
        <f>IF(Tabela1[[#This Row],[SALDO PARCIAL PENDENTE]]-Tabela1[[#This Row],[1QZ DE FEV 26]]&lt;0,0,Tabela1[[#This Row],[SALDO PARCIAL PENDENTE]]-Tabela1[[#This Row],[1QZ DE FEV 26]])</f>
        <v>0</v>
      </c>
      <c r="M191" s="68">
        <v>2800</v>
      </c>
      <c r="N191" s="117">
        <v>9.1300000000000008</v>
      </c>
      <c r="O191" s="69"/>
      <c r="P191" s="118">
        <f>Tabela1[[#This Row],[2QZ DE JAN 26]]-Tabela1[[#This Row],[SALDO PENDENTE FINAL]]-Tabela1[[#This Row],[SALDO CARTAO]]-Tabela1[[#This Row],[ADIANTAMENTO]]</f>
        <v>2790.87</v>
      </c>
      <c r="Q191" s="119"/>
      <c r="R191" s="130">
        <f>IF(Tabela1[[#This Row],[CARGA PARCIAL]]&lt;0,0,Tabela1[[#This Row],[CARGA PARCIAL]])+Tabela1[[#This Row],[REEMBOLSO]]</f>
        <v>2790.87</v>
      </c>
      <c r="S191" s="129" t="s">
        <v>22</v>
      </c>
      <c r="T191" s="69"/>
    </row>
    <row r="192" spans="2:20" x14ac:dyDescent="0.25">
      <c r="B192" s="121" t="s">
        <v>270</v>
      </c>
      <c r="C192" s="122" t="s">
        <v>1682</v>
      </c>
      <c r="D192" s="115" t="s">
        <v>18</v>
      </c>
      <c r="E192" s="123" t="s">
        <v>38</v>
      </c>
      <c r="F192" s="71">
        <v>11040130001</v>
      </c>
      <c r="G192" s="127" t="s">
        <v>39</v>
      </c>
      <c r="H192" s="124" t="s">
        <v>31</v>
      </c>
      <c r="I192" s="104">
        <v>0</v>
      </c>
      <c r="J192" s="117">
        <v>299.2</v>
      </c>
      <c r="K192" s="117">
        <v>0</v>
      </c>
      <c r="L192" s="117">
        <f>IF(Tabela1[[#This Row],[SALDO PARCIAL PENDENTE]]-Tabela1[[#This Row],[1QZ DE FEV 26]]&lt;0,0,Tabela1[[#This Row],[SALDO PARCIAL PENDENTE]]-Tabela1[[#This Row],[1QZ DE FEV 26]])</f>
        <v>299.2</v>
      </c>
      <c r="M192" s="68">
        <v>160</v>
      </c>
      <c r="N192" s="117">
        <v>26.2</v>
      </c>
      <c r="O192" s="72"/>
      <c r="P192" s="125">
        <f>Tabela1[[#This Row],[2QZ DE JAN 26]]-Tabela1[[#This Row],[SALDO PENDENTE FINAL]]-Tabela1[[#This Row],[SALDO CARTAO]]-Tabela1[[#This Row],[ADIANTAMENTO]]</f>
        <v>-165.39999999999998</v>
      </c>
      <c r="Q192" s="126"/>
      <c r="R192" s="130">
        <f>IF(Tabela1[[#This Row],[CARGA PARCIAL]]&lt;0,0,Tabela1[[#This Row],[CARGA PARCIAL]])+Tabela1[[#This Row],[REEMBOLSO]]</f>
        <v>0</v>
      </c>
      <c r="S192" s="129" t="s">
        <v>22</v>
      </c>
      <c r="T192" s="72"/>
    </row>
    <row r="193" spans="2:20" x14ac:dyDescent="0.25">
      <c r="B193" s="121" t="s">
        <v>380</v>
      </c>
      <c r="C193" s="122" t="s">
        <v>1697</v>
      </c>
      <c r="D193" s="115" t="s">
        <v>18</v>
      </c>
      <c r="E193" s="123" t="s">
        <v>381</v>
      </c>
      <c r="F193" s="71">
        <v>11030830001</v>
      </c>
      <c r="G193" s="123" t="s">
        <v>65</v>
      </c>
      <c r="H193" s="124" t="s">
        <v>31</v>
      </c>
      <c r="I193" s="104">
        <v>0</v>
      </c>
      <c r="J193" s="117">
        <v>280.81999999999272</v>
      </c>
      <c r="K193" s="117">
        <v>3527.23</v>
      </c>
      <c r="L193" s="117">
        <f>IF(Tabela1[[#This Row],[SALDO PARCIAL PENDENTE]]-Tabela1[[#This Row],[1QZ DE FEV 26]]&lt;0,0,Tabela1[[#This Row],[SALDO PARCIAL PENDENTE]]-Tabela1[[#This Row],[1QZ DE FEV 26]])</f>
        <v>0</v>
      </c>
      <c r="M193" s="68">
        <v>2000</v>
      </c>
      <c r="N193" s="117">
        <v>87.93</v>
      </c>
      <c r="O193" s="72"/>
      <c r="P193" s="125">
        <f>Tabela1[[#This Row],[2QZ DE JAN 26]]-Tabela1[[#This Row],[SALDO PENDENTE FINAL]]-Tabela1[[#This Row],[SALDO CARTAO]]-Tabela1[[#This Row],[ADIANTAMENTO]]</f>
        <v>1912.07</v>
      </c>
      <c r="Q193" s="126"/>
      <c r="R193" s="130">
        <f>IF(Tabela1[[#This Row],[CARGA PARCIAL]]&lt;0,0,Tabela1[[#This Row],[CARGA PARCIAL]])+Tabela1[[#This Row],[REEMBOLSO]]</f>
        <v>1912.07</v>
      </c>
      <c r="S193" s="129" t="s">
        <v>22</v>
      </c>
      <c r="T193" s="72"/>
    </row>
    <row r="194" spans="2:20" x14ac:dyDescent="0.25">
      <c r="B194" s="121" t="s">
        <v>374</v>
      </c>
      <c r="C194" s="122" t="s">
        <v>1696</v>
      </c>
      <c r="D194" s="115" t="s">
        <v>18</v>
      </c>
      <c r="E194" s="123" t="s">
        <v>43</v>
      </c>
      <c r="F194" s="71">
        <v>11030690001</v>
      </c>
      <c r="G194" s="123" t="s">
        <v>30</v>
      </c>
      <c r="H194" s="124" t="s">
        <v>31</v>
      </c>
      <c r="I194" s="104">
        <v>0</v>
      </c>
      <c r="J194" s="117">
        <v>271.20000000000005</v>
      </c>
      <c r="K194" s="117">
        <v>0</v>
      </c>
      <c r="L194" s="117">
        <f>IF(Tabela1[[#This Row],[SALDO PARCIAL PENDENTE]]-Tabela1[[#This Row],[1QZ DE FEV 26]]&lt;0,0,Tabela1[[#This Row],[SALDO PARCIAL PENDENTE]]-Tabela1[[#This Row],[1QZ DE FEV 26]])</f>
        <v>271.20000000000005</v>
      </c>
      <c r="M194" s="68">
        <v>160</v>
      </c>
      <c r="N194" s="117">
        <v>0</v>
      </c>
      <c r="O194" s="72"/>
      <c r="P194" s="125">
        <f>Tabela1[[#This Row],[2QZ DE JAN 26]]-Tabela1[[#This Row],[SALDO PENDENTE FINAL]]-Tabela1[[#This Row],[SALDO CARTAO]]-Tabela1[[#This Row],[ADIANTAMENTO]]</f>
        <v>-111.20000000000005</v>
      </c>
      <c r="Q194" s="126"/>
      <c r="R194" s="130">
        <f>IF(Tabela1[[#This Row],[CARGA PARCIAL]]&lt;0,0,Tabela1[[#This Row],[CARGA PARCIAL]])+Tabela1[[#This Row],[REEMBOLSO]]</f>
        <v>0</v>
      </c>
      <c r="S194" s="129" t="s">
        <v>22</v>
      </c>
      <c r="T194" s="72"/>
    </row>
    <row r="195" spans="2:20" x14ac:dyDescent="0.25">
      <c r="B195" s="121" t="s">
        <v>318</v>
      </c>
      <c r="C195" s="122" t="s">
        <v>319</v>
      </c>
      <c r="D195" s="115" t="s">
        <v>18</v>
      </c>
      <c r="E195" s="123" t="s">
        <v>320</v>
      </c>
      <c r="F195" s="71">
        <v>11010360001</v>
      </c>
      <c r="G195" s="123" t="s">
        <v>24</v>
      </c>
      <c r="H195" s="124" t="s">
        <v>21</v>
      </c>
      <c r="I195" s="104">
        <v>0</v>
      </c>
      <c r="J195" s="117">
        <v>271.01000000000067</v>
      </c>
      <c r="K195" s="117">
        <v>0</v>
      </c>
      <c r="L195" s="117">
        <f>IF(Tabela1[[#This Row],[SALDO PARCIAL PENDENTE]]-Tabela1[[#This Row],[1QZ DE FEV 26]]&lt;0,0,Tabela1[[#This Row],[SALDO PARCIAL PENDENTE]]-Tabela1[[#This Row],[1QZ DE FEV 26]])</f>
        <v>271.01000000000067</v>
      </c>
      <c r="M195" s="68">
        <v>250</v>
      </c>
      <c r="N195" s="117">
        <v>3.27</v>
      </c>
      <c r="O195" s="72"/>
      <c r="P195" s="125">
        <f>Tabela1[[#This Row],[2QZ DE JAN 26]]-Tabela1[[#This Row],[SALDO PENDENTE FINAL]]-Tabela1[[#This Row],[SALDO CARTAO]]-Tabela1[[#This Row],[ADIANTAMENTO]]</f>
        <v>-24.280000000000673</v>
      </c>
      <c r="Q195" s="126"/>
      <c r="R195" s="130">
        <f>IF(Tabela1[[#This Row],[CARGA PARCIAL]]&lt;0,0,Tabela1[[#This Row],[CARGA PARCIAL]])+Tabela1[[#This Row],[REEMBOLSO]]</f>
        <v>0</v>
      </c>
      <c r="S195" s="129" t="s">
        <v>22</v>
      </c>
      <c r="T195" s="72"/>
    </row>
    <row r="196" spans="2:20" x14ac:dyDescent="0.25">
      <c r="B196" s="88" t="s">
        <v>37</v>
      </c>
      <c r="C196" s="67" t="s">
        <v>1657</v>
      </c>
      <c r="D196" s="115" t="s">
        <v>18</v>
      </c>
      <c r="E196" s="67" t="s">
        <v>38</v>
      </c>
      <c r="F196" s="71">
        <v>11040130001</v>
      </c>
      <c r="G196" s="123" t="s">
        <v>39</v>
      </c>
      <c r="H196" s="67" t="s">
        <v>31</v>
      </c>
      <c r="I196" s="104">
        <v>0</v>
      </c>
      <c r="J196" s="117">
        <v>267.32999999999993</v>
      </c>
      <c r="K196" s="117">
        <v>0</v>
      </c>
      <c r="L196" s="117">
        <f>IF(Tabela1[[#This Row],[SALDO PARCIAL PENDENTE]]-Tabela1[[#This Row],[1QZ DE FEV 26]]&lt;0,0,Tabela1[[#This Row],[SALDO PARCIAL PENDENTE]]-Tabela1[[#This Row],[1QZ DE FEV 26]])</f>
        <v>267.32999999999993</v>
      </c>
      <c r="M196" s="68">
        <v>160</v>
      </c>
      <c r="N196" s="117">
        <v>0</v>
      </c>
      <c r="O196" s="69"/>
      <c r="P196" s="69">
        <f>Tabela1[[#This Row],[2QZ DE JAN 26]]-Tabela1[[#This Row],[SALDO PENDENTE FINAL]]-Tabela1[[#This Row],[SALDO CARTAO]]-Tabela1[[#This Row],[ADIANTAMENTO]]</f>
        <v>-107.32999999999993</v>
      </c>
      <c r="Q196" s="119"/>
      <c r="R196" s="130">
        <f>IF(Tabela1[[#This Row],[CARGA PARCIAL]]&lt;0,0,Tabela1[[#This Row],[CARGA PARCIAL]])+Tabela1[[#This Row],[REEMBOLSO]]</f>
        <v>0</v>
      </c>
      <c r="S196" s="129" t="s">
        <v>22</v>
      </c>
      <c r="T196" s="69"/>
    </row>
    <row r="197" spans="2:20" x14ac:dyDescent="0.25">
      <c r="B197" s="120" t="s">
        <v>229</v>
      </c>
      <c r="C197" s="114" t="s">
        <v>230</v>
      </c>
      <c r="D197" s="115" t="s">
        <v>18</v>
      </c>
      <c r="E197" s="115" t="s">
        <v>71</v>
      </c>
      <c r="F197" s="71">
        <v>11061810001</v>
      </c>
      <c r="G197" s="127" t="s">
        <v>34</v>
      </c>
      <c r="H197" s="116" t="s">
        <v>31</v>
      </c>
      <c r="I197" s="104">
        <v>0</v>
      </c>
      <c r="J197" s="117">
        <v>266.69999999999987</v>
      </c>
      <c r="K197" s="117">
        <v>73.300000000000068</v>
      </c>
      <c r="L197" s="117">
        <f>IF(Tabela1[[#This Row],[SALDO PARCIAL PENDENTE]]-Tabela1[[#This Row],[1QZ DE FEV 26]]&lt;0,0,Tabela1[[#This Row],[SALDO PARCIAL PENDENTE]]-Tabela1[[#This Row],[1QZ DE FEV 26]])</f>
        <v>193.39999999999981</v>
      </c>
      <c r="M197" s="68">
        <v>200</v>
      </c>
      <c r="N197" s="117">
        <v>69.3</v>
      </c>
      <c r="O197" s="69"/>
      <c r="P197" s="118">
        <f>Tabela1[[#This Row],[2QZ DE JAN 26]]-Tabela1[[#This Row],[SALDO PENDENTE FINAL]]-Tabela1[[#This Row],[SALDO CARTAO]]-Tabela1[[#This Row],[ADIANTAMENTO]]</f>
        <v>-62.699999999999804</v>
      </c>
      <c r="Q197" s="119"/>
      <c r="R197" s="130">
        <f>IF(Tabela1[[#This Row],[CARGA PARCIAL]]&lt;0,0,Tabela1[[#This Row],[CARGA PARCIAL]])+Tabela1[[#This Row],[REEMBOLSO]]</f>
        <v>0</v>
      </c>
      <c r="S197" s="129" t="s">
        <v>22</v>
      </c>
      <c r="T197" s="69"/>
    </row>
    <row r="198" spans="2:20" x14ac:dyDescent="0.25">
      <c r="B198" s="120" t="s">
        <v>159</v>
      </c>
      <c r="C198" s="114" t="s">
        <v>1779</v>
      </c>
      <c r="D198" s="115" t="s">
        <v>18</v>
      </c>
      <c r="E198" s="115" t="s">
        <v>160</v>
      </c>
      <c r="F198" s="71">
        <v>11062450001</v>
      </c>
      <c r="G198" s="127" t="s">
        <v>27</v>
      </c>
      <c r="H198" s="116" t="s">
        <v>137</v>
      </c>
      <c r="I198" s="104">
        <v>0</v>
      </c>
      <c r="J198" s="117">
        <v>260.2</v>
      </c>
      <c r="K198" s="117">
        <v>189.79999999999995</v>
      </c>
      <c r="L198" s="117">
        <f>IF(Tabela1[[#This Row],[SALDO PARCIAL PENDENTE]]-Tabela1[[#This Row],[1QZ DE FEV 26]]&lt;0,0,Tabela1[[#This Row],[SALDO PARCIAL PENDENTE]]-Tabela1[[#This Row],[1QZ DE FEV 26]])</f>
        <v>70.400000000000034</v>
      </c>
      <c r="M198" s="68">
        <v>750</v>
      </c>
      <c r="N198" s="117">
        <v>259.8</v>
      </c>
      <c r="O198" s="69"/>
      <c r="P198" s="118">
        <f>Tabela1[[#This Row],[2QZ DE JAN 26]]-Tabela1[[#This Row],[SALDO PENDENTE FINAL]]-Tabela1[[#This Row],[SALDO CARTAO]]-Tabela1[[#This Row],[ADIANTAMENTO]]</f>
        <v>419.7999999999999</v>
      </c>
      <c r="Q198" s="119"/>
      <c r="R198" s="130">
        <f>IF(Tabela1[[#This Row],[CARGA PARCIAL]]&lt;0,0,Tabela1[[#This Row],[CARGA PARCIAL]])+Tabela1[[#This Row],[REEMBOLSO]]</f>
        <v>419.7999999999999</v>
      </c>
      <c r="S198" s="129" t="s">
        <v>22</v>
      </c>
      <c r="T198" s="69"/>
    </row>
    <row r="199" spans="2:20" x14ac:dyDescent="0.25">
      <c r="B199" s="120" t="s">
        <v>684</v>
      </c>
      <c r="C199" s="114" t="s">
        <v>685</v>
      </c>
      <c r="D199" s="115" t="s">
        <v>18</v>
      </c>
      <c r="E199" s="115" t="s">
        <v>686</v>
      </c>
      <c r="F199" s="71">
        <v>11010300001</v>
      </c>
      <c r="G199" s="127" t="s">
        <v>30</v>
      </c>
      <c r="H199" s="116" t="s">
        <v>31</v>
      </c>
      <c r="I199" s="104">
        <v>0</v>
      </c>
      <c r="J199" s="117">
        <v>244.0000000000054</v>
      </c>
      <c r="K199" s="117">
        <v>1171.5299999999952</v>
      </c>
      <c r="L199" s="117">
        <f>IF(Tabela1[[#This Row],[SALDO PARCIAL PENDENTE]]-Tabela1[[#This Row],[1QZ DE FEV 26]]&lt;0,0,Tabela1[[#This Row],[SALDO PARCIAL PENDENTE]]-Tabela1[[#This Row],[1QZ DE FEV 26]])</f>
        <v>0</v>
      </c>
      <c r="M199" s="68">
        <v>1500</v>
      </c>
      <c r="N199" s="117">
        <v>33.58</v>
      </c>
      <c r="O199" s="69"/>
      <c r="P199" s="118">
        <f>Tabela1[[#This Row],[2QZ DE JAN 26]]-Tabela1[[#This Row],[SALDO PENDENTE FINAL]]-Tabela1[[#This Row],[SALDO CARTAO]]-Tabela1[[#This Row],[ADIANTAMENTO]]</f>
        <v>1466.42</v>
      </c>
      <c r="Q199" s="119"/>
      <c r="R199" s="130">
        <f>IF(Tabela1[[#This Row],[CARGA PARCIAL]]&lt;0,0,Tabela1[[#This Row],[CARGA PARCIAL]])+Tabela1[[#This Row],[REEMBOLSO]]</f>
        <v>1466.42</v>
      </c>
      <c r="S199" s="129" t="s">
        <v>22</v>
      </c>
      <c r="T199" s="69"/>
    </row>
    <row r="200" spans="2:20" x14ac:dyDescent="0.25">
      <c r="B200" s="120" t="s">
        <v>174</v>
      </c>
      <c r="C200" s="114" t="s">
        <v>175</v>
      </c>
      <c r="D200" s="115" t="s">
        <v>18</v>
      </c>
      <c r="E200" s="115" t="s">
        <v>73</v>
      </c>
      <c r="F200" s="71">
        <v>11040140001</v>
      </c>
      <c r="G200" s="127" t="s">
        <v>39</v>
      </c>
      <c r="H200" s="116" t="s">
        <v>31</v>
      </c>
      <c r="I200" s="104">
        <v>0</v>
      </c>
      <c r="J200" s="117">
        <v>243.44999999999993</v>
      </c>
      <c r="K200" s="117">
        <v>55.000000000000071</v>
      </c>
      <c r="L200" s="117">
        <f>IF(Tabela1[[#This Row],[SALDO PARCIAL PENDENTE]]-Tabela1[[#This Row],[1QZ DE FEV 26]]&lt;0,0,Tabela1[[#This Row],[SALDO PARCIAL PENDENTE]]-Tabela1[[#This Row],[1QZ DE FEV 26]])</f>
        <v>188.44999999999987</v>
      </c>
      <c r="M200" s="68">
        <v>300</v>
      </c>
      <c r="N200" s="117">
        <v>56.55</v>
      </c>
      <c r="O200" s="69"/>
      <c r="P200" s="118">
        <f>Tabela1[[#This Row],[2QZ DE JAN 26]]-Tabela1[[#This Row],[SALDO PENDENTE FINAL]]-Tabela1[[#This Row],[SALDO CARTAO]]-Tabela1[[#This Row],[ADIANTAMENTO]]</f>
        <v>55.000000000000128</v>
      </c>
      <c r="Q200" s="119"/>
      <c r="R200" s="130">
        <f>IF(Tabela1[[#This Row],[CARGA PARCIAL]]&lt;0,0,Tabela1[[#This Row],[CARGA PARCIAL]])+Tabela1[[#This Row],[REEMBOLSO]]</f>
        <v>55.000000000000128</v>
      </c>
      <c r="S200" s="129" t="s">
        <v>22</v>
      </c>
      <c r="T200" s="69"/>
    </row>
    <row r="201" spans="2:20" x14ac:dyDescent="0.25">
      <c r="B201" s="121" t="s">
        <v>171</v>
      </c>
      <c r="C201" s="122" t="s">
        <v>1672</v>
      </c>
      <c r="D201" s="115" t="s">
        <v>18</v>
      </c>
      <c r="E201" s="123" t="s">
        <v>55</v>
      </c>
      <c r="F201" s="71">
        <v>11062050001</v>
      </c>
      <c r="G201" s="127" t="s">
        <v>39</v>
      </c>
      <c r="H201" s="124" t="s">
        <v>31</v>
      </c>
      <c r="I201" s="104">
        <v>0</v>
      </c>
      <c r="J201" s="117">
        <v>235.08000000000047</v>
      </c>
      <c r="K201" s="117">
        <v>48.400000000000105</v>
      </c>
      <c r="L201" s="117">
        <f>IF(Tabela1[[#This Row],[SALDO PARCIAL PENDENTE]]-Tabela1[[#This Row],[1QZ DE FEV 26]]&lt;0,0,Tabela1[[#This Row],[SALDO PARCIAL PENDENTE]]-Tabela1[[#This Row],[1QZ DE FEV 26]])</f>
        <v>186.68000000000035</v>
      </c>
      <c r="M201" s="68">
        <v>240</v>
      </c>
      <c r="N201" s="117">
        <v>4.92</v>
      </c>
      <c r="O201" s="72"/>
      <c r="P201" s="125">
        <f>Tabela1[[#This Row],[2QZ DE JAN 26]]-Tabela1[[#This Row],[SALDO PENDENTE FINAL]]-Tabela1[[#This Row],[SALDO CARTAO]]-Tabela1[[#This Row],[ADIANTAMENTO]]</f>
        <v>48.39999999999965</v>
      </c>
      <c r="Q201" s="126"/>
      <c r="R201" s="130">
        <f>IF(Tabela1[[#This Row],[CARGA PARCIAL]]&lt;0,0,Tabela1[[#This Row],[CARGA PARCIAL]])+Tabela1[[#This Row],[REEMBOLSO]]</f>
        <v>48.39999999999965</v>
      </c>
      <c r="S201" s="129" t="s">
        <v>22</v>
      </c>
      <c r="T201" s="72"/>
    </row>
    <row r="202" spans="2:20" x14ac:dyDescent="0.25">
      <c r="B202" s="120" t="s">
        <v>653</v>
      </c>
      <c r="C202" s="114" t="s">
        <v>654</v>
      </c>
      <c r="D202" s="115" t="s">
        <v>18</v>
      </c>
      <c r="E202" s="115" t="s">
        <v>38</v>
      </c>
      <c r="F202" s="71">
        <v>11040130001</v>
      </c>
      <c r="G202" s="123" t="s">
        <v>39</v>
      </c>
      <c r="H202" s="116" t="s">
        <v>31</v>
      </c>
      <c r="I202" s="104">
        <v>0</v>
      </c>
      <c r="J202" s="117">
        <v>234.94</v>
      </c>
      <c r="K202" s="117">
        <v>0</v>
      </c>
      <c r="L202" s="117">
        <f>IF(Tabela1[[#This Row],[SALDO PARCIAL PENDENTE]]-Tabela1[[#This Row],[1QZ DE FEV 26]]&lt;0,0,Tabela1[[#This Row],[SALDO PARCIAL PENDENTE]]-Tabela1[[#This Row],[1QZ DE FEV 26]])</f>
        <v>234.94</v>
      </c>
      <c r="M202" s="68">
        <v>120</v>
      </c>
      <c r="N202" s="117">
        <v>0.06</v>
      </c>
      <c r="O202" s="69"/>
      <c r="P202" s="118">
        <f>Tabela1[[#This Row],[2QZ DE JAN 26]]-Tabela1[[#This Row],[SALDO PENDENTE FINAL]]-Tabela1[[#This Row],[SALDO CARTAO]]-Tabela1[[#This Row],[ADIANTAMENTO]]</f>
        <v>-115</v>
      </c>
      <c r="Q202" s="119"/>
      <c r="R202" s="130">
        <f>IF(Tabela1[[#This Row],[CARGA PARCIAL]]&lt;0,0,Tabela1[[#This Row],[CARGA PARCIAL]])+Tabela1[[#This Row],[REEMBOLSO]]</f>
        <v>0</v>
      </c>
      <c r="S202" s="129" t="s">
        <v>22</v>
      </c>
      <c r="T202" s="69"/>
    </row>
    <row r="203" spans="2:20" x14ac:dyDescent="0.25">
      <c r="B203" s="120" t="s">
        <v>214</v>
      </c>
      <c r="C203" s="114" t="s">
        <v>1679</v>
      </c>
      <c r="D203" s="115" t="s">
        <v>18</v>
      </c>
      <c r="E203" s="115" t="s">
        <v>215</v>
      </c>
      <c r="F203" s="71">
        <v>11080460001</v>
      </c>
      <c r="G203" s="127" t="s">
        <v>24</v>
      </c>
      <c r="H203" s="116" t="s">
        <v>21</v>
      </c>
      <c r="I203" s="104">
        <v>0</v>
      </c>
      <c r="J203" s="117">
        <v>233.81</v>
      </c>
      <c r="K203" s="117">
        <v>0</v>
      </c>
      <c r="L203" s="117">
        <f>IF(Tabela1[[#This Row],[SALDO PARCIAL PENDENTE]]-Tabela1[[#This Row],[1QZ DE FEV 26]]&lt;0,0,Tabela1[[#This Row],[SALDO PARCIAL PENDENTE]]-Tabela1[[#This Row],[1QZ DE FEV 26]])</f>
        <v>233.81</v>
      </c>
      <c r="M203" s="68">
        <v>500</v>
      </c>
      <c r="N203" s="117">
        <v>266.19</v>
      </c>
      <c r="O203" s="69"/>
      <c r="P203" s="118">
        <f>Tabela1[[#This Row],[2QZ DE JAN 26]]-Tabela1[[#This Row],[SALDO PENDENTE FINAL]]-Tabela1[[#This Row],[SALDO CARTAO]]-Tabela1[[#This Row],[ADIANTAMENTO]]</f>
        <v>0</v>
      </c>
      <c r="Q203" s="119"/>
      <c r="R203" s="130">
        <f>IF(Tabela1[[#This Row],[CARGA PARCIAL]]&lt;0,0,Tabela1[[#This Row],[CARGA PARCIAL]])+Tabela1[[#This Row],[REEMBOLSO]]</f>
        <v>0</v>
      </c>
      <c r="S203" s="129" t="s">
        <v>22</v>
      </c>
      <c r="T203" s="69"/>
    </row>
    <row r="204" spans="2:20" x14ac:dyDescent="0.25">
      <c r="B204" s="120" t="s">
        <v>140</v>
      </c>
      <c r="C204" s="114" t="s">
        <v>1671</v>
      </c>
      <c r="D204" s="115" t="s">
        <v>18</v>
      </c>
      <c r="E204" s="115" t="s">
        <v>38</v>
      </c>
      <c r="F204" s="71">
        <v>11040130001</v>
      </c>
      <c r="G204" s="127" t="s">
        <v>39</v>
      </c>
      <c r="H204" s="116" t="s">
        <v>31</v>
      </c>
      <c r="I204" s="104">
        <v>0</v>
      </c>
      <c r="J204" s="117">
        <v>225.7000000000059</v>
      </c>
      <c r="K204" s="117">
        <v>2214.3000000000002</v>
      </c>
      <c r="L204" s="117">
        <f>IF(Tabela1[[#This Row],[SALDO PARCIAL PENDENTE]]-Tabela1[[#This Row],[1QZ DE FEV 26]]&lt;0,0,Tabela1[[#This Row],[SALDO PARCIAL PENDENTE]]-Tabela1[[#This Row],[1QZ DE FEV 26]])</f>
        <v>0</v>
      </c>
      <c r="M204" s="68">
        <v>2520</v>
      </c>
      <c r="N204" s="117">
        <v>358.8</v>
      </c>
      <c r="O204" s="69"/>
      <c r="P204" s="118">
        <f>Tabela1[[#This Row],[2QZ DE JAN 26]]-Tabela1[[#This Row],[SALDO PENDENTE FINAL]]-Tabela1[[#This Row],[SALDO CARTAO]]-Tabela1[[#This Row],[ADIANTAMENTO]]</f>
        <v>2161.1999999999998</v>
      </c>
      <c r="Q204" s="119"/>
      <c r="R204" s="130">
        <f>IF(Tabela1[[#This Row],[CARGA PARCIAL]]&lt;0,0,Tabela1[[#This Row],[CARGA PARCIAL]])+Tabela1[[#This Row],[REEMBOLSO]]</f>
        <v>2161.1999999999998</v>
      </c>
      <c r="S204" s="129" t="s">
        <v>22</v>
      </c>
      <c r="T204" s="69"/>
    </row>
    <row r="205" spans="2:20" x14ac:dyDescent="0.25">
      <c r="B205" s="121" t="s">
        <v>376</v>
      </c>
      <c r="C205" s="122" t="s">
        <v>1564</v>
      </c>
      <c r="D205" s="115" t="s">
        <v>18</v>
      </c>
      <c r="E205" s="123" t="s">
        <v>113</v>
      </c>
      <c r="F205" s="71">
        <v>11061720001</v>
      </c>
      <c r="G205" s="127" t="s">
        <v>30</v>
      </c>
      <c r="H205" s="124" t="s">
        <v>31</v>
      </c>
      <c r="I205" s="104">
        <v>0</v>
      </c>
      <c r="J205" s="117">
        <v>215.7200000000019</v>
      </c>
      <c r="K205" s="117">
        <v>659.73999999999978</v>
      </c>
      <c r="L205" s="117">
        <f>IF(Tabela1[[#This Row],[SALDO PARCIAL PENDENTE]]-Tabela1[[#This Row],[1QZ DE FEV 26]]&lt;0,0,Tabela1[[#This Row],[SALDO PARCIAL PENDENTE]]-Tabela1[[#This Row],[1QZ DE FEV 26]])</f>
        <v>0</v>
      </c>
      <c r="M205" s="68">
        <v>800</v>
      </c>
      <c r="N205" s="117">
        <v>432.2</v>
      </c>
      <c r="O205" s="72"/>
      <c r="P205" s="125">
        <f>Tabela1[[#This Row],[2QZ DE JAN 26]]-Tabela1[[#This Row],[SALDO PENDENTE FINAL]]-Tabela1[[#This Row],[SALDO CARTAO]]-Tabela1[[#This Row],[ADIANTAMENTO]]</f>
        <v>367.8</v>
      </c>
      <c r="Q205" s="126"/>
      <c r="R205" s="130">
        <f>IF(Tabela1[[#This Row],[CARGA PARCIAL]]&lt;0,0,Tabela1[[#This Row],[CARGA PARCIAL]])+Tabela1[[#This Row],[REEMBOLSO]]</f>
        <v>367.8</v>
      </c>
      <c r="S205" s="129" t="s">
        <v>22</v>
      </c>
      <c r="T205" s="72"/>
    </row>
    <row r="206" spans="2:20" x14ac:dyDescent="0.25">
      <c r="B206" s="121" t="s">
        <v>103</v>
      </c>
      <c r="C206" s="122" t="s">
        <v>1566</v>
      </c>
      <c r="D206" s="115" t="s">
        <v>18</v>
      </c>
      <c r="E206" s="123" t="s">
        <v>49</v>
      </c>
      <c r="F206" s="71">
        <v>11040160001</v>
      </c>
      <c r="G206" s="123" t="s">
        <v>27</v>
      </c>
      <c r="H206" s="124" t="s">
        <v>137</v>
      </c>
      <c r="I206" s="104">
        <v>0</v>
      </c>
      <c r="J206" s="117">
        <v>208.45</v>
      </c>
      <c r="K206" s="117">
        <v>188.54999999999995</v>
      </c>
      <c r="L206" s="117">
        <f>IF(Tabela1[[#This Row],[SALDO PARCIAL PENDENTE]]-Tabela1[[#This Row],[1QZ DE FEV 26]]&lt;0,0,Tabela1[[#This Row],[SALDO PARCIAL PENDENTE]]-Tabela1[[#This Row],[1QZ DE FEV 26]])</f>
        <v>19.900000000000034</v>
      </c>
      <c r="M206" s="68">
        <v>400</v>
      </c>
      <c r="N206" s="117">
        <v>191.55</v>
      </c>
      <c r="O206" s="72"/>
      <c r="P206" s="125">
        <f>Tabela1[[#This Row],[2QZ DE JAN 26]]-Tabela1[[#This Row],[SALDO PENDENTE FINAL]]-Tabela1[[#This Row],[SALDO CARTAO]]-Tabela1[[#This Row],[ADIANTAMENTO]]</f>
        <v>188.54999999999995</v>
      </c>
      <c r="Q206" s="126"/>
      <c r="R206" s="130">
        <f>IF(Tabela1[[#This Row],[CARGA PARCIAL]]&lt;0,0,Tabela1[[#This Row],[CARGA PARCIAL]])+Tabela1[[#This Row],[REEMBOLSO]]</f>
        <v>188.54999999999995</v>
      </c>
      <c r="S206" s="129" t="s">
        <v>22</v>
      </c>
      <c r="T206" s="72"/>
    </row>
    <row r="207" spans="2:20" x14ac:dyDescent="0.25">
      <c r="B207" s="120" t="s">
        <v>717</v>
      </c>
      <c r="C207" s="114" t="s">
        <v>718</v>
      </c>
      <c r="D207" s="115" t="s">
        <v>18</v>
      </c>
      <c r="E207" s="115" t="s">
        <v>113</v>
      </c>
      <c r="F207" s="71">
        <v>11061720001</v>
      </c>
      <c r="G207" s="123" t="s">
        <v>30</v>
      </c>
      <c r="H207" s="116" t="s">
        <v>31</v>
      </c>
      <c r="I207" s="104">
        <v>0</v>
      </c>
      <c r="J207" s="117">
        <v>208.18000000000188</v>
      </c>
      <c r="K207" s="117">
        <v>590.23999999999796</v>
      </c>
      <c r="L207" s="117">
        <f>IF(Tabela1[[#This Row],[SALDO PARCIAL PENDENTE]]-Tabela1[[#This Row],[1QZ DE FEV 26]]&lt;0,0,Tabela1[[#This Row],[SALDO PARCIAL PENDENTE]]-Tabela1[[#This Row],[1QZ DE FEV 26]])</f>
        <v>0</v>
      </c>
      <c r="M207" s="68">
        <v>800</v>
      </c>
      <c r="N207" s="117">
        <v>296.24</v>
      </c>
      <c r="O207" s="69"/>
      <c r="P207" s="118">
        <f>Tabela1[[#This Row],[2QZ DE JAN 26]]-Tabela1[[#This Row],[SALDO PENDENTE FINAL]]-Tabela1[[#This Row],[SALDO CARTAO]]-Tabela1[[#This Row],[ADIANTAMENTO]]</f>
        <v>503.76</v>
      </c>
      <c r="Q207" s="119"/>
      <c r="R207" s="130">
        <f>IF(Tabela1[[#This Row],[CARGA PARCIAL]]&lt;0,0,Tabela1[[#This Row],[CARGA PARCIAL]])+Tabela1[[#This Row],[REEMBOLSO]]</f>
        <v>503.76</v>
      </c>
      <c r="S207" s="129" t="s">
        <v>22</v>
      </c>
      <c r="T207" s="69"/>
    </row>
    <row r="208" spans="2:20" x14ac:dyDescent="0.25">
      <c r="B208" s="121" t="s">
        <v>668</v>
      </c>
      <c r="C208" s="122" t="s">
        <v>669</v>
      </c>
      <c r="D208" s="115" t="s">
        <v>18</v>
      </c>
      <c r="E208" s="123" t="s">
        <v>38</v>
      </c>
      <c r="F208" s="71">
        <v>11040130001</v>
      </c>
      <c r="G208" s="127" t="s">
        <v>39</v>
      </c>
      <c r="H208" s="124" t="s">
        <v>31</v>
      </c>
      <c r="I208" s="104">
        <v>0</v>
      </c>
      <c r="J208" s="117">
        <v>204.40000000000023</v>
      </c>
      <c r="K208" s="117">
        <v>0</v>
      </c>
      <c r="L208" s="117">
        <f>IF(Tabela1[[#This Row],[SALDO PARCIAL PENDENTE]]-Tabela1[[#This Row],[1QZ DE FEV 26]]&lt;0,0,Tabela1[[#This Row],[SALDO PARCIAL PENDENTE]]-Tabela1[[#This Row],[1QZ DE FEV 26]])</f>
        <v>204.40000000000023</v>
      </c>
      <c r="M208" s="68">
        <v>120</v>
      </c>
      <c r="N208" s="117">
        <v>117.6</v>
      </c>
      <c r="O208" s="72"/>
      <c r="P208" s="125">
        <f>Tabela1[[#This Row],[2QZ DE JAN 26]]-Tabela1[[#This Row],[SALDO PENDENTE FINAL]]-Tabela1[[#This Row],[SALDO CARTAO]]-Tabela1[[#This Row],[ADIANTAMENTO]]</f>
        <v>-202.00000000000023</v>
      </c>
      <c r="Q208" s="126"/>
      <c r="R208" s="130">
        <f>IF(Tabela1[[#This Row],[CARGA PARCIAL]]&lt;0,0,Tabela1[[#This Row],[CARGA PARCIAL]])+Tabela1[[#This Row],[REEMBOLSO]]</f>
        <v>0</v>
      </c>
      <c r="S208" s="129" t="s">
        <v>22</v>
      </c>
      <c r="T208" s="72"/>
    </row>
    <row r="209" spans="2:20" x14ac:dyDescent="0.25">
      <c r="B209" s="121" t="s">
        <v>635</v>
      </c>
      <c r="C209" s="122" t="s">
        <v>636</v>
      </c>
      <c r="D209" s="115" t="s">
        <v>18</v>
      </c>
      <c r="E209" s="123" t="s">
        <v>113</v>
      </c>
      <c r="F209" s="71">
        <v>11061720001</v>
      </c>
      <c r="G209" s="123" t="s">
        <v>30</v>
      </c>
      <c r="H209" s="124" t="s">
        <v>31</v>
      </c>
      <c r="I209" s="104">
        <v>0</v>
      </c>
      <c r="J209" s="117">
        <v>200.0000000000021</v>
      </c>
      <c r="K209" s="117">
        <v>395.85999999999785</v>
      </c>
      <c r="L209" s="117">
        <f>IF(Tabela1[[#This Row],[SALDO PARCIAL PENDENTE]]-Tabela1[[#This Row],[1QZ DE FEV 26]]&lt;0,0,Tabela1[[#This Row],[SALDO PARCIAL PENDENTE]]-Tabela1[[#This Row],[1QZ DE FEV 26]])</f>
        <v>0</v>
      </c>
      <c r="M209" s="68">
        <v>600</v>
      </c>
      <c r="N209" s="117">
        <v>167.68</v>
      </c>
      <c r="O209" s="72"/>
      <c r="P209" s="125">
        <f>Tabela1[[#This Row],[2QZ DE JAN 26]]-Tabela1[[#This Row],[SALDO PENDENTE FINAL]]-Tabela1[[#This Row],[SALDO CARTAO]]-Tabela1[[#This Row],[ADIANTAMENTO]]</f>
        <v>432.32</v>
      </c>
      <c r="Q209" s="126"/>
      <c r="R209" s="130">
        <f>IF(Tabela1[[#This Row],[CARGA PARCIAL]]&lt;0,0,Tabela1[[#This Row],[CARGA PARCIAL]])+Tabela1[[#This Row],[REEMBOLSO]]</f>
        <v>432.32</v>
      </c>
      <c r="S209" s="129" t="s">
        <v>22</v>
      </c>
      <c r="T209" s="72"/>
    </row>
    <row r="210" spans="2:20" x14ac:dyDescent="0.25">
      <c r="B210" s="120" t="s">
        <v>169</v>
      </c>
      <c r="C210" s="114" t="s">
        <v>1780</v>
      </c>
      <c r="D210" s="115" t="s">
        <v>18</v>
      </c>
      <c r="E210" s="115" t="s">
        <v>113</v>
      </c>
      <c r="F210" s="71">
        <v>11061720001</v>
      </c>
      <c r="G210" s="123" t="s">
        <v>30</v>
      </c>
      <c r="H210" s="116" t="s">
        <v>31</v>
      </c>
      <c r="I210" s="104">
        <v>0</v>
      </c>
      <c r="J210" s="117">
        <v>199.9999999999996</v>
      </c>
      <c r="K210" s="117">
        <v>684.67</v>
      </c>
      <c r="L210" s="117">
        <f>IF(Tabela1[[#This Row],[SALDO PARCIAL PENDENTE]]-Tabela1[[#This Row],[1QZ DE FEV 26]]&lt;0,0,Tabela1[[#This Row],[SALDO PARCIAL PENDENTE]]-Tabela1[[#This Row],[1QZ DE FEV 26]])</f>
        <v>0</v>
      </c>
      <c r="M210" s="68">
        <v>800</v>
      </c>
      <c r="N210" s="117">
        <v>233.44</v>
      </c>
      <c r="O210" s="69"/>
      <c r="P210" s="118">
        <f>Tabela1[[#This Row],[2QZ DE JAN 26]]-Tabela1[[#This Row],[SALDO PENDENTE FINAL]]-Tabela1[[#This Row],[SALDO CARTAO]]-Tabela1[[#This Row],[ADIANTAMENTO]]</f>
        <v>566.55999999999995</v>
      </c>
      <c r="Q210" s="119"/>
      <c r="R210" s="130">
        <f>IF(Tabela1[[#This Row],[CARGA PARCIAL]]&lt;0,0,Tabela1[[#This Row],[CARGA PARCIAL]])+Tabela1[[#This Row],[REEMBOLSO]]</f>
        <v>566.55999999999995</v>
      </c>
      <c r="S210" s="129" t="s">
        <v>22</v>
      </c>
      <c r="T210" s="69"/>
    </row>
    <row r="211" spans="2:20" x14ac:dyDescent="0.25">
      <c r="B211" s="121" t="s">
        <v>476</v>
      </c>
      <c r="C211" s="122" t="s">
        <v>477</v>
      </c>
      <c r="D211" s="115" t="s">
        <v>18</v>
      </c>
      <c r="E211" s="123" t="s">
        <v>113</v>
      </c>
      <c r="F211" s="71">
        <v>11061720001</v>
      </c>
      <c r="G211" s="127" t="s">
        <v>30</v>
      </c>
      <c r="H211" s="124" t="s">
        <v>31</v>
      </c>
      <c r="I211" s="104">
        <v>0</v>
      </c>
      <c r="J211" s="117">
        <v>188.27999999999815</v>
      </c>
      <c r="K211" s="117">
        <v>142</v>
      </c>
      <c r="L211" s="117">
        <f>IF(Tabela1[[#This Row],[SALDO PARCIAL PENDENTE]]-Tabela1[[#This Row],[1QZ DE FEV 26]]&lt;0,0,Tabela1[[#This Row],[SALDO PARCIAL PENDENTE]]-Tabela1[[#This Row],[1QZ DE FEV 26]])</f>
        <v>46.279999999998154</v>
      </c>
      <c r="M211" s="68">
        <v>800</v>
      </c>
      <c r="N211" s="117">
        <v>611.72</v>
      </c>
      <c r="O211" s="72"/>
      <c r="P211" s="125">
        <f>Tabela1[[#This Row],[2QZ DE JAN 26]]-Tabela1[[#This Row],[SALDO PENDENTE FINAL]]-Tabela1[[#This Row],[SALDO CARTAO]]-Tabela1[[#This Row],[ADIANTAMENTO]]</f>
        <v>142.00000000000182</v>
      </c>
      <c r="Q211" s="126"/>
      <c r="R211" s="130">
        <f>IF(Tabela1[[#This Row],[CARGA PARCIAL]]&lt;0,0,Tabela1[[#This Row],[CARGA PARCIAL]])+Tabela1[[#This Row],[REEMBOLSO]]</f>
        <v>142.00000000000182</v>
      </c>
      <c r="S211" s="129" t="s">
        <v>22</v>
      </c>
      <c r="T211" s="72"/>
    </row>
    <row r="212" spans="2:20" x14ac:dyDescent="0.25">
      <c r="B212" s="120" t="s">
        <v>539</v>
      </c>
      <c r="C212" s="114" t="s">
        <v>540</v>
      </c>
      <c r="D212" s="115" t="s">
        <v>18</v>
      </c>
      <c r="E212" s="115" t="s">
        <v>541</v>
      </c>
      <c r="F212" s="71">
        <v>11110340001</v>
      </c>
      <c r="G212" s="123" t="s">
        <v>78</v>
      </c>
      <c r="H212" s="116" t="s">
        <v>21</v>
      </c>
      <c r="I212" s="104">
        <v>0</v>
      </c>
      <c r="J212" s="117">
        <v>187.14</v>
      </c>
      <c r="K212" s="117">
        <v>489.99999999999909</v>
      </c>
      <c r="L212" s="117">
        <f>IF(Tabela1[[#This Row],[SALDO PARCIAL PENDENTE]]-Tabela1[[#This Row],[1QZ DE FEV 26]]&lt;0,0,Tabela1[[#This Row],[SALDO PARCIAL PENDENTE]]-Tabela1[[#This Row],[1QZ DE FEV 26]])</f>
        <v>0</v>
      </c>
      <c r="M212" s="68">
        <v>700</v>
      </c>
      <c r="N212" s="117">
        <v>6.86</v>
      </c>
      <c r="O212" s="69"/>
      <c r="P212" s="118">
        <f>Tabela1[[#This Row],[2QZ DE JAN 26]]-Tabela1[[#This Row],[SALDO PENDENTE FINAL]]-Tabela1[[#This Row],[SALDO CARTAO]]-Tabela1[[#This Row],[ADIANTAMENTO]]</f>
        <v>693.14</v>
      </c>
      <c r="Q212" s="119"/>
      <c r="R212" s="130">
        <f>IF(Tabela1[[#This Row],[CARGA PARCIAL]]&lt;0,0,Tabela1[[#This Row],[CARGA PARCIAL]])+Tabela1[[#This Row],[REEMBOLSO]]</f>
        <v>693.14</v>
      </c>
      <c r="S212" s="129" t="s">
        <v>22</v>
      </c>
      <c r="T212" s="69"/>
    </row>
    <row r="213" spans="2:20" x14ac:dyDescent="0.25">
      <c r="B213" s="120" t="s">
        <v>123</v>
      </c>
      <c r="C213" s="114" t="s">
        <v>1604</v>
      </c>
      <c r="D213" s="115" t="s">
        <v>18</v>
      </c>
      <c r="E213" s="115" t="s">
        <v>124</v>
      </c>
      <c r="F213" s="71">
        <v>11030750001</v>
      </c>
      <c r="G213" s="127" t="s">
        <v>65</v>
      </c>
      <c r="H213" s="116" t="s">
        <v>31</v>
      </c>
      <c r="I213" s="104">
        <v>0</v>
      </c>
      <c r="J213" s="117">
        <v>186.54000000000087</v>
      </c>
      <c r="K213" s="117">
        <v>0</v>
      </c>
      <c r="L213" s="117">
        <f>IF(Tabela1[[#This Row],[SALDO PARCIAL PENDENTE]]-Tabela1[[#This Row],[1QZ DE FEV 26]]&lt;0,0,Tabela1[[#This Row],[SALDO PARCIAL PENDENTE]]-Tabela1[[#This Row],[1QZ DE FEV 26]])</f>
        <v>186.54000000000087</v>
      </c>
      <c r="M213" s="68">
        <v>2200</v>
      </c>
      <c r="N213" s="117">
        <v>0</v>
      </c>
      <c r="O213" s="69"/>
      <c r="P213" s="118">
        <f>Tabela1[[#This Row],[2QZ DE JAN 26]]-Tabela1[[#This Row],[SALDO PENDENTE FINAL]]-Tabela1[[#This Row],[SALDO CARTAO]]-Tabela1[[#This Row],[ADIANTAMENTO]]</f>
        <v>2013.4599999999991</v>
      </c>
      <c r="Q213" s="119"/>
      <c r="R213" s="130">
        <f>IF(Tabela1[[#This Row],[CARGA PARCIAL]]&lt;0,0,Tabela1[[#This Row],[CARGA PARCIAL]])+Tabela1[[#This Row],[REEMBOLSO]]</f>
        <v>2013.4599999999991</v>
      </c>
      <c r="S213" s="129" t="s">
        <v>22</v>
      </c>
      <c r="T213" s="69"/>
    </row>
    <row r="214" spans="2:20" x14ac:dyDescent="0.25">
      <c r="B214" s="121" t="s">
        <v>693</v>
      </c>
      <c r="C214" s="122" t="s">
        <v>694</v>
      </c>
      <c r="D214" s="115" t="s">
        <v>18</v>
      </c>
      <c r="E214" s="123" t="s">
        <v>317</v>
      </c>
      <c r="F214" s="71">
        <v>11030620001</v>
      </c>
      <c r="G214" s="127" t="s">
        <v>34</v>
      </c>
      <c r="H214" s="124" t="s">
        <v>31</v>
      </c>
      <c r="I214" s="104">
        <v>0</v>
      </c>
      <c r="J214" s="117">
        <v>186.44999999998544</v>
      </c>
      <c r="K214" s="117">
        <v>3042.55</v>
      </c>
      <c r="L214" s="117">
        <f>IF(Tabela1[[#This Row],[SALDO PARCIAL PENDENTE]]-Tabela1[[#This Row],[1QZ DE FEV 26]]&lt;0,0,Tabela1[[#This Row],[SALDO PARCIAL PENDENTE]]-Tabela1[[#This Row],[1QZ DE FEV 26]])</f>
        <v>0</v>
      </c>
      <c r="M214" s="68">
        <v>2800</v>
      </c>
      <c r="N214" s="117">
        <v>30.55</v>
      </c>
      <c r="O214" s="72"/>
      <c r="P214" s="125">
        <f>Tabela1[[#This Row],[2QZ DE JAN 26]]-Tabela1[[#This Row],[SALDO PENDENTE FINAL]]-Tabela1[[#This Row],[SALDO CARTAO]]-Tabela1[[#This Row],[ADIANTAMENTO]]</f>
        <v>2769.45</v>
      </c>
      <c r="Q214" s="126"/>
      <c r="R214" s="130">
        <f>IF(Tabela1[[#This Row],[CARGA PARCIAL]]&lt;0,0,Tabela1[[#This Row],[CARGA PARCIAL]])+Tabela1[[#This Row],[REEMBOLSO]]</f>
        <v>2769.45</v>
      </c>
      <c r="S214" s="129" t="s">
        <v>22</v>
      </c>
      <c r="T214" s="72"/>
    </row>
    <row r="215" spans="2:20" x14ac:dyDescent="0.25">
      <c r="B215" s="121" t="s">
        <v>748</v>
      </c>
      <c r="C215" s="122" t="s">
        <v>749</v>
      </c>
      <c r="D215" s="115" t="s">
        <v>18</v>
      </c>
      <c r="E215" s="123" t="s">
        <v>750</v>
      </c>
      <c r="F215" s="71">
        <v>11062160001</v>
      </c>
      <c r="G215" s="123" t="s">
        <v>24</v>
      </c>
      <c r="H215" s="124" t="s">
        <v>21</v>
      </c>
      <c r="I215" s="104">
        <v>0</v>
      </c>
      <c r="J215" s="117">
        <v>186.33000000000183</v>
      </c>
      <c r="K215" s="117">
        <v>430.66999999999825</v>
      </c>
      <c r="L215" s="117">
        <f>IF(Tabela1[[#This Row],[SALDO PARCIAL PENDENTE]]-Tabela1[[#This Row],[1QZ DE FEV 26]]&lt;0,0,Tabela1[[#This Row],[SALDO PARCIAL PENDENTE]]-Tabela1[[#This Row],[1QZ DE FEV 26]])</f>
        <v>0</v>
      </c>
      <c r="M215" s="68">
        <v>800</v>
      </c>
      <c r="N215" s="117">
        <v>206.67</v>
      </c>
      <c r="O215" s="72"/>
      <c r="P215" s="125">
        <f>Tabela1[[#This Row],[2QZ DE JAN 26]]-Tabela1[[#This Row],[SALDO PENDENTE FINAL]]-Tabela1[[#This Row],[SALDO CARTAO]]-Tabela1[[#This Row],[ADIANTAMENTO]]</f>
        <v>593.33000000000004</v>
      </c>
      <c r="Q215" s="126"/>
      <c r="R215" s="130">
        <f>IF(Tabela1[[#This Row],[CARGA PARCIAL]]&lt;0,0,Tabela1[[#This Row],[CARGA PARCIAL]])+Tabela1[[#This Row],[REEMBOLSO]]</f>
        <v>593.33000000000004</v>
      </c>
      <c r="S215" s="129" t="s">
        <v>22</v>
      </c>
      <c r="T215" s="72"/>
    </row>
    <row r="216" spans="2:20" x14ac:dyDescent="0.25">
      <c r="B216" s="121" t="s">
        <v>176</v>
      </c>
      <c r="C216" s="122" t="s">
        <v>1572</v>
      </c>
      <c r="D216" s="115" t="s">
        <v>18</v>
      </c>
      <c r="E216" s="123" t="s">
        <v>113</v>
      </c>
      <c r="F216" s="71">
        <v>11061720001</v>
      </c>
      <c r="G216" s="123" t="s">
        <v>30</v>
      </c>
      <c r="H216" s="124" t="s">
        <v>31</v>
      </c>
      <c r="I216" s="104">
        <v>0</v>
      </c>
      <c r="J216" s="117">
        <v>183.74000000003275</v>
      </c>
      <c r="K216" s="117">
        <v>130.75999999998382</v>
      </c>
      <c r="L216" s="117">
        <f>IF(Tabela1[[#This Row],[SALDO PARCIAL PENDENTE]]-Tabela1[[#This Row],[1QZ DE FEV 26]]&lt;0,0,Tabela1[[#This Row],[SALDO PARCIAL PENDENTE]]-Tabela1[[#This Row],[1QZ DE FEV 26]])</f>
        <v>52.980000000048932</v>
      </c>
      <c r="M216" s="68">
        <v>800</v>
      </c>
      <c r="N216" s="117">
        <v>41.51</v>
      </c>
      <c r="O216" s="72"/>
      <c r="P216" s="125">
        <f>Tabela1[[#This Row],[2QZ DE JAN 26]]-Tabela1[[#This Row],[SALDO PENDENTE FINAL]]-Tabela1[[#This Row],[SALDO CARTAO]]-Tabela1[[#This Row],[ADIANTAMENTO]]</f>
        <v>705.50999999995111</v>
      </c>
      <c r="Q216" s="126"/>
      <c r="R216" s="130">
        <f>IF(Tabela1[[#This Row],[CARGA PARCIAL]]&lt;0,0,Tabela1[[#This Row],[CARGA PARCIAL]])+Tabela1[[#This Row],[REEMBOLSO]]</f>
        <v>705.50999999995111</v>
      </c>
      <c r="S216" s="129" t="s">
        <v>22</v>
      </c>
      <c r="T216" s="72"/>
    </row>
    <row r="217" spans="2:20" x14ac:dyDescent="0.25">
      <c r="B217" s="120" t="s">
        <v>394</v>
      </c>
      <c r="C217" s="114" t="s">
        <v>1578</v>
      </c>
      <c r="D217" s="115" t="s">
        <v>18</v>
      </c>
      <c r="E217" s="115" t="s">
        <v>73</v>
      </c>
      <c r="F217" s="71">
        <v>11040140001</v>
      </c>
      <c r="G217" s="123" t="s">
        <v>39</v>
      </c>
      <c r="H217" s="116" t="s">
        <v>31</v>
      </c>
      <c r="I217" s="104">
        <v>0</v>
      </c>
      <c r="J217" s="117">
        <v>182.6</v>
      </c>
      <c r="K217" s="117">
        <v>0</v>
      </c>
      <c r="L217" s="117">
        <f>IF(Tabela1[[#This Row],[SALDO PARCIAL PENDENTE]]-Tabela1[[#This Row],[1QZ DE FEV 26]]&lt;0,0,Tabela1[[#This Row],[SALDO PARCIAL PENDENTE]]-Tabela1[[#This Row],[1QZ DE FEV 26]])</f>
        <v>182.6</v>
      </c>
      <c r="M217" s="68">
        <v>100</v>
      </c>
      <c r="N217" s="117">
        <v>0</v>
      </c>
      <c r="O217" s="69"/>
      <c r="P217" s="118">
        <f>Tabela1[[#This Row],[2QZ DE JAN 26]]-Tabela1[[#This Row],[SALDO PENDENTE FINAL]]-Tabela1[[#This Row],[SALDO CARTAO]]-Tabela1[[#This Row],[ADIANTAMENTO]]</f>
        <v>-82.6</v>
      </c>
      <c r="Q217" s="119"/>
      <c r="R217" s="130">
        <f>IF(Tabela1[[#This Row],[CARGA PARCIAL]]&lt;0,0,Tabela1[[#This Row],[CARGA PARCIAL]])+Tabela1[[#This Row],[REEMBOLSO]]</f>
        <v>0</v>
      </c>
      <c r="S217" s="129" t="s">
        <v>47</v>
      </c>
      <c r="T217" s="69"/>
    </row>
    <row r="218" spans="2:20" x14ac:dyDescent="0.25">
      <c r="B218" s="121" t="s">
        <v>396</v>
      </c>
      <c r="C218" s="122" t="s">
        <v>1643</v>
      </c>
      <c r="D218" s="115" t="s">
        <v>18</v>
      </c>
      <c r="E218" s="123" t="s">
        <v>71</v>
      </c>
      <c r="F218" s="71">
        <v>11061810001</v>
      </c>
      <c r="G218" s="127" t="s">
        <v>34</v>
      </c>
      <c r="H218" s="124" t="s">
        <v>31</v>
      </c>
      <c r="I218" s="104">
        <v>0</v>
      </c>
      <c r="J218" s="117">
        <v>180.2</v>
      </c>
      <c r="K218" s="117">
        <v>605.29999999999995</v>
      </c>
      <c r="L218" s="117">
        <f>IF(Tabela1[[#This Row],[SALDO PARCIAL PENDENTE]]-Tabela1[[#This Row],[1QZ DE FEV 26]]&lt;0,0,Tabela1[[#This Row],[SALDO PARCIAL PENDENTE]]-Tabela1[[#This Row],[1QZ DE FEV 26]])</f>
        <v>0</v>
      </c>
      <c r="M218" s="68">
        <v>500</v>
      </c>
      <c r="N218" s="117">
        <v>252.3</v>
      </c>
      <c r="O218" s="72"/>
      <c r="P218" s="125">
        <f>Tabela1[[#This Row],[2QZ DE JAN 26]]-Tabela1[[#This Row],[SALDO PENDENTE FINAL]]-Tabela1[[#This Row],[SALDO CARTAO]]-Tabela1[[#This Row],[ADIANTAMENTO]]</f>
        <v>247.7</v>
      </c>
      <c r="Q218" s="126"/>
      <c r="R218" s="130">
        <f>IF(Tabela1[[#This Row],[CARGA PARCIAL]]&lt;0,0,Tabela1[[#This Row],[CARGA PARCIAL]])+Tabela1[[#This Row],[REEMBOLSO]]</f>
        <v>247.7</v>
      </c>
      <c r="S218" s="129" t="s">
        <v>22</v>
      </c>
      <c r="T218" s="72"/>
    </row>
    <row r="219" spans="2:20" x14ac:dyDescent="0.25">
      <c r="B219" s="121" t="s">
        <v>619</v>
      </c>
      <c r="C219" s="122" t="s">
        <v>620</v>
      </c>
      <c r="D219" s="115" t="s">
        <v>18</v>
      </c>
      <c r="E219" s="123" t="s">
        <v>49</v>
      </c>
      <c r="F219" s="71">
        <v>11040160001</v>
      </c>
      <c r="G219" s="127" t="s">
        <v>27</v>
      </c>
      <c r="H219" s="124" t="s">
        <v>137</v>
      </c>
      <c r="I219" s="104">
        <v>0</v>
      </c>
      <c r="J219" s="117">
        <v>170.99999999999955</v>
      </c>
      <c r="K219" s="117">
        <v>147.47</v>
      </c>
      <c r="L219" s="117">
        <f>IF(Tabela1[[#This Row],[SALDO PARCIAL PENDENTE]]-Tabela1[[#This Row],[1QZ DE FEV 26]]&lt;0,0,Tabela1[[#This Row],[SALDO PARCIAL PENDENTE]]-Tabela1[[#This Row],[1QZ DE FEV 26]])</f>
        <v>23.529999999999546</v>
      </c>
      <c r="M219" s="68">
        <v>750</v>
      </c>
      <c r="N219" s="117">
        <v>379</v>
      </c>
      <c r="O219" s="72"/>
      <c r="P219" s="125">
        <f>Tabela1[[#This Row],[2QZ DE JAN 26]]-Tabela1[[#This Row],[SALDO PENDENTE FINAL]]-Tabela1[[#This Row],[SALDO CARTAO]]-Tabela1[[#This Row],[ADIANTAMENTO]]</f>
        <v>347.47000000000048</v>
      </c>
      <c r="Q219" s="126"/>
      <c r="R219" s="130">
        <f>IF(Tabela1[[#This Row],[CARGA PARCIAL]]&lt;0,0,Tabela1[[#This Row],[CARGA PARCIAL]])+Tabela1[[#This Row],[REEMBOLSO]]</f>
        <v>347.47000000000048</v>
      </c>
      <c r="S219" s="129" t="s">
        <v>22</v>
      </c>
      <c r="T219" s="72"/>
    </row>
    <row r="220" spans="2:20" x14ac:dyDescent="0.25">
      <c r="B220" s="121" t="s">
        <v>350</v>
      </c>
      <c r="C220" s="122" t="s">
        <v>1806</v>
      </c>
      <c r="D220" s="115" t="s">
        <v>18</v>
      </c>
      <c r="E220" s="123" t="s">
        <v>73</v>
      </c>
      <c r="F220" s="71">
        <v>11040140001</v>
      </c>
      <c r="G220" s="123" t="s">
        <v>39</v>
      </c>
      <c r="H220" s="124" t="s">
        <v>31</v>
      </c>
      <c r="I220" s="104">
        <v>0</v>
      </c>
      <c r="J220" s="117">
        <v>157.88</v>
      </c>
      <c r="K220" s="117">
        <v>0</v>
      </c>
      <c r="L220" s="117">
        <f>IF(Tabela1[[#This Row],[SALDO PARCIAL PENDENTE]]-Tabela1[[#This Row],[1QZ DE FEV 26]]&lt;0,0,Tabela1[[#This Row],[SALDO PARCIAL PENDENTE]]-Tabela1[[#This Row],[1QZ DE FEV 26]])</f>
        <v>157.88</v>
      </c>
      <c r="M220" s="68">
        <v>150</v>
      </c>
      <c r="N220" s="117">
        <v>0</v>
      </c>
      <c r="O220" s="72"/>
      <c r="P220" s="125">
        <f>Tabela1[[#This Row],[2QZ DE JAN 26]]-Tabela1[[#This Row],[SALDO PENDENTE FINAL]]-Tabela1[[#This Row],[SALDO CARTAO]]-Tabela1[[#This Row],[ADIANTAMENTO]]</f>
        <v>-7.8799999999999955</v>
      </c>
      <c r="Q220" s="126"/>
      <c r="R220" s="130">
        <f>IF(Tabela1[[#This Row],[CARGA PARCIAL]]&lt;0,0,Tabela1[[#This Row],[CARGA PARCIAL]])+Tabela1[[#This Row],[REEMBOLSO]]</f>
        <v>0</v>
      </c>
      <c r="S220" s="129" t="s">
        <v>22</v>
      </c>
      <c r="T220" s="72"/>
    </row>
    <row r="221" spans="2:20" x14ac:dyDescent="0.25">
      <c r="B221" s="120" t="s">
        <v>202</v>
      </c>
      <c r="C221" s="114" t="s">
        <v>1785</v>
      </c>
      <c r="D221" s="115" t="s">
        <v>18</v>
      </c>
      <c r="E221" s="115" t="s">
        <v>203</v>
      </c>
      <c r="F221" s="71">
        <v>11030790001</v>
      </c>
      <c r="G221" s="123" t="s">
        <v>30</v>
      </c>
      <c r="H221" s="116" t="s">
        <v>31</v>
      </c>
      <c r="I221" s="104">
        <v>0</v>
      </c>
      <c r="J221" s="117">
        <v>156.46999999999287</v>
      </c>
      <c r="K221" s="117">
        <v>3186.12</v>
      </c>
      <c r="L221" s="117">
        <f>IF(Tabela1[[#This Row],[SALDO PARCIAL PENDENTE]]-Tabela1[[#This Row],[1QZ DE FEV 26]]&lt;0,0,Tabela1[[#This Row],[SALDO PARCIAL PENDENTE]]-Tabela1[[#This Row],[1QZ DE FEV 26]])</f>
        <v>0</v>
      </c>
      <c r="M221" s="68">
        <v>2500</v>
      </c>
      <c r="N221" s="117">
        <v>7.12</v>
      </c>
      <c r="O221" s="69"/>
      <c r="P221" s="118">
        <f>Tabela1[[#This Row],[2QZ DE JAN 26]]-Tabela1[[#This Row],[SALDO PENDENTE FINAL]]-Tabela1[[#This Row],[SALDO CARTAO]]-Tabela1[[#This Row],[ADIANTAMENTO]]</f>
        <v>2492.88</v>
      </c>
      <c r="Q221" s="119"/>
      <c r="R221" s="130">
        <f>IF(Tabela1[[#This Row],[CARGA PARCIAL]]&lt;0,0,Tabela1[[#This Row],[CARGA PARCIAL]])+Tabela1[[#This Row],[REEMBOLSO]]</f>
        <v>2492.88</v>
      </c>
      <c r="S221" s="129" t="s">
        <v>22</v>
      </c>
      <c r="T221" s="69"/>
    </row>
    <row r="222" spans="2:20" x14ac:dyDescent="0.25">
      <c r="B222" s="121" t="s">
        <v>621</v>
      </c>
      <c r="C222" s="122" t="s">
        <v>622</v>
      </c>
      <c r="D222" s="115" t="s">
        <v>18</v>
      </c>
      <c r="E222" s="123" t="s">
        <v>623</v>
      </c>
      <c r="F222" s="71">
        <v>11010380001</v>
      </c>
      <c r="G222" s="127" t="s">
        <v>65</v>
      </c>
      <c r="H222" s="124" t="s">
        <v>31</v>
      </c>
      <c r="I222" s="104">
        <v>0</v>
      </c>
      <c r="J222" s="117">
        <v>150</v>
      </c>
      <c r="K222" s="117">
        <v>0</v>
      </c>
      <c r="L222" s="117">
        <f>IF(Tabela1[[#This Row],[SALDO PARCIAL PENDENTE]]-Tabela1[[#This Row],[1QZ DE FEV 26]]&lt;0,0,Tabela1[[#This Row],[SALDO PARCIAL PENDENTE]]-Tabela1[[#This Row],[1QZ DE FEV 26]])</f>
        <v>150</v>
      </c>
      <c r="M222" s="68">
        <v>150</v>
      </c>
      <c r="N222" s="117">
        <v>0</v>
      </c>
      <c r="O222" s="72"/>
      <c r="P222" s="125">
        <f>Tabela1[[#This Row],[2QZ DE JAN 26]]-Tabela1[[#This Row],[SALDO PENDENTE FINAL]]-Tabela1[[#This Row],[SALDO CARTAO]]-Tabela1[[#This Row],[ADIANTAMENTO]]</f>
        <v>0</v>
      </c>
      <c r="Q222" s="126"/>
      <c r="R222" s="130">
        <f>IF(Tabela1[[#This Row],[CARGA PARCIAL]]&lt;0,0,Tabela1[[#This Row],[CARGA PARCIAL]])+Tabela1[[#This Row],[REEMBOLSO]]</f>
        <v>0</v>
      </c>
      <c r="S222" s="129" t="s">
        <v>22</v>
      </c>
      <c r="T222" s="72"/>
    </row>
    <row r="223" spans="2:20" x14ac:dyDescent="0.25">
      <c r="B223" s="121" t="s">
        <v>94</v>
      </c>
      <c r="C223" s="122" t="s">
        <v>1626</v>
      </c>
      <c r="D223" s="115" t="s">
        <v>18</v>
      </c>
      <c r="E223" s="123" t="s">
        <v>81</v>
      </c>
      <c r="F223" s="71">
        <v>11061820001</v>
      </c>
      <c r="G223" s="123" t="s">
        <v>34</v>
      </c>
      <c r="H223" s="124" t="s">
        <v>31</v>
      </c>
      <c r="I223" s="104">
        <v>0</v>
      </c>
      <c r="J223" s="117">
        <v>149.04999999999927</v>
      </c>
      <c r="K223" s="117">
        <v>0</v>
      </c>
      <c r="L223" s="117">
        <f>IF(Tabela1[[#This Row],[SALDO PARCIAL PENDENTE]]-Tabela1[[#This Row],[1QZ DE FEV 26]]&lt;0,0,Tabela1[[#This Row],[SALDO PARCIAL PENDENTE]]-Tabela1[[#This Row],[1QZ DE FEV 26]])</f>
        <v>149.04999999999927</v>
      </c>
      <c r="M223" s="68">
        <v>200</v>
      </c>
      <c r="N223" s="117">
        <v>9</v>
      </c>
      <c r="O223" s="72"/>
      <c r="P223" s="125">
        <f>Tabela1[[#This Row],[2QZ DE JAN 26]]-Tabela1[[#This Row],[SALDO PENDENTE FINAL]]-Tabela1[[#This Row],[SALDO CARTAO]]-Tabela1[[#This Row],[ADIANTAMENTO]]</f>
        <v>41.950000000000728</v>
      </c>
      <c r="Q223" s="126"/>
      <c r="R223" s="130">
        <f>IF(Tabela1[[#This Row],[CARGA PARCIAL]]&lt;0,0,Tabela1[[#This Row],[CARGA PARCIAL]])+Tabela1[[#This Row],[REEMBOLSO]]</f>
        <v>41.950000000000728</v>
      </c>
      <c r="S223" s="129" t="s">
        <v>22</v>
      </c>
      <c r="T223" s="72"/>
    </row>
    <row r="224" spans="2:20" x14ac:dyDescent="0.25">
      <c r="B224" s="121" t="s">
        <v>663</v>
      </c>
      <c r="C224" s="122" t="s">
        <v>664</v>
      </c>
      <c r="D224" s="115" t="s">
        <v>18</v>
      </c>
      <c r="E224" s="123" t="s">
        <v>224</v>
      </c>
      <c r="F224" s="71">
        <v>11061400001</v>
      </c>
      <c r="G224" s="123" t="s">
        <v>30</v>
      </c>
      <c r="H224" s="124" t="s">
        <v>31</v>
      </c>
      <c r="I224" s="104">
        <v>0</v>
      </c>
      <c r="J224" s="117">
        <v>146.11999999998844</v>
      </c>
      <c r="K224" s="117">
        <v>148.63000000000284</v>
      </c>
      <c r="L224" s="117">
        <f>IF(Tabela1[[#This Row],[SALDO PARCIAL PENDENTE]]-Tabela1[[#This Row],[1QZ DE FEV 26]]&lt;0,0,Tabela1[[#This Row],[SALDO PARCIAL PENDENTE]]-Tabela1[[#This Row],[1QZ DE FEV 26]])</f>
        <v>0</v>
      </c>
      <c r="M224" s="68">
        <v>700</v>
      </c>
      <c r="N224" s="117">
        <v>106.1</v>
      </c>
      <c r="O224" s="72"/>
      <c r="P224" s="125">
        <f>Tabela1[[#This Row],[2QZ DE JAN 26]]-Tabela1[[#This Row],[SALDO PENDENTE FINAL]]-Tabela1[[#This Row],[SALDO CARTAO]]-Tabela1[[#This Row],[ADIANTAMENTO]]</f>
        <v>593.9</v>
      </c>
      <c r="Q224" s="126"/>
      <c r="R224" s="130">
        <f>IF(Tabela1[[#This Row],[CARGA PARCIAL]]&lt;0,0,Tabela1[[#This Row],[CARGA PARCIAL]])+Tabela1[[#This Row],[REEMBOLSO]]</f>
        <v>593.9</v>
      </c>
      <c r="S224" s="129" t="s">
        <v>22</v>
      </c>
      <c r="T224" s="72"/>
    </row>
    <row r="225" spans="2:20" x14ac:dyDescent="0.25">
      <c r="B225" s="121" t="s">
        <v>604</v>
      </c>
      <c r="C225" s="122" t="s">
        <v>605</v>
      </c>
      <c r="D225" s="115" t="s">
        <v>18</v>
      </c>
      <c r="E225" s="123" t="s">
        <v>113</v>
      </c>
      <c r="F225" s="71">
        <v>11061720001</v>
      </c>
      <c r="G225" s="123" t="s">
        <v>30</v>
      </c>
      <c r="H225" s="124" t="s">
        <v>31</v>
      </c>
      <c r="I225" s="104">
        <v>0</v>
      </c>
      <c r="J225" s="117">
        <v>137.12000000000364</v>
      </c>
      <c r="K225" s="117">
        <v>1160.8499999999999</v>
      </c>
      <c r="L225" s="117">
        <f>IF(Tabela1[[#This Row],[SALDO PARCIAL PENDENTE]]-Tabela1[[#This Row],[1QZ DE FEV 26]]&lt;0,0,Tabela1[[#This Row],[SALDO PARCIAL PENDENTE]]-Tabela1[[#This Row],[1QZ DE FEV 26]])</f>
        <v>0</v>
      </c>
      <c r="M225" s="68">
        <v>800</v>
      </c>
      <c r="N225" s="117">
        <v>662.88</v>
      </c>
      <c r="O225" s="72"/>
      <c r="P225" s="125">
        <f>Tabela1[[#This Row],[2QZ DE JAN 26]]-Tabela1[[#This Row],[SALDO PENDENTE FINAL]]-Tabela1[[#This Row],[SALDO CARTAO]]-Tabela1[[#This Row],[ADIANTAMENTO]]</f>
        <v>137.12</v>
      </c>
      <c r="Q225" s="126"/>
      <c r="R225" s="130">
        <f>IF(Tabela1[[#This Row],[CARGA PARCIAL]]&lt;0,0,Tabela1[[#This Row],[CARGA PARCIAL]])+Tabela1[[#This Row],[REEMBOLSO]]</f>
        <v>137.12</v>
      </c>
      <c r="S225" s="129" t="s">
        <v>22</v>
      </c>
      <c r="T225" s="72"/>
    </row>
    <row r="226" spans="2:20" x14ac:dyDescent="0.25">
      <c r="B226" s="121" t="s">
        <v>529</v>
      </c>
      <c r="C226" s="122" t="s">
        <v>530</v>
      </c>
      <c r="D226" s="115" t="s">
        <v>18</v>
      </c>
      <c r="E226" s="123" t="s">
        <v>531</v>
      </c>
      <c r="F226" s="71">
        <v>11030780001</v>
      </c>
      <c r="G226" s="123" t="s">
        <v>65</v>
      </c>
      <c r="H226" s="124" t="s">
        <v>31</v>
      </c>
      <c r="I226" s="104">
        <v>0</v>
      </c>
      <c r="J226" s="117">
        <v>133.21000000000072</v>
      </c>
      <c r="K226" s="117">
        <v>2206.4899999999998</v>
      </c>
      <c r="L226" s="117">
        <f>IF(Tabela1[[#This Row],[SALDO PARCIAL PENDENTE]]-Tabela1[[#This Row],[1QZ DE FEV 26]]&lt;0,0,Tabela1[[#This Row],[SALDO PARCIAL PENDENTE]]-Tabela1[[#This Row],[1QZ DE FEV 26]])</f>
        <v>0</v>
      </c>
      <c r="M226" s="68">
        <v>2000</v>
      </c>
      <c r="N226" s="117">
        <v>236.49</v>
      </c>
      <c r="O226" s="72"/>
      <c r="P226" s="125">
        <f>Tabela1[[#This Row],[2QZ DE JAN 26]]-Tabela1[[#This Row],[SALDO PENDENTE FINAL]]-Tabela1[[#This Row],[SALDO CARTAO]]-Tabela1[[#This Row],[ADIANTAMENTO]]</f>
        <v>1763.51</v>
      </c>
      <c r="Q226" s="126"/>
      <c r="R226" s="130">
        <f>IF(Tabela1[[#This Row],[CARGA PARCIAL]]&lt;0,0,Tabela1[[#This Row],[CARGA PARCIAL]])+Tabela1[[#This Row],[REEMBOLSO]]</f>
        <v>1763.51</v>
      </c>
      <c r="S226" s="129" t="s">
        <v>22</v>
      </c>
      <c r="T226" s="72"/>
    </row>
    <row r="227" spans="2:20" x14ac:dyDescent="0.25">
      <c r="B227" s="121" t="s">
        <v>679</v>
      </c>
      <c r="C227" s="122" t="s">
        <v>680</v>
      </c>
      <c r="D227" s="115" t="s">
        <v>18</v>
      </c>
      <c r="E227" s="123" t="s">
        <v>113</v>
      </c>
      <c r="F227" s="71">
        <v>11061720001</v>
      </c>
      <c r="G227" s="123" t="s">
        <v>30</v>
      </c>
      <c r="H227" s="124" t="s">
        <v>31</v>
      </c>
      <c r="I227" s="104">
        <v>0</v>
      </c>
      <c r="J227" s="117">
        <v>125.99999999999436</v>
      </c>
      <c r="K227" s="117">
        <v>440.90000000000231</v>
      </c>
      <c r="L227" s="117">
        <f>IF(Tabela1[[#This Row],[SALDO PARCIAL PENDENTE]]-Tabela1[[#This Row],[1QZ DE FEV 26]]&lt;0,0,Tabela1[[#This Row],[SALDO PARCIAL PENDENTE]]-Tabela1[[#This Row],[1QZ DE FEV 26]])</f>
        <v>0</v>
      </c>
      <c r="M227" s="68">
        <v>800</v>
      </c>
      <c r="N227" s="117">
        <v>0.7</v>
      </c>
      <c r="O227" s="72"/>
      <c r="P227" s="125">
        <f>Tabela1[[#This Row],[2QZ DE JAN 26]]-Tabela1[[#This Row],[SALDO PENDENTE FINAL]]-Tabela1[[#This Row],[SALDO CARTAO]]-Tabela1[[#This Row],[ADIANTAMENTO]]</f>
        <v>799.3</v>
      </c>
      <c r="Q227" s="126"/>
      <c r="R227" s="130">
        <f>IF(Tabela1[[#This Row],[CARGA PARCIAL]]&lt;0,0,Tabela1[[#This Row],[CARGA PARCIAL]])+Tabela1[[#This Row],[REEMBOLSO]]</f>
        <v>799.3</v>
      </c>
      <c r="S227" s="129" t="s">
        <v>22</v>
      </c>
      <c r="T227" s="72"/>
    </row>
    <row r="228" spans="2:20" x14ac:dyDescent="0.25">
      <c r="B228" s="120" t="s">
        <v>386</v>
      </c>
      <c r="C228" s="114" t="s">
        <v>1568</v>
      </c>
      <c r="D228" s="115" t="s">
        <v>18</v>
      </c>
      <c r="E228" s="115" t="s">
        <v>73</v>
      </c>
      <c r="F228" s="71">
        <v>11040140001</v>
      </c>
      <c r="G228" s="123" t="s">
        <v>39</v>
      </c>
      <c r="H228" s="116" t="s">
        <v>31</v>
      </c>
      <c r="I228" s="104">
        <v>0</v>
      </c>
      <c r="J228" s="117">
        <v>124.39999999999998</v>
      </c>
      <c r="K228" s="117">
        <v>0</v>
      </c>
      <c r="L228" s="117">
        <f>IF(Tabela1[[#This Row],[SALDO PARCIAL PENDENTE]]-Tabela1[[#This Row],[1QZ DE FEV 26]]&lt;0,0,Tabela1[[#This Row],[SALDO PARCIAL PENDENTE]]-Tabela1[[#This Row],[1QZ DE FEV 26]])</f>
        <v>124.39999999999998</v>
      </c>
      <c r="M228" s="68">
        <v>100</v>
      </c>
      <c r="N228" s="117">
        <v>0</v>
      </c>
      <c r="O228" s="69"/>
      <c r="P228" s="118">
        <f>Tabela1[[#This Row],[2QZ DE JAN 26]]-Tabela1[[#This Row],[SALDO PENDENTE FINAL]]-Tabela1[[#This Row],[SALDO CARTAO]]-Tabela1[[#This Row],[ADIANTAMENTO]]</f>
        <v>-24.399999999999977</v>
      </c>
      <c r="Q228" s="119"/>
      <c r="R228" s="130">
        <f>IF(Tabela1[[#This Row],[CARGA PARCIAL]]&lt;0,0,Tabela1[[#This Row],[CARGA PARCIAL]])+Tabela1[[#This Row],[REEMBOLSO]]</f>
        <v>0</v>
      </c>
      <c r="S228" s="129" t="s">
        <v>22</v>
      </c>
      <c r="T228" s="69"/>
    </row>
    <row r="229" spans="2:20" x14ac:dyDescent="0.25">
      <c r="B229" s="121" t="s">
        <v>638</v>
      </c>
      <c r="C229" s="122" t="s">
        <v>639</v>
      </c>
      <c r="D229" s="115" t="s">
        <v>18</v>
      </c>
      <c r="E229" s="123" t="s">
        <v>113</v>
      </c>
      <c r="F229" s="71">
        <v>11061720001</v>
      </c>
      <c r="G229" s="127" t="s">
        <v>30</v>
      </c>
      <c r="H229" s="124" t="s">
        <v>31</v>
      </c>
      <c r="I229" s="104">
        <v>0</v>
      </c>
      <c r="J229" s="117">
        <v>117.700000000004</v>
      </c>
      <c r="K229" s="117">
        <v>787.1</v>
      </c>
      <c r="L229" s="117">
        <f>IF(Tabela1[[#This Row],[SALDO PARCIAL PENDENTE]]-Tabela1[[#This Row],[1QZ DE FEV 26]]&lt;0,0,Tabela1[[#This Row],[SALDO PARCIAL PENDENTE]]-Tabela1[[#This Row],[1QZ DE FEV 26]])</f>
        <v>0</v>
      </c>
      <c r="M229" s="68">
        <v>800</v>
      </c>
      <c r="N229" s="117">
        <v>183.4</v>
      </c>
      <c r="O229" s="72"/>
      <c r="P229" s="125">
        <f>Tabela1[[#This Row],[2QZ DE JAN 26]]-Tabela1[[#This Row],[SALDO PENDENTE FINAL]]-Tabela1[[#This Row],[SALDO CARTAO]]-Tabela1[[#This Row],[ADIANTAMENTO]]</f>
        <v>616.6</v>
      </c>
      <c r="Q229" s="126"/>
      <c r="R229" s="130">
        <f>IF(Tabela1[[#This Row],[CARGA PARCIAL]]&lt;0,0,Tabela1[[#This Row],[CARGA PARCIAL]])+Tabela1[[#This Row],[REEMBOLSO]]</f>
        <v>616.6</v>
      </c>
      <c r="S229" s="129" t="s">
        <v>22</v>
      </c>
      <c r="T229" s="72"/>
    </row>
    <row r="230" spans="2:20" x14ac:dyDescent="0.25">
      <c r="B230" s="121" t="s">
        <v>671</v>
      </c>
      <c r="C230" s="122" t="s">
        <v>672</v>
      </c>
      <c r="D230" s="115" t="s">
        <v>18</v>
      </c>
      <c r="E230" s="123" t="s">
        <v>38</v>
      </c>
      <c r="F230" s="71">
        <v>11040130001</v>
      </c>
      <c r="G230" s="123" t="s">
        <v>39</v>
      </c>
      <c r="H230" s="124" t="s">
        <v>31</v>
      </c>
      <c r="I230" s="104">
        <v>0</v>
      </c>
      <c r="J230" s="117">
        <v>114.57</v>
      </c>
      <c r="K230" s="117">
        <v>159.5</v>
      </c>
      <c r="L230" s="117">
        <f>IF(Tabela1[[#This Row],[SALDO PARCIAL PENDENTE]]-Tabela1[[#This Row],[1QZ DE FEV 26]]&lt;0,0,Tabela1[[#This Row],[SALDO PARCIAL PENDENTE]]-Tabela1[[#This Row],[1QZ DE FEV 26]])</f>
        <v>0</v>
      </c>
      <c r="M230" s="68">
        <v>160</v>
      </c>
      <c r="N230" s="117">
        <v>45.43</v>
      </c>
      <c r="O230" s="72"/>
      <c r="P230" s="125">
        <f>Tabela1[[#This Row],[2QZ DE JAN 26]]-Tabela1[[#This Row],[SALDO PENDENTE FINAL]]-Tabela1[[#This Row],[SALDO CARTAO]]-Tabela1[[#This Row],[ADIANTAMENTO]]</f>
        <v>114.57</v>
      </c>
      <c r="Q230" s="126"/>
      <c r="R230" s="130">
        <f>IF(Tabela1[[#This Row],[CARGA PARCIAL]]&lt;0,0,Tabela1[[#This Row],[CARGA PARCIAL]])+Tabela1[[#This Row],[REEMBOLSO]]</f>
        <v>114.57</v>
      </c>
      <c r="S230" s="129" t="s">
        <v>22</v>
      </c>
      <c r="T230" s="72"/>
    </row>
    <row r="231" spans="2:20" x14ac:dyDescent="0.25">
      <c r="B231" s="121" t="s">
        <v>543</v>
      </c>
      <c r="C231" s="122" t="s">
        <v>544</v>
      </c>
      <c r="D231" s="115" t="s">
        <v>18</v>
      </c>
      <c r="E231" s="123" t="s">
        <v>181</v>
      </c>
      <c r="F231" s="71">
        <v>11062020001</v>
      </c>
      <c r="G231" s="123" t="s">
        <v>30</v>
      </c>
      <c r="H231" s="124" t="s">
        <v>31</v>
      </c>
      <c r="I231" s="104">
        <v>0</v>
      </c>
      <c r="J231" s="117">
        <v>105.43</v>
      </c>
      <c r="K231" s="117">
        <v>99.230000000000018</v>
      </c>
      <c r="L231" s="117">
        <f>IF(Tabela1[[#This Row],[SALDO PARCIAL PENDENTE]]-Tabela1[[#This Row],[1QZ DE FEV 26]]&lt;0,0,Tabela1[[#This Row],[SALDO PARCIAL PENDENTE]]-Tabela1[[#This Row],[1QZ DE FEV 26]])</f>
        <v>6.1999999999999886</v>
      </c>
      <c r="M231" s="68">
        <v>250</v>
      </c>
      <c r="N231" s="117">
        <v>144.57</v>
      </c>
      <c r="O231" s="72"/>
      <c r="P231" s="125">
        <f>Tabela1[[#This Row],[2QZ DE JAN 26]]-Tabela1[[#This Row],[SALDO PENDENTE FINAL]]-Tabela1[[#This Row],[SALDO CARTAO]]-Tabela1[[#This Row],[ADIANTAMENTO]]</f>
        <v>99.230000000000018</v>
      </c>
      <c r="Q231" s="126"/>
      <c r="R231" s="130">
        <f>IF(Tabela1[[#This Row],[CARGA PARCIAL]]&lt;0,0,Tabela1[[#This Row],[CARGA PARCIAL]])+Tabela1[[#This Row],[REEMBOLSO]]</f>
        <v>99.230000000000018</v>
      </c>
      <c r="S231" s="129" t="s">
        <v>22</v>
      </c>
      <c r="T231" s="72"/>
    </row>
    <row r="232" spans="2:20" x14ac:dyDescent="0.25">
      <c r="B232" s="120" t="s">
        <v>66</v>
      </c>
      <c r="C232" s="114" t="s">
        <v>1605</v>
      </c>
      <c r="D232" s="115" t="s">
        <v>18</v>
      </c>
      <c r="E232" s="115" t="s">
        <v>67</v>
      </c>
      <c r="F232" s="71">
        <v>11061890001</v>
      </c>
      <c r="G232" s="123" t="s">
        <v>30</v>
      </c>
      <c r="H232" s="116" t="s">
        <v>31</v>
      </c>
      <c r="I232" s="104">
        <v>0</v>
      </c>
      <c r="J232" s="117">
        <v>105.42999999999665</v>
      </c>
      <c r="K232" s="117">
        <v>0</v>
      </c>
      <c r="L232" s="117">
        <f>IF(Tabela1[[#This Row],[SALDO PARCIAL PENDENTE]]-Tabela1[[#This Row],[1QZ DE FEV 26]]&lt;0,0,Tabela1[[#This Row],[SALDO PARCIAL PENDENTE]]-Tabela1[[#This Row],[1QZ DE FEV 26]])</f>
        <v>105.42999999999665</v>
      </c>
      <c r="M232" s="68">
        <v>500</v>
      </c>
      <c r="N232" s="117">
        <v>5</v>
      </c>
      <c r="O232" s="69"/>
      <c r="P232" s="118">
        <f>Tabela1[[#This Row],[2QZ DE JAN 26]]-Tabela1[[#This Row],[SALDO PENDENTE FINAL]]-Tabela1[[#This Row],[SALDO CARTAO]]-Tabela1[[#This Row],[ADIANTAMENTO]]</f>
        <v>389.57000000000335</v>
      </c>
      <c r="Q232" s="119"/>
      <c r="R232" s="130">
        <f>IF(Tabela1[[#This Row],[CARGA PARCIAL]]&lt;0,0,Tabela1[[#This Row],[CARGA PARCIAL]])+Tabela1[[#This Row],[REEMBOLSO]]</f>
        <v>389.57000000000335</v>
      </c>
      <c r="S232" s="129" t="s">
        <v>22</v>
      </c>
      <c r="T232" s="69"/>
    </row>
    <row r="233" spans="2:20" x14ac:dyDescent="0.25">
      <c r="B233" s="121" t="s">
        <v>339</v>
      </c>
      <c r="C233" s="122" t="s">
        <v>1580</v>
      </c>
      <c r="D233" s="115" t="s">
        <v>18</v>
      </c>
      <c r="E233" s="123" t="s">
        <v>71</v>
      </c>
      <c r="F233" s="71">
        <v>11061810001</v>
      </c>
      <c r="G233" s="127" t="s">
        <v>34</v>
      </c>
      <c r="H233" s="124" t="s">
        <v>31</v>
      </c>
      <c r="I233" s="104">
        <v>0</v>
      </c>
      <c r="J233" s="117">
        <v>100</v>
      </c>
      <c r="K233" s="117">
        <v>0</v>
      </c>
      <c r="L233" s="117">
        <f>IF(Tabela1[[#This Row],[SALDO PARCIAL PENDENTE]]-Tabela1[[#This Row],[1QZ DE FEV 26]]&lt;0,0,Tabela1[[#This Row],[SALDO PARCIAL PENDENTE]]-Tabela1[[#This Row],[1QZ DE FEV 26]])</f>
        <v>100</v>
      </c>
      <c r="M233" s="68">
        <v>100</v>
      </c>
      <c r="N233" s="117">
        <v>0</v>
      </c>
      <c r="O233" s="72"/>
      <c r="P233" s="125">
        <f>Tabela1[[#This Row],[2QZ DE JAN 26]]-Tabela1[[#This Row],[SALDO PENDENTE FINAL]]-Tabela1[[#This Row],[SALDO CARTAO]]-Tabela1[[#This Row],[ADIANTAMENTO]]</f>
        <v>0</v>
      </c>
      <c r="Q233" s="126"/>
      <c r="R233" s="130">
        <f>IF(Tabela1[[#This Row],[CARGA PARCIAL]]&lt;0,0,Tabela1[[#This Row],[CARGA PARCIAL]])+Tabela1[[#This Row],[REEMBOLSO]]</f>
        <v>0</v>
      </c>
      <c r="S233" s="129" t="s">
        <v>22</v>
      </c>
      <c r="T233" s="72"/>
    </row>
    <row r="234" spans="2:20" x14ac:dyDescent="0.25">
      <c r="B234" s="121" t="s">
        <v>411</v>
      </c>
      <c r="C234" s="122" t="s">
        <v>412</v>
      </c>
      <c r="D234" s="115" t="s">
        <v>18</v>
      </c>
      <c r="E234" s="123" t="s">
        <v>73</v>
      </c>
      <c r="F234" s="71">
        <v>11040140001</v>
      </c>
      <c r="G234" s="123" t="s">
        <v>39</v>
      </c>
      <c r="H234" s="124" t="s">
        <v>31</v>
      </c>
      <c r="I234" s="104">
        <v>0</v>
      </c>
      <c r="J234" s="117">
        <v>100</v>
      </c>
      <c r="K234" s="117">
        <v>0</v>
      </c>
      <c r="L234" s="117">
        <f>IF(Tabela1[[#This Row],[SALDO PARCIAL PENDENTE]]-Tabela1[[#This Row],[1QZ DE FEV 26]]&lt;0,0,Tabela1[[#This Row],[SALDO PARCIAL PENDENTE]]-Tabela1[[#This Row],[1QZ DE FEV 26]])</f>
        <v>100</v>
      </c>
      <c r="M234" s="68">
        <v>50</v>
      </c>
      <c r="N234" s="117">
        <v>0</v>
      </c>
      <c r="O234" s="72"/>
      <c r="P234" s="125">
        <f>Tabela1[[#This Row],[2QZ DE JAN 26]]-Tabela1[[#This Row],[SALDO PENDENTE FINAL]]-Tabela1[[#This Row],[SALDO CARTAO]]-Tabela1[[#This Row],[ADIANTAMENTO]]</f>
        <v>-50</v>
      </c>
      <c r="Q234" s="126"/>
      <c r="R234" s="130">
        <f>IF(Tabela1[[#This Row],[CARGA PARCIAL]]&lt;0,0,Tabela1[[#This Row],[CARGA PARCIAL]])+Tabela1[[#This Row],[REEMBOLSO]]</f>
        <v>0</v>
      </c>
      <c r="S234" s="129" t="s">
        <v>22</v>
      </c>
      <c r="T234" s="72"/>
    </row>
    <row r="235" spans="2:20" x14ac:dyDescent="0.25">
      <c r="B235" s="120" t="s">
        <v>426</v>
      </c>
      <c r="C235" s="114" t="s">
        <v>427</v>
      </c>
      <c r="D235" s="115" t="s">
        <v>18</v>
      </c>
      <c r="E235" s="115" t="s">
        <v>73</v>
      </c>
      <c r="F235" s="71">
        <v>11040140001</v>
      </c>
      <c r="G235" s="123" t="s">
        <v>39</v>
      </c>
      <c r="H235" s="116" t="s">
        <v>31</v>
      </c>
      <c r="I235" s="104">
        <v>0</v>
      </c>
      <c r="J235" s="117">
        <v>100</v>
      </c>
      <c r="K235" s="117">
        <v>0</v>
      </c>
      <c r="L235" s="117">
        <f>IF(Tabela1[[#This Row],[SALDO PARCIAL PENDENTE]]-Tabela1[[#This Row],[1QZ DE FEV 26]]&lt;0,0,Tabela1[[#This Row],[SALDO PARCIAL PENDENTE]]-Tabela1[[#This Row],[1QZ DE FEV 26]])</f>
        <v>100</v>
      </c>
      <c r="M235" s="68">
        <v>100</v>
      </c>
      <c r="N235" s="117">
        <v>0</v>
      </c>
      <c r="O235" s="69"/>
      <c r="P235" s="118">
        <f>Tabela1[[#This Row],[2QZ DE JAN 26]]-Tabela1[[#This Row],[SALDO PENDENTE FINAL]]-Tabela1[[#This Row],[SALDO CARTAO]]-Tabela1[[#This Row],[ADIANTAMENTO]]</f>
        <v>0</v>
      </c>
      <c r="Q235" s="119"/>
      <c r="R235" s="130">
        <f>IF(Tabela1[[#This Row],[CARGA PARCIAL]]&lt;0,0,Tabela1[[#This Row],[CARGA PARCIAL]])+Tabela1[[#This Row],[REEMBOLSO]]</f>
        <v>0</v>
      </c>
      <c r="S235" s="129" t="s">
        <v>1823</v>
      </c>
      <c r="T235" s="69"/>
    </row>
    <row r="236" spans="2:20" x14ac:dyDescent="0.25">
      <c r="B236" s="120" t="s">
        <v>182</v>
      </c>
      <c r="C236" s="114" t="s">
        <v>1781</v>
      </c>
      <c r="D236" s="115" t="s">
        <v>18</v>
      </c>
      <c r="E236" s="115" t="s">
        <v>73</v>
      </c>
      <c r="F236" s="71">
        <v>11040140001</v>
      </c>
      <c r="G236" s="127" t="s">
        <v>39</v>
      </c>
      <c r="H236" s="116" t="s">
        <v>31</v>
      </c>
      <c r="I236" s="104">
        <v>0</v>
      </c>
      <c r="J236" s="117">
        <v>98</v>
      </c>
      <c r="K236" s="117">
        <v>63.379999999999946</v>
      </c>
      <c r="L236" s="117">
        <f>IF(Tabela1[[#This Row],[SALDO PARCIAL PENDENTE]]-Tabela1[[#This Row],[1QZ DE FEV 26]]&lt;0,0,Tabela1[[#This Row],[SALDO PARCIAL PENDENTE]]-Tabela1[[#This Row],[1QZ DE FEV 26]])</f>
        <v>34.620000000000054</v>
      </c>
      <c r="M236" s="68">
        <v>100</v>
      </c>
      <c r="N236" s="117">
        <v>2</v>
      </c>
      <c r="O236" s="69"/>
      <c r="P236" s="118">
        <f>Tabela1[[#This Row],[2QZ DE JAN 26]]-Tabela1[[#This Row],[SALDO PENDENTE FINAL]]-Tabela1[[#This Row],[SALDO CARTAO]]-Tabela1[[#This Row],[ADIANTAMENTO]]</f>
        <v>63.379999999999939</v>
      </c>
      <c r="Q236" s="119"/>
      <c r="R236" s="130">
        <f>IF(Tabela1[[#This Row],[CARGA PARCIAL]]&lt;0,0,Tabela1[[#This Row],[CARGA PARCIAL]])+Tabela1[[#This Row],[REEMBOLSO]]</f>
        <v>63.379999999999939</v>
      </c>
      <c r="S236" s="129" t="s">
        <v>22</v>
      </c>
      <c r="T236" s="69"/>
    </row>
    <row r="237" spans="2:20" x14ac:dyDescent="0.25">
      <c r="B237" s="120" t="s">
        <v>579</v>
      </c>
      <c r="C237" s="114" t="s">
        <v>580</v>
      </c>
      <c r="D237" s="115" t="s">
        <v>18</v>
      </c>
      <c r="E237" s="115" t="s">
        <v>38</v>
      </c>
      <c r="F237" s="71">
        <v>11040130001</v>
      </c>
      <c r="G237" s="127" t="s">
        <v>39</v>
      </c>
      <c r="H237" s="116" t="s">
        <v>31</v>
      </c>
      <c r="I237" s="104">
        <v>0</v>
      </c>
      <c r="J237" s="117">
        <v>94.85</v>
      </c>
      <c r="K237" s="117">
        <v>90</v>
      </c>
      <c r="L237" s="117">
        <f>IF(Tabela1[[#This Row],[SALDO PARCIAL PENDENTE]]-Tabela1[[#This Row],[1QZ DE FEV 26]]&lt;0,0,Tabela1[[#This Row],[SALDO PARCIAL PENDENTE]]-Tabela1[[#This Row],[1QZ DE FEV 26]])</f>
        <v>4.8499999999999943</v>
      </c>
      <c r="M237" s="68">
        <v>120</v>
      </c>
      <c r="N237" s="117">
        <v>25.15</v>
      </c>
      <c r="O237" s="69"/>
      <c r="P237" s="118">
        <f>Tabela1[[#This Row],[2QZ DE JAN 26]]-Tabela1[[#This Row],[SALDO PENDENTE FINAL]]-Tabela1[[#This Row],[SALDO CARTAO]]-Tabela1[[#This Row],[ADIANTAMENTO]]</f>
        <v>90</v>
      </c>
      <c r="Q237" s="119"/>
      <c r="R237" s="130">
        <f>IF(Tabela1[[#This Row],[CARGA PARCIAL]]&lt;0,0,Tabela1[[#This Row],[CARGA PARCIAL]])+Tabela1[[#This Row],[REEMBOLSO]]</f>
        <v>90</v>
      </c>
      <c r="S237" s="129" t="s">
        <v>22</v>
      </c>
      <c r="T237" s="69"/>
    </row>
    <row r="238" spans="2:20" x14ac:dyDescent="0.25">
      <c r="B238" s="120" t="s">
        <v>356</v>
      </c>
      <c r="C238" s="114" t="s">
        <v>1632</v>
      </c>
      <c r="D238" s="115" t="s">
        <v>18</v>
      </c>
      <c r="E238" s="115" t="s">
        <v>113</v>
      </c>
      <c r="F238" s="71">
        <v>11061720001</v>
      </c>
      <c r="G238" s="127" t="s">
        <v>30</v>
      </c>
      <c r="H238" s="116" t="s">
        <v>31</v>
      </c>
      <c r="I238" s="104">
        <v>0</v>
      </c>
      <c r="J238" s="117">
        <v>93.890000000004875</v>
      </c>
      <c r="K238" s="117">
        <v>800</v>
      </c>
      <c r="L238" s="117">
        <f>IF(Tabela1[[#This Row],[SALDO PARCIAL PENDENTE]]-Tabela1[[#This Row],[1QZ DE FEV 26]]&lt;0,0,Tabela1[[#This Row],[SALDO PARCIAL PENDENTE]]-Tabela1[[#This Row],[1QZ DE FEV 26]])</f>
        <v>0</v>
      </c>
      <c r="M238" s="68">
        <v>800</v>
      </c>
      <c r="N238" s="117">
        <v>0</v>
      </c>
      <c r="O238" s="69"/>
      <c r="P238" s="118">
        <f>Tabela1[[#This Row],[2QZ DE JAN 26]]-Tabela1[[#This Row],[SALDO PENDENTE FINAL]]-Tabela1[[#This Row],[SALDO CARTAO]]-Tabela1[[#This Row],[ADIANTAMENTO]]</f>
        <v>800</v>
      </c>
      <c r="Q238" s="119"/>
      <c r="R238" s="130">
        <f>IF(Tabela1[[#This Row],[CARGA PARCIAL]]&lt;0,0,Tabela1[[#This Row],[CARGA PARCIAL]])+Tabela1[[#This Row],[REEMBOLSO]]</f>
        <v>800</v>
      </c>
      <c r="S238" s="129" t="s">
        <v>22</v>
      </c>
      <c r="T238" s="69"/>
    </row>
    <row r="239" spans="2:20" x14ac:dyDescent="0.25">
      <c r="B239" s="121" t="s">
        <v>180</v>
      </c>
      <c r="C239" s="122" t="s">
        <v>1510</v>
      </c>
      <c r="D239" s="115" t="s">
        <v>18</v>
      </c>
      <c r="E239" s="123" t="s">
        <v>181</v>
      </c>
      <c r="F239" s="71">
        <v>11062020001</v>
      </c>
      <c r="G239" s="127" t="s">
        <v>30</v>
      </c>
      <c r="H239" s="124" t="s">
        <v>31</v>
      </c>
      <c r="I239" s="104">
        <v>0</v>
      </c>
      <c r="J239" s="117">
        <v>93.289999999987685</v>
      </c>
      <c r="K239" s="117">
        <v>891.31000000001222</v>
      </c>
      <c r="L239" s="117">
        <f>IF(Tabela1[[#This Row],[SALDO PARCIAL PENDENTE]]-Tabela1[[#This Row],[1QZ DE FEV 26]]&lt;0,0,Tabela1[[#This Row],[SALDO PARCIAL PENDENTE]]-Tabela1[[#This Row],[1QZ DE FEV 26]])</f>
        <v>0</v>
      </c>
      <c r="M239" s="68">
        <v>1000</v>
      </c>
      <c r="N239" s="117">
        <v>2603.15</v>
      </c>
      <c r="O239" s="72"/>
      <c r="P239" s="125">
        <f>Tabela1[[#This Row],[2QZ DE JAN 26]]-Tabela1[[#This Row],[SALDO PENDENTE FINAL]]-Tabela1[[#This Row],[SALDO CARTAO]]-Tabela1[[#This Row],[ADIANTAMENTO]]</f>
        <v>-1603.15</v>
      </c>
      <c r="Q239" s="126"/>
      <c r="R239" s="130">
        <f>IF(Tabela1[[#This Row],[CARGA PARCIAL]]&lt;0,0,Tabela1[[#This Row],[CARGA PARCIAL]])+Tabela1[[#This Row],[REEMBOLSO]]</f>
        <v>0</v>
      </c>
      <c r="S239" s="129" t="s">
        <v>22</v>
      </c>
      <c r="T239" s="72"/>
    </row>
    <row r="240" spans="2:20" x14ac:dyDescent="0.25">
      <c r="B240" s="120" t="s">
        <v>375</v>
      </c>
      <c r="C240" s="114" t="s">
        <v>1811</v>
      </c>
      <c r="D240" s="115" t="s">
        <v>18</v>
      </c>
      <c r="E240" s="115" t="s">
        <v>113</v>
      </c>
      <c r="F240" s="71">
        <v>11061720001</v>
      </c>
      <c r="G240" s="123" t="s">
        <v>30</v>
      </c>
      <c r="H240" s="116" t="s">
        <v>31</v>
      </c>
      <c r="I240" s="104">
        <v>0</v>
      </c>
      <c r="J240" s="117">
        <v>91.930000000001129</v>
      </c>
      <c r="K240" s="117">
        <v>675.41999999999916</v>
      </c>
      <c r="L240" s="117">
        <f>IF(Tabela1[[#This Row],[SALDO PARCIAL PENDENTE]]-Tabela1[[#This Row],[1QZ DE FEV 26]]&lt;0,0,Tabela1[[#This Row],[SALDO PARCIAL PENDENTE]]-Tabela1[[#This Row],[1QZ DE FEV 26]])</f>
        <v>0</v>
      </c>
      <c r="M240" s="68">
        <v>800</v>
      </c>
      <c r="N240" s="117">
        <v>4.58</v>
      </c>
      <c r="O240" s="69"/>
      <c r="P240" s="118">
        <f>Tabela1[[#This Row],[2QZ DE JAN 26]]-Tabela1[[#This Row],[SALDO PENDENTE FINAL]]-Tabela1[[#This Row],[SALDO CARTAO]]-Tabela1[[#This Row],[ADIANTAMENTO]]</f>
        <v>795.42</v>
      </c>
      <c r="Q240" s="119"/>
      <c r="R240" s="130">
        <f>IF(Tabela1[[#This Row],[CARGA PARCIAL]]&lt;0,0,Tabela1[[#This Row],[CARGA PARCIAL]])+Tabela1[[#This Row],[REEMBOLSO]]</f>
        <v>795.42</v>
      </c>
      <c r="S240" s="129" t="s">
        <v>22</v>
      </c>
      <c r="T240" s="69"/>
    </row>
    <row r="241" spans="2:20" x14ac:dyDescent="0.25">
      <c r="B241" s="121" t="s">
        <v>282</v>
      </c>
      <c r="C241" s="122" t="s">
        <v>1569</v>
      </c>
      <c r="D241" s="115" t="s">
        <v>18</v>
      </c>
      <c r="E241" s="123" t="s">
        <v>181</v>
      </c>
      <c r="F241" s="71">
        <v>11062020001</v>
      </c>
      <c r="G241" s="127" t="s">
        <v>30</v>
      </c>
      <c r="H241" s="124" t="s">
        <v>31</v>
      </c>
      <c r="I241" s="104">
        <v>0</v>
      </c>
      <c r="J241" s="117">
        <v>83.849999999999667</v>
      </c>
      <c r="K241" s="117">
        <v>0</v>
      </c>
      <c r="L241" s="117">
        <f>IF(Tabela1[[#This Row],[SALDO PARCIAL PENDENTE]]-Tabela1[[#This Row],[1QZ DE FEV 26]]&lt;0,0,Tabela1[[#This Row],[SALDO PARCIAL PENDENTE]]-Tabela1[[#This Row],[1QZ DE FEV 26]])</f>
        <v>83.849999999999667</v>
      </c>
      <c r="M241" s="68">
        <v>250</v>
      </c>
      <c r="N241" s="117">
        <v>110.02</v>
      </c>
      <c r="O241" s="72"/>
      <c r="P241" s="125">
        <f>Tabela1[[#This Row],[2QZ DE JAN 26]]-Tabela1[[#This Row],[SALDO PENDENTE FINAL]]-Tabela1[[#This Row],[SALDO CARTAO]]-Tabela1[[#This Row],[ADIANTAMENTO]]</f>
        <v>56.130000000000322</v>
      </c>
      <c r="Q241" s="126"/>
      <c r="R241" s="130">
        <f>IF(Tabela1[[#This Row],[CARGA PARCIAL]]&lt;0,0,Tabela1[[#This Row],[CARGA PARCIAL]])+Tabela1[[#This Row],[REEMBOLSO]]</f>
        <v>56.130000000000322</v>
      </c>
      <c r="S241" s="129" t="s">
        <v>22</v>
      </c>
      <c r="T241" s="72"/>
    </row>
    <row r="242" spans="2:20" x14ac:dyDescent="0.25">
      <c r="B242" s="121" t="s">
        <v>556</v>
      </c>
      <c r="C242" s="122" t="s">
        <v>557</v>
      </c>
      <c r="D242" s="115" t="s">
        <v>18</v>
      </c>
      <c r="E242" s="123" t="s">
        <v>391</v>
      </c>
      <c r="F242" s="71">
        <v>11062630001</v>
      </c>
      <c r="G242" s="123" t="s">
        <v>30</v>
      </c>
      <c r="H242" s="124" t="s">
        <v>31</v>
      </c>
      <c r="I242" s="104">
        <v>0</v>
      </c>
      <c r="J242" s="117">
        <v>82.999999999998067</v>
      </c>
      <c r="K242" s="117">
        <v>1014.16</v>
      </c>
      <c r="L242" s="117">
        <f>IF(Tabela1[[#This Row],[SALDO PARCIAL PENDENTE]]-Tabela1[[#This Row],[1QZ DE FEV 26]]&lt;0,0,Tabela1[[#This Row],[SALDO PARCIAL PENDENTE]]-Tabela1[[#This Row],[1QZ DE FEV 26]])</f>
        <v>0</v>
      </c>
      <c r="M242" s="68">
        <v>1000</v>
      </c>
      <c r="N242" s="117">
        <v>852.16</v>
      </c>
      <c r="O242" s="72"/>
      <c r="P242" s="125">
        <f>Tabela1[[#This Row],[2QZ DE JAN 26]]-Tabela1[[#This Row],[SALDO PENDENTE FINAL]]-Tabela1[[#This Row],[SALDO CARTAO]]-Tabela1[[#This Row],[ADIANTAMENTO]]</f>
        <v>147.84000000000003</v>
      </c>
      <c r="Q242" s="126"/>
      <c r="R242" s="130">
        <f>IF(Tabela1[[#This Row],[CARGA PARCIAL]]&lt;0,0,Tabela1[[#This Row],[CARGA PARCIAL]])+Tabela1[[#This Row],[REEMBOLSO]]</f>
        <v>147.84000000000003</v>
      </c>
      <c r="S242" s="129" t="s">
        <v>22</v>
      </c>
      <c r="T242" s="72"/>
    </row>
    <row r="243" spans="2:20" x14ac:dyDescent="0.25">
      <c r="B243" s="120" t="s">
        <v>715</v>
      </c>
      <c r="C243" s="114" t="s">
        <v>716</v>
      </c>
      <c r="D243" s="115" t="s">
        <v>18</v>
      </c>
      <c r="E243" s="115" t="s">
        <v>38</v>
      </c>
      <c r="F243" s="71">
        <v>11040130001</v>
      </c>
      <c r="G243" s="123" t="s">
        <v>39</v>
      </c>
      <c r="H243" s="116" t="s">
        <v>31</v>
      </c>
      <c r="I243" s="104">
        <v>0</v>
      </c>
      <c r="J243" s="117">
        <v>82.3</v>
      </c>
      <c r="K243" s="117">
        <v>37.700000000000045</v>
      </c>
      <c r="L243" s="117">
        <f>IF(Tabela1[[#This Row],[SALDO PARCIAL PENDENTE]]-Tabela1[[#This Row],[1QZ DE FEV 26]]&lt;0,0,Tabela1[[#This Row],[SALDO PARCIAL PENDENTE]]-Tabela1[[#This Row],[1QZ DE FEV 26]])</f>
        <v>44.599999999999952</v>
      </c>
      <c r="M243" s="68">
        <v>120</v>
      </c>
      <c r="N243" s="117">
        <v>37.700000000000003</v>
      </c>
      <c r="O243" s="69"/>
      <c r="P243" s="118">
        <f>Tabela1[[#This Row],[2QZ DE JAN 26]]-Tabela1[[#This Row],[SALDO PENDENTE FINAL]]-Tabela1[[#This Row],[SALDO CARTAO]]-Tabela1[[#This Row],[ADIANTAMENTO]]</f>
        <v>37.700000000000045</v>
      </c>
      <c r="Q243" s="119"/>
      <c r="R243" s="130">
        <f>IF(Tabela1[[#This Row],[CARGA PARCIAL]]&lt;0,0,Tabela1[[#This Row],[CARGA PARCIAL]])+Tabela1[[#This Row],[REEMBOLSO]]</f>
        <v>37.700000000000045</v>
      </c>
      <c r="S243" s="129" t="s">
        <v>22</v>
      </c>
      <c r="T243" s="69"/>
    </row>
    <row r="244" spans="2:20" x14ac:dyDescent="0.25">
      <c r="B244" s="121" t="s">
        <v>237</v>
      </c>
      <c r="C244" s="122" t="s">
        <v>238</v>
      </c>
      <c r="D244" s="115" t="s">
        <v>18</v>
      </c>
      <c r="E244" s="123" t="s">
        <v>73</v>
      </c>
      <c r="F244" s="71">
        <v>11040140001</v>
      </c>
      <c r="G244" s="127" t="s">
        <v>39</v>
      </c>
      <c r="H244" s="124" t="s">
        <v>31</v>
      </c>
      <c r="I244" s="104">
        <v>0</v>
      </c>
      <c r="J244" s="117">
        <v>80</v>
      </c>
      <c r="K244" s="117">
        <v>0</v>
      </c>
      <c r="L244" s="117">
        <f>IF(Tabela1[[#This Row],[SALDO PARCIAL PENDENTE]]-Tabela1[[#This Row],[1QZ DE FEV 26]]&lt;0,0,Tabela1[[#This Row],[SALDO PARCIAL PENDENTE]]-Tabela1[[#This Row],[1QZ DE FEV 26]])</f>
        <v>80</v>
      </c>
      <c r="M244" s="68">
        <v>100</v>
      </c>
      <c r="N244" s="117">
        <v>50</v>
      </c>
      <c r="O244" s="72"/>
      <c r="P244" s="125">
        <f>Tabela1[[#This Row],[2QZ DE JAN 26]]-Tabela1[[#This Row],[SALDO PENDENTE FINAL]]-Tabela1[[#This Row],[SALDO CARTAO]]-Tabela1[[#This Row],[ADIANTAMENTO]]</f>
        <v>-30</v>
      </c>
      <c r="Q244" s="126"/>
      <c r="R244" s="130">
        <f>IF(Tabela1[[#This Row],[CARGA PARCIAL]]&lt;0,0,Tabela1[[#This Row],[CARGA PARCIAL]])+Tabela1[[#This Row],[REEMBOLSO]]</f>
        <v>0</v>
      </c>
      <c r="S244" s="129" t="s">
        <v>22</v>
      </c>
      <c r="T244" s="72"/>
    </row>
    <row r="245" spans="2:20" x14ac:dyDescent="0.25">
      <c r="B245" s="121" t="s">
        <v>198</v>
      </c>
      <c r="C245" s="122" t="s">
        <v>1676</v>
      </c>
      <c r="D245" s="115" t="s">
        <v>18</v>
      </c>
      <c r="E245" s="123" t="s">
        <v>38</v>
      </c>
      <c r="F245" s="71">
        <v>11040130001</v>
      </c>
      <c r="G245" s="123" t="s">
        <v>39</v>
      </c>
      <c r="H245" s="124" t="s">
        <v>31</v>
      </c>
      <c r="I245" s="104">
        <v>0</v>
      </c>
      <c r="J245" s="117">
        <v>79.799999999999429</v>
      </c>
      <c r="K245" s="117">
        <v>71.500000000000455</v>
      </c>
      <c r="L245" s="117">
        <f>IF(Tabela1[[#This Row],[SALDO PARCIAL PENDENTE]]-Tabela1[[#This Row],[1QZ DE FEV 26]]&lt;0,0,Tabela1[[#This Row],[SALDO PARCIAL PENDENTE]]-Tabela1[[#This Row],[1QZ DE FEV 26]])</f>
        <v>8.299999999998974</v>
      </c>
      <c r="M245" s="68">
        <v>120</v>
      </c>
      <c r="N245" s="117">
        <v>40.200000000000003</v>
      </c>
      <c r="O245" s="72"/>
      <c r="P245" s="125">
        <f>Tabela1[[#This Row],[2QZ DE JAN 26]]-Tabela1[[#This Row],[SALDO PENDENTE FINAL]]-Tabela1[[#This Row],[SALDO CARTAO]]-Tabela1[[#This Row],[ADIANTAMENTO]]</f>
        <v>71.500000000001023</v>
      </c>
      <c r="Q245" s="126"/>
      <c r="R245" s="130">
        <f>IF(Tabela1[[#This Row],[CARGA PARCIAL]]&lt;0,0,Tabela1[[#This Row],[CARGA PARCIAL]])+Tabela1[[#This Row],[REEMBOLSO]]</f>
        <v>71.500000000001023</v>
      </c>
      <c r="S245" s="129" t="s">
        <v>22</v>
      </c>
      <c r="T245" s="72"/>
    </row>
    <row r="246" spans="2:20" x14ac:dyDescent="0.25">
      <c r="B246" s="120" t="s">
        <v>292</v>
      </c>
      <c r="C246" s="114" t="s">
        <v>1590</v>
      </c>
      <c r="D246" s="115" t="s">
        <v>18</v>
      </c>
      <c r="E246" s="115" t="s">
        <v>157</v>
      </c>
      <c r="F246" s="71">
        <v>11040040001</v>
      </c>
      <c r="G246" s="123" t="s">
        <v>20</v>
      </c>
      <c r="H246" s="116" t="s">
        <v>21</v>
      </c>
      <c r="I246" s="104">
        <v>0</v>
      </c>
      <c r="J246" s="117">
        <v>74.579999999995337</v>
      </c>
      <c r="K246" s="117">
        <v>953.32000000000676</v>
      </c>
      <c r="L246" s="117">
        <f>IF(Tabela1[[#This Row],[SALDO PARCIAL PENDENTE]]-Tabela1[[#This Row],[1QZ DE FEV 26]]&lt;0,0,Tabela1[[#This Row],[SALDO PARCIAL PENDENTE]]-Tabela1[[#This Row],[1QZ DE FEV 26]])</f>
        <v>0</v>
      </c>
      <c r="M246" s="68">
        <v>3100</v>
      </c>
      <c r="N246" s="117">
        <v>4.04</v>
      </c>
      <c r="O246" s="69"/>
      <c r="P246" s="118">
        <f>Tabela1[[#This Row],[2QZ DE JAN 26]]-Tabela1[[#This Row],[SALDO PENDENTE FINAL]]-Tabela1[[#This Row],[SALDO CARTAO]]-Tabela1[[#This Row],[ADIANTAMENTO]]</f>
        <v>3095.96</v>
      </c>
      <c r="Q246" s="119"/>
      <c r="R246" s="130">
        <f>IF(Tabela1[[#This Row],[CARGA PARCIAL]]&lt;0,0,Tabela1[[#This Row],[CARGA PARCIAL]])+Tabela1[[#This Row],[REEMBOLSO]]</f>
        <v>3095.96</v>
      </c>
      <c r="S246" s="129" t="s">
        <v>22</v>
      </c>
      <c r="T246" s="69"/>
    </row>
    <row r="247" spans="2:20" x14ac:dyDescent="0.25">
      <c r="B247" s="120" t="s">
        <v>149</v>
      </c>
      <c r="C247" s="114" t="s">
        <v>1777</v>
      </c>
      <c r="D247" s="115" t="s">
        <v>18</v>
      </c>
      <c r="E247" s="115" t="s">
        <v>155</v>
      </c>
      <c r="F247" s="71">
        <v>11030580001</v>
      </c>
      <c r="G247" s="127" t="s">
        <v>34</v>
      </c>
      <c r="H247" s="116" t="s">
        <v>31</v>
      </c>
      <c r="I247" s="104">
        <v>0</v>
      </c>
      <c r="J247" s="117">
        <v>73.139999999999858</v>
      </c>
      <c r="K247" s="117">
        <v>0</v>
      </c>
      <c r="L247" s="117">
        <f>IF(Tabela1[[#This Row],[SALDO PARCIAL PENDENTE]]-Tabela1[[#This Row],[1QZ DE FEV 26]]&lt;0,0,Tabela1[[#This Row],[SALDO PARCIAL PENDENTE]]-Tabela1[[#This Row],[1QZ DE FEV 26]])</f>
        <v>73.139999999999858</v>
      </c>
      <c r="M247" s="68">
        <v>125</v>
      </c>
      <c r="N247" s="117">
        <v>85.51</v>
      </c>
      <c r="O247" s="69"/>
      <c r="P247" s="118">
        <f>Tabela1[[#This Row],[2QZ DE JAN 26]]-Tabela1[[#This Row],[SALDO PENDENTE FINAL]]-Tabela1[[#This Row],[SALDO CARTAO]]-Tabela1[[#This Row],[ADIANTAMENTO]]</f>
        <v>-33.649999999999864</v>
      </c>
      <c r="Q247" s="119"/>
      <c r="R247" s="130">
        <f>IF(Tabela1[[#This Row],[CARGA PARCIAL]]&lt;0,0,Tabela1[[#This Row],[CARGA PARCIAL]])+Tabela1[[#This Row],[REEMBOLSO]]</f>
        <v>0</v>
      </c>
      <c r="S247" s="129" t="s">
        <v>22</v>
      </c>
      <c r="T247" s="69"/>
    </row>
    <row r="248" spans="2:20" x14ac:dyDescent="0.25">
      <c r="B248" s="121" t="s">
        <v>505</v>
      </c>
      <c r="C248" s="122" t="s">
        <v>506</v>
      </c>
      <c r="D248" s="115" t="s">
        <v>18</v>
      </c>
      <c r="E248" s="123" t="s">
        <v>73</v>
      </c>
      <c r="F248" s="71">
        <v>11040140001</v>
      </c>
      <c r="G248" s="127" t="s">
        <v>39</v>
      </c>
      <c r="H248" s="124" t="s">
        <v>31</v>
      </c>
      <c r="I248" s="104">
        <v>0</v>
      </c>
      <c r="J248" s="117">
        <v>70.910000000000636</v>
      </c>
      <c r="K248" s="117">
        <v>81.889999999999191</v>
      </c>
      <c r="L248" s="117">
        <f>IF(Tabela1[[#This Row],[SALDO PARCIAL PENDENTE]]-Tabela1[[#This Row],[1QZ DE FEV 26]]&lt;0,0,Tabela1[[#This Row],[SALDO PARCIAL PENDENTE]]-Tabela1[[#This Row],[1QZ DE FEV 26]])</f>
        <v>0</v>
      </c>
      <c r="M248" s="68">
        <v>150</v>
      </c>
      <c r="N248" s="117">
        <v>7.89</v>
      </c>
      <c r="O248" s="72"/>
      <c r="P248" s="125">
        <f>Tabela1[[#This Row],[2QZ DE JAN 26]]-Tabela1[[#This Row],[SALDO PENDENTE FINAL]]-Tabela1[[#This Row],[SALDO CARTAO]]-Tabela1[[#This Row],[ADIANTAMENTO]]</f>
        <v>142.11000000000001</v>
      </c>
      <c r="Q248" s="126"/>
      <c r="R248" s="130">
        <f>IF(Tabela1[[#This Row],[CARGA PARCIAL]]&lt;0,0,Tabela1[[#This Row],[CARGA PARCIAL]])+Tabela1[[#This Row],[REEMBOLSO]]</f>
        <v>142.11000000000001</v>
      </c>
      <c r="S248" s="129" t="s">
        <v>22</v>
      </c>
      <c r="T248" s="72"/>
    </row>
    <row r="249" spans="2:20" x14ac:dyDescent="0.25">
      <c r="B249" s="120" t="s">
        <v>216</v>
      </c>
      <c r="C249" s="114" t="s">
        <v>1647</v>
      </c>
      <c r="D249" s="115" t="s">
        <v>18</v>
      </c>
      <c r="E249" s="115" t="s">
        <v>73</v>
      </c>
      <c r="F249" s="71">
        <v>11040140001</v>
      </c>
      <c r="G249" s="123" t="s">
        <v>39</v>
      </c>
      <c r="H249" s="116" t="s">
        <v>31</v>
      </c>
      <c r="I249" s="104">
        <v>0</v>
      </c>
      <c r="J249" s="117">
        <v>69.13</v>
      </c>
      <c r="K249" s="117">
        <v>23.119999999999891</v>
      </c>
      <c r="L249" s="117">
        <f>IF(Tabela1[[#This Row],[SALDO PARCIAL PENDENTE]]-Tabela1[[#This Row],[1QZ DE FEV 26]]&lt;0,0,Tabela1[[#This Row],[SALDO PARCIAL PENDENTE]]-Tabela1[[#This Row],[1QZ DE FEV 26]])</f>
        <v>46.010000000000105</v>
      </c>
      <c r="M249" s="68">
        <v>100</v>
      </c>
      <c r="N249" s="117">
        <v>30.87</v>
      </c>
      <c r="O249" s="69"/>
      <c r="P249" s="118">
        <f>Tabela1[[#This Row],[2QZ DE JAN 26]]-Tabela1[[#This Row],[SALDO PENDENTE FINAL]]-Tabela1[[#This Row],[SALDO CARTAO]]-Tabela1[[#This Row],[ADIANTAMENTO]]</f>
        <v>23.119999999999894</v>
      </c>
      <c r="Q249" s="119"/>
      <c r="R249" s="130">
        <f>IF(Tabela1[[#This Row],[CARGA PARCIAL]]&lt;0,0,Tabela1[[#This Row],[CARGA PARCIAL]])+Tabela1[[#This Row],[REEMBOLSO]]</f>
        <v>23.119999999999894</v>
      </c>
      <c r="S249" s="129" t="s">
        <v>22</v>
      </c>
      <c r="T249" s="69"/>
    </row>
    <row r="250" spans="2:20" x14ac:dyDescent="0.25">
      <c r="B250" s="121" t="s">
        <v>183</v>
      </c>
      <c r="C250" s="122" t="s">
        <v>1576</v>
      </c>
      <c r="D250" s="115" t="s">
        <v>18</v>
      </c>
      <c r="E250" s="123" t="s">
        <v>73</v>
      </c>
      <c r="F250" s="71">
        <v>11040140001</v>
      </c>
      <c r="G250" s="127" t="s">
        <v>39</v>
      </c>
      <c r="H250" s="124" t="s">
        <v>31</v>
      </c>
      <c r="I250" s="104">
        <v>0</v>
      </c>
      <c r="J250" s="117">
        <v>67.960000000000122</v>
      </c>
      <c r="K250" s="117">
        <v>22.799999999999834</v>
      </c>
      <c r="L250" s="117">
        <f>IF(Tabela1[[#This Row],[SALDO PARCIAL PENDENTE]]-Tabela1[[#This Row],[1QZ DE FEV 26]]&lt;0,0,Tabela1[[#This Row],[SALDO PARCIAL PENDENTE]]-Tabela1[[#This Row],[1QZ DE FEV 26]])</f>
        <v>45.160000000000288</v>
      </c>
      <c r="M250" s="68">
        <v>100</v>
      </c>
      <c r="N250" s="117">
        <v>32.04</v>
      </c>
      <c r="O250" s="72"/>
      <c r="P250" s="125">
        <f>Tabela1[[#This Row],[2QZ DE JAN 26]]-Tabela1[[#This Row],[SALDO PENDENTE FINAL]]-Tabela1[[#This Row],[SALDO CARTAO]]-Tabela1[[#This Row],[ADIANTAMENTO]]</f>
        <v>22.799999999999713</v>
      </c>
      <c r="Q250" s="126"/>
      <c r="R250" s="130">
        <f>IF(Tabela1[[#This Row],[CARGA PARCIAL]]&lt;0,0,Tabela1[[#This Row],[CARGA PARCIAL]])+Tabela1[[#This Row],[REEMBOLSO]]</f>
        <v>22.799999999999713</v>
      </c>
      <c r="S250" s="129" t="s">
        <v>1823</v>
      </c>
      <c r="T250" s="72"/>
    </row>
    <row r="251" spans="2:20" x14ac:dyDescent="0.25">
      <c r="B251" s="88" t="s">
        <v>23</v>
      </c>
      <c r="C251" s="67" t="s">
        <v>1765</v>
      </c>
      <c r="D251" s="115" t="s">
        <v>18</v>
      </c>
      <c r="E251" s="67" t="s">
        <v>53</v>
      </c>
      <c r="F251" s="71">
        <v>11061480001</v>
      </c>
      <c r="G251" s="123" t="s">
        <v>24</v>
      </c>
      <c r="H251" s="67" t="s">
        <v>21</v>
      </c>
      <c r="I251" s="104">
        <v>0</v>
      </c>
      <c r="J251" s="117">
        <v>61.899999999998158</v>
      </c>
      <c r="K251" s="117">
        <v>136.60999999999967</v>
      </c>
      <c r="L251" s="117">
        <f>IF(Tabela1[[#This Row],[SALDO PARCIAL PENDENTE]]-Tabela1[[#This Row],[1QZ DE FEV 26]]&lt;0,0,Tabela1[[#This Row],[SALDO PARCIAL PENDENTE]]-Tabela1[[#This Row],[1QZ DE FEV 26]])</f>
        <v>0</v>
      </c>
      <c r="M251" s="68">
        <v>700</v>
      </c>
      <c r="N251" s="117">
        <v>290.10000000000002</v>
      </c>
      <c r="O251" s="69"/>
      <c r="P251" s="69">
        <f>Tabela1[[#This Row],[2QZ DE JAN 26]]-Tabela1[[#This Row],[SALDO PENDENTE FINAL]]-Tabela1[[#This Row],[SALDO CARTAO]]-Tabela1[[#This Row],[ADIANTAMENTO]]</f>
        <v>409.9</v>
      </c>
      <c r="Q251" s="119"/>
      <c r="R251" s="130">
        <f>IF(Tabela1[[#This Row],[CARGA PARCIAL]]&lt;0,0,Tabela1[[#This Row],[CARGA PARCIAL]])+Tabela1[[#This Row],[REEMBOLSO]]</f>
        <v>409.9</v>
      </c>
      <c r="S251" s="129" t="s">
        <v>22</v>
      </c>
      <c r="T251" s="69"/>
    </row>
    <row r="252" spans="2:20" x14ac:dyDescent="0.25">
      <c r="B252" s="121" t="s">
        <v>231</v>
      </c>
      <c r="C252" s="122" t="s">
        <v>1563</v>
      </c>
      <c r="D252" s="115" t="s">
        <v>18</v>
      </c>
      <c r="E252" s="123" t="s">
        <v>113</v>
      </c>
      <c r="F252" s="71">
        <v>11061720001</v>
      </c>
      <c r="G252" s="127" t="s">
        <v>30</v>
      </c>
      <c r="H252" s="124" t="s">
        <v>31</v>
      </c>
      <c r="I252" s="104">
        <v>0</v>
      </c>
      <c r="J252" s="117">
        <v>60.000000000001819</v>
      </c>
      <c r="K252" s="117">
        <v>570.699999999998</v>
      </c>
      <c r="L252" s="117">
        <f>IF(Tabela1[[#This Row],[SALDO PARCIAL PENDENTE]]-Tabela1[[#This Row],[1QZ DE FEV 26]]&lt;0,0,Tabela1[[#This Row],[SALDO PARCIAL PENDENTE]]-Tabela1[[#This Row],[1QZ DE FEV 26]])</f>
        <v>0</v>
      </c>
      <c r="M252" s="68">
        <v>800</v>
      </c>
      <c r="N252" s="117">
        <v>50</v>
      </c>
      <c r="O252" s="72"/>
      <c r="P252" s="125">
        <f>Tabela1[[#This Row],[2QZ DE JAN 26]]-Tabela1[[#This Row],[SALDO PENDENTE FINAL]]-Tabela1[[#This Row],[SALDO CARTAO]]-Tabela1[[#This Row],[ADIANTAMENTO]]</f>
        <v>750</v>
      </c>
      <c r="Q252" s="126"/>
      <c r="R252" s="130">
        <f>IF(Tabela1[[#This Row],[CARGA PARCIAL]]&lt;0,0,Tabela1[[#This Row],[CARGA PARCIAL]])+Tabela1[[#This Row],[REEMBOLSO]]</f>
        <v>750</v>
      </c>
      <c r="S252" s="129" t="s">
        <v>22</v>
      </c>
      <c r="T252" s="72"/>
    </row>
    <row r="253" spans="2:20" x14ac:dyDescent="0.25">
      <c r="B253" s="121" t="s">
        <v>120</v>
      </c>
      <c r="C253" s="122" t="s">
        <v>1666</v>
      </c>
      <c r="D253" s="115" t="s">
        <v>18</v>
      </c>
      <c r="E253" s="123" t="s">
        <v>38</v>
      </c>
      <c r="F253" s="71">
        <v>11040130001</v>
      </c>
      <c r="G253" s="123" t="s">
        <v>39</v>
      </c>
      <c r="H253" s="124" t="s">
        <v>31</v>
      </c>
      <c r="I253" s="104">
        <v>0</v>
      </c>
      <c r="J253" s="117">
        <v>53.969999999999771</v>
      </c>
      <c r="K253" s="117">
        <v>28.210000000000491</v>
      </c>
      <c r="L253" s="117">
        <f>IF(Tabela1[[#This Row],[SALDO PARCIAL PENDENTE]]-Tabela1[[#This Row],[1QZ DE FEV 26]]&lt;0,0,Tabela1[[#This Row],[SALDO PARCIAL PENDENTE]]-Tabela1[[#This Row],[1QZ DE FEV 26]])</f>
        <v>25.75999999999928</v>
      </c>
      <c r="M253" s="68">
        <v>80</v>
      </c>
      <c r="N253" s="117">
        <v>26.03</v>
      </c>
      <c r="O253" s="72"/>
      <c r="P253" s="125">
        <f>Tabela1[[#This Row],[2QZ DE JAN 26]]-Tabela1[[#This Row],[SALDO PENDENTE FINAL]]-Tabela1[[#This Row],[SALDO CARTAO]]-Tabela1[[#This Row],[ADIANTAMENTO]]</f>
        <v>28.210000000000719</v>
      </c>
      <c r="Q253" s="126"/>
      <c r="R253" s="130">
        <f>IF(Tabela1[[#This Row],[CARGA PARCIAL]]&lt;0,0,Tabela1[[#This Row],[CARGA PARCIAL]])+Tabela1[[#This Row],[REEMBOLSO]]</f>
        <v>28.210000000000719</v>
      </c>
      <c r="S253" s="129" t="s">
        <v>22</v>
      </c>
      <c r="T253" s="72"/>
    </row>
    <row r="254" spans="2:20" x14ac:dyDescent="0.25">
      <c r="B254" s="120" t="s">
        <v>196</v>
      </c>
      <c r="C254" s="114" t="s">
        <v>1784</v>
      </c>
      <c r="D254" s="115" t="s">
        <v>18</v>
      </c>
      <c r="E254" s="115" t="s">
        <v>197</v>
      </c>
      <c r="F254" s="71">
        <v>11061770001</v>
      </c>
      <c r="G254" s="123" t="s">
        <v>34</v>
      </c>
      <c r="H254" s="116" t="s">
        <v>31</v>
      </c>
      <c r="I254" s="104">
        <v>0</v>
      </c>
      <c r="J254" s="117">
        <v>48.799999999999869</v>
      </c>
      <c r="K254" s="117">
        <v>0</v>
      </c>
      <c r="L254" s="117">
        <f>IF(Tabela1[[#This Row],[SALDO PARCIAL PENDENTE]]-Tabela1[[#This Row],[1QZ DE FEV 26]]&lt;0,0,Tabela1[[#This Row],[SALDO PARCIAL PENDENTE]]-Tabela1[[#This Row],[1QZ DE FEV 26]])</f>
        <v>48.799999999999869</v>
      </c>
      <c r="M254" s="68">
        <v>200</v>
      </c>
      <c r="N254" s="117">
        <v>81.34</v>
      </c>
      <c r="O254" s="69"/>
      <c r="P254" s="118">
        <f>Tabela1[[#This Row],[2QZ DE JAN 26]]-Tabela1[[#This Row],[SALDO PENDENTE FINAL]]-Tabela1[[#This Row],[SALDO CARTAO]]-Tabela1[[#This Row],[ADIANTAMENTO]]</f>
        <v>69.860000000000127</v>
      </c>
      <c r="Q254" s="119"/>
      <c r="R254" s="130">
        <f>IF(Tabela1[[#This Row],[CARGA PARCIAL]]&lt;0,0,Tabela1[[#This Row],[CARGA PARCIAL]])+Tabela1[[#This Row],[REEMBOLSO]]</f>
        <v>69.860000000000127</v>
      </c>
      <c r="S254" s="129" t="s">
        <v>22</v>
      </c>
      <c r="T254" s="69"/>
    </row>
    <row r="255" spans="2:20" x14ac:dyDescent="0.25">
      <c r="B255" s="121" t="s">
        <v>493</v>
      </c>
      <c r="C255" s="122" t="s">
        <v>494</v>
      </c>
      <c r="D255" s="115" t="s">
        <v>18</v>
      </c>
      <c r="E255" s="123" t="s">
        <v>73</v>
      </c>
      <c r="F255" s="71">
        <v>11040140001</v>
      </c>
      <c r="G255" s="127" t="s">
        <v>39</v>
      </c>
      <c r="H255" s="124" t="s">
        <v>31</v>
      </c>
      <c r="I255" s="104">
        <v>0</v>
      </c>
      <c r="J255" s="117">
        <v>41.099999999999945</v>
      </c>
      <c r="K255" s="117">
        <v>14.500000000000057</v>
      </c>
      <c r="L255" s="117">
        <f>IF(Tabela1[[#This Row],[SALDO PARCIAL PENDENTE]]-Tabela1[[#This Row],[1QZ DE FEV 26]]&lt;0,0,Tabela1[[#This Row],[SALDO PARCIAL PENDENTE]]-Tabela1[[#This Row],[1QZ DE FEV 26]])</f>
        <v>26.599999999999888</v>
      </c>
      <c r="M255" s="68">
        <v>100</v>
      </c>
      <c r="N255" s="117">
        <v>58.9</v>
      </c>
      <c r="O255" s="72"/>
      <c r="P255" s="125">
        <f>Tabela1[[#This Row],[2QZ DE JAN 26]]-Tabela1[[#This Row],[SALDO PENDENTE FINAL]]-Tabela1[[#This Row],[SALDO CARTAO]]-Tabela1[[#This Row],[ADIANTAMENTO]]</f>
        <v>14.500000000000121</v>
      </c>
      <c r="Q255" s="126"/>
      <c r="R255" s="130">
        <f>IF(Tabela1[[#This Row],[CARGA PARCIAL]]&lt;0,0,Tabela1[[#This Row],[CARGA PARCIAL]])+Tabela1[[#This Row],[REEMBOLSO]]</f>
        <v>14.500000000000121</v>
      </c>
      <c r="S255" s="129" t="s">
        <v>22</v>
      </c>
      <c r="T255" s="72"/>
    </row>
    <row r="256" spans="2:20" x14ac:dyDescent="0.25">
      <c r="B256" s="121" t="s">
        <v>84</v>
      </c>
      <c r="C256" s="122" t="s">
        <v>1662</v>
      </c>
      <c r="D256" s="115" t="s">
        <v>18</v>
      </c>
      <c r="E256" s="123" t="s">
        <v>38</v>
      </c>
      <c r="F256" s="71">
        <v>11040130001</v>
      </c>
      <c r="G256" s="123" t="s">
        <v>39</v>
      </c>
      <c r="H256" s="124" t="s">
        <v>31</v>
      </c>
      <c r="I256" s="104">
        <v>0</v>
      </c>
      <c r="J256" s="117">
        <v>40</v>
      </c>
      <c r="K256" s="117">
        <v>80</v>
      </c>
      <c r="L256" s="117">
        <f>IF(Tabela1[[#This Row],[SALDO PARCIAL PENDENTE]]-Tabela1[[#This Row],[1QZ DE FEV 26]]&lt;0,0,Tabela1[[#This Row],[SALDO PARCIAL PENDENTE]]-Tabela1[[#This Row],[1QZ DE FEV 26]])</f>
        <v>0</v>
      </c>
      <c r="M256" s="68">
        <v>80</v>
      </c>
      <c r="N256" s="117">
        <v>0</v>
      </c>
      <c r="O256" s="72"/>
      <c r="P256" s="125">
        <f>Tabela1[[#This Row],[2QZ DE JAN 26]]-Tabela1[[#This Row],[SALDO PENDENTE FINAL]]-Tabela1[[#This Row],[SALDO CARTAO]]-Tabela1[[#This Row],[ADIANTAMENTO]]</f>
        <v>80</v>
      </c>
      <c r="Q256" s="126"/>
      <c r="R256" s="130">
        <f>IF(Tabela1[[#This Row],[CARGA PARCIAL]]&lt;0,0,Tabela1[[#This Row],[CARGA PARCIAL]])+Tabela1[[#This Row],[REEMBOLSO]]</f>
        <v>80</v>
      </c>
      <c r="S256" s="129" t="s">
        <v>1823</v>
      </c>
      <c r="T256" s="72"/>
    </row>
    <row r="257" spans="2:20" x14ac:dyDescent="0.25">
      <c r="B257" s="120" t="s">
        <v>345</v>
      </c>
      <c r="C257" s="114" t="s">
        <v>1805</v>
      </c>
      <c r="D257" s="115" t="s">
        <v>18</v>
      </c>
      <c r="E257" s="115" t="s">
        <v>224</v>
      </c>
      <c r="F257" s="71">
        <v>11061400001</v>
      </c>
      <c r="G257" s="123" t="s">
        <v>30</v>
      </c>
      <c r="H257" s="116" t="s">
        <v>31</v>
      </c>
      <c r="I257" s="104">
        <v>0</v>
      </c>
      <c r="J257" s="117">
        <v>38.200000000015052</v>
      </c>
      <c r="K257" s="117">
        <v>460.69999999998788</v>
      </c>
      <c r="L257" s="117">
        <f>IF(Tabela1[[#This Row],[SALDO PARCIAL PENDENTE]]-Tabela1[[#This Row],[1QZ DE FEV 26]]&lt;0,0,Tabela1[[#This Row],[SALDO PARCIAL PENDENTE]]-Tabela1[[#This Row],[1QZ DE FEV 26]])</f>
        <v>0</v>
      </c>
      <c r="M257" s="68">
        <v>1200</v>
      </c>
      <c r="N257" s="117">
        <v>338.78</v>
      </c>
      <c r="O257" s="69"/>
      <c r="P257" s="118">
        <f>Tabela1[[#This Row],[2QZ DE JAN 26]]-Tabela1[[#This Row],[SALDO PENDENTE FINAL]]-Tabela1[[#This Row],[SALDO CARTAO]]-Tabela1[[#This Row],[ADIANTAMENTO]]</f>
        <v>861.22</v>
      </c>
      <c r="Q257" s="119"/>
      <c r="R257" s="130">
        <f>IF(Tabela1[[#This Row],[CARGA PARCIAL]]&lt;0,0,Tabela1[[#This Row],[CARGA PARCIAL]])+Tabela1[[#This Row],[REEMBOLSO]]</f>
        <v>861.22</v>
      </c>
      <c r="S257" s="129" t="s">
        <v>22</v>
      </c>
      <c r="T257" s="69"/>
    </row>
    <row r="258" spans="2:20" x14ac:dyDescent="0.25">
      <c r="B258" s="121" t="s">
        <v>85</v>
      </c>
      <c r="C258" s="122" t="s">
        <v>1769</v>
      </c>
      <c r="D258" s="115" t="s">
        <v>18</v>
      </c>
      <c r="E258" s="123" t="s">
        <v>73</v>
      </c>
      <c r="F258" s="71">
        <v>11040140001</v>
      </c>
      <c r="G258" s="127" t="s">
        <v>39</v>
      </c>
      <c r="H258" s="124" t="s">
        <v>31</v>
      </c>
      <c r="I258" s="104">
        <v>0</v>
      </c>
      <c r="J258" s="117">
        <v>35.580000000000013</v>
      </c>
      <c r="K258" s="117">
        <v>0</v>
      </c>
      <c r="L258" s="117">
        <f>IF(Tabela1[[#This Row],[SALDO PARCIAL PENDENTE]]-Tabela1[[#This Row],[1QZ DE FEV 26]]&lt;0,0,Tabela1[[#This Row],[SALDO PARCIAL PENDENTE]]-Tabela1[[#This Row],[1QZ DE FEV 26]])</f>
        <v>35.580000000000013</v>
      </c>
      <c r="M258" s="68">
        <v>50</v>
      </c>
      <c r="N258" s="117">
        <v>0</v>
      </c>
      <c r="O258" s="72"/>
      <c r="P258" s="125">
        <f>Tabela1[[#This Row],[2QZ DE JAN 26]]-Tabela1[[#This Row],[SALDO PENDENTE FINAL]]-Tabela1[[#This Row],[SALDO CARTAO]]-Tabela1[[#This Row],[ADIANTAMENTO]]</f>
        <v>14.419999999999987</v>
      </c>
      <c r="Q258" s="126"/>
      <c r="R258" s="130">
        <f>IF(Tabela1[[#This Row],[CARGA PARCIAL]]&lt;0,0,Tabela1[[#This Row],[CARGA PARCIAL]])+Tabela1[[#This Row],[REEMBOLSO]]</f>
        <v>14.419999999999987</v>
      </c>
      <c r="S258" s="129" t="s">
        <v>22</v>
      </c>
      <c r="T258" s="72"/>
    </row>
    <row r="259" spans="2:20" x14ac:dyDescent="0.25">
      <c r="B259" s="121" t="s">
        <v>112</v>
      </c>
      <c r="C259" s="122" t="s">
        <v>1555</v>
      </c>
      <c r="D259" s="115" t="s">
        <v>18</v>
      </c>
      <c r="E259" s="123" t="s">
        <v>113</v>
      </c>
      <c r="F259" s="71">
        <v>11061720001</v>
      </c>
      <c r="G259" s="123" t="s">
        <v>30</v>
      </c>
      <c r="H259" s="124" t="s">
        <v>31</v>
      </c>
      <c r="I259" s="104">
        <v>0</v>
      </c>
      <c r="J259" s="117">
        <v>33.840000000001965</v>
      </c>
      <c r="K259" s="117">
        <v>511.7499999999946</v>
      </c>
      <c r="L259" s="117">
        <f>IF(Tabela1[[#This Row],[SALDO PARCIAL PENDENTE]]-Tabela1[[#This Row],[1QZ DE FEV 26]]&lt;0,0,Tabela1[[#This Row],[SALDO PARCIAL PENDENTE]]-Tabela1[[#This Row],[1QZ DE FEV 26]])</f>
        <v>0</v>
      </c>
      <c r="M259" s="68">
        <v>800</v>
      </c>
      <c r="N259" s="117">
        <v>55.5</v>
      </c>
      <c r="O259" s="72"/>
      <c r="P259" s="125">
        <f>Tabela1[[#This Row],[2QZ DE JAN 26]]-Tabela1[[#This Row],[SALDO PENDENTE FINAL]]-Tabela1[[#This Row],[SALDO CARTAO]]-Tabela1[[#This Row],[ADIANTAMENTO]]</f>
        <v>744.5</v>
      </c>
      <c r="Q259" s="126"/>
      <c r="R259" s="130">
        <f>IF(Tabela1[[#This Row],[CARGA PARCIAL]]&lt;0,0,Tabela1[[#This Row],[CARGA PARCIAL]])+Tabela1[[#This Row],[REEMBOLSO]]</f>
        <v>744.5</v>
      </c>
      <c r="S259" s="129" t="s">
        <v>22</v>
      </c>
      <c r="T259" s="72"/>
    </row>
    <row r="260" spans="2:20" x14ac:dyDescent="0.25">
      <c r="B260" s="96" t="s">
        <v>42</v>
      </c>
      <c r="C260" s="71" t="s">
        <v>1658</v>
      </c>
      <c r="D260" s="115" t="s">
        <v>18</v>
      </c>
      <c r="E260" s="71" t="s">
        <v>43</v>
      </c>
      <c r="F260" s="71">
        <v>11030690001</v>
      </c>
      <c r="G260" s="123" t="s">
        <v>30</v>
      </c>
      <c r="H260" s="71" t="s">
        <v>31</v>
      </c>
      <c r="I260" s="104">
        <v>0</v>
      </c>
      <c r="J260" s="117">
        <v>32.989999999995803</v>
      </c>
      <c r="K260" s="117">
        <v>2622.75</v>
      </c>
      <c r="L260" s="117">
        <f>IF(Tabela1[[#This Row],[SALDO PARCIAL PENDENTE]]-Tabela1[[#This Row],[1QZ DE FEV 26]]&lt;0,0,Tabela1[[#This Row],[SALDO PARCIAL PENDENTE]]-Tabela1[[#This Row],[1QZ DE FEV 26]])</f>
        <v>0</v>
      </c>
      <c r="M260" s="68">
        <v>1760</v>
      </c>
      <c r="N260" s="117">
        <v>966.4</v>
      </c>
      <c r="O260" s="72"/>
      <c r="P260" s="72">
        <f>Tabela1[[#This Row],[2QZ DE JAN 26]]-Tabela1[[#This Row],[SALDO PENDENTE FINAL]]-Tabela1[[#This Row],[SALDO CARTAO]]-Tabela1[[#This Row],[ADIANTAMENTO]]</f>
        <v>793.6</v>
      </c>
      <c r="Q260" s="126"/>
      <c r="R260" s="130">
        <f>IF(Tabela1[[#This Row],[CARGA PARCIAL]]&lt;0,0,Tabela1[[#This Row],[CARGA PARCIAL]])+Tabela1[[#This Row],[REEMBOLSO]]</f>
        <v>793.6</v>
      </c>
      <c r="S260" s="129" t="s">
        <v>22</v>
      </c>
      <c r="T260" s="72"/>
    </row>
    <row r="261" spans="2:20" x14ac:dyDescent="0.25">
      <c r="B261" s="120" t="s">
        <v>495</v>
      </c>
      <c r="C261" s="114" t="s">
        <v>496</v>
      </c>
      <c r="D261" s="115" t="s">
        <v>18</v>
      </c>
      <c r="E261" s="115" t="s">
        <v>73</v>
      </c>
      <c r="F261" s="71">
        <v>11040140001</v>
      </c>
      <c r="G261" s="123" t="s">
        <v>39</v>
      </c>
      <c r="H261" s="116" t="s">
        <v>31</v>
      </c>
      <c r="I261" s="104">
        <v>0</v>
      </c>
      <c r="J261" s="117">
        <v>30.200000000000003</v>
      </c>
      <c r="K261" s="117">
        <v>0</v>
      </c>
      <c r="L261" s="117">
        <f>IF(Tabela1[[#This Row],[SALDO PARCIAL PENDENTE]]-Tabela1[[#This Row],[1QZ DE FEV 26]]&lt;0,0,Tabela1[[#This Row],[SALDO PARCIAL PENDENTE]]-Tabela1[[#This Row],[1QZ DE FEV 26]])</f>
        <v>30.200000000000003</v>
      </c>
      <c r="M261" s="68">
        <v>50</v>
      </c>
      <c r="N261" s="117">
        <v>77.2</v>
      </c>
      <c r="O261" s="69"/>
      <c r="P261" s="118">
        <f>Tabela1[[#This Row],[2QZ DE JAN 26]]-Tabela1[[#This Row],[SALDO PENDENTE FINAL]]-Tabela1[[#This Row],[SALDO CARTAO]]-Tabela1[[#This Row],[ADIANTAMENTO]]</f>
        <v>-57.400000000000006</v>
      </c>
      <c r="Q261" s="119"/>
      <c r="R261" s="130">
        <f>IF(Tabela1[[#This Row],[CARGA PARCIAL]]&lt;0,0,Tabela1[[#This Row],[CARGA PARCIAL]])+Tabela1[[#This Row],[REEMBOLSO]]</f>
        <v>0</v>
      </c>
      <c r="S261" s="129" t="s">
        <v>22</v>
      </c>
      <c r="T261" s="69"/>
    </row>
    <row r="262" spans="2:20" x14ac:dyDescent="0.25">
      <c r="B262" s="121" t="s">
        <v>96</v>
      </c>
      <c r="C262" s="122" t="s">
        <v>1771</v>
      </c>
      <c r="D262" s="115" t="s">
        <v>18</v>
      </c>
      <c r="E262" s="123" t="s">
        <v>97</v>
      </c>
      <c r="F262" s="71">
        <v>11010370001</v>
      </c>
      <c r="G262" s="127" t="s">
        <v>30</v>
      </c>
      <c r="H262" s="124" t="s">
        <v>31</v>
      </c>
      <c r="I262" s="104">
        <v>0</v>
      </c>
      <c r="J262" s="117">
        <v>27.60000000000025</v>
      </c>
      <c r="K262" s="117">
        <v>18.999999999999545</v>
      </c>
      <c r="L262" s="117">
        <f>IF(Tabela1[[#This Row],[SALDO PARCIAL PENDENTE]]-Tabela1[[#This Row],[1QZ DE FEV 26]]&lt;0,0,Tabela1[[#This Row],[SALDO PARCIAL PENDENTE]]-Tabela1[[#This Row],[1QZ DE FEV 26]])</f>
        <v>8.6000000000007049</v>
      </c>
      <c r="M262" s="68">
        <v>500</v>
      </c>
      <c r="N262" s="117">
        <v>289.39999999999998</v>
      </c>
      <c r="O262" s="72"/>
      <c r="P262" s="125">
        <f>Tabela1[[#This Row],[2QZ DE JAN 26]]-Tabela1[[#This Row],[SALDO PENDENTE FINAL]]-Tabela1[[#This Row],[SALDO CARTAO]]-Tabela1[[#This Row],[ADIANTAMENTO]]</f>
        <v>201.99999999999932</v>
      </c>
      <c r="Q262" s="126"/>
      <c r="R262" s="130">
        <f>IF(Tabela1[[#This Row],[CARGA PARCIAL]]&lt;0,0,Tabela1[[#This Row],[CARGA PARCIAL]])+Tabela1[[#This Row],[REEMBOLSO]]</f>
        <v>201.99999999999932</v>
      </c>
      <c r="S262" s="129" t="s">
        <v>22</v>
      </c>
      <c r="T262" s="72"/>
    </row>
    <row r="263" spans="2:20" x14ac:dyDescent="0.25">
      <c r="B263" s="120" t="s">
        <v>392</v>
      </c>
      <c r="C263" s="114" t="s">
        <v>1592</v>
      </c>
      <c r="D263" s="115" t="s">
        <v>18</v>
      </c>
      <c r="E263" s="115" t="s">
        <v>393</v>
      </c>
      <c r="F263" s="71">
        <v>11062350001</v>
      </c>
      <c r="G263" s="123" t="s">
        <v>24</v>
      </c>
      <c r="H263" s="116" t="s">
        <v>21</v>
      </c>
      <c r="I263" s="104">
        <v>0</v>
      </c>
      <c r="J263" s="117">
        <v>26.719999999995778</v>
      </c>
      <c r="K263" s="117">
        <v>2337.17</v>
      </c>
      <c r="L263" s="117">
        <f>IF(Tabela1[[#This Row],[SALDO PARCIAL PENDENTE]]-Tabela1[[#This Row],[1QZ DE FEV 26]]&lt;0,0,Tabela1[[#This Row],[SALDO PARCIAL PENDENTE]]-Tabela1[[#This Row],[1QZ DE FEV 26]])</f>
        <v>0</v>
      </c>
      <c r="M263" s="68">
        <v>1750</v>
      </c>
      <c r="N263" s="117">
        <v>18.170000000000002</v>
      </c>
      <c r="O263" s="69"/>
      <c r="P263" s="118">
        <f>Tabela1[[#This Row],[2QZ DE JAN 26]]-Tabela1[[#This Row],[SALDO PENDENTE FINAL]]-Tabela1[[#This Row],[SALDO CARTAO]]-Tabela1[[#This Row],[ADIANTAMENTO]]</f>
        <v>1731.83</v>
      </c>
      <c r="Q263" s="119"/>
      <c r="R263" s="130">
        <f>IF(Tabela1[[#This Row],[CARGA PARCIAL]]&lt;0,0,Tabela1[[#This Row],[CARGA PARCIAL]])+Tabela1[[#This Row],[REEMBOLSO]]</f>
        <v>1731.83</v>
      </c>
      <c r="S263" s="129" t="s">
        <v>22</v>
      </c>
      <c r="T263" s="69"/>
    </row>
    <row r="264" spans="2:20" x14ac:dyDescent="0.25">
      <c r="B264" s="121" t="s">
        <v>483</v>
      </c>
      <c r="C264" s="122" t="s">
        <v>484</v>
      </c>
      <c r="D264" s="115" t="s">
        <v>18</v>
      </c>
      <c r="E264" s="123" t="s">
        <v>73</v>
      </c>
      <c r="F264" s="71">
        <v>11040140001</v>
      </c>
      <c r="G264" s="127" t="s">
        <v>39</v>
      </c>
      <c r="H264" s="124" t="s">
        <v>31</v>
      </c>
      <c r="I264" s="104">
        <v>0</v>
      </c>
      <c r="J264" s="117">
        <v>26.299999999999869</v>
      </c>
      <c r="K264" s="117">
        <v>71.25</v>
      </c>
      <c r="L264" s="117">
        <f>IF(Tabela1[[#This Row],[SALDO PARCIAL PENDENTE]]-Tabela1[[#This Row],[1QZ DE FEV 26]]&lt;0,0,Tabela1[[#This Row],[SALDO PARCIAL PENDENTE]]-Tabela1[[#This Row],[1QZ DE FEV 26]])</f>
        <v>0</v>
      </c>
      <c r="M264" s="68">
        <v>100</v>
      </c>
      <c r="N264" s="117">
        <v>64.099999999999994</v>
      </c>
      <c r="O264" s="72"/>
      <c r="P264" s="125">
        <f>Tabela1[[#This Row],[2QZ DE JAN 26]]-Tabela1[[#This Row],[SALDO PENDENTE FINAL]]-Tabela1[[#This Row],[SALDO CARTAO]]-Tabela1[[#This Row],[ADIANTAMENTO]]</f>
        <v>35.900000000000006</v>
      </c>
      <c r="Q264" s="126"/>
      <c r="R264" s="130">
        <f>IF(Tabela1[[#This Row],[CARGA PARCIAL]]&lt;0,0,Tabela1[[#This Row],[CARGA PARCIAL]])+Tabela1[[#This Row],[REEMBOLSO]]</f>
        <v>35.900000000000006</v>
      </c>
      <c r="S264" s="129" t="s">
        <v>22</v>
      </c>
      <c r="T264" s="72"/>
    </row>
    <row r="265" spans="2:20" x14ac:dyDescent="0.25">
      <c r="B265" s="121" t="s">
        <v>404</v>
      </c>
      <c r="C265" s="122" t="s">
        <v>405</v>
      </c>
      <c r="D265" s="115" t="s">
        <v>18</v>
      </c>
      <c r="E265" s="123" t="s">
        <v>73</v>
      </c>
      <c r="F265" s="71">
        <v>11040140001</v>
      </c>
      <c r="G265" s="123" t="s">
        <v>39</v>
      </c>
      <c r="H265" s="124" t="s">
        <v>31</v>
      </c>
      <c r="I265" s="104">
        <v>0</v>
      </c>
      <c r="J265" s="117">
        <v>26.090000000000146</v>
      </c>
      <c r="K265" s="117">
        <v>0</v>
      </c>
      <c r="L265" s="117">
        <f>IF(Tabela1[[#This Row],[SALDO PARCIAL PENDENTE]]-Tabela1[[#This Row],[1QZ DE FEV 26]]&lt;0,0,Tabela1[[#This Row],[SALDO PARCIAL PENDENTE]]-Tabela1[[#This Row],[1QZ DE FEV 26]])</f>
        <v>26.090000000000146</v>
      </c>
      <c r="M265" s="68">
        <v>50</v>
      </c>
      <c r="N265" s="117">
        <v>0</v>
      </c>
      <c r="O265" s="72"/>
      <c r="P265" s="125">
        <f>Tabela1[[#This Row],[2QZ DE JAN 26]]-Tabela1[[#This Row],[SALDO PENDENTE FINAL]]-Tabela1[[#This Row],[SALDO CARTAO]]-Tabela1[[#This Row],[ADIANTAMENTO]]</f>
        <v>23.909999999999854</v>
      </c>
      <c r="Q265" s="126"/>
      <c r="R265" s="130">
        <f>IF(Tabela1[[#This Row],[CARGA PARCIAL]]&lt;0,0,Tabela1[[#This Row],[CARGA PARCIAL]])+Tabela1[[#This Row],[REEMBOLSO]]</f>
        <v>23.909999999999854</v>
      </c>
      <c r="S265" s="129" t="s">
        <v>22</v>
      </c>
      <c r="T265" s="72"/>
    </row>
    <row r="266" spans="2:20" x14ac:dyDescent="0.25">
      <c r="B266" s="120" t="s">
        <v>534</v>
      </c>
      <c r="C266" s="114" t="s">
        <v>535</v>
      </c>
      <c r="D266" s="115" t="s">
        <v>18</v>
      </c>
      <c r="E266" s="115" t="s">
        <v>536</v>
      </c>
      <c r="F266" s="71">
        <v>11010330001</v>
      </c>
      <c r="G266" s="123" t="s">
        <v>65</v>
      </c>
      <c r="H266" s="116" t="s">
        <v>31</v>
      </c>
      <c r="I266" s="104">
        <v>0</v>
      </c>
      <c r="J266" s="117">
        <v>24.829999999999927</v>
      </c>
      <c r="K266" s="117">
        <v>287.2</v>
      </c>
      <c r="L266" s="117">
        <f>IF(Tabela1[[#This Row],[SALDO PARCIAL PENDENTE]]-Tabela1[[#This Row],[1QZ DE FEV 26]]&lt;0,0,Tabela1[[#This Row],[SALDO PARCIAL PENDENTE]]-Tabela1[[#This Row],[1QZ DE FEV 26]])</f>
        <v>0</v>
      </c>
      <c r="M266" s="68">
        <v>500</v>
      </c>
      <c r="N266" s="117">
        <v>443</v>
      </c>
      <c r="O266" s="69"/>
      <c r="P266" s="118">
        <f>Tabela1[[#This Row],[2QZ DE JAN 26]]-Tabela1[[#This Row],[SALDO PENDENTE FINAL]]-Tabela1[[#This Row],[SALDO CARTAO]]-Tabela1[[#This Row],[ADIANTAMENTO]]</f>
        <v>57</v>
      </c>
      <c r="Q266" s="119"/>
      <c r="R266" s="130">
        <f>IF(Tabela1[[#This Row],[CARGA PARCIAL]]&lt;0,0,Tabela1[[#This Row],[CARGA PARCIAL]])+Tabela1[[#This Row],[REEMBOLSO]]</f>
        <v>57</v>
      </c>
      <c r="S266" s="129" t="s">
        <v>22</v>
      </c>
      <c r="T266" s="69"/>
    </row>
    <row r="267" spans="2:20" x14ac:dyDescent="0.25">
      <c r="B267" s="121" t="s">
        <v>795</v>
      </c>
      <c r="C267" s="122" t="s">
        <v>796</v>
      </c>
      <c r="D267" s="115" t="s">
        <v>18</v>
      </c>
      <c r="E267" s="123" t="s">
        <v>113</v>
      </c>
      <c r="F267" s="71">
        <v>11061720001</v>
      </c>
      <c r="G267" s="127" t="s">
        <v>30</v>
      </c>
      <c r="H267" s="124" t="s">
        <v>31</v>
      </c>
      <c r="I267" s="104">
        <v>0</v>
      </c>
      <c r="J267" s="117">
        <v>21.149999999997561</v>
      </c>
      <c r="K267" s="117">
        <v>238.22000000000003</v>
      </c>
      <c r="L267" s="117">
        <f>IF(Tabela1[[#This Row],[SALDO PARCIAL PENDENTE]]-Tabela1[[#This Row],[1QZ DE FEV 26]]&lt;0,0,Tabela1[[#This Row],[SALDO PARCIAL PENDENTE]]-Tabela1[[#This Row],[1QZ DE FEV 26]])</f>
        <v>0</v>
      </c>
      <c r="M267" s="68">
        <v>800</v>
      </c>
      <c r="N267" s="117">
        <v>125.78</v>
      </c>
      <c r="O267" s="72"/>
      <c r="P267" s="125">
        <f>Tabela1[[#This Row],[2QZ DE JAN 26]]-Tabela1[[#This Row],[SALDO PENDENTE FINAL]]-Tabela1[[#This Row],[SALDO CARTAO]]-Tabela1[[#This Row],[ADIANTAMENTO]]</f>
        <v>674.22</v>
      </c>
      <c r="Q267" s="126"/>
      <c r="R267" s="130">
        <f>IF(Tabela1[[#This Row],[CARGA PARCIAL]]&lt;0,0,Tabela1[[#This Row],[CARGA PARCIAL]])+Tabela1[[#This Row],[REEMBOLSO]]</f>
        <v>674.22</v>
      </c>
      <c r="S267" s="129" t="s">
        <v>22</v>
      </c>
      <c r="T267" s="72"/>
    </row>
    <row r="268" spans="2:20" x14ac:dyDescent="0.25">
      <c r="B268" s="120" t="s">
        <v>58</v>
      </c>
      <c r="C268" s="114" t="s">
        <v>1659</v>
      </c>
      <c r="D268" s="115" t="s">
        <v>18</v>
      </c>
      <c r="E268" s="115" t="s">
        <v>59</v>
      </c>
      <c r="F268" s="71">
        <v>11080440001</v>
      </c>
      <c r="G268" s="123" t="s">
        <v>30</v>
      </c>
      <c r="H268" s="116" t="s">
        <v>31</v>
      </c>
      <c r="I268" s="104">
        <v>0</v>
      </c>
      <c r="J268" s="117">
        <v>20</v>
      </c>
      <c r="K268" s="117">
        <v>290.88999999999987</v>
      </c>
      <c r="L268" s="117">
        <f>IF(Tabela1[[#This Row],[SALDO PARCIAL PENDENTE]]-Tabela1[[#This Row],[1QZ DE FEV 26]]&lt;0,0,Tabela1[[#This Row],[SALDO PARCIAL PENDENTE]]-Tabela1[[#This Row],[1QZ DE FEV 26]])</f>
        <v>0</v>
      </c>
      <c r="M268" s="68">
        <v>350</v>
      </c>
      <c r="N268" s="117">
        <v>0</v>
      </c>
      <c r="O268" s="69"/>
      <c r="P268" s="118">
        <f>Tabela1[[#This Row],[2QZ DE JAN 26]]-Tabela1[[#This Row],[SALDO PENDENTE FINAL]]-Tabela1[[#This Row],[SALDO CARTAO]]-Tabela1[[#This Row],[ADIANTAMENTO]]</f>
        <v>350</v>
      </c>
      <c r="Q268" s="119"/>
      <c r="R268" s="130">
        <f>IF(Tabela1[[#This Row],[CARGA PARCIAL]]&lt;0,0,Tabela1[[#This Row],[CARGA PARCIAL]])+Tabela1[[#This Row],[REEMBOLSO]]</f>
        <v>350</v>
      </c>
      <c r="S268" s="129" t="s">
        <v>22</v>
      </c>
      <c r="T268" s="69"/>
    </row>
    <row r="269" spans="2:20" x14ac:dyDescent="0.25">
      <c r="B269" s="120" t="s">
        <v>307</v>
      </c>
      <c r="C269" s="114" t="s">
        <v>1571</v>
      </c>
      <c r="D269" s="115" t="s">
        <v>18</v>
      </c>
      <c r="E269" s="115" t="s">
        <v>73</v>
      </c>
      <c r="F269" s="71">
        <v>11040140001</v>
      </c>
      <c r="G269" s="127" t="s">
        <v>39</v>
      </c>
      <c r="H269" s="116" t="s">
        <v>31</v>
      </c>
      <c r="I269" s="104">
        <v>0</v>
      </c>
      <c r="J269" s="117">
        <v>20</v>
      </c>
      <c r="K269" s="117">
        <v>60</v>
      </c>
      <c r="L269" s="117">
        <f>IF(Tabela1[[#This Row],[SALDO PARCIAL PENDENTE]]-Tabela1[[#This Row],[1QZ DE FEV 26]]&lt;0,0,Tabela1[[#This Row],[SALDO PARCIAL PENDENTE]]-Tabela1[[#This Row],[1QZ DE FEV 26]])</f>
        <v>0</v>
      </c>
      <c r="M269" s="68">
        <v>100</v>
      </c>
      <c r="N269" s="117">
        <v>80</v>
      </c>
      <c r="O269" s="69"/>
      <c r="P269" s="118">
        <f>Tabela1[[#This Row],[2QZ DE JAN 26]]-Tabela1[[#This Row],[SALDO PENDENTE FINAL]]-Tabela1[[#This Row],[SALDO CARTAO]]-Tabela1[[#This Row],[ADIANTAMENTO]]</f>
        <v>20</v>
      </c>
      <c r="Q269" s="119"/>
      <c r="R269" s="130">
        <f>IF(Tabela1[[#This Row],[CARGA PARCIAL]]&lt;0,0,Tabela1[[#This Row],[CARGA PARCIAL]])+Tabela1[[#This Row],[REEMBOLSO]]</f>
        <v>20</v>
      </c>
      <c r="S269" s="129" t="s">
        <v>22</v>
      </c>
      <c r="T269" s="69"/>
    </row>
    <row r="270" spans="2:20" x14ac:dyDescent="0.25">
      <c r="B270" s="120" t="s">
        <v>441</v>
      </c>
      <c r="C270" s="114" t="s">
        <v>442</v>
      </c>
      <c r="D270" s="115" t="s">
        <v>18</v>
      </c>
      <c r="E270" s="115" t="s">
        <v>73</v>
      </c>
      <c r="F270" s="71">
        <v>11040140001</v>
      </c>
      <c r="G270" s="127" t="s">
        <v>39</v>
      </c>
      <c r="H270" s="116" t="s">
        <v>31</v>
      </c>
      <c r="I270" s="104">
        <v>0</v>
      </c>
      <c r="J270" s="117">
        <v>13.799999999999983</v>
      </c>
      <c r="K270" s="117">
        <v>0</v>
      </c>
      <c r="L270" s="117">
        <f>IF(Tabela1[[#This Row],[SALDO PARCIAL PENDENTE]]-Tabela1[[#This Row],[1QZ DE FEV 26]]&lt;0,0,Tabela1[[#This Row],[SALDO PARCIAL PENDENTE]]-Tabela1[[#This Row],[1QZ DE FEV 26]])</f>
        <v>13.799999999999983</v>
      </c>
      <c r="M270" s="68">
        <v>100</v>
      </c>
      <c r="N270" s="117">
        <v>195.42</v>
      </c>
      <c r="O270" s="69"/>
      <c r="P270" s="118">
        <f>Tabela1[[#This Row],[2QZ DE JAN 26]]-Tabela1[[#This Row],[SALDO PENDENTE FINAL]]-Tabela1[[#This Row],[SALDO CARTAO]]-Tabela1[[#This Row],[ADIANTAMENTO]]</f>
        <v>-109.21999999999997</v>
      </c>
      <c r="Q270" s="119"/>
      <c r="R270" s="130">
        <f>IF(Tabela1[[#This Row],[CARGA PARCIAL]]&lt;0,0,Tabela1[[#This Row],[CARGA PARCIAL]])+Tabela1[[#This Row],[REEMBOLSO]]</f>
        <v>0</v>
      </c>
      <c r="S270" s="129" t="s">
        <v>22</v>
      </c>
      <c r="T270" s="69"/>
    </row>
    <row r="271" spans="2:20" x14ac:dyDescent="0.25">
      <c r="B271" s="120" t="s">
        <v>141</v>
      </c>
      <c r="C271" s="114" t="s">
        <v>1776</v>
      </c>
      <c r="D271" s="115" t="s">
        <v>18</v>
      </c>
      <c r="E271" s="115" t="s">
        <v>142</v>
      </c>
      <c r="F271" s="71">
        <v>11062560001</v>
      </c>
      <c r="G271" s="127" t="s">
        <v>24</v>
      </c>
      <c r="H271" s="116" t="s">
        <v>21</v>
      </c>
      <c r="I271" s="104">
        <v>0</v>
      </c>
      <c r="J271" s="117">
        <v>7.5999999999998806</v>
      </c>
      <c r="K271" s="117">
        <v>0</v>
      </c>
      <c r="L271" s="117">
        <f>IF(Tabela1[[#This Row],[SALDO PARCIAL PENDENTE]]-Tabela1[[#This Row],[1QZ DE FEV 26]]&lt;0,0,Tabela1[[#This Row],[SALDO PARCIAL PENDENTE]]-Tabela1[[#This Row],[1QZ DE FEV 26]])</f>
        <v>7.5999999999998806</v>
      </c>
      <c r="M271" s="68">
        <v>200</v>
      </c>
      <c r="N271" s="117">
        <v>192.4</v>
      </c>
      <c r="O271" s="69"/>
      <c r="P271" s="118">
        <f>Tabela1[[#This Row],[2QZ DE JAN 26]]-Tabela1[[#This Row],[SALDO PENDENTE FINAL]]-Tabela1[[#This Row],[SALDO CARTAO]]-Tabela1[[#This Row],[ADIANTAMENTO]]</f>
        <v>1.1368683772161603E-13</v>
      </c>
      <c r="Q271" s="119"/>
      <c r="R271" s="130">
        <f>IF(Tabela1[[#This Row],[CARGA PARCIAL]]&lt;0,0,Tabela1[[#This Row],[CARGA PARCIAL]])+Tabela1[[#This Row],[REEMBOLSO]]</f>
        <v>1.1368683772161603E-13</v>
      </c>
      <c r="S271" s="129" t="s">
        <v>22</v>
      </c>
      <c r="T271" s="69"/>
    </row>
    <row r="272" spans="2:20" x14ac:dyDescent="0.25">
      <c r="B272" s="120" t="s">
        <v>209</v>
      </c>
      <c r="C272" s="114" t="s">
        <v>1678</v>
      </c>
      <c r="D272" s="115" t="s">
        <v>18</v>
      </c>
      <c r="E272" s="115" t="s">
        <v>38</v>
      </c>
      <c r="F272" s="71">
        <v>11040130001</v>
      </c>
      <c r="G272" s="127" t="s">
        <v>39</v>
      </c>
      <c r="H272" s="116" t="s">
        <v>31</v>
      </c>
      <c r="I272" s="104">
        <v>0</v>
      </c>
      <c r="J272" s="117">
        <v>4.7999999999995424</v>
      </c>
      <c r="K272" s="117">
        <v>155.20000000000005</v>
      </c>
      <c r="L272" s="117">
        <f>IF(Tabela1[[#This Row],[SALDO PARCIAL PENDENTE]]-Tabela1[[#This Row],[1QZ DE FEV 26]]&lt;0,0,Tabela1[[#This Row],[SALDO PARCIAL PENDENTE]]-Tabela1[[#This Row],[1QZ DE FEV 26]])</f>
        <v>0</v>
      </c>
      <c r="M272" s="68">
        <v>160</v>
      </c>
      <c r="N272" s="117">
        <v>55.2</v>
      </c>
      <c r="O272" s="69"/>
      <c r="P272" s="118">
        <f>Tabela1[[#This Row],[2QZ DE JAN 26]]-Tabela1[[#This Row],[SALDO PENDENTE FINAL]]-Tabela1[[#This Row],[SALDO CARTAO]]-Tabela1[[#This Row],[ADIANTAMENTO]]</f>
        <v>104.8</v>
      </c>
      <c r="Q272" s="119"/>
      <c r="R272" s="130">
        <f>IF(Tabela1[[#This Row],[CARGA PARCIAL]]&lt;0,0,Tabela1[[#This Row],[CARGA PARCIAL]])+Tabela1[[#This Row],[REEMBOLSO]]</f>
        <v>104.8</v>
      </c>
      <c r="S272" s="129" t="s">
        <v>22</v>
      </c>
      <c r="T272" s="69"/>
    </row>
    <row r="273" spans="2:20" x14ac:dyDescent="0.25">
      <c r="B273" s="121" t="s">
        <v>382</v>
      </c>
      <c r="C273" s="122" t="s">
        <v>1698</v>
      </c>
      <c r="D273" s="115" t="s">
        <v>18</v>
      </c>
      <c r="E273" s="123" t="s">
        <v>113</v>
      </c>
      <c r="F273" s="71">
        <v>11061720001</v>
      </c>
      <c r="G273" s="127" t="s">
        <v>30</v>
      </c>
      <c r="H273" s="124" t="s">
        <v>31</v>
      </c>
      <c r="I273" s="104">
        <v>0</v>
      </c>
      <c r="J273" s="117">
        <v>4.5000000000010161</v>
      </c>
      <c r="K273" s="117">
        <v>794.34</v>
      </c>
      <c r="L273" s="117">
        <f>IF(Tabela1[[#This Row],[SALDO PARCIAL PENDENTE]]-Tabela1[[#This Row],[1QZ DE FEV 26]]&lt;0,0,Tabela1[[#This Row],[SALDO PARCIAL PENDENTE]]-Tabela1[[#This Row],[1QZ DE FEV 26]])</f>
        <v>0</v>
      </c>
      <c r="M273" s="68">
        <v>800</v>
      </c>
      <c r="N273" s="117">
        <v>58.38</v>
      </c>
      <c r="O273" s="72"/>
      <c r="P273" s="125">
        <f>Tabela1[[#This Row],[2QZ DE JAN 26]]-Tabela1[[#This Row],[SALDO PENDENTE FINAL]]-Tabela1[[#This Row],[SALDO CARTAO]]-Tabela1[[#This Row],[ADIANTAMENTO]]</f>
        <v>741.62</v>
      </c>
      <c r="Q273" s="126"/>
      <c r="R273" s="130">
        <f>IF(Tabela1[[#This Row],[CARGA PARCIAL]]&lt;0,0,Tabela1[[#This Row],[CARGA PARCIAL]])+Tabela1[[#This Row],[REEMBOLSO]]</f>
        <v>741.62</v>
      </c>
      <c r="S273" s="129" t="s">
        <v>22</v>
      </c>
      <c r="T273" s="72"/>
    </row>
    <row r="274" spans="2:20" x14ac:dyDescent="0.25">
      <c r="B274" s="121" t="s">
        <v>63</v>
      </c>
      <c r="C274" s="122" t="s">
        <v>1661</v>
      </c>
      <c r="D274" s="115" t="s">
        <v>18</v>
      </c>
      <c r="E274" s="123" t="s">
        <v>64</v>
      </c>
      <c r="F274" s="71">
        <v>11030840001</v>
      </c>
      <c r="G274" s="123" t="s">
        <v>65</v>
      </c>
      <c r="H274" s="124" t="s">
        <v>31</v>
      </c>
      <c r="I274" s="104">
        <v>0</v>
      </c>
      <c r="J274" s="117">
        <v>4.1200000000058203</v>
      </c>
      <c r="K274" s="117">
        <v>2990.99</v>
      </c>
      <c r="L274" s="117">
        <f>IF(Tabela1[[#This Row],[SALDO PARCIAL PENDENTE]]-Tabela1[[#This Row],[1QZ DE FEV 26]]&lt;0,0,Tabela1[[#This Row],[SALDO PARCIAL PENDENTE]]-Tabela1[[#This Row],[1QZ DE FEV 26]])</f>
        <v>0</v>
      </c>
      <c r="M274" s="68">
        <v>3000</v>
      </c>
      <c r="N274" s="117">
        <v>7.23</v>
      </c>
      <c r="O274" s="72"/>
      <c r="P274" s="125">
        <f>Tabela1[[#This Row],[2QZ DE JAN 26]]-Tabela1[[#This Row],[SALDO PENDENTE FINAL]]-Tabela1[[#This Row],[SALDO CARTAO]]-Tabela1[[#This Row],[ADIANTAMENTO]]</f>
        <v>2992.77</v>
      </c>
      <c r="Q274" s="126"/>
      <c r="R274" s="130">
        <f>IF(Tabela1[[#This Row],[CARGA PARCIAL]]&lt;0,0,Tabela1[[#This Row],[CARGA PARCIAL]])+Tabela1[[#This Row],[REEMBOLSO]]</f>
        <v>2992.77</v>
      </c>
      <c r="S274" s="129" t="s">
        <v>22</v>
      </c>
      <c r="T274" s="72"/>
    </row>
    <row r="275" spans="2:20" x14ac:dyDescent="0.25">
      <c r="B275" s="121" t="s">
        <v>413</v>
      </c>
      <c r="C275" s="122" t="s">
        <v>414</v>
      </c>
      <c r="D275" s="115" t="s">
        <v>18</v>
      </c>
      <c r="E275" s="123" t="s">
        <v>73</v>
      </c>
      <c r="F275" s="71">
        <v>11040140001</v>
      </c>
      <c r="G275" s="123" t="s">
        <v>39</v>
      </c>
      <c r="H275" s="124" t="s">
        <v>31</v>
      </c>
      <c r="I275" s="104">
        <v>0</v>
      </c>
      <c r="J275" s="117">
        <v>3.2000000000000028</v>
      </c>
      <c r="K275" s="117">
        <v>74.56</v>
      </c>
      <c r="L275" s="117">
        <f>IF(Tabela1[[#This Row],[SALDO PARCIAL PENDENTE]]-Tabela1[[#This Row],[1QZ DE FEV 26]]&lt;0,0,Tabela1[[#This Row],[SALDO PARCIAL PENDENTE]]-Tabela1[[#This Row],[1QZ DE FEV 26]])</f>
        <v>0</v>
      </c>
      <c r="M275" s="68">
        <v>100</v>
      </c>
      <c r="N275" s="117">
        <v>96.8</v>
      </c>
      <c r="O275" s="72"/>
      <c r="P275" s="125">
        <f>Tabela1[[#This Row],[2QZ DE JAN 26]]-Tabela1[[#This Row],[SALDO PENDENTE FINAL]]-Tabela1[[#This Row],[SALDO CARTAO]]-Tabela1[[#This Row],[ADIANTAMENTO]]</f>
        <v>3.2000000000000028</v>
      </c>
      <c r="Q275" s="126"/>
      <c r="R275" s="130">
        <f>IF(Tabela1[[#This Row],[CARGA PARCIAL]]&lt;0,0,Tabela1[[#This Row],[CARGA PARCIAL]])+Tabela1[[#This Row],[REEMBOLSO]]</f>
        <v>3.2000000000000028</v>
      </c>
      <c r="S275" s="129" t="s">
        <v>22</v>
      </c>
      <c r="T275" s="72"/>
    </row>
    <row r="276" spans="2:20" x14ac:dyDescent="0.25">
      <c r="B276" s="120" t="s">
        <v>437</v>
      </c>
      <c r="C276" s="114" t="s">
        <v>438</v>
      </c>
      <c r="D276" s="115" t="s">
        <v>18</v>
      </c>
      <c r="E276" s="115" t="s">
        <v>284</v>
      </c>
      <c r="F276" s="71">
        <v>11010180001</v>
      </c>
      <c r="G276" s="123" t="s">
        <v>30</v>
      </c>
      <c r="H276" s="116" t="s">
        <v>31</v>
      </c>
      <c r="I276" s="104">
        <v>0</v>
      </c>
      <c r="J276" s="117">
        <v>1.2000000000006708</v>
      </c>
      <c r="K276" s="117">
        <v>414.42999999999915</v>
      </c>
      <c r="L276" s="117">
        <f>IF(Tabela1[[#This Row],[SALDO PARCIAL PENDENTE]]-Tabela1[[#This Row],[1QZ DE FEV 26]]&lt;0,0,Tabela1[[#This Row],[SALDO PARCIAL PENDENTE]]-Tabela1[[#This Row],[1QZ DE FEV 26]])</f>
        <v>0</v>
      </c>
      <c r="M276" s="68">
        <v>300</v>
      </c>
      <c r="N276" s="117">
        <v>498.8</v>
      </c>
      <c r="O276" s="69"/>
      <c r="P276" s="118">
        <f>Tabela1[[#This Row],[2QZ DE JAN 26]]-Tabela1[[#This Row],[SALDO PENDENTE FINAL]]-Tabela1[[#This Row],[SALDO CARTAO]]-Tabela1[[#This Row],[ADIANTAMENTO]]</f>
        <v>-198.8</v>
      </c>
      <c r="Q276" s="119"/>
      <c r="R276" s="130">
        <f>IF(Tabela1[[#This Row],[CARGA PARCIAL]]&lt;0,0,Tabela1[[#This Row],[CARGA PARCIAL]])+Tabela1[[#This Row],[REEMBOLSO]]</f>
        <v>0</v>
      </c>
      <c r="S276" s="129" t="s">
        <v>22</v>
      </c>
      <c r="T276" s="69"/>
    </row>
    <row r="277" spans="2:20" x14ac:dyDescent="0.25">
      <c r="B277" s="120" t="s">
        <v>363</v>
      </c>
      <c r="C277" s="114" t="s">
        <v>1637</v>
      </c>
      <c r="D277" s="115" t="s">
        <v>18</v>
      </c>
      <c r="E277" s="115" t="s">
        <v>113</v>
      </c>
      <c r="F277" s="71">
        <v>11061720001</v>
      </c>
      <c r="G277" s="127" t="s">
        <v>30</v>
      </c>
      <c r="H277" s="116" t="s">
        <v>31</v>
      </c>
      <c r="I277" s="104">
        <v>0</v>
      </c>
      <c r="J277" s="117">
        <v>2.2168933355715126E-12</v>
      </c>
      <c r="K277" s="117">
        <v>799.19999999999982</v>
      </c>
      <c r="L277" s="117">
        <f>IF(Tabela1[[#This Row],[SALDO PARCIAL PENDENTE]]-Tabela1[[#This Row],[1QZ DE FEV 26]]&lt;0,0,Tabela1[[#This Row],[SALDO PARCIAL PENDENTE]]-Tabela1[[#This Row],[1QZ DE FEV 26]])</f>
        <v>0</v>
      </c>
      <c r="M277" s="68">
        <v>800</v>
      </c>
      <c r="N277" s="117">
        <v>104.06</v>
      </c>
      <c r="O277" s="69"/>
      <c r="P277" s="118">
        <f>Tabela1[[#This Row],[2QZ DE JAN 26]]-Tabela1[[#This Row],[SALDO PENDENTE FINAL]]-Tabela1[[#This Row],[SALDO CARTAO]]-Tabela1[[#This Row],[ADIANTAMENTO]]</f>
        <v>695.94</v>
      </c>
      <c r="Q277" s="119"/>
      <c r="R277" s="130">
        <f>IF(Tabela1[[#This Row],[CARGA PARCIAL]]&lt;0,0,Tabela1[[#This Row],[CARGA PARCIAL]])+Tabela1[[#This Row],[REEMBOLSO]]</f>
        <v>695.94</v>
      </c>
      <c r="S277" s="129" t="s">
        <v>22</v>
      </c>
      <c r="T277" s="69"/>
    </row>
    <row r="278" spans="2:20" x14ac:dyDescent="0.25">
      <c r="B278" s="121" t="s">
        <v>798</v>
      </c>
      <c r="C278" s="122" t="s">
        <v>799</v>
      </c>
      <c r="D278" s="115" t="s">
        <v>18</v>
      </c>
      <c r="E278" s="123" t="s">
        <v>113</v>
      </c>
      <c r="F278" s="71">
        <v>11061720001</v>
      </c>
      <c r="G278" s="127" t="s">
        <v>30</v>
      </c>
      <c r="H278" s="124" t="s">
        <v>31</v>
      </c>
      <c r="I278" s="104">
        <v>0</v>
      </c>
      <c r="J278" s="117">
        <v>1.3642420526593924E-12</v>
      </c>
      <c r="K278" s="117">
        <v>266.03999999999809</v>
      </c>
      <c r="L278" s="117">
        <f>IF(Tabela1[[#This Row],[SALDO PARCIAL PENDENTE]]-Tabela1[[#This Row],[1QZ DE FEV 26]]&lt;0,0,Tabela1[[#This Row],[SALDO PARCIAL PENDENTE]]-Tabela1[[#This Row],[1QZ DE FEV 26]])</f>
        <v>0</v>
      </c>
      <c r="M278" s="68">
        <v>800</v>
      </c>
      <c r="N278" s="117">
        <v>595.98</v>
      </c>
      <c r="O278" s="72"/>
      <c r="P278" s="125">
        <f>Tabela1[[#This Row],[2QZ DE JAN 26]]-Tabela1[[#This Row],[SALDO PENDENTE FINAL]]-Tabela1[[#This Row],[SALDO CARTAO]]-Tabela1[[#This Row],[ADIANTAMENTO]]</f>
        <v>204.01999999999998</v>
      </c>
      <c r="Q278" s="126"/>
      <c r="R278" s="130">
        <f>IF(Tabela1[[#This Row],[CARGA PARCIAL]]&lt;0,0,Tabela1[[#This Row],[CARGA PARCIAL]])+Tabela1[[#This Row],[REEMBOLSO]]</f>
        <v>204.01999999999998</v>
      </c>
      <c r="S278" s="129" t="s">
        <v>22</v>
      </c>
      <c r="T278" s="72"/>
    </row>
    <row r="279" spans="2:20" x14ac:dyDescent="0.25">
      <c r="B279" s="120" t="s">
        <v>173</v>
      </c>
      <c r="C279" s="114" t="s">
        <v>1674</v>
      </c>
      <c r="D279" s="115" t="s">
        <v>18</v>
      </c>
      <c r="E279" s="115" t="s">
        <v>113</v>
      </c>
      <c r="F279" s="71">
        <v>11061720001</v>
      </c>
      <c r="G279" s="123" t="s">
        <v>30</v>
      </c>
      <c r="H279" s="116" t="s">
        <v>31</v>
      </c>
      <c r="I279" s="104">
        <v>0</v>
      </c>
      <c r="J279" s="117">
        <v>1.2505552149377763E-12</v>
      </c>
      <c r="K279" s="117">
        <v>746</v>
      </c>
      <c r="L279" s="117">
        <f>IF(Tabela1[[#This Row],[SALDO PARCIAL PENDENTE]]-Tabela1[[#This Row],[1QZ DE FEV 26]]&lt;0,0,Tabela1[[#This Row],[SALDO PARCIAL PENDENTE]]-Tabela1[[#This Row],[1QZ DE FEV 26]])</f>
        <v>0</v>
      </c>
      <c r="M279" s="68">
        <v>750</v>
      </c>
      <c r="N279" s="117">
        <v>440.1</v>
      </c>
      <c r="O279" s="69"/>
      <c r="P279" s="118">
        <f>Tabela1[[#This Row],[2QZ DE JAN 26]]-Tabela1[[#This Row],[SALDO PENDENTE FINAL]]-Tabela1[[#This Row],[SALDO CARTAO]]-Tabela1[[#This Row],[ADIANTAMENTO]]</f>
        <v>309.89999999999998</v>
      </c>
      <c r="Q279" s="119"/>
      <c r="R279" s="130">
        <f>IF(Tabela1[[#This Row],[CARGA PARCIAL]]&lt;0,0,Tabela1[[#This Row],[CARGA PARCIAL]])+Tabela1[[#This Row],[REEMBOLSO]]</f>
        <v>309.89999999999998</v>
      </c>
      <c r="S279" s="129" t="s">
        <v>22</v>
      </c>
      <c r="T279" s="69"/>
    </row>
    <row r="280" spans="2:20" x14ac:dyDescent="0.25">
      <c r="B280" s="120" t="s">
        <v>567</v>
      </c>
      <c r="C280" s="114" t="s">
        <v>568</v>
      </c>
      <c r="D280" s="115" t="s">
        <v>18</v>
      </c>
      <c r="E280" s="115" t="s">
        <v>569</v>
      </c>
      <c r="F280" s="71">
        <v>11061980001</v>
      </c>
      <c r="G280" s="127" t="s">
        <v>34</v>
      </c>
      <c r="H280" s="116" t="s">
        <v>31</v>
      </c>
      <c r="I280" s="104">
        <v>0</v>
      </c>
      <c r="J280" s="117">
        <v>1.3633538742396922E-13</v>
      </c>
      <c r="K280" s="117">
        <v>0</v>
      </c>
      <c r="L280" s="117">
        <f>IF(Tabela1[[#This Row],[SALDO PARCIAL PENDENTE]]-Tabela1[[#This Row],[1QZ DE FEV 26]]&lt;0,0,Tabela1[[#This Row],[SALDO PARCIAL PENDENTE]]-Tabela1[[#This Row],[1QZ DE FEV 26]])</f>
        <v>1.3633538742396922E-13</v>
      </c>
      <c r="M280" s="68">
        <v>200</v>
      </c>
      <c r="N280" s="117">
        <v>1.1000000000000001</v>
      </c>
      <c r="O280" s="69"/>
      <c r="P280" s="118">
        <f>Tabela1[[#This Row],[2QZ DE JAN 26]]-Tabela1[[#This Row],[SALDO PENDENTE FINAL]]-Tabela1[[#This Row],[SALDO CARTAO]]-Tabela1[[#This Row],[ADIANTAMENTO]]</f>
        <v>198.89999999999986</v>
      </c>
      <c r="Q280" s="119"/>
      <c r="R280" s="130">
        <f>IF(Tabela1[[#This Row],[CARGA PARCIAL]]&lt;0,0,Tabela1[[#This Row],[CARGA PARCIAL]])+Tabela1[[#This Row],[REEMBOLSO]]</f>
        <v>198.89999999999986</v>
      </c>
      <c r="S280" s="129" t="s">
        <v>22</v>
      </c>
      <c r="T280" s="69"/>
    </row>
    <row r="281" spans="2:20" x14ac:dyDescent="0.25">
      <c r="B281" s="120" t="s">
        <v>573</v>
      </c>
      <c r="C281" s="114" t="s">
        <v>574</v>
      </c>
      <c r="D281" s="115" t="s">
        <v>18</v>
      </c>
      <c r="E281" s="115" t="s">
        <v>73</v>
      </c>
      <c r="F281" s="71">
        <v>11040140001</v>
      </c>
      <c r="G281" s="127" t="s">
        <v>39</v>
      </c>
      <c r="H281" s="116" t="s">
        <v>31</v>
      </c>
      <c r="I281" s="104">
        <v>0</v>
      </c>
      <c r="J281" s="117">
        <v>0</v>
      </c>
      <c r="K281" s="117">
        <v>0</v>
      </c>
      <c r="L281" s="117">
        <f>IF(Tabela1[[#This Row],[SALDO PARCIAL PENDENTE]]-Tabela1[[#This Row],[1QZ DE FEV 26]]&lt;0,0,Tabela1[[#This Row],[SALDO PARCIAL PENDENTE]]-Tabela1[[#This Row],[1QZ DE FEV 26]])</f>
        <v>0</v>
      </c>
      <c r="M281" s="68">
        <v>100</v>
      </c>
      <c r="N281" s="117">
        <v>59</v>
      </c>
      <c r="O281" s="69"/>
      <c r="P281" s="118">
        <f>Tabela1[[#This Row],[2QZ DE JAN 26]]-Tabela1[[#This Row],[SALDO PENDENTE FINAL]]-Tabela1[[#This Row],[SALDO CARTAO]]-Tabela1[[#This Row],[ADIANTAMENTO]]</f>
        <v>41</v>
      </c>
      <c r="Q281" s="119"/>
      <c r="R281" s="130">
        <f>IF(Tabela1[[#This Row],[CARGA PARCIAL]]&lt;0,0,Tabela1[[#This Row],[CARGA PARCIAL]])+Tabela1[[#This Row],[REEMBOLSO]]</f>
        <v>41</v>
      </c>
      <c r="S281" s="129" t="s">
        <v>22</v>
      </c>
      <c r="T281" s="69"/>
    </row>
    <row r="282" spans="2:20" x14ac:dyDescent="0.25">
      <c r="B282" s="121" t="s">
        <v>474</v>
      </c>
      <c r="C282" s="122" t="s">
        <v>475</v>
      </c>
      <c r="D282" s="115" t="s">
        <v>18</v>
      </c>
      <c r="E282" s="123" t="s">
        <v>113</v>
      </c>
      <c r="F282" s="71">
        <v>11061720001</v>
      </c>
      <c r="G282" s="127" t="s">
        <v>30</v>
      </c>
      <c r="H282" s="124" t="s">
        <v>31</v>
      </c>
      <c r="I282" s="104">
        <v>0</v>
      </c>
      <c r="J282" s="117">
        <v>0</v>
      </c>
      <c r="K282" s="117">
        <v>754.69999999999982</v>
      </c>
      <c r="L282" s="117">
        <f>IF(Tabela1[[#This Row],[SALDO PARCIAL PENDENTE]]-Tabela1[[#This Row],[1QZ DE FEV 26]]&lt;0,0,Tabela1[[#This Row],[SALDO PARCIAL PENDENTE]]-Tabela1[[#This Row],[1QZ DE FEV 26]])</f>
        <v>0</v>
      </c>
      <c r="M282" s="68">
        <v>800</v>
      </c>
      <c r="N282" s="117">
        <v>275.49</v>
      </c>
      <c r="O282" s="72"/>
      <c r="P282" s="125">
        <f>Tabela1[[#This Row],[2QZ DE JAN 26]]-Tabela1[[#This Row],[SALDO PENDENTE FINAL]]-Tabela1[[#This Row],[SALDO CARTAO]]-Tabela1[[#This Row],[ADIANTAMENTO]]</f>
        <v>524.51</v>
      </c>
      <c r="Q282" s="126"/>
      <c r="R282" s="130">
        <f>IF(Tabela1[[#This Row],[CARGA PARCIAL]]&lt;0,0,Tabela1[[#This Row],[CARGA PARCIAL]])+Tabela1[[#This Row],[REEMBOLSO]]</f>
        <v>524.51</v>
      </c>
      <c r="S282" s="129">
        <v>0</v>
      </c>
      <c r="T282" s="72"/>
    </row>
    <row r="283" spans="2:20" x14ac:dyDescent="0.25">
      <c r="B283" s="120" t="s">
        <v>448</v>
      </c>
      <c r="C283" s="114" t="s">
        <v>449</v>
      </c>
      <c r="D283" s="115" t="s">
        <v>18</v>
      </c>
      <c r="E283" s="115" t="s">
        <v>224</v>
      </c>
      <c r="F283" s="71">
        <v>11061400001</v>
      </c>
      <c r="G283" s="123" t="s">
        <v>30</v>
      </c>
      <c r="H283" s="116" t="s">
        <v>31</v>
      </c>
      <c r="I283" s="104">
        <v>0</v>
      </c>
      <c r="J283" s="117">
        <v>0</v>
      </c>
      <c r="K283" s="117">
        <v>700</v>
      </c>
      <c r="L283" s="117">
        <f>IF(Tabela1[[#This Row],[SALDO PARCIAL PENDENTE]]-Tabela1[[#This Row],[1QZ DE FEV 26]]&lt;0,0,Tabela1[[#This Row],[SALDO PARCIAL PENDENTE]]-Tabela1[[#This Row],[1QZ DE FEV 26]])</f>
        <v>0</v>
      </c>
      <c r="M283" s="68">
        <v>700</v>
      </c>
      <c r="N283" s="117">
        <v>0</v>
      </c>
      <c r="O283" s="69"/>
      <c r="P283" s="118">
        <f>Tabela1[[#This Row],[2QZ DE JAN 26]]-Tabela1[[#This Row],[SALDO PENDENTE FINAL]]-Tabela1[[#This Row],[SALDO CARTAO]]-Tabela1[[#This Row],[ADIANTAMENTO]]</f>
        <v>700</v>
      </c>
      <c r="Q283" s="119"/>
      <c r="R283" s="130">
        <f>IF(Tabela1[[#This Row],[CARGA PARCIAL]]&lt;0,0,Tabela1[[#This Row],[CARGA PARCIAL]])+Tabela1[[#This Row],[REEMBOLSO]]</f>
        <v>700</v>
      </c>
      <c r="S283" s="129" t="s">
        <v>22</v>
      </c>
      <c r="T283" s="69"/>
    </row>
    <row r="284" spans="2:20" x14ac:dyDescent="0.25">
      <c r="B284" s="134" t="s">
        <v>323</v>
      </c>
      <c r="C284" s="135" t="s">
        <v>1824</v>
      </c>
      <c r="D284" s="136" t="s">
        <v>18</v>
      </c>
      <c r="E284" s="137" t="s">
        <v>324</v>
      </c>
      <c r="F284" s="137">
        <v>1201044</v>
      </c>
      <c r="G284" s="136" t="s">
        <v>24</v>
      </c>
      <c r="H284" s="139" t="s">
        <v>21</v>
      </c>
      <c r="I284" s="140">
        <v>0</v>
      </c>
      <c r="J284" s="141">
        <v>0</v>
      </c>
      <c r="K284" s="141">
        <v>0</v>
      </c>
      <c r="L284" s="141">
        <f>IF(Tabela1[[#This Row],[SALDO PARCIAL PENDENTE]]-Tabela1[[#This Row],[1QZ DE FEV 26]]&lt;0,0,Tabela1[[#This Row],[SALDO PARCIAL PENDENTE]]-Tabela1[[#This Row],[1QZ DE FEV 26]])</f>
        <v>0</v>
      </c>
      <c r="M284" s="142">
        <v>500</v>
      </c>
      <c r="N284" s="141">
        <v>0</v>
      </c>
      <c r="O284" s="143"/>
      <c r="P284" s="144">
        <f>Tabela1[[#This Row],[2QZ DE JAN 26]]-Tabela1[[#This Row],[SALDO PENDENTE FINAL]]-Tabela1[[#This Row],[SALDO CARTAO]]-Tabela1[[#This Row],[ADIANTAMENTO]]</f>
        <v>500</v>
      </c>
      <c r="Q284" s="145"/>
      <c r="R284" s="146">
        <f>IF(Tabela1[[#This Row],[CARGA PARCIAL]]&lt;0,0,Tabela1[[#This Row],[CARGA PARCIAL]])+Tabela1[[#This Row],[REEMBOLSO]]</f>
        <v>500</v>
      </c>
      <c r="S284" s="147" t="s">
        <v>22</v>
      </c>
      <c r="T284" s="72"/>
    </row>
    <row r="285" spans="2:20" x14ac:dyDescent="0.25">
      <c r="B285" s="120" t="s">
        <v>812</v>
      </c>
      <c r="C285" s="114" t="s">
        <v>813</v>
      </c>
      <c r="D285" s="115" t="s">
        <v>18</v>
      </c>
      <c r="E285" s="115" t="s">
        <v>160</v>
      </c>
      <c r="F285" s="71">
        <v>11062450001</v>
      </c>
      <c r="G285" s="123" t="s">
        <v>27</v>
      </c>
      <c r="H285" s="116" t="s">
        <v>137</v>
      </c>
      <c r="I285" s="104">
        <v>0</v>
      </c>
      <c r="J285" s="117">
        <v>0</v>
      </c>
      <c r="K285" s="117">
        <v>123.96000000000004</v>
      </c>
      <c r="L285" s="117">
        <f>IF(Tabela1[[#This Row],[SALDO PARCIAL PENDENTE]]-Tabela1[[#This Row],[1QZ DE FEV 26]]&lt;0,0,Tabela1[[#This Row],[SALDO PARCIAL PENDENTE]]-Tabela1[[#This Row],[1QZ DE FEV 26]])</f>
        <v>0</v>
      </c>
      <c r="M285" s="68">
        <v>750</v>
      </c>
      <c r="N285" s="117">
        <v>396.1</v>
      </c>
      <c r="O285" s="69"/>
      <c r="P285" s="118">
        <f>Tabela1[[#This Row],[2QZ DE JAN 26]]-Tabela1[[#This Row],[SALDO PENDENTE FINAL]]-Tabela1[[#This Row],[SALDO CARTAO]]-Tabela1[[#This Row],[ADIANTAMENTO]]</f>
        <v>353.9</v>
      </c>
      <c r="Q285" s="119"/>
      <c r="R285" s="130">
        <f>IF(Tabela1[[#This Row],[CARGA PARCIAL]]&lt;0,0,Tabela1[[#This Row],[CARGA PARCIAL]])+Tabela1[[#This Row],[REEMBOLSO]]</f>
        <v>353.9</v>
      </c>
      <c r="S285" s="129" t="s">
        <v>22</v>
      </c>
      <c r="T285" s="69"/>
    </row>
    <row r="286" spans="2:20" x14ac:dyDescent="0.25">
      <c r="B286" s="134" t="s">
        <v>106</v>
      </c>
      <c r="C286" s="135" t="s">
        <v>1825</v>
      </c>
      <c r="D286" s="136" t="s">
        <v>18</v>
      </c>
      <c r="E286" s="137" t="s">
        <v>1817</v>
      </c>
      <c r="F286" s="137">
        <v>11010120001</v>
      </c>
      <c r="G286" s="138" t="s">
        <v>20</v>
      </c>
      <c r="H286" s="139" t="s">
        <v>21</v>
      </c>
      <c r="I286" s="140">
        <v>0</v>
      </c>
      <c r="J286" s="141">
        <v>0</v>
      </c>
      <c r="K286" s="141">
        <v>0</v>
      </c>
      <c r="L286" s="141">
        <f>IF(Tabela1[[#This Row],[SALDO PARCIAL PENDENTE]]-Tabela1[[#This Row],[1QZ DE FEV 26]]&lt;0,0,Tabela1[[#This Row],[SALDO PARCIAL PENDENTE]]-Tabela1[[#This Row],[1QZ DE FEV 26]])</f>
        <v>0</v>
      </c>
      <c r="M286" s="142">
        <v>300</v>
      </c>
      <c r="N286" s="141">
        <v>0</v>
      </c>
      <c r="O286" s="143"/>
      <c r="P286" s="144">
        <f>Tabela1[[#This Row],[2QZ DE JAN 26]]-Tabela1[[#This Row],[SALDO PENDENTE FINAL]]-Tabela1[[#This Row],[SALDO CARTAO]]-Tabela1[[#This Row],[ADIANTAMENTO]]</f>
        <v>300</v>
      </c>
      <c r="Q286" s="145"/>
      <c r="R286" s="146">
        <f>IF(Tabela1[[#This Row],[CARGA PARCIAL]]&lt;0,0,Tabela1[[#This Row],[CARGA PARCIAL]])+Tabela1[[#This Row],[REEMBOLSO]]</f>
        <v>300</v>
      </c>
      <c r="S286" s="147" t="s">
        <v>1826</v>
      </c>
      <c r="T286" s="72"/>
    </row>
    <row r="287" spans="2:20" x14ac:dyDescent="0.25">
      <c r="B287" s="121" t="s">
        <v>808</v>
      </c>
      <c r="C287" s="122" t="s">
        <v>809</v>
      </c>
      <c r="D287" s="115" t="s">
        <v>18</v>
      </c>
      <c r="E287" s="123" t="s">
        <v>569</v>
      </c>
      <c r="F287" s="71">
        <v>11061980001</v>
      </c>
      <c r="G287" s="123" t="s">
        <v>34</v>
      </c>
      <c r="H287" s="124" t="s">
        <v>31</v>
      </c>
      <c r="I287" s="104">
        <v>0</v>
      </c>
      <c r="J287" s="117">
        <v>0</v>
      </c>
      <c r="K287" s="117">
        <v>467.37999999999965</v>
      </c>
      <c r="L287" s="117">
        <f>IF(Tabela1[[#This Row],[SALDO PARCIAL PENDENTE]]-Tabela1[[#This Row],[1QZ DE FEV 26]]&lt;0,0,Tabela1[[#This Row],[SALDO PARCIAL PENDENTE]]-Tabela1[[#This Row],[1QZ DE FEV 26]])</f>
        <v>0</v>
      </c>
      <c r="M287" s="68">
        <v>500</v>
      </c>
      <c r="N287" s="117">
        <v>330.8</v>
      </c>
      <c r="O287" s="72"/>
      <c r="P287" s="125">
        <f>Tabela1[[#This Row],[2QZ DE JAN 26]]-Tabela1[[#This Row],[SALDO PENDENTE FINAL]]-Tabela1[[#This Row],[SALDO CARTAO]]-Tabela1[[#This Row],[ADIANTAMENTO]]</f>
        <v>169.2</v>
      </c>
      <c r="Q287" s="126"/>
      <c r="R287" s="130">
        <f>IF(Tabela1[[#This Row],[CARGA PARCIAL]]&lt;0,0,Tabela1[[#This Row],[CARGA PARCIAL]])+Tabela1[[#This Row],[REEMBOLSO]]</f>
        <v>169.2</v>
      </c>
      <c r="S287" s="129" t="s">
        <v>22</v>
      </c>
      <c r="T287" s="72"/>
    </row>
    <row r="288" spans="2:20" x14ac:dyDescent="0.25">
      <c r="B288" s="121" t="s">
        <v>126</v>
      </c>
      <c r="C288" s="122" t="s">
        <v>1775</v>
      </c>
      <c r="D288" s="115" t="s">
        <v>18</v>
      </c>
      <c r="E288" s="123" t="s">
        <v>127</v>
      </c>
      <c r="F288" s="71">
        <v>11062850001</v>
      </c>
      <c r="G288" s="127" t="s">
        <v>27</v>
      </c>
      <c r="H288" s="124" t="s">
        <v>137</v>
      </c>
      <c r="I288" s="104">
        <v>0</v>
      </c>
      <c r="J288" s="117">
        <v>0</v>
      </c>
      <c r="K288" s="117">
        <v>178.02999999999997</v>
      </c>
      <c r="L288" s="117">
        <f>IF(Tabela1[[#This Row],[SALDO PARCIAL PENDENTE]]-Tabela1[[#This Row],[1QZ DE FEV 26]]&lt;0,0,Tabela1[[#This Row],[SALDO PARCIAL PENDENTE]]-Tabela1[[#This Row],[1QZ DE FEV 26]])</f>
        <v>0</v>
      </c>
      <c r="M288" s="68">
        <v>800</v>
      </c>
      <c r="N288" s="117">
        <v>744</v>
      </c>
      <c r="O288" s="72"/>
      <c r="P288" s="125">
        <f>Tabela1[[#This Row],[2QZ DE JAN 26]]-Tabela1[[#This Row],[SALDO PENDENTE FINAL]]-Tabela1[[#This Row],[SALDO CARTAO]]-Tabela1[[#This Row],[ADIANTAMENTO]]</f>
        <v>56</v>
      </c>
      <c r="Q288" s="126"/>
      <c r="R288" s="130">
        <f>IF(Tabela1[[#This Row],[CARGA PARCIAL]]&lt;0,0,Tabela1[[#This Row],[CARGA PARCIAL]])+Tabela1[[#This Row],[REEMBOLSO]]</f>
        <v>56</v>
      </c>
      <c r="S288" s="129" t="s">
        <v>22</v>
      </c>
      <c r="T288" s="72"/>
    </row>
    <row r="289" spans="2:20" x14ac:dyDescent="0.25">
      <c r="B289" s="120" t="s">
        <v>143</v>
      </c>
      <c r="C289" s="114" t="s">
        <v>1652</v>
      </c>
      <c r="D289" s="115" t="s">
        <v>18</v>
      </c>
      <c r="E289" s="115" t="s">
        <v>144</v>
      </c>
      <c r="F289" s="71">
        <v>11010090001</v>
      </c>
      <c r="G289" s="123" t="s">
        <v>65</v>
      </c>
      <c r="H289" s="116" t="s">
        <v>31</v>
      </c>
      <c r="I289" s="104">
        <v>0</v>
      </c>
      <c r="J289" s="117">
        <v>0</v>
      </c>
      <c r="K289" s="117">
        <v>33.89999999999975</v>
      </c>
      <c r="L289" s="117">
        <f>IF(Tabela1[[#This Row],[SALDO PARCIAL PENDENTE]]-Tabela1[[#This Row],[1QZ DE FEV 26]]&lt;0,0,Tabela1[[#This Row],[SALDO PARCIAL PENDENTE]]-Tabela1[[#This Row],[1QZ DE FEV 26]])</f>
        <v>0</v>
      </c>
      <c r="M289" s="68">
        <v>400</v>
      </c>
      <c r="N289" s="117">
        <v>350.1</v>
      </c>
      <c r="O289" s="69"/>
      <c r="P289" s="118">
        <f>Tabela1[[#This Row],[2QZ DE JAN 26]]-Tabela1[[#This Row],[SALDO PENDENTE FINAL]]-Tabela1[[#This Row],[SALDO CARTAO]]-Tabela1[[#This Row],[ADIANTAMENTO]]</f>
        <v>49.899999999999977</v>
      </c>
      <c r="Q289" s="119"/>
      <c r="R289" s="130">
        <f>IF(Tabela1[[#This Row],[CARGA PARCIAL]]&lt;0,0,Tabela1[[#This Row],[CARGA PARCIAL]])+Tabela1[[#This Row],[REEMBOLSO]]</f>
        <v>49.899999999999977</v>
      </c>
      <c r="S289" s="129" t="s">
        <v>22</v>
      </c>
      <c r="T289" s="69"/>
    </row>
    <row r="290" spans="2:20" x14ac:dyDescent="0.25">
      <c r="B290" s="120" t="s">
        <v>82</v>
      </c>
      <c r="C290" s="114" t="s">
        <v>1768</v>
      </c>
      <c r="D290" s="115" t="s">
        <v>18</v>
      </c>
      <c r="E290" s="115" t="s">
        <v>83</v>
      </c>
      <c r="F290" s="71">
        <v>11061830001</v>
      </c>
      <c r="G290" s="127" t="s">
        <v>34</v>
      </c>
      <c r="H290" s="116" t="s">
        <v>31</v>
      </c>
      <c r="I290" s="104">
        <v>0</v>
      </c>
      <c r="J290" s="117">
        <v>0</v>
      </c>
      <c r="K290" s="117">
        <v>500</v>
      </c>
      <c r="L290" s="117">
        <f>IF(Tabela1[[#This Row],[SALDO PARCIAL PENDENTE]]-Tabela1[[#This Row],[1QZ DE FEV 26]]&lt;0,0,Tabela1[[#This Row],[SALDO PARCIAL PENDENTE]]-Tabela1[[#This Row],[1QZ DE FEV 26]])</f>
        <v>0</v>
      </c>
      <c r="M290" s="68">
        <v>500</v>
      </c>
      <c r="N290" s="117">
        <v>500</v>
      </c>
      <c r="O290" s="69"/>
      <c r="P290" s="118">
        <f>Tabela1[[#This Row],[2QZ DE JAN 26]]-Tabela1[[#This Row],[SALDO PENDENTE FINAL]]-Tabela1[[#This Row],[SALDO CARTAO]]-Tabela1[[#This Row],[ADIANTAMENTO]]</f>
        <v>0</v>
      </c>
      <c r="Q290" s="119"/>
      <c r="R290" s="130">
        <f>IF(Tabela1[[#This Row],[CARGA PARCIAL]]&lt;0,0,Tabela1[[#This Row],[CARGA PARCIAL]])+Tabela1[[#This Row],[REEMBOLSO]]</f>
        <v>0</v>
      </c>
      <c r="S290" s="129" t="s">
        <v>47</v>
      </c>
      <c r="T290" s="69"/>
    </row>
    <row r="291" spans="2:20" x14ac:dyDescent="0.25">
      <c r="B291" s="121" t="s">
        <v>184</v>
      </c>
      <c r="C291" s="122" t="s">
        <v>1782</v>
      </c>
      <c r="D291" s="115" t="s">
        <v>18</v>
      </c>
      <c r="E291" s="123" t="s">
        <v>185</v>
      </c>
      <c r="F291" s="71">
        <v>11010110001</v>
      </c>
      <c r="G291" s="127" t="s">
        <v>34</v>
      </c>
      <c r="H291" s="124" t="s">
        <v>31</v>
      </c>
      <c r="I291" s="104">
        <v>0</v>
      </c>
      <c r="J291" s="117">
        <v>0</v>
      </c>
      <c r="K291" s="117">
        <v>632.95000000000005</v>
      </c>
      <c r="L291" s="117">
        <f>IF(Tabela1[[#This Row],[SALDO PARCIAL PENDENTE]]-Tabela1[[#This Row],[1QZ DE FEV 26]]&lt;0,0,Tabela1[[#This Row],[SALDO PARCIAL PENDENTE]]-Tabela1[[#This Row],[1QZ DE FEV 26]])</f>
        <v>0</v>
      </c>
      <c r="M291" s="68">
        <v>1000</v>
      </c>
      <c r="N291" s="117">
        <v>1000</v>
      </c>
      <c r="O291" s="72"/>
      <c r="P291" s="125">
        <f>Tabela1[[#This Row],[2QZ DE JAN 26]]-Tabela1[[#This Row],[SALDO PENDENTE FINAL]]-Tabela1[[#This Row],[SALDO CARTAO]]-Tabela1[[#This Row],[ADIANTAMENTO]]</f>
        <v>0</v>
      </c>
      <c r="Q291" s="126"/>
      <c r="R291" s="130">
        <f>IF(Tabela1[[#This Row],[CARGA PARCIAL]]&lt;0,0,Tabela1[[#This Row],[CARGA PARCIAL]])+Tabela1[[#This Row],[REEMBOLSO]]</f>
        <v>0</v>
      </c>
      <c r="S291" s="129" t="s">
        <v>1823</v>
      </c>
      <c r="T291" s="72"/>
    </row>
    <row r="292" spans="2:20" x14ac:dyDescent="0.25">
      <c r="B292" s="120" t="s">
        <v>207</v>
      </c>
      <c r="C292" s="114" t="s">
        <v>1787</v>
      </c>
      <c r="D292" s="115" t="s">
        <v>18</v>
      </c>
      <c r="E292" s="115" t="s">
        <v>160</v>
      </c>
      <c r="F292" s="71">
        <v>11062450001</v>
      </c>
      <c r="G292" s="123" t="s">
        <v>27</v>
      </c>
      <c r="H292" s="116" t="s">
        <v>137</v>
      </c>
      <c r="I292" s="104">
        <v>0</v>
      </c>
      <c r="J292" s="117">
        <v>0</v>
      </c>
      <c r="K292" s="117">
        <v>215</v>
      </c>
      <c r="L292" s="117">
        <f>IF(Tabela1[[#This Row],[SALDO PARCIAL PENDENTE]]-Tabela1[[#This Row],[1QZ DE FEV 26]]&lt;0,0,Tabela1[[#This Row],[SALDO PARCIAL PENDENTE]]-Tabela1[[#This Row],[1QZ DE FEV 26]])</f>
        <v>0</v>
      </c>
      <c r="M292" s="68">
        <v>750</v>
      </c>
      <c r="N292" s="117">
        <v>750</v>
      </c>
      <c r="O292" s="69"/>
      <c r="P292" s="118">
        <f>Tabela1[[#This Row],[2QZ DE JAN 26]]-Tabela1[[#This Row],[SALDO PENDENTE FINAL]]-Tabela1[[#This Row],[SALDO CARTAO]]-Tabela1[[#This Row],[ADIANTAMENTO]]</f>
        <v>0</v>
      </c>
      <c r="Q292" s="119"/>
      <c r="R292" s="130">
        <f>IF(Tabela1[[#This Row],[CARGA PARCIAL]]&lt;0,0,Tabela1[[#This Row],[CARGA PARCIAL]])+Tabela1[[#This Row],[REEMBOLSO]]</f>
        <v>0</v>
      </c>
      <c r="S292" s="129" t="s">
        <v>22</v>
      </c>
      <c r="T292" s="69"/>
    </row>
    <row r="293" spans="2:20" x14ac:dyDescent="0.25">
      <c r="B293" s="121" t="s">
        <v>362</v>
      </c>
      <c r="C293" s="122" t="s">
        <v>1807</v>
      </c>
      <c r="D293" s="115" t="s">
        <v>18</v>
      </c>
      <c r="E293" s="123" t="s">
        <v>97</v>
      </c>
      <c r="F293" s="71">
        <v>11010370001</v>
      </c>
      <c r="G293" s="127" t="s">
        <v>30</v>
      </c>
      <c r="H293" s="124" t="s">
        <v>31</v>
      </c>
      <c r="I293" s="104">
        <v>0</v>
      </c>
      <c r="J293" s="117">
        <v>0</v>
      </c>
      <c r="K293" s="117">
        <v>199.16000000000003</v>
      </c>
      <c r="L293" s="117">
        <f>IF(Tabela1[[#This Row],[SALDO PARCIAL PENDENTE]]-Tabela1[[#This Row],[1QZ DE FEV 26]]&lt;0,0,Tabela1[[#This Row],[SALDO PARCIAL PENDENTE]]-Tabela1[[#This Row],[1QZ DE FEV 26]])</f>
        <v>0</v>
      </c>
      <c r="M293" s="68">
        <v>500</v>
      </c>
      <c r="N293" s="117">
        <v>500</v>
      </c>
      <c r="O293" s="72"/>
      <c r="P293" s="125">
        <f>Tabela1[[#This Row],[2QZ DE JAN 26]]-Tabela1[[#This Row],[SALDO PENDENTE FINAL]]-Tabela1[[#This Row],[SALDO CARTAO]]-Tabela1[[#This Row],[ADIANTAMENTO]]</f>
        <v>0</v>
      </c>
      <c r="Q293" s="126"/>
      <c r="R293" s="130">
        <f>IF(Tabela1[[#This Row],[CARGA PARCIAL]]&lt;0,0,Tabela1[[#This Row],[CARGA PARCIAL]])+Tabela1[[#This Row],[REEMBOLSO]]</f>
        <v>0</v>
      </c>
      <c r="S293" s="129" t="s">
        <v>22</v>
      </c>
      <c r="T293" s="72"/>
    </row>
    <row r="294" spans="2:20" x14ac:dyDescent="0.25">
      <c r="B294" s="120" t="s">
        <v>545</v>
      </c>
      <c r="C294" s="114" t="s">
        <v>546</v>
      </c>
      <c r="D294" s="115" t="s">
        <v>18</v>
      </c>
      <c r="E294" s="115" t="s">
        <v>547</v>
      </c>
      <c r="F294" s="71">
        <v>11010270001</v>
      </c>
      <c r="G294" s="123" t="s">
        <v>30</v>
      </c>
      <c r="H294" s="116" t="s">
        <v>31</v>
      </c>
      <c r="I294" s="104">
        <v>0</v>
      </c>
      <c r="J294" s="117">
        <v>0</v>
      </c>
      <c r="K294" s="117">
        <v>95.399999999999977</v>
      </c>
      <c r="L294" s="117">
        <f>IF(Tabela1[[#This Row],[SALDO PARCIAL PENDENTE]]-Tabela1[[#This Row],[1QZ DE FEV 26]]&lt;0,0,Tabela1[[#This Row],[SALDO PARCIAL PENDENTE]]-Tabela1[[#This Row],[1QZ DE FEV 26]])</f>
        <v>0</v>
      </c>
      <c r="M294" s="68">
        <v>500</v>
      </c>
      <c r="N294" s="117">
        <v>500</v>
      </c>
      <c r="O294" s="69"/>
      <c r="P294" s="118">
        <f>Tabela1[[#This Row],[2QZ DE JAN 26]]-Tabela1[[#This Row],[SALDO PENDENTE FINAL]]-Tabela1[[#This Row],[SALDO CARTAO]]-Tabela1[[#This Row],[ADIANTAMENTO]]</f>
        <v>0</v>
      </c>
      <c r="Q294" s="119"/>
      <c r="R294" s="130">
        <f>IF(Tabela1[[#This Row],[CARGA PARCIAL]]&lt;0,0,Tabela1[[#This Row],[CARGA PARCIAL]])+Tabela1[[#This Row],[REEMBOLSO]]</f>
        <v>0</v>
      </c>
      <c r="S294" s="129" t="s">
        <v>22</v>
      </c>
      <c r="T294" s="69"/>
    </row>
    <row r="295" spans="2:20" x14ac:dyDescent="0.25">
      <c r="B295" s="121" t="s">
        <v>590</v>
      </c>
      <c r="C295" s="122" t="s">
        <v>591</v>
      </c>
      <c r="D295" s="115" t="s">
        <v>18</v>
      </c>
      <c r="E295" s="123" t="s">
        <v>592</v>
      </c>
      <c r="F295" s="71">
        <v>11010080001</v>
      </c>
      <c r="G295" s="127" t="s">
        <v>30</v>
      </c>
      <c r="H295" s="124" t="s">
        <v>31</v>
      </c>
      <c r="I295" s="104">
        <v>0</v>
      </c>
      <c r="J295" s="117">
        <v>0</v>
      </c>
      <c r="K295" s="117">
        <v>885.39999999999964</v>
      </c>
      <c r="L295" s="117">
        <f>IF(Tabela1[[#This Row],[SALDO PARCIAL PENDENTE]]-Tabela1[[#This Row],[1QZ DE FEV 26]]&lt;0,0,Tabela1[[#This Row],[SALDO PARCIAL PENDENTE]]-Tabela1[[#This Row],[1QZ DE FEV 26]])</f>
        <v>0</v>
      </c>
      <c r="M295" s="68">
        <v>1000</v>
      </c>
      <c r="N295" s="117">
        <v>1000</v>
      </c>
      <c r="O295" s="72"/>
      <c r="P295" s="125">
        <f>Tabela1[[#This Row],[2QZ DE JAN 26]]-Tabela1[[#This Row],[SALDO PENDENTE FINAL]]-Tabela1[[#This Row],[SALDO CARTAO]]-Tabela1[[#This Row],[ADIANTAMENTO]]</f>
        <v>0</v>
      </c>
      <c r="Q295" s="126"/>
      <c r="R295" s="130">
        <f>IF(Tabela1[[#This Row],[CARGA PARCIAL]]&lt;0,0,Tabela1[[#This Row],[CARGA PARCIAL]])+Tabela1[[#This Row],[REEMBOLSO]]</f>
        <v>0</v>
      </c>
      <c r="S295" s="129" t="s">
        <v>1823</v>
      </c>
      <c r="T295" s="72"/>
    </row>
    <row r="296" spans="2:20" x14ac:dyDescent="0.25">
      <c r="B296" s="121" t="s">
        <v>628</v>
      </c>
      <c r="C296" s="122" t="s">
        <v>629</v>
      </c>
      <c r="D296" s="115" t="s">
        <v>18</v>
      </c>
      <c r="E296" s="123" t="s">
        <v>73</v>
      </c>
      <c r="F296" s="71">
        <v>11040140001</v>
      </c>
      <c r="G296" s="123" t="s">
        <v>39</v>
      </c>
      <c r="H296" s="124" t="s">
        <v>31</v>
      </c>
      <c r="I296" s="104">
        <v>0</v>
      </c>
      <c r="J296" s="117">
        <v>0</v>
      </c>
      <c r="K296" s="117">
        <v>55</v>
      </c>
      <c r="L296" s="117">
        <f>IF(Tabela1[[#This Row],[SALDO PARCIAL PENDENTE]]-Tabela1[[#This Row],[1QZ DE FEV 26]]&lt;0,0,Tabela1[[#This Row],[SALDO PARCIAL PENDENTE]]-Tabela1[[#This Row],[1QZ DE FEV 26]])</f>
        <v>0</v>
      </c>
      <c r="M296" s="68">
        <v>100</v>
      </c>
      <c r="N296" s="117">
        <v>100</v>
      </c>
      <c r="O296" s="72"/>
      <c r="P296" s="125">
        <f>Tabela1[[#This Row],[2QZ DE JAN 26]]-Tabela1[[#This Row],[SALDO PENDENTE FINAL]]-Tabela1[[#This Row],[SALDO CARTAO]]-Tabela1[[#This Row],[ADIANTAMENTO]]</f>
        <v>0</v>
      </c>
      <c r="Q296" s="126"/>
      <c r="R296" s="130">
        <f>IF(Tabela1[[#This Row],[CARGA PARCIAL]]&lt;0,0,Tabela1[[#This Row],[CARGA PARCIAL]])+Tabela1[[#This Row],[REEMBOLSO]]</f>
        <v>0</v>
      </c>
      <c r="S296" s="129" t="s">
        <v>22</v>
      </c>
      <c r="T296" s="72"/>
    </row>
    <row r="297" spans="2:20" x14ac:dyDescent="0.25">
      <c r="B297" s="121" t="s">
        <v>722</v>
      </c>
      <c r="C297" s="122" t="s">
        <v>723</v>
      </c>
      <c r="D297" s="115" t="s">
        <v>18</v>
      </c>
      <c r="E297" s="123" t="s">
        <v>38</v>
      </c>
      <c r="F297" s="71">
        <v>11040130001</v>
      </c>
      <c r="G297" s="123" t="s">
        <v>39</v>
      </c>
      <c r="H297" s="124" t="s">
        <v>31</v>
      </c>
      <c r="I297" s="104">
        <v>0</v>
      </c>
      <c r="J297" s="117">
        <v>0</v>
      </c>
      <c r="K297" s="117">
        <v>120</v>
      </c>
      <c r="L297" s="117">
        <f>IF(Tabela1[[#This Row],[SALDO PARCIAL PENDENTE]]-Tabela1[[#This Row],[1QZ DE FEV 26]]&lt;0,0,Tabela1[[#This Row],[SALDO PARCIAL PENDENTE]]-Tabela1[[#This Row],[1QZ DE FEV 26]])</f>
        <v>0</v>
      </c>
      <c r="M297" s="68">
        <v>120</v>
      </c>
      <c r="N297" s="117">
        <v>120</v>
      </c>
      <c r="O297" s="72"/>
      <c r="P297" s="125">
        <f>Tabela1[[#This Row],[2QZ DE JAN 26]]-Tabela1[[#This Row],[SALDO PENDENTE FINAL]]-Tabela1[[#This Row],[SALDO CARTAO]]-Tabela1[[#This Row],[ADIANTAMENTO]]</f>
        <v>0</v>
      </c>
      <c r="Q297" s="126"/>
      <c r="R297" s="130">
        <f>IF(Tabela1[[#This Row],[CARGA PARCIAL]]&lt;0,0,Tabela1[[#This Row],[CARGA PARCIAL]])+Tabela1[[#This Row],[REEMBOLSO]]</f>
        <v>0</v>
      </c>
      <c r="S297" s="129" t="s">
        <v>22</v>
      </c>
      <c r="T297" s="72"/>
    </row>
    <row r="298" spans="2:20" x14ac:dyDescent="0.25">
      <c r="B298" s="121" t="s">
        <v>783</v>
      </c>
      <c r="C298" s="122" t="s">
        <v>784</v>
      </c>
      <c r="D298" s="115" t="s">
        <v>18</v>
      </c>
      <c r="E298" s="123" t="s">
        <v>785</v>
      </c>
      <c r="F298" s="71">
        <v>11010150001</v>
      </c>
      <c r="G298" s="123" t="s">
        <v>30</v>
      </c>
      <c r="H298" s="124" t="s">
        <v>31</v>
      </c>
      <c r="I298" s="104">
        <v>0</v>
      </c>
      <c r="J298" s="117">
        <v>0</v>
      </c>
      <c r="K298" s="117">
        <v>485.9</v>
      </c>
      <c r="L298" s="117">
        <f>IF(Tabela1[[#This Row],[SALDO PARCIAL PENDENTE]]-Tabela1[[#This Row],[1QZ DE FEV 26]]&lt;0,0,Tabela1[[#This Row],[SALDO PARCIAL PENDENTE]]-Tabela1[[#This Row],[1QZ DE FEV 26]])</f>
        <v>0</v>
      </c>
      <c r="M298" s="68">
        <v>500</v>
      </c>
      <c r="N298" s="117">
        <v>390.5</v>
      </c>
      <c r="O298" s="72"/>
      <c r="P298" s="125">
        <f>Tabela1[[#This Row],[2QZ DE JAN 26]]-Tabela1[[#This Row],[SALDO PENDENTE FINAL]]-Tabela1[[#This Row],[SALDO CARTAO]]-Tabela1[[#This Row],[ADIANTAMENTO]]</f>
        <v>109.5</v>
      </c>
      <c r="Q298" s="126"/>
      <c r="R298" s="130">
        <f>IF(Tabela1[[#This Row],[CARGA PARCIAL]]&lt;0,0,Tabela1[[#This Row],[CARGA PARCIAL]])+Tabela1[[#This Row],[REEMBOLSO]]</f>
        <v>109.5</v>
      </c>
      <c r="S298" s="129" t="s">
        <v>22</v>
      </c>
      <c r="T298" s="72"/>
    </row>
    <row r="299" spans="2:20" x14ac:dyDescent="0.25">
      <c r="B299" s="120" t="s">
        <v>608</v>
      </c>
      <c r="C299" s="114" t="s">
        <v>609</v>
      </c>
      <c r="D299" s="115" t="s">
        <v>18</v>
      </c>
      <c r="E299" s="115" t="s">
        <v>113</v>
      </c>
      <c r="F299" s="71">
        <v>11061720001</v>
      </c>
      <c r="G299" s="123" t="s">
        <v>30</v>
      </c>
      <c r="H299" s="116" t="s">
        <v>31</v>
      </c>
      <c r="I299" s="104">
        <v>0</v>
      </c>
      <c r="J299" s="117">
        <v>0</v>
      </c>
      <c r="K299" s="117">
        <v>661.1399999999976</v>
      </c>
      <c r="L299" s="117">
        <f>IF(Tabela1[[#This Row],[SALDO PARCIAL PENDENTE]]-Tabela1[[#This Row],[1QZ DE FEV 26]]&lt;0,0,Tabela1[[#This Row],[SALDO PARCIAL PENDENTE]]-Tabela1[[#This Row],[1QZ DE FEV 26]])</f>
        <v>0</v>
      </c>
      <c r="M299" s="68">
        <v>800</v>
      </c>
      <c r="N299" s="117">
        <v>3.12</v>
      </c>
      <c r="O299" s="69"/>
      <c r="P299" s="118">
        <f>Tabela1[[#This Row],[2QZ DE JAN 26]]-Tabela1[[#This Row],[SALDO PENDENTE FINAL]]-Tabela1[[#This Row],[SALDO CARTAO]]-Tabela1[[#This Row],[ADIANTAMENTO]]</f>
        <v>796.88</v>
      </c>
      <c r="Q299" s="119"/>
      <c r="R299" s="130">
        <f>IF(Tabela1[[#This Row],[CARGA PARCIAL]]&lt;0,0,Tabela1[[#This Row],[CARGA PARCIAL]])+Tabela1[[#This Row],[REEMBOLSO]]</f>
        <v>796.88</v>
      </c>
      <c r="S299" s="129" t="s">
        <v>22</v>
      </c>
      <c r="T299" s="69"/>
    </row>
    <row r="300" spans="2:20" x14ac:dyDescent="0.25">
      <c r="B300" s="121" t="s">
        <v>481</v>
      </c>
      <c r="C300" s="122" t="s">
        <v>482</v>
      </c>
      <c r="D300" s="115" t="s">
        <v>18</v>
      </c>
      <c r="E300" s="123" t="s">
        <v>38</v>
      </c>
      <c r="F300" s="71">
        <v>11040130001</v>
      </c>
      <c r="G300" s="127" t="s">
        <v>39</v>
      </c>
      <c r="H300" s="124" t="s">
        <v>31</v>
      </c>
      <c r="I300" s="104">
        <v>0</v>
      </c>
      <c r="J300" s="117">
        <v>0</v>
      </c>
      <c r="K300" s="117">
        <v>611.65</v>
      </c>
      <c r="L300" s="117">
        <f>IF(Tabela1[[#This Row],[SALDO PARCIAL PENDENTE]]-Tabela1[[#This Row],[1QZ DE FEV 26]]&lt;0,0,Tabela1[[#This Row],[SALDO PARCIAL PENDENTE]]-Tabela1[[#This Row],[1QZ DE FEV 26]])</f>
        <v>0</v>
      </c>
      <c r="M300" s="68">
        <v>120</v>
      </c>
      <c r="N300" s="117">
        <v>14.65</v>
      </c>
      <c r="O300" s="72"/>
      <c r="P300" s="125">
        <f>Tabela1[[#This Row],[2QZ DE JAN 26]]-Tabela1[[#This Row],[SALDO PENDENTE FINAL]]-Tabela1[[#This Row],[SALDO CARTAO]]-Tabela1[[#This Row],[ADIANTAMENTO]]</f>
        <v>105.35</v>
      </c>
      <c r="Q300" s="126"/>
      <c r="R300" s="130">
        <f>IF(Tabela1[[#This Row],[CARGA PARCIAL]]&lt;0,0,Tabela1[[#This Row],[CARGA PARCIAL]])+Tabela1[[#This Row],[REEMBOLSO]]</f>
        <v>105.35</v>
      </c>
      <c r="S300" s="129" t="s">
        <v>22</v>
      </c>
      <c r="T300" s="72"/>
    </row>
    <row r="301" spans="2:20" x14ac:dyDescent="0.25">
      <c r="B301" s="121" t="s">
        <v>806</v>
      </c>
      <c r="C301" s="122" t="s">
        <v>807</v>
      </c>
      <c r="D301" s="115" t="s">
        <v>18</v>
      </c>
      <c r="E301" s="123" t="s">
        <v>197</v>
      </c>
      <c r="F301" s="71">
        <v>11061770001</v>
      </c>
      <c r="G301" s="123" t="s">
        <v>34</v>
      </c>
      <c r="H301" s="124" t="s">
        <v>31</v>
      </c>
      <c r="I301" s="104">
        <v>0</v>
      </c>
      <c r="J301" s="117">
        <v>0</v>
      </c>
      <c r="K301" s="117">
        <v>5.1000000000008185</v>
      </c>
      <c r="L301" s="117">
        <f>IF(Tabela1[[#This Row],[SALDO PARCIAL PENDENTE]]-Tabela1[[#This Row],[1QZ DE FEV 26]]&lt;0,0,Tabela1[[#This Row],[SALDO PARCIAL PENDENTE]]-Tabela1[[#This Row],[1QZ DE FEV 26]])</f>
        <v>0</v>
      </c>
      <c r="M301" s="68">
        <v>200</v>
      </c>
      <c r="N301" s="117">
        <v>113.35</v>
      </c>
      <c r="O301" s="72"/>
      <c r="P301" s="125">
        <f>Tabela1[[#This Row],[2QZ DE JAN 26]]-Tabela1[[#This Row],[SALDO PENDENTE FINAL]]-Tabela1[[#This Row],[SALDO CARTAO]]-Tabela1[[#This Row],[ADIANTAMENTO]]</f>
        <v>86.65</v>
      </c>
      <c r="Q301" s="126"/>
      <c r="R301" s="130">
        <f>IF(Tabela1[[#This Row],[CARGA PARCIAL]]&lt;0,0,Tabela1[[#This Row],[CARGA PARCIAL]])+Tabela1[[#This Row],[REEMBOLSO]]</f>
        <v>86.65</v>
      </c>
      <c r="S301" s="129" t="s">
        <v>22</v>
      </c>
      <c r="T301" s="72"/>
    </row>
    <row r="302" spans="2:20" x14ac:dyDescent="0.25">
      <c r="B302" s="121" t="s">
        <v>775</v>
      </c>
      <c r="C302" s="122" t="s">
        <v>776</v>
      </c>
      <c r="D302" s="115" t="s">
        <v>18</v>
      </c>
      <c r="E302" s="123" t="s">
        <v>113</v>
      </c>
      <c r="F302" s="71">
        <v>11061720001</v>
      </c>
      <c r="G302" s="123" t="s">
        <v>30</v>
      </c>
      <c r="H302" s="124" t="s">
        <v>31</v>
      </c>
      <c r="I302" s="104">
        <v>0</v>
      </c>
      <c r="J302" s="117">
        <v>0</v>
      </c>
      <c r="K302" s="117">
        <v>581.64</v>
      </c>
      <c r="L302" s="117">
        <f>IF(Tabela1[[#This Row],[SALDO PARCIAL PENDENTE]]-Tabela1[[#This Row],[1QZ DE FEV 26]]&lt;0,0,Tabela1[[#This Row],[SALDO PARCIAL PENDENTE]]-Tabela1[[#This Row],[1QZ DE FEV 26]])</f>
        <v>0</v>
      </c>
      <c r="M302" s="68">
        <v>800</v>
      </c>
      <c r="N302" s="117">
        <v>214.2</v>
      </c>
      <c r="O302" s="72"/>
      <c r="P302" s="125">
        <f>Tabela1[[#This Row],[2QZ DE JAN 26]]-Tabela1[[#This Row],[SALDO PENDENTE FINAL]]-Tabela1[[#This Row],[SALDO CARTAO]]-Tabela1[[#This Row],[ADIANTAMENTO]]</f>
        <v>585.79999999999995</v>
      </c>
      <c r="Q302" s="126"/>
      <c r="R302" s="130">
        <f>IF(Tabela1[[#This Row],[CARGA PARCIAL]]&lt;0,0,Tabela1[[#This Row],[CARGA PARCIAL]])+Tabela1[[#This Row],[REEMBOLSO]]</f>
        <v>585.79999999999995</v>
      </c>
      <c r="S302" s="129" t="s">
        <v>22</v>
      </c>
      <c r="T302" s="72"/>
    </row>
    <row r="303" spans="2:20" x14ac:dyDescent="0.25">
      <c r="B303" s="120" t="s">
        <v>615</v>
      </c>
      <c r="C303" s="114" t="s">
        <v>616</v>
      </c>
      <c r="D303" s="115" t="s">
        <v>18</v>
      </c>
      <c r="E303" s="115" t="s">
        <v>113</v>
      </c>
      <c r="F303" s="71">
        <v>11061720001</v>
      </c>
      <c r="G303" s="123" t="s">
        <v>30</v>
      </c>
      <c r="H303" s="116" t="s">
        <v>31</v>
      </c>
      <c r="I303" s="104">
        <v>0</v>
      </c>
      <c r="J303" s="117">
        <v>0</v>
      </c>
      <c r="K303" s="117">
        <v>1281.95</v>
      </c>
      <c r="L303" s="117">
        <f>IF(Tabela1[[#This Row],[SALDO PARCIAL PENDENTE]]-Tabela1[[#This Row],[1QZ DE FEV 26]]&lt;0,0,Tabela1[[#This Row],[SALDO PARCIAL PENDENTE]]-Tabela1[[#This Row],[1QZ DE FEV 26]])</f>
        <v>0</v>
      </c>
      <c r="M303" s="68">
        <v>1400</v>
      </c>
      <c r="N303" s="117">
        <v>65.11</v>
      </c>
      <c r="O303" s="69"/>
      <c r="P303" s="118">
        <f>Tabela1[[#This Row],[2QZ DE JAN 26]]-Tabela1[[#This Row],[SALDO PENDENTE FINAL]]-Tabela1[[#This Row],[SALDO CARTAO]]-Tabela1[[#This Row],[ADIANTAMENTO]]</f>
        <v>1334.89</v>
      </c>
      <c r="Q303" s="119"/>
      <c r="R303" s="130">
        <f>IF(Tabela1[[#This Row],[CARGA PARCIAL]]&lt;0,0,Tabela1[[#This Row],[CARGA PARCIAL]])+Tabela1[[#This Row],[REEMBOLSO]]</f>
        <v>1334.89</v>
      </c>
      <c r="S303" s="129" t="s">
        <v>22</v>
      </c>
      <c r="T303" s="69"/>
    </row>
    <row r="304" spans="2:20" x14ac:dyDescent="0.25">
      <c r="B304" s="121" t="s">
        <v>220</v>
      </c>
      <c r="C304" s="122" t="s">
        <v>1558</v>
      </c>
      <c r="D304" s="115" t="s">
        <v>18</v>
      </c>
      <c r="E304" s="123" t="s">
        <v>113</v>
      </c>
      <c r="F304" s="71">
        <v>11061720001</v>
      </c>
      <c r="G304" s="127" t="s">
        <v>30</v>
      </c>
      <c r="H304" s="124" t="s">
        <v>31</v>
      </c>
      <c r="I304" s="104">
        <v>0</v>
      </c>
      <c r="J304" s="117">
        <v>0</v>
      </c>
      <c r="K304" s="117">
        <v>777.2</v>
      </c>
      <c r="L304" s="117">
        <f>IF(Tabela1[[#This Row],[SALDO PARCIAL PENDENTE]]-Tabela1[[#This Row],[1QZ DE FEV 26]]&lt;0,0,Tabela1[[#This Row],[SALDO PARCIAL PENDENTE]]-Tabela1[[#This Row],[1QZ DE FEV 26]])</f>
        <v>0</v>
      </c>
      <c r="M304" s="68">
        <v>800</v>
      </c>
      <c r="N304" s="117">
        <v>57.1</v>
      </c>
      <c r="O304" s="72"/>
      <c r="P304" s="125">
        <f>Tabela1[[#This Row],[2QZ DE JAN 26]]-Tabela1[[#This Row],[SALDO PENDENTE FINAL]]-Tabela1[[#This Row],[SALDO CARTAO]]-Tabela1[[#This Row],[ADIANTAMENTO]]</f>
        <v>742.9</v>
      </c>
      <c r="Q304" s="126"/>
      <c r="R304" s="130">
        <f>IF(Tabela1[[#This Row],[CARGA PARCIAL]]&lt;0,0,Tabela1[[#This Row],[CARGA PARCIAL]])+Tabela1[[#This Row],[REEMBOLSO]]</f>
        <v>742.9</v>
      </c>
      <c r="S304" s="129" t="s">
        <v>22</v>
      </c>
      <c r="T304" s="72"/>
    </row>
    <row r="305" spans="2:20" x14ac:dyDescent="0.25">
      <c r="B305" s="121" t="s">
        <v>630</v>
      </c>
      <c r="C305" s="122" t="s">
        <v>631</v>
      </c>
      <c r="D305" s="115" t="s">
        <v>18</v>
      </c>
      <c r="E305" s="123" t="s">
        <v>130</v>
      </c>
      <c r="F305" s="71">
        <v>1201071</v>
      </c>
      <c r="G305" s="123" t="s">
        <v>30</v>
      </c>
      <c r="H305" s="124" t="s">
        <v>31</v>
      </c>
      <c r="I305" s="104">
        <v>0</v>
      </c>
      <c r="J305" s="117">
        <v>0</v>
      </c>
      <c r="K305" s="117">
        <v>464.90000000000015</v>
      </c>
      <c r="L305" s="117">
        <f>IF(Tabela1[[#This Row],[SALDO PARCIAL PENDENTE]]-Tabela1[[#This Row],[1QZ DE FEV 26]]&lt;0,0,Tabela1[[#This Row],[SALDO PARCIAL PENDENTE]]-Tabela1[[#This Row],[1QZ DE FEV 26]])</f>
        <v>0</v>
      </c>
      <c r="M305" s="68">
        <v>500</v>
      </c>
      <c r="N305" s="117">
        <v>357.1</v>
      </c>
      <c r="O305" s="72"/>
      <c r="P305" s="125">
        <f>Tabela1[[#This Row],[2QZ DE JAN 26]]-Tabela1[[#This Row],[SALDO PENDENTE FINAL]]-Tabela1[[#This Row],[SALDO CARTAO]]-Tabela1[[#This Row],[ADIANTAMENTO]]</f>
        <v>142.89999999999998</v>
      </c>
      <c r="Q305" s="126"/>
      <c r="R305" s="130">
        <f>IF(Tabela1[[#This Row],[CARGA PARCIAL]]&lt;0,0,Tabela1[[#This Row],[CARGA PARCIAL]])+Tabela1[[#This Row],[REEMBOLSO]]</f>
        <v>142.89999999999998</v>
      </c>
      <c r="S305" s="129" t="s">
        <v>22</v>
      </c>
      <c r="T305" s="72"/>
    </row>
    <row r="306" spans="2:20" x14ac:dyDescent="0.25">
      <c r="B306" s="121" t="s">
        <v>204</v>
      </c>
      <c r="C306" s="122" t="s">
        <v>1786</v>
      </c>
      <c r="D306" s="115" t="s">
        <v>18</v>
      </c>
      <c r="E306" s="123" t="s">
        <v>205</v>
      </c>
      <c r="F306" s="71">
        <v>11062660001</v>
      </c>
      <c r="G306" s="123" t="s">
        <v>34</v>
      </c>
      <c r="H306" s="124" t="s">
        <v>31</v>
      </c>
      <c r="I306" s="104">
        <v>0</v>
      </c>
      <c r="J306" s="117">
        <v>0</v>
      </c>
      <c r="K306" s="117">
        <v>607.60000000000036</v>
      </c>
      <c r="L306" s="117">
        <f>IF(Tabela1[[#This Row],[SALDO PARCIAL PENDENTE]]-Tabela1[[#This Row],[1QZ DE FEV 26]]&lt;0,0,Tabela1[[#This Row],[SALDO PARCIAL PENDENTE]]-Tabela1[[#This Row],[1QZ DE FEV 26]])</f>
        <v>0</v>
      </c>
      <c r="M306" s="68">
        <v>750</v>
      </c>
      <c r="N306" s="117">
        <v>3.6</v>
      </c>
      <c r="O306" s="72"/>
      <c r="P306" s="125">
        <f>Tabela1[[#This Row],[2QZ DE JAN 26]]-Tabela1[[#This Row],[SALDO PENDENTE FINAL]]-Tabela1[[#This Row],[SALDO CARTAO]]-Tabela1[[#This Row],[ADIANTAMENTO]]</f>
        <v>746.4</v>
      </c>
      <c r="Q306" s="126"/>
      <c r="R306" s="130">
        <f>IF(Tabela1[[#This Row],[CARGA PARCIAL]]&lt;0,0,Tabela1[[#This Row],[CARGA PARCIAL]])+Tabela1[[#This Row],[REEMBOLSO]]</f>
        <v>746.4</v>
      </c>
      <c r="S306" s="129" t="s">
        <v>22</v>
      </c>
      <c r="T306" s="72"/>
    </row>
    <row r="307" spans="2:20" x14ac:dyDescent="0.25">
      <c r="B307" s="121" t="s">
        <v>647</v>
      </c>
      <c r="C307" s="122" t="s">
        <v>648</v>
      </c>
      <c r="D307" s="115" t="s">
        <v>18</v>
      </c>
      <c r="E307" s="123" t="s">
        <v>164</v>
      </c>
      <c r="F307" s="71">
        <v>11030730001</v>
      </c>
      <c r="G307" s="123" t="s">
        <v>20</v>
      </c>
      <c r="H307" s="124" t="s">
        <v>21</v>
      </c>
      <c r="I307" s="104">
        <v>0</v>
      </c>
      <c r="J307" s="117">
        <v>0</v>
      </c>
      <c r="K307" s="117">
        <v>1127.3600000000001</v>
      </c>
      <c r="L307" s="117">
        <f>IF(Tabela1[[#This Row],[SALDO PARCIAL PENDENTE]]-Tabela1[[#This Row],[1QZ DE FEV 26]]&lt;0,0,Tabela1[[#This Row],[SALDO PARCIAL PENDENTE]]-Tabela1[[#This Row],[1QZ DE FEV 26]])</f>
        <v>0</v>
      </c>
      <c r="M307" s="68">
        <v>700</v>
      </c>
      <c r="N307" s="117">
        <v>686.92</v>
      </c>
      <c r="O307" s="72"/>
      <c r="P307" s="125">
        <f>Tabela1[[#This Row],[2QZ DE JAN 26]]-Tabela1[[#This Row],[SALDO PENDENTE FINAL]]-Tabela1[[#This Row],[SALDO CARTAO]]-Tabela1[[#This Row],[ADIANTAMENTO]]</f>
        <v>13.080000000000041</v>
      </c>
      <c r="Q307" s="126"/>
      <c r="R307" s="130">
        <f>IF(Tabela1[[#This Row],[CARGA PARCIAL]]&lt;0,0,Tabela1[[#This Row],[CARGA PARCIAL]])+Tabela1[[#This Row],[REEMBOLSO]]</f>
        <v>13.080000000000041</v>
      </c>
      <c r="S307" s="129" t="s">
        <v>22</v>
      </c>
      <c r="T307" s="72"/>
    </row>
    <row r="308" spans="2:20" x14ac:dyDescent="0.25">
      <c r="B308" s="120" t="s">
        <v>1813</v>
      </c>
      <c r="C308" s="114" t="s">
        <v>1814</v>
      </c>
      <c r="D308" s="115" t="s">
        <v>18</v>
      </c>
      <c r="E308" s="115" t="s">
        <v>1819</v>
      </c>
      <c r="F308" s="71">
        <v>11063040001</v>
      </c>
      <c r="G308" s="123" t="s">
        <v>20</v>
      </c>
      <c r="H308" s="116" t="s">
        <v>21</v>
      </c>
      <c r="I308" s="104">
        <v>0</v>
      </c>
      <c r="J308" s="117">
        <v>0</v>
      </c>
      <c r="K308" s="117">
        <v>0</v>
      </c>
      <c r="L308" s="117">
        <f>IF(Tabela1[[#This Row],[SALDO PARCIAL PENDENTE]]-Tabela1[[#This Row],[1QZ DE FEV 26]]&lt;0,0,Tabela1[[#This Row],[SALDO PARCIAL PENDENTE]]-Tabela1[[#This Row],[1QZ DE FEV 26]])</f>
        <v>0</v>
      </c>
      <c r="M308" s="68">
        <v>250</v>
      </c>
      <c r="N308" s="117">
        <v>0</v>
      </c>
      <c r="O308" s="69"/>
      <c r="P308" s="118">
        <f>Tabela1[[#This Row],[2QZ DE JAN 26]]-Tabela1[[#This Row],[SALDO PENDENTE FINAL]]-Tabela1[[#This Row],[SALDO CARTAO]]-Tabela1[[#This Row],[ADIANTAMENTO]]</f>
        <v>250</v>
      </c>
      <c r="Q308" s="119"/>
      <c r="R308" s="130">
        <f>IF(Tabela1[[#This Row],[CARGA PARCIAL]]&lt;0,0,Tabela1[[#This Row],[CARGA PARCIAL]])+Tabela1[[#This Row],[REEMBOLSO]]</f>
        <v>250</v>
      </c>
      <c r="S308" s="129" t="s">
        <v>22</v>
      </c>
      <c r="T308" s="69"/>
    </row>
    <row r="309" spans="2:20" x14ac:dyDescent="0.25">
      <c r="B309" s="121" t="s">
        <v>754</v>
      </c>
      <c r="C309" s="122" t="s">
        <v>755</v>
      </c>
      <c r="D309" s="115" t="s">
        <v>18</v>
      </c>
      <c r="E309" s="123" t="s">
        <v>756</v>
      </c>
      <c r="F309" s="71">
        <v>11010170001</v>
      </c>
      <c r="G309" s="127" t="s">
        <v>27</v>
      </c>
      <c r="H309" s="124" t="s">
        <v>137</v>
      </c>
      <c r="I309" s="104">
        <v>0</v>
      </c>
      <c r="J309" s="117">
        <v>0</v>
      </c>
      <c r="K309" s="117">
        <v>899.14999999999964</v>
      </c>
      <c r="L309" s="117">
        <f>IF(Tabela1[[#This Row],[SALDO PARCIAL PENDENTE]]-Tabela1[[#This Row],[1QZ DE FEV 26]]&lt;0,0,Tabela1[[#This Row],[SALDO PARCIAL PENDENTE]]-Tabela1[[#This Row],[1QZ DE FEV 26]])</f>
        <v>0</v>
      </c>
      <c r="M309" s="68">
        <v>1000</v>
      </c>
      <c r="N309" s="117">
        <v>942.15</v>
      </c>
      <c r="O309" s="72"/>
      <c r="P309" s="125">
        <f>Tabela1[[#This Row],[2QZ DE JAN 26]]-Tabela1[[#This Row],[SALDO PENDENTE FINAL]]-Tabela1[[#This Row],[SALDO CARTAO]]-Tabela1[[#This Row],[ADIANTAMENTO]]</f>
        <v>57.850000000000023</v>
      </c>
      <c r="Q309" s="126"/>
      <c r="R309" s="130">
        <f>IF(Tabela1[[#This Row],[CARGA PARCIAL]]&lt;0,0,Tabela1[[#This Row],[CARGA PARCIAL]])+Tabela1[[#This Row],[REEMBOLSO]]</f>
        <v>57.850000000000023</v>
      </c>
      <c r="S309" s="129" t="s">
        <v>22</v>
      </c>
      <c r="T309" s="72"/>
    </row>
    <row r="310" spans="2:20" x14ac:dyDescent="0.25">
      <c r="B310" s="96" t="s">
        <v>28</v>
      </c>
      <c r="C310" s="71" t="s">
        <v>1650</v>
      </c>
      <c r="D310" s="115" t="s">
        <v>18</v>
      </c>
      <c r="E310" s="71" t="s">
        <v>29</v>
      </c>
      <c r="F310" s="71">
        <v>11030860001</v>
      </c>
      <c r="G310" s="123" t="s">
        <v>30</v>
      </c>
      <c r="H310" s="71" t="s">
        <v>31</v>
      </c>
      <c r="I310" s="104">
        <v>0</v>
      </c>
      <c r="J310" s="117">
        <v>0</v>
      </c>
      <c r="K310" s="117">
        <v>677.06999999999994</v>
      </c>
      <c r="L310" s="117">
        <f>IF(Tabela1[[#This Row],[SALDO PARCIAL PENDENTE]]-Tabela1[[#This Row],[1QZ DE FEV 26]]&lt;0,0,Tabela1[[#This Row],[SALDO PARCIAL PENDENTE]]-Tabela1[[#This Row],[1QZ DE FEV 26]])</f>
        <v>0</v>
      </c>
      <c r="M310" s="68">
        <v>750</v>
      </c>
      <c r="N310" s="117">
        <v>5173.67</v>
      </c>
      <c r="O310" s="72"/>
      <c r="P310" s="72">
        <f>Tabela1[[#This Row],[2QZ DE JAN 26]]-Tabela1[[#This Row],[SALDO PENDENTE FINAL]]-Tabela1[[#This Row],[SALDO CARTAO]]-Tabela1[[#This Row],[ADIANTAMENTO]]</f>
        <v>-4423.67</v>
      </c>
      <c r="Q310" s="126"/>
      <c r="R310" s="130">
        <f>IF(Tabela1[[#This Row],[CARGA PARCIAL]]&lt;0,0,Tabela1[[#This Row],[CARGA PARCIAL]])+Tabela1[[#This Row],[REEMBOLSO]]</f>
        <v>0</v>
      </c>
      <c r="S310" s="129" t="s">
        <v>22</v>
      </c>
      <c r="T310" s="72"/>
    </row>
  </sheetData>
  <mergeCells count="1">
    <mergeCell ref="S4:T4"/>
  </mergeCells>
  <phoneticPr fontId="18" type="noConversion"/>
  <conditionalFormatting sqref="B6">
    <cfRule type="duplicateValues" dxfId="11" priority="292"/>
  </conditionalFormatting>
  <conditionalFormatting sqref="B1:C6">
    <cfRule type="duplicateValues" dxfId="10" priority="293"/>
  </conditionalFormatting>
  <conditionalFormatting sqref="J7:J310">
    <cfRule type="containsText" dxfId="9" priority="29" operator="containsText" text="PROCESSADO">
      <formula>NOT(ISERROR(SEARCH("PROCESSADO",J7)))</formula>
    </cfRule>
    <cfRule type="containsText" dxfId="8" priority="30" operator="containsText" text="BLOQUEADO">
      <formula>NOT(ISERROR(SEARCH("BLOQUEADO",J7)))</formula>
    </cfRule>
  </conditionalFormatting>
  <conditionalFormatting sqref="B17:B1048576 B1:B6">
    <cfRule type="duplicateValues" dxfId="7" priority="295"/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08B9B-44BC-4676-B1D7-1DE8198BD864}">
  <dimension ref="B2:I543"/>
  <sheetViews>
    <sheetView workbookViewId="0">
      <selection activeCell="B59" sqref="B59"/>
    </sheetView>
  </sheetViews>
  <sheetFormatPr defaultRowHeight="15.75" x14ac:dyDescent="0.25"/>
  <sheetData>
    <row r="2" spans="2:9" x14ac:dyDescent="0.25">
      <c r="B2" s="56" t="s">
        <v>814</v>
      </c>
      <c r="C2" s="56" t="s">
        <v>815</v>
      </c>
      <c r="D2" s="56" t="s">
        <v>816</v>
      </c>
      <c r="E2" s="56" t="s">
        <v>817</v>
      </c>
      <c r="F2" s="56" t="s">
        <v>818</v>
      </c>
      <c r="G2" s="56" t="s">
        <v>819</v>
      </c>
      <c r="H2" s="56" t="s">
        <v>820</v>
      </c>
      <c r="I2" s="56" t="s">
        <v>821</v>
      </c>
    </row>
    <row r="3" spans="2:9" x14ac:dyDescent="0.25">
      <c r="B3" s="41"/>
      <c r="C3" s="43" t="s">
        <v>17</v>
      </c>
      <c r="D3" s="43" t="s">
        <v>822</v>
      </c>
      <c r="E3" s="43" t="s">
        <v>823</v>
      </c>
      <c r="F3" s="48" t="s">
        <v>22</v>
      </c>
      <c r="G3" s="43" t="s">
        <v>824</v>
      </c>
      <c r="H3" s="43" t="s">
        <v>825</v>
      </c>
      <c r="I3" s="44"/>
    </row>
    <row r="4" spans="2:9" x14ac:dyDescent="0.25">
      <c r="B4" s="41"/>
      <c r="C4" s="43" t="s">
        <v>23</v>
      </c>
      <c r="D4" s="43" t="s">
        <v>826</v>
      </c>
      <c r="E4" s="43" t="s">
        <v>823</v>
      </c>
      <c r="F4" s="48" t="s">
        <v>22</v>
      </c>
      <c r="G4" s="43" t="s">
        <v>824</v>
      </c>
      <c r="H4" s="43" t="s">
        <v>825</v>
      </c>
      <c r="I4" s="44"/>
    </row>
    <row r="5" spans="2:9" x14ac:dyDescent="0.25">
      <c r="B5" s="41"/>
      <c r="C5" s="43" t="s">
        <v>25</v>
      </c>
      <c r="D5" s="43" t="s">
        <v>827</v>
      </c>
      <c r="E5" s="43" t="s">
        <v>823</v>
      </c>
      <c r="F5" s="48" t="s">
        <v>22</v>
      </c>
      <c r="G5" s="43" t="s">
        <v>824</v>
      </c>
      <c r="H5" s="43" t="s">
        <v>825</v>
      </c>
      <c r="I5" s="44"/>
    </row>
    <row r="6" spans="2:9" x14ac:dyDescent="0.25">
      <c r="B6" s="41"/>
      <c r="C6" s="43" t="s">
        <v>28</v>
      </c>
      <c r="D6" s="43" t="s">
        <v>828</v>
      </c>
      <c r="E6" s="43" t="s">
        <v>823</v>
      </c>
      <c r="F6" s="48" t="s">
        <v>22</v>
      </c>
      <c r="G6" s="43" t="s">
        <v>824</v>
      </c>
      <c r="H6" s="43" t="s">
        <v>825</v>
      </c>
      <c r="I6" s="44"/>
    </row>
    <row r="7" spans="2:9" x14ac:dyDescent="0.25">
      <c r="B7" s="41"/>
      <c r="C7" s="43" t="s">
        <v>32</v>
      </c>
      <c r="D7" s="43" t="s">
        <v>829</v>
      </c>
      <c r="E7" s="43" t="s">
        <v>823</v>
      </c>
      <c r="F7" s="48" t="s">
        <v>22</v>
      </c>
      <c r="G7" s="43" t="s">
        <v>824</v>
      </c>
      <c r="H7" s="43" t="s">
        <v>825</v>
      </c>
      <c r="I7" s="44"/>
    </row>
    <row r="8" spans="2:9" x14ac:dyDescent="0.25">
      <c r="B8" s="41"/>
      <c r="C8" s="43" t="s">
        <v>35</v>
      </c>
      <c r="D8" s="43" t="s">
        <v>830</v>
      </c>
      <c r="E8" s="43" t="s">
        <v>831</v>
      </c>
      <c r="F8" s="49" t="s">
        <v>36</v>
      </c>
      <c r="G8" s="43" t="s">
        <v>824</v>
      </c>
      <c r="H8" s="43" t="s">
        <v>825</v>
      </c>
      <c r="I8" s="44"/>
    </row>
    <row r="9" spans="2:9" x14ac:dyDescent="0.25">
      <c r="B9" s="41"/>
      <c r="C9" s="43" t="s">
        <v>37</v>
      </c>
      <c r="D9" s="43" t="s">
        <v>832</v>
      </c>
      <c r="E9" s="43" t="s">
        <v>823</v>
      </c>
      <c r="F9" s="48" t="s">
        <v>22</v>
      </c>
      <c r="G9" s="43" t="s">
        <v>824</v>
      </c>
      <c r="H9" s="43" t="s">
        <v>825</v>
      </c>
      <c r="I9" s="44"/>
    </row>
    <row r="10" spans="2:9" x14ac:dyDescent="0.25">
      <c r="B10" s="41"/>
      <c r="C10" s="43" t="s">
        <v>42</v>
      </c>
      <c r="D10" s="43" t="s">
        <v>833</v>
      </c>
      <c r="E10" s="43" t="s">
        <v>823</v>
      </c>
      <c r="F10" s="48" t="s">
        <v>22</v>
      </c>
      <c r="G10" s="43" t="s">
        <v>824</v>
      </c>
      <c r="H10" s="43" t="s">
        <v>825</v>
      </c>
      <c r="I10" s="44"/>
    </row>
    <row r="11" spans="2:9" x14ac:dyDescent="0.25">
      <c r="B11" s="41"/>
      <c r="C11" s="43" t="s">
        <v>44</v>
      </c>
      <c r="D11" s="43" t="s">
        <v>834</v>
      </c>
      <c r="E11" s="43" t="s">
        <v>823</v>
      </c>
      <c r="F11" s="49" t="s">
        <v>36</v>
      </c>
      <c r="G11" s="43" t="s">
        <v>824</v>
      </c>
      <c r="H11" s="43" t="s">
        <v>825</v>
      </c>
      <c r="I11" s="44"/>
    </row>
    <row r="12" spans="2:9" x14ac:dyDescent="0.25">
      <c r="B12" s="41"/>
      <c r="C12" s="43" t="s">
        <v>45</v>
      </c>
      <c r="D12" s="43" t="s">
        <v>835</v>
      </c>
      <c r="E12" s="43" t="s">
        <v>823</v>
      </c>
      <c r="F12" s="50" t="s">
        <v>47</v>
      </c>
      <c r="G12" s="43" t="s">
        <v>824</v>
      </c>
      <c r="H12" s="43" t="s">
        <v>825</v>
      </c>
      <c r="I12" s="44"/>
    </row>
    <row r="13" spans="2:9" x14ac:dyDescent="0.25">
      <c r="B13" s="41"/>
      <c r="C13" s="43" t="s">
        <v>48</v>
      </c>
      <c r="D13" s="43" t="s">
        <v>836</v>
      </c>
      <c r="E13" s="43" t="s">
        <v>823</v>
      </c>
      <c r="F13" s="48" t="s">
        <v>22</v>
      </c>
      <c r="G13" s="43" t="s">
        <v>824</v>
      </c>
      <c r="H13" s="43" t="s">
        <v>825</v>
      </c>
      <c r="I13" s="44"/>
    </row>
    <row r="14" spans="2:9" x14ac:dyDescent="0.25">
      <c r="B14" s="41"/>
      <c r="C14" s="43" t="s">
        <v>50</v>
      </c>
      <c r="D14" s="43" t="s">
        <v>837</v>
      </c>
      <c r="E14" s="43" t="s">
        <v>823</v>
      </c>
      <c r="F14" s="48" t="s">
        <v>22</v>
      </c>
      <c r="G14" s="43" t="s">
        <v>824</v>
      </c>
      <c r="H14" s="43" t="s">
        <v>825</v>
      </c>
      <c r="I14" s="44"/>
    </row>
    <row r="15" spans="2:9" x14ac:dyDescent="0.25">
      <c r="B15" s="41"/>
      <c r="C15" s="43" t="s">
        <v>54</v>
      </c>
      <c r="D15" s="43" t="s">
        <v>838</v>
      </c>
      <c r="E15" s="43" t="s">
        <v>823</v>
      </c>
      <c r="F15" s="49" t="s">
        <v>36</v>
      </c>
      <c r="G15" s="43" t="s">
        <v>824</v>
      </c>
      <c r="H15" s="43" t="s">
        <v>825</v>
      </c>
      <c r="I15" s="44"/>
    </row>
    <row r="16" spans="2:9" x14ac:dyDescent="0.25">
      <c r="B16" s="41"/>
      <c r="C16" s="43" t="s">
        <v>56</v>
      </c>
      <c r="D16" s="43" t="s">
        <v>839</v>
      </c>
      <c r="E16" s="43" t="s">
        <v>823</v>
      </c>
      <c r="F16" s="48" t="s">
        <v>22</v>
      </c>
      <c r="G16" s="43" t="s">
        <v>824</v>
      </c>
      <c r="H16" s="43" t="s">
        <v>825</v>
      </c>
      <c r="I16" s="44"/>
    </row>
    <row r="17" spans="2:9" x14ac:dyDescent="0.25">
      <c r="B17" s="41"/>
      <c r="C17" s="43" t="s">
        <v>840</v>
      </c>
      <c r="D17" s="43" t="s">
        <v>841</v>
      </c>
      <c r="E17" s="43" t="s">
        <v>823</v>
      </c>
      <c r="F17" s="48" t="s">
        <v>22</v>
      </c>
      <c r="G17" s="43" t="s">
        <v>824</v>
      </c>
      <c r="H17" s="43" t="s">
        <v>825</v>
      </c>
      <c r="I17" s="44"/>
    </row>
    <row r="18" spans="2:9" x14ac:dyDescent="0.25">
      <c r="B18" s="41"/>
      <c r="C18" s="43" t="s">
        <v>57</v>
      </c>
      <c r="D18" s="43" t="s">
        <v>842</v>
      </c>
      <c r="E18" s="43" t="s">
        <v>823</v>
      </c>
      <c r="F18" s="50" t="s">
        <v>47</v>
      </c>
      <c r="G18" s="43" t="s">
        <v>824</v>
      </c>
      <c r="H18" s="43" t="s">
        <v>825</v>
      </c>
      <c r="I18" s="44"/>
    </row>
    <row r="19" spans="2:9" x14ac:dyDescent="0.25">
      <c r="B19" s="41"/>
      <c r="C19" s="43" t="s">
        <v>58</v>
      </c>
      <c r="D19" s="43" t="s">
        <v>843</v>
      </c>
      <c r="E19" s="43" t="s">
        <v>823</v>
      </c>
      <c r="F19" s="48" t="s">
        <v>22</v>
      </c>
      <c r="G19" s="43" t="s">
        <v>824</v>
      </c>
      <c r="H19" s="43" t="s">
        <v>825</v>
      </c>
      <c r="I19" s="44"/>
    </row>
    <row r="20" spans="2:9" x14ac:dyDescent="0.25">
      <c r="B20" s="41"/>
      <c r="C20" s="43" t="s">
        <v>844</v>
      </c>
      <c r="D20" s="43" t="s">
        <v>845</v>
      </c>
      <c r="E20" s="43" t="s">
        <v>823</v>
      </c>
      <c r="F20" s="49" t="s">
        <v>36</v>
      </c>
      <c r="G20" s="43" t="s">
        <v>824</v>
      </c>
      <c r="H20" s="43" t="s">
        <v>825</v>
      </c>
      <c r="I20" s="44"/>
    </row>
    <row r="21" spans="2:9" x14ac:dyDescent="0.25">
      <c r="B21" s="41"/>
      <c r="C21" s="43" t="s">
        <v>60</v>
      </c>
      <c r="D21" s="43" t="s">
        <v>846</v>
      </c>
      <c r="E21" s="43" t="s">
        <v>823</v>
      </c>
      <c r="F21" s="48" t="s">
        <v>22</v>
      </c>
      <c r="G21" s="43" t="s">
        <v>824</v>
      </c>
      <c r="H21" s="43" t="s">
        <v>825</v>
      </c>
      <c r="I21" s="44"/>
    </row>
    <row r="22" spans="2:9" x14ac:dyDescent="0.25">
      <c r="B22" s="41"/>
      <c r="C22" s="43" t="s">
        <v>62</v>
      </c>
      <c r="D22" s="43" t="s">
        <v>847</v>
      </c>
      <c r="E22" s="43" t="s">
        <v>823</v>
      </c>
      <c r="F22" s="49" t="s">
        <v>36</v>
      </c>
      <c r="G22" s="43" t="s">
        <v>824</v>
      </c>
      <c r="H22" s="43" t="s">
        <v>825</v>
      </c>
      <c r="I22" s="44"/>
    </row>
    <row r="23" spans="2:9" x14ac:dyDescent="0.25">
      <c r="B23" s="41"/>
      <c r="C23" s="43" t="s">
        <v>63</v>
      </c>
      <c r="D23" s="43" t="s">
        <v>848</v>
      </c>
      <c r="E23" s="43" t="s">
        <v>823</v>
      </c>
      <c r="F23" s="48" t="s">
        <v>22</v>
      </c>
      <c r="G23" s="43" t="s">
        <v>824</v>
      </c>
      <c r="H23" s="43" t="s">
        <v>825</v>
      </c>
      <c r="I23" s="44"/>
    </row>
    <row r="24" spans="2:9" x14ac:dyDescent="0.25">
      <c r="B24" s="41"/>
      <c r="C24" s="43" t="s">
        <v>66</v>
      </c>
      <c r="D24" s="43" t="s">
        <v>849</v>
      </c>
      <c r="E24" s="43" t="s">
        <v>823</v>
      </c>
      <c r="F24" s="48" t="s">
        <v>22</v>
      </c>
      <c r="G24" s="43" t="s">
        <v>824</v>
      </c>
      <c r="H24" s="43" t="s">
        <v>825</v>
      </c>
      <c r="I24" s="44"/>
    </row>
    <row r="25" spans="2:9" x14ac:dyDescent="0.25">
      <c r="B25" s="41"/>
      <c r="C25" s="43" t="s">
        <v>68</v>
      </c>
      <c r="D25" s="43" t="s">
        <v>850</v>
      </c>
      <c r="E25" s="43" t="s">
        <v>823</v>
      </c>
      <c r="F25" s="48" t="s">
        <v>22</v>
      </c>
      <c r="G25" s="43" t="s">
        <v>824</v>
      </c>
      <c r="H25" s="43" t="s">
        <v>825</v>
      </c>
      <c r="I25" s="44"/>
    </row>
    <row r="26" spans="2:9" x14ac:dyDescent="0.25">
      <c r="B26" s="41"/>
      <c r="C26" s="43" t="s">
        <v>70</v>
      </c>
      <c r="D26" s="43" t="s">
        <v>851</v>
      </c>
      <c r="E26" s="43" t="s">
        <v>823</v>
      </c>
      <c r="F26" s="48" t="s">
        <v>22</v>
      </c>
      <c r="G26" s="43" t="s">
        <v>824</v>
      </c>
      <c r="H26" s="43" t="s">
        <v>825</v>
      </c>
      <c r="I26" s="44"/>
    </row>
    <row r="27" spans="2:9" x14ac:dyDescent="0.25">
      <c r="B27" s="41"/>
      <c r="C27" s="43" t="s">
        <v>72</v>
      </c>
      <c r="D27" s="43" t="s">
        <v>852</v>
      </c>
      <c r="E27" s="43" t="s">
        <v>823</v>
      </c>
      <c r="F27" s="49" t="s">
        <v>36</v>
      </c>
      <c r="G27" s="43" t="s">
        <v>824</v>
      </c>
      <c r="H27" s="43" t="s">
        <v>825</v>
      </c>
      <c r="I27" s="44"/>
    </row>
    <row r="28" spans="2:9" x14ac:dyDescent="0.25">
      <c r="B28" s="41"/>
      <c r="C28" s="43" t="s">
        <v>74</v>
      </c>
      <c r="D28" s="43" t="s">
        <v>853</v>
      </c>
      <c r="E28" s="43" t="s">
        <v>831</v>
      </c>
      <c r="F28" s="48" t="s">
        <v>22</v>
      </c>
      <c r="G28" s="43" t="s">
        <v>824</v>
      </c>
      <c r="H28" s="43" t="s">
        <v>825</v>
      </c>
      <c r="I28" s="44"/>
    </row>
    <row r="29" spans="2:9" x14ac:dyDescent="0.25">
      <c r="B29" s="41"/>
      <c r="C29" s="43" t="s">
        <v>854</v>
      </c>
      <c r="D29" s="43" t="s">
        <v>855</v>
      </c>
      <c r="E29" s="43" t="s">
        <v>823</v>
      </c>
      <c r="F29" s="49" t="s">
        <v>36</v>
      </c>
      <c r="G29" s="43" t="s">
        <v>824</v>
      </c>
      <c r="H29" s="43" t="s">
        <v>825</v>
      </c>
      <c r="I29" s="44"/>
    </row>
    <row r="30" spans="2:9" x14ac:dyDescent="0.25">
      <c r="B30" s="41"/>
      <c r="C30" s="43" t="s">
        <v>79</v>
      </c>
      <c r="D30" s="43" t="s">
        <v>856</v>
      </c>
      <c r="E30" s="43" t="s">
        <v>823</v>
      </c>
      <c r="F30" s="48" t="s">
        <v>22</v>
      </c>
      <c r="G30" s="43" t="s">
        <v>824</v>
      </c>
      <c r="H30" s="43" t="s">
        <v>825</v>
      </c>
      <c r="I30" s="44"/>
    </row>
    <row r="31" spans="2:9" x14ac:dyDescent="0.25">
      <c r="B31" s="41"/>
      <c r="C31" s="43" t="s">
        <v>80</v>
      </c>
      <c r="D31" s="43" t="s">
        <v>857</v>
      </c>
      <c r="E31" s="43" t="s">
        <v>823</v>
      </c>
      <c r="F31" s="48" t="s">
        <v>22</v>
      </c>
      <c r="G31" s="43" t="s">
        <v>824</v>
      </c>
      <c r="H31" s="43" t="s">
        <v>825</v>
      </c>
      <c r="I31" s="44"/>
    </row>
    <row r="32" spans="2:9" x14ac:dyDescent="0.25">
      <c r="B32" s="41"/>
      <c r="C32" s="43" t="s">
        <v>84</v>
      </c>
      <c r="D32" s="43" t="s">
        <v>858</v>
      </c>
      <c r="E32" s="43" t="s">
        <v>823</v>
      </c>
      <c r="F32" s="48" t="s">
        <v>22</v>
      </c>
      <c r="G32" s="43" t="s">
        <v>824</v>
      </c>
      <c r="H32" s="43" t="s">
        <v>825</v>
      </c>
      <c r="I32" s="44"/>
    </row>
    <row r="33" spans="2:9" x14ac:dyDescent="0.25">
      <c r="B33" s="41"/>
      <c r="C33" s="43" t="s">
        <v>85</v>
      </c>
      <c r="D33" s="43" t="s">
        <v>859</v>
      </c>
      <c r="E33" s="43" t="s">
        <v>823</v>
      </c>
      <c r="F33" s="48" t="s">
        <v>22</v>
      </c>
      <c r="G33" s="43" t="s">
        <v>824</v>
      </c>
      <c r="H33" s="43" t="s">
        <v>825</v>
      </c>
      <c r="I33" s="44"/>
    </row>
    <row r="34" spans="2:9" x14ac:dyDescent="0.25">
      <c r="B34" s="41"/>
      <c r="C34" s="43" t="s">
        <v>86</v>
      </c>
      <c r="D34" s="43" t="s">
        <v>860</v>
      </c>
      <c r="E34" s="43" t="s">
        <v>831</v>
      </c>
      <c r="F34" s="48" t="s">
        <v>22</v>
      </c>
      <c r="G34" s="43" t="s">
        <v>824</v>
      </c>
      <c r="H34" s="43" t="s">
        <v>861</v>
      </c>
      <c r="I34" s="44"/>
    </row>
    <row r="35" spans="2:9" x14ac:dyDescent="0.25">
      <c r="B35" s="41"/>
      <c r="C35" s="43" t="s">
        <v>862</v>
      </c>
      <c r="D35" s="43" t="s">
        <v>863</v>
      </c>
      <c r="E35" s="43" t="s">
        <v>823</v>
      </c>
      <c r="F35" s="48" t="s">
        <v>22</v>
      </c>
      <c r="G35" s="43" t="s">
        <v>824</v>
      </c>
      <c r="H35" s="43" t="s">
        <v>825</v>
      </c>
      <c r="I35" s="44"/>
    </row>
    <row r="36" spans="2:9" x14ac:dyDescent="0.25">
      <c r="B36" s="41"/>
      <c r="C36" s="43" t="s">
        <v>88</v>
      </c>
      <c r="D36" s="43" t="s">
        <v>864</v>
      </c>
      <c r="E36" s="43" t="s">
        <v>823</v>
      </c>
      <c r="F36" s="48" t="s">
        <v>22</v>
      </c>
      <c r="G36" s="43" t="s">
        <v>824</v>
      </c>
      <c r="H36" s="43" t="s">
        <v>825</v>
      </c>
      <c r="I36" s="44"/>
    </row>
    <row r="37" spans="2:9" x14ac:dyDescent="0.25">
      <c r="B37" s="41"/>
      <c r="C37" s="43" t="s">
        <v>90</v>
      </c>
      <c r="D37" s="43" t="s">
        <v>865</v>
      </c>
      <c r="E37" s="43" t="s">
        <v>823</v>
      </c>
      <c r="F37" s="48" t="s">
        <v>22</v>
      </c>
      <c r="G37" s="43" t="s">
        <v>824</v>
      </c>
      <c r="H37" s="43" t="s">
        <v>825</v>
      </c>
      <c r="I37" s="44"/>
    </row>
    <row r="38" spans="2:9" x14ac:dyDescent="0.25">
      <c r="B38" s="41"/>
      <c r="C38" s="43" t="s">
        <v>91</v>
      </c>
      <c r="D38" s="43" t="s">
        <v>866</v>
      </c>
      <c r="E38" s="43" t="s">
        <v>823</v>
      </c>
      <c r="F38" s="49" t="s">
        <v>36</v>
      </c>
      <c r="G38" s="43" t="s">
        <v>824</v>
      </c>
      <c r="H38" s="43" t="s">
        <v>825</v>
      </c>
      <c r="I38" s="44"/>
    </row>
    <row r="39" spans="2:9" x14ac:dyDescent="0.25">
      <c r="B39" s="41"/>
      <c r="C39" s="43" t="s">
        <v>92</v>
      </c>
      <c r="D39" s="43" t="s">
        <v>867</v>
      </c>
      <c r="E39" s="43" t="s">
        <v>823</v>
      </c>
      <c r="F39" s="48" t="s">
        <v>22</v>
      </c>
      <c r="G39" s="43" t="s">
        <v>824</v>
      </c>
      <c r="H39" s="43" t="s">
        <v>825</v>
      </c>
      <c r="I39" s="44"/>
    </row>
    <row r="40" spans="2:9" x14ac:dyDescent="0.25">
      <c r="B40" s="41"/>
      <c r="C40" s="43" t="s">
        <v>868</v>
      </c>
      <c r="D40" s="43" t="s">
        <v>869</v>
      </c>
      <c r="E40" s="43" t="s">
        <v>823</v>
      </c>
      <c r="F40" s="48" t="s">
        <v>22</v>
      </c>
      <c r="G40" s="43" t="s">
        <v>824</v>
      </c>
      <c r="H40" s="43" t="s">
        <v>825</v>
      </c>
      <c r="I40" s="44"/>
    </row>
    <row r="41" spans="2:9" x14ac:dyDescent="0.25">
      <c r="B41" s="41"/>
      <c r="C41" s="43" t="s">
        <v>870</v>
      </c>
      <c r="D41" s="43" t="s">
        <v>871</v>
      </c>
      <c r="E41" s="43" t="s">
        <v>872</v>
      </c>
      <c r="F41" s="49" t="s">
        <v>36</v>
      </c>
      <c r="G41" s="43" t="s">
        <v>824</v>
      </c>
      <c r="H41" s="43" t="s">
        <v>861</v>
      </c>
      <c r="I41" s="44"/>
    </row>
    <row r="42" spans="2:9" x14ac:dyDescent="0.25">
      <c r="B42" s="41"/>
      <c r="C42" s="43" t="s">
        <v>94</v>
      </c>
      <c r="D42" s="43" t="s">
        <v>873</v>
      </c>
      <c r="E42" s="43" t="s">
        <v>823</v>
      </c>
      <c r="F42" s="48" t="s">
        <v>22</v>
      </c>
      <c r="G42" s="43" t="s">
        <v>824</v>
      </c>
      <c r="H42" s="43" t="s">
        <v>825</v>
      </c>
      <c r="I42" s="44"/>
    </row>
    <row r="43" spans="2:9" x14ac:dyDescent="0.25">
      <c r="B43" s="41"/>
      <c r="C43" s="43" t="s">
        <v>95</v>
      </c>
      <c r="D43" s="43" t="s">
        <v>874</v>
      </c>
      <c r="E43" s="43" t="s">
        <v>823</v>
      </c>
      <c r="F43" s="48" t="s">
        <v>22</v>
      </c>
      <c r="G43" s="43" t="s">
        <v>824</v>
      </c>
      <c r="H43" s="43" t="s">
        <v>825</v>
      </c>
      <c r="I43" s="44"/>
    </row>
    <row r="44" spans="2:9" x14ac:dyDescent="0.25">
      <c r="B44" s="41"/>
      <c r="C44" s="43" t="s">
        <v>875</v>
      </c>
      <c r="D44" s="43" t="s">
        <v>876</v>
      </c>
      <c r="E44" s="43" t="s">
        <v>823</v>
      </c>
      <c r="F44" s="48" t="s">
        <v>22</v>
      </c>
      <c r="G44" s="43" t="s">
        <v>824</v>
      </c>
      <c r="H44" s="43" t="s">
        <v>825</v>
      </c>
      <c r="I44" s="44"/>
    </row>
    <row r="45" spans="2:9" x14ac:dyDescent="0.25">
      <c r="B45" s="41"/>
      <c r="C45" s="43" t="s">
        <v>96</v>
      </c>
      <c r="D45" s="43" t="s">
        <v>877</v>
      </c>
      <c r="E45" s="43" t="s">
        <v>823</v>
      </c>
      <c r="F45" s="48" t="s">
        <v>22</v>
      </c>
      <c r="G45" s="43" t="s">
        <v>824</v>
      </c>
      <c r="H45" s="43" t="s">
        <v>825</v>
      </c>
      <c r="I45" s="44"/>
    </row>
    <row r="46" spans="2:9" x14ac:dyDescent="0.25">
      <c r="B46" s="41"/>
      <c r="C46" s="43" t="s">
        <v>98</v>
      </c>
      <c r="D46" s="43" t="s">
        <v>878</v>
      </c>
      <c r="E46" s="43" t="s">
        <v>823</v>
      </c>
      <c r="F46" s="48" t="s">
        <v>22</v>
      </c>
      <c r="G46" s="43" t="s">
        <v>824</v>
      </c>
      <c r="H46" s="43" t="s">
        <v>825</v>
      </c>
      <c r="I46" s="44"/>
    </row>
    <row r="47" spans="2:9" x14ac:dyDescent="0.25">
      <c r="B47" s="41"/>
      <c r="C47" s="43" t="s">
        <v>879</v>
      </c>
      <c r="D47" s="43" t="s">
        <v>880</v>
      </c>
      <c r="E47" s="43" t="s">
        <v>823</v>
      </c>
      <c r="F47" s="48" t="s">
        <v>22</v>
      </c>
      <c r="G47" s="43" t="s">
        <v>824</v>
      </c>
      <c r="H47" s="43" t="s">
        <v>825</v>
      </c>
      <c r="I47" s="44"/>
    </row>
    <row r="48" spans="2:9" x14ac:dyDescent="0.25">
      <c r="B48" s="41"/>
      <c r="C48" s="43" t="s">
        <v>99</v>
      </c>
      <c r="D48" s="43" t="s">
        <v>881</v>
      </c>
      <c r="E48" s="43" t="s">
        <v>823</v>
      </c>
      <c r="F48" s="49" t="s">
        <v>36</v>
      </c>
      <c r="G48" s="43" t="s">
        <v>824</v>
      </c>
      <c r="H48" s="43" t="s">
        <v>825</v>
      </c>
      <c r="I48" s="44"/>
    </row>
    <row r="49" spans="2:9" x14ac:dyDescent="0.25">
      <c r="B49" s="41"/>
      <c r="C49" s="43" t="s">
        <v>100</v>
      </c>
      <c r="D49" s="43" t="s">
        <v>882</v>
      </c>
      <c r="E49" s="43" t="s">
        <v>823</v>
      </c>
      <c r="F49" s="48" t="s">
        <v>22</v>
      </c>
      <c r="G49" s="43" t="s">
        <v>824</v>
      </c>
      <c r="H49" s="43" t="s">
        <v>825</v>
      </c>
      <c r="I49" s="44"/>
    </row>
    <row r="50" spans="2:9" x14ac:dyDescent="0.25">
      <c r="B50" s="41"/>
      <c r="C50" s="43" t="s">
        <v>102</v>
      </c>
      <c r="D50" s="43" t="s">
        <v>883</v>
      </c>
      <c r="E50" s="43" t="s">
        <v>823</v>
      </c>
      <c r="F50" s="48" t="s">
        <v>22</v>
      </c>
      <c r="G50" s="43" t="s">
        <v>824</v>
      </c>
      <c r="H50" s="43" t="s">
        <v>825</v>
      </c>
      <c r="I50" s="44"/>
    </row>
    <row r="51" spans="2:9" x14ac:dyDescent="0.25">
      <c r="B51" s="41"/>
      <c r="C51" s="43" t="s">
        <v>103</v>
      </c>
      <c r="D51" s="43" t="s">
        <v>884</v>
      </c>
      <c r="E51" s="43" t="s">
        <v>823</v>
      </c>
      <c r="F51" s="48" t="s">
        <v>22</v>
      </c>
      <c r="G51" s="43" t="s">
        <v>824</v>
      </c>
      <c r="H51" s="43" t="s">
        <v>825</v>
      </c>
      <c r="I51" s="44"/>
    </row>
    <row r="52" spans="2:9" x14ac:dyDescent="0.25">
      <c r="B52" s="41"/>
      <c r="C52" s="43" t="s">
        <v>104</v>
      </c>
      <c r="D52" s="43" t="s">
        <v>885</v>
      </c>
      <c r="E52" s="43" t="s">
        <v>823</v>
      </c>
      <c r="F52" s="48" t="s">
        <v>22</v>
      </c>
      <c r="G52" s="43" t="s">
        <v>824</v>
      </c>
      <c r="H52" s="43" t="s">
        <v>825</v>
      </c>
      <c r="I52" s="44"/>
    </row>
    <row r="53" spans="2:9" x14ac:dyDescent="0.25">
      <c r="B53" s="41"/>
      <c r="C53" s="43" t="s">
        <v>886</v>
      </c>
      <c r="D53" s="43" t="s">
        <v>887</v>
      </c>
      <c r="E53" s="43" t="s">
        <v>823</v>
      </c>
      <c r="F53" s="48" t="s">
        <v>22</v>
      </c>
      <c r="G53" s="43" t="s">
        <v>824</v>
      </c>
      <c r="H53" s="43" t="s">
        <v>825</v>
      </c>
      <c r="I53" s="44"/>
    </row>
    <row r="54" spans="2:9" x14ac:dyDescent="0.25">
      <c r="B54" s="41"/>
      <c r="C54" s="43" t="s">
        <v>888</v>
      </c>
      <c r="D54" s="43" t="s">
        <v>889</v>
      </c>
      <c r="E54" s="43" t="s">
        <v>872</v>
      </c>
      <c r="F54" s="49" t="s">
        <v>36</v>
      </c>
      <c r="G54" s="43" t="s">
        <v>824</v>
      </c>
      <c r="H54" s="43" t="s">
        <v>861</v>
      </c>
      <c r="I54" s="44"/>
    </row>
    <row r="55" spans="2:9" x14ac:dyDescent="0.25">
      <c r="B55" s="41"/>
      <c r="C55" s="43" t="s">
        <v>105</v>
      </c>
      <c r="D55" s="43" t="s">
        <v>890</v>
      </c>
      <c r="E55" s="43" t="s">
        <v>823</v>
      </c>
      <c r="F55" s="49" t="s">
        <v>36</v>
      </c>
      <c r="G55" s="43" t="s">
        <v>824</v>
      </c>
      <c r="H55" s="43" t="s">
        <v>825</v>
      </c>
      <c r="I55" s="44"/>
    </row>
    <row r="56" spans="2:9" x14ac:dyDescent="0.25">
      <c r="B56" s="41"/>
      <c r="C56" s="43" t="s">
        <v>891</v>
      </c>
      <c r="D56" s="43" t="s">
        <v>892</v>
      </c>
      <c r="E56" s="43" t="s">
        <v>823</v>
      </c>
      <c r="F56" s="48" t="s">
        <v>22</v>
      </c>
      <c r="G56" s="43" t="s">
        <v>824</v>
      </c>
      <c r="H56" s="43" t="s">
        <v>825</v>
      </c>
      <c r="I56" s="44"/>
    </row>
    <row r="57" spans="2:9" x14ac:dyDescent="0.25">
      <c r="B57" s="41"/>
      <c r="C57" s="43" t="s">
        <v>107</v>
      </c>
      <c r="D57" s="43" t="s">
        <v>893</v>
      </c>
      <c r="E57" s="43" t="s">
        <v>823</v>
      </c>
      <c r="F57" s="48" t="s">
        <v>22</v>
      </c>
      <c r="G57" s="43" t="s">
        <v>824</v>
      </c>
      <c r="H57" s="43" t="s">
        <v>825</v>
      </c>
      <c r="I57" s="44"/>
    </row>
    <row r="58" spans="2:9" x14ac:dyDescent="0.25">
      <c r="B58" s="41"/>
      <c r="C58" s="43" t="s">
        <v>109</v>
      </c>
      <c r="D58" s="43" t="s">
        <v>894</v>
      </c>
      <c r="E58" s="43" t="s">
        <v>823</v>
      </c>
      <c r="F58" s="48" t="s">
        <v>22</v>
      </c>
      <c r="G58" s="43" t="s">
        <v>824</v>
      </c>
      <c r="H58" s="43" t="s">
        <v>825</v>
      </c>
      <c r="I58" s="44"/>
    </row>
    <row r="59" spans="2:9" x14ac:dyDescent="0.25">
      <c r="B59" s="41"/>
      <c r="C59" s="43" t="s">
        <v>111</v>
      </c>
      <c r="D59" s="43" t="s">
        <v>895</v>
      </c>
      <c r="E59" s="43" t="s">
        <v>823</v>
      </c>
      <c r="F59" s="48" t="s">
        <v>22</v>
      </c>
      <c r="G59" s="43" t="s">
        <v>824</v>
      </c>
      <c r="H59" s="43" t="s">
        <v>825</v>
      </c>
      <c r="I59" s="44"/>
    </row>
    <row r="60" spans="2:9" x14ac:dyDescent="0.25">
      <c r="B60" s="41"/>
      <c r="C60" s="43" t="s">
        <v>112</v>
      </c>
      <c r="D60" s="43" t="s">
        <v>896</v>
      </c>
      <c r="E60" s="43" t="s">
        <v>823</v>
      </c>
      <c r="F60" s="48" t="s">
        <v>22</v>
      </c>
      <c r="G60" s="43" t="s">
        <v>824</v>
      </c>
      <c r="H60" s="43" t="s">
        <v>825</v>
      </c>
      <c r="I60" s="44"/>
    </row>
    <row r="61" spans="2:9" x14ac:dyDescent="0.25">
      <c r="B61" s="41"/>
      <c r="C61" s="43" t="s">
        <v>115</v>
      </c>
      <c r="D61" s="43" t="s">
        <v>897</v>
      </c>
      <c r="E61" s="43" t="s">
        <v>823</v>
      </c>
      <c r="F61" s="48" t="s">
        <v>22</v>
      </c>
      <c r="G61" s="43" t="s">
        <v>824</v>
      </c>
      <c r="H61" s="43" t="s">
        <v>825</v>
      </c>
      <c r="I61" s="44"/>
    </row>
    <row r="62" spans="2:9" x14ac:dyDescent="0.25">
      <c r="B62" s="41"/>
      <c r="C62" s="43" t="s">
        <v>117</v>
      </c>
      <c r="D62" s="43" t="s">
        <v>898</v>
      </c>
      <c r="E62" s="43" t="s">
        <v>823</v>
      </c>
      <c r="F62" s="48" t="s">
        <v>22</v>
      </c>
      <c r="G62" s="43" t="s">
        <v>824</v>
      </c>
      <c r="H62" s="43" t="s">
        <v>825</v>
      </c>
      <c r="I62" s="44"/>
    </row>
    <row r="63" spans="2:9" x14ac:dyDescent="0.25">
      <c r="B63" s="41"/>
      <c r="C63" s="43" t="s">
        <v>120</v>
      </c>
      <c r="D63" s="43" t="s">
        <v>899</v>
      </c>
      <c r="E63" s="43" t="s">
        <v>823</v>
      </c>
      <c r="F63" s="48" t="s">
        <v>22</v>
      </c>
      <c r="G63" s="43" t="s">
        <v>824</v>
      </c>
      <c r="H63" s="43" t="s">
        <v>825</v>
      </c>
      <c r="I63" s="44"/>
    </row>
    <row r="64" spans="2:9" x14ac:dyDescent="0.25">
      <c r="B64" s="41"/>
      <c r="C64" s="43" t="s">
        <v>121</v>
      </c>
      <c r="D64" s="43" t="s">
        <v>900</v>
      </c>
      <c r="E64" s="43" t="s">
        <v>823</v>
      </c>
      <c r="F64" s="49" t="s">
        <v>36</v>
      </c>
      <c r="G64" s="43" t="s">
        <v>824</v>
      </c>
      <c r="H64" s="43" t="s">
        <v>825</v>
      </c>
      <c r="I64" s="44"/>
    </row>
    <row r="65" spans="2:9" x14ac:dyDescent="0.25">
      <c r="B65" s="41"/>
      <c r="C65" s="43" t="s">
        <v>901</v>
      </c>
      <c r="D65" s="43" t="s">
        <v>902</v>
      </c>
      <c r="E65" s="43" t="s">
        <v>823</v>
      </c>
      <c r="F65" s="48" t="s">
        <v>22</v>
      </c>
      <c r="G65" s="43" t="s">
        <v>824</v>
      </c>
      <c r="H65" s="43" t="s">
        <v>825</v>
      </c>
      <c r="I65" s="44"/>
    </row>
    <row r="66" spans="2:9" x14ac:dyDescent="0.25">
      <c r="B66" s="41"/>
      <c r="C66" s="43" t="s">
        <v>122</v>
      </c>
      <c r="D66" s="43" t="s">
        <v>903</v>
      </c>
      <c r="E66" s="43" t="s">
        <v>823</v>
      </c>
      <c r="F66" s="48" t="s">
        <v>22</v>
      </c>
      <c r="G66" s="43" t="s">
        <v>824</v>
      </c>
      <c r="H66" s="43" t="s">
        <v>825</v>
      </c>
      <c r="I66" s="44"/>
    </row>
    <row r="67" spans="2:9" x14ac:dyDescent="0.25">
      <c r="B67" s="41"/>
      <c r="C67" s="43" t="s">
        <v>123</v>
      </c>
      <c r="D67" s="43" t="s">
        <v>904</v>
      </c>
      <c r="E67" s="43" t="s">
        <v>823</v>
      </c>
      <c r="F67" s="48" t="s">
        <v>22</v>
      </c>
      <c r="G67" s="43" t="s">
        <v>824</v>
      </c>
      <c r="H67" s="43" t="s">
        <v>825</v>
      </c>
      <c r="I67" s="44"/>
    </row>
    <row r="68" spans="2:9" x14ac:dyDescent="0.25">
      <c r="B68" s="41"/>
      <c r="C68" s="43" t="s">
        <v>125</v>
      </c>
      <c r="D68" s="43" t="s">
        <v>905</v>
      </c>
      <c r="E68" s="43" t="s">
        <v>823</v>
      </c>
      <c r="F68" s="48" t="s">
        <v>22</v>
      </c>
      <c r="G68" s="43" t="s">
        <v>824</v>
      </c>
      <c r="H68" s="43" t="s">
        <v>825</v>
      </c>
      <c r="I68" s="44"/>
    </row>
    <row r="69" spans="2:9" x14ac:dyDescent="0.25">
      <c r="B69" s="41"/>
      <c r="C69" s="43" t="s">
        <v>906</v>
      </c>
      <c r="D69" s="43" t="s">
        <v>907</v>
      </c>
      <c r="E69" s="43" t="s">
        <v>823</v>
      </c>
      <c r="F69" s="48" t="s">
        <v>22</v>
      </c>
      <c r="G69" s="43" t="s">
        <v>824</v>
      </c>
      <c r="H69" s="43" t="s">
        <v>825</v>
      </c>
      <c r="I69" s="44"/>
    </row>
    <row r="70" spans="2:9" x14ac:dyDescent="0.25">
      <c r="B70" s="41"/>
      <c r="C70" s="43" t="s">
        <v>908</v>
      </c>
      <c r="D70" s="43" t="s">
        <v>909</v>
      </c>
      <c r="E70" s="43" t="s">
        <v>823</v>
      </c>
      <c r="F70" s="49" t="s">
        <v>36</v>
      </c>
      <c r="G70" s="43" t="s">
        <v>824</v>
      </c>
      <c r="H70" s="43" t="s">
        <v>825</v>
      </c>
      <c r="I70" s="44"/>
    </row>
    <row r="71" spans="2:9" x14ac:dyDescent="0.25">
      <c r="B71" s="41"/>
      <c r="C71" s="43" t="s">
        <v>128</v>
      </c>
      <c r="D71" s="43" t="s">
        <v>910</v>
      </c>
      <c r="E71" s="43" t="s">
        <v>831</v>
      </c>
      <c r="F71" s="50" t="s">
        <v>47</v>
      </c>
      <c r="G71" s="43" t="s">
        <v>824</v>
      </c>
      <c r="H71" s="43" t="s">
        <v>825</v>
      </c>
      <c r="I71" s="44"/>
    </row>
    <row r="72" spans="2:9" x14ac:dyDescent="0.25">
      <c r="B72" s="41"/>
      <c r="C72" s="43" t="s">
        <v>131</v>
      </c>
      <c r="D72" s="43" t="s">
        <v>911</v>
      </c>
      <c r="E72" s="43" t="s">
        <v>823</v>
      </c>
      <c r="F72" s="48" t="s">
        <v>22</v>
      </c>
      <c r="G72" s="43" t="s">
        <v>824</v>
      </c>
      <c r="H72" s="43" t="s">
        <v>825</v>
      </c>
      <c r="I72" s="44"/>
    </row>
    <row r="73" spans="2:9" x14ac:dyDescent="0.25">
      <c r="B73" s="41"/>
      <c r="C73" s="43" t="s">
        <v>133</v>
      </c>
      <c r="D73" s="43" t="s">
        <v>912</v>
      </c>
      <c r="E73" s="43" t="s">
        <v>831</v>
      </c>
      <c r="F73" s="50" t="s">
        <v>47</v>
      </c>
      <c r="G73" s="43" t="s">
        <v>824</v>
      </c>
      <c r="H73" s="43" t="s">
        <v>825</v>
      </c>
      <c r="I73" s="44"/>
    </row>
    <row r="74" spans="2:9" x14ac:dyDescent="0.25">
      <c r="B74" s="41"/>
      <c r="C74" s="43" t="s">
        <v>134</v>
      </c>
      <c r="D74" s="43" t="s">
        <v>913</v>
      </c>
      <c r="E74" s="43" t="s">
        <v>823</v>
      </c>
      <c r="F74" s="48" t="s">
        <v>22</v>
      </c>
      <c r="G74" s="43" t="s">
        <v>824</v>
      </c>
      <c r="H74" s="43" t="s">
        <v>825</v>
      </c>
      <c r="I74" s="44"/>
    </row>
    <row r="75" spans="2:9" x14ac:dyDescent="0.25">
      <c r="B75" s="41"/>
      <c r="C75" s="43" t="s">
        <v>138</v>
      </c>
      <c r="D75" s="43" t="s">
        <v>914</v>
      </c>
      <c r="E75" s="43" t="s">
        <v>823</v>
      </c>
      <c r="F75" s="48" t="s">
        <v>22</v>
      </c>
      <c r="G75" s="43" t="s">
        <v>824</v>
      </c>
      <c r="H75" s="43" t="s">
        <v>825</v>
      </c>
      <c r="I75" s="44"/>
    </row>
    <row r="76" spans="2:9" x14ac:dyDescent="0.25">
      <c r="B76" s="41"/>
      <c r="C76" s="43" t="s">
        <v>140</v>
      </c>
      <c r="D76" s="43" t="s">
        <v>915</v>
      </c>
      <c r="E76" s="43" t="s">
        <v>823</v>
      </c>
      <c r="F76" s="48" t="s">
        <v>22</v>
      </c>
      <c r="G76" s="43" t="s">
        <v>824</v>
      </c>
      <c r="H76" s="43" t="s">
        <v>825</v>
      </c>
      <c r="I76" s="44"/>
    </row>
    <row r="77" spans="2:9" x14ac:dyDescent="0.25">
      <c r="B77" s="41"/>
      <c r="C77" s="43" t="s">
        <v>141</v>
      </c>
      <c r="D77" s="43" t="s">
        <v>916</v>
      </c>
      <c r="E77" s="43" t="s">
        <v>823</v>
      </c>
      <c r="F77" s="48" t="s">
        <v>22</v>
      </c>
      <c r="G77" s="43" t="s">
        <v>824</v>
      </c>
      <c r="H77" s="43" t="s">
        <v>825</v>
      </c>
      <c r="I77" s="44"/>
    </row>
    <row r="78" spans="2:9" x14ac:dyDescent="0.25">
      <c r="B78" s="41"/>
      <c r="C78" s="43" t="s">
        <v>143</v>
      </c>
      <c r="D78" s="43" t="s">
        <v>917</v>
      </c>
      <c r="E78" s="43" t="s">
        <v>823</v>
      </c>
      <c r="F78" s="48" t="s">
        <v>22</v>
      </c>
      <c r="G78" s="43" t="s">
        <v>824</v>
      </c>
      <c r="H78" s="43" t="s">
        <v>825</v>
      </c>
      <c r="I78" s="44"/>
    </row>
    <row r="79" spans="2:9" x14ac:dyDescent="0.25">
      <c r="B79" s="41"/>
      <c r="C79" s="43" t="s">
        <v>145</v>
      </c>
      <c r="D79" s="43" t="s">
        <v>918</v>
      </c>
      <c r="E79" s="43" t="s">
        <v>823</v>
      </c>
      <c r="F79" s="48" t="s">
        <v>22</v>
      </c>
      <c r="G79" s="43" t="s">
        <v>824</v>
      </c>
      <c r="H79" s="43" t="s">
        <v>825</v>
      </c>
      <c r="I79" s="44"/>
    </row>
    <row r="80" spans="2:9" x14ac:dyDescent="0.25">
      <c r="B80" s="41"/>
      <c r="C80" s="43" t="s">
        <v>147</v>
      </c>
      <c r="D80" s="43" t="s">
        <v>919</v>
      </c>
      <c r="E80" s="43" t="s">
        <v>823</v>
      </c>
      <c r="F80" s="49" t="s">
        <v>36</v>
      </c>
      <c r="G80" s="43" t="s">
        <v>824</v>
      </c>
      <c r="H80" s="43" t="s">
        <v>825</v>
      </c>
      <c r="I80" s="44"/>
    </row>
    <row r="81" spans="2:9" x14ac:dyDescent="0.25">
      <c r="B81" s="41"/>
      <c r="C81" s="43" t="s">
        <v>149</v>
      </c>
      <c r="D81" s="43" t="s">
        <v>920</v>
      </c>
      <c r="E81" s="43" t="s">
        <v>823</v>
      </c>
      <c r="F81" s="48" t="s">
        <v>22</v>
      </c>
      <c r="G81" s="43" t="s">
        <v>824</v>
      </c>
      <c r="H81" s="43" t="s">
        <v>825</v>
      </c>
      <c r="I81" s="44"/>
    </row>
    <row r="82" spans="2:9" x14ac:dyDescent="0.25">
      <c r="B82" s="41"/>
      <c r="C82" s="43" t="s">
        <v>151</v>
      </c>
      <c r="D82" s="43" t="s">
        <v>921</v>
      </c>
      <c r="E82" s="43" t="s">
        <v>823</v>
      </c>
      <c r="F82" s="48" t="s">
        <v>22</v>
      </c>
      <c r="G82" s="43" t="s">
        <v>824</v>
      </c>
      <c r="H82" s="43" t="s">
        <v>825</v>
      </c>
      <c r="I82" s="44"/>
    </row>
    <row r="83" spans="2:9" x14ac:dyDescent="0.25">
      <c r="B83" s="41"/>
      <c r="C83" s="43" t="s">
        <v>152</v>
      </c>
      <c r="D83" s="43" t="s">
        <v>922</v>
      </c>
      <c r="E83" s="43" t="s">
        <v>823</v>
      </c>
      <c r="F83" s="48" t="s">
        <v>22</v>
      </c>
      <c r="G83" s="43" t="s">
        <v>824</v>
      </c>
      <c r="H83" s="43" t="s">
        <v>825</v>
      </c>
      <c r="I83" s="44"/>
    </row>
    <row r="84" spans="2:9" x14ac:dyDescent="0.25">
      <c r="B84" s="41"/>
      <c r="C84" s="43" t="s">
        <v>923</v>
      </c>
      <c r="D84" s="43" t="s">
        <v>924</v>
      </c>
      <c r="E84" s="43" t="s">
        <v>823</v>
      </c>
      <c r="F84" s="49" t="s">
        <v>36</v>
      </c>
      <c r="G84" s="43" t="s">
        <v>824</v>
      </c>
      <c r="H84" s="43" t="s">
        <v>825</v>
      </c>
      <c r="I84" s="44"/>
    </row>
    <row r="85" spans="2:9" x14ac:dyDescent="0.25">
      <c r="B85" s="41"/>
      <c r="C85" s="43" t="s">
        <v>153</v>
      </c>
      <c r="D85" s="43" t="s">
        <v>925</v>
      </c>
      <c r="E85" s="43" t="s">
        <v>823</v>
      </c>
      <c r="F85" s="48" t="s">
        <v>22</v>
      </c>
      <c r="G85" s="43" t="s">
        <v>824</v>
      </c>
      <c r="H85" s="43" t="s">
        <v>825</v>
      </c>
      <c r="I85" s="44"/>
    </row>
    <row r="86" spans="2:9" x14ac:dyDescent="0.25">
      <c r="B86" s="41"/>
      <c r="C86" s="43" t="s">
        <v>154</v>
      </c>
      <c r="D86" s="43" t="s">
        <v>926</v>
      </c>
      <c r="E86" s="43" t="s">
        <v>823</v>
      </c>
      <c r="F86" s="48" t="s">
        <v>22</v>
      </c>
      <c r="G86" s="43" t="s">
        <v>824</v>
      </c>
      <c r="H86" s="43" t="s">
        <v>825</v>
      </c>
      <c r="I86" s="44"/>
    </row>
    <row r="87" spans="2:9" x14ac:dyDescent="0.25">
      <c r="B87" s="41"/>
      <c r="C87" s="43" t="s">
        <v>156</v>
      </c>
      <c r="D87" s="43" t="s">
        <v>927</v>
      </c>
      <c r="E87" s="43" t="s">
        <v>823</v>
      </c>
      <c r="F87" s="48" t="s">
        <v>22</v>
      </c>
      <c r="G87" s="43" t="s">
        <v>824</v>
      </c>
      <c r="H87" s="43" t="s">
        <v>825</v>
      </c>
      <c r="I87" s="44"/>
    </row>
    <row r="88" spans="2:9" x14ac:dyDescent="0.25">
      <c r="B88" s="41"/>
      <c r="C88" s="43" t="s">
        <v>158</v>
      </c>
      <c r="D88" s="43" t="s">
        <v>928</v>
      </c>
      <c r="E88" s="43" t="s">
        <v>823</v>
      </c>
      <c r="F88" s="49" t="s">
        <v>36</v>
      </c>
      <c r="G88" s="43" t="s">
        <v>824</v>
      </c>
      <c r="H88" s="43" t="s">
        <v>825</v>
      </c>
      <c r="I88" s="44"/>
    </row>
    <row r="89" spans="2:9" x14ac:dyDescent="0.25">
      <c r="B89" s="41"/>
      <c r="C89" s="43" t="s">
        <v>929</v>
      </c>
      <c r="D89" s="43" t="s">
        <v>930</v>
      </c>
      <c r="E89" s="43" t="s">
        <v>823</v>
      </c>
      <c r="F89" s="49" t="s">
        <v>36</v>
      </c>
      <c r="G89" s="43" t="s">
        <v>824</v>
      </c>
      <c r="H89" s="43" t="s">
        <v>825</v>
      </c>
      <c r="I89" s="44"/>
    </row>
    <row r="90" spans="2:9" x14ac:dyDescent="0.25">
      <c r="B90" s="41"/>
      <c r="C90" s="43" t="s">
        <v>165</v>
      </c>
      <c r="D90" s="43" t="s">
        <v>931</v>
      </c>
      <c r="E90" s="43" t="s">
        <v>823</v>
      </c>
      <c r="F90" s="48" t="s">
        <v>22</v>
      </c>
      <c r="G90" s="43" t="s">
        <v>824</v>
      </c>
      <c r="H90" s="43" t="s">
        <v>825</v>
      </c>
      <c r="I90" s="44"/>
    </row>
    <row r="91" spans="2:9" x14ac:dyDescent="0.25">
      <c r="B91" s="41"/>
      <c r="C91" s="43" t="s">
        <v>167</v>
      </c>
      <c r="D91" s="43" t="s">
        <v>932</v>
      </c>
      <c r="E91" s="43" t="s">
        <v>823</v>
      </c>
      <c r="F91" s="48" t="s">
        <v>22</v>
      </c>
      <c r="G91" s="43" t="s">
        <v>824</v>
      </c>
      <c r="H91" s="43" t="s">
        <v>825</v>
      </c>
      <c r="I91" s="44"/>
    </row>
    <row r="92" spans="2:9" x14ac:dyDescent="0.25">
      <c r="B92" s="41"/>
      <c r="C92" s="43" t="s">
        <v>169</v>
      </c>
      <c r="D92" s="43" t="s">
        <v>933</v>
      </c>
      <c r="E92" s="43" t="s">
        <v>823</v>
      </c>
      <c r="F92" s="49" t="s">
        <v>36</v>
      </c>
      <c r="G92" s="43" t="s">
        <v>824</v>
      </c>
      <c r="H92" s="43" t="s">
        <v>825</v>
      </c>
      <c r="I92" s="44"/>
    </row>
    <row r="93" spans="2:9" x14ac:dyDescent="0.25">
      <c r="B93" s="41"/>
      <c r="C93" s="43" t="s">
        <v>170</v>
      </c>
      <c r="D93" s="43" t="s">
        <v>934</v>
      </c>
      <c r="E93" s="43" t="s">
        <v>823</v>
      </c>
      <c r="F93" s="48" t="s">
        <v>22</v>
      </c>
      <c r="G93" s="43" t="s">
        <v>824</v>
      </c>
      <c r="H93" s="43" t="s">
        <v>825</v>
      </c>
      <c r="I93" s="44"/>
    </row>
    <row r="94" spans="2:9" x14ac:dyDescent="0.25">
      <c r="B94" s="41"/>
      <c r="C94" s="43" t="s">
        <v>171</v>
      </c>
      <c r="D94" s="43" t="s">
        <v>935</v>
      </c>
      <c r="E94" s="43" t="s">
        <v>823</v>
      </c>
      <c r="F94" s="48" t="s">
        <v>22</v>
      </c>
      <c r="G94" s="43" t="s">
        <v>824</v>
      </c>
      <c r="H94" s="43" t="s">
        <v>825</v>
      </c>
      <c r="I94" s="44"/>
    </row>
    <row r="95" spans="2:9" x14ac:dyDescent="0.25">
      <c r="B95" s="41"/>
      <c r="C95" s="43" t="s">
        <v>172</v>
      </c>
      <c r="D95" s="43" t="s">
        <v>936</v>
      </c>
      <c r="E95" s="43" t="s">
        <v>823</v>
      </c>
      <c r="F95" s="48" t="s">
        <v>22</v>
      </c>
      <c r="G95" s="43" t="s">
        <v>824</v>
      </c>
      <c r="H95" s="43" t="s">
        <v>825</v>
      </c>
      <c r="I95" s="44"/>
    </row>
    <row r="96" spans="2:9" x14ac:dyDescent="0.25">
      <c r="B96" s="41"/>
      <c r="C96" s="43" t="s">
        <v>937</v>
      </c>
      <c r="D96" s="43" t="s">
        <v>938</v>
      </c>
      <c r="E96" s="43" t="s">
        <v>823</v>
      </c>
      <c r="F96" s="48" t="s">
        <v>22</v>
      </c>
      <c r="G96" s="43" t="s">
        <v>824</v>
      </c>
      <c r="H96" s="43" t="s">
        <v>825</v>
      </c>
      <c r="I96" s="44"/>
    </row>
    <row r="97" spans="2:9" x14ac:dyDescent="0.25">
      <c r="B97" s="41"/>
      <c r="C97" s="43" t="s">
        <v>173</v>
      </c>
      <c r="D97" s="43" t="s">
        <v>939</v>
      </c>
      <c r="E97" s="43" t="s">
        <v>823</v>
      </c>
      <c r="F97" s="48" t="s">
        <v>22</v>
      </c>
      <c r="G97" s="43" t="s">
        <v>824</v>
      </c>
      <c r="H97" s="43" t="s">
        <v>825</v>
      </c>
      <c r="I97" s="44"/>
    </row>
    <row r="98" spans="2:9" x14ac:dyDescent="0.25">
      <c r="B98" s="41"/>
      <c r="C98" s="43" t="s">
        <v>174</v>
      </c>
      <c r="D98" s="43" t="s">
        <v>940</v>
      </c>
      <c r="E98" s="43" t="s">
        <v>823</v>
      </c>
      <c r="F98" s="48" t="s">
        <v>22</v>
      </c>
      <c r="G98" s="43" t="s">
        <v>824</v>
      </c>
      <c r="H98" s="43" t="s">
        <v>825</v>
      </c>
      <c r="I98" s="44"/>
    </row>
    <row r="99" spans="2:9" x14ac:dyDescent="0.25">
      <c r="B99" s="41"/>
      <c r="C99" s="43" t="s">
        <v>941</v>
      </c>
      <c r="D99" s="43" t="s">
        <v>942</v>
      </c>
      <c r="E99" s="43" t="s">
        <v>823</v>
      </c>
      <c r="F99" s="48" t="s">
        <v>22</v>
      </c>
      <c r="G99" s="43" t="s">
        <v>824</v>
      </c>
      <c r="H99" s="43" t="s">
        <v>825</v>
      </c>
      <c r="I99" s="44"/>
    </row>
    <row r="100" spans="2:9" x14ac:dyDescent="0.25">
      <c r="B100" s="41"/>
      <c r="C100" s="43" t="s">
        <v>176</v>
      </c>
      <c r="D100" s="43" t="s">
        <v>943</v>
      </c>
      <c r="E100" s="43" t="s">
        <v>823</v>
      </c>
      <c r="F100" s="48" t="s">
        <v>22</v>
      </c>
      <c r="G100" s="43" t="s">
        <v>824</v>
      </c>
      <c r="H100" s="43" t="s">
        <v>825</v>
      </c>
      <c r="I100" s="44"/>
    </row>
    <row r="101" spans="2:9" x14ac:dyDescent="0.25">
      <c r="B101" s="41"/>
      <c r="C101" s="43" t="s">
        <v>944</v>
      </c>
      <c r="D101" s="43" t="s">
        <v>945</v>
      </c>
      <c r="E101" s="43" t="s">
        <v>823</v>
      </c>
      <c r="F101" s="53" t="s">
        <v>222</v>
      </c>
      <c r="G101" s="43" t="s">
        <v>825</v>
      </c>
      <c r="H101" s="43" t="s">
        <v>825</v>
      </c>
      <c r="I101" s="44"/>
    </row>
    <row r="102" spans="2:9" x14ac:dyDescent="0.25">
      <c r="B102" s="42"/>
      <c r="C102" s="45" t="s">
        <v>946</v>
      </c>
      <c r="D102" s="45" t="s">
        <v>947</v>
      </c>
      <c r="E102" s="45" t="s">
        <v>823</v>
      </c>
      <c r="F102" s="54" t="s">
        <v>22</v>
      </c>
      <c r="G102" s="45" t="s">
        <v>824</v>
      </c>
      <c r="H102" s="45" t="s">
        <v>825</v>
      </c>
      <c r="I102" s="46"/>
    </row>
    <row r="103" spans="2:9" x14ac:dyDescent="0.25">
      <c r="B103" s="41"/>
      <c r="C103" s="43" t="s">
        <v>178</v>
      </c>
      <c r="D103" s="43" t="s">
        <v>948</v>
      </c>
      <c r="E103" s="43" t="s">
        <v>823</v>
      </c>
      <c r="F103" s="49" t="s">
        <v>36</v>
      </c>
      <c r="G103" s="43" t="s">
        <v>824</v>
      </c>
      <c r="H103" s="43" t="s">
        <v>825</v>
      </c>
      <c r="I103" s="44"/>
    </row>
    <row r="104" spans="2:9" x14ac:dyDescent="0.25">
      <c r="B104" s="41"/>
      <c r="C104" s="43" t="s">
        <v>949</v>
      </c>
      <c r="D104" s="43" t="s">
        <v>950</v>
      </c>
      <c r="E104" s="43" t="s">
        <v>823</v>
      </c>
      <c r="F104" s="48" t="s">
        <v>22</v>
      </c>
      <c r="G104" s="43" t="s">
        <v>824</v>
      </c>
      <c r="H104" s="43" t="s">
        <v>825</v>
      </c>
      <c r="I104" s="44"/>
    </row>
    <row r="105" spans="2:9" x14ac:dyDescent="0.25">
      <c r="B105" s="41"/>
      <c r="C105" s="43" t="s">
        <v>180</v>
      </c>
      <c r="D105" s="43" t="s">
        <v>951</v>
      </c>
      <c r="E105" s="43" t="s">
        <v>823</v>
      </c>
      <c r="F105" s="48" t="s">
        <v>22</v>
      </c>
      <c r="G105" s="43" t="s">
        <v>824</v>
      </c>
      <c r="H105" s="43" t="s">
        <v>825</v>
      </c>
      <c r="I105" s="44"/>
    </row>
    <row r="106" spans="2:9" x14ac:dyDescent="0.25">
      <c r="B106" s="41"/>
      <c r="C106" s="43" t="s">
        <v>182</v>
      </c>
      <c r="D106" s="43" t="s">
        <v>952</v>
      </c>
      <c r="E106" s="43" t="s">
        <v>823</v>
      </c>
      <c r="F106" s="48" t="s">
        <v>22</v>
      </c>
      <c r="G106" s="43" t="s">
        <v>824</v>
      </c>
      <c r="H106" s="43" t="s">
        <v>825</v>
      </c>
      <c r="I106" s="44"/>
    </row>
    <row r="107" spans="2:9" x14ac:dyDescent="0.25">
      <c r="B107" s="41"/>
      <c r="C107" s="43" t="s">
        <v>953</v>
      </c>
      <c r="D107" s="43" t="s">
        <v>954</v>
      </c>
      <c r="E107" s="43" t="s">
        <v>872</v>
      </c>
      <c r="F107" s="53" t="s">
        <v>222</v>
      </c>
      <c r="G107" s="43" t="s">
        <v>825</v>
      </c>
      <c r="H107" s="43" t="s">
        <v>825</v>
      </c>
      <c r="I107" s="44"/>
    </row>
    <row r="108" spans="2:9" x14ac:dyDescent="0.25">
      <c r="B108" s="41"/>
      <c r="C108" s="43" t="s">
        <v>955</v>
      </c>
      <c r="D108" s="43" t="s">
        <v>956</v>
      </c>
      <c r="E108" s="43" t="s">
        <v>823</v>
      </c>
      <c r="F108" s="48" t="s">
        <v>22</v>
      </c>
      <c r="G108" s="43" t="s">
        <v>824</v>
      </c>
      <c r="H108" s="43" t="s">
        <v>825</v>
      </c>
      <c r="I108" s="44"/>
    </row>
    <row r="109" spans="2:9" x14ac:dyDescent="0.25">
      <c r="B109" s="41"/>
      <c r="C109" s="43" t="s">
        <v>183</v>
      </c>
      <c r="D109" s="43" t="s">
        <v>957</v>
      </c>
      <c r="E109" s="43" t="s">
        <v>823</v>
      </c>
      <c r="F109" s="48" t="s">
        <v>22</v>
      </c>
      <c r="G109" s="43" t="s">
        <v>824</v>
      </c>
      <c r="H109" s="43" t="s">
        <v>825</v>
      </c>
      <c r="I109" s="44"/>
    </row>
    <row r="110" spans="2:9" x14ac:dyDescent="0.25">
      <c r="B110" s="41"/>
      <c r="C110" s="43" t="s">
        <v>184</v>
      </c>
      <c r="D110" s="43" t="s">
        <v>958</v>
      </c>
      <c r="E110" s="43" t="s">
        <v>823</v>
      </c>
      <c r="F110" s="48" t="s">
        <v>22</v>
      </c>
      <c r="G110" s="43" t="s">
        <v>824</v>
      </c>
      <c r="H110" s="43" t="s">
        <v>825</v>
      </c>
      <c r="I110" s="44"/>
    </row>
    <row r="111" spans="2:9" x14ac:dyDescent="0.25">
      <c r="B111" s="41"/>
      <c r="C111" s="43" t="s">
        <v>959</v>
      </c>
      <c r="D111" s="43" t="s">
        <v>960</v>
      </c>
      <c r="E111" s="43" t="s">
        <v>823</v>
      </c>
      <c r="F111" s="48" t="s">
        <v>22</v>
      </c>
      <c r="G111" s="43" t="s">
        <v>824</v>
      </c>
      <c r="H111" s="43" t="s">
        <v>825</v>
      </c>
      <c r="I111" s="44"/>
    </row>
    <row r="112" spans="2:9" x14ac:dyDescent="0.25">
      <c r="B112" s="41"/>
      <c r="C112" s="43" t="s">
        <v>186</v>
      </c>
      <c r="D112" s="43" t="s">
        <v>961</v>
      </c>
      <c r="E112" s="43" t="s">
        <v>823</v>
      </c>
      <c r="F112" s="49" t="s">
        <v>36</v>
      </c>
      <c r="G112" s="43" t="s">
        <v>824</v>
      </c>
      <c r="H112" s="43" t="s">
        <v>825</v>
      </c>
      <c r="I112" s="44"/>
    </row>
    <row r="113" spans="2:9" x14ac:dyDescent="0.25">
      <c r="B113" s="41"/>
      <c r="C113" s="43" t="s">
        <v>188</v>
      </c>
      <c r="D113" s="43" t="s">
        <v>962</v>
      </c>
      <c r="E113" s="43" t="s">
        <v>823</v>
      </c>
      <c r="F113" s="48" t="s">
        <v>22</v>
      </c>
      <c r="G113" s="43" t="s">
        <v>824</v>
      </c>
      <c r="H113" s="43" t="s">
        <v>825</v>
      </c>
      <c r="I113" s="44"/>
    </row>
    <row r="114" spans="2:9" x14ac:dyDescent="0.25">
      <c r="B114" s="41"/>
      <c r="C114" s="43" t="s">
        <v>963</v>
      </c>
      <c r="D114" s="43" t="s">
        <v>964</v>
      </c>
      <c r="E114" s="43" t="s">
        <v>823</v>
      </c>
      <c r="F114" s="48" t="s">
        <v>22</v>
      </c>
      <c r="G114" s="43" t="s">
        <v>824</v>
      </c>
      <c r="H114" s="43" t="s">
        <v>825</v>
      </c>
      <c r="I114" s="44"/>
    </row>
    <row r="115" spans="2:9" x14ac:dyDescent="0.25">
      <c r="B115" s="41"/>
      <c r="C115" s="43" t="s">
        <v>189</v>
      </c>
      <c r="D115" s="43" t="s">
        <v>965</v>
      </c>
      <c r="E115" s="43" t="s">
        <v>823</v>
      </c>
      <c r="F115" s="48" t="s">
        <v>22</v>
      </c>
      <c r="G115" s="43" t="s">
        <v>824</v>
      </c>
      <c r="H115" s="43" t="s">
        <v>825</v>
      </c>
      <c r="I115" s="44"/>
    </row>
    <row r="116" spans="2:9" x14ac:dyDescent="0.25">
      <c r="B116" s="41"/>
      <c r="C116" s="43" t="s">
        <v>191</v>
      </c>
      <c r="D116" s="43" t="s">
        <v>966</v>
      </c>
      <c r="E116" s="43" t="s">
        <v>831</v>
      </c>
      <c r="F116" s="49" t="s">
        <v>36</v>
      </c>
      <c r="G116" s="43" t="s">
        <v>824</v>
      </c>
      <c r="H116" s="43" t="s">
        <v>825</v>
      </c>
      <c r="I116" s="44"/>
    </row>
    <row r="117" spans="2:9" x14ac:dyDescent="0.25">
      <c r="B117" s="41"/>
      <c r="C117" s="43" t="s">
        <v>192</v>
      </c>
      <c r="D117" s="43" t="s">
        <v>967</v>
      </c>
      <c r="E117" s="43" t="s">
        <v>823</v>
      </c>
      <c r="F117" s="49" t="s">
        <v>36</v>
      </c>
      <c r="G117" s="43" t="s">
        <v>824</v>
      </c>
      <c r="H117" s="43" t="s">
        <v>825</v>
      </c>
      <c r="I117" s="44"/>
    </row>
    <row r="118" spans="2:9" x14ac:dyDescent="0.25">
      <c r="B118" s="41"/>
      <c r="C118" s="43" t="s">
        <v>193</v>
      </c>
      <c r="D118" s="43" t="s">
        <v>968</v>
      </c>
      <c r="E118" s="43" t="s">
        <v>823</v>
      </c>
      <c r="F118" s="48" t="s">
        <v>22</v>
      </c>
      <c r="G118" s="43" t="s">
        <v>824</v>
      </c>
      <c r="H118" s="43" t="s">
        <v>825</v>
      </c>
      <c r="I118" s="44"/>
    </row>
    <row r="119" spans="2:9" x14ac:dyDescent="0.25">
      <c r="B119" s="41"/>
      <c r="C119" s="43" t="s">
        <v>194</v>
      </c>
      <c r="D119" s="43" t="s">
        <v>969</v>
      </c>
      <c r="E119" s="43" t="s">
        <v>823</v>
      </c>
      <c r="F119" s="48" t="s">
        <v>22</v>
      </c>
      <c r="G119" s="43" t="s">
        <v>824</v>
      </c>
      <c r="H119" s="43" t="s">
        <v>825</v>
      </c>
      <c r="I119" s="44"/>
    </row>
    <row r="120" spans="2:9" x14ac:dyDescent="0.25">
      <c r="B120" s="41"/>
      <c r="C120" s="43" t="s">
        <v>196</v>
      </c>
      <c r="D120" s="43" t="s">
        <v>970</v>
      </c>
      <c r="E120" s="43" t="s">
        <v>823</v>
      </c>
      <c r="F120" s="48" t="s">
        <v>22</v>
      </c>
      <c r="G120" s="43" t="s">
        <v>824</v>
      </c>
      <c r="H120" s="43" t="s">
        <v>825</v>
      </c>
      <c r="I120" s="44"/>
    </row>
    <row r="121" spans="2:9" x14ac:dyDescent="0.25">
      <c r="B121" s="41"/>
      <c r="C121" s="43" t="s">
        <v>198</v>
      </c>
      <c r="D121" s="43" t="s">
        <v>971</v>
      </c>
      <c r="E121" s="43" t="s">
        <v>823</v>
      </c>
      <c r="F121" s="48" t="s">
        <v>22</v>
      </c>
      <c r="G121" s="43" t="s">
        <v>824</v>
      </c>
      <c r="H121" s="43" t="s">
        <v>825</v>
      </c>
      <c r="I121" s="44"/>
    </row>
    <row r="122" spans="2:9" x14ac:dyDescent="0.25">
      <c r="B122" s="41"/>
      <c r="C122" s="43" t="s">
        <v>972</v>
      </c>
      <c r="D122" s="43" t="s">
        <v>973</v>
      </c>
      <c r="E122" s="43" t="s">
        <v>823</v>
      </c>
      <c r="F122" s="48" t="s">
        <v>22</v>
      </c>
      <c r="G122" s="43" t="s">
        <v>824</v>
      </c>
      <c r="H122" s="43" t="s">
        <v>825</v>
      </c>
      <c r="I122" s="44"/>
    </row>
    <row r="123" spans="2:9" x14ac:dyDescent="0.25">
      <c r="B123" s="41"/>
      <c r="C123" s="43" t="s">
        <v>199</v>
      </c>
      <c r="D123" s="43" t="s">
        <v>974</v>
      </c>
      <c r="E123" s="43" t="s">
        <v>823</v>
      </c>
      <c r="F123" s="49" t="s">
        <v>36</v>
      </c>
      <c r="G123" s="43" t="s">
        <v>824</v>
      </c>
      <c r="H123" s="43" t="s">
        <v>825</v>
      </c>
      <c r="I123" s="44"/>
    </row>
    <row r="124" spans="2:9" x14ac:dyDescent="0.25">
      <c r="B124" s="41"/>
      <c r="C124" s="43" t="s">
        <v>200</v>
      </c>
      <c r="D124" s="43" t="s">
        <v>975</v>
      </c>
      <c r="E124" s="43" t="s">
        <v>823</v>
      </c>
      <c r="F124" s="48" t="s">
        <v>22</v>
      </c>
      <c r="G124" s="43" t="s">
        <v>824</v>
      </c>
      <c r="H124" s="43" t="s">
        <v>825</v>
      </c>
      <c r="I124" s="44"/>
    </row>
    <row r="125" spans="2:9" x14ac:dyDescent="0.25">
      <c r="B125" s="41"/>
      <c r="C125" s="43" t="s">
        <v>206</v>
      </c>
      <c r="D125" s="43" t="s">
        <v>976</v>
      </c>
      <c r="E125" s="43" t="s">
        <v>823</v>
      </c>
      <c r="F125" s="48" t="s">
        <v>22</v>
      </c>
      <c r="G125" s="43" t="s">
        <v>824</v>
      </c>
      <c r="H125" s="43" t="s">
        <v>825</v>
      </c>
      <c r="I125" s="44"/>
    </row>
    <row r="126" spans="2:9" x14ac:dyDescent="0.25">
      <c r="B126" s="41"/>
      <c r="C126" s="43" t="s">
        <v>208</v>
      </c>
      <c r="D126" s="43" t="s">
        <v>977</v>
      </c>
      <c r="E126" s="43" t="s">
        <v>823</v>
      </c>
      <c r="F126" s="48" t="s">
        <v>22</v>
      </c>
      <c r="G126" s="43" t="s">
        <v>824</v>
      </c>
      <c r="H126" s="43" t="s">
        <v>825</v>
      </c>
      <c r="I126" s="44"/>
    </row>
    <row r="127" spans="2:9" x14ac:dyDescent="0.25">
      <c r="B127" s="41"/>
      <c r="C127" s="43" t="s">
        <v>209</v>
      </c>
      <c r="D127" s="43" t="s">
        <v>978</v>
      </c>
      <c r="E127" s="43" t="s">
        <v>823</v>
      </c>
      <c r="F127" s="48" t="s">
        <v>22</v>
      </c>
      <c r="G127" s="43" t="s">
        <v>824</v>
      </c>
      <c r="H127" s="43" t="s">
        <v>825</v>
      </c>
      <c r="I127" s="44"/>
    </row>
    <row r="128" spans="2:9" x14ac:dyDescent="0.25">
      <c r="B128" s="41"/>
      <c r="C128" s="43" t="s">
        <v>210</v>
      </c>
      <c r="D128" s="43" t="s">
        <v>979</v>
      </c>
      <c r="E128" s="43" t="s">
        <v>823</v>
      </c>
      <c r="F128" s="48" t="s">
        <v>22</v>
      </c>
      <c r="G128" s="43" t="s">
        <v>824</v>
      </c>
      <c r="H128" s="43" t="s">
        <v>825</v>
      </c>
      <c r="I128" s="44"/>
    </row>
    <row r="129" spans="2:9" x14ac:dyDescent="0.25">
      <c r="B129" s="41"/>
      <c r="C129" s="43" t="s">
        <v>212</v>
      </c>
      <c r="D129" s="43" t="s">
        <v>980</v>
      </c>
      <c r="E129" s="43" t="s">
        <v>823</v>
      </c>
      <c r="F129" s="48" t="s">
        <v>22</v>
      </c>
      <c r="G129" s="43" t="s">
        <v>824</v>
      </c>
      <c r="H129" s="43" t="s">
        <v>825</v>
      </c>
      <c r="I129" s="44"/>
    </row>
    <row r="130" spans="2:9" x14ac:dyDescent="0.25">
      <c r="B130" s="41"/>
      <c r="C130" s="43" t="s">
        <v>213</v>
      </c>
      <c r="D130" s="43" t="s">
        <v>981</v>
      </c>
      <c r="E130" s="43" t="s">
        <v>823</v>
      </c>
      <c r="F130" s="48" t="s">
        <v>22</v>
      </c>
      <c r="G130" s="43" t="s">
        <v>824</v>
      </c>
      <c r="H130" s="43" t="s">
        <v>825</v>
      </c>
      <c r="I130" s="44"/>
    </row>
    <row r="131" spans="2:9" x14ac:dyDescent="0.25">
      <c r="B131" s="41"/>
      <c r="C131" s="43" t="s">
        <v>214</v>
      </c>
      <c r="D131" s="43" t="s">
        <v>982</v>
      </c>
      <c r="E131" s="43" t="s">
        <v>823</v>
      </c>
      <c r="F131" s="48" t="s">
        <v>22</v>
      </c>
      <c r="G131" s="43" t="s">
        <v>824</v>
      </c>
      <c r="H131" s="43" t="s">
        <v>825</v>
      </c>
      <c r="I131" s="44"/>
    </row>
    <row r="132" spans="2:9" x14ac:dyDescent="0.25">
      <c r="B132" s="41"/>
      <c r="C132" s="43" t="s">
        <v>216</v>
      </c>
      <c r="D132" s="43" t="s">
        <v>983</v>
      </c>
      <c r="E132" s="43" t="s">
        <v>823</v>
      </c>
      <c r="F132" s="48" t="s">
        <v>22</v>
      </c>
      <c r="G132" s="43" t="s">
        <v>824</v>
      </c>
      <c r="H132" s="43" t="s">
        <v>825</v>
      </c>
      <c r="I132" s="44"/>
    </row>
    <row r="133" spans="2:9" x14ac:dyDescent="0.25">
      <c r="B133" s="41"/>
      <c r="C133" s="43" t="s">
        <v>217</v>
      </c>
      <c r="D133" s="43" t="s">
        <v>984</v>
      </c>
      <c r="E133" s="43" t="s">
        <v>823</v>
      </c>
      <c r="F133" s="48" t="s">
        <v>22</v>
      </c>
      <c r="G133" s="43" t="s">
        <v>824</v>
      </c>
      <c r="H133" s="43" t="s">
        <v>825</v>
      </c>
      <c r="I133" s="44"/>
    </row>
    <row r="134" spans="2:9" x14ac:dyDescent="0.25">
      <c r="B134" s="41"/>
      <c r="C134" s="43" t="s">
        <v>218</v>
      </c>
      <c r="D134" s="43" t="s">
        <v>985</v>
      </c>
      <c r="E134" s="43" t="s">
        <v>823</v>
      </c>
      <c r="F134" s="49" t="s">
        <v>36</v>
      </c>
      <c r="G134" s="43" t="s">
        <v>824</v>
      </c>
      <c r="H134" s="43" t="s">
        <v>825</v>
      </c>
      <c r="I134" s="44"/>
    </row>
    <row r="135" spans="2:9" x14ac:dyDescent="0.25">
      <c r="B135" s="41"/>
      <c r="C135" s="43" t="s">
        <v>986</v>
      </c>
      <c r="D135" s="43" t="s">
        <v>987</v>
      </c>
      <c r="E135" s="43" t="s">
        <v>823</v>
      </c>
      <c r="F135" s="49" t="s">
        <v>36</v>
      </c>
      <c r="G135" s="43" t="s">
        <v>824</v>
      </c>
      <c r="H135" s="43" t="s">
        <v>825</v>
      </c>
      <c r="I135" s="44"/>
    </row>
    <row r="136" spans="2:9" x14ac:dyDescent="0.25">
      <c r="B136" s="41"/>
      <c r="C136" s="43" t="s">
        <v>220</v>
      </c>
      <c r="D136" s="43" t="s">
        <v>988</v>
      </c>
      <c r="E136" s="43" t="s">
        <v>823</v>
      </c>
      <c r="F136" s="48" t="s">
        <v>22</v>
      </c>
      <c r="G136" s="43" t="s">
        <v>824</v>
      </c>
      <c r="H136" s="43" t="s">
        <v>825</v>
      </c>
      <c r="I136" s="44"/>
    </row>
    <row r="137" spans="2:9" x14ac:dyDescent="0.25">
      <c r="B137" s="41"/>
      <c r="C137" s="43" t="s">
        <v>989</v>
      </c>
      <c r="D137" s="43" t="s">
        <v>990</v>
      </c>
      <c r="E137" s="43" t="s">
        <v>823</v>
      </c>
      <c r="F137" s="48" t="s">
        <v>22</v>
      </c>
      <c r="G137" s="43" t="s">
        <v>824</v>
      </c>
      <c r="H137" s="43" t="s">
        <v>825</v>
      </c>
      <c r="I137" s="44"/>
    </row>
    <row r="138" spans="2:9" x14ac:dyDescent="0.25">
      <c r="B138" s="41"/>
      <c r="C138" s="43" t="s">
        <v>223</v>
      </c>
      <c r="D138" s="43" t="s">
        <v>991</v>
      </c>
      <c r="E138" s="43" t="s">
        <v>823</v>
      </c>
      <c r="F138" s="48" t="s">
        <v>22</v>
      </c>
      <c r="G138" s="43" t="s">
        <v>824</v>
      </c>
      <c r="H138" s="43" t="s">
        <v>825</v>
      </c>
      <c r="I138" s="44"/>
    </row>
    <row r="139" spans="2:9" x14ac:dyDescent="0.25">
      <c r="B139" s="41"/>
      <c r="C139" s="43" t="s">
        <v>225</v>
      </c>
      <c r="D139" s="43" t="s">
        <v>992</v>
      </c>
      <c r="E139" s="43" t="s">
        <v>823</v>
      </c>
      <c r="F139" s="48" t="s">
        <v>22</v>
      </c>
      <c r="G139" s="43" t="s">
        <v>824</v>
      </c>
      <c r="H139" s="43" t="s">
        <v>825</v>
      </c>
      <c r="I139" s="44"/>
    </row>
    <row r="140" spans="2:9" x14ac:dyDescent="0.25">
      <c r="B140" s="41"/>
      <c r="C140" s="43" t="s">
        <v>226</v>
      </c>
      <c r="D140" s="43" t="s">
        <v>993</v>
      </c>
      <c r="E140" s="43" t="s">
        <v>823</v>
      </c>
      <c r="F140" s="48" t="s">
        <v>22</v>
      </c>
      <c r="G140" s="43" t="s">
        <v>824</v>
      </c>
      <c r="H140" s="43" t="s">
        <v>825</v>
      </c>
      <c r="I140" s="44"/>
    </row>
    <row r="141" spans="2:9" x14ac:dyDescent="0.25">
      <c r="B141" s="41"/>
      <c r="C141" s="43" t="s">
        <v>227</v>
      </c>
      <c r="D141" s="43" t="s">
        <v>994</v>
      </c>
      <c r="E141" s="43" t="s">
        <v>823</v>
      </c>
      <c r="F141" s="48" t="s">
        <v>22</v>
      </c>
      <c r="G141" s="43" t="s">
        <v>824</v>
      </c>
      <c r="H141" s="43" t="s">
        <v>825</v>
      </c>
      <c r="I141" s="44"/>
    </row>
    <row r="142" spans="2:9" x14ac:dyDescent="0.25">
      <c r="B142" s="41"/>
      <c r="C142" s="43" t="s">
        <v>995</v>
      </c>
      <c r="D142" s="43" t="s">
        <v>996</v>
      </c>
      <c r="E142" s="43" t="s">
        <v>823</v>
      </c>
      <c r="F142" s="48" t="s">
        <v>22</v>
      </c>
      <c r="G142" s="43" t="s">
        <v>824</v>
      </c>
      <c r="H142" s="43" t="s">
        <v>825</v>
      </c>
      <c r="I142" s="44"/>
    </row>
    <row r="143" spans="2:9" x14ac:dyDescent="0.25">
      <c r="B143" s="41"/>
      <c r="C143" s="43" t="s">
        <v>229</v>
      </c>
      <c r="D143" s="43" t="s">
        <v>997</v>
      </c>
      <c r="E143" s="43" t="s">
        <v>823</v>
      </c>
      <c r="F143" s="48" t="s">
        <v>22</v>
      </c>
      <c r="G143" s="43" t="s">
        <v>824</v>
      </c>
      <c r="H143" s="43" t="s">
        <v>825</v>
      </c>
      <c r="I143" s="44"/>
    </row>
    <row r="144" spans="2:9" x14ac:dyDescent="0.25">
      <c r="B144" s="41"/>
      <c r="C144" s="43" t="s">
        <v>231</v>
      </c>
      <c r="D144" s="43" t="s">
        <v>998</v>
      </c>
      <c r="E144" s="43" t="s">
        <v>823</v>
      </c>
      <c r="F144" s="48" t="s">
        <v>22</v>
      </c>
      <c r="G144" s="43" t="s">
        <v>824</v>
      </c>
      <c r="H144" s="43" t="s">
        <v>825</v>
      </c>
      <c r="I144" s="44"/>
    </row>
    <row r="145" spans="2:9" x14ac:dyDescent="0.25">
      <c r="B145" s="41"/>
      <c r="C145" s="43" t="s">
        <v>232</v>
      </c>
      <c r="D145" s="43" t="s">
        <v>999</v>
      </c>
      <c r="E145" s="43" t="s">
        <v>823</v>
      </c>
      <c r="F145" s="49" t="s">
        <v>36</v>
      </c>
      <c r="G145" s="43" t="s">
        <v>824</v>
      </c>
      <c r="H145" s="43" t="s">
        <v>825</v>
      </c>
      <c r="I145" s="44"/>
    </row>
    <row r="146" spans="2:9" x14ac:dyDescent="0.25">
      <c r="B146" s="41"/>
      <c r="C146" s="43" t="s">
        <v>233</v>
      </c>
      <c r="D146" s="43" t="s">
        <v>1000</v>
      </c>
      <c r="E146" s="43" t="s">
        <v>823</v>
      </c>
      <c r="F146" s="48" t="s">
        <v>22</v>
      </c>
      <c r="G146" s="43" t="s">
        <v>824</v>
      </c>
      <c r="H146" s="43" t="s">
        <v>825</v>
      </c>
      <c r="I146" s="44"/>
    </row>
    <row r="147" spans="2:9" x14ac:dyDescent="0.25">
      <c r="B147" s="41"/>
      <c r="C147" s="43" t="s">
        <v>1001</v>
      </c>
      <c r="D147" s="43" t="s">
        <v>1002</v>
      </c>
      <c r="E147" s="43" t="s">
        <v>823</v>
      </c>
      <c r="F147" s="48" t="s">
        <v>22</v>
      </c>
      <c r="G147" s="43" t="s">
        <v>824</v>
      </c>
      <c r="H147" s="43" t="s">
        <v>825</v>
      </c>
      <c r="I147" s="44"/>
    </row>
    <row r="148" spans="2:9" x14ac:dyDescent="0.25">
      <c r="B148" s="41"/>
      <c r="C148" s="43" t="s">
        <v>235</v>
      </c>
      <c r="D148" s="43" t="s">
        <v>1003</v>
      </c>
      <c r="E148" s="43" t="s">
        <v>823</v>
      </c>
      <c r="F148" s="48" t="s">
        <v>22</v>
      </c>
      <c r="G148" s="43" t="s">
        <v>824</v>
      </c>
      <c r="H148" s="43" t="s">
        <v>825</v>
      </c>
      <c r="I148" s="44"/>
    </row>
    <row r="149" spans="2:9" x14ac:dyDescent="0.25">
      <c r="B149" s="41"/>
      <c r="C149" s="43" t="s">
        <v>237</v>
      </c>
      <c r="D149" s="43" t="s">
        <v>1004</v>
      </c>
      <c r="E149" s="43" t="s">
        <v>823</v>
      </c>
      <c r="F149" s="48" t="s">
        <v>22</v>
      </c>
      <c r="G149" s="43" t="s">
        <v>824</v>
      </c>
      <c r="H149" s="43" t="s">
        <v>825</v>
      </c>
      <c r="I149" s="44"/>
    </row>
    <row r="150" spans="2:9" x14ac:dyDescent="0.25">
      <c r="B150" s="41"/>
      <c r="C150" s="43" t="s">
        <v>240</v>
      </c>
      <c r="D150" s="43" t="s">
        <v>1005</v>
      </c>
      <c r="E150" s="43" t="s">
        <v>823</v>
      </c>
      <c r="F150" s="48" t="s">
        <v>22</v>
      </c>
      <c r="G150" s="43" t="s">
        <v>824</v>
      </c>
      <c r="H150" s="43" t="s">
        <v>825</v>
      </c>
      <c r="I150" s="44"/>
    </row>
    <row r="151" spans="2:9" x14ac:dyDescent="0.25">
      <c r="B151" s="41"/>
      <c r="C151" s="43" t="s">
        <v>241</v>
      </c>
      <c r="D151" s="43" t="s">
        <v>1006</v>
      </c>
      <c r="E151" s="43" t="s">
        <v>823</v>
      </c>
      <c r="F151" s="48" t="s">
        <v>22</v>
      </c>
      <c r="G151" s="43" t="s">
        <v>824</v>
      </c>
      <c r="H151" s="43" t="s">
        <v>825</v>
      </c>
      <c r="I151" s="44"/>
    </row>
    <row r="152" spans="2:9" x14ac:dyDescent="0.25">
      <c r="B152" s="42"/>
      <c r="C152" s="45" t="s">
        <v>242</v>
      </c>
      <c r="D152" s="45" t="s">
        <v>1007</v>
      </c>
      <c r="E152" s="45" t="s">
        <v>823</v>
      </c>
      <c r="F152" s="54" t="s">
        <v>22</v>
      </c>
      <c r="G152" s="45" t="s">
        <v>824</v>
      </c>
      <c r="H152" s="45" t="s">
        <v>825</v>
      </c>
      <c r="I152" s="40"/>
    </row>
    <row r="153" spans="2:9" x14ac:dyDescent="0.25">
      <c r="B153" s="41"/>
      <c r="C153" s="43" t="s">
        <v>244</v>
      </c>
      <c r="D153" s="43" t="s">
        <v>1008</v>
      </c>
      <c r="E153" s="43" t="s">
        <v>823</v>
      </c>
      <c r="F153" s="48" t="s">
        <v>22</v>
      </c>
      <c r="G153" s="43" t="s">
        <v>824</v>
      </c>
      <c r="H153" s="43" t="s">
        <v>825</v>
      </c>
      <c r="I153" s="44"/>
    </row>
    <row r="154" spans="2:9" x14ac:dyDescent="0.25">
      <c r="B154" s="41"/>
      <c r="C154" s="43" t="s">
        <v>246</v>
      </c>
      <c r="D154" s="43" t="s">
        <v>1009</v>
      </c>
      <c r="E154" s="43" t="s">
        <v>823</v>
      </c>
      <c r="F154" s="48" t="s">
        <v>22</v>
      </c>
      <c r="G154" s="43" t="s">
        <v>824</v>
      </c>
      <c r="H154" s="43" t="s">
        <v>825</v>
      </c>
      <c r="I154" s="44"/>
    </row>
    <row r="155" spans="2:9" x14ac:dyDescent="0.25">
      <c r="B155" s="41"/>
      <c r="C155" s="43" t="s">
        <v>1010</v>
      </c>
      <c r="D155" s="43" t="s">
        <v>1011</v>
      </c>
      <c r="E155" s="43" t="s">
        <v>823</v>
      </c>
      <c r="F155" s="52" t="s">
        <v>263</v>
      </c>
      <c r="G155" s="43" t="s">
        <v>824</v>
      </c>
      <c r="H155" s="43" t="s">
        <v>825</v>
      </c>
      <c r="I155" s="44"/>
    </row>
    <row r="156" spans="2:9" x14ac:dyDescent="0.25">
      <c r="B156" s="41"/>
      <c r="C156" s="43" t="s">
        <v>247</v>
      </c>
      <c r="D156" s="43" t="s">
        <v>1012</v>
      </c>
      <c r="E156" s="43" t="s">
        <v>823</v>
      </c>
      <c r="F156" s="48" t="s">
        <v>22</v>
      </c>
      <c r="G156" s="43" t="s">
        <v>824</v>
      </c>
      <c r="H156" s="43" t="s">
        <v>825</v>
      </c>
      <c r="I156" s="44"/>
    </row>
    <row r="157" spans="2:9" x14ac:dyDescent="0.25">
      <c r="B157" s="41"/>
      <c r="C157" s="43" t="s">
        <v>248</v>
      </c>
      <c r="D157" s="43" t="s">
        <v>1013</v>
      </c>
      <c r="E157" s="43" t="s">
        <v>823</v>
      </c>
      <c r="F157" s="48" t="s">
        <v>22</v>
      </c>
      <c r="G157" s="43" t="s">
        <v>824</v>
      </c>
      <c r="H157" s="43" t="s">
        <v>825</v>
      </c>
      <c r="I157" s="44"/>
    </row>
    <row r="158" spans="2:9" x14ac:dyDescent="0.25">
      <c r="B158" s="41"/>
      <c r="C158" s="43" t="s">
        <v>249</v>
      </c>
      <c r="D158" s="43" t="s">
        <v>1014</v>
      </c>
      <c r="E158" s="43" t="s">
        <v>823</v>
      </c>
      <c r="F158" s="48" t="s">
        <v>22</v>
      </c>
      <c r="G158" s="43" t="s">
        <v>824</v>
      </c>
      <c r="H158" s="43" t="s">
        <v>825</v>
      </c>
      <c r="I158" s="44"/>
    </row>
    <row r="159" spans="2:9" x14ac:dyDescent="0.25">
      <c r="B159" s="41"/>
      <c r="C159" s="43" t="s">
        <v>251</v>
      </c>
      <c r="D159" s="43" t="s">
        <v>1015</v>
      </c>
      <c r="E159" s="43" t="s">
        <v>831</v>
      </c>
      <c r="F159" s="48" t="s">
        <v>22</v>
      </c>
      <c r="G159" s="43" t="s">
        <v>824</v>
      </c>
      <c r="H159" s="43" t="s">
        <v>825</v>
      </c>
      <c r="I159" s="44"/>
    </row>
    <row r="160" spans="2:9" x14ac:dyDescent="0.25">
      <c r="B160" s="41"/>
      <c r="C160" s="43" t="s">
        <v>252</v>
      </c>
      <c r="D160" s="43" t="s">
        <v>1016</v>
      </c>
      <c r="E160" s="43" t="s">
        <v>823</v>
      </c>
      <c r="F160" s="49" t="s">
        <v>36</v>
      </c>
      <c r="G160" s="43" t="s">
        <v>824</v>
      </c>
      <c r="H160" s="43" t="s">
        <v>825</v>
      </c>
      <c r="I160" s="44"/>
    </row>
    <row r="161" spans="2:9" x14ac:dyDescent="0.25">
      <c r="B161" s="41"/>
      <c r="C161" s="43" t="s">
        <v>253</v>
      </c>
      <c r="D161" s="43" t="s">
        <v>1017</v>
      </c>
      <c r="E161" s="43" t="s">
        <v>831</v>
      </c>
      <c r="F161" s="49" t="s">
        <v>36</v>
      </c>
      <c r="G161" s="43" t="s">
        <v>824</v>
      </c>
      <c r="H161" s="43" t="s">
        <v>825</v>
      </c>
      <c r="I161" s="44"/>
    </row>
    <row r="162" spans="2:9" x14ac:dyDescent="0.25">
      <c r="B162" s="41"/>
      <c r="C162" s="43" t="s">
        <v>254</v>
      </c>
      <c r="D162" s="43" t="s">
        <v>1018</v>
      </c>
      <c r="E162" s="43" t="s">
        <v>823</v>
      </c>
      <c r="F162" s="52" t="s">
        <v>670</v>
      </c>
      <c r="G162" s="43" t="s">
        <v>824</v>
      </c>
      <c r="H162" s="43" t="s">
        <v>825</v>
      </c>
      <c r="I162" s="44"/>
    </row>
    <row r="163" spans="2:9" x14ac:dyDescent="0.25">
      <c r="B163" s="41"/>
      <c r="C163" s="43" t="s">
        <v>255</v>
      </c>
      <c r="D163" s="43" t="s">
        <v>1019</v>
      </c>
      <c r="E163" s="43" t="s">
        <v>823</v>
      </c>
      <c r="F163" s="49" t="s">
        <v>36</v>
      </c>
      <c r="G163" s="43" t="s">
        <v>824</v>
      </c>
      <c r="H163" s="43" t="s">
        <v>825</v>
      </c>
      <c r="I163" s="44"/>
    </row>
    <row r="164" spans="2:9" x14ac:dyDescent="0.25">
      <c r="B164" s="41"/>
      <c r="C164" s="43" t="s">
        <v>1020</v>
      </c>
      <c r="D164" s="43" t="s">
        <v>1021</v>
      </c>
      <c r="E164" s="43" t="s">
        <v>823</v>
      </c>
      <c r="F164" s="48" t="s">
        <v>22</v>
      </c>
      <c r="G164" s="43" t="s">
        <v>824</v>
      </c>
      <c r="H164" s="43" t="s">
        <v>825</v>
      </c>
      <c r="I164" s="44"/>
    </row>
    <row r="165" spans="2:9" x14ac:dyDescent="0.25">
      <c r="B165" s="41"/>
      <c r="C165" s="43" t="s">
        <v>256</v>
      </c>
      <c r="D165" s="43" t="s">
        <v>1022</v>
      </c>
      <c r="E165" s="43" t="s">
        <v>823</v>
      </c>
      <c r="F165" s="48" t="s">
        <v>22</v>
      </c>
      <c r="G165" s="43" t="s">
        <v>824</v>
      </c>
      <c r="H165" s="43" t="s">
        <v>825</v>
      </c>
      <c r="I165" s="44"/>
    </row>
    <row r="166" spans="2:9" x14ac:dyDescent="0.25">
      <c r="B166" s="41"/>
      <c r="C166" s="43" t="s">
        <v>257</v>
      </c>
      <c r="D166" s="43" t="s">
        <v>1023</v>
      </c>
      <c r="E166" s="43" t="s">
        <v>823</v>
      </c>
      <c r="F166" s="48" t="s">
        <v>22</v>
      </c>
      <c r="G166" s="43" t="s">
        <v>824</v>
      </c>
      <c r="H166" s="43" t="s">
        <v>825</v>
      </c>
      <c r="I166" s="44"/>
    </row>
    <row r="167" spans="2:9" x14ac:dyDescent="0.25">
      <c r="B167" s="41"/>
      <c r="C167" s="43" t="s">
        <v>259</v>
      </c>
      <c r="D167" s="43" t="s">
        <v>1024</v>
      </c>
      <c r="E167" s="43" t="s">
        <v>823</v>
      </c>
      <c r="F167" s="48" t="s">
        <v>22</v>
      </c>
      <c r="G167" s="43" t="s">
        <v>824</v>
      </c>
      <c r="H167" s="43" t="s">
        <v>825</v>
      </c>
      <c r="I167" s="44"/>
    </row>
    <row r="168" spans="2:9" x14ac:dyDescent="0.25">
      <c r="B168" s="41"/>
      <c r="C168" s="43" t="s">
        <v>260</v>
      </c>
      <c r="D168" s="43" t="s">
        <v>1025</v>
      </c>
      <c r="E168" s="43" t="s">
        <v>823</v>
      </c>
      <c r="F168" s="48" t="s">
        <v>22</v>
      </c>
      <c r="G168" s="43" t="s">
        <v>824</v>
      </c>
      <c r="H168" s="43" t="s">
        <v>825</v>
      </c>
      <c r="I168" s="44"/>
    </row>
    <row r="169" spans="2:9" x14ac:dyDescent="0.25">
      <c r="B169" s="41"/>
      <c r="C169" s="43" t="s">
        <v>261</v>
      </c>
      <c r="D169" s="43" t="s">
        <v>1026</v>
      </c>
      <c r="E169" s="43" t="s">
        <v>823</v>
      </c>
      <c r="F169" s="48" t="s">
        <v>22</v>
      </c>
      <c r="G169" s="43" t="s">
        <v>824</v>
      </c>
      <c r="H169" s="43" t="s">
        <v>825</v>
      </c>
      <c r="I169" s="44"/>
    </row>
    <row r="170" spans="2:9" x14ac:dyDescent="0.25">
      <c r="B170" s="41"/>
      <c r="C170" s="43" t="s">
        <v>262</v>
      </c>
      <c r="D170" s="43" t="s">
        <v>1027</v>
      </c>
      <c r="E170" s="43" t="s">
        <v>823</v>
      </c>
      <c r="F170" s="52" t="s">
        <v>263</v>
      </c>
      <c r="G170" s="43" t="s">
        <v>824</v>
      </c>
      <c r="H170" s="43" t="s">
        <v>825</v>
      </c>
      <c r="I170" s="44"/>
    </row>
    <row r="171" spans="2:9" x14ac:dyDescent="0.25">
      <c r="B171" s="41"/>
      <c r="C171" s="43" t="s">
        <v>162</v>
      </c>
      <c r="D171" s="43" t="s">
        <v>1028</v>
      </c>
      <c r="E171" s="43" t="s">
        <v>831</v>
      </c>
      <c r="F171" s="53" t="s">
        <v>222</v>
      </c>
      <c r="G171" s="43" t="s">
        <v>825</v>
      </c>
      <c r="H171" s="43" t="s">
        <v>825</v>
      </c>
      <c r="I171" s="44"/>
    </row>
    <row r="172" spans="2:9" x14ac:dyDescent="0.25">
      <c r="B172" s="41"/>
      <c r="C172" s="43" t="s">
        <v>264</v>
      </c>
      <c r="D172" s="43" t="s">
        <v>1029</v>
      </c>
      <c r="E172" s="43" t="s">
        <v>823</v>
      </c>
      <c r="F172" s="49" t="s">
        <v>36</v>
      </c>
      <c r="G172" s="43" t="s">
        <v>824</v>
      </c>
      <c r="H172" s="43" t="s">
        <v>825</v>
      </c>
      <c r="I172" s="44"/>
    </row>
    <row r="173" spans="2:9" x14ac:dyDescent="0.25">
      <c r="B173" s="41"/>
      <c r="C173" s="43" t="s">
        <v>265</v>
      </c>
      <c r="D173" s="43" t="s">
        <v>1030</v>
      </c>
      <c r="E173" s="43" t="s">
        <v>831</v>
      </c>
      <c r="F173" s="49" t="s">
        <v>36</v>
      </c>
      <c r="G173" s="43" t="s">
        <v>824</v>
      </c>
      <c r="H173" s="43" t="s">
        <v>825</v>
      </c>
      <c r="I173" s="44"/>
    </row>
    <row r="174" spans="2:9" x14ac:dyDescent="0.25">
      <c r="B174" s="41"/>
      <c r="C174" s="43" t="s">
        <v>1031</v>
      </c>
      <c r="D174" s="43" t="s">
        <v>1032</v>
      </c>
      <c r="E174" s="43" t="s">
        <v>823</v>
      </c>
      <c r="F174" s="48" t="s">
        <v>22</v>
      </c>
      <c r="G174" s="43" t="s">
        <v>824</v>
      </c>
      <c r="H174" s="43" t="s">
        <v>825</v>
      </c>
      <c r="I174" s="44"/>
    </row>
    <row r="175" spans="2:9" x14ac:dyDescent="0.25">
      <c r="B175" s="41"/>
      <c r="C175" s="43" t="s">
        <v>266</v>
      </c>
      <c r="D175" s="43" t="s">
        <v>1033</v>
      </c>
      <c r="E175" s="43" t="s">
        <v>823</v>
      </c>
      <c r="F175" s="48" t="s">
        <v>22</v>
      </c>
      <c r="G175" s="43" t="s">
        <v>824</v>
      </c>
      <c r="H175" s="43" t="s">
        <v>825</v>
      </c>
      <c r="I175" s="44"/>
    </row>
    <row r="176" spans="2:9" x14ac:dyDescent="0.25">
      <c r="B176" s="41"/>
      <c r="C176" s="43" t="s">
        <v>1034</v>
      </c>
      <c r="D176" s="43" t="s">
        <v>1035</v>
      </c>
      <c r="E176" s="43" t="s">
        <v>823</v>
      </c>
      <c r="F176" s="48" t="s">
        <v>22</v>
      </c>
      <c r="G176" s="43" t="s">
        <v>824</v>
      </c>
      <c r="H176" s="43" t="s">
        <v>825</v>
      </c>
      <c r="I176" s="44"/>
    </row>
    <row r="177" spans="2:9" x14ac:dyDescent="0.25">
      <c r="B177" s="41"/>
      <c r="C177" s="43" t="s">
        <v>268</v>
      </c>
      <c r="D177" s="43" t="s">
        <v>1036</v>
      </c>
      <c r="E177" s="43" t="s">
        <v>823</v>
      </c>
      <c r="F177" s="48" t="s">
        <v>22</v>
      </c>
      <c r="G177" s="43" t="s">
        <v>824</v>
      </c>
      <c r="H177" s="43" t="s">
        <v>825</v>
      </c>
      <c r="I177" s="44"/>
    </row>
    <row r="178" spans="2:9" x14ac:dyDescent="0.25">
      <c r="B178" s="41"/>
      <c r="C178" s="43" t="s">
        <v>269</v>
      </c>
      <c r="D178" s="43" t="s">
        <v>1037</v>
      </c>
      <c r="E178" s="43" t="s">
        <v>823</v>
      </c>
      <c r="F178" s="50" t="s">
        <v>47</v>
      </c>
      <c r="G178" s="43" t="s">
        <v>824</v>
      </c>
      <c r="H178" s="43" t="s">
        <v>825</v>
      </c>
      <c r="I178" s="44"/>
    </row>
    <row r="179" spans="2:9" x14ac:dyDescent="0.25">
      <c r="B179" s="41"/>
      <c r="C179" s="43" t="s">
        <v>270</v>
      </c>
      <c r="D179" s="43" t="s">
        <v>1038</v>
      </c>
      <c r="E179" s="43" t="s">
        <v>823</v>
      </c>
      <c r="F179" s="48" t="s">
        <v>22</v>
      </c>
      <c r="G179" s="43" t="s">
        <v>824</v>
      </c>
      <c r="H179" s="43" t="s">
        <v>825</v>
      </c>
      <c r="I179" s="44"/>
    </row>
    <row r="180" spans="2:9" x14ac:dyDescent="0.25">
      <c r="B180" s="41"/>
      <c r="C180" s="43" t="s">
        <v>271</v>
      </c>
      <c r="D180" s="43" t="s">
        <v>1039</v>
      </c>
      <c r="E180" s="43" t="s">
        <v>823</v>
      </c>
      <c r="F180" s="48" t="s">
        <v>22</v>
      </c>
      <c r="G180" s="43" t="s">
        <v>824</v>
      </c>
      <c r="H180" s="43" t="s">
        <v>825</v>
      </c>
      <c r="I180" s="44"/>
    </row>
    <row r="181" spans="2:9" x14ac:dyDescent="0.25">
      <c r="B181" s="41"/>
      <c r="C181" s="43" t="s">
        <v>272</v>
      </c>
      <c r="D181" s="43" t="s">
        <v>1040</v>
      </c>
      <c r="E181" s="43" t="s">
        <v>823</v>
      </c>
      <c r="F181" s="48" t="s">
        <v>22</v>
      </c>
      <c r="G181" s="43" t="s">
        <v>824</v>
      </c>
      <c r="H181" s="43" t="s">
        <v>825</v>
      </c>
      <c r="I181" s="44"/>
    </row>
    <row r="182" spans="2:9" x14ac:dyDescent="0.25">
      <c r="B182" s="41"/>
      <c r="C182" s="43" t="s">
        <v>273</v>
      </c>
      <c r="D182" s="43" t="s">
        <v>1041</v>
      </c>
      <c r="E182" s="43" t="s">
        <v>823</v>
      </c>
      <c r="F182" s="50" t="s">
        <v>47</v>
      </c>
      <c r="G182" s="43" t="s">
        <v>824</v>
      </c>
      <c r="H182" s="43" t="s">
        <v>825</v>
      </c>
      <c r="I182" s="44"/>
    </row>
    <row r="183" spans="2:9" x14ac:dyDescent="0.25">
      <c r="B183" s="41"/>
      <c r="C183" s="43" t="s">
        <v>274</v>
      </c>
      <c r="D183" s="43" t="s">
        <v>1042</v>
      </c>
      <c r="E183" s="43" t="s">
        <v>823</v>
      </c>
      <c r="F183" s="48" t="s">
        <v>22</v>
      </c>
      <c r="G183" s="43" t="s">
        <v>824</v>
      </c>
      <c r="H183" s="43" t="s">
        <v>825</v>
      </c>
      <c r="I183" s="44"/>
    </row>
    <row r="184" spans="2:9" x14ac:dyDescent="0.25">
      <c r="B184" s="41"/>
      <c r="C184" s="43" t="s">
        <v>276</v>
      </c>
      <c r="D184" s="43" t="s">
        <v>1043</v>
      </c>
      <c r="E184" s="43" t="s">
        <v>823</v>
      </c>
      <c r="F184" s="48" t="s">
        <v>22</v>
      </c>
      <c r="G184" s="43" t="s">
        <v>824</v>
      </c>
      <c r="H184" s="43" t="s">
        <v>825</v>
      </c>
      <c r="I184" s="44"/>
    </row>
    <row r="185" spans="2:9" x14ac:dyDescent="0.25">
      <c r="B185" s="41"/>
      <c r="C185" s="43" t="s">
        <v>1044</v>
      </c>
      <c r="D185" s="43" t="s">
        <v>1045</v>
      </c>
      <c r="E185" s="43" t="s">
        <v>823</v>
      </c>
      <c r="F185" s="48" t="s">
        <v>22</v>
      </c>
      <c r="G185" s="43" t="s">
        <v>824</v>
      </c>
      <c r="H185" s="43" t="s">
        <v>825</v>
      </c>
      <c r="I185" s="44"/>
    </row>
    <row r="186" spans="2:9" x14ac:dyDescent="0.25">
      <c r="B186" s="41"/>
      <c r="C186" s="43" t="s">
        <v>277</v>
      </c>
      <c r="D186" s="43" t="s">
        <v>1046</v>
      </c>
      <c r="E186" s="43" t="s">
        <v>823</v>
      </c>
      <c r="F186" s="49" t="s">
        <v>36</v>
      </c>
      <c r="G186" s="43" t="s">
        <v>824</v>
      </c>
      <c r="H186" s="43" t="s">
        <v>825</v>
      </c>
      <c r="I186" s="44"/>
    </row>
    <row r="187" spans="2:9" x14ac:dyDescent="0.25">
      <c r="B187" s="41"/>
      <c r="C187" s="43" t="s">
        <v>278</v>
      </c>
      <c r="D187" s="43" t="s">
        <v>1047</v>
      </c>
      <c r="E187" s="43" t="s">
        <v>823</v>
      </c>
      <c r="F187" s="48" t="s">
        <v>22</v>
      </c>
      <c r="G187" s="43" t="s">
        <v>824</v>
      </c>
      <c r="H187" s="43" t="s">
        <v>825</v>
      </c>
      <c r="I187" s="44"/>
    </row>
    <row r="188" spans="2:9" x14ac:dyDescent="0.25">
      <c r="B188" s="41"/>
      <c r="C188" s="43" t="s">
        <v>279</v>
      </c>
      <c r="D188" s="43" t="s">
        <v>1048</v>
      </c>
      <c r="E188" s="43" t="s">
        <v>823</v>
      </c>
      <c r="F188" s="49" t="s">
        <v>36</v>
      </c>
      <c r="G188" s="43" t="s">
        <v>824</v>
      </c>
      <c r="H188" s="43" t="s">
        <v>825</v>
      </c>
      <c r="I188" s="44"/>
    </row>
    <row r="189" spans="2:9" x14ac:dyDescent="0.25">
      <c r="B189" s="41"/>
      <c r="C189" s="43" t="s">
        <v>281</v>
      </c>
      <c r="D189" s="43" t="s">
        <v>1049</v>
      </c>
      <c r="E189" s="43" t="s">
        <v>823</v>
      </c>
      <c r="F189" s="48" t="s">
        <v>22</v>
      </c>
      <c r="G189" s="43" t="s">
        <v>824</v>
      </c>
      <c r="H189" s="43" t="s">
        <v>825</v>
      </c>
      <c r="I189" s="44"/>
    </row>
    <row r="190" spans="2:9" x14ac:dyDescent="0.25">
      <c r="B190" s="41"/>
      <c r="C190" s="43" t="s">
        <v>1050</v>
      </c>
      <c r="D190" s="43" t="s">
        <v>1051</v>
      </c>
      <c r="E190" s="43" t="s">
        <v>823</v>
      </c>
      <c r="F190" s="49" t="s">
        <v>36</v>
      </c>
      <c r="G190" s="43" t="s">
        <v>824</v>
      </c>
      <c r="H190" s="43" t="s">
        <v>825</v>
      </c>
      <c r="I190" s="44"/>
    </row>
    <row r="191" spans="2:9" x14ac:dyDescent="0.25">
      <c r="B191" s="41"/>
      <c r="C191" s="43" t="s">
        <v>282</v>
      </c>
      <c r="D191" s="43" t="s">
        <v>1052</v>
      </c>
      <c r="E191" s="43" t="s">
        <v>823</v>
      </c>
      <c r="F191" s="48" t="s">
        <v>22</v>
      </c>
      <c r="G191" s="43" t="s">
        <v>824</v>
      </c>
      <c r="H191" s="43" t="s">
        <v>825</v>
      </c>
      <c r="I191" s="44"/>
    </row>
    <row r="192" spans="2:9" x14ac:dyDescent="0.25">
      <c r="B192" s="41"/>
      <c r="C192" s="43" t="s">
        <v>1053</v>
      </c>
      <c r="D192" s="43" t="s">
        <v>1054</v>
      </c>
      <c r="E192" s="43" t="s">
        <v>823</v>
      </c>
      <c r="F192" s="48" t="s">
        <v>22</v>
      </c>
      <c r="G192" s="43" t="s">
        <v>824</v>
      </c>
      <c r="H192" s="43" t="s">
        <v>825</v>
      </c>
      <c r="I192" s="44"/>
    </row>
    <row r="193" spans="2:9" x14ac:dyDescent="0.25">
      <c r="B193" s="41"/>
      <c r="C193" s="43" t="s">
        <v>283</v>
      </c>
      <c r="D193" s="43" t="s">
        <v>1055</v>
      </c>
      <c r="E193" s="43" t="s">
        <v>823</v>
      </c>
      <c r="F193" s="48" t="s">
        <v>22</v>
      </c>
      <c r="G193" s="43" t="s">
        <v>824</v>
      </c>
      <c r="H193" s="43" t="s">
        <v>825</v>
      </c>
      <c r="I193" s="44"/>
    </row>
    <row r="194" spans="2:9" x14ac:dyDescent="0.25">
      <c r="B194" s="41"/>
      <c r="C194" s="43" t="s">
        <v>285</v>
      </c>
      <c r="D194" s="43" t="s">
        <v>1056</v>
      </c>
      <c r="E194" s="43" t="s">
        <v>823</v>
      </c>
      <c r="F194" s="49" t="s">
        <v>36</v>
      </c>
      <c r="G194" s="43" t="s">
        <v>824</v>
      </c>
      <c r="H194" s="43" t="s">
        <v>825</v>
      </c>
      <c r="I194" s="44"/>
    </row>
    <row r="195" spans="2:9" x14ac:dyDescent="0.25">
      <c r="B195" s="41"/>
      <c r="C195" s="43" t="s">
        <v>286</v>
      </c>
      <c r="D195" s="43" t="s">
        <v>1057</v>
      </c>
      <c r="E195" s="43" t="s">
        <v>823</v>
      </c>
      <c r="F195" s="50" t="s">
        <v>47</v>
      </c>
      <c r="G195" s="43" t="s">
        <v>824</v>
      </c>
      <c r="H195" s="43" t="s">
        <v>825</v>
      </c>
      <c r="I195" s="44"/>
    </row>
    <row r="196" spans="2:9" x14ac:dyDescent="0.25">
      <c r="B196" s="41"/>
      <c r="C196" s="43" t="s">
        <v>1058</v>
      </c>
      <c r="D196" s="43" t="s">
        <v>1059</v>
      </c>
      <c r="E196" s="43" t="s">
        <v>823</v>
      </c>
      <c r="F196" s="48" t="s">
        <v>22</v>
      </c>
      <c r="G196" s="43" t="s">
        <v>824</v>
      </c>
      <c r="H196" s="43" t="s">
        <v>825</v>
      </c>
      <c r="I196" s="44"/>
    </row>
    <row r="197" spans="2:9" x14ac:dyDescent="0.25">
      <c r="B197" s="41"/>
      <c r="C197" s="43" t="s">
        <v>287</v>
      </c>
      <c r="D197" s="43" t="s">
        <v>1060</v>
      </c>
      <c r="E197" s="43" t="s">
        <v>823</v>
      </c>
      <c r="F197" s="48" t="s">
        <v>22</v>
      </c>
      <c r="G197" s="43" t="s">
        <v>824</v>
      </c>
      <c r="H197" s="43" t="s">
        <v>825</v>
      </c>
      <c r="I197" s="44"/>
    </row>
    <row r="198" spans="2:9" x14ac:dyDescent="0.25">
      <c r="B198" s="41"/>
      <c r="C198" s="43" t="s">
        <v>288</v>
      </c>
      <c r="D198" s="43" t="s">
        <v>1061</v>
      </c>
      <c r="E198" s="43" t="s">
        <v>831</v>
      </c>
      <c r="F198" s="49" t="s">
        <v>36</v>
      </c>
      <c r="G198" s="43" t="s">
        <v>824</v>
      </c>
      <c r="H198" s="43" t="s">
        <v>825</v>
      </c>
      <c r="I198" s="44"/>
    </row>
    <row r="199" spans="2:9" x14ac:dyDescent="0.25">
      <c r="B199" s="41"/>
      <c r="C199" s="43" t="s">
        <v>289</v>
      </c>
      <c r="D199" s="43" t="s">
        <v>1062</v>
      </c>
      <c r="E199" s="43" t="s">
        <v>823</v>
      </c>
      <c r="F199" s="48" t="s">
        <v>22</v>
      </c>
      <c r="G199" s="43" t="s">
        <v>824</v>
      </c>
      <c r="H199" s="43" t="s">
        <v>825</v>
      </c>
      <c r="I199" s="44"/>
    </row>
    <row r="200" spans="2:9" x14ac:dyDescent="0.25">
      <c r="B200" s="41"/>
      <c r="C200" s="43" t="s">
        <v>1063</v>
      </c>
      <c r="D200" s="43" t="s">
        <v>1064</v>
      </c>
      <c r="E200" s="43" t="s">
        <v>823</v>
      </c>
      <c r="F200" s="48" t="s">
        <v>22</v>
      </c>
      <c r="G200" s="43" t="s">
        <v>824</v>
      </c>
      <c r="H200" s="43" t="s">
        <v>825</v>
      </c>
      <c r="I200" s="44"/>
    </row>
    <row r="201" spans="2:9" x14ac:dyDescent="0.25">
      <c r="B201" s="41"/>
      <c r="C201" s="43" t="s">
        <v>291</v>
      </c>
      <c r="D201" s="43" t="s">
        <v>1065</v>
      </c>
      <c r="E201" s="43" t="s">
        <v>831</v>
      </c>
      <c r="F201" s="49" t="s">
        <v>36</v>
      </c>
      <c r="G201" s="43" t="s">
        <v>824</v>
      </c>
      <c r="H201" s="43" t="s">
        <v>1066</v>
      </c>
      <c r="I201" s="44"/>
    </row>
    <row r="202" spans="2:9" x14ac:dyDescent="0.25">
      <c r="B202" s="42"/>
      <c r="C202" s="45" t="s">
        <v>1067</v>
      </c>
      <c r="D202" s="45" t="s">
        <v>1068</v>
      </c>
      <c r="E202" s="45" t="s">
        <v>823</v>
      </c>
      <c r="F202" s="55" t="s">
        <v>222</v>
      </c>
      <c r="G202" s="45" t="s">
        <v>825</v>
      </c>
      <c r="H202" s="45" t="s">
        <v>825</v>
      </c>
      <c r="I202" s="40"/>
    </row>
    <row r="203" spans="2:9" x14ac:dyDescent="0.25">
      <c r="B203" s="41"/>
      <c r="C203" s="43" t="s">
        <v>292</v>
      </c>
      <c r="D203" s="43" t="s">
        <v>1069</v>
      </c>
      <c r="E203" s="43" t="s">
        <v>823</v>
      </c>
      <c r="F203" s="48" t="s">
        <v>22</v>
      </c>
      <c r="G203" s="43" t="s">
        <v>824</v>
      </c>
      <c r="H203" s="43" t="s">
        <v>825</v>
      </c>
      <c r="I203" s="44"/>
    </row>
    <row r="204" spans="2:9" x14ac:dyDescent="0.25">
      <c r="B204" s="41"/>
      <c r="C204" s="43" t="s">
        <v>293</v>
      </c>
      <c r="D204" s="43" t="s">
        <v>1070</v>
      </c>
      <c r="E204" s="43" t="s">
        <v>823</v>
      </c>
      <c r="F204" s="48" t="s">
        <v>22</v>
      </c>
      <c r="G204" s="43" t="s">
        <v>824</v>
      </c>
      <c r="H204" s="43" t="s">
        <v>825</v>
      </c>
      <c r="I204" s="44"/>
    </row>
    <row r="205" spans="2:9" x14ac:dyDescent="0.25">
      <c r="B205" s="41"/>
      <c r="C205" s="43" t="s">
        <v>294</v>
      </c>
      <c r="D205" s="43" t="s">
        <v>1071</v>
      </c>
      <c r="E205" s="43" t="s">
        <v>823</v>
      </c>
      <c r="F205" s="48" t="s">
        <v>22</v>
      </c>
      <c r="G205" s="43" t="s">
        <v>824</v>
      </c>
      <c r="H205" s="43" t="s">
        <v>825</v>
      </c>
      <c r="I205" s="44"/>
    </row>
    <row r="206" spans="2:9" x14ac:dyDescent="0.25">
      <c r="B206" s="41"/>
      <c r="C206" s="43" t="s">
        <v>296</v>
      </c>
      <c r="D206" s="43" t="s">
        <v>1072</v>
      </c>
      <c r="E206" s="43" t="s">
        <v>823</v>
      </c>
      <c r="F206" s="52" t="s">
        <v>263</v>
      </c>
      <c r="G206" s="43" t="s">
        <v>824</v>
      </c>
      <c r="H206" s="43" t="s">
        <v>825</v>
      </c>
      <c r="I206" s="44"/>
    </row>
    <row r="207" spans="2:9" x14ac:dyDescent="0.25">
      <c r="B207" s="41"/>
      <c r="C207" s="43" t="s">
        <v>297</v>
      </c>
      <c r="D207" s="43" t="s">
        <v>1073</v>
      </c>
      <c r="E207" s="43" t="s">
        <v>823</v>
      </c>
      <c r="F207" s="49" t="s">
        <v>36</v>
      </c>
      <c r="G207" s="43" t="s">
        <v>824</v>
      </c>
      <c r="H207" s="43" t="s">
        <v>825</v>
      </c>
      <c r="I207" s="44"/>
    </row>
    <row r="208" spans="2:9" x14ac:dyDescent="0.25">
      <c r="B208" s="41"/>
      <c r="C208" s="43" t="s">
        <v>300</v>
      </c>
      <c r="D208" s="43" t="s">
        <v>1074</v>
      </c>
      <c r="E208" s="43" t="s">
        <v>823</v>
      </c>
      <c r="F208" s="48" t="s">
        <v>22</v>
      </c>
      <c r="G208" s="43" t="s">
        <v>824</v>
      </c>
      <c r="H208" s="43" t="s">
        <v>825</v>
      </c>
      <c r="I208" s="44"/>
    </row>
    <row r="209" spans="2:9" x14ac:dyDescent="0.25">
      <c r="B209" s="41"/>
      <c r="C209" s="43" t="s">
        <v>301</v>
      </c>
      <c r="D209" s="43" t="s">
        <v>1075</v>
      </c>
      <c r="E209" s="43" t="s">
        <v>823</v>
      </c>
      <c r="F209" s="49" t="s">
        <v>36</v>
      </c>
      <c r="G209" s="43" t="s">
        <v>824</v>
      </c>
      <c r="H209" s="43" t="s">
        <v>825</v>
      </c>
      <c r="I209" s="44"/>
    </row>
    <row r="210" spans="2:9" x14ac:dyDescent="0.25">
      <c r="B210" s="41"/>
      <c r="C210" s="43" t="s">
        <v>302</v>
      </c>
      <c r="D210" s="43" t="s">
        <v>1076</v>
      </c>
      <c r="E210" s="43" t="s">
        <v>823</v>
      </c>
      <c r="F210" s="48" t="s">
        <v>22</v>
      </c>
      <c r="G210" s="43" t="s">
        <v>824</v>
      </c>
      <c r="H210" s="43" t="s">
        <v>825</v>
      </c>
      <c r="I210" s="44"/>
    </row>
    <row r="211" spans="2:9" x14ac:dyDescent="0.25">
      <c r="B211" s="41"/>
      <c r="C211" s="43" t="s">
        <v>303</v>
      </c>
      <c r="D211" s="43" t="s">
        <v>1077</v>
      </c>
      <c r="E211" s="43" t="s">
        <v>823</v>
      </c>
      <c r="F211" s="48" t="s">
        <v>22</v>
      </c>
      <c r="G211" s="43" t="s">
        <v>824</v>
      </c>
      <c r="H211" s="43" t="s">
        <v>825</v>
      </c>
      <c r="I211" s="44"/>
    </row>
    <row r="212" spans="2:9" x14ac:dyDescent="0.25">
      <c r="B212" s="41"/>
      <c r="C212" s="43" t="s">
        <v>304</v>
      </c>
      <c r="D212" s="43" t="s">
        <v>1078</v>
      </c>
      <c r="E212" s="43" t="s">
        <v>823</v>
      </c>
      <c r="F212" s="48" t="s">
        <v>22</v>
      </c>
      <c r="G212" s="43" t="s">
        <v>824</v>
      </c>
      <c r="H212" s="43" t="s">
        <v>825</v>
      </c>
      <c r="I212" s="44"/>
    </row>
    <row r="213" spans="2:9" x14ac:dyDescent="0.25">
      <c r="B213" s="41"/>
      <c r="C213" s="43" t="s">
        <v>1079</v>
      </c>
      <c r="D213" s="43" t="s">
        <v>1080</v>
      </c>
      <c r="E213" s="43" t="s">
        <v>823</v>
      </c>
      <c r="F213" s="48" t="s">
        <v>22</v>
      </c>
      <c r="G213" s="43" t="s">
        <v>824</v>
      </c>
      <c r="H213" s="43" t="s">
        <v>825</v>
      </c>
      <c r="I213" s="44"/>
    </row>
    <row r="214" spans="2:9" x14ac:dyDescent="0.25">
      <c r="B214" s="41"/>
      <c r="C214" s="43" t="s">
        <v>305</v>
      </c>
      <c r="D214" s="43" t="s">
        <v>1081</v>
      </c>
      <c r="E214" s="43" t="s">
        <v>823</v>
      </c>
      <c r="F214" s="49" t="s">
        <v>36</v>
      </c>
      <c r="G214" s="43" t="s">
        <v>824</v>
      </c>
      <c r="H214" s="43" t="s">
        <v>825</v>
      </c>
      <c r="I214" s="44"/>
    </row>
    <row r="215" spans="2:9" x14ac:dyDescent="0.25">
      <c r="B215" s="41"/>
      <c r="C215" s="43" t="s">
        <v>1082</v>
      </c>
      <c r="D215" s="43" t="s">
        <v>1083</v>
      </c>
      <c r="E215" s="43" t="s">
        <v>823</v>
      </c>
      <c r="F215" s="50" t="s">
        <v>47</v>
      </c>
      <c r="G215" s="43" t="s">
        <v>824</v>
      </c>
      <c r="H215" s="43" t="s">
        <v>825</v>
      </c>
      <c r="I215" s="44"/>
    </row>
    <row r="216" spans="2:9" x14ac:dyDescent="0.25">
      <c r="B216" s="41"/>
      <c r="C216" s="43" t="s">
        <v>306</v>
      </c>
      <c r="D216" s="43" t="s">
        <v>1084</v>
      </c>
      <c r="E216" s="43" t="s">
        <v>823</v>
      </c>
      <c r="F216" s="48" t="s">
        <v>22</v>
      </c>
      <c r="G216" s="43" t="s">
        <v>824</v>
      </c>
      <c r="H216" s="43" t="s">
        <v>825</v>
      </c>
      <c r="I216" s="44"/>
    </row>
    <row r="217" spans="2:9" x14ac:dyDescent="0.25">
      <c r="B217" s="41"/>
      <c r="C217" s="43" t="s">
        <v>307</v>
      </c>
      <c r="D217" s="43" t="s">
        <v>1085</v>
      </c>
      <c r="E217" s="43" t="s">
        <v>823</v>
      </c>
      <c r="F217" s="48" t="s">
        <v>22</v>
      </c>
      <c r="G217" s="43" t="s">
        <v>824</v>
      </c>
      <c r="H217" s="43" t="s">
        <v>825</v>
      </c>
      <c r="I217" s="44"/>
    </row>
    <row r="218" spans="2:9" x14ac:dyDescent="0.25">
      <c r="B218" s="41"/>
      <c r="C218" s="43" t="s">
        <v>308</v>
      </c>
      <c r="D218" s="43" t="s">
        <v>1086</v>
      </c>
      <c r="E218" s="43" t="s">
        <v>823</v>
      </c>
      <c r="F218" s="48" t="s">
        <v>22</v>
      </c>
      <c r="G218" s="43" t="s">
        <v>824</v>
      </c>
      <c r="H218" s="43" t="s">
        <v>825</v>
      </c>
      <c r="I218" s="44"/>
    </row>
    <row r="219" spans="2:9" x14ac:dyDescent="0.25">
      <c r="B219" s="41"/>
      <c r="C219" s="43" t="s">
        <v>310</v>
      </c>
      <c r="D219" s="43" t="s">
        <v>1087</v>
      </c>
      <c r="E219" s="43" t="s">
        <v>823</v>
      </c>
      <c r="F219" s="48" t="s">
        <v>22</v>
      </c>
      <c r="G219" s="43" t="s">
        <v>824</v>
      </c>
      <c r="H219" s="43" t="s">
        <v>825</v>
      </c>
      <c r="I219" s="44"/>
    </row>
    <row r="220" spans="2:9" x14ac:dyDescent="0.25">
      <c r="B220" s="41"/>
      <c r="C220" s="43" t="s">
        <v>312</v>
      </c>
      <c r="D220" s="43" t="s">
        <v>1088</v>
      </c>
      <c r="E220" s="43" t="s">
        <v>823</v>
      </c>
      <c r="F220" s="49" t="s">
        <v>36</v>
      </c>
      <c r="G220" s="43" t="s">
        <v>824</v>
      </c>
      <c r="H220" s="43" t="s">
        <v>825</v>
      </c>
      <c r="I220" s="44"/>
    </row>
    <row r="221" spans="2:9" x14ac:dyDescent="0.25">
      <c r="B221" s="41"/>
      <c r="C221" s="43" t="s">
        <v>313</v>
      </c>
      <c r="D221" s="43" t="s">
        <v>1089</v>
      </c>
      <c r="E221" s="43" t="s">
        <v>823</v>
      </c>
      <c r="F221" s="48" t="s">
        <v>22</v>
      </c>
      <c r="G221" s="43" t="s">
        <v>824</v>
      </c>
      <c r="H221" s="43" t="s">
        <v>825</v>
      </c>
      <c r="I221" s="44"/>
    </row>
    <row r="222" spans="2:9" x14ac:dyDescent="0.25">
      <c r="B222" s="41"/>
      <c r="C222" s="43" t="s">
        <v>314</v>
      </c>
      <c r="D222" s="43" t="s">
        <v>1090</v>
      </c>
      <c r="E222" s="43" t="s">
        <v>823</v>
      </c>
      <c r="F222" s="48" t="s">
        <v>22</v>
      </c>
      <c r="G222" s="43" t="s">
        <v>824</v>
      </c>
      <c r="H222" s="43" t="s">
        <v>825</v>
      </c>
      <c r="I222" s="44"/>
    </row>
    <row r="223" spans="2:9" x14ac:dyDescent="0.25">
      <c r="B223" s="41"/>
      <c r="C223" s="43" t="s">
        <v>316</v>
      </c>
      <c r="D223" s="43" t="s">
        <v>1091</v>
      </c>
      <c r="E223" s="43" t="s">
        <v>823</v>
      </c>
      <c r="F223" s="48" t="s">
        <v>22</v>
      </c>
      <c r="G223" s="43" t="s">
        <v>824</v>
      </c>
      <c r="H223" s="43" t="s">
        <v>825</v>
      </c>
      <c r="I223" s="44"/>
    </row>
    <row r="224" spans="2:9" x14ac:dyDescent="0.25">
      <c r="B224" s="41"/>
      <c r="C224" s="43" t="s">
        <v>318</v>
      </c>
      <c r="D224" s="43" t="s">
        <v>1092</v>
      </c>
      <c r="E224" s="43" t="s">
        <v>823</v>
      </c>
      <c r="F224" s="48" t="s">
        <v>22</v>
      </c>
      <c r="G224" s="43" t="s">
        <v>824</v>
      </c>
      <c r="H224" s="43" t="s">
        <v>825</v>
      </c>
      <c r="I224" s="44"/>
    </row>
    <row r="225" spans="2:9" x14ac:dyDescent="0.25">
      <c r="B225" s="41"/>
      <c r="C225" s="43" t="s">
        <v>325</v>
      </c>
      <c r="D225" s="43" t="s">
        <v>1093</v>
      </c>
      <c r="E225" s="43" t="s">
        <v>823</v>
      </c>
      <c r="F225" s="48" t="s">
        <v>22</v>
      </c>
      <c r="G225" s="43" t="s">
        <v>824</v>
      </c>
      <c r="H225" s="43" t="s">
        <v>825</v>
      </c>
      <c r="I225" s="44"/>
    </row>
    <row r="226" spans="2:9" x14ac:dyDescent="0.25">
      <c r="B226" s="41"/>
      <c r="C226" s="43" t="s">
        <v>327</v>
      </c>
      <c r="D226" s="43" t="s">
        <v>1094</v>
      </c>
      <c r="E226" s="43" t="s">
        <v>823</v>
      </c>
      <c r="F226" s="48" t="s">
        <v>22</v>
      </c>
      <c r="G226" s="43" t="s">
        <v>824</v>
      </c>
      <c r="H226" s="43" t="s">
        <v>825</v>
      </c>
      <c r="I226" s="44"/>
    </row>
    <row r="227" spans="2:9" x14ac:dyDescent="0.25">
      <c r="B227" s="41"/>
      <c r="C227" s="43" t="s">
        <v>330</v>
      </c>
      <c r="D227" s="43" t="s">
        <v>1095</v>
      </c>
      <c r="E227" s="43" t="s">
        <v>823</v>
      </c>
      <c r="F227" s="48" t="s">
        <v>22</v>
      </c>
      <c r="G227" s="43" t="s">
        <v>824</v>
      </c>
      <c r="H227" s="43" t="s">
        <v>825</v>
      </c>
      <c r="I227" s="44"/>
    </row>
    <row r="228" spans="2:9" x14ac:dyDescent="0.25">
      <c r="B228" s="41"/>
      <c r="C228" s="43" t="s">
        <v>331</v>
      </c>
      <c r="D228" s="43" t="s">
        <v>1096</v>
      </c>
      <c r="E228" s="43" t="s">
        <v>823</v>
      </c>
      <c r="F228" s="49" t="s">
        <v>36</v>
      </c>
      <c r="G228" s="43" t="s">
        <v>824</v>
      </c>
      <c r="H228" s="43" t="s">
        <v>825</v>
      </c>
      <c r="I228" s="44"/>
    </row>
    <row r="229" spans="2:9" x14ac:dyDescent="0.25">
      <c r="B229" s="41"/>
      <c r="C229" s="43" t="s">
        <v>1097</v>
      </c>
      <c r="D229" s="43" t="s">
        <v>1098</v>
      </c>
      <c r="E229" s="43" t="s">
        <v>831</v>
      </c>
      <c r="F229" s="48" t="s">
        <v>22</v>
      </c>
      <c r="G229" s="43" t="s">
        <v>824</v>
      </c>
      <c r="H229" s="43" t="s">
        <v>825</v>
      </c>
      <c r="I229" s="44"/>
    </row>
    <row r="230" spans="2:9" x14ac:dyDescent="0.25">
      <c r="B230" s="41"/>
      <c r="C230" s="43" t="s">
        <v>1099</v>
      </c>
      <c r="D230" s="43" t="s">
        <v>1100</v>
      </c>
      <c r="E230" s="43" t="s">
        <v>823</v>
      </c>
      <c r="F230" s="48" t="s">
        <v>22</v>
      </c>
      <c r="G230" s="43" t="s">
        <v>824</v>
      </c>
      <c r="H230" s="43" t="s">
        <v>825</v>
      </c>
      <c r="I230" s="44"/>
    </row>
    <row r="231" spans="2:9" x14ac:dyDescent="0.25">
      <c r="B231" s="41"/>
      <c r="C231" s="43" t="s">
        <v>332</v>
      </c>
      <c r="D231" s="43" t="s">
        <v>1101</v>
      </c>
      <c r="E231" s="43" t="s">
        <v>823</v>
      </c>
      <c r="F231" s="48" t="s">
        <v>22</v>
      </c>
      <c r="G231" s="43" t="s">
        <v>824</v>
      </c>
      <c r="H231" s="43" t="s">
        <v>825</v>
      </c>
      <c r="I231" s="44"/>
    </row>
    <row r="232" spans="2:9" x14ac:dyDescent="0.25">
      <c r="B232" s="41"/>
      <c r="C232" s="43" t="s">
        <v>333</v>
      </c>
      <c r="D232" s="43" t="s">
        <v>1102</v>
      </c>
      <c r="E232" s="43" t="s">
        <v>823</v>
      </c>
      <c r="F232" s="48" t="s">
        <v>22</v>
      </c>
      <c r="G232" s="43" t="s">
        <v>824</v>
      </c>
      <c r="H232" s="43" t="s">
        <v>825</v>
      </c>
      <c r="I232" s="44"/>
    </row>
    <row r="233" spans="2:9" x14ac:dyDescent="0.25">
      <c r="B233" s="41"/>
      <c r="C233" s="43" t="s">
        <v>335</v>
      </c>
      <c r="D233" s="43" t="s">
        <v>1103</v>
      </c>
      <c r="E233" s="43" t="s">
        <v>823</v>
      </c>
      <c r="F233" s="49" t="s">
        <v>36</v>
      </c>
      <c r="G233" s="43" t="s">
        <v>824</v>
      </c>
      <c r="H233" s="43" t="s">
        <v>825</v>
      </c>
      <c r="I233" s="44"/>
    </row>
    <row r="234" spans="2:9" x14ac:dyDescent="0.25">
      <c r="B234" s="41"/>
      <c r="C234" s="43" t="s">
        <v>336</v>
      </c>
      <c r="D234" s="43" t="s">
        <v>1104</v>
      </c>
      <c r="E234" s="43" t="s">
        <v>823</v>
      </c>
      <c r="F234" s="48" t="s">
        <v>22</v>
      </c>
      <c r="G234" s="43" t="s">
        <v>824</v>
      </c>
      <c r="H234" s="43" t="s">
        <v>825</v>
      </c>
      <c r="I234" s="44"/>
    </row>
    <row r="235" spans="2:9" x14ac:dyDescent="0.25">
      <c r="B235" s="41"/>
      <c r="C235" s="43" t="s">
        <v>337</v>
      </c>
      <c r="D235" s="43" t="s">
        <v>1105</v>
      </c>
      <c r="E235" s="43" t="s">
        <v>823</v>
      </c>
      <c r="F235" s="48" t="s">
        <v>22</v>
      </c>
      <c r="G235" s="43" t="s">
        <v>824</v>
      </c>
      <c r="H235" s="43" t="s">
        <v>825</v>
      </c>
      <c r="I235" s="44"/>
    </row>
    <row r="236" spans="2:9" x14ac:dyDescent="0.25">
      <c r="B236" s="41"/>
      <c r="C236" s="43" t="s">
        <v>338</v>
      </c>
      <c r="D236" s="43" t="s">
        <v>1106</v>
      </c>
      <c r="E236" s="43" t="s">
        <v>823</v>
      </c>
      <c r="F236" s="48" t="s">
        <v>22</v>
      </c>
      <c r="G236" s="43" t="s">
        <v>824</v>
      </c>
      <c r="H236" s="43" t="s">
        <v>825</v>
      </c>
      <c r="I236" s="44"/>
    </row>
    <row r="237" spans="2:9" x14ac:dyDescent="0.25">
      <c r="B237" s="41"/>
      <c r="C237" s="43" t="s">
        <v>339</v>
      </c>
      <c r="D237" s="43" t="s">
        <v>1107</v>
      </c>
      <c r="E237" s="43" t="s">
        <v>823</v>
      </c>
      <c r="F237" s="48" t="s">
        <v>22</v>
      </c>
      <c r="G237" s="43" t="s">
        <v>824</v>
      </c>
      <c r="H237" s="43" t="s">
        <v>825</v>
      </c>
      <c r="I237" s="44"/>
    </row>
    <row r="238" spans="2:9" x14ac:dyDescent="0.25">
      <c r="B238" s="41"/>
      <c r="C238" s="43" t="s">
        <v>340</v>
      </c>
      <c r="D238" s="43" t="s">
        <v>1108</v>
      </c>
      <c r="E238" s="43" t="s">
        <v>823</v>
      </c>
      <c r="F238" s="48" t="s">
        <v>22</v>
      </c>
      <c r="G238" s="43" t="s">
        <v>824</v>
      </c>
      <c r="H238" s="43" t="s">
        <v>825</v>
      </c>
      <c r="I238" s="44"/>
    </row>
    <row r="239" spans="2:9" x14ac:dyDescent="0.25">
      <c r="B239" s="41"/>
      <c r="C239" s="43" t="s">
        <v>341</v>
      </c>
      <c r="D239" s="43" t="s">
        <v>1109</v>
      </c>
      <c r="E239" s="43" t="s">
        <v>823</v>
      </c>
      <c r="F239" s="48" t="s">
        <v>22</v>
      </c>
      <c r="G239" s="43" t="s">
        <v>824</v>
      </c>
      <c r="H239" s="43" t="s">
        <v>825</v>
      </c>
      <c r="I239" s="44"/>
    </row>
    <row r="240" spans="2:9" x14ac:dyDescent="0.25">
      <c r="B240" s="41"/>
      <c r="C240" s="43" t="s">
        <v>342</v>
      </c>
      <c r="D240" s="43" t="s">
        <v>1110</v>
      </c>
      <c r="E240" s="43" t="s">
        <v>823</v>
      </c>
      <c r="F240" s="48" t="s">
        <v>22</v>
      </c>
      <c r="G240" s="43" t="s">
        <v>824</v>
      </c>
      <c r="H240" s="43" t="s">
        <v>825</v>
      </c>
      <c r="I240" s="44"/>
    </row>
    <row r="241" spans="2:9" x14ac:dyDescent="0.25">
      <c r="B241" s="41"/>
      <c r="C241" s="43" t="s">
        <v>343</v>
      </c>
      <c r="D241" s="43" t="s">
        <v>1111</v>
      </c>
      <c r="E241" s="43" t="s">
        <v>823</v>
      </c>
      <c r="F241" s="50" t="s">
        <v>47</v>
      </c>
      <c r="G241" s="43" t="s">
        <v>824</v>
      </c>
      <c r="H241" s="43" t="s">
        <v>825</v>
      </c>
      <c r="I241" s="44"/>
    </row>
    <row r="242" spans="2:9" x14ac:dyDescent="0.25">
      <c r="B242" s="41"/>
      <c r="C242" s="43" t="s">
        <v>344</v>
      </c>
      <c r="D242" s="43" t="s">
        <v>1112</v>
      </c>
      <c r="E242" s="43" t="s">
        <v>823</v>
      </c>
      <c r="F242" s="48" t="s">
        <v>22</v>
      </c>
      <c r="G242" s="43" t="s">
        <v>824</v>
      </c>
      <c r="H242" s="43" t="s">
        <v>825</v>
      </c>
      <c r="I242" s="44"/>
    </row>
    <row r="243" spans="2:9" x14ac:dyDescent="0.25">
      <c r="B243" s="41"/>
      <c r="C243" s="43" t="s">
        <v>346</v>
      </c>
      <c r="D243" s="43" t="s">
        <v>1113</v>
      </c>
      <c r="E243" s="43" t="s">
        <v>823</v>
      </c>
      <c r="F243" s="48" t="s">
        <v>22</v>
      </c>
      <c r="G243" s="43" t="s">
        <v>824</v>
      </c>
      <c r="H243" s="43" t="s">
        <v>825</v>
      </c>
      <c r="I243" s="44"/>
    </row>
    <row r="244" spans="2:9" x14ac:dyDescent="0.25">
      <c r="B244" s="41"/>
      <c r="C244" s="43" t="s">
        <v>348</v>
      </c>
      <c r="D244" s="43" t="s">
        <v>1114</v>
      </c>
      <c r="E244" s="43" t="s">
        <v>823</v>
      </c>
      <c r="F244" s="48" t="s">
        <v>22</v>
      </c>
      <c r="G244" s="43" t="s">
        <v>824</v>
      </c>
      <c r="H244" s="43" t="s">
        <v>825</v>
      </c>
      <c r="I244" s="44"/>
    </row>
    <row r="245" spans="2:9" x14ac:dyDescent="0.25">
      <c r="B245" s="41"/>
      <c r="C245" s="43" t="s">
        <v>1115</v>
      </c>
      <c r="D245" s="43" t="s">
        <v>1116</v>
      </c>
      <c r="E245" s="43" t="s">
        <v>823</v>
      </c>
      <c r="F245" s="48" t="s">
        <v>22</v>
      </c>
      <c r="G245" s="43" t="s">
        <v>824</v>
      </c>
      <c r="H245" s="43" t="s">
        <v>825</v>
      </c>
      <c r="I245" s="44"/>
    </row>
    <row r="246" spans="2:9" x14ac:dyDescent="0.25">
      <c r="B246" s="41"/>
      <c r="C246" s="43" t="s">
        <v>350</v>
      </c>
      <c r="D246" s="43" t="s">
        <v>1117</v>
      </c>
      <c r="E246" s="43" t="s">
        <v>823</v>
      </c>
      <c r="F246" s="48" t="s">
        <v>22</v>
      </c>
      <c r="G246" s="43" t="s">
        <v>824</v>
      </c>
      <c r="H246" s="43" t="s">
        <v>825</v>
      </c>
      <c r="I246" s="44"/>
    </row>
    <row r="247" spans="2:9" x14ac:dyDescent="0.25">
      <c r="B247" s="41"/>
      <c r="C247" s="43" t="s">
        <v>351</v>
      </c>
      <c r="D247" s="43" t="s">
        <v>1118</v>
      </c>
      <c r="E247" s="43" t="s">
        <v>823</v>
      </c>
      <c r="F247" s="48" t="s">
        <v>22</v>
      </c>
      <c r="G247" s="43" t="s">
        <v>824</v>
      </c>
      <c r="H247" s="43" t="s">
        <v>825</v>
      </c>
      <c r="I247" s="44"/>
    </row>
    <row r="248" spans="2:9" x14ac:dyDescent="0.25">
      <c r="B248" s="41"/>
      <c r="C248" s="43" t="s">
        <v>352</v>
      </c>
      <c r="D248" s="43" t="s">
        <v>1119</v>
      </c>
      <c r="E248" s="43" t="s">
        <v>823</v>
      </c>
      <c r="F248" s="49" t="s">
        <v>36</v>
      </c>
      <c r="G248" s="43" t="s">
        <v>824</v>
      </c>
      <c r="H248" s="43" t="s">
        <v>825</v>
      </c>
      <c r="I248" s="44"/>
    </row>
    <row r="249" spans="2:9" x14ac:dyDescent="0.25">
      <c r="B249" s="41"/>
      <c r="C249" s="43" t="s">
        <v>353</v>
      </c>
      <c r="D249" s="43" t="s">
        <v>1120</v>
      </c>
      <c r="E249" s="43" t="s">
        <v>823</v>
      </c>
      <c r="F249" s="48" t="s">
        <v>22</v>
      </c>
      <c r="G249" s="43" t="s">
        <v>824</v>
      </c>
      <c r="H249" s="43" t="s">
        <v>825</v>
      </c>
      <c r="I249" s="44"/>
    </row>
    <row r="250" spans="2:9" x14ac:dyDescent="0.25">
      <c r="B250" s="41"/>
      <c r="C250" s="43" t="s">
        <v>354</v>
      </c>
      <c r="D250" s="43" t="s">
        <v>1121</v>
      </c>
      <c r="E250" s="43" t="s">
        <v>823</v>
      </c>
      <c r="F250" s="48" t="s">
        <v>22</v>
      </c>
      <c r="G250" s="43" t="s">
        <v>824</v>
      </c>
      <c r="H250" s="43" t="s">
        <v>825</v>
      </c>
      <c r="I250" s="44"/>
    </row>
    <row r="251" spans="2:9" x14ac:dyDescent="0.25">
      <c r="B251" s="41"/>
      <c r="C251" s="43" t="s">
        <v>355</v>
      </c>
      <c r="D251" s="43" t="s">
        <v>1122</v>
      </c>
      <c r="E251" s="43" t="s">
        <v>823</v>
      </c>
      <c r="F251" s="48" t="s">
        <v>22</v>
      </c>
      <c r="G251" s="43" t="s">
        <v>824</v>
      </c>
      <c r="H251" s="43" t="s">
        <v>825</v>
      </c>
      <c r="I251" s="44"/>
    </row>
    <row r="252" spans="2:9" x14ac:dyDescent="0.25">
      <c r="B252" s="42"/>
      <c r="C252" s="45" t="s">
        <v>356</v>
      </c>
      <c r="D252" s="45" t="s">
        <v>1123</v>
      </c>
      <c r="E252" s="45" t="s">
        <v>823</v>
      </c>
      <c r="F252" s="54" t="s">
        <v>22</v>
      </c>
      <c r="G252" s="45" t="s">
        <v>824</v>
      </c>
      <c r="H252" s="45" t="s">
        <v>825</v>
      </c>
      <c r="I252" s="46"/>
    </row>
    <row r="253" spans="2:9" x14ac:dyDescent="0.25">
      <c r="B253" s="41"/>
      <c r="C253" s="43" t="s">
        <v>357</v>
      </c>
      <c r="D253" s="43" t="s">
        <v>1124</v>
      </c>
      <c r="E253" s="43" t="s">
        <v>823</v>
      </c>
      <c r="F253" s="48" t="s">
        <v>22</v>
      </c>
      <c r="G253" s="43" t="s">
        <v>824</v>
      </c>
      <c r="H253" s="43" t="s">
        <v>825</v>
      </c>
      <c r="I253" s="44"/>
    </row>
    <row r="254" spans="2:9" x14ac:dyDescent="0.25">
      <c r="B254" s="41"/>
      <c r="C254" s="43" t="s">
        <v>1125</v>
      </c>
      <c r="D254" s="43" t="s">
        <v>1126</v>
      </c>
      <c r="E254" s="43" t="s">
        <v>872</v>
      </c>
      <c r="F254" s="53" t="s">
        <v>222</v>
      </c>
      <c r="G254" s="43" t="s">
        <v>825</v>
      </c>
      <c r="H254" s="43" t="s">
        <v>825</v>
      </c>
      <c r="I254" s="44"/>
    </row>
    <row r="255" spans="2:9" x14ac:dyDescent="0.25">
      <c r="B255" s="41"/>
      <c r="C255" s="43" t="s">
        <v>358</v>
      </c>
      <c r="D255" s="43" t="s">
        <v>1127</v>
      </c>
      <c r="E255" s="43" t="s">
        <v>823</v>
      </c>
      <c r="F255" s="48" t="s">
        <v>22</v>
      </c>
      <c r="G255" s="43" t="s">
        <v>824</v>
      </c>
      <c r="H255" s="43" t="s">
        <v>825</v>
      </c>
      <c r="I255" s="44"/>
    </row>
    <row r="256" spans="2:9" x14ac:dyDescent="0.25">
      <c r="B256" s="41"/>
      <c r="C256" s="43" t="s">
        <v>362</v>
      </c>
      <c r="D256" s="43" t="s">
        <v>1128</v>
      </c>
      <c r="E256" s="43" t="s">
        <v>823</v>
      </c>
      <c r="F256" s="48" t="s">
        <v>22</v>
      </c>
      <c r="G256" s="43" t="s">
        <v>824</v>
      </c>
      <c r="H256" s="43" t="s">
        <v>825</v>
      </c>
      <c r="I256" s="44"/>
    </row>
    <row r="257" spans="2:9" x14ac:dyDescent="0.25">
      <c r="B257" s="41"/>
      <c r="C257" s="43" t="s">
        <v>363</v>
      </c>
      <c r="D257" s="43" t="s">
        <v>1129</v>
      </c>
      <c r="E257" s="43" t="s">
        <v>823</v>
      </c>
      <c r="F257" s="48" t="s">
        <v>22</v>
      </c>
      <c r="G257" s="43" t="s">
        <v>824</v>
      </c>
      <c r="H257" s="43" t="s">
        <v>825</v>
      </c>
      <c r="I257" s="44"/>
    </row>
    <row r="258" spans="2:9" x14ac:dyDescent="0.25">
      <c r="B258" s="41"/>
      <c r="C258" s="43" t="s">
        <v>364</v>
      </c>
      <c r="D258" s="43" t="s">
        <v>1130</v>
      </c>
      <c r="E258" s="43" t="s">
        <v>823</v>
      </c>
      <c r="F258" s="48" t="s">
        <v>22</v>
      </c>
      <c r="G258" s="43" t="s">
        <v>824</v>
      </c>
      <c r="H258" s="43" t="s">
        <v>825</v>
      </c>
      <c r="I258" s="44"/>
    </row>
    <row r="259" spans="2:9" x14ac:dyDescent="0.25">
      <c r="B259" s="41"/>
      <c r="C259" s="43" t="s">
        <v>365</v>
      </c>
      <c r="D259" s="43" t="s">
        <v>1131</v>
      </c>
      <c r="E259" s="43" t="s">
        <v>823</v>
      </c>
      <c r="F259" s="48" t="s">
        <v>22</v>
      </c>
      <c r="G259" s="43" t="s">
        <v>824</v>
      </c>
      <c r="H259" s="43" t="s">
        <v>825</v>
      </c>
      <c r="I259" s="44"/>
    </row>
    <row r="260" spans="2:9" x14ac:dyDescent="0.25">
      <c r="B260" s="41"/>
      <c r="C260" s="43" t="s">
        <v>367</v>
      </c>
      <c r="D260" s="43" t="s">
        <v>1132</v>
      </c>
      <c r="E260" s="43" t="s">
        <v>823</v>
      </c>
      <c r="F260" s="48" t="s">
        <v>22</v>
      </c>
      <c r="G260" s="43" t="s">
        <v>824</v>
      </c>
      <c r="H260" s="43" t="s">
        <v>825</v>
      </c>
      <c r="I260" s="44"/>
    </row>
    <row r="261" spans="2:9" x14ac:dyDescent="0.25">
      <c r="B261" s="41"/>
      <c r="C261" s="43" t="s">
        <v>370</v>
      </c>
      <c r="D261" s="43" t="s">
        <v>1133</v>
      </c>
      <c r="E261" s="43" t="s">
        <v>823</v>
      </c>
      <c r="F261" s="48" t="s">
        <v>22</v>
      </c>
      <c r="G261" s="43" t="s">
        <v>824</v>
      </c>
      <c r="H261" s="43" t="s">
        <v>825</v>
      </c>
      <c r="I261" s="44"/>
    </row>
    <row r="262" spans="2:9" x14ac:dyDescent="0.25">
      <c r="B262" s="41"/>
      <c r="C262" s="43" t="s">
        <v>372</v>
      </c>
      <c r="D262" s="43" t="s">
        <v>1134</v>
      </c>
      <c r="E262" s="43" t="s">
        <v>823</v>
      </c>
      <c r="F262" s="48" t="s">
        <v>22</v>
      </c>
      <c r="G262" s="43" t="s">
        <v>824</v>
      </c>
      <c r="H262" s="43" t="s">
        <v>825</v>
      </c>
      <c r="I262" s="44"/>
    </row>
    <row r="263" spans="2:9" x14ac:dyDescent="0.25">
      <c r="B263" s="41"/>
      <c r="C263" s="43" t="s">
        <v>374</v>
      </c>
      <c r="D263" s="43" t="s">
        <v>1135</v>
      </c>
      <c r="E263" s="43" t="s">
        <v>823</v>
      </c>
      <c r="F263" s="48" t="s">
        <v>22</v>
      </c>
      <c r="G263" s="43" t="s">
        <v>824</v>
      </c>
      <c r="H263" s="43" t="s">
        <v>825</v>
      </c>
      <c r="I263" s="44"/>
    </row>
    <row r="264" spans="2:9" x14ac:dyDescent="0.25">
      <c r="B264" s="41"/>
      <c r="C264" s="43" t="s">
        <v>1136</v>
      </c>
      <c r="D264" s="43" t="s">
        <v>1137</v>
      </c>
      <c r="E264" s="43" t="s">
        <v>823</v>
      </c>
      <c r="F264" s="48" t="s">
        <v>22</v>
      </c>
      <c r="G264" s="43" t="s">
        <v>824</v>
      </c>
      <c r="H264" s="43" t="s">
        <v>825</v>
      </c>
      <c r="I264" s="44"/>
    </row>
    <row r="265" spans="2:9" x14ac:dyDescent="0.25">
      <c r="B265" s="41"/>
      <c r="C265" s="43" t="s">
        <v>376</v>
      </c>
      <c r="D265" s="43" t="s">
        <v>1138</v>
      </c>
      <c r="E265" s="43" t="s">
        <v>823</v>
      </c>
      <c r="F265" s="48" t="s">
        <v>22</v>
      </c>
      <c r="G265" s="43" t="s">
        <v>824</v>
      </c>
      <c r="H265" s="43" t="s">
        <v>825</v>
      </c>
      <c r="I265" s="44"/>
    </row>
    <row r="266" spans="2:9" x14ac:dyDescent="0.25">
      <c r="B266" s="41"/>
      <c r="C266" s="43" t="s">
        <v>377</v>
      </c>
      <c r="D266" s="43" t="s">
        <v>1139</v>
      </c>
      <c r="E266" s="43" t="s">
        <v>823</v>
      </c>
      <c r="F266" s="48" t="s">
        <v>22</v>
      </c>
      <c r="G266" s="43" t="s">
        <v>824</v>
      </c>
      <c r="H266" s="43" t="s">
        <v>825</v>
      </c>
      <c r="I266" s="44"/>
    </row>
    <row r="267" spans="2:9" x14ac:dyDescent="0.25">
      <c r="B267" s="41"/>
      <c r="C267" s="43" t="s">
        <v>379</v>
      </c>
      <c r="D267" s="43" t="s">
        <v>1140</v>
      </c>
      <c r="E267" s="43" t="s">
        <v>823</v>
      </c>
      <c r="F267" s="48" t="s">
        <v>22</v>
      </c>
      <c r="G267" s="43" t="s">
        <v>824</v>
      </c>
      <c r="H267" s="43" t="s">
        <v>825</v>
      </c>
      <c r="I267" s="44"/>
    </row>
    <row r="268" spans="2:9" x14ac:dyDescent="0.25">
      <c r="B268" s="41"/>
      <c r="C268" s="43" t="s">
        <v>380</v>
      </c>
      <c r="D268" s="43" t="s">
        <v>1141</v>
      </c>
      <c r="E268" s="43" t="s">
        <v>823</v>
      </c>
      <c r="F268" s="48" t="s">
        <v>22</v>
      </c>
      <c r="G268" s="43" t="s">
        <v>824</v>
      </c>
      <c r="H268" s="43" t="s">
        <v>825</v>
      </c>
      <c r="I268" s="44"/>
    </row>
    <row r="269" spans="2:9" x14ac:dyDescent="0.25">
      <c r="B269" s="41"/>
      <c r="C269" s="43" t="s">
        <v>382</v>
      </c>
      <c r="D269" s="43" t="s">
        <v>1142</v>
      </c>
      <c r="E269" s="43" t="s">
        <v>823</v>
      </c>
      <c r="F269" s="48" t="s">
        <v>22</v>
      </c>
      <c r="G269" s="43" t="s">
        <v>824</v>
      </c>
      <c r="H269" s="43" t="s">
        <v>825</v>
      </c>
      <c r="I269" s="44"/>
    </row>
    <row r="270" spans="2:9" x14ac:dyDescent="0.25">
      <c r="B270" s="41"/>
      <c r="C270" s="43" t="s">
        <v>383</v>
      </c>
      <c r="D270" s="43" t="s">
        <v>1143</v>
      </c>
      <c r="E270" s="43" t="s">
        <v>823</v>
      </c>
      <c r="F270" s="48" t="s">
        <v>22</v>
      </c>
      <c r="G270" s="43" t="s">
        <v>824</v>
      </c>
      <c r="H270" s="43" t="s">
        <v>825</v>
      </c>
      <c r="I270" s="44"/>
    </row>
    <row r="271" spans="2:9" x14ac:dyDescent="0.25">
      <c r="B271" s="41"/>
      <c r="C271" s="43" t="s">
        <v>384</v>
      </c>
      <c r="D271" s="43" t="s">
        <v>1144</v>
      </c>
      <c r="E271" s="43" t="s">
        <v>823</v>
      </c>
      <c r="F271" s="52" t="s">
        <v>670</v>
      </c>
      <c r="G271" s="43" t="s">
        <v>824</v>
      </c>
      <c r="H271" s="43" t="s">
        <v>825</v>
      </c>
      <c r="I271" s="44"/>
    </row>
    <row r="272" spans="2:9" x14ac:dyDescent="0.25">
      <c r="B272" s="41"/>
      <c r="C272" s="43" t="s">
        <v>385</v>
      </c>
      <c r="D272" s="43" t="s">
        <v>1145</v>
      </c>
      <c r="E272" s="43" t="s">
        <v>823</v>
      </c>
      <c r="F272" s="49" t="s">
        <v>36</v>
      </c>
      <c r="G272" s="43" t="s">
        <v>824</v>
      </c>
      <c r="H272" s="43" t="s">
        <v>825</v>
      </c>
      <c r="I272" s="44"/>
    </row>
    <row r="273" spans="2:9" x14ac:dyDescent="0.25">
      <c r="B273" s="41"/>
      <c r="C273" s="43" t="s">
        <v>386</v>
      </c>
      <c r="D273" s="43" t="s">
        <v>1146</v>
      </c>
      <c r="E273" s="43" t="s">
        <v>823</v>
      </c>
      <c r="F273" s="48" t="s">
        <v>22</v>
      </c>
      <c r="G273" s="43" t="s">
        <v>824</v>
      </c>
      <c r="H273" s="43" t="s">
        <v>825</v>
      </c>
      <c r="I273" s="44"/>
    </row>
    <row r="274" spans="2:9" x14ac:dyDescent="0.25">
      <c r="B274" s="41"/>
      <c r="C274" s="43" t="s">
        <v>1147</v>
      </c>
      <c r="D274" s="43" t="s">
        <v>1148</v>
      </c>
      <c r="E274" s="43" t="s">
        <v>823</v>
      </c>
      <c r="F274" s="48" t="s">
        <v>22</v>
      </c>
      <c r="G274" s="43" t="s">
        <v>824</v>
      </c>
      <c r="H274" s="43" t="s">
        <v>825</v>
      </c>
      <c r="I274" s="44"/>
    </row>
    <row r="275" spans="2:9" x14ac:dyDescent="0.25">
      <c r="B275" s="41"/>
      <c r="C275" s="43" t="s">
        <v>387</v>
      </c>
      <c r="D275" s="43" t="s">
        <v>1149</v>
      </c>
      <c r="E275" s="43" t="s">
        <v>823</v>
      </c>
      <c r="F275" s="49" t="s">
        <v>36</v>
      </c>
      <c r="G275" s="43" t="s">
        <v>824</v>
      </c>
      <c r="H275" s="43" t="s">
        <v>825</v>
      </c>
      <c r="I275" s="44"/>
    </row>
    <row r="276" spans="2:9" x14ac:dyDescent="0.25">
      <c r="B276" s="41"/>
      <c r="C276" s="43" t="s">
        <v>388</v>
      </c>
      <c r="D276" s="43" t="s">
        <v>1150</v>
      </c>
      <c r="E276" s="43" t="s">
        <v>823</v>
      </c>
      <c r="F276" s="48" t="s">
        <v>22</v>
      </c>
      <c r="G276" s="43" t="s">
        <v>824</v>
      </c>
      <c r="H276" s="43" t="s">
        <v>825</v>
      </c>
      <c r="I276" s="44"/>
    </row>
    <row r="277" spans="2:9" x14ac:dyDescent="0.25">
      <c r="B277" s="41"/>
      <c r="C277" s="43" t="s">
        <v>390</v>
      </c>
      <c r="D277" s="43" t="s">
        <v>1151</v>
      </c>
      <c r="E277" s="43" t="s">
        <v>823</v>
      </c>
      <c r="F277" s="48" t="s">
        <v>22</v>
      </c>
      <c r="G277" s="43" t="s">
        <v>824</v>
      </c>
      <c r="H277" s="43" t="s">
        <v>825</v>
      </c>
      <c r="I277" s="44"/>
    </row>
    <row r="278" spans="2:9" x14ac:dyDescent="0.25">
      <c r="B278" s="41"/>
      <c r="C278" s="43" t="s">
        <v>392</v>
      </c>
      <c r="D278" s="43" t="s">
        <v>1152</v>
      </c>
      <c r="E278" s="43" t="s">
        <v>823</v>
      </c>
      <c r="F278" s="48" t="s">
        <v>22</v>
      </c>
      <c r="G278" s="43" t="s">
        <v>824</v>
      </c>
      <c r="H278" s="43" t="s">
        <v>825</v>
      </c>
      <c r="I278" s="44"/>
    </row>
    <row r="279" spans="2:9" x14ac:dyDescent="0.25">
      <c r="B279" s="41"/>
      <c r="C279" s="43" t="s">
        <v>394</v>
      </c>
      <c r="D279" s="43" t="s">
        <v>1153</v>
      </c>
      <c r="E279" s="43" t="s">
        <v>823</v>
      </c>
      <c r="F279" s="50" t="s">
        <v>47</v>
      </c>
      <c r="G279" s="43" t="s">
        <v>824</v>
      </c>
      <c r="H279" s="43" t="s">
        <v>825</v>
      </c>
      <c r="I279" s="44"/>
    </row>
    <row r="280" spans="2:9" x14ac:dyDescent="0.25">
      <c r="B280" s="41"/>
      <c r="C280" s="43" t="s">
        <v>395</v>
      </c>
      <c r="D280" s="43" t="s">
        <v>1154</v>
      </c>
      <c r="E280" s="43" t="s">
        <v>823</v>
      </c>
      <c r="F280" s="52" t="s">
        <v>263</v>
      </c>
      <c r="G280" s="43" t="s">
        <v>824</v>
      </c>
      <c r="H280" s="43" t="s">
        <v>825</v>
      </c>
      <c r="I280" s="44"/>
    </row>
    <row r="281" spans="2:9" x14ac:dyDescent="0.25">
      <c r="B281" s="41"/>
      <c r="C281" s="43" t="s">
        <v>396</v>
      </c>
      <c r="D281" s="43" t="s">
        <v>1155</v>
      </c>
      <c r="E281" s="43" t="s">
        <v>823</v>
      </c>
      <c r="F281" s="48" t="s">
        <v>22</v>
      </c>
      <c r="G281" s="43" t="s">
        <v>824</v>
      </c>
      <c r="H281" s="43" t="s">
        <v>825</v>
      </c>
      <c r="I281" s="44"/>
    </row>
    <row r="282" spans="2:9" x14ac:dyDescent="0.25">
      <c r="B282" s="41"/>
      <c r="C282" s="43" t="s">
        <v>397</v>
      </c>
      <c r="D282" s="43" t="s">
        <v>1156</v>
      </c>
      <c r="E282" s="43" t="s">
        <v>823</v>
      </c>
      <c r="F282" s="48" t="s">
        <v>22</v>
      </c>
      <c r="G282" s="43" t="s">
        <v>824</v>
      </c>
      <c r="H282" s="43" t="s">
        <v>825</v>
      </c>
      <c r="I282" s="44"/>
    </row>
    <row r="283" spans="2:9" x14ac:dyDescent="0.25">
      <c r="B283" s="41"/>
      <c r="C283" s="43" t="s">
        <v>398</v>
      </c>
      <c r="D283" s="43" t="s">
        <v>1157</v>
      </c>
      <c r="E283" s="43" t="s">
        <v>823</v>
      </c>
      <c r="F283" s="48" t="s">
        <v>22</v>
      </c>
      <c r="G283" s="43" t="s">
        <v>824</v>
      </c>
      <c r="H283" s="43" t="s">
        <v>825</v>
      </c>
      <c r="I283" s="44"/>
    </row>
    <row r="284" spans="2:9" x14ac:dyDescent="0.25">
      <c r="B284" s="41"/>
      <c r="C284" s="43" t="s">
        <v>400</v>
      </c>
      <c r="D284" s="43" t="s">
        <v>1158</v>
      </c>
      <c r="E284" s="43" t="s">
        <v>823</v>
      </c>
      <c r="F284" s="48" t="s">
        <v>22</v>
      </c>
      <c r="G284" s="43" t="s">
        <v>824</v>
      </c>
      <c r="H284" s="43" t="s">
        <v>825</v>
      </c>
      <c r="I284" s="44"/>
    </row>
    <row r="285" spans="2:9" x14ac:dyDescent="0.25">
      <c r="B285" s="41"/>
      <c r="C285" s="43" t="s">
        <v>402</v>
      </c>
      <c r="D285" s="43" t="s">
        <v>1159</v>
      </c>
      <c r="E285" s="43" t="s">
        <v>823</v>
      </c>
      <c r="F285" s="48" t="s">
        <v>22</v>
      </c>
      <c r="G285" s="43" t="s">
        <v>824</v>
      </c>
      <c r="H285" s="43" t="s">
        <v>825</v>
      </c>
      <c r="I285" s="44"/>
    </row>
    <row r="286" spans="2:9" x14ac:dyDescent="0.25">
      <c r="B286" s="41"/>
      <c r="C286" s="43" t="s">
        <v>404</v>
      </c>
      <c r="D286" s="43" t="s">
        <v>1160</v>
      </c>
      <c r="E286" s="43" t="s">
        <v>823</v>
      </c>
      <c r="F286" s="48" t="s">
        <v>22</v>
      </c>
      <c r="G286" s="43" t="s">
        <v>824</v>
      </c>
      <c r="H286" s="43" t="s">
        <v>825</v>
      </c>
      <c r="I286" s="44"/>
    </row>
    <row r="287" spans="2:9" x14ac:dyDescent="0.25">
      <c r="B287" s="41"/>
      <c r="C287" s="43" t="s">
        <v>408</v>
      </c>
      <c r="D287" s="43" t="s">
        <v>1161</v>
      </c>
      <c r="E287" s="43" t="s">
        <v>823</v>
      </c>
      <c r="F287" s="48" t="s">
        <v>22</v>
      </c>
      <c r="G287" s="43" t="s">
        <v>824</v>
      </c>
      <c r="H287" s="43" t="s">
        <v>825</v>
      </c>
      <c r="I287" s="44"/>
    </row>
    <row r="288" spans="2:9" x14ac:dyDescent="0.25">
      <c r="B288" s="41"/>
      <c r="C288" s="43" t="s">
        <v>410</v>
      </c>
      <c r="D288" s="43" t="s">
        <v>1162</v>
      </c>
      <c r="E288" s="43" t="s">
        <v>823</v>
      </c>
      <c r="F288" s="48" t="s">
        <v>22</v>
      </c>
      <c r="G288" s="43" t="s">
        <v>824</v>
      </c>
      <c r="H288" s="43" t="s">
        <v>825</v>
      </c>
      <c r="I288" s="44"/>
    </row>
    <row r="289" spans="2:9" x14ac:dyDescent="0.25">
      <c r="B289" s="41"/>
      <c r="C289" s="43" t="s">
        <v>411</v>
      </c>
      <c r="D289" s="43" t="s">
        <v>1163</v>
      </c>
      <c r="E289" s="43" t="s">
        <v>823</v>
      </c>
      <c r="F289" s="48" t="s">
        <v>22</v>
      </c>
      <c r="G289" s="43" t="s">
        <v>824</v>
      </c>
      <c r="H289" s="43" t="s">
        <v>825</v>
      </c>
      <c r="I289" s="44"/>
    </row>
    <row r="290" spans="2:9" x14ac:dyDescent="0.25">
      <c r="B290" s="41"/>
      <c r="C290" s="43" t="s">
        <v>413</v>
      </c>
      <c r="D290" s="43" t="s">
        <v>1164</v>
      </c>
      <c r="E290" s="43" t="s">
        <v>823</v>
      </c>
      <c r="F290" s="48" t="s">
        <v>22</v>
      </c>
      <c r="G290" s="43" t="s">
        <v>824</v>
      </c>
      <c r="H290" s="43" t="s">
        <v>825</v>
      </c>
      <c r="I290" s="44"/>
    </row>
    <row r="291" spans="2:9" x14ac:dyDescent="0.25">
      <c r="B291" s="41"/>
      <c r="C291" s="43" t="s">
        <v>1165</v>
      </c>
      <c r="D291" s="43" t="s">
        <v>1166</v>
      </c>
      <c r="E291" s="43" t="s">
        <v>823</v>
      </c>
      <c r="F291" s="48" t="s">
        <v>22</v>
      </c>
      <c r="G291" s="43" t="s">
        <v>824</v>
      </c>
      <c r="H291" s="43" t="s">
        <v>825</v>
      </c>
      <c r="I291" s="44"/>
    </row>
    <row r="292" spans="2:9" x14ac:dyDescent="0.25">
      <c r="B292" s="41"/>
      <c r="C292" s="43" t="s">
        <v>415</v>
      </c>
      <c r="D292" s="43" t="s">
        <v>1167</v>
      </c>
      <c r="E292" s="43" t="s">
        <v>823</v>
      </c>
      <c r="F292" s="49" t="s">
        <v>36</v>
      </c>
      <c r="G292" s="43" t="s">
        <v>824</v>
      </c>
      <c r="H292" s="43" t="s">
        <v>825</v>
      </c>
      <c r="I292" s="44"/>
    </row>
    <row r="293" spans="2:9" x14ac:dyDescent="0.25">
      <c r="B293" s="41"/>
      <c r="C293" s="43" t="s">
        <v>416</v>
      </c>
      <c r="D293" s="43" t="s">
        <v>1168</v>
      </c>
      <c r="E293" s="43" t="s">
        <v>823</v>
      </c>
      <c r="F293" s="48" t="s">
        <v>22</v>
      </c>
      <c r="G293" s="43" t="s">
        <v>824</v>
      </c>
      <c r="H293" s="43" t="s">
        <v>825</v>
      </c>
      <c r="I293" s="44"/>
    </row>
    <row r="294" spans="2:9" x14ac:dyDescent="0.25">
      <c r="B294" s="41"/>
      <c r="C294" s="43" t="s">
        <v>418</v>
      </c>
      <c r="D294" s="43" t="s">
        <v>1169</v>
      </c>
      <c r="E294" s="43" t="s">
        <v>823</v>
      </c>
      <c r="F294" s="48" t="s">
        <v>22</v>
      </c>
      <c r="G294" s="43" t="s">
        <v>824</v>
      </c>
      <c r="H294" s="43" t="s">
        <v>825</v>
      </c>
      <c r="I294" s="44"/>
    </row>
    <row r="295" spans="2:9" x14ac:dyDescent="0.25">
      <c r="B295" s="41"/>
      <c r="C295" s="43" t="s">
        <v>420</v>
      </c>
      <c r="D295" s="43" t="s">
        <v>1170</v>
      </c>
      <c r="E295" s="43" t="s">
        <v>823</v>
      </c>
      <c r="F295" s="48" t="s">
        <v>22</v>
      </c>
      <c r="G295" s="43" t="s">
        <v>824</v>
      </c>
      <c r="H295" s="43" t="s">
        <v>825</v>
      </c>
      <c r="I295" s="44"/>
    </row>
    <row r="296" spans="2:9" x14ac:dyDescent="0.25">
      <c r="B296" s="41"/>
      <c r="C296" s="43" t="s">
        <v>422</v>
      </c>
      <c r="D296" s="43" t="s">
        <v>1171</v>
      </c>
      <c r="E296" s="43" t="s">
        <v>823</v>
      </c>
      <c r="F296" s="48" t="s">
        <v>22</v>
      </c>
      <c r="G296" s="43" t="s">
        <v>824</v>
      </c>
      <c r="H296" s="43" t="s">
        <v>825</v>
      </c>
      <c r="I296" s="44"/>
    </row>
    <row r="297" spans="2:9" x14ac:dyDescent="0.25">
      <c r="B297" s="41"/>
      <c r="C297" s="43" t="s">
        <v>1172</v>
      </c>
      <c r="D297" s="43" t="s">
        <v>1173</v>
      </c>
      <c r="E297" s="43" t="s">
        <v>823</v>
      </c>
      <c r="F297" s="48" t="s">
        <v>22</v>
      </c>
      <c r="G297" s="43" t="s">
        <v>824</v>
      </c>
      <c r="H297" s="43" t="s">
        <v>825</v>
      </c>
      <c r="I297" s="44"/>
    </row>
    <row r="298" spans="2:9" x14ac:dyDescent="0.25">
      <c r="B298" s="41"/>
      <c r="C298" s="43" t="s">
        <v>1174</v>
      </c>
      <c r="D298" s="43" t="s">
        <v>1175</v>
      </c>
      <c r="E298" s="43" t="s">
        <v>823</v>
      </c>
      <c r="F298" s="48" t="s">
        <v>22</v>
      </c>
      <c r="G298" s="43" t="s">
        <v>824</v>
      </c>
      <c r="H298" s="43" t="s">
        <v>825</v>
      </c>
      <c r="I298" s="44"/>
    </row>
    <row r="299" spans="2:9" x14ac:dyDescent="0.25">
      <c r="B299" s="41"/>
      <c r="C299" s="43" t="s">
        <v>424</v>
      </c>
      <c r="D299" s="43" t="s">
        <v>1176</v>
      </c>
      <c r="E299" s="43" t="s">
        <v>823</v>
      </c>
      <c r="F299" s="50" t="s">
        <v>47</v>
      </c>
      <c r="G299" s="43" t="s">
        <v>824</v>
      </c>
      <c r="H299" s="43" t="s">
        <v>825</v>
      </c>
      <c r="I299" s="44"/>
    </row>
    <row r="300" spans="2:9" x14ac:dyDescent="0.25">
      <c r="B300" s="41"/>
      <c r="C300" s="43" t="s">
        <v>425</v>
      </c>
      <c r="D300" s="43" t="s">
        <v>1177</v>
      </c>
      <c r="E300" s="43" t="s">
        <v>823</v>
      </c>
      <c r="F300" s="48" t="s">
        <v>22</v>
      </c>
      <c r="G300" s="43" t="s">
        <v>824</v>
      </c>
      <c r="H300" s="43" t="s">
        <v>825</v>
      </c>
      <c r="I300" s="44"/>
    </row>
    <row r="301" spans="2:9" x14ac:dyDescent="0.25">
      <c r="B301" s="42"/>
      <c r="C301" s="45" t="s">
        <v>1178</v>
      </c>
      <c r="D301" s="45" t="s">
        <v>1179</v>
      </c>
      <c r="E301" s="45" t="s">
        <v>823</v>
      </c>
      <c r="F301" s="54" t="s">
        <v>22</v>
      </c>
      <c r="G301" s="45" t="s">
        <v>824</v>
      </c>
      <c r="H301" s="45" t="s">
        <v>825</v>
      </c>
      <c r="I301" s="46"/>
    </row>
    <row r="302" spans="2:9" x14ac:dyDescent="0.25">
      <c r="B302" s="41"/>
      <c r="C302" s="43" t="s">
        <v>426</v>
      </c>
      <c r="D302" s="43" t="s">
        <v>1180</v>
      </c>
      <c r="E302" s="43" t="s">
        <v>823</v>
      </c>
      <c r="F302" s="48" t="s">
        <v>22</v>
      </c>
      <c r="G302" s="43" t="s">
        <v>824</v>
      </c>
      <c r="H302" s="43" t="s">
        <v>825</v>
      </c>
      <c r="I302" s="44"/>
    </row>
    <row r="303" spans="2:9" x14ac:dyDescent="0.25">
      <c r="B303" s="41"/>
      <c r="C303" s="43" t="s">
        <v>428</v>
      </c>
      <c r="D303" s="43" t="s">
        <v>1181</v>
      </c>
      <c r="E303" s="43" t="s">
        <v>823</v>
      </c>
      <c r="F303" s="49" t="s">
        <v>36</v>
      </c>
      <c r="G303" s="43" t="s">
        <v>824</v>
      </c>
      <c r="H303" s="43" t="s">
        <v>825</v>
      </c>
      <c r="I303" s="44"/>
    </row>
    <row r="304" spans="2:9" x14ac:dyDescent="0.25">
      <c r="B304" s="41"/>
      <c r="C304" s="43" t="s">
        <v>429</v>
      </c>
      <c r="D304" s="43" t="s">
        <v>1182</v>
      </c>
      <c r="E304" s="43" t="s">
        <v>823</v>
      </c>
      <c r="F304" s="48" t="s">
        <v>22</v>
      </c>
      <c r="G304" s="43" t="s">
        <v>824</v>
      </c>
      <c r="H304" s="43" t="s">
        <v>825</v>
      </c>
      <c r="I304" s="44"/>
    </row>
    <row r="305" spans="2:9" x14ac:dyDescent="0.25">
      <c r="B305" s="41"/>
      <c r="C305" s="43" t="s">
        <v>433</v>
      </c>
      <c r="D305" s="43" t="s">
        <v>1183</v>
      </c>
      <c r="E305" s="43" t="s">
        <v>823</v>
      </c>
      <c r="F305" s="48" t="s">
        <v>22</v>
      </c>
      <c r="G305" s="43" t="s">
        <v>824</v>
      </c>
      <c r="H305" s="43" t="s">
        <v>825</v>
      </c>
      <c r="I305" s="44"/>
    </row>
    <row r="306" spans="2:9" x14ac:dyDescent="0.25">
      <c r="B306" s="41"/>
      <c r="C306" s="43" t="s">
        <v>435</v>
      </c>
      <c r="D306" s="43" t="s">
        <v>1184</v>
      </c>
      <c r="E306" s="43" t="s">
        <v>823</v>
      </c>
      <c r="F306" s="48" t="s">
        <v>22</v>
      </c>
      <c r="G306" s="43" t="s">
        <v>824</v>
      </c>
      <c r="H306" s="43" t="s">
        <v>825</v>
      </c>
      <c r="I306" s="44"/>
    </row>
    <row r="307" spans="2:9" x14ac:dyDescent="0.25">
      <c r="B307" s="41"/>
      <c r="C307" s="43" t="s">
        <v>436</v>
      </c>
      <c r="D307" s="43" t="s">
        <v>1185</v>
      </c>
      <c r="E307" s="43" t="s">
        <v>823</v>
      </c>
      <c r="F307" s="49" t="s">
        <v>36</v>
      </c>
      <c r="G307" s="43" t="s">
        <v>824</v>
      </c>
      <c r="H307" s="43" t="s">
        <v>825</v>
      </c>
      <c r="I307" s="44"/>
    </row>
    <row r="308" spans="2:9" x14ac:dyDescent="0.25">
      <c r="B308" s="41"/>
      <c r="C308" s="43" t="s">
        <v>437</v>
      </c>
      <c r="D308" s="43" t="s">
        <v>1186</v>
      </c>
      <c r="E308" s="43" t="s">
        <v>823</v>
      </c>
      <c r="F308" s="48" t="s">
        <v>22</v>
      </c>
      <c r="G308" s="43" t="s">
        <v>824</v>
      </c>
      <c r="H308" s="43" t="s">
        <v>825</v>
      </c>
      <c r="I308" s="44"/>
    </row>
    <row r="309" spans="2:9" x14ac:dyDescent="0.25">
      <c r="B309" s="41"/>
      <c r="C309" s="43" t="s">
        <v>1187</v>
      </c>
      <c r="D309" s="43" t="s">
        <v>1188</v>
      </c>
      <c r="E309" s="43" t="s">
        <v>823</v>
      </c>
      <c r="F309" s="48" t="s">
        <v>22</v>
      </c>
      <c r="G309" s="43" t="s">
        <v>824</v>
      </c>
      <c r="H309" s="43" t="s">
        <v>825</v>
      </c>
      <c r="I309" s="44"/>
    </row>
    <row r="310" spans="2:9" x14ac:dyDescent="0.25">
      <c r="B310" s="41"/>
      <c r="C310" s="43" t="s">
        <v>440</v>
      </c>
      <c r="D310" s="43" t="s">
        <v>1189</v>
      </c>
      <c r="E310" s="43" t="s">
        <v>823</v>
      </c>
      <c r="F310" s="49" t="s">
        <v>36</v>
      </c>
      <c r="G310" s="43" t="s">
        <v>824</v>
      </c>
      <c r="H310" s="43" t="s">
        <v>825</v>
      </c>
      <c r="I310" s="44"/>
    </row>
    <row r="311" spans="2:9" x14ac:dyDescent="0.25">
      <c r="B311" s="41"/>
      <c r="C311" s="43" t="s">
        <v>441</v>
      </c>
      <c r="D311" s="43" t="s">
        <v>1190</v>
      </c>
      <c r="E311" s="43" t="s">
        <v>823</v>
      </c>
      <c r="F311" s="48" t="s">
        <v>22</v>
      </c>
      <c r="G311" s="43" t="s">
        <v>824</v>
      </c>
      <c r="H311" s="43" t="s">
        <v>825</v>
      </c>
      <c r="I311" s="44"/>
    </row>
    <row r="312" spans="2:9" x14ac:dyDescent="0.25">
      <c r="B312" s="41"/>
      <c r="C312" s="43" t="s">
        <v>443</v>
      </c>
      <c r="D312" s="43" t="s">
        <v>1191</v>
      </c>
      <c r="E312" s="43" t="s">
        <v>823</v>
      </c>
      <c r="F312" s="48" t="s">
        <v>22</v>
      </c>
      <c r="G312" s="43" t="s">
        <v>824</v>
      </c>
      <c r="H312" s="43" t="s">
        <v>825</v>
      </c>
      <c r="I312" s="44"/>
    </row>
    <row r="313" spans="2:9" x14ac:dyDescent="0.25">
      <c r="B313" s="41"/>
      <c r="C313" s="43" t="s">
        <v>445</v>
      </c>
      <c r="D313" s="43" t="s">
        <v>1192</v>
      </c>
      <c r="E313" s="43" t="s">
        <v>823</v>
      </c>
      <c r="F313" s="48" t="s">
        <v>22</v>
      </c>
      <c r="G313" s="43" t="s">
        <v>824</v>
      </c>
      <c r="H313" s="43" t="s">
        <v>825</v>
      </c>
      <c r="I313" s="44"/>
    </row>
    <row r="314" spans="2:9" x14ac:dyDescent="0.25">
      <c r="B314" s="41"/>
      <c r="C314" s="43" t="s">
        <v>446</v>
      </c>
      <c r="D314" s="43" t="s">
        <v>1193</v>
      </c>
      <c r="E314" s="43" t="s">
        <v>823</v>
      </c>
      <c r="F314" s="48" t="s">
        <v>22</v>
      </c>
      <c r="G314" s="43" t="s">
        <v>824</v>
      </c>
      <c r="H314" s="43" t="s">
        <v>825</v>
      </c>
      <c r="I314" s="44"/>
    </row>
    <row r="315" spans="2:9" x14ac:dyDescent="0.25">
      <c r="B315" s="41"/>
      <c r="C315" s="43" t="s">
        <v>1194</v>
      </c>
      <c r="D315" s="43" t="s">
        <v>1195</v>
      </c>
      <c r="E315" s="43" t="s">
        <v>823</v>
      </c>
      <c r="F315" s="49" t="s">
        <v>36</v>
      </c>
      <c r="G315" s="43" t="s">
        <v>824</v>
      </c>
      <c r="H315" s="43" t="s">
        <v>825</v>
      </c>
      <c r="I315" s="44"/>
    </row>
    <row r="316" spans="2:9" x14ac:dyDescent="0.25">
      <c r="B316" s="41"/>
      <c r="C316" s="43" t="s">
        <v>448</v>
      </c>
      <c r="D316" s="43" t="s">
        <v>1196</v>
      </c>
      <c r="E316" s="43" t="s">
        <v>823</v>
      </c>
      <c r="F316" s="48" t="s">
        <v>22</v>
      </c>
      <c r="G316" s="43" t="s">
        <v>824</v>
      </c>
      <c r="H316" s="43" t="s">
        <v>825</v>
      </c>
      <c r="I316" s="44"/>
    </row>
    <row r="317" spans="2:9" x14ac:dyDescent="0.25">
      <c r="B317" s="41"/>
      <c r="C317" s="43" t="s">
        <v>450</v>
      </c>
      <c r="D317" s="43" t="s">
        <v>1197</v>
      </c>
      <c r="E317" s="43" t="s">
        <v>823</v>
      </c>
      <c r="F317" s="50" t="s">
        <v>47</v>
      </c>
      <c r="G317" s="43" t="s">
        <v>824</v>
      </c>
      <c r="H317" s="43" t="s">
        <v>825</v>
      </c>
      <c r="I317" s="44"/>
    </row>
    <row r="318" spans="2:9" x14ac:dyDescent="0.25">
      <c r="B318" s="41"/>
      <c r="C318" s="43" t="s">
        <v>451</v>
      </c>
      <c r="D318" s="43" t="s">
        <v>1198</v>
      </c>
      <c r="E318" s="43" t="s">
        <v>823</v>
      </c>
      <c r="F318" s="48" t="s">
        <v>22</v>
      </c>
      <c r="G318" s="43" t="s">
        <v>824</v>
      </c>
      <c r="H318" s="43" t="s">
        <v>825</v>
      </c>
      <c r="I318" s="44"/>
    </row>
    <row r="319" spans="2:9" x14ac:dyDescent="0.25">
      <c r="B319" s="41"/>
      <c r="C319" s="43" t="s">
        <v>1199</v>
      </c>
      <c r="D319" s="43" t="s">
        <v>1200</v>
      </c>
      <c r="E319" s="43" t="s">
        <v>823</v>
      </c>
      <c r="F319" s="48" t="s">
        <v>22</v>
      </c>
      <c r="G319" s="43" t="s">
        <v>824</v>
      </c>
      <c r="H319" s="43" t="s">
        <v>825</v>
      </c>
      <c r="I319" s="44"/>
    </row>
    <row r="320" spans="2:9" x14ac:dyDescent="0.25">
      <c r="B320" s="41"/>
      <c r="C320" s="43" t="s">
        <v>456</v>
      </c>
      <c r="D320" s="43" t="s">
        <v>1201</v>
      </c>
      <c r="E320" s="43" t="s">
        <v>831</v>
      </c>
      <c r="F320" s="50" t="s">
        <v>47</v>
      </c>
      <c r="G320" s="43" t="s">
        <v>824</v>
      </c>
      <c r="H320" s="43" t="s">
        <v>825</v>
      </c>
      <c r="I320" s="44"/>
    </row>
    <row r="321" spans="2:9" x14ac:dyDescent="0.25">
      <c r="B321" s="41"/>
      <c r="C321" s="43" t="s">
        <v>459</v>
      </c>
      <c r="D321" s="43" t="s">
        <v>1202</v>
      </c>
      <c r="E321" s="43" t="s">
        <v>831</v>
      </c>
      <c r="F321" s="48" t="s">
        <v>22</v>
      </c>
      <c r="G321" s="43" t="s">
        <v>824</v>
      </c>
      <c r="H321" s="43" t="s">
        <v>825</v>
      </c>
      <c r="I321" s="44"/>
    </row>
    <row r="322" spans="2:9" x14ac:dyDescent="0.25">
      <c r="B322" s="41"/>
      <c r="C322" s="43" t="s">
        <v>461</v>
      </c>
      <c r="D322" s="43" t="s">
        <v>1203</v>
      </c>
      <c r="E322" s="43" t="s">
        <v>823</v>
      </c>
      <c r="F322" s="49" t="s">
        <v>36</v>
      </c>
      <c r="G322" s="43" t="s">
        <v>824</v>
      </c>
      <c r="H322" s="43" t="s">
        <v>825</v>
      </c>
      <c r="I322" s="44"/>
    </row>
    <row r="323" spans="2:9" x14ac:dyDescent="0.25">
      <c r="B323" s="41"/>
      <c r="C323" s="43" t="s">
        <v>462</v>
      </c>
      <c r="D323" s="43" t="s">
        <v>1204</v>
      </c>
      <c r="E323" s="43" t="s">
        <v>823</v>
      </c>
      <c r="F323" s="49" t="s">
        <v>36</v>
      </c>
      <c r="G323" s="43" t="s">
        <v>824</v>
      </c>
      <c r="H323" s="43" t="s">
        <v>825</v>
      </c>
      <c r="I323" s="44"/>
    </row>
    <row r="324" spans="2:9" x14ac:dyDescent="0.25">
      <c r="B324" s="41"/>
      <c r="C324" s="43" t="s">
        <v>1205</v>
      </c>
      <c r="D324" s="43" t="s">
        <v>1206</v>
      </c>
      <c r="E324" s="43" t="s">
        <v>823</v>
      </c>
      <c r="F324" s="48" t="s">
        <v>22</v>
      </c>
      <c r="G324" s="43" t="s">
        <v>824</v>
      </c>
      <c r="H324" s="43" t="s">
        <v>825</v>
      </c>
      <c r="I324" s="44"/>
    </row>
    <row r="325" spans="2:9" x14ac:dyDescent="0.25">
      <c r="B325" s="41"/>
      <c r="C325" s="43" t="s">
        <v>1207</v>
      </c>
      <c r="D325" s="43" t="s">
        <v>1208</v>
      </c>
      <c r="E325" s="43" t="s">
        <v>823</v>
      </c>
      <c r="F325" s="49" t="s">
        <v>36</v>
      </c>
      <c r="G325" s="43" t="s">
        <v>824</v>
      </c>
      <c r="H325" s="43" t="s">
        <v>825</v>
      </c>
      <c r="I325" s="44"/>
    </row>
    <row r="326" spans="2:9" x14ac:dyDescent="0.25">
      <c r="B326" s="41"/>
      <c r="C326" s="43" t="s">
        <v>466</v>
      </c>
      <c r="D326" s="43" t="s">
        <v>1209</v>
      </c>
      <c r="E326" s="43" t="s">
        <v>823</v>
      </c>
      <c r="F326" s="48" t="s">
        <v>22</v>
      </c>
      <c r="G326" s="43" t="s">
        <v>824</v>
      </c>
      <c r="H326" s="43" t="s">
        <v>825</v>
      </c>
      <c r="I326" s="44"/>
    </row>
    <row r="327" spans="2:9" x14ac:dyDescent="0.25">
      <c r="B327" s="41"/>
      <c r="C327" s="43" t="s">
        <v>468</v>
      </c>
      <c r="D327" s="43" t="s">
        <v>1210</v>
      </c>
      <c r="E327" s="43" t="s">
        <v>823</v>
      </c>
      <c r="F327" s="48" t="s">
        <v>22</v>
      </c>
      <c r="G327" s="43" t="s">
        <v>824</v>
      </c>
      <c r="H327" s="43" t="s">
        <v>825</v>
      </c>
      <c r="I327" s="44"/>
    </row>
    <row r="328" spans="2:9" x14ac:dyDescent="0.25">
      <c r="B328" s="41"/>
      <c r="C328" s="43" t="s">
        <v>469</v>
      </c>
      <c r="D328" s="43" t="s">
        <v>1211</v>
      </c>
      <c r="E328" s="43" t="s">
        <v>872</v>
      </c>
      <c r="F328" s="48" t="s">
        <v>22</v>
      </c>
      <c r="G328" s="43" t="s">
        <v>824</v>
      </c>
      <c r="H328" s="43" t="s">
        <v>861</v>
      </c>
      <c r="I328" s="44"/>
    </row>
    <row r="329" spans="2:9" x14ac:dyDescent="0.25">
      <c r="B329" s="41"/>
      <c r="C329" s="43" t="s">
        <v>1212</v>
      </c>
      <c r="D329" s="43" t="s">
        <v>1213</v>
      </c>
      <c r="E329" s="43" t="s">
        <v>823</v>
      </c>
      <c r="F329" s="48" t="s">
        <v>22</v>
      </c>
      <c r="G329" s="43" t="s">
        <v>824</v>
      </c>
      <c r="H329" s="43" t="s">
        <v>825</v>
      </c>
      <c r="I329" s="44"/>
    </row>
    <row r="330" spans="2:9" x14ac:dyDescent="0.25">
      <c r="B330" s="41"/>
      <c r="C330" s="43" t="s">
        <v>470</v>
      </c>
      <c r="D330" s="43" t="s">
        <v>1214</v>
      </c>
      <c r="E330" s="43" t="s">
        <v>823</v>
      </c>
      <c r="F330" s="49" t="s">
        <v>36</v>
      </c>
      <c r="G330" s="43" t="s">
        <v>824</v>
      </c>
      <c r="H330" s="43" t="s">
        <v>825</v>
      </c>
      <c r="I330" s="44"/>
    </row>
    <row r="331" spans="2:9" x14ac:dyDescent="0.25">
      <c r="B331" s="41"/>
      <c r="C331" s="43" t="s">
        <v>471</v>
      </c>
      <c r="D331" s="43" t="s">
        <v>1215</v>
      </c>
      <c r="E331" s="43" t="s">
        <v>823</v>
      </c>
      <c r="F331" s="48" t="s">
        <v>22</v>
      </c>
      <c r="G331" s="43" t="s">
        <v>824</v>
      </c>
      <c r="H331" s="43" t="s">
        <v>825</v>
      </c>
      <c r="I331" s="44"/>
    </row>
    <row r="332" spans="2:9" x14ac:dyDescent="0.25">
      <c r="B332" s="41"/>
      <c r="C332" s="43" t="s">
        <v>472</v>
      </c>
      <c r="D332" s="43" t="s">
        <v>1216</v>
      </c>
      <c r="E332" s="43" t="s">
        <v>823</v>
      </c>
      <c r="F332" s="48" t="s">
        <v>22</v>
      </c>
      <c r="G332" s="43" t="s">
        <v>824</v>
      </c>
      <c r="H332" s="43" t="s">
        <v>825</v>
      </c>
      <c r="I332" s="44"/>
    </row>
    <row r="333" spans="2:9" x14ac:dyDescent="0.25">
      <c r="B333" s="41"/>
      <c r="C333" s="43" t="s">
        <v>476</v>
      </c>
      <c r="D333" s="43" t="s">
        <v>1217</v>
      </c>
      <c r="E333" s="43" t="s">
        <v>823</v>
      </c>
      <c r="F333" s="48" t="s">
        <v>22</v>
      </c>
      <c r="G333" s="43" t="s">
        <v>824</v>
      </c>
      <c r="H333" s="43" t="s">
        <v>825</v>
      </c>
      <c r="I333" s="44"/>
    </row>
    <row r="334" spans="2:9" x14ac:dyDescent="0.25">
      <c r="B334" s="41"/>
      <c r="C334" s="43" t="s">
        <v>478</v>
      </c>
      <c r="D334" s="43" t="s">
        <v>1218</v>
      </c>
      <c r="E334" s="43" t="s">
        <v>823</v>
      </c>
      <c r="F334" s="49" t="s">
        <v>36</v>
      </c>
      <c r="G334" s="43" t="s">
        <v>824</v>
      </c>
      <c r="H334" s="43" t="s">
        <v>825</v>
      </c>
      <c r="I334" s="44"/>
    </row>
    <row r="335" spans="2:9" x14ac:dyDescent="0.25">
      <c r="B335" s="41"/>
      <c r="C335" s="43" t="s">
        <v>481</v>
      </c>
      <c r="D335" s="43" t="s">
        <v>1219</v>
      </c>
      <c r="E335" s="43" t="s">
        <v>823</v>
      </c>
      <c r="F335" s="48" t="s">
        <v>22</v>
      </c>
      <c r="G335" s="43" t="s">
        <v>824</v>
      </c>
      <c r="H335" s="43" t="s">
        <v>825</v>
      </c>
      <c r="I335" s="44"/>
    </row>
    <row r="336" spans="2:9" x14ac:dyDescent="0.25">
      <c r="B336" s="41"/>
      <c r="C336" s="43" t="s">
        <v>483</v>
      </c>
      <c r="D336" s="43" t="s">
        <v>1220</v>
      </c>
      <c r="E336" s="43" t="s">
        <v>823</v>
      </c>
      <c r="F336" s="48" t="s">
        <v>22</v>
      </c>
      <c r="G336" s="43" t="s">
        <v>824</v>
      </c>
      <c r="H336" s="43" t="s">
        <v>825</v>
      </c>
      <c r="I336" s="44"/>
    </row>
    <row r="337" spans="2:9" x14ac:dyDescent="0.25">
      <c r="B337" s="41"/>
      <c r="C337" s="43" t="s">
        <v>488</v>
      </c>
      <c r="D337" s="43" t="s">
        <v>1221</v>
      </c>
      <c r="E337" s="43" t="s">
        <v>823</v>
      </c>
      <c r="F337" s="48" t="s">
        <v>22</v>
      </c>
      <c r="G337" s="43" t="s">
        <v>824</v>
      </c>
      <c r="H337" s="43" t="s">
        <v>825</v>
      </c>
      <c r="I337" s="44"/>
    </row>
    <row r="338" spans="2:9" x14ac:dyDescent="0.25">
      <c r="B338" s="41"/>
      <c r="C338" s="43" t="s">
        <v>490</v>
      </c>
      <c r="D338" s="43" t="s">
        <v>1222</v>
      </c>
      <c r="E338" s="43" t="s">
        <v>823</v>
      </c>
      <c r="F338" s="48" t="s">
        <v>22</v>
      </c>
      <c r="G338" s="43" t="s">
        <v>824</v>
      </c>
      <c r="H338" s="43" t="s">
        <v>825</v>
      </c>
      <c r="I338" s="44"/>
    </row>
    <row r="339" spans="2:9" x14ac:dyDescent="0.25">
      <c r="B339" s="41"/>
      <c r="C339" s="43" t="s">
        <v>492</v>
      </c>
      <c r="D339" s="43" t="s">
        <v>1223</v>
      </c>
      <c r="E339" s="43" t="s">
        <v>823</v>
      </c>
      <c r="F339" s="49" t="s">
        <v>36</v>
      </c>
      <c r="G339" s="43" t="s">
        <v>824</v>
      </c>
      <c r="H339" s="43" t="s">
        <v>825</v>
      </c>
      <c r="I339" s="44"/>
    </row>
    <row r="340" spans="2:9" x14ac:dyDescent="0.25">
      <c r="B340" s="41"/>
      <c r="C340" s="43" t="s">
        <v>493</v>
      </c>
      <c r="D340" s="43" t="s">
        <v>1224</v>
      </c>
      <c r="E340" s="43" t="s">
        <v>823</v>
      </c>
      <c r="F340" s="48" t="s">
        <v>22</v>
      </c>
      <c r="G340" s="43" t="s">
        <v>824</v>
      </c>
      <c r="H340" s="43" t="s">
        <v>825</v>
      </c>
      <c r="I340" s="44"/>
    </row>
    <row r="341" spans="2:9" x14ac:dyDescent="0.25">
      <c r="B341" s="41"/>
      <c r="C341" s="43" t="s">
        <v>495</v>
      </c>
      <c r="D341" s="43" t="s">
        <v>1225</v>
      </c>
      <c r="E341" s="43" t="s">
        <v>823</v>
      </c>
      <c r="F341" s="52" t="s">
        <v>263</v>
      </c>
      <c r="G341" s="43" t="s">
        <v>824</v>
      </c>
      <c r="H341" s="43" t="s">
        <v>825</v>
      </c>
      <c r="I341" s="44"/>
    </row>
    <row r="342" spans="2:9" x14ac:dyDescent="0.25">
      <c r="B342" s="41"/>
      <c r="C342" s="43" t="s">
        <v>497</v>
      </c>
      <c r="D342" s="43" t="s">
        <v>1226</v>
      </c>
      <c r="E342" s="43" t="s">
        <v>823</v>
      </c>
      <c r="F342" s="48" t="s">
        <v>22</v>
      </c>
      <c r="G342" s="43" t="s">
        <v>824</v>
      </c>
      <c r="H342" s="43" t="s">
        <v>825</v>
      </c>
      <c r="I342" s="44"/>
    </row>
    <row r="343" spans="2:9" x14ac:dyDescent="0.25">
      <c r="B343" s="41"/>
      <c r="C343" s="43" t="s">
        <v>499</v>
      </c>
      <c r="D343" s="43" t="s">
        <v>1227</v>
      </c>
      <c r="E343" s="43" t="s">
        <v>823</v>
      </c>
      <c r="F343" s="48" t="s">
        <v>22</v>
      </c>
      <c r="G343" s="43" t="s">
        <v>824</v>
      </c>
      <c r="H343" s="43" t="s">
        <v>825</v>
      </c>
      <c r="I343" s="44"/>
    </row>
    <row r="344" spans="2:9" x14ac:dyDescent="0.25">
      <c r="B344" s="41"/>
      <c r="C344" s="43" t="s">
        <v>501</v>
      </c>
      <c r="D344" s="43" t="s">
        <v>1228</v>
      </c>
      <c r="E344" s="43" t="s">
        <v>823</v>
      </c>
      <c r="F344" s="48" t="s">
        <v>22</v>
      </c>
      <c r="G344" s="43" t="s">
        <v>824</v>
      </c>
      <c r="H344" s="43" t="s">
        <v>825</v>
      </c>
      <c r="I344" s="44"/>
    </row>
    <row r="345" spans="2:9" x14ac:dyDescent="0.25">
      <c r="B345" s="41"/>
      <c r="C345" s="43" t="s">
        <v>503</v>
      </c>
      <c r="D345" s="43" t="s">
        <v>1229</v>
      </c>
      <c r="E345" s="43" t="s">
        <v>823</v>
      </c>
      <c r="F345" s="50" t="s">
        <v>47</v>
      </c>
      <c r="G345" s="43" t="s">
        <v>824</v>
      </c>
      <c r="H345" s="43" t="s">
        <v>825</v>
      </c>
      <c r="I345" s="44"/>
    </row>
    <row r="346" spans="2:9" x14ac:dyDescent="0.25">
      <c r="B346" s="41"/>
      <c r="C346" s="43" t="s">
        <v>505</v>
      </c>
      <c r="D346" s="43" t="s">
        <v>1230</v>
      </c>
      <c r="E346" s="43" t="s">
        <v>823</v>
      </c>
      <c r="F346" s="48" t="s">
        <v>22</v>
      </c>
      <c r="G346" s="43" t="s">
        <v>824</v>
      </c>
      <c r="H346" s="43" t="s">
        <v>825</v>
      </c>
      <c r="I346" s="44"/>
    </row>
    <row r="347" spans="2:9" x14ac:dyDescent="0.25">
      <c r="B347" s="41"/>
      <c r="C347" s="43" t="s">
        <v>507</v>
      </c>
      <c r="D347" s="43" t="s">
        <v>1231</v>
      </c>
      <c r="E347" s="43" t="s">
        <v>823</v>
      </c>
      <c r="F347" s="48" t="s">
        <v>22</v>
      </c>
      <c r="G347" s="43" t="s">
        <v>824</v>
      </c>
      <c r="H347" s="43" t="s">
        <v>825</v>
      </c>
      <c r="I347" s="44"/>
    </row>
    <row r="348" spans="2:9" x14ac:dyDescent="0.25">
      <c r="B348" s="41"/>
      <c r="C348" s="43" t="s">
        <v>1232</v>
      </c>
      <c r="D348" s="43" t="s">
        <v>1233</v>
      </c>
      <c r="E348" s="43" t="s">
        <v>823</v>
      </c>
      <c r="F348" s="48" t="s">
        <v>22</v>
      </c>
      <c r="G348" s="43" t="s">
        <v>824</v>
      </c>
      <c r="H348" s="43" t="s">
        <v>825</v>
      </c>
      <c r="I348" s="44"/>
    </row>
    <row r="349" spans="2:9" x14ac:dyDescent="0.25">
      <c r="B349" s="41"/>
      <c r="C349" s="43" t="s">
        <v>508</v>
      </c>
      <c r="D349" s="43" t="s">
        <v>1234</v>
      </c>
      <c r="E349" s="43" t="s">
        <v>823</v>
      </c>
      <c r="F349" s="48" t="s">
        <v>22</v>
      </c>
      <c r="G349" s="43" t="s">
        <v>824</v>
      </c>
      <c r="H349" s="43" t="s">
        <v>825</v>
      </c>
      <c r="I349" s="44"/>
    </row>
    <row r="350" spans="2:9" x14ac:dyDescent="0.25">
      <c r="B350" s="41"/>
      <c r="C350" s="43" t="s">
        <v>509</v>
      </c>
      <c r="D350" s="43" t="s">
        <v>1235</v>
      </c>
      <c r="E350" s="43" t="s">
        <v>823</v>
      </c>
      <c r="F350" s="48" t="s">
        <v>22</v>
      </c>
      <c r="G350" s="43" t="s">
        <v>824</v>
      </c>
      <c r="H350" s="43" t="s">
        <v>825</v>
      </c>
      <c r="I350" s="44"/>
    </row>
    <row r="351" spans="2:9" x14ac:dyDescent="0.25">
      <c r="B351" s="42"/>
      <c r="C351" s="45" t="s">
        <v>511</v>
      </c>
      <c r="D351" s="45" t="s">
        <v>1236</v>
      </c>
      <c r="E351" s="45" t="s">
        <v>823</v>
      </c>
      <c r="F351" s="54" t="s">
        <v>22</v>
      </c>
      <c r="G351" s="45" t="s">
        <v>824</v>
      </c>
      <c r="H351" s="45" t="s">
        <v>825</v>
      </c>
      <c r="I351" s="46"/>
    </row>
    <row r="352" spans="2:9" x14ac:dyDescent="0.25">
      <c r="B352" s="41"/>
      <c r="C352" s="43" t="s">
        <v>513</v>
      </c>
      <c r="D352" s="43" t="s">
        <v>1237</v>
      </c>
      <c r="E352" s="43" t="s">
        <v>823</v>
      </c>
      <c r="F352" s="49" t="s">
        <v>36</v>
      </c>
      <c r="G352" s="43" t="s">
        <v>824</v>
      </c>
      <c r="H352" s="43" t="s">
        <v>825</v>
      </c>
      <c r="I352" s="44"/>
    </row>
    <row r="353" spans="2:9" x14ac:dyDescent="0.25">
      <c r="B353" s="41"/>
      <c r="C353" s="43" t="s">
        <v>514</v>
      </c>
      <c r="D353" s="43" t="s">
        <v>1238</v>
      </c>
      <c r="E353" s="43" t="s">
        <v>823</v>
      </c>
      <c r="F353" s="48" t="s">
        <v>22</v>
      </c>
      <c r="G353" s="43" t="s">
        <v>824</v>
      </c>
      <c r="H353" s="43" t="s">
        <v>825</v>
      </c>
      <c r="I353" s="44"/>
    </row>
    <row r="354" spans="2:9" x14ac:dyDescent="0.25">
      <c r="B354" s="41"/>
      <c r="C354" s="43" t="s">
        <v>1239</v>
      </c>
      <c r="D354" s="43" t="s">
        <v>1240</v>
      </c>
      <c r="E354" s="43" t="s">
        <v>823</v>
      </c>
      <c r="F354" s="48" t="s">
        <v>22</v>
      </c>
      <c r="G354" s="43" t="s">
        <v>824</v>
      </c>
      <c r="H354" s="43" t="s">
        <v>825</v>
      </c>
      <c r="I354" s="44"/>
    </row>
    <row r="355" spans="2:9" x14ac:dyDescent="0.25">
      <c r="B355" s="41"/>
      <c r="C355" s="43" t="s">
        <v>1241</v>
      </c>
      <c r="D355" s="43" t="s">
        <v>1242</v>
      </c>
      <c r="E355" s="43" t="s">
        <v>823</v>
      </c>
      <c r="F355" s="48" t="s">
        <v>22</v>
      </c>
      <c r="G355" s="43" t="s">
        <v>824</v>
      </c>
      <c r="H355" s="43" t="s">
        <v>825</v>
      </c>
      <c r="I355" s="44"/>
    </row>
    <row r="356" spans="2:9" x14ac:dyDescent="0.25">
      <c r="B356" s="41"/>
      <c r="C356" s="43" t="s">
        <v>516</v>
      </c>
      <c r="D356" s="43" t="s">
        <v>1243</v>
      </c>
      <c r="E356" s="43" t="s">
        <v>823</v>
      </c>
      <c r="F356" s="48" t="s">
        <v>22</v>
      </c>
      <c r="G356" s="43" t="s">
        <v>824</v>
      </c>
      <c r="H356" s="43" t="s">
        <v>825</v>
      </c>
      <c r="I356" s="44"/>
    </row>
    <row r="357" spans="2:9" x14ac:dyDescent="0.25">
      <c r="B357" s="41"/>
      <c r="C357" s="43" t="s">
        <v>519</v>
      </c>
      <c r="D357" s="43" t="s">
        <v>1244</v>
      </c>
      <c r="E357" s="43" t="s">
        <v>823</v>
      </c>
      <c r="F357" s="48" t="s">
        <v>22</v>
      </c>
      <c r="G357" s="43" t="s">
        <v>824</v>
      </c>
      <c r="H357" s="43" t="s">
        <v>825</v>
      </c>
      <c r="I357" s="44"/>
    </row>
    <row r="358" spans="2:9" x14ac:dyDescent="0.25">
      <c r="B358" s="41"/>
      <c r="C358" s="43" t="s">
        <v>521</v>
      </c>
      <c r="D358" s="43" t="s">
        <v>1245</v>
      </c>
      <c r="E358" s="43" t="s">
        <v>823</v>
      </c>
      <c r="F358" s="49" t="s">
        <v>36</v>
      </c>
      <c r="G358" s="43" t="s">
        <v>824</v>
      </c>
      <c r="H358" s="43" t="s">
        <v>825</v>
      </c>
      <c r="I358" s="44"/>
    </row>
    <row r="359" spans="2:9" x14ac:dyDescent="0.25">
      <c r="B359" s="41"/>
      <c r="C359" s="43" t="s">
        <v>1246</v>
      </c>
      <c r="D359" s="43" t="s">
        <v>1247</v>
      </c>
      <c r="E359" s="43" t="s">
        <v>823</v>
      </c>
      <c r="F359" s="50" t="s">
        <v>47</v>
      </c>
      <c r="G359" s="43" t="s">
        <v>824</v>
      </c>
      <c r="H359" s="43" t="s">
        <v>825</v>
      </c>
      <c r="I359" s="44"/>
    </row>
    <row r="360" spans="2:9" x14ac:dyDescent="0.25">
      <c r="B360" s="41"/>
      <c r="C360" s="43" t="s">
        <v>523</v>
      </c>
      <c r="D360" s="43" t="s">
        <v>1248</v>
      </c>
      <c r="E360" s="43" t="s">
        <v>823</v>
      </c>
      <c r="F360" s="53" t="s">
        <v>222</v>
      </c>
      <c r="G360" s="43" t="s">
        <v>825</v>
      </c>
      <c r="H360" s="43" t="s">
        <v>825</v>
      </c>
      <c r="I360" s="44"/>
    </row>
    <row r="361" spans="2:9" x14ac:dyDescent="0.25">
      <c r="B361" s="41"/>
      <c r="C361" s="43" t="s">
        <v>524</v>
      </c>
      <c r="D361" s="43" t="s">
        <v>1249</v>
      </c>
      <c r="E361" s="43" t="s">
        <v>823</v>
      </c>
      <c r="F361" s="48" t="s">
        <v>22</v>
      </c>
      <c r="G361" s="43" t="s">
        <v>824</v>
      </c>
      <c r="H361" s="43" t="s">
        <v>825</v>
      </c>
      <c r="I361" s="44"/>
    </row>
    <row r="362" spans="2:9" x14ac:dyDescent="0.25">
      <c r="B362" s="41"/>
      <c r="C362" s="43" t="s">
        <v>525</v>
      </c>
      <c r="D362" s="43" t="s">
        <v>1250</v>
      </c>
      <c r="E362" s="43" t="s">
        <v>823</v>
      </c>
      <c r="F362" s="48" t="s">
        <v>22</v>
      </c>
      <c r="G362" s="43" t="s">
        <v>824</v>
      </c>
      <c r="H362" s="43" t="s">
        <v>825</v>
      </c>
      <c r="I362" s="44"/>
    </row>
    <row r="363" spans="2:9" x14ac:dyDescent="0.25">
      <c r="B363" s="41"/>
      <c r="C363" s="43" t="s">
        <v>527</v>
      </c>
      <c r="D363" s="43" t="s">
        <v>1251</v>
      </c>
      <c r="E363" s="43" t="s">
        <v>823</v>
      </c>
      <c r="F363" s="48" t="s">
        <v>22</v>
      </c>
      <c r="G363" s="43" t="s">
        <v>824</v>
      </c>
      <c r="H363" s="43" t="s">
        <v>825</v>
      </c>
      <c r="I363" s="44"/>
    </row>
    <row r="364" spans="2:9" x14ac:dyDescent="0.25">
      <c r="B364" s="41"/>
      <c r="C364" s="43" t="s">
        <v>1252</v>
      </c>
      <c r="D364" s="43" t="s">
        <v>1253</v>
      </c>
      <c r="E364" s="43" t="s">
        <v>823</v>
      </c>
      <c r="F364" s="48" t="s">
        <v>22</v>
      </c>
      <c r="G364" s="43" t="s">
        <v>824</v>
      </c>
      <c r="H364" s="43" t="s">
        <v>825</v>
      </c>
      <c r="I364" s="44"/>
    </row>
    <row r="365" spans="2:9" x14ac:dyDescent="0.25">
      <c r="B365" s="41"/>
      <c r="C365" s="43" t="s">
        <v>529</v>
      </c>
      <c r="D365" s="43" t="s">
        <v>1254</v>
      </c>
      <c r="E365" s="43" t="s">
        <v>823</v>
      </c>
      <c r="F365" s="48" t="s">
        <v>22</v>
      </c>
      <c r="G365" s="43" t="s">
        <v>824</v>
      </c>
      <c r="H365" s="43" t="s">
        <v>825</v>
      </c>
      <c r="I365" s="44"/>
    </row>
    <row r="366" spans="2:9" x14ac:dyDescent="0.25">
      <c r="B366" s="41"/>
      <c r="C366" s="43" t="s">
        <v>532</v>
      </c>
      <c r="D366" s="43" t="s">
        <v>1255</v>
      </c>
      <c r="E366" s="43" t="s">
        <v>823</v>
      </c>
      <c r="F366" s="49" t="s">
        <v>36</v>
      </c>
      <c r="G366" s="43" t="s">
        <v>824</v>
      </c>
      <c r="H366" s="43" t="s">
        <v>825</v>
      </c>
      <c r="I366" s="44"/>
    </row>
    <row r="367" spans="2:9" x14ac:dyDescent="0.25">
      <c r="B367" s="41"/>
      <c r="C367" s="43" t="s">
        <v>533</v>
      </c>
      <c r="D367" s="43" t="s">
        <v>1256</v>
      </c>
      <c r="E367" s="43" t="s">
        <v>831</v>
      </c>
      <c r="F367" s="49" t="s">
        <v>36</v>
      </c>
      <c r="G367" s="43" t="s">
        <v>824</v>
      </c>
      <c r="H367" s="43" t="s">
        <v>825</v>
      </c>
      <c r="I367" s="44"/>
    </row>
    <row r="368" spans="2:9" x14ac:dyDescent="0.25">
      <c r="B368" s="41"/>
      <c r="C368" s="43" t="s">
        <v>534</v>
      </c>
      <c r="D368" s="43" t="s">
        <v>1257</v>
      </c>
      <c r="E368" s="43" t="s">
        <v>823</v>
      </c>
      <c r="F368" s="48" t="s">
        <v>22</v>
      </c>
      <c r="G368" s="43" t="s">
        <v>824</v>
      </c>
      <c r="H368" s="43" t="s">
        <v>825</v>
      </c>
      <c r="I368" s="44"/>
    </row>
    <row r="369" spans="2:9" x14ac:dyDescent="0.25">
      <c r="B369" s="41"/>
      <c r="C369" s="43" t="s">
        <v>1258</v>
      </c>
      <c r="D369" s="43" t="s">
        <v>1259</v>
      </c>
      <c r="E369" s="43" t="s">
        <v>823</v>
      </c>
      <c r="F369" s="48" t="s">
        <v>22</v>
      </c>
      <c r="G369" s="43" t="s">
        <v>824</v>
      </c>
      <c r="H369" s="43" t="s">
        <v>825</v>
      </c>
      <c r="I369" s="44"/>
    </row>
    <row r="370" spans="2:9" x14ac:dyDescent="0.25">
      <c r="B370" s="41"/>
      <c r="C370" s="43" t="s">
        <v>537</v>
      </c>
      <c r="D370" s="43" t="s">
        <v>1260</v>
      </c>
      <c r="E370" s="43" t="s">
        <v>831</v>
      </c>
      <c r="F370" s="49" t="s">
        <v>36</v>
      </c>
      <c r="G370" s="43" t="s">
        <v>824</v>
      </c>
      <c r="H370" s="43" t="s">
        <v>825</v>
      </c>
      <c r="I370" s="44"/>
    </row>
    <row r="371" spans="2:9" x14ac:dyDescent="0.25">
      <c r="B371" s="41"/>
      <c r="C371" s="43" t="s">
        <v>539</v>
      </c>
      <c r="D371" s="43" t="s">
        <v>1261</v>
      </c>
      <c r="E371" s="43" t="s">
        <v>823</v>
      </c>
      <c r="F371" s="48" t="s">
        <v>22</v>
      </c>
      <c r="G371" s="43" t="s">
        <v>824</v>
      </c>
      <c r="H371" s="43" t="s">
        <v>825</v>
      </c>
      <c r="I371" s="44"/>
    </row>
    <row r="372" spans="2:9" x14ac:dyDescent="0.25">
      <c r="B372" s="41"/>
      <c r="C372" s="43" t="s">
        <v>542</v>
      </c>
      <c r="D372" s="43" t="s">
        <v>1262</v>
      </c>
      <c r="E372" s="43" t="s">
        <v>831</v>
      </c>
      <c r="F372" s="48" t="s">
        <v>22</v>
      </c>
      <c r="G372" s="43" t="s">
        <v>824</v>
      </c>
      <c r="H372" s="43" t="s">
        <v>825</v>
      </c>
      <c r="I372" s="44"/>
    </row>
    <row r="373" spans="2:9" x14ac:dyDescent="0.25">
      <c r="B373" s="41"/>
      <c r="C373" s="43" t="s">
        <v>543</v>
      </c>
      <c r="D373" s="43" t="s">
        <v>1263</v>
      </c>
      <c r="E373" s="43" t="s">
        <v>823</v>
      </c>
      <c r="F373" s="48" t="s">
        <v>22</v>
      </c>
      <c r="G373" s="43" t="s">
        <v>824</v>
      </c>
      <c r="H373" s="43" t="s">
        <v>825</v>
      </c>
      <c r="I373" s="44"/>
    </row>
    <row r="374" spans="2:9" x14ac:dyDescent="0.25">
      <c r="B374" s="41"/>
      <c r="C374" s="43" t="s">
        <v>545</v>
      </c>
      <c r="D374" s="43" t="s">
        <v>1264</v>
      </c>
      <c r="E374" s="43" t="s">
        <v>823</v>
      </c>
      <c r="F374" s="48" t="s">
        <v>22</v>
      </c>
      <c r="G374" s="43" t="s">
        <v>824</v>
      </c>
      <c r="H374" s="43" t="s">
        <v>825</v>
      </c>
      <c r="I374" s="44"/>
    </row>
    <row r="375" spans="2:9" x14ac:dyDescent="0.25">
      <c r="B375" s="41"/>
      <c r="C375" s="43" t="s">
        <v>548</v>
      </c>
      <c r="D375" s="43" t="s">
        <v>1265</v>
      </c>
      <c r="E375" s="43" t="s">
        <v>823</v>
      </c>
      <c r="F375" s="49" t="s">
        <v>36</v>
      </c>
      <c r="G375" s="43" t="s">
        <v>824</v>
      </c>
      <c r="H375" s="43" t="s">
        <v>825</v>
      </c>
      <c r="I375" s="44"/>
    </row>
    <row r="376" spans="2:9" x14ac:dyDescent="0.25">
      <c r="B376" s="41"/>
      <c r="C376" s="43" t="s">
        <v>549</v>
      </c>
      <c r="D376" s="43" t="s">
        <v>1266</v>
      </c>
      <c r="E376" s="43" t="s">
        <v>823</v>
      </c>
      <c r="F376" s="48" t="s">
        <v>22</v>
      </c>
      <c r="G376" s="43" t="s">
        <v>824</v>
      </c>
      <c r="H376" s="43" t="s">
        <v>825</v>
      </c>
      <c r="I376" s="44"/>
    </row>
    <row r="377" spans="2:9" x14ac:dyDescent="0.25">
      <c r="B377" s="41"/>
      <c r="C377" s="43" t="s">
        <v>552</v>
      </c>
      <c r="D377" s="43" t="s">
        <v>1267</v>
      </c>
      <c r="E377" s="43" t="s">
        <v>823</v>
      </c>
      <c r="F377" s="48" t="s">
        <v>22</v>
      </c>
      <c r="G377" s="43" t="s">
        <v>824</v>
      </c>
      <c r="H377" s="43" t="s">
        <v>825</v>
      </c>
      <c r="I377" s="44"/>
    </row>
    <row r="378" spans="2:9" x14ac:dyDescent="0.25">
      <c r="B378" s="41"/>
      <c r="C378" s="43" t="s">
        <v>1268</v>
      </c>
      <c r="D378" s="43" t="s">
        <v>1269</v>
      </c>
      <c r="E378" s="43" t="s">
        <v>823</v>
      </c>
      <c r="F378" s="49" t="s">
        <v>36</v>
      </c>
      <c r="G378" s="43" t="s">
        <v>824</v>
      </c>
      <c r="H378" s="43" t="s">
        <v>825</v>
      </c>
      <c r="I378" s="44"/>
    </row>
    <row r="379" spans="2:9" x14ac:dyDescent="0.25">
      <c r="B379" s="41"/>
      <c r="C379" s="43" t="s">
        <v>555</v>
      </c>
      <c r="D379" s="43" t="s">
        <v>1270</v>
      </c>
      <c r="E379" s="43" t="s">
        <v>823</v>
      </c>
      <c r="F379" s="48" t="s">
        <v>22</v>
      </c>
      <c r="G379" s="43" t="s">
        <v>824</v>
      </c>
      <c r="H379" s="43" t="s">
        <v>825</v>
      </c>
      <c r="I379" s="44"/>
    </row>
    <row r="380" spans="2:9" x14ac:dyDescent="0.25">
      <c r="B380" s="41"/>
      <c r="C380" s="43" t="s">
        <v>1271</v>
      </c>
      <c r="D380" s="43" t="s">
        <v>1272</v>
      </c>
      <c r="E380" s="43" t="s">
        <v>823</v>
      </c>
      <c r="F380" s="48" t="s">
        <v>22</v>
      </c>
      <c r="G380" s="43" t="s">
        <v>824</v>
      </c>
      <c r="H380" s="43" t="s">
        <v>825</v>
      </c>
      <c r="I380" s="44"/>
    </row>
    <row r="381" spans="2:9" x14ac:dyDescent="0.25">
      <c r="B381" s="41"/>
      <c r="C381" s="43" t="s">
        <v>556</v>
      </c>
      <c r="D381" s="43" t="s">
        <v>1273</v>
      </c>
      <c r="E381" s="43" t="s">
        <v>823</v>
      </c>
      <c r="F381" s="48" t="s">
        <v>22</v>
      </c>
      <c r="G381" s="43" t="s">
        <v>824</v>
      </c>
      <c r="H381" s="43" t="s">
        <v>825</v>
      </c>
      <c r="I381" s="44"/>
    </row>
    <row r="382" spans="2:9" x14ac:dyDescent="0.25">
      <c r="B382" s="41"/>
      <c r="C382" s="43" t="s">
        <v>558</v>
      </c>
      <c r="D382" s="43" t="s">
        <v>1274</v>
      </c>
      <c r="E382" s="43" t="s">
        <v>823</v>
      </c>
      <c r="F382" s="48" t="s">
        <v>22</v>
      </c>
      <c r="G382" s="43" t="s">
        <v>824</v>
      </c>
      <c r="H382" s="43" t="s">
        <v>825</v>
      </c>
      <c r="I382" s="44"/>
    </row>
    <row r="383" spans="2:9" x14ac:dyDescent="0.25">
      <c r="B383" s="41"/>
      <c r="C383" s="43" t="s">
        <v>559</v>
      </c>
      <c r="D383" s="43" t="s">
        <v>1275</v>
      </c>
      <c r="E383" s="43" t="s">
        <v>823</v>
      </c>
      <c r="F383" s="48" t="s">
        <v>22</v>
      </c>
      <c r="G383" s="43" t="s">
        <v>824</v>
      </c>
      <c r="H383" s="43" t="s">
        <v>825</v>
      </c>
      <c r="I383" s="44"/>
    </row>
    <row r="384" spans="2:9" x14ac:dyDescent="0.25">
      <c r="B384" s="41"/>
      <c r="C384" s="43" t="s">
        <v>1276</v>
      </c>
      <c r="D384" s="43" t="s">
        <v>1277</v>
      </c>
      <c r="E384" s="43" t="s">
        <v>872</v>
      </c>
      <c r="F384" s="49" t="s">
        <v>36</v>
      </c>
      <c r="G384" s="43" t="s">
        <v>824</v>
      </c>
      <c r="H384" s="43" t="s">
        <v>861</v>
      </c>
      <c r="I384" s="44"/>
    </row>
    <row r="385" spans="2:9" x14ac:dyDescent="0.25">
      <c r="B385" s="41"/>
      <c r="C385" s="43" t="s">
        <v>1278</v>
      </c>
      <c r="D385" s="43" t="s">
        <v>1279</v>
      </c>
      <c r="E385" s="43" t="s">
        <v>872</v>
      </c>
      <c r="F385" s="49" t="s">
        <v>36</v>
      </c>
      <c r="G385" s="43" t="s">
        <v>824</v>
      </c>
      <c r="H385" s="43" t="s">
        <v>861</v>
      </c>
      <c r="I385" s="44"/>
    </row>
    <row r="386" spans="2:9" x14ac:dyDescent="0.25">
      <c r="B386" s="41"/>
      <c r="C386" s="43" t="s">
        <v>563</v>
      </c>
      <c r="D386" s="43" t="s">
        <v>1280</v>
      </c>
      <c r="E386" s="43" t="s">
        <v>823</v>
      </c>
      <c r="F386" s="48" t="s">
        <v>22</v>
      </c>
      <c r="G386" s="43" t="s">
        <v>824</v>
      </c>
      <c r="H386" s="43" t="s">
        <v>825</v>
      </c>
      <c r="I386" s="44"/>
    </row>
    <row r="387" spans="2:9" x14ac:dyDescent="0.25">
      <c r="B387" s="41"/>
      <c r="C387" s="43" t="s">
        <v>565</v>
      </c>
      <c r="D387" s="43" t="s">
        <v>1281</v>
      </c>
      <c r="E387" s="43" t="s">
        <v>823</v>
      </c>
      <c r="F387" s="48" t="s">
        <v>22</v>
      </c>
      <c r="G387" s="43" t="s">
        <v>824</v>
      </c>
      <c r="H387" s="43" t="s">
        <v>825</v>
      </c>
      <c r="I387" s="44"/>
    </row>
    <row r="388" spans="2:9" x14ac:dyDescent="0.25">
      <c r="B388" s="41"/>
      <c r="C388" s="43" t="s">
        <v>1282</v>
      </c>
      <c r="D388" s="43" t="s">
        <v>1283</v>
      </c>
      <c r="E388" s="43" t="s">
        <v>823</v>
      </c>
      <c r="F388" s="49" t="s">
        <v>36</v>
      </c>
      <c r="G388" s="43" t="s">
        <v>824</v>
      </c>
      <c r="H388" s="43" t="s">
        <v>825</v>
      </c>
      <c r="I388" s="44"/>
    </row>
    <row r="389" spans="2:9" x14ac:dyDescent="0.25">
      <c r="B389" s="41"/>
      <c r="C389" s="43" t="s">
        <v>1284</v>
      </c>
      <c r="D389" s="43" t="s">
        <v>1285</v>
      </c>
      <c r="E389" s="43" t="s">
        <v>823</v>
      </c>
      <c r="F389" s="48" t="s">
        <v>22</v>
      </c>
      <c r="G389" s="43" t="s">
        <v>824</v>
      </c>
      <c r="H389" s="43" t="s">
        <v>825</v>
      </c>
      <c r="I389" s="44"/>
    </row>
    <row r="390" spans="2:9" x14ac:dyDescent="0.25">
      <c r="B390" s="41"/>
      <c r="C390" s="43" t="s">
        <v>567</v>
      </c>
      <c r="D390" s="43" t="s">
        <v>1286</v>
      </c>
      <c r="E390" s="43" t="s">
        <v>823</v>
      </c>
      <c r="F390" s="49" t="s">
        <v>36</v>
      </c>
      <c r="G390" s="43" t="s">
        <v>824</v>
      </c>
      <c r="H390" s="43" t="s">
        <v>825</v>
      </c>
      <c r="I390" s="44"/>
    </row>
    <row r="391" spans="2:9" x14ac:dyDescent="0.25">
      <c r="B391" s="41"/>
      <c r="C391" s="43" t="s">
        <v>570</v>
      </c>
      <c r="D391" s="43" t="s">
        <v>1287</v>
      </c>
      <c r="E391" s="43" t="s">
        <v>823</v>
      </c>
      <c r="F391" s="48" t="s">
        <v>22</v>
      </c>
      <c r="G391" s="43" t="s">
        <v>824</v>
      </c>
      <c r="H391" s="43" t="s">
        <v>825</v>
      </c>
      <c r="I391" s="44"/>
    </row>
    <row r="392" spans="2:9" x14ac:dyDescent="0.25">
      <c r="B392" s="41"/>
      <c r="C392" s="43" t="s">
        <v>572</v>
      </c>
      <c r="D392" s="43" t="s">
        <v>1288</v>
      </c>
      <c r="E392" s="43" t="s">
        <v>823</v>
      </c>
      <c r="F392" s="49" t="s">
        <v>36</v>
      </c>
      <c r="G392" s="43" t="s">
        <v>824</v>
      </c>
      <c r="H392" s="43" t="s">
        <v>825</v>
      </c>
      <c r="I392" s="44"/>
    </row>
    <row r="393" spans="2:9" x14ac:dyDescent="0.25">
      <c r="B393" s="41"/>
      <c r="C393" s="43" t="s">
        <v>573</v>
      </c>
      <c r="D393" s="43" t="s">
        <v>1289</v>
      </c>
      <c r="E393" s="43" t="s">
        <v>823</v>
      </c>
      <c r="F393" s="48" t="s">
        <v>22</v>
      </c>
      <c r="G393" s="43" t="s">
        <v>824</v>
      </c>
      <c r="H393" s="43" t="s">
        <v>825</v>
      </c>
      <c r="I393" s="44"/>
    </row>
    <row r="394" spans="2:9" x14ac:dyDescent="0.25">
      <c r="B394" s="41"/>
      <c r="C394" s="43" t="s">
        <v>576</v>
      </c>
      <c r="D394" s="43" t="s">
        <v>1290</v>
      </c>
      <c r="E394" s="43" t="s">
        <v>823</v>
      </c>
      <c r="F394" s="48" t="s">
        <v>22</v>
      </c>
      <c r="G394" s="43" t="s">
        <v>824</v>
      </c>
      <c r="H394" s="43" t="s">
        <v>825</v>
      </c>
      <c r="I394" s="44"/>
    </row>
    <row r="395" spans="2:9" x14ac:dyDescent="0.25">
      <c r="B395" s="41"/>
      <c r="C395" s="43" t="s">
        <v>1291</v>
      </c>
      <c r="D395" s="43" t="s">
        <v>1292</v>
      </c>
      <c r="E395" s="43" t="s">
        <v>823</v>
      </c>
      <c r="F395" s="48" t="s">
        <v>22</v>
      </c>
      <c r="G395" s="43" t="s">
        <v>824</v>
      </c>
      <c r="H395" s="43" t="s">
        <v>825</v>
      </c>
      <c r="I395" s="44"/>
    </row>
    <row r="396" spans="2:9" x14ac:dyDescent="0.25">
      <c r="B396" s="41"/>
      <c r="C396" s="43" t="s">
        <v>577</v>
      </c>
      <c r="D396" s="43" t="s">
        <v>1293</v>
      </c>
      <c r="E396" s="43" t="s">
        <v>823</v>
      </c>
      <c r="F396" s="48" t="s">
        <v>22</v>
      </c>
      <c r="G396" s="43" t="s">
        <v>824</v>
      </c>
      <c r="H396" s="43" t="s">
        <v>825</v>
      </c>
      <c r="I396" s="44"/>
    </row>
    <row r="397" spans="2:9" x14ac:dyDescent="0.25">
      <c r="B397" s="41"/>
      <c r="C397" s="43" t="s">
        <v>579</v>
      </c>
      <c r="D397" s="43" t="s">
        <v>1294</v>
      </c>
      <c r="E397" s="43" t="s">
        <v>823</v>
      </c>
      <c r="F397" s="48" t="s">
        <v>22</v>
      </c>
      <c r="G397" s="43" t="s">
        <v>824</v>
      </c>
      <c r="H397" s="43" t="s">
        <v>825</v>
      </c>
      <c r="I397" s="44"/>
    </row>
    <row r="398" spans="2:9" x14ac:dyDescent="0.25">
      <c r="B398" s="41"/>
      <c r="C398" s="43" t="s">
        <v>1295</v>
      </c>
      <c r="D398" s="43" t="s">
        <v>1296</v>
      </c>
      <c r="E398" s="43" t="s">
        <v>823</v>
      </c>
      <c r="F398" s="48" t="s">
        <v>22</v>
      </c>
      <c r="G398" s="43" t="s">
        <v>824</v>
      </c>
      <c r="H398" s="43" t="s">
        <v>825</v>
      </c>
      <c r="I398" s="44"/>
    </row>
    <row r="399" spans="2:9" x14ac:dyDescent="0.25">
      <c r="B399" s="41"/>
      <c r="C399" s="43" t="s">
        <v>581</v>
      </c>
      <c r="D399" s="43" t="s">
        <v>1297</v>
      </c>
      <c r="E399" s="43" t="s">
        <v>823</v>
      </c>
      <c r="F399" s="48" t="s">
        <v>22</v>
      </c>
      <c r="G399" s="43" t="s">
        <v>824</v>
      </c>
      <c r="H399" s="43" t="s">
        <v>825</v>
      </c>
      <c r="I399" s="44"/>
    </row>
    <row r="400" spans="2:9" x14ac:dyDescent="0.25">
      <c r="B400" s="41"/>
      <c r="C400" s="43" t="s">
        <v>583</v>
      </c>
      <c r="D400" s="43" t="s">
        <v>1298</v>
      </c>
      <c r="E400" s="43" t="s">
        <v>823</v>
      </c>
      <c r="F400" s="48" t="s">
        <v>22</v>
      </c>
      <c r="G400" s="43" t="s">
        <v>824</v>
      </c>
      <c r="H400" s="43" t="s">
        <v>825</v>
      </c>
      <c r="I400" s="44"/>
    </row>
    <row r="401" spans="2:9" x14ac:dyDescent="0.25">
      <c r="B401" s="41"/>
      <c r="C401" s="43" t="s">
        <v>587</v>
      </c>
      <c r="D401" s="43" t="s">
        <v>1299</v>
      </c>
      <c r="E401" s="43" t="s">
        <v>823</v>
      </c>
      <c r="F401" s="48" t="s">
        <v>22</v>
      </c>
      <c r="G401" s="43" t="s">
        <v>824</v>
      </c>
      <c r="H401" s="43" t="s">
        <v>825</v>
      </c>
      <c r="I401" s="44"/>
    </row>
    <row r="402" spans="2:9" x14ac:dyDescent="0.25">
      <c r="B402" s="42"/>
      <c r="C402" s="45" t="s">
        <v>588</v>
      </c>
      <c r="D402" s="45" t="s">
        <v>1300</v>
      </c>
      <c r="E402" s="45" t="s">
        <v>823</v>
      </c>
      <c r="F402" s="54" t="s">
        <v>22</v>
      </c>
      <c r="G402" s="45" t="s">
        <v>824</v>
      </c>
      <c r="H402" s="45" t="s">
        <v>825</v>
      </c>
      <c r="I402" s="40"/>
    </row>
    <row r="403" spans="2:9" x14ac:dyDescent="0.25">
      <c r="B403" s="41"/>
      <c r="C403" s="43" t="s">
        <v>1301</v>
      </c>
      <c r="D403" s="43" t="s">
        <v>1302</v>
      </c>
      <c r="E403" s="43" t="s">
        <v>823</v>
      </c>
      <c r="F403" s="48" t="s">
        <v>22</v>
      </c>
      <c r="G403" s="43" t="s">
        <v>824</v>
      </c>
      <c r="H403" s="43" t="s">
        <v>825</v>
      </c>
      <c r="I403" s="44"/>
    </row>
    <row r="404" spans="2:9" x14ac:dyDescent="0.25">
      <c r="B404" s="41"/>
      <c r="C404" s="43" t="s">
        <v>590</v>
      </c>
      <c r="D404" s="43" t="s">
        <v>1303</v>
      </c>
      <c r="E404" s="43" t="s">
        <v>823</v>
      </c>
      <c r="F404" s="48" t="s">
        <v>22</v>
      </c>
      <c r="G404" s="43" t="s">
        <v>824</v>
      </c>
      <c r="H404" s="43" t="s">
        <v>825</v>
      </c>
      <c r="I404" s="44"/>
    </row>
    <row r="405" spans="2:9" x14ac:dyDescent="0.25">
      <c r="B405" s="41"/>
      <c r="C405" s="43" t="s">
        <v>593</v>
      </c>
      <c r="D405" s="43" t="s">
        <v>1304</v>
      </c>
      <c r="E405" s="43" t="s">
        <v>823</v>
      </c>
      <c r="F405" s="48" t="s">
        <v>22</v>
      </c>
      <c r="G405" s="43" t="s">
        <v>824</v>
      </c>
      <c r="H405" s="43" t="s">
        <v>825</v>
      </c>
      <c r="I405" s="44"/>
    </row>
    <row r="406" spans="2:9" x14ac:dyDescent="0.25">
      <c r="B406" s="41"/>
      <c r="C406" s="43" t="s">
        <v>1305</v>
      </c>
      <c r="D406" s="43" t="s">
        <v>1306</v>
      </c>
      <c r="E406" s="43" t="s">
        <v>823</v>
      </c>
      <c r="F406" s="50" t="s">
        <v>47</v>
      </c>
      <c r="G406" s="43" t="s">
        <v>824</v>
      </c>
      <c r="H406" s="43" t="s">
        <v>825</v>
      </c>
      <c r="I406" s="44"/>
    </row>
    <row r="407" spans="2:9" x14ac:dyDescent="0.25">
      <c r="B407" s="41"/>
      <c r="C407" s="43" t="s">
        <v>595</v>
      </c>
      <c r="D407" s="43" t="s">
        <v>1307</v>
      </c>
      <c r="E407" s="43" t="s">
        <v>823</v>
      </c>
      <c r="F407" s="48" t="s">
        <v>22</v>
      </c>
      <c r="G407" s="43" t="s">
        <v>824</v>
      </c>
      <c r="H407" s="43" t="s">
        <v>825</v>
      </c>
      <c r="I407" s="44"/>
    </row>
    <row r="408" spans="2:9" x14ac:dyDescent="0.25">
      <c r="B408" s="41"/>
      <c r="C408" s="43" t="s">
        <v>596</v>
      </c>
      <c r="D408" s="43" t="s">
        <v>1308</v>
      </c>
      <c r="E408" s="43" t="s">
        <v>823</v>
      </c>
      <c r="F408" s="48" t="s">
        <v>22</v>
      </c>
      <c r="G408" s="43" t="s">
        <v>824</v>
      </c>
      <c r="H408" s="43" t="s">
        <v>825</v>
      </c>
      <c r="I408" s="44"/>
    </row>
    <row r="409" spans="2:9" x14ac:dyDescent="0.25">
      <c r="B409" s="41"/>
      <c r="C409" s="43" t="s">
        <v>1309</v>
      </c>
      <c r="D409" s="43" t="s">
        <v>1310</v>
      </c>
      <c r="E409" s="43" t="s">
        <v>823</v>
      </c>
      <c r="F409" s="48" t="s">
        <v>22</v>
      </c>
      <c r="G409" s="43" t="s">
        <v>824</v>
      </c>
      <c r="H409" s="43" t="s">
        <v>825</v>
      </c>
      <c r="I409" s="44"/>
    </row>
    <row r="410" spans="2:9" x14ac:dyDescent="0.25">
      <c r="B410" s="41"/>
      <c r="C410" s="43" t="s">
        <v>598</v>
      </c>
      <c r="D410" s="43" t="s">
        <v>1311</v>
      </c>
      <c r="E410" s="43" t="s">
        <v>823</v>
      </c>
      <c r="F410" s="48" t="s">
        <v>22</v>
      </c>
      <c r="G410" s="43" t="s">
        <v>824</v>
      </c>
      <c r="H410" s="43" t="s">
        <v>825</v>
      </c>
      <c r="I410" s="44"/>
    </row>
    <row r="411" spans="2:9" x14ac:dyDescent="0.25">
      <c r="B411" s="41"/>
      <c r="C411" s="43" t="s">
        <v>599</v>
      </c>
      <c r="D411" s="43" t="s">
        <v>1312</v>
      </c>
      <c r="E411" s="43" t="s">
        <v>823</v>
      </c>
      <c r="F411" s="48" t="s">
        <v>22</v>
      </c>
      <c r="G411" s="43" t="s">
        <v>824</v>
      </c>
      <c r="H411" s="43" t="s">
        <v>825</v>
      </c>
      <c r="I411" s="44"/>
    </row>
    <row r="412" spans="2:9" x14ac:dyDescent="0.25">
      <c r="B412" s="41"/>
      <c r="C412" s="43" t="s">
        <v>600</v>
      </c>
      <c r="D412" s="43" t="s">
        <v>1313</v>
      </c>
      <c r="E412" s="43" t="s">
        <v>823</v>
      </c>
      <c r="F412" s="48" t="s">
        <v>22</v>
      </c>
      <c r="G412" s="43" t="s">
        <v>824</v>
      </c>
      <c r="H412" s="43" t="s">
        <v>825</v>
      </c>
      <c r="I412" s="44"/>
    </row>
    <row r="413" spans="2:9" x14ac:dyDescent="0.25">
      <c r="B413" s="41"/>
      <c r="C413" s="43" t="s">
        <v>602</v>
      </c>
      <c r="D413" s="43" t="s">
        <v>1314</v>
      </c>
      <c r="E413" s="43" t="s">
        <v>823</v>
      </c>
      <c r="F413" s="48" t="s">
        <v>22</v>
      </c>
      <c r="G413" s="43" t="s">
        <v>824</v>
      </c>
      <c r="H413" s="43" t="s">
        <v>825</v>
      </c>
      <c r="I413" s="44"/>
    </row>
    <row r="414" spans="2:9" x14ac:dyDescent="0.25">
      <c r="B414" s="41"/>
      <c r="C414" s="43" t="s">
        <v>604</v>
      </c>
      <c r="D414" s="43" t="s">
        <v>1315</v>
      </c>
      <c r="E414" s="43" t="s">
        <v>823</v>
      </c>
      <c r="F414" s="48" t="s">
        <v>22</v>
      </c>
      <c r="G414" s="43" t="s">
        <v>824</v>
      </c>
      <c r="H414" s="43" t="s">
        <v>825</v>
      </c>
      <c r="I414" s="44"/>
    </row>
    <row r="415" spans="2:9" x14ac:dyDescent="0.25">
      <c r="B415" s="41"/>
      <c r="C415" s="43" t="s">
        <v>606</v>
      </c>
      <c r="D415" s="43" t="s">
        <v>1316</v>
      </c>
      <c r="E415" s="43" t="s">
        <v>823</v>
      </c>
      <c r="F415" s="48" t="s">
        <v>22</v>
      </c>
      <c r="G415" s="43" t="s">
        <v>824</v>
      </c>
      <c r="H415" s="43" t="s">
        <v>825</v>
      </c>
      <c r="I415" s="44"/>
    </row>
    <row r="416" spans="2:9" x14ac:dyDescent="0.25">
      <c r="B416" s="41"/>
      <c r="C416" s="43" t="s">
        <v>608</v>
      </c>
      <c r="D416" s="43" t="s">
        <v>1317</v>
      </c>
      <c r="E416" s="43" t="s">
        <v>823</v>
      </c>
      <c r="F416" s="48" t="s">
        <v>22</v>
      </c>
      <c r="G416" s="43" t="s">
        <v>824</v>
      </c>
      <c r="H416" s="43" t="s">
        <v>825</v>
      </c>
      <c r="I416" s="44"/>
    </row>
    <row r="417" spans="2:9" x14ac:dyDescent="0.25">
      <c r="B417" s="41"/>
      <c r="C417" s="43" t="s">
        <v>610</v>
      </c>
      <c r="D417" s="43" t="s">
        <v>1318</v>
      </c>
      <c r="E417" s="43" t="s">
        <v>823</v>
      </c>
      <c r="F417" s="49" t="s">
        <v>36</v>
      </c>
      <c r="G417" s="43" t="s">
        <v>824</v>
      </c>
      <c r="H417" s="43" t="s">
        <v>825</v>
      </c>
      <c r="I417" s="44"/>
    </row>
    <row r="418" spans="2:9" x14ac:dyDescent="0.25">
      <c r="B418" s="41"/>
      <c r="C418" s="43" t="s">
        <v>1319</v>
      </c>
      <c r="D418" s="43" t="s">
        <v>1320</v>
      </c>
      <c r="E418" s="43" t="s">
        <v>823</v>
      </c>
      <c r="F418" s="48" t="s">
        <v>22</v>
      </c>
      <c r="G418" s="43" t="s">
        <v>824</v>
      </c>
      <c r="H418" s="43" t="s">
        <v>825</v>
      </c>
      <c r="I418" s="44"/>
    </row>
    <row r="419" spans="2:9" x14ac:dyDescent="0.25">
      <c r="B419" s="41"/>
      <c r="C419" s="43" t="s">
        <v>611</v>
      </c>
      <c r="D419" s="43" t="s">
        <v>1321</v>
      </c>
      <c r="E419" s="43" t="s">
        <v>823</v>
      </c>
      <c r="F419" s="50" t="s">
        <v>47</v>
      </c>
      <c r="G419" s="43" t="s">
        <v>824</v>
      </c>
      <c r="H419" s="43" t="s">
        <v>825</v>
      </c>
      <c r="I419" s="44"/>
    </row>
    <row r="420" spans="2:9" x14ac:dyDescent="0.25">
      <c r="B420" s="41"/>
      <c r="C420" s="43" t="s">
        <v>612</v>
      </c>
      <c r="D420" s="43" t="s">
        <v>1322</v>
      </c>
      <c r="E420" s="43" t="s">
        <v>823</v>
      </c>
      <c r="F420" s="48" t="s">
        <v>22</v>
      </c>
      <c r="G420" s="43" t="s">
        <v>824</v>
      </c>
      <c r="H420" s="43" t="s">
        <v>825</v>
      </c>
      <c r="I420" s="44"/>
    </row>
    <row r="421" spans="2:9" x14ac:dyDescent="0.25">
      <c r="B421" s="41"/>
      <c r="C421" s="43" t="s">
        <v>615</v>
      </c>
      <c r="D421" s="43" t="s">
        <v>1323</v>
      </c>
      <c r="E421" s="43" t="s">
        <v>823</v>
      </c>
      <c r="F421" s="48" t="s">
        <v>22</v>
      </c>
      <c r="G421" s="43" t="s">
        <v>824</v>
      </c>
      <c r="H421" s="43" t="s">
        <v>825</v>
      </c>
      <c r="I421" s="44"/>
    </row>
    <row r="422" spans="2:9" x14ac:dyDescent="0.25">
      <c r="B422" s="41"/>
      <c r="C422" s="43" t="s">
        <v>1324</v>
      </c>
      <c r="D422" s="43" t="s">
        <v>1325</v>
      </c>
      <c r="E422" s="43" t="s">
        <v>823</v>
      </c>
      <c r="F422" s="53" t="s">
        <v>222</v>
      </c>
      <c r="G422" s="43" t="s">
        <v>825</v>
      </c>
      <c r="H422" s="43" t="s">
        <v>825</v>
      </c>
      <c r="I422" s="44"/>
    </row>
    <row r="423" spans="2:9" x14ac:dyDescent="0.25">
      <c r="B423" s="41"/>
      <c r="C423" s="43" t="s">
        <v>1326</v>
      </c>
      <c r="D423" s="43" t="s">
        <v>1327</v>
      </c>
      <c r="E423" s="43" t="s">
        <v>823</v>
      </c>
      <c r="F423" s="48" t="s">
        <v>22</v>
      </c>
      <c r="G423" s="43" t="s">
        <v>824</v>
      </c>
      <c r="H423" s="43" t="s">
        <v>825</v>
      </c>
      <c r="I423" s="44"/>
    </row>
    <row r="424" spans="2:9" x14ac:dyDescent="0.25">
      <c r="B424" s="41"/>
      <c r="C424" s="43" t="s">
        <v>617</v>
      </c>
      <c r="D424" s="43" t="s">
        <v>1328</v>
      </c>
      <c r="E424" s="43" t="s">
        <v>823</v>
      </c>
      <c r="F424" s="48" t="s">
        <v>22</v>
      </c>
      <c r="G424" s="43" t="s">
        <v>824</v>
      </c>
      <c r="H424" s="43" t="s">
        <v>825</v>
      </c>
      <c r="I424" s="44"/>
    </row>
    <row r="425" spans="2:9" x14ac:dyDescent="0.25">
      <c r="B425" s="41"/>
      <c r="C425" s="43" t="s">
        <v>621</v>
      </c>
      <c r="D425" s="43" t="s">
        <v>1329</v>
      </c>
      <c r="E425" s="43" t="s">
        <v>823</v>
      </c>
      <c r="F425" s="50" t="s">
        <v>47</v>
      </c>
      <c r="G425" s="43" t="s">
        <v>824</v>
      </c>
      <c r="H425" s="43" t="s">
        <v>825</v>
      </c>
      <c r="I425" s="44"/>
    </row>
    <row r="426" spans="2:9" x14ac:dyDescent="0.25">
      <c r="B426" s="41"/>
      <c r="C426" s="43" t="s">
        <v>624</v>
      </c>
      <c r="D426" s="43" t="s">
        <v>1330</v>
      </c>
      <c r="E426" s="43" t="s">
        <v>823</v>
      </c>
      <c r="F426" s="48" t="s">
        <v>22</v>
      </c>
      <c r="G426" s="43" t="s">
        <v>824</v>
      </c>
      <c r="H426" s="43" t="s">
        <v>825</v>
      </c>
      <c r="I426" s="44"/>
    </row>
    <row r="427" spans="2:9" x14ac:dyDescent="0.25">
      <c r="B427" s="41"/>
      <c r="C427" s="43" t="s">
        <v>625</v>
      </c>
      <c r="D427" s="43" t="s">
        <v>1331</v>
      </c>
      <c r="E427" s="43" t="s">
        <v>823</v>
      </c>
      <c r="F427" s="48" t="s">
        <v>22</v>
      </c>
      <c r="G427" s="43" t="s">
        <v>824</v>
      </c>
      <c r="H427" s="43" t="s">
        <v>825</v>
      </c>
      <c r="I427" s="44"/>
    </row>
    <row r="428" spans="2:9" x14ac:dyDescent="0.25">
      <c r="B428" s="41"/>
      <c r="C428" s="43" t="s">
        <v>1332</v>
      </c>
      <c r="D428" s="43" t="s">
        <v>1333</v>
      </c>
      <c r="E428" s="43" t="s">
        <v>823</v>
      </c>
      <c r="F428" s="48" t="s">
        <v>22</v>
      </c>
      <c r="G428" s="43" t="s">
        <v>824</v>
      </c>
      <c r="H428" s="43" t="s">
        <v>825</v>
      </c>
      <c r="I428" s="44"/>
    </row>
    <row r="429" spans="2:9" x14ac:dyDescent="0.25">
      <c r="B429" s="41"/>
      <c r="C429" s="43" t="s">
        <v>627</v>
      </c>
      <c r="D429" s="43" t="s">
        <v>1334</v>
      </c>
      <c r="E429" s="43" t="s">
        <v>823</v>
      </c>
      <c r="F429" s="48" t="s">
        <v>22</v>
      </c>
      <c r="G429" s="43" t="s">
        <v>824</v>
      </c>
      <c r="H429" s="43" t="s">
        <v>825</v>
      </c>
      <c r="I429" s="44"/>
    </row>
    <row r="430" spans="2:9" x14ac:dyDescent="0.25">
      <c r="B430" s="41"/>
      <c r="C430" s="43" t="s">
        <v>1335</v>
      </c>
      <c r="D430" s="43" t="s">
        <v>1336</v>
      </c>
      <c r="E430" s="43" t="s">
        <v>872</v>
      </c>
      <c r="F430" s="49" t="s">
        <v>36</v>
      </c>
      <c r="G430" s="43" t="s">
        <v>824</v>
      </c>
      <c r="H430" s="43" t="s">
        <v>861</v>
      </c>
      <c r="I430" s="44"/>
    </row>
    <row r="431" spans="2:9" x14ac:dyDescent="0.25">
      <c r="B431" s="41"/>
      <c r="C431" s="43" t="s">
        <v>628</v>
      </c>
      <c r="D431" s="43" t="s">
        <v>1337</v>
      </c>
      <c r="E431" s="43" t="s">
        <v>823</v>
      </c>
      <c r="F431" s="48" t="s">
        <v>22</v>
      </c>
      <c r="G431" s="43" t="s">
        <v>824</v>
      </c>
      <c r="H431" s="43" t="s">
        <v>825</v>
      </c>
      <c r="I431" s="44"/>
    </row>
    <row r="432" spans="2:9" x14ac:dyDescent="0.25">
      <c r="B432" s="41"/>
      <c r="C432" s="43" t="s">
        <v>630</v>
      </c>
      <c r="D432" s="43" t="s">
        <v>1338</v>
      </c>
      <c r="E432" s="43" t="s">
        <v>823</v>
      </c>
      <c r="F432" s="48" t="s">
        <v>22</v>
      </c>
      <c r="G432" s="43" t="s">
        <v>824</v>
      </c>
      <c r="H432" s="43" t="s">
        <v>825</v>
      </c>
      <c r="I432" s="44"/>
    </row>
    <row r="433" spans="2:9" x14ac:dyDescent="0.25">
      <c r="B433" s="41"/>
      <c r="C433" s="43" t="s">
        <v>632</v>
      </c>
      <c r="D433" s="43" t="s">
        <v>1339</v>
      </c>
      <c r="E433" s="43" t="s">
        <v>823</v>
      </c>
      <c r="F433" s="48" t="s">
        <v>22</v>
      </c>
      <c r="G433" s="43" t="s">
        <v>824</v>
      </c>
      <c r="H433" s="43" t="s">
        <v>825</v>
      </c>
      <c r="I433" s="44"/>
    </row>
    <row r="434" spans="2:9" x14ac:dyDescent="0.25">
      <c r="B434" s="41"/>
      <c r="C434" s="43" t="s">
        <v>635</v>
      </c>
      <c r="D434" s="43" t="s">
        <v>1340</v>
      </c>
      <c r="E434" s="43" t="s">
        <v>823</v>
      </c>
      <c r="F434" s="48" t="s">
        <v>22</v>
      </c>
      <c r="G434" s="43" t="s">
        <v>824</v>
      </c>
      <c r="H434" s="43" t="s">
        <v>825</v>
      </c>
      <c r="I434" s="44"/>
    </row>
    <row r="435" spans="2:9" x14ac:dyDescent="0.25">
      <c r="B435" s="41"/>
      <c r="C435" s="43" t="s">
        <v>637</v>
      </c>
      <c r="D435" s="43" t="s">
        <v>1341</v>
      </c>
      <c r="E435" s="43" t="s">
        <v>823</v>
      </c>
      <c r="F435" s="49" t="s">
        <v>36</v>
      </c>
      <c r="G435" s="43" t="s">
        <v>824</v>
      </c>
      <c r="H435" s="43" t="s">
        <v>825</v>
      </c>
      <c r="I435" s="44"/>
    </row>
    <row r="436" spans="2:9" x14ac:dyDescent="0.25">
      <c r="B436" s="41"/>
      <c r="C436" s="43" t="s">
        <v>638</v>
      </c>
      <c r="D436" s="43" t="s">
        <v>1342</v>
      </c>
      <c r="E436" s="43" t="s">
        <v>823</v>
      </c>
      <c r="F436" s="48" t="s">
        <v>22</v>
      </c>
      <c r="G436" s="43" t="s">
        <v>824</v>
      </c>
      <c r="H436" s="43" t="s">
        <v>825</v>
      </c>
      <c r="I436" s="44"/>
    </row>
    <row r="437" spans="2:9" x14ac:dyDescent="0.25">
      <c r="B437" s="41"/>
      <c r="C437" s="43" t="s">
        <v>1343</v>
      </c>
      <c r="D437" s="43" t="s">
        <v>1344</v>
      </c>
      <c r="E437" s="43" t="s">
        <v>823</v>
      </c>
      <c r="F437" s="48" t="s">
        <v>22</v>
      </c>
      <c r="G437" s="43" t="s">
        <v>824</v>
      </c>
      <c r="H437" s="43" t="s">
        <v>825</v>
      </c>
      <c r="I437" s="44"/>
    </row>
    <row r="438" spans="2:9" x14ac:dyDescent="0.25">
      <c r="B438" s="41"/>
      <c r="C438" s="43" t="s">
        <v>640</v>
      </c>
      <c r="D438" s="43" t="s">
        <v>1345</v>
      </c>
      <c r="E438" s="43" t="s">
        <v>823</v>
      </c>
      <c r="F438" s="48" t="s">
        <v>22</v>
      </c>
      <c r="G438" s="43" t="s">
        <v>824</v>
      </c>
      <c r="H438" s="43" t="s">
        <v>825</v>
      </c>
      <c r="I438" s="44"/>
    </row>
    <row r="439" spans="2:9" x14ac:dyDescent="0.25">
      <c r="B439" s="41"/>
      <c r="C439" s="43" t="s">
        <v>642</v>
      </c>
      <c r="D439" s="43" t="s">
        <v>1346</v>
      </c>
      <c r="E439" s="43" t="s">
        <v>823</v>
      </c>
      <c r="F439" s="48" t="s">
        <v>22</v>
      </c>
      <c r="G439" s="43" t="s">
        <v>824</v>
      </c>
      <c r="H439" s="43" t="s">
        <v>825</v>
      </c>
      <c r="I439" s="44"/>
    </row>
    <row r="440" spans="2:9" x14ac:dyDescent="0.25">
      <c r="B440" s="41"/>
      <c r="C440" s="43" t="s">
        <v>1347</v>
      </c>
      <c r="D440" s="43" t="s">
        <v>1348</v>
      </c>
      <c r="E440" s="43" t="s">
        <v>823</v>
      </c>
      <c r="F440" s="48" t="s">
        <v>22</v>
      </c>
      <c r="G440" s="43" t="s">
        <v>824</v>
      </c>
      <c r="H440" s="43" t="s">
        <v>825</v>
      </c>
      <c r="I440" s="44"/>
    </row>
    <row r="441" spans="2:9" x14ac:dyDescent="0.25">
      <c r="B441" s="41"/>
      <c r="C441" s="43" t="s">
        <v>643</v>
      </c>
      <c r="D441" s="43" t="s">
        <v>1349</v>
      </c>
      <c r="E441" s="43" t="s">
        <v>823</v>
      </c>
      <c r="F441" s="48" t="s">
        <v>22</v>
      </c>
      <c r="G441" s="43" t="s">
        <v>824</v>
      </c>
      <c r="H441" s="43" t="s">
        <v>825</v>
      </c>
      <c r="I441" s="44"/>
    </row>
    <row r="442" spans="2:9" x14ac:dyDescent="0.25">
      <c r="B442" s="41"/>
      <c r="C442" s="43" t="s">
        <v>646</v>
      </c>
      <c r="D442" s="43" t="s">
        <v>1350</v>
      </c>
      <c r="E442" s="43" t="s">
        <v>823</v>
      </c>
      <c r="F442" s="50" t="s">
        <v>47</v>
      </c>
      <c r="G442" s="43" t="s">
        <v>824</v>
      </c>
      <c r="H442" s="43" t="s">
        <v>825</v>
      </c>
      <c r="I442" s="44"/>
    </row>
    <row r="443" spans="2:9" x14ac:dyDescent="0.25">
      <c r="B443" s="41"/>
      <c r="C443" s="43" t="s">
        <v>647</v>
      </c>
      <c r="D443" s="43" t="s">
        <v>1351</v>
      </c>
      <c r="E443" s="43" t="s">
        <v>823</v>
      </c>
      <c r="F443" s="48" t="s">
        <v>22</v>
      </c>
      <c r="G443" s="43" t="s">
        <v>824</v>
      </c>
      <c r="H443" s="43" t="s">
        <v>825</v>
      </c>
      <c r="I443" s="44"/>
    </row>
    <row r="444" spans="2:9" x14ac:dyDescent="0.25">
      <c r="B444" s="41"/>
      <c r="C444" s="43" t="s">
        <v>649</v>
      </c>
      <c r="D444" s="43" t="s">
        <v>1352</v>
      </c>
      <c r="E444" s="43" t="s">
        <v>823</v>
      </c>
      <c r="F444" s="48" t="s">
        <v>22</v>
      </c>
      <c r="G444" s="43" t="s">
        <v>824</v>
      </c>
      <c r="H444" s="43" t="s">
        <v>825</v>
      </c>
      <c r="I444" s="44"/>
    </row>
    <row r="445" spans="2:9" x14ac:dyDescent="0.25">
      <c r="B445" s="41"/>
      <c r="C445" s="43" t="s">
        <v>1353</v>
      </c>
      <c r="D445" s="43" t="s">
        <v>1354</v>
      </c>
      <c r="E445" s="43" t="s">
        <v>823</v>
      </c>
      <c r="F445" s="48" t="s">
        <v>22</v>
      </c>
      <c r="G445" s="43" t="s">
        <v>824</v>
      </c>
      <c r="H445" s="43" t="s">
        <v>825</v>
      </c>
      <c r="I445" s="44"/>
    </row>
    <row r="446" spans="2:9" x14ac:dyDescent="0.25">
      <c r="B446" s="41"/>
      <c r="C446" s="43" t="s">
        <v>651</v>
      </c>
      <c r="D446" s="43" t="s">
        <v>1355</v>
      </c>
      <c r="E446" s="43" t="s">
        <v>823</v>
      </c>
      <c r="F446" s="48" t="s">
        <v>22</v>
      </c>
      <c r="G446" s="43" t="s">
        <v>824</v>
      </c>
      <c r="H446" s="43" t="s">
        <v>825</v>
      </c>
      <c r="I446" s="44"/>
    </row>
    <row r="447" spans="2:9" x14ac:dyDescent="0.25">
      <c r="B447" s="41"/>
      <c r="C447" s="43" t="s">
        <v>1356</v>
      </c>
      <c r="D447" s="43" t="s">
        <v>1357</v>
      </c>
      <c r="E447" s="43" t="s">
        <v>823</v>
      </c>
      <c r="F447" s="48" t="s">
        <v>22</v>
      </c>
      <c r="G447" s="43" t="s">
        <v>824</v>
      </c>
      <c r="H447" s="43" t="s">
        <v>825</v>
      </c>
      <c r="I447" s="44"/>
    </row>
    <row r="448" spans="2:9" x14ac:dyDescent="0.25">
      <c r="B448" s="41"/>
      <c r="C448" s="43" t="s">
        <v>653</v>
      </c>
      <c r="D448" s="43" t="s">
        <v>1358</v>
      </c>
      <c r="E448" s="43" t="s">
        <v>823</v>
      </c>
      <c r="F448" s="48" t="s">
        <v>22</v>
      </c>
      <c r="G448" s="43" t="s">
        <v>824</v>
      </c>
      <c r="H448" s="43" t="s">
        <v>825</v>
      </c>
      <c r="I448" s="44"/>
    </row>
    <row r="449" spans="2:9" x14ac:dyDescent="0.25">
      <c r="B449" s="41"/>
      <c r="C449" s="43" t="s">
        <v>655</v>
      </c>
      <c r="D449" s="43" t="s">
        <v>1359</v>
      </c>
      <c r="E449" s="43" t="s">
        <v>823</v>
      </c>
      <c r="F449" s="48" t="s">
        <v>22</v>
      </c>
      <c r="G449" s="43" t="s">
        <v>824</v>
      </c>
      <c r="H449" s="43" t="s">
        <v>825</v>
      </c>
      <c r="I449" s="44"/>
    </row>
    <row r="450" spans="2:9" x14ac:dyDescent="0.25">
      <c r="B450" s="41"/>
      <c r="C450" s="43" t="s">
        <v>657</v>
      </c>
      <c r="D450" s="43" t="s">
        <v>1360</v>
      </c>
      <c r="E450" s="43" t="s">
        <v>823</v>
      </c>
      <c r="F450" s="49" t="s">
        <v>36</v>
      </c>
      <c r="G450" s="43" t="s">
        <v>824</v>
      </c>
      <c r="H450" s="43" t="s">
        <v>825</v>
      </c>
      <c r="I450" s="44"/>
    </row>
    <row r="451" spans="2:9" x14ac:dyDescent="0.25">
      <c r="B451" s="41"/>
      <c r="C451" s="43" t="s">
        <v>658</v>
      </c>
      <c r="D451" s="43" t="s">
        <v>1361</v>
      </c>
      <c r="E451" s="43" t="s">
        <v>823</v>
      </c>
      <c r="F451" s="48" t="s">
        <v>22</v>
      </c>
      <c r="G451" s="43" t="s">
        <v>824</v>
      </c>
      <c r="H451" s="43" t="s">
        <v>825</v>
      </c>
      <c r="I451" s="44"/>
    </row>
    <row r="452" spans="2:9" x14ac:dyDescent="0.25">
      <c r="B452" s="42"/>
      <c r="C452" s="45" t="s">
        <v>661</v>
      </c>
      <c r="D452" s="45" t="s">
        <v>1362</v>
      </c>
      <c r="E452" s="45" t="s">
        <v>823</v>
      </c>
      <c r="F452" s="54" t="s">
        <v>22</v>
      </c>
      <c r="G452" s="45" t="s">
        <v>824</v>
      </c>
      <c r="H452" s="45" t="s">
        <v>825</v>
      </c>
      <c r="I452" s="40"/>
    </row>
    <row r="453" spans="2:9" x14ac:dyDescent="0.25">
      <c r="B453" s="41"/>
      <c r="C453" s="43" t="s">
        <v>662</v>
      </c>
      <c r="D453" s="43" t="s">
        <v>1363</v>
      </c>
      <c r="E453" s="43" t="s">
        <v>823</v>
      </c>
      <c r="F453" s="48" t="s">
        <v>22</v>
      </c>
      <c r="G453" s="43" t="s">
        <v>824</v>
      </c>
      <c r="H453" s="43" t="s">
        <v>825</v>
      </c>
      <c r="I453" s="44"/>
    </row>
    <row r="454" spans="2:9" x14ac:dyDescent="0.25">
      <c r="B454" s="41"/>
      <c r="C454" s="43" t="s">
        <v>663</v>
      </c>
      <c r="D454" s="43" t="s">
        <v>1364</v>
      </c>
      <c r="E454" s="43" t="s">
        <v>823</v>
      </c>
      <c r="F454" s="48" t="s">
        <v>22</v>
      </c>
      <c r="G454" s="43" t="s">
        <v>824</v>
      </c>
      <c r="H454" s="43" t="s">
        <v>825</v>
      </c>
      <c r="I454" s="44"/>
    </row>
    <row r="455" spans="2:9" x14ac:dyDescent="0.25">
      <c r="B455" s="41"/>
      <c r="C455" s="43" t="s">
        <v>665</v>
      </c>
      <c r="D455" s="43" t="s">
        <v>1365</v>
      </c>
      <c r="E455" s="43" t="s">
        <v>823</v>
      </c>
      <c r="F455" s="48" t="s">
        <v>22</v>
      </c>
      <c r="G455" s="43" t="s">
        <v>824</v>
      </c>
      <c r="H455" s="43" t="s">
        <v>825</v>
      </c>
      <c r="I455" s="44"/>
    </row>
    <row r="456" spans="2:9" x14ac:dyDescent="0.25">
      <c r="B456" s="41"/>
      <c r="C456" s="43" t="s">
        <v>666</v>
      </c>
      <c r="D456" s="43" t="s">
        <v>1366</v>
      </c>
      <c r="E456" s="43" t="s">
        <v>823</v>
      </c>
      <c r="F456" s="48" t="s">
        <v>22</v>
      </c>
      <c r="G456" s="43" t="s">
        <v>824</v>
      </c>
      <c r="H456" s="43" t="s">
        <v>825</v>
      </c>
      <c r="I456" s="44"/>
    </row>
    <row r="457" spans="2:9" x14ac:dyDescent="0.25">
      <c r="B457" s="41"/>
      <c r="C457" s="43" t="s">
        <v>668</v>
      </c>
      <c r="D457" s="43" t="s">
        <v>1367</v>
      </c>
      <c r="E457" s="43" t="s">
        <v>823</v>
      </c>
      <c r="F457" s="48" t="s">
        <v>22</v>
      </c>
      <c r="G457" s="43" t="s">
        <v>824</v>
      </c>
      <c r="H457" s="43" t="s">
        <v>825</v>
      </c>
      <c r="I457" s="44"/>
    </row>
    <row r="458" spans="2:9" x14ac:dyDescent="0.25">
      <c r="B458" s="41"/>
      <c r="C458" s="43" t="s">
        <v>671</v>
      </c>
      <c r="D458" s="43" t="s">
        <v>1368</v>
      </c>
      <c r="E458" s="43" t="s">
        <v>823</v>
      </c>
      <c r="F458" s="48" t="s">
        <v>22</v>
      </c>
      <c r="G458" s="43" t="s">
        <v>824</v>
      </c>
      <c r="H458" s="43" t="s">
        <v>825</v>
      </c>
      <c r="I458" s="44"/>
    </row>
    <row r="459" spans="2:9" x14ac:dyDescent="0.25">
      <c r="B459" s="41"/>
      <c r="C459" s="43" t="s">
        <v>673</v>
      </c>
      <c r="D459" s="43" t="s">
        <v>1369</v>
      </c>
      <c r="E459" s="43" t="s">
        <v>823</v>
      </c>
      <c r="F459" s="48" t="s">
        <v>22</v>
      </c>
      <c r="G459" s="43" t="s">
        <v>824</v>
      </c>
      <c r="H459" s="43" t="s">
        <v>825</v>
      </c>
      <c r="I459" s="44"/>
    </row>
    <row r="460" spans="2:9" x14ac:dyDescent="0.25">
      <c r="B460" s="41"/>
      <c r="C460" s="43" t="s">
        <v>1370</v>
      </c>
      <c r="D460" s="43" t="s">
        <v>1371</v>
      </c>
      <c r="E460" s="43" t="s">
        <v>823</v>
      </c>
      <c r="F460" s="48" t="s">
        <v>22</v>
      </c>
      <c r="G460" s="43" t="s">
        <v>824</v>
      </c>
      <c r="H460" s="43" t="s">
        <v>825</v>
      </c>
      <c r="I460" s="44"/>
    </row>
    <row r="461" spans="2:9" x14ac:dyDescent="0.25">
      <c r="B461" s="41"/>
      <c r="C461" s="43" t="s">
        <v>675</v>
      </c>
      <c r="D461" s="43" t="s">
        <v>1372</v>
      </c>
      <c r="E461" s="43" t="s">
        <v>823</v>
      </c>
      <c r="F461" s="48" t="s">
        <v>22</v>
      </c>
      <c r="G461" s="43" t="s">
        <v>824</v>
      </c>
      <c r="H461" s="43" t="s">
        <v>825</v>
      </c>
      <c r="I461" s="44"/>
    </row>
    <row r="462" spans="2:9" x14ac:dyDescent="0.25">
      <c r="B462" s="41"/>
      <c r="C462" s="43" t="s">
        <v>677</v>
      </c>
      <c r="D462" s="43" t="s">
        <v>1373</v>
      </c>
      <c r="E462" s="43" t="s">
        <v>823</v>
      </c>
      <c r="F462" s="48" t="s">
        <v>22</v>
      </c>
      <c r="G462" s="43" t="s">
        <v>824</v>
      </c>
      <c r="H462" s="43" t="s">
        <v>825</v>
      </c>
      <c r="I462" s="44"/>
    </row>
    <row r="463" spans="2:9" x14ac:dyDescent="0.25">
      <c r="B463" s="41"/>
      <c r="C463" s="43" t="s">
        <v>679</v>
      </c>
      <c r="D463" s="43" t="s">
        <v>1374</v>
      </c>
      <c r="E463" s="43" t="s">
        <v>823</v>
      </c>
      <c r="F463" s="48" t="s">
        <v>22</v>
      </c>
      <c r="G463" s="43" t="s">
        <v>824</v>
      </c>
      <c r="H463" s="43" t="s">
        <v>825</v>
      </c>
      <c r="I463" s="44"/>
    </row>
    <row r="464" spans="2:9" x14ac:dyDescent="0.25">
      <c r="B464" s="41"/>
      <c r="C464" s="43" t="s">
        <v>681</v>
      </c>
      <c r="D464" s="43" t="s">
        <v>1375</v>
      </c>
      <c r="E464" s="43" t="s">
        <v>823</v>
      </c>
      <c r="F464" s="48" t="s">
        <v>22</v>
      </c>
      <c r="G464" s="43" t="s">
        <v>824</v>
      </c>
      <c r="H464" s="43" t="s">
        <v>825</v>
      </c>
      <c r="I464" s="44"/>
    </row>
    <row r="465" spans="2:9" x14ac:dyDescent="0.25">
      <c r="B465" s="41"/>
      <c r="C465" s="43" t="s">
        <v>1376</v>
      </c>
      <c r="D465" s="43" t="s">
        <v>1377</v>
      </c>
      <c r="E465" s="43" t="s">
        <v>823</v>
      </c>
      <c r="F465" s="48" t="s">
        <v>22</v>
      </c>
      <c r="G465" s="43" t="s">
        <v>824</v>
      </c>
      <c r="H465" s="43" t="s">
        <v>825</v>
      </c>
      <c r="I465" s="44"/>
    </row>
    <row r="466" spans="2:9" x14ac:dyDescent="0.25">
      <c r="B466" s="41"/>
      <c r="C466" s="43" t="s">
        <v>683</v>
      </c>
      <c r="D466" s="43" t="s">
        <v>1378</v>
      </c>
      <c r="E466" s="43" t="s">
        <v>823</v>
      </c>
      <c r="F466" s="49" t="s">
        <v>36</v>
      </c>
      <c r="G466" s="43" t="s">
        <v>824</v>
      </c>
      <c r="H466" s="43" t="s">
        <v>825</v>
      </c>
      <c r="I466" s="44"/>
    </row>
    <row r="467" spans="2:9" x14ac:dyDescent="0.25">
      <c r="B467" s="41"/>
      <c r="C467" s="43" t="s">
        <v>684</v>
      </c>
      <c r="D467" s="43" t="s">
        <v>1379</v>
      </c>
      <c r="E467" s="43" t="s">
        <v>823</v>
      </c>
      <c r="F467" s="48" t="s">
        <v>22</v>
      </c>
      <c r="G467" s="43" t="s">
        <v>824</v>
      </c>
      <c r="H467" s="43" t="s">
        <v>825</v>
      </c>
      <c r="I467" s="44"/>
    </row>
    <row r="468" spans="2:9" x14ac:dyDescent="0.25">
      <c r="B468" s="41"/>
      <c r="C468" s="43" t="s">
        <v>687</v>
      </c>
      <c r="D468" s="43" t="s">
        <v>1380</v>
      </c>
      <c r="E468" s="43" t="s">
        <v>823</v>
      </c>
      <c r="F468" s="48" t="s">
        <v>22</v>
      </c>
      <c r="G468" s="43" t="s">
        <v>824</v>
      </c>
      <c r="H468" s="43" t="s">
        <v>825</v>
      </c>
      <c r="I468" s="44"/>
    </row>
    <row r="469" spans="2:9" x14ac:dyDescent="0.25">
      <c r="B469" s="41"/>
      <c r="C469" s="43" t="s">
        <v>690</v>
      </c>
      <c r="D469" s="43" t="s">
        <v>1381</v>
      </c>
      <c r="E469" s="43" t="s">
        <v>823</v>
      </c>
      <c r="F469" s="49" t="s">
        <v>36</v>
      </c>
      <c r="G469" s="43" t="s">
        <v>824</v>
      </c>
      <c r="H469" s="43" t="s">
        <v>825</v>
      </c>
      <c r="I469" s="44"/>
    </row>
    <row r="470" spans="2:9" x14ac:dyDescent="0.25">
      <c r="B470" s="41"/>
      <c r="C470" s="43" t="s">
        <v>693</v>
      </c>
      <c r="D470" s="43" t="s">
        <v>1382</v>
      </c>
      <c r="E470" s="43" t="s">
        <v>823</v>
      </c>
      <c r="F470" s="48" t="s">
        <v>22</v>
      </c>
      <c r="G470" s="43" t="s">
        <v>824</v>
      </c>
      <c r="H470" s="43" t="s">
        <v>825</v>
      </c>
      <c r="I470" s="44"/>
    </row>
    <row r="471" spans="2:9" x14ac:dyDescent="0.25">
      <c r="B471" s="41"/>
      <c r="C471" s="43" t="s">
        <v>697</v>
      </c>
      <c r="D471" s="43" t="s">
        <v>1383</v>
      </c>
      <c r="E471" s="43" t="s">
        <v>823</v>
      </c>
      <c r="F471" s="48" t="s">
        <v>22</v>
      </c>
      <c r="G471" s="43" t="s">
        <v>824</v>
      </c>
      <c r="H471" s="43" t="s">
        <v>825</v>
      </c>
      <c r="I471" s="44"/>
    </row>
    <row r="472" spans="2:9" x14ac:dyDescent="0.25">
      <c r="B472" s="41"/>
      <c r="C472" s="43" t="s">
        <v>21</v>
      </c>
      <c r="D472" s="43" t="s">
        <v>1384</v>
      </c>
      <c r="E472" s="43" t="s">
        <v>823</v>
      </c>
      <c r="F472" s="49" t="s">
        <v>36</v>
      </c>
      <c r="G472" s="43" t="s">
        <v>824</v>
      </c>
      <c r="H472" s="43" t="s">
        <v>825</v>
      </c>
      <c r="I472" s="44"/>
    </row>
    <row r="473" spans="2:9" x14ac:dyDescent="0.25">
      <c r="B473" s="41"/>
      <c r="C473" s="43" t="s">
        <v>699</v>
      </c>
      <c r="D473" s="43" t="s">
        <v>1385</v>
      </c>
      <c r="E473" s="43" t="s">
        <v>823</v>
      </c>
      <c r="F473" s="48" t="s">
        <v>22</v>
      </c>
      <c r="G473" s="43" t="s">
        <v>824</v>
      </c>
      <c r="H473" s="43" t="s">
        <v>861</v>
      </c>
      <c r="I473" s="44"/>
    </row>
    <row r="474" spans="2:9" x14ac:dyDescent="0.25">
      <c r="B474" s="41"/>
      <c r="C474" s="43" t="s">
        <v>700</v>
      </c>
      <c r="D474" s="43" t="s">
        <v>1386</v>
      </c>
      <c r="E474" s="43" t="s">
        <v>823</v>
      </c>
      <c r="F474" s="48" t="s">
        <v>22</v>
      </c>
      <c r="G474" s="43" t="s">
        <v>824</v>
      </c>
      <c r="H474" s="43" t="s">
        <v>825</v>
      </c>
      <c r="I474" s="44"/>
    </row>
    <row r="475" spans="2:9" x14ac:dyDescent="0.25">
      <c r="B475" s="41"/>
      <c r="C475" s="43" t="s">
        <v>1387</v>
      </c>
      <c r="D475" s="43" t="s">
        <v>1388</v>
      </c>
      <c r="E475" s="43" t="s">
        <v>823</v>
      </c>
      <c r="F475" s="50" t="s">
        <v>47</v>
      </c>
      <c r="G475" s="43" t="s">
        <v>824</v>
      </c>
      <c r="H475" s="43" t="s">
        <v>825</v>
      </c>
      <c r="I475" s="44"/>
    </row>
    <row r="476" spans="2:9" x14ac:dyDescent="0.25">
      <c r="B476" s="41"/>
      <c r="C476" s="43" t="s">
        <v>702</v>
      </c>
      <c r="D476" s="43" t="s">
        <v>1389</v>
      </c>
      <c r="E476" s="43" t="s">
        <v>823</v>
      </c>
      <c r="F476" s="48" t="s">
        <v>22</v>
      </c>
      <c r="G476" s="43" t="s">
        <v>824</v>
      </c>
      <c r="H476" s="43" t="s">
        <v>825</v>
      </c>
      <c r="I476" s="44"/>
    </row>
    <row r="477" spans="2:9" x14ac:dyDescent="0.25">
      <c r="B477" s="41"/>
      <c r="C477" s="43" t="s">
        <v>704</v>
      </c>
      <c r="D477" s="43" t="s">
        <v>1390</v>
      </c>
      <c r="E477" s="43" t="s">
        <v>823</v>
      </c>
      <c r="F477" s="49" t="s">
        <v>36</v>
      </c>
      <c r="G477" s="43" t="s">
        <v>824</v>
      </c>
      <c r="H477" s="43" t="s">
        <v>825</v>
      </c>
      <c r="I477" s="44"/>
    </row>
    <row r="478" spans="2:9" x14ac:dyDescent="0.25">
      <c r="B478" s="41"/>
      <c r="C478" s="43" t="s">
        <v>1391</v>
      </c>
      <c r="D478" s="43" t="s">
        <v>1392</v>
      </c>
      <c r="E478" s="43" t="s">
        <v>823</v>
      </c>
      <c r="F478" s="48" t="s">
        <v>22</v>
      </c>
      <c r="G478" s="43" t="s">
        <v>824</v>
      </c>
      <c r="H478" s="43" t="s">
        <v>825</v>
      </c>
      <c r="I478" s="44"/>
    </row>
    <row r="479" spans="2:9" x14ac:dyDescent="0.25">
      <c r="B479" s="41"/>
      <c r="C479" s="43" t="s">
        <v>705</v>
      </c>
      <c r="D479" s="43" t="s">
        <v>1393</v>
      </c>
      <c r="E479" s="43" t="s">
        <v>823</v>
      </c>
      <c r="F479" s="48" t="s">
        <v>22</v>
      </c>
      <c r="G479" s="43" t="s">
        <v>824</v>
      </c>
      <c r="H479" s="43" t="s">
        <v>825</v>
      </c>
      <c r="I479" s="44"/>
    </row>
    <row r="480" spans="2:9" x14ac:dyDescent="0.25">
      <c r="B480" s="41"/>
      <c r="C480" s="43" t="s">
        <v>707</v>
      </c>
      <c r="D480" s="43" t="s">
        <v>1394</v>
      </c>
      <c r="E480" s="43" t="s">
        <v>823</v>
      </c>
      <c r="F480" s="48" t="s">
        <v>22</v>
      </c>
      <c r="G480" s="43" t="s">
        <v>824</v>
      </c>
      <c r="H480" s="43" t="s">
        <v>825</v>
      </c>
      <c r="I480" s="44"/>
    </row>
    <row r="481" spans="2:9" x14ac:dyDescent="0.25">
      <c r="B481" s="41"/>
      <c r="C481" s="43" t="s">
        <v>709</v>
      </c>
      <c r="D481" s="43" t="s">
        <v>1395</v>
      </c>
      <c r="E481" s="43" t="s">
        <v>823</v>
      </c>
      <c r="F481" s="48" t="s">
        <v>22</v>
      </c>
      <c r="G481" s="43" t="s">
        <v>824</v>
      </c>
      <c r="H481" s="43" t="s">
        <v>825</v>
      </c>
      <c r="I481" s="44"/>
    </row>
    <row r="482" spans="2:9" x14ac:dyDescent="0.25">
      <c r="B482" s="41"/>
      <c r="C482" s="43" t="s">
        <v>1396</v>
      </c>
      <c r="D482" s="43" t="s">
        <v>1397</v>
      </c>
      <c r="E482" s="43" t="s">
        <v>823</v>
      </c>
      <c r="F482" s="48" t="s">
        <v>22</v>
      </c>
      <c r="G482" s="43" t="s">
        <v>824</v>
      </c>
      <c r="H482" s="43" t="s">
        <v>825</v>
      </c>
      <c r="I482" s="44"/>
    </row>
    <row r="483" spans="2:9" x14ac:dyDescent="0.25">
      <c r="B483" s="41"/>
      <c r="C483" s="43" t="s">
        <v>1398</v>
      </c>
      <c r="D483" s="43" t="s">
        <v>1399</v>
      </c>
      <c r="E483" s="43" t="s">
        <v>823</v>
      </c>
      <c r="F483" s="49" t="s">
        <v>36</v>
      </c>
      <c r="G483" s="43" t="s">
        <v>824</v>
      </c>
      <c r="H483" s="43" t="s">
        <v>825</v>
      </c>
      <c r="I483" s="44"/>
    </row>
    <row r="484" spans="2:9" x14ac:dyDescent="0.25">
      <c r="B484" s="41"/>
      <c r="C484" s="43" t="s">
        <v>711</v>
      </c>
      <c r="D484" s="43" t="s">
        <v>1400</v>
      </c>
      <c r="E484" s="43" t="s">
        <v>823</v>
      </c>
      <c r="F484" s="48" t="s">
        <v>22</v>
      </c>
      <c r="G484" s="43" t="s">
        <v>824</v>
      </c>
      <c r="H484" s="43" t="s">
        <v>825</v>
      </c>
      <c r="I484" s="44"/>
    </row>
    <row r="485" spans="2:9" x14ac:dyDescent="0.25">
      <c r="B485" s="41"/>
      <c r="C485" s="43" t="s">
        <v>713</v>
      </c>
      <c r="D485" s="43" t="s">
        <v>1401</v>
      </c>
      <c r="E485" s="43" t="s">
        <v>823</v>
      </c>
      <c r="F485" s="48" t="s">
        <v>22</v>
      </c>
      <c r="G485" s="43" t="s">
        <v>824</v>
      </c>
      <c r="H485" s="43" t="s">
        <v>825</v>
      </c>
      <c r="I485" s="44"/>
    </row>
    <row r="486" spans="2:9" x14ac:dyDescent="0.25">
      <c r="B486" s="41"/>
      <c r="C486" s="43" t="s">
        <v>715</v>
      </c>
      <c r="D486" s="43" t="s">
        <v>1402</v>
      </c>
      <c r="E486" s="43" t="s">
        <v>823</v>
      </c>
      <c r="F486" s="48" t="s">
        <v>22</v>
      </c>
      <c r="G486" s="43" t="s">
        <v>824</v>
      </c>
      <c r="H486" s="43" t="s">
        <v>825</v>
      </c>
      <c r="I486" s="44"/>
    </row>
    <row r="487" spans="2:9" x14ac:dyDescent="0.25">
      <c r="B487" s="41"/>
      <c r="C487" s="43" t="s">
        <v>1403</v>
      </c>
      <c r="D487" s="43" t="s">
        <v>1404</v>
      </c>
      <c r="E487" s="43" t="s">
        <v>823</v>
      </c>
      <c r="F487" s="48" t="s">
        <v>22</v>
      </c>
      <c r="G487" s="43" t="s">
        <v>824</v>
      </c>
      <c r="H487" s="43" t="s">
        <v>825</v>
      </c>
      <c r="I487" s="44"/>
    </row>
    <row r="488" spans="2:9" x14ac:dyDescent="0.25">
      <c r="B488" s="41"/>
      <c r="C488" s="43" t="s">
        <v>717</v>
      </c>
      <c r="D488" s="43" t="s">
        <v>1405</v>
      </c>
      <c r="E488" s="43" t="s">
        <v>823</v>
      </c>
      <c r="F488" s="48" t="s">
        <v>22</v>
      </c>
      <c r="G488" s="43" t="s">
        <v>824</v>
      </c>
      <c r="H488" s="43" t="s">
        <v>825</v>
      </c>
      <c r="I488" s="44"/>
    </row>
    <row r="489" spans="2:9" x14ac:dyDescent="0.25">
      <c r="B489" s="41"/>
      <c r="C489" s="43" t="s">
        <v>719</v>
      </c>
      <c r="D489" s="43" t="s">
        <v>1406</v>
      </c>
      <c r="E489" s="43" t="s">
        <v>823</v>
      </c>
      <c r="F489" s="48" t="s">
        <v>22</v>
      </c>
      <c r="G489" s="43" t="s">
        <v>824</v>
      </c>
      <c r="H489" s="43" t="s">
        <v>825</v>
      </c>
      <c r="I489" s="44"/>
    </row>
    <row r="490" spans="2:9" x14ac:dyDescent="0.25">
      <c r="B490" s="41"/>
      <c r="C490" s="43" t="s">
        <v>1407</v>
      </c>
      <c r="D490" s="43" t="s">
        <v>1408</v>
      </c>
      <c r="E490" s="43" t="s">
        <v>823</v>
      </c>
      <c r="F490" s="50" t="s">
        <v>47</v>
      </c>
      <c r="G490" s="43" t="s">
        <v>824</v>
      </c>
      <c r="H490" s="43" t="s">
        <v>825</v>
      </c>
      <c r="I490" s="44"/>
    </row>
    <row r="491" spans="2:9" x14ac:dyDescent="0.25">
      <c r="B491" s="41"/>
      <c r="C491" s="43" t="s">
        <v>722</v>
      </c>
      <c r="D491" s="43" t="s">
        <v>1409</v>
      </c>
      <c r="E491" s="43" t="s">
        <v>823</v>
      </c>
      <c r="F491" s="48" t="s">
        <v>22</v>
      </c>
      <c r="G491" s="43" t="s">
        <v>824</v>
      </c>
      <c r="H491" s="43" t="s">
        <v>825</v>
      </c>
      <c r="I491" s="44"/>
    </row>
    <row r="492" spans="2:9" x14ac:dyDescent="0.25">
      <c r="B492" s="41"/>
      <c r="C492" s="43" t="s">
        <v>724</v>
      </c>
      <c r="D492" s="43" t="s">
        <v>1410</v>
      </c>
      <c r="E492" s="43" t="s">
        <v>823</v>
      </c>
      <c r="F492" s="48" t="s">
        <v>22</v>
      </c>
      <c r="G492" s="43" t="s">
        <v>824</v>
      </c>
      <c r="H492" s="43" t="s">
        <v>825</v>
      </c>
      <c r="I492" s="44"/>
    </row>
    <row r="493" spans="2:9" x14ac:dyDescent="0.25">
      <c r="B493" s="41"/>
      <c r="C493" s="43" t="s">
        <v>1411</v>
      </c>
      <c r="D493" s="43" t="s">
        <v>1412</v>
      </c>
      <c r="E493" s="43" t="s">
        <v>823</v>
      </c>
      <c r="F493" s="48" t="s">
        <v>22</v>
      </c>
      <c r="G493" s="43" t="s">
        <v>824</v>
      </c>
      <c r="H493" s="43" t="s">
        <v>825</v>
      </c>
      <c r="I493" s="44"/>
    </row>
    <row r="494" spans="2:9" x14ac:dyDescent="0.25">
      <c r="B494" s="41"/>
      <c r="C494" s="43" t="s">
        <v>728</v>
      </c>
      <c r="D494" s="43" t="s">
        <v>1413</v>
      </c>
      <c r="E494" s="43" t="s">
        <v>823</v>
      </c>
      <c r="F494" s="48" t="s">
        <v>22</v>
      </c>
      <c r="G494" s="43" t="s">
        <v>824</v>
      </c>
      <c r="H494" s="43" t="s">
        <v>825</v>
      </c>
      <c r="I494" s="44"/>
    </row>
    <row r="495" spans="2:9" x14ac:dyDescent="0.25">
      <c r="B495" s="41"/>
      <c r="C495" s="43" t="s">
        <v>1414</v>
      </c>
      <c r="D495" s="43" t="s">
        <v>1415</v>
      </c>
      <c r="E495" s="43" t="s">
        <v>823</v>
      </c>
      <c r="F495" s="48" t="s">
        <v>22</v>
      </c>
      <c r="G495" s="43" t="s">
        <v>824</v>
      </c>
      <c r="H495" s="43" t="s">
        <v>825</v>
      </c>
      <c r="I495" s="44"/>
    </row>
    <row r="496" spans="2:9" x14ac:dyDescent="0.25">
      <c r="B496" s="41"/>
      <c r="C496" s="43" t="s">
        <v>730</v>
      </c>
      <c r="D496" s="43" t="s">
        <v>1416</v>
      </c>
      <c r="E496" s="43" t="s">
        <v>823</v>
      </c>
      <c r="F496" s="48" t="s">
        <v>22</v>
      </c>
      <c r="G496" s="43" t="s">
        <v>824</v>
      </c>
      <c r="H496" s="43" t="s">
        <v>825</v>
      </c>
      <c r="I496" s="44"/>
    </row>
    <row r="497" spans="2:9" x14ac:dyDescent="0.25">
      <c r="B497" s="41"/>
      <c r="C497" s="43" t="s">
        <v>732</v>
      </c>
      <c r="D497" s="43" t="s">
        <v>1417</v>
      </c>
      <c r="E497" s="43" t="s">
        <v>823</v>
      </c>
      <c r="F497" s="49" t="s">
        <v>36</v>
      </c>
      <c r="G497" s="43" t="s">
        <v>824</v>
      </c>
      <c r="H497" s="43" t="s">
        <v>825</v>
      </c>
      <c r="I497" s="44"/>
    </row>
    <row r="498" spans="2:9" x14ac:dyDescent="0.25">
      <c r="B498" s="41"/>
      <c r="C498" s="43" t="s">
        <v>733</v>
      </c>
      <c r="D498" s="43" t="s">
        <v>1418</v>
      </c>
      <c r="E498" s="43" t="s">
        <v>823</v>
      </c>
      <c r="F498" s="48" t="s">
        <v>22</v>
      </c>
      <c r="G498" s="43" t="s">
        <v>824</v>
      </c>
      <c r="H498" s="43" t="s">
        <v>825</v>
      </c>
      <c r="I498" s="44"/>
    </row>
    <row r="499" spans="2:9" x14ac:dyDescent="0.25">
      <c r="B499" s="41"/>
      <c r="C499" s="43" t="s">
        <v>735</v>
      </c>
      <c r="D499" s="43" t="s">
        <v>1419</v>
      </c>
      <c r="E499" s="43" t="s">
        <v>831</v>
      </c>
      <c r="F499" s="49" t="s">
        <v>36</v>
      </c>
      <c r="G499" s="43" t="s">
        <v>824</v>
      </c>
      <c r="H499" s="43" t="s">
        <v>825</v>
      </c>
      <c r="I499" s="44"/>
    </row>
    <row r="500" spans="2:9" x14ac:dyDescent="0.25">
      <c r="B500" s="41"/>
      <c r="C500" s="43" t="s">
        <v>736</v>
      </c>
      <c r="D500" s="43" t="s">
        <v>1420</v>
      </c>
      <c r="E500" s="43" t="s">
        <v>823</v>
      </c>
      <c r="F500" s="48" t="s">
        <v>22</v>
      </c>
      <c r="G500" s="43" t="s">
        <v>824</v>
      </c>
      <c r="H500" s="43" t="s">
        <v>825</v>
      </c>
      <c r="I500" s="44"/>
    </row>
    <row r="501" spans="2:9" x14ac:dyDescent="0.25">
      <c r="B501" s="41"/>
      <c r="C501" s="43" t="s">
        <v>738</v>
      </c>
      <c r="D501" s="43" t="s">
        <v>1421</v>
      </c>
      <c r="E501" s="43" t="s">
        <v>823</v>
      </c>
      <c r="F501" s="48" t="s">
        <v>22</v>
      </c>
      <c r="G501" s="43" t="s">
        <v>824</v>
      </c>
      <c r="H501" s="43" t="s">
        <v>825</v>
      </c>
      <c r="I501" s="44"/>
    </row>
    <row r="502" spans="2:9" x14ac:dyDescent="0.25">
      <c r="B502" s="42"/>
      <c r="C502" s="45" t="s">
        <v>740</v>
      </c>
      <c r="D502" s="45" t="s">
        <v>1422</v>
      </c>
      <c r="E502" s="45" t="s">
        <v>823</v>
      </c>
      <c r="F502" s="54" t="s">
        <v>22</v>
      </c>
      <c r="G502" s="45" t="s">
        <v>824</v>
      </c>
      <c r="H502" s="45" t="s">
        <v>825</v>
      </c>
      <c r="I502" s="40"/>
    </row>
    <row r="503" spans="2:9" x14ac:dyDescent="0.25">
      <c r="B503" s="41"/>
      <c r="C503" s="43" t="s">
        <v>741</v>
      </c>
      <c r="D503" s="43" t="s">
        <v>1423</v>
      </c>
      <c r="E503" s="43" t="s">
        <v>823</v>
      </c>
      <c r="F503" s="48" t="s">
        <v>22</v>
      </c>
      <c r="G503" s="43" t="s">
        <v>824</v>
      </c>
      <c r="H503" s="43" t="s">
        <v>825</v>
      </c>
      <c r="I503" s="44"/>
    </row>
    <row r="504" spans="2:9" x14ac:dyDescent="0.25">
      <c r="B504" s="41"/>
      <c r="C504" s="43" t="s">
        <v>742</v>
      </c>
      <c r="D504" s="43" t="s">
        <v>1424</v>
      </c>
      <c r="E504" s="43" t="s">
        <v>823</v>
      </c>
      <c r="F504" s="48" t="s">
        <v>22</v>
      </c>
      <c r="G504" s="43" t="s">
        <v>824</v>
      </c>
      <c r="H504" s="43" t="s">
        <v>825</v>
      </c>
      <c r="I504" s="44"/>
    </row>
    <row r="505" spans="2:9" x14ac:dyDescent="0.25">
      <c r="B505" s="41"/>
      <c r="C505" s="43" t="s">
        <v>743</v>
      </c>
      <c r="D505" s="43" t="s">
        <v>1425</v>
      </c>
      <c r="E505" s="43" t="s">
        <v>823</v>
      </c>
      <c r="F505" s="48" t="s">
        <v>22</v>
      </c>
      <c r="G505" s="43" t="s">
        <v>824</v>
      </c>
      <c r="H505" s="43" t="s">
        <v>825</v>
      </c>
      <c r="I505" s="44"/>
    </row>
    <row r="506" spans="2:9" x14ac:dyDescent="0.25">
      <c r="B506" s="41"/>
      <c r="C506" s="43" t="s">
        <v>745</v>
      </c>
      <c r="D506" s="43" t="s">
        <v>1426</v>
      </c>
      <c r="E506" s="43" t="s">
        <v>823</v>
      </c>
      <c r="F506" s="48" t="s">
        <v>22</v>
      </c>
      <c r="G506" s="43" t="s">
        <v>824</v>
      </c>
      <c r="H506" s="43" t="s">
        <v>825</v>
      </c>
      <c r="I506" s="44"/>
    </row>
    <row r="507" spans="2:9" x14ac:dyDescent="0.25">
      <c r="B507" s="41"/>
      <c r="C507" s="43" t="s">
        <v>748</v>
      </c>
      <c r="D507" s="43" t="s">
        <v>1427</v>
      </c>
      <c r="E507" s="43" t="s">
        <v>823</v>
      </c>
      <c r="F507" s="48" t="s">
        <v>22</v>
      </c>
      <c r="G507" s="43" t="s">
        <v>824</v>
      </c>
      <c r="H507" s="43" t="s">
        <v>825</v>
      </c>
      <c r="I507" s="44"/>
    </row>
    <row r="508" spans="2:9" x14ac:dyDescent="0.25">
      <c r="B508" s="41"/>
      <c r="C508" s="43" t="s">
        <v>751</v>
      </c>
      <c r="D508" s="43" t="s">
        <v>1428</v>
      </c>
      <c r="E508" s="43" t="s">
        <v>823</v>
      </c>
      <c r="F508" s="48" t="s">
        <v>22</v>
      </c>
      <c r="G508" s="43" t="s">
        <v>824</v>
      </c>
      <c r="H508" s="43" t="s">
        <v>825</v>
      </c>
      <c r="I508" s="44"/>
    </row>
    <row r="509" spans="2:9" x14ac:dyDescent="0.25">
      <c r="B509" s="41"/>
      <c r="C509" s="43" t="s">
        <v>752</v>
      </c>
      <c r="D509" s="43" t="s">
        <v>1429</v>
      </c>
      <c r="E509" s="43" t="s">
        <v>823</v>
      </c>
      <c r="F509" s="48" t="s">
        <v>22</v>
      </c>
      <c r="G509" s="43" t="s">
        <v>824</v>
      </c>
      <c r="H509" s="43" t="s">
        <v>825</v>
      </c>
      <c r="I509" s="44"/>
    </row>
    <row r="510" spans="2:9" x14ac:dyDescent="0.25">
      <c r="B510" s="41"/>
      <c r="C510" s="43" t="s">
        <v>753</v>
      </c>
      <c r="D510" s="43" t="s">
        <v>1430</v>
      </c>
      <c r="E510" s="43" t="s">
        <v>823</v>
      </c>
      <c r="F510" s="49" t="s">
        <v>36</v>
      </c>
      <c r="G510" s="43" t="s">
        <v>824</v>
      </c>
      <c r="H510" s="43" t="s">
        <v>825</v>
      </c>
      <c r="I510" s="44"/>
    </row>
    <row r="511" spans="2:9" x14ac:dyDescent="0.25">
      <c r="B511" s="41"/>
      <c r="C511" s="43" t="s">
        <v>754</v>
      </c>
      <c r="D511" s="43" t="s">
        <v>1431</v>
      </c>
      <c r="E511" s="43" t="s">
        <v>823</v>
      </c>
      <c r="F511" s="48" t="s">
        <v>22</v>
      </c>
      <c r="G511" s="43" t="s">
        <v>824</v>
      </c>
      <c r="H511" s="43" t="s">
        <v>825</v>
      </c>
      <c r="I511" s="44"/>
    </row>
    <row r="512" spans="2:9" x14ac:dyDescent="0.25">
      <c r="B512" s="41"/>
      <c r="C512" s="43" t="s">
        <v>757</v>
      </c>
      <c r="D512" s="43" t="s">
        <v>1432</v>
      </c>
      <c r="E512" s="43" t="s">
        <v>823</v>
      </c>
      <c r="F512" s="48" t="s">
        <v>22</v>
      </c>
      <c r="G512" s="43" t="s">
        <v>824</v>
      </c>
      <c r="H512" s="43" t="s">
        <v>825</v>
      </c>
      <c r="I512" s="44"/>
    </row>
    <row r="513" spans="2:9" x14ac:dyDescent="0.25">
      <c r="B513" s="41"/>
      <c r="C513" s="43" t="s">
        <v>763</v>
      </c>
      <c r="D513" s="43" t="s">
        <v>1433</v>
      </c>
      <c r="E513" s="43" t="s">
        <v>823</v>
      </c>
      <c r="F513" s="48" t="s">
        <v>22</v>
      </c>
      <c r="G513" s="43" t="s">
        <v>824</v>
      </c>
      <c r="H513" s="43" t="s">
        <v>825</v>
      </c>
      <c r="I513" s="44"/>
    </row>
    <row r="514" spans="2:9" x14ac:dyDescent="0.25">
      <c r="B514" s="41"/>
      <c r="C514" s="43" t="s">
        <v>765</v>
      </c>
      <c r="D514" s="43" t="s">
        <v>1434</v>
      </c>
      <c r="E514" s="43" t="s">
        <v>823</v>
      </c>
      <c r="F514" s="49" t="s">
        <v>36</v>
      </c>
      <c r="G514" s="43" t="s">
        <v>824</v>
      </c>
      <c r="H514" s="43" t="s">
        <v>825</v>
      </c>
      <c r="I514" s="44"/>
    </row>
    <row r="515" spans="2:9" x14ac:dyDescent="0.25">
      <c r="B515" s="41"/>
      <c r="C515" s="43" t="s">
        <v>1435</v>
      </c>
      <c r="D515" s="43" t="s">
        <v>1436</v>
      </c>
      <c r="E515" s="43" t="s">
        <v>823</v>
      </c>
      <c r="F515" s="48" t="s">
        <v>22</v>
      </c>
      <c r="G515" s="43" t="s">
        <v>824</v>
      </c>
      <c r="H515" s="43" t="s">
        <v>825</v>
      </c>
      <c r="I515" s="44"/>
    </row>
    <row r="516" spans="2:9" x14ac:dyDescent="0.25">
      <c r="B516" s="41"/>
      <c r="C516" s="43" t="s">
        <v>766</v>
      </c>
      <c r="D516" s="43" t="s">
        <v>1437</v>
      </c>
      <c r="E516" s="43" t="s">
        <v>823</v>
      </c>
      <c r="F516" s="49" t="s">
        <v>36</v>
      </c>
      <c r="G516" s="43" t="s">
        <v>824</v>
      </c>
      <c r="H516" s="43" t="s">
        <v>825</v>
      </c>
      <c r="I516" s="44"/>
    </row>
    <row r="517" spans="2:9" x14ac:dyDescent="0.25">
      <c r="B517" s="41"/>
      <c r="C517" s="43" t="s">
        <v>767</v>
      </c>
      <c r="D517" s="43" t="s">
        <v>1438</v>
      </c>
      <c r="E517" s="43" t="s">
        <v>823</v>
      </c>
      <c r="F517" s="48" t="s">
        <v>22</v>
      </c>
      <c r="G517" s="43" t="s">
        <v>824</v>
      </c>
      <c r="H517" s="43" t="s">
        <v>825</v>
      </c>
      <c r="I517" s="44"/>
    </row>
    <row r="518" spans="2:9" x14ac:dyDescent="0.25">
      <c r="B518" s="41"/>
      <c r="C518" s="43" t="s">
        <v>771</v>
      </c>
      <c r="D518" s="43" t="s">
        <v>1439</v>
      </c>
      <c r="E518" s="43" t="s">
        <v>823</v>
      </c>
      <c r="F518" s="48" t="s">
        <v>22</v>
      </c>
      <c r="G518" s="43" t="s">
        <v>824</v>
      </c>
      <c r="H518" s="43" t="s">
        <v>825</v>
      </c>
      <c r="I518" s="44"/>
    </row>
    <row r="519" spans="2:9" x14ac:dyDescent="0.25">
      <c r="B519" s="41"/>
      <c r="C519" s="43" t="s">
        <v>774</v>
      </c>
      <c r="D519" s="43" t="s">
        <v>1440</v>
      </c>
      <c r="E519" s="43" t="s">
        <v>823</v>
      </c>
      <c r="F519" s="49" t="s">
        <v>36</v>
      </c>
      <c r="G519" s="43" t="s">
        <v>824</v>
      </c>
      <c r="H519" s="43" t="s">
        <v>825</v>
      </c>
      <c r="I519" s="44"/>
    </row>
    <row r="520" spans="2:9" x14ac:dyDescent="0.25">
      <c r="B520" s="41"/>
      <c r="C520" s="43" t="s">
        <v>775</v>
      </c>
      <c r="D520" s="43" t="s">
        <v>1441</v>
      </c>
      <c r="E520" s="43" t="s">
        <v>823</v>
      </c>
      <c r="F520" s="48" t="s">
        <v>22</v>
      </c>
      <c r="G520" s="43" t="s">
        <v>824</v>
      </c>
      <c r="H520" s="43" t="s">
        <v>825</v>
      </c>
      <c r="I520" s="44"/>
    </row>
    <row r="521" spans="2:9" x14ac:dyDescent="0.25">
      <c r="B521" s="41"/>
      <c r="C521" s="43" t="s">
        <v>777</v>
      </c>
      <c r="D521" s="43" t="s">
        <v>1442</v>
      </c>
      <c r="E521" s="43" t="s">
        <v>823</v>
      </c>
      <c r="F521" s="48" t="s">
        <v>22</v>
      </c>
      <c r="G521" s="43" t="s">
        <v>824</v>
      </c>
      <c r="H521" s="43" t="s">
        <v>825</v>
      </c>
      <c r="I521" s="44"/>
    </row>
    <row r="522" spans="2:9" x14ac:dyDescent="0.25">
      <c r="B522" s="41"/>
      <c r="C522" s="43" t="s">
        <v>1443</v>
      </c>
      <c r="D522" s="43" t="s">
        <v>1444</v>
      </c>
      <c r="E522" s="43" t="s">
        <v>831</v>
      </c>
      <c r="F522" s="49" t="s">
        <v>36</v>
      </c>
      <c r="G522" s="43" t="s">
        <v>824</v>
      </c>
      <c r="H522" s="43" t="s">
        <v>825</v>
      </c>
      <c r="I522" s="44"/>
    </row>
    <row r="523" spans="2:9" x14ac:dyDescent="0.25">
      <c r="B523" s="41"/>
      <c r="C523" s="43" t="s">
        <v>780</v>
      </c>
      <c r="D523" s="43" t="s">
        <v>1445</v>
      </c>
      <c r="E523" s="43" t="s">
        <v>823</v>
      </c>
      <c r="F523" s="48" t="s">
        <v>22</v>
      </c>
      <c r="G523" s="43" t="s">
        <v>824</v>
      </c>
      <c r="H523" s="43" t="s">
        <v>825</v>
      </c>
      <c r="I523" s="44"/>
    </row>
    <row r="524" spans="2:9" x14ac:dyDescent="0.25">
      <c r="B524" s="41"/>
      <c r="C524" s="43" t="s">
        <v>1446</v>
      </c>
      <c r="D524" s="43" t="s">
        <v>1447</v>
      </c>
      <c r="E524" s="43" t="s">
        <v>823</v>
      </c>
      <c r="F524" s="49" t="s">
        <v>36</v>
      </c>
      <c r="G524" s="43" t="s">
        <v>824</v>
      </c>
      <c r="H524" s="43" t="s">
        <v>825</v>
      </c>
      <c r="I524" s="44"/>
    </row>
    <row r="525" spans="2:9" x14ac:dyDescent="0.25">
      <c r="B525" s="41"/>
      <c r="C525" s="43" t="s">
        <v>1448</v>
      </c>
      <c r="D525" s="43" t="s">
        <v>1449</v>
      </c>
      <c r="E525" s="43" t="s">
        <v>823</v>
      </c>
      <c r="F525" s="52" t="s">
        <v>670</v>
      </c>
      <c r="G525" s="43" t="s">
        <v>824</v>
      </c>
      <c r="H525" s="43" t="s">
        <v>825</v>
      </c>
      <c r="I525" s="44"/>
    </row>
    <row r="526" spans="2:9" x14ac:dyDescent="0.25">
      <c r="B526" s="41"/>
      <c r="C526" s="43" t="s">
        <v>783</v>
      </c>
      <c r="D526" s="43" t="s">
        <v>1450</v>
      </c>
      <c r="E526" s="43" t="s">
        <v>823</v>
      </c>
      <c r="F526" s="48" t="s">
        <v>22</v>
      </c>
      <c r="G526" s="43" t="s">
        <v>824</v>
      </c>
      <c r="H526" s="43" t="s">
        <v>825</v>
      </c>
      <c r="I526" s="44"/>
    </row>
    <row r="527" spans="2:9" x14ac:dyDescent="0.25">
      <c r="B527" s="41"/>
      <c r="C527" s="43" t="s">
        <v>786</v>
      </c>
      <c r="D527" s="43" t="s">
        <v>1451</v>
      </c>
      <c r="E527" s="43" t="s">
        <v>823</v>
      </c>
      <c r="F527" s="50" t="s">
        <v>47</v>
      </c>
      <c r="G527" s="43" t="s">
        <v>824</v>
      </c>
      <c r="H527" s="43" t="s">
        <v>825</v>
      </c>
      <c r="I527" s="44"/>
    </row>
    <row r="528" spans="2:9" x14ac:dyDescent="0.25">
      <c r="B528" s="41"/>
      <c r="C528" s="43" t="s">
        <v>788</v>
      </c>
      <c r="D528" s="43" t="s">
        <v>1452</v>
      </c>
      <c r="E528" s="43" t="s">
        <v>823</v>
      </c>
      <c r="F528" s="48" t="s">
        <v>22</v>
      </c>
      <c r="G528" s="43" t="s">
        <v>824</v>
      </c>
      <c r="H528" s="43" t="s">
        <v>825</v>
      </c>
      <c r="I528" s="44"/>
    </row>
    <row r="529" spans="2:9" x14ac:dyDescent="0.25">
      <c r="B529" s="41"/>
      <c r="C529" s="43" t="s">
        <v>790</v>
      </c>
      <c r="D529" s="43" t="s">
        <v>1453</v>
      </c>
      <c r="E529" s="43" t="s">
        <v>823</v>
      </c>
      <c r="F529" s="48" t="s">
        <v>22</v>
      </c>
      <c r="G529" s="43" t="s">
        <v>824</v>
      </c>
      <c r="H529" s="43" t="s">
        <v>825</v>
      </c>
      <c r="I529" s="44"/>
    </row>
    <row r="530" spans="2:9" x14ac:dyDescent="0.25">
      <c r="B530" s="41"/>
      <c r="C530" s="43" t="s">
        <v>792</v>
      </c>
      <c r="D530" s="43" t="s">
        <v>1454</v>
      </c>
      <c r="E530" s="43" t="s">
        <v>823</v>
      </c>
      <c r="F530" s="49" t="s">
        <v>36</v>
      </c>
      <c r="G530" s="43" t="s">
        <v>824</v>
      </c>
      <c r="H530" s="43" t="s">
        <v>825</v>
      </c>
      <c r="I530" s="44"/>
    </row>
    <row r="531" spans="2:9" x14ac:dyDescent="0.25">
      <c r="B531" s="41"/>
      <c r="C531" s="43" t="s">
        <v>793</v>
      </c>
      <c r="D531" s="43" t="s">
        <v>1455</v>
      </c>
      <c r="E531" s="43" t="s">
        <v>823</v>
      </c>
      <c r="F531" s="48" t="s">
        <v>22</v>
      </c>
      <c r="G531" s="43" t="s">
        <v>824</v>
      </c>
      <c r="H531" s="43" t="s">
        <v>825</v>
      </c>
      <c r="I531" s="44"/>
    </row>
    <row r="532" spans="2:9" x14ac:dyDescent="0.25">
      <c r="B532" s="41"/>
      <c r="C532" s="43" t="s">
        <v>1456</v>
      </c>
      <c r="D532" s="43" t="s">
        <v>1457</v>
      </c>
      <c r="E532" s="43" t="s">
        <v>823</v>
      </c>
      <c r="F532" s="52" t="s">
        <v>263</v>
      </c>
      <c r="G532" s="43" t="s">
        <v>824</v>
      </c>
      <c r="H532" s="43" t="s">
        <v>825</v>
      </c>
      <c r="I532" s="44"/>
    </row>
    <row r="533" spans="2:9" x14ac:dyDescent="0.25">
      <c r="B533" s="41"/>
      <c r="C533" s="43" t="s">
        <v>795</v>
      </c>
      <c r="D533" s="43" t="s">
        <v>1458</v>
      </c>
      <c r="E533" s="43" t="s">
        <v>823</v>
      </c>
      <c r="F533" s="48" t="s">
        <v>22</v>
      </c>
      <c r="G533" s="43" t="s">
        <v>824</v>
      </c>
      <c r="H533" s="43" t="s">
        <v>825</v>
      </c>
      <c r="I533" s="44"/>
    </row>
    <row r="534" spans="2:9" x14ac:dyDescent="0.25">
      <c r="B534" s="41"/>
      <c r="C534" s="43" t="s">
        <v>797</v>
      </c>
      <c r="D534" s="43" t="s">
        <v>1459</v>
      </c>
      <c r="E534" s="43" t="s">
        <v>823</v>
      </c>
      <c r="F534" s="48" t="s">
        <v>22</v>
      </c>
      <c r="G534" s="43" t="s">
        <v>824</v>
      </c>
      <c r="H534" s="43" t="s">
        <v>825</v>
      </c>
      <c r="I534" s="44"/>
    </row>
    <row r="535" spans="2:9" x14ac:dyDescent="0.25">
      <c r="B535" s="41"/>
      <c r="C535" s="43" t="s">
        <v>798</v>
      </c>
      <c r="D535" s="43" t="s">
        <v>1460</v>
      </c>
      <c r="E535" s="43" t="s">
        <v>823</v>
      </c>
      <c r="F535" s="48" t="s">
        <v>22</v>
      </c>
      <c r="G535" s="43" t="s">
        <v>824</v>
      </c>
      <c r="H535" s="43" t="s">
        <v>825</v>
      </c>
      <c r="I535" s="44"/>
    </row>
    <row r="536" spans="2:9" x14ac:dyDescent="0.25">
      <c r="B536" s="41"/>
      <c r="C536" s="43" t="s">
        <v>800</v>
      </c>
      <c r="D536" s="43" t="s">
        <v>1461</v>
      </c>
      <c r="E536" s="43" t="s">
        <v>823</v>
      </c>
      <c r="F536" s="48" t="s">
        <v>22</v>
      </c>
      <c r="G536" s="43" t="s">
        <v>824</v>
      </c>
      <c r="H536" s="43" t="s">
        <v>825</v>
      </c>
      <c r="I536" s="44"/>
    </row>
    <row r="537" spans="2:9" x14ac:dyDescent="0.25">
      <c r="B537" s="41"/>
      <c r="C537" s="43" t="s">
        <v>801</v>
      </c>
      <c r="D537" s="43" t="s">
        <v>1462</v>
      </c>
      <c r="E537" s="43" t="s">
        <v>823</v>
      </c>
      <c r="F537" s="48" t="s">
        <v>22</v>
      </c>
      <c r="G537" s="43" t="s">
        <v>824</v>
      </c>
      <c r="H537" s="43" t="s">
        <v>825</v>
      </c>
      <c r="I537" s="44"/>
    </row>
    <row r="538" spans="2:9" x14ac:dyDescent="0.25">
      <c r="B538" s="41"/>
      <c r="C538" s="43" t="s">
        <v>804</v>
      </c>
      <c r="D538" s="43" t="s">
        <v>1463</v>
      </c>
      <c r="E538" s="43" t="s">
        <v>823</v>
      </c>
      <c r="F538" s="48" t="s">
        <v>22</v>
      </c>
      <c r="G538" s="43" t="s">
        <v>824</v>
      </c>
      <c r="H538" s="43" t="s">
        <v>825</v>
      </c>
      <c r="I538" s="44"/>
    </row>
    <row r="539" spans="2:9" x14ac:dyDescent="0.25">
      <c r="B539" s="41"/>
      <c r="C539" s="43" t="s">
        <v>805</v>
      </c>
      <c r="D539" s="43" t="s">
        <v>1464</v>
      </c>
      <c r="E539" s="43" t="s">
        <v>823</v>
      </c>
      <c r="F539" s="48" t="s">
        <v>22</v>
      </c>
      <c r="G539" s="43" t="s">
        <v>824</v>
      </c>
      <c r="H539" s="43" t="s">
        <v>825</v>
      </c>
      <c r="I539" s="44"/>
    </row>
    <row r="540" spans="2:9" x14ac:dyDescent="0.25">
      <c r="B540" s="41"/>
      <c r="C540" s="43" t="s">
        <v>806</v>
      </c>
      <c r="D540" s="43" t="s">
        <v>1465</v>
      </c>
      <c r="E540" s="43" t="s">
        <v>823</v>
      </c>
      <c r="F540" s="48" t="s">
        <v>22</v>
      </c>
      <c r="G540" s="43" t="s">
        <v>824</v>
      </c>
      <c r="H540" s="43" t="s">
        <v>825</v>
      </c>
      <c r="I540" s="44"/>
    </row>
    <row r="541" spans="2:9" x14ac:dyDescent="0.25">
      <c r="B541" s="41"/>
      <c r="C541" s="43" t="s">
        <v>808</v>
      </c>
      <c r="D541" s="43" t="s">
        <v>1466</v>
      </c>
      <c r="E541" s="43" t="s">
        <v>823</v>
      </c>
      <c r="F541" s="52" t="s">
        <v>263</v>
      </c>
      <c r="G541" s="43" t="s">
        <v>824</v>
      </c>
      <c r="H541" s="43" t="s">
        <v>825</v>
      </c>
      <c r="I541" s="44"/>
    </row>
    <row r="542" spans="2:9" x14ac:dyDescent="0.25">
      <c r="B542" s="41"/>
      <c r="C542" s="43" t="s">
        <v>810</v>
      </c>
      <c r="D542" s="43" t="s">
        <v>1467</v>
      </c>
      <c r="E542" s="43" t="s">
        <v>823</v>
      </c>
      <c r="F542" s="48" t="s">
        <v>22</v>
      </c>
      <c r="G542" s="43" t="s">
        <v>824</v>
      </c>
      <c r="H542" s="43" t="s">
        <v>825</v>
      </c>
      <c r="I542" s="44"/>
    </row>
    <row r="543" spans="2:9" x14ac:dyDescent="0.25">
      <c r="B543" s="41"/>
      <c r="C543" s="43" t="s">
        <v>811</v>
      </c>
      <c r="D543" s="43" t="s">
        <v>1468</v>
      </c>
      <c r="E543" s="43" t="s">
        <v>823</v>
      </c>
      <c r="F543" s="48" t="s">
        <v>22</v>
      </c>
      <c r="G543" s="43" t="s">
        <v>824</v>
      </c>
      <c r="H543" s="43" t="s">
        <v>825</v>
      </c>
      <c r="I543" s="44"/>
    </row>
  </sheetData>
  <hyperlinks>
    <hyperlink ref="B3" r:id="rId1" display="https://amp.vexpenses.com/settings/membros-de-equipe/895944" xr:uid="{B14F00D6-D121-43FA-A2B3-2957CC88DF17}"/>
    <hyperlink ref="B4" r:id="rId2" display="https://amp.vexpenses.com/settings/membros-de-equipe/923558" xr:uid="{DFED27CA-1CA9-4713-BC4A-C7A7FAD52402}"/>
    <hyperlink ref="B5" r:id="rId3" display="https://amp.vexpenses.com/settings/membros-de-equipe/895945" xr:uid="{84D29A2F-5C6B-4B36-BA37-CC0217721976}"/>
    <hyperlink ref="B6" r:id="rId4" display="https://amp.vexpenses.com/settings/membros-de-equipe/895946" xr:uid="{2840F799-58C7-4833-9EFC-6D468EDCD2FD}"/>
    <hyperlink ref="B7" r:id="rId5" display="https://amp.vexpenses.com/settings/membros-de-equipe/895947" xr:uid="{A8CE911F-2DD9-44F7-A7BC-D387B4A221D8}"/>
    <hyperlink ref="B8" r:id="rId6" display="https://amp.vexpenses.com/settings/membros-de-equipe/895948" xr:uid="{C2922D23-2090-4A09-9684-A3C8DD42E8FD}"/>
    <hyperlink ref="B9" r:id="rId7" display="https://amp.vexpenses.com/settings/membros-de-equipe/895949" xr:uid="{43A2FA46-1663-466B-A4FA-58CB525AF76F}"/>
    <hyperlink ref="B10" r:id="rId8" display="https://amp.vexpenses.com/settings/membros-de-equipe/895950" xr:uid="{A75B313F-BEB6-43A2-8C3E-1682A4F55C22}"/>
    <hyperlink ref="B11" r:id="rId9" display="https://amp.vexpenses.com/settings/membros-de-equipe/895952" xr:uid="{EED94ECF-49EE-4B2C-A540-661D25AF6ED2}"/>
    <hyperlink ref="B12" r:id="rId10" display="https://amp.vexpenses.com/settings/membros-de-equipe/895954" xr:uid="{901558D1-85EE-4E15-A94C-8BE46EFB0638}"/>
    <hyperlink ref="B13" r:id="rId11" display="https://amp.vexpenses.com/settings/membros-de-equipe/895955" xr:uid="{C45B7AF6-1160-488B-BE2B-26206B1610B9}"/>
    <hyperlink ref="B14" r:id="rId12" display="https://amp.vexpenses.com/settings/membros-de-equipe/895956" xr:uid="{347E49A1-42B7-4420-8E97-B7453FC360CB}"/>
    <hyperlink ref="B15" r:id="rId13" display="https://amp.vexpenses.com/settings/membros-de-equipe/916910" xr:uid="{5BDFC682-EC62-4AA8-A090-6480F8810050}"/>
    <hyperlink ref="B16" r:id="rId14" display="https://amp.vexpenses.com/settings/membros-de-equipe/895957" xr:uid="{CDFC39AB-7C02-4CD0-BE08-FE8541903C72}"/>
    <hyperlink ref="B17" r:id="rId15" display="https://amp.vexpenses.com/settings/membros-de-equipe/895958" xr:uid="{E2D37BAD-F7B2-498A-85B3-1CD91A6CF415}"/>
    <hyperlink ref="B18" r:id="rId16" display="https://amp.vexpenses.com/settings/membros-de-equipe/929763" xr:uid="{7444025E-017C-4B7B-A4A2-2F2E4CB5C287}"/>
    <hyperlink ref="B19" r:id="rId17" display="https://amp.vexpenses.com/settings/membros-de-equipe/895959" xr:uid="{29A9B9F7-CDAB-4574-926E-1E5AE0F65E75}"/>
    <hyperlink ref="B20" r:id="rId18" display="https://amp.vexpenses.com/settings/membros-de-equipe/950625" xr:uid="{F76AC44E-49E9-4CCC-B2D7-657941FAEAB4}"/>
    <hyperlink ref="B21" r:id="rId19" display="https://amp.vexpenses.com/settings/membros-de-equipe/895961" xr:uid="{90430704-8F81-44C3-9B07-07E097C2A522}"/>
    <hyperlink ref="B22" r:id="rId20" display="https://amp.vexpenses.com/settings/membros-de-equipe/895962" xr:uid="{88DC60E3-9C32-4DB1-8C7E-20F747E47D87}"/>
    <hyperlink ref="B23" r:id="rId21" display="https://amp.vexpenses.com/settings/membros-de-equipe/895963" xr:uid="{0E5AA536-0846-4387-9325-DBA86E3A355B}"/>
    <hyperlink ref="B24" r:id="rId22" display="https://amp.vexpenses.com/settings/membros-de-equipe/895964" xr:uid="{B7362B8D-7A9D-4476-BA7B-6DE6720A304F}"/>
    <hyperlink ref="B25" r:id="rId23" display="https://amp.vexpenses.com/settings/membros-de-equipe/895965" xr:uid="{8A485613-DA36-424C-B12A-75B6EB591684}"/>
    <hyperlink ref="B26" r:id="rId24" display="https://amp.vexpenses.com/settings/membros-de-equipe/917314" xr:uid="{9DF2CAA0-C09C-4A34-9F25-EC224FDA11FD}"/>
    <hyperlink ref="B27" r:id="rId25" display="https://amp.vexpenses.com/settings/membros-de-equipe/895966" xr:uid="{5F393233-A33E-4E13-8FF6-03E7784F5AEB}"/>
    <hyperlink ref="B28" r:id="rId26" display="https://amp.vexpenses.com/settings/membros-de-equipe/895967" xr:uid="{6F5D1BAA-5BE4-4C16-944F-D2E447B1AB70}"/>
    <hyperlink ref="B29" r:id="rId27" display="https://amp.vexpenses.com/settings/membros-de-equipe/916897" xr:uid="{6340EEC7-FE58-41AC-9E8E-3B39F62CD746}"/>
    <hyperlink ref="B30" r:id="rId28" display="https://amp.vexpenses.com/settings/membros-de-equipe/895968" xr:uid="{256F67FF-F5E0-4776-AF6C-938353B148EE}"/>
    <hyperlink ref="B31" r:id="rId29" display="https://amp.vexpenses.com/settings/membros-de-equipe/917318" xr:uid="{743BF3F3-A4BC-48B7-81A2-D051E5EB3C9C}"/>
    <hyperlink ref="B32" r:id="rId30" display="https://amp.vexpenses.com/settings/membros-de-equipe/895969" xr:uid="{6DDEB49D-70FE-4E54-9F64-E631BDBE4579}"/>
    <hyperlink ref="B33" r:id="rId31" display="https://amp.vexpenses.com/settings/membros-de-equipe/918852" xr:uid="{16CEC440-A072-48B9-A4EC-17F2759B338F}"/>
    <hyperlink ref="B34" r:id="rId32" display="https://amp.vexpenses.com/settings/membros-de-equipe/895970" xr:uid="{3C4B1BEF-35D5-429B-ABCE-E9E23B521AA0}"/>
    <hyperlink ref="B35" r:id="rId33" display="https://amp.vexpenses.com/settings/membros-de-equipe/895971" xr:uid="{0024FCCA-3355-46F7-8394-43F6382491C2}"/>
    <hyperlink ref="B36" r:id="rId34" display="https://amp.vexpenses.com/settings/membros-de-equipe/895972" xr:uid="{8D78250B-B4CF-4F54-8CF0-ECF1AA8E7FCE}"/>
    <hyperlink ref="B37" r:id="rId35" display="https://amp.vexpenses.com/settings/membros-de-equipe/895974" xr:uid="{6A7AD985-21DD-4A03-B092-F981AE3E4C92}"/>
    <hyperlink ref="B38" r:id="rId36" display="https://amp.vexpenses.com/settings/membros-de-equipe/929757" xr:uid="{86E94D3E-15F5-4A85-B323-9F072AA427DC}"/>
    <hyperlink ref="B39" r:id="rId37" display="https://amp.vexpenses.com/settings/membros-de-equipe/895975" xr:uid="{C8595B02-B22D-4CA8-9930-BF7F5FC42206}"/>
    <hyperlink ref="B40" r:id="rId38" display="https://amp.vexpenses.com/settings/membros-de-equipe/895976" xr:uid="{DE2CA6B5-D77C-49A1-BAE2-38AD61423589}"/>
    <hyperlink ref="B41" r:id="rId39" display="https://amp.vexpenses.com/settings/membros-de-equipe/891979" xr:uid="{F5C9142C-59C5-4C83-B12C-8C4189F4F6D0}"/>
    <hyperlink ref="B42" r:id="rId40" display="https://amp.vexpenses.com/settings/membros-de-equipe/895977" xr:uid="{CCBAB9D1-F0EB-4F36-AE12-56CBE7AE8FA8}"/>
    <hyperlink ref="B43" r:id="rId41" display="https://amp.vexpenses.com/settings/membros-de-equipe/895978" xr:uid="{25557508-6AE2-47F3-A5BC-30340BE5B04E}"/>
    <hyperlink ref="B44" r:id="rId42" display="https://amp.vexpenses.com/settings/membros-de-equipe/952448" xr:uid="{D77465BC-C51E-40E6-ABF4-49E664BE592C}"/>
    <hyperlink ref="B45" r:id="rId43" display="https://amp.vexpenses.com/settings/membros-de-equipe/934784" xr:uid="{EF003735-0E33-473F-A836-3EFD52FB5003}"/>
    <hyperlink ref="B46" r:id="rId44" display="https://amp.vexpenses.com/settings/membros-de-equipe/917324" xr:uid="{167FB85B-9959-4836-AC25-0DA480B81D42}"/>
    <hyperlink ref="B47" r:id="rId45" display="https://amp.vexpenses.com/settings/membros-de-equipe/895981" xr:uid="{3E948075-0808-4D61-9E2F-29F6E57EA58E}"/>
    <hyperlink ref="B48" r:id="rId46" display="https://amp.vexpenses.com/settings/membros-de-equipe/895982" xr:uid="{C079681C-6227-4B7A-B3C8-90C1FE45C973}"/>
    <hyperlink ref="B49" r:id="rId47" display="https://amp.vexpenses.com/settings/membros-de-equipe/895983" xr:uid="{5C0C3D2F-51F6-441C-9883-E5CAD1AC7373}"/>
    <hyperlink ref="B50" r:id="rId48" display="https://amp.vexpenses.com/settings/membros-de-equipe/895984" xr:uid="{12AE47D0-6438-4AF8-A245-A62677F23211}"/>
    <hyperlink ref="B51" r:id="rId49" display="https://amp.vexpenses.com/settings/membros-de-equipe/895985" xr:uid="{0F42E90C-3A39-4A00-807E-6CAA6C7908B3}"/>
    <hyperlink ref="B52" r:id="rId50" display="https://amp.vexpenses.com/settings/membros-de-equipe/916889" xr:uid="{64677CC0-55D1-4999-8C87-B996ADF291C2}"/>
    <hyperlink ref="B53" r:id="rId51" display="https://amp.vexpenses.com/settings/membros-de-equipe/895986" xr:uid="{43CF8C12-B968-473C-85C4-7A3C6C293449}"/>
    <hyperlink ref="B54" r:id="rId52" display="https://amp.vexpenses.com/settings/membros-de-equipe/891977" xr:uid="{7E0FACA3-CF5D-4BD7-900C-63FDA4850522}"/>
    <hyperlink ref="B55" r:id="rId53" display="https://amp.vexpenses.com/settings/membros-de-equipe/895988" xr:uid="{AC19E263-472B-410A-8BB2-CED3F711B0EA}"/>
    <hyperlink ref="B56" r:id="rId54" display="https://amp.vexpenses.com/settings/membros-de-equipe/895989" xr:uid="{E7674ED3-0C10-4017-A440-95D2AD83F466}"/>
    <hyperlink ref="B57" r:id="rId55" display="https://amp.vexpenses.com/settings/membros-de-equipe/895991" xr:uid="{A23832DA-AB91-4C30-BAFF-DCD9E6F959C5}"/>
    <hyperlink ref="B58" r:id="rId56" display="https://amp.vexpenses.com/settings/membros-de-equipe/895992" xr:uid="{5FFB3128-75D2-4A85-AF38-79372E271086}"/>
    <hyperlink ref="B59" r:id="rId57" display="https://amp.vexpenses.com/settings/membros-de-equipe/895993" xr:uid="{39C53C32-0DCF-4AAC-BE8B-F1FEDF8BA436}"/>
    <hyperlink ref="B60" r:id="rId58" display="https://amp.vexpenses.com/settings/membros-de-equipe/895994" xr:uid="{3ED39DB6-A68F-43F0-BDBA-F8341C057E1B}"/>
    <hyperlink ref="B61" r:id="rId59" display="https://amp.vexpenses.com/settings/membros-de-equipe/920071" xr:uid="{81BF6BA1-EEE8-471E-B515-C77DEEA25EB1}"/>
    <hyperlink ref="B62" r:id="rId60" display="https://amp.vexpenses.com/settings/membros-de-equipe/895996" xr:uid="{1F1D5D22-B13A-4DCD-950D-B2856FFDD96B}"/>
    <hyperlink ref="B63" r:id="rId61" display="https://amp.vexpenses.com/settings/membros-de-equipe/895997" xr:uid="{A33C5BEE-C3A8-4195-88E0-9D5E6182AF83}"/>
    <hyperlink ref="B64" r:id="rId62" display="https://amp.vexpenses.com/settings/membros-de-equipe/917085" xr:uid="{8A084D46-69BC-4F1E-9EE7-808B996CD9C0}"/>
    <hyperlink ref="B65" r:id="rId63" display="https://amp.vexpenses.com/settings/membros-de-equipe/895998" xr:uid="{C13429D7-55A9-443F-931A-703B5A4B45DE}"/>
    <hyperlink ref="B66" r:id="rId64" display="https://amp.vexpenses.com/settings/membros-de-equipe/930416" xr:uid="{036E3DBF-4530-4008-A526-E3C3054E3C36}"/>
    <hyperlink ref="B67" r:id="rId65" display="https://amp.vexpenses.com/settings/membros-de-equipe/895999" xr:uid="{AFE33EA6-63F9-45EE-A298-E3E299931294}"/>
    <hyperlink ref="B68" r:id="rId66" display="https://amp.vexpenses.com/settings/membros-de-equipe/896000" xr:uid="{153EF5C7-76B2-4E4C-937E-F632F3236529}"/>
    <hyperlink ref="B69" r:id="rId67" display="https://amp.vexpenses.com/settings/membros-de-equipe/896001" xr:uid="{E7103424-C24D-4981-B45D-1CB4D1EC26A3}"/>
    <hyperlink ref="B70" r:id="rId68" display="https://amp.vexpenses.com/settings/membros-de-equipe/896002" xr:uid="{4EE4E995-DFC5-440F-9074-144B6C8B9D58}"/>
    <hyperlink ref="B71" r:id="rId69" display="https://amp.vexpenses.com/settings/membros-de-equipe/896003" xr:uid="{E357EF82-A212-461F-8C36-CA9BAA69C2BF}"/>
    <hyperlink ref="B72" r:id="rId70" display="https://amp.vexpenses.com/settings/membros-de-equipe/896004" xr:uid="{8E015410-1419-4ABE-B96B-5C7D159FA9CB}"/>
    <hyperlink ref="B73" r:id="rId71" display="https://amp.vexpenses.com/settings/membros-de-equipe/896005" xr:uid="{9019A56C-C57F-47C7-B462-E6460C9E0628}"/>
    <hyperlink ref="B74" r:id="rId72" display="https://amp.vexpenses.com/settings/membros-de-equipe/896006" xr:uid="{B8DD73D1-29F3-430C-A810-AFF035F37933}"/>
    <hyperlink ref="B75" r:id="rId73" display="https://amp.vexpenses.com/settings/membros-de-equipe/896007" xr:uid="{F7361752-DA91-4167-AF83-1411257F1A43}"/>
    <hyperlink ref="B76" r:id="rId74" display="https://amp.vexpenses.com/settings/membros-de-equipe/896008" xr:uid="{9BF9C68F-F01E-4240-9D91-BB6037323479}"/>
    <hyperlink ref="B77" r:id="rId75" display="https://amp.vexpenses.com/settings/membros-de-equipe/896009" xr:uid="{91F9EAEB-A566-4DE5-BFC4-5923C5E90404}"/>
    <hyperlink ref="B78" r:id="rId76" display="https://amp.vexpenses.com/settings/membros-de-equipe/896011" xr:uid="{C0463A6F-1E92-4488-B747-B974F59D2986}"/>
    <hyperlink ref="B79" r:id="rId77" display="https://amp.vexpenses.com/settings/membros-de-equipe/896012" xr:uid="{A2588AA1-E5AE-4801-BCE1-783363429F3A}"/>
    <hyperlink ref="B80" r:id="rId78" display="https://amp.vexpenses.com/settings/membros-de-equipe/896014" xr:uid="{23FC1DEB-0008-482E-859F-3AFDADEC2C4D}"/>
    <hyperlink ref="B81" r:id="rId79" display="https://amp.vexpenses.com/settings/membros-de-equipe/896015" xr:uid="{94859752-6D13-4192-BF20-BAECF5E1A26B}"/>
    <hyperlink ref="B82" r:id="rId80" display="https://amp.vexpenses.com/settings/membros-de-equipe/930924" xr:uid="{BD7DA130-01DE-4DF6-B4CF-417EB26CC30C}"/>
    <hyperlink ref="B83" r:id="rId81" display="https://amp.vexpenses.com/settings/membros-de-equipe/896017" xr:uid="{0DE91D5E-2027-4420-AF31-9E5A3BB7DBA1}"/>
    <hyperlink ref="B84" r:id="rId82" display="https://amp.vexpenses.com/settings/membros-de-equipe/917342" xr:uid="{1C158831-99A3-4EB5-A084-3848D84498E9}"/>
    <hyperlink ref="B85" r:id="rId83" display="https://amp.vexpenses.com/settings/membros-de-equipe/896018" xr:uid="{3CAB2A34-D38C-434E-A8DE-14EF5DF38D69}"/>
    <hyperlink ref="B86" r:id="rId84" display="https://amp.vexpenses.com/settings/membros-de-equipe/896019" xr:uid="{C5FEA631-1F5B-48C3-A89C-248BC33BCE6E}"/>
    <hyperlink ref="B87" r:id="rId85" display="https://amp.vexpenses.com/settings/membros-de-equipe/952397" xr:uid="{BB27DFDC-AD59-4214-9750-94A02CFEC1ED}"/>
    <hyperlink ref="B88" r:id="rId86" display="https://amp.vexpenses.com/settings/membros-de-equipe/896020" xr:uid="{AFE34E7A-5BB4-48B2-BA48-69FEC5FBEC2E}"/>
    <hyperlink ref="B89" r:id="rId87" display="https://amp.vexpenses.com/settings/membros-de-equipe/896021" xr:uid="{99D211DA-5FE3-4187-8A05-4ABD42DDD199}"/>
    <hyperlink ref="B90" r:id="rId88" display="https://amp.vexpenses.com/settings/membros-de-equipe/896023" xr:uid="{B84BA780-6797-46EE-B249-4ECC987B7F53}"/>
    <hyperlink ref="B91" r:id="rId89" display="https://amp.vexpenses.com/settings/membros-de-equipe/896024" xr:uid="{B7ECFE38-F9CA-43FB-B845-238F9E254CF7}"/>
    <hyperlink ref="B92" r:id="rId90" display="https://amp.vexpenses.com/settings/membros-de-equipe/896025" xr:uid="{ADD6FE46-D890-4C09-A788-4B5825074CBB}"/>
    <hyperlink ref="B93" r:id="rId91" display="https://amp.vexpenses.com/settings/membros-de-equipe/896026" xr:uid="{3638A4F8-68F8-4717-9AA0-3222F89E81E8}"/>
    <hyperlink ref="B94" r:id="rId92" display="https://amp.vexpenses.com/settings/membros-de-equipe/896027" xr:uid="{58EFB235-9165-4E9A-940B-1B1AC4F7A6FD}"/>
    <hyperlink ref="B95" r:id="rId93" display="https://amp.vexpenses.com/settings/membros-de-equipe/896028" xr:uid="{53C369C6-B0B1-4A2B-B289-01D45B01A435}"/>
    <hyperlink ref="B96" r:id="rId94" display="https://amp.vexpenses.com/settings/membros-de-equipe/896029" xr:uid="{897BABC9-F2A7-4F82-96C3-DE9487F0FEE3}"/>
    <hyperlink ref="B97" r:id="rId95" display="https://amp.vexpenses.com/settings/membros-de-equipe/896030" xr:uid="{18F2F89E-3D8D-4DE1-8180-2C1A2104B70C}"/>
    <hyperlink ref="B98" r:id="rId96" display="https://amp.vexpenses.com/settings/membros-de-equipe/896031" xr:uid="{3969CDDE-7074-466C-B471-207416C546A8}"/>
    <hyperlink ref="B99" r:id="rId97" display="https://amp.vexpenses.com/settings/membros-de-equipe/896032" xr:uid="{DAB7879A-84AF-4FCD-A14A-F9A4BA9E1CDF}"/>
    <hyperlink ref="B100" r:id="rId98" display="https://amp.vexpenses.com/settings/membros-de-equipe/896033" xr:uid="{3E5AA39C-CC9B-4E74-96CA-DFB405B6473E}"/>
    <hyperlink ref="B101" r:id="rId99" display="https://amp.vexpenses.com/settings/membros-de-equipe/930403" xr:uid="{BAE5794A-588F-435C-8DE3-575368F917AC}"/>
    <hyperlink ref="B102" r:id="rId100" display="https://amp.vexpenses.com/settings/membros-de-equipe/935041" xr:uid="{D3BCBDF0-166B-4EA9-B8DD-C66A75B0F685}"/>
    <hyperlink ref="B103" r:id="rId101" display="https://amp.vexpenses.com/settings/membros-de-equipe/896034" xr:uid="{07453F94-0054-4C6F-A4F8-EE16BEDE7E1E}"/>
    <hyperlink ref="B104" r:id="rId102" display="https://amp.vexpenses.com/settings/membros-de-equipe/921947" xr:uid="{6D4C8FF6-8AB8-46A0-B883-B148C134FE93}"/>
    <hyperlink ref="B105" r:id="rId103" display="https://amp.vexpenses.com/settings/membros-de-equipe/896035" xr:uid="{5E630464-CFE2-46DD-9598-38BED4FC9FDD}"/>
    <hyperlink ref="B106" r:id="rId104" display="https://amp.vexpenses.com/settings/membros-de-equipe/896036" xr:uid="{6D6F841E-7E6F-4881-AAF1-9FCAA8EAED42}"/>
    <hyperlink ref="B107" r:id="rId105" display="https://amp.vexpenses.com/settings/membros-de-equipe/890792" xr:uid="{188B7511-097D-4F6F-8435-FCB619AE79E6}"/>
    <hyperlink ref="B108" r:id="rId106" display="https://amp.vexpenses.com/settings/membros-de-equipe/919653" xr:uid="{352154EA-5577-40F0-B071-66413F3BDF4B}"/>
    <hyperlink ref="B109" r:id="rId107" display="https://amp.vexpenses.com/settings/membros-de-equipe/896037" xr:uid="{7ACE8385-2306-4EC8-8B5D-7CB16A61449A}"/>
    <hyperlink ref="B110" r:id="rId108" display="https://amp.vexpenses.com/settings/membros-de-equipe/917376" xr:uid="{2CCE0691-4B6D-4774-BB7B-45F16934CF63}"/>
    <hyperlink ref="B111" r:id="rId109" display="https://amp.vexpenses.com/settings/membros-de-equipe/930913" xr:uid="{7DBDD15C-50AE-4CB9-B6C3-DD308BD4A6BA}"/>
    <hyperlink ref="B112" r:id="rId110" display="https://amp.vexpenses.com/settings/membros-de-equipe/916919" xr:uid="{D03A4F7F-67CA-4831-87F3-2F58A7879B18}"/>
    <hyperlink ref="B113" r:id="rId111" display="https://amp.vexpenses.com/settings/membros-de-equipe/896040" xr:uid="{743F36AA-B66C-4DA0-8086-7150040326DC}"/>
    <hyperlink ref="B114" r:id="rId112" display="https://amp.vexpenses.com/settings/membros-de-equipe/923635" xr:uid="{2082145A-DB10-43F2-9DE5-CD26B20115A5}"/>
    <hyperlink ref="B115" r:id="rId113" display="https://amp.vexpenses.com/settings/membros-de-equipe/896419" xr:uid="{0F69B68C-F5BD-496C-A1C3-186A49BD7764}"/>
    <hyperlink ref="B116" r:id="rId114" display="https://amp.vexpenses.com/settings/membros-de-equipe/896041" xr:uid="{D1601B00-4815-46CF-B3DD-203E4A7D15B4}"/>
    <hyperlink ref="B117" r:id="rId115" display="https://amp.vexpenses.com/settings/membros-de-equipe/917060" xr:uid="{6C078DFE-C130-4027-BC42-036FB1642257}"/>
    <hyperlink ref="B118" r:id="rId116" display="https://amp.vexpenses.com/settings/membros-de-equipe/896043" xr:uid="{24A8325A-62C6-42D4-AE18-7D8F52D39EFD}"/>
    <hyperlink ref="B119" r:id="rId117" display="https://amp.vexpenses.com/settings/membros-de-equipe/896044" xr:uid="{E4E4E892-D1F4-4645-828B-396A3AEDED88}"/>
    <hyperlink ref="B120" r:id="rId118" display="https://amp.vexpenses.com/settings/membros-de-equipe/917345" xr:uid="{F4182B2F-0215-4A27-844D-E063B7502690}"/>
    <hyperlink ref="B121" r:id="rId119" display="https://amp.vexpenses.com/settings/membros-de-equipe/896045" xr:uid="{48BE4E5D-62DE-4DD2-B72A-3F32323A2691}"/>
    <hyperlink ref="B122" r:id="rId120" display="https://amp.vexpenses.com/settings/membros-de-equipe/896046" xr:uid="{3D3FCF1E-F63C-4884-A6FA-53BFCCFC9ECF}"/>
    <hyperlink ref="B123" r:id="rId121" display="https://amp.vexpenses.com/settings/membros-de-equipe/896047" xr:uid="{D662BA59-9DBF-4D53-AC0A-F97DEB9B902D}"/>
    <hyperlink ref="B124" r:id="rId122" display="https://amp.vexpenses.com/settings/membros-de-equipe/896048" xr:uid="{6FACC8E3-87FB-48F0-95FA-C8CA91C59503}"/>
    <hyperlink ref="B125" r:id="rId123" display="https://amp.vexpenses.com/settings/membros-de-equipe/896049" xr:uid="{818DF20F-E27F-458A-A56F-625CCB94D64C}"/>
    <hyperlink ref="B126" r:id="rId124" display="https://amp.vexpenses.com/settings/membros-de-equipe/896050" xr:uid="{8DDFD216-C76F-4B8B-9CAC-6FFD2F796A4A}"/>
    <hyperlink ref="B127" r:id="rId125" display="https://amp.vexpenses.com/settings/membros-de-equipe/896051" xr:uid="{D4E2D24D-B067-42E8-ADAC-A68289924041}"/>
    <hyperlink ref="B128" r:id="rId126" display="https://amp.vexpenses.com/settings/membros-de-equipe/896052" xr:uid="{22B52B58-1695-4672-97DA-735A578B63A6}"/>
    <hyperlink ref="B129" r:id="rId127" display="https://amp.vexpenses.com/settings/membros-de-equipe/896053" xr:uid="{6D0F4501-A945-4B8F-B436-C607A8E831A5}"/>
    <hyperlink ref="B130" r:id="rId128" display="https://amp.vexpenses.com/settings/membros-de-equipe/896054" xr:uid="{1B57D789-F2B0-42F6-B28F-22E74F00202B}"/>
    <hyperlink ref="B131" r:id="rId129" display="https://amp.vexpenses.com/settings/membros-de-equipe/896055" xr:uid="{D780882C-72E2-4CDB-92E3-02880A9BA8E4}"/>
    <hyperlink ref="B132" r:id="rId130" display="https://amp.vexpenses.com/settings/membros-de-equipe/896057" xr:uid="{E541B8C0-7B36-4D74-BE71-9A249CE9C714}"/>
    <hyperlink ref="B133" r:id="rId131" display="https://amp.vexpenses.com/settings/membros-de-equipe/896058" xr:uid="{62FE03B1-2595-4352-ABC3-AEA85F91FF15}"/>
    <hyperlink ref="B134" r:id="rId132" display="https://amp.vexpenses.com/settings/membros-de-equipe/896059" xr:uid="{8C1EDC82-791D-4AF1-B6DF-7425295AD891}"/>
    <hyperlink ref="B135" r:id="rId133" display="https://amp.vexpenses.com/settings/membros-de-equipe/896060" xr:uid="{4E9D40CA-E4E9-46C3-AF50-2D452D29BBE6}"/>
    <hyperlink ref="B136" r:id="rId134" display="https://amp.vexpenses.com/settings/membros-de-equipe/896061" xr:uid="{1803FB02-4FC9-42BE-ADF8-600E5032C0F2}"/>
    <hyperlink ref="B137" r:id="rId135" display="https://amp.vexpenses.com/settings/membros-de-equipe/896062" xr:uid="{F3F7DCF1-ADE1-423E-9A26-0246B890F417}"/>
    <hyperlink ref="B138" r:id="rId136" display="https://amp.vexpenses.com/settings/membros-de-equipe/927175" xr:uid="{469D5ADF-BCF5-4845-A9C6-0E389CEF0544}"/>
    <hyperlink ref="B139" r:id="rId137" display="https://amp.vexpenses.com/settings/membros-de-equipe/896063" xr:uid="{546E793D-D671-496F-9478-0C600A2D9961}"/>
    <hyperlink ref="B140" r:id="rId138" display="https://amp.vexpenses.com/settings/membros-de-equipe/896064" xr:uid="{64C9A312-D1E9-4CAD-BBD5-9EB58E8D98DB}"/>
    <hyperlink ref="B141" r:id="rId139" display="https://amp.vexpenses.com/settings/membros-de-equipe/920852" xr:uid="{1A6A52FC-FDDD-4A17-83C7-B5B5FFB4E13E}"/>
    <hyperlink ref="B142" r:id="rId140" display="https://amp.vexpenses.com/settings/membros-de-equipe/896065" xr:uid="{91CAF00D-26F3-44BF-A9EB-D538B67D41F9}"/>
    <hyperlink ref="B143" r:id="rId141" display="https://amp.vexpenses.com/settings/membros-de-equipe/896066" xr:uid="{56895E72-4790-4D7E-9051-5E7B7315D555}"/>
    <hyperlink ref="B144" r:id="rId142" display="https://amp.vexpenses.com/settings/membros-de-equipe/896067" xr:uid="{68182E71-EF49-4768-A20D-306A3D25F51C}"/>
    <hyperlink ref="B145" r:id="rId143" display="https://amp.vexpenses.com/settings/membros-de-equipe/896068" xr:uid="{2597A14A-6AD6-420B-B0DD-BBC34284E09E}"/>
    <hyperlink ref="B146" r:id="rId144" display="https://amp.vexpenses.com/settings/membros-de-equipe/896069" xr:uid="{6A9C356E-75EE-4D65-A48C-3D4EDAADABEB}"/>
    <hyperlink ref="B147" r:id="rId145" display="https://amp.vexpenses.com/settings/membros-de-equipe/930406" xr:uid="{E438F74F-F806-4F6B-9E26-1E9CB78EA2C5}"/>
    <hyperlink ref="B148" r:id="rId146" display="https://amp.vexpenses.com/settings/membros-de-equipe/896070" xr:uid="{E2CB9ADF-458B-4490-862C-64D04FE2922F}"/>
    <hyperlink ref="B149" r:id="rId147" display="https://amp.vexpenses.com/settings/membros-de-equipe/896071" xr:uid="{46751E9A-0AE6-42FA-8C29-F61A6D326EB8}"/>
    <hyperlink ref="B150" r:id="rId148" display="https://amp.vexpenses.com/settings/membros-de-equipe/896072" xr:uid="{A28B22AC-1140-4AE7-BD00-38E05A6A8006}"/>
    <hyperlink ref="B151" r:id="rId149" display="https://amp.vexpenses.com/settings/membros-de-equipe/896073" xr:uid="{A9EBCC50-F293-4765-AE31-2985F43105DD}"/>
    <hyperlink ref="B152" r:id="rId150" display="https://amp.vexpenses.com/settings/membros-de-equipe/896074" xr:uid="{DA5217EA-3BDC-4E2D-9134-37AFBBB337ED}"/>
    <hyperlink ref="B153" r:id="rId151" display="https://amp.vexpenses.com/settings/membros-de-equipe/896075" xr:uid="{2CE2D6D2-E3DC-4DAB-9449-7959976094B3}"/>
    <hyperlink ref="B154" r:id="rId152" display="https://amp.vexpenses.com/settings/membros-de-equipe/915374" xr:uid="{A69F8E72-F10E-4612-826E-AFD113B2FFEB}"/>
    <hyperlink ref="B155" r:id="rId153" display="https://amp.vexpenses.com/settings/membros-de-equipe/896076" xr:uid="{D1254186-26F4-4BB7-A4FF-FB80A65B0CC7}"/>
    <hyperlink ref="B156" r:id="rId154" display="https://amp.vexpenses.com/settings/membros-de-equipe/920845" xr:uid="{C3E2AB14-3213-482C-829F-66FE3D0B853D}"/>
    <hyperlink ref="B157" r:id="rId155" display="https://amp.vexpenses.com/settings/membros-de-equipe/896077" xr:uid="{6592C684-DF9E-4085-A7DF-24FA41E18B50}"/>
    <hyperlink ref="B158" r:id="rId156" display="https://amp.vexpenses.com/settings/membros-de-equipe/946535" xr:uid="{5B8369FA-CB7F-4062-A60C-AF4A99275205}"/>
    <hyperlink ref="B159" r:id="rId157" display="https://amp.vexpenses.com/settings/membros-de-equipe/896079" xr:uid="{9009BF04-B0CC-46BC-9A0E-4059F3B2666B}"/>
    <hyperlink ref="B160" r:id="rId158" display="https://amp.vexpenses.com/settings/membros-de-equipe/922738" xr:uid="{C31194A0-8709-4AD3-98B9-0FFC463792E0}"/>
    <hyperlink ref="B161" r:id="rId159" display="https://amp.vexpenses.com/settings/membros-de-equipe/896080" xr:uid="{B157E4FD-9DD7-4C21-9BC2-4FAD19BC0978}"/>
    <hyperlink ref="B162" r:id="rId160" display="https://amp.vexpenses.com/settings/membros-de-equipe/961468" xr:uid="{695F1A8D-50D7-42B0-B199-BA3EF466A96A}"/>
    <hyperlink ref="B163" r:id="rId161" display="https://amp.vexpenses.com/settings/membros-de-equipe/896081" xr:uid="{7B28A6F9-CB17-48D0-B3A9-7DC844F2099F}"/>
    <hyperlink ref="B164" r:id="rId162" display="https://amp.vexpenses.com/settings/membros-de-equipe/920872" xr:uid="{6F11AD04-951E-438C-8FD8-85127A40C660}"/>
    <hyperlink ref="B165" r:id="rId163" display="https://amp.vexpenses.com/settings/membros-de-equipe/896082" xr:uid="{E9A8C371-2FBF-4163-A52F-2670E228AE3D}"/>
    <hyperlink ref="B166" r:id="rId164" display="https://amp.vexpenses.com/settings/membros-de-equipe/896083" xr:uid="{738C26CB-0FB2-4F58-91DD-11DEC49DEDC4}"/>
    <hyperlink ref="B167" r:id="rId165" display="https://amp.vexpenses.com/settings/membros-de-equipe/930420" xr:uid="{CECDD103-951D-4064-A95C-28BB6AD6585F}"/>
    <hyperlink ref="B168" r:id="rId166" display="https://amp.vexpenses.com/settings/membros-de-equipe/896084" xr:uid="{CD958EFB-79E2-4C92-805F-62619D222020}"/>
    <hyperlink ref="B169" r:id="rId167" display="https://amp.vexpenses.com/settings/membros-de-equipe/896085" xr:uid="{B6BBCDC1-2C8E-46A9-B8E8-EB92AA6D1E5C}"/>
    <hyperlink ref="B170" r:id="rId168" display="https://amp.vexpenses.com/settings/membros-de-equipe/896086" xr:uid="{D18B6291-1D31-4642-BC44-A06B0EB242C8}"/>
    <hyperlink ref="B171" r:id="rId169" display="https://amp.vexpenses.com/settings/membros-de-equipe/946138" xr:uid="{23F9821A-0EA0-4712-8390-D9BA57D7CC80}"/>
    <hyperlink ref="B172" r:id="rId170" display="https://amp.vexpenses.com/settings/membros-de-equipe/896087" xr:uid="{35166969-D1BD-47B7-91B6-0957B771F0E7}"/>
    <hyperlink ref="B173" r:id="rId171" display="https://amp.vexpenses.com/settings/membros-de-equipe/896088" xr:uid="{1E5EF522-79E7-4E3F-9A47-BBBE4129CB16}"/>
    <hyperlink ref="B174" r:id="rId172" display="https://amp.vexpenses.com/settings/membros-de-equipe/896089" xr:uid="{0F6E6D7D-2A0E-4D0B-8A51-16009CF52FD6}"/>
    <hyperlink ref="B175" r:id="rId173" display="https://amp.vexpenses.com/settings/membros-de-equipe/896090" xr:uid="{DA8D242E-72AA-4954-8553-04732B0E1159}"/>
    <hyperlink ref="B176" r:id="rId174" display="https://amp.vexpenses.com/settings/membros-de-equipe/896420" xr:uid="{8030D30A-3B26-4297-AFAC-4768384383E6}"/>
    <hyperlink ref="B177" r:id="rId175" display="https://amp.vexpenses.com/settings/membros-de-equipe/944251" xr:uid="{219C4934-70C8-4EE0-AC98-2A71D5012BEA}"/>
    <hyperlink ref="B178" r:id="rId176" display="https://amp.vexpenses.com/settings/membros-de-equipe/917078" xr:uid="{C92DF68A-4483-48AB-B263-E2AAA0BE2458}"/>
    <hyperlink ref="B179" r:id="rId177" display="https://amp.vexpenses.com/settings/membros-de-equipe/896091" xr:uid="{59DCE334-F28E-42CE-B7B8-BE32070FF464}"/>
    <hyperlink ref="B180" r:id="rId178" display="https://amp.vexpenses.com/settings/membros-de-equipe/896092" xr:uid="{879A4FF7-B26B-4E7B-9F4F-D0FE9502964A}"/>
    <hyperlink ref="B181" r:id="rId179" display="https://amp.vexpenses.com/settings/membros-de-equipe/896093" xr:uid="{F6289CB0-701D-4C40-8457-9E8739D1D700}"/>
    <hyperlink ref="B182" r:id="rId180" display="https://amp.vexpenses.com/settings/membros-de-equipe/896094" xr:uid="{6820FFBF-685C-480C-A2D3-D29D30B7C829}"/>
    <hyperlink ref="B183" r:id="rId181" display="https://amp.vexpenses.com/settings/membros-de-equipe/896095" xr:uid="{219B96CD-34FB-422C-B514-C0C2B39ED990}"/>
    <hyperlink ref="B184" r:id="rId182" display="https://amp.vexpenses.com/settings/membros-de-equipe/896096" xr:uid="{9B85E3EF-69F2-4DC9-8023-752732A3D7C7}"/>
    <hyperlink ref="B185" r:id="rId183" display="https://amp.vexpenses.com/settings/membros-de-equipe/940437" xr:uid="{6B2E1846-CF94-4ABF-A943-D047D7FA91D8}"/>
    <hyperlink ref="B186" r:id="rId184" display="https://amp.vexpenses.com/settings/membros-de-equipe/896099" xr:uid="{F8A28A4C-D9D9-4083-9D32-1C269155B405}"/>
    <hyperlink ref="B187" r:id="rId185" display="https://amp.vexpenses.com/settings/membros-de-equipe/896101" xr:uid="{33991F68-68CB-4AD7-BAD4-0FC6742603D2}"/>
    <hyperlink ref="B188" r:id="rId186" display="https://amp.vexpenses.com/settings/membros-de-equipe/961342" xr:uid="{B14E1E2C-C567-4DCE-B808-42881648D7F7}"/>
    <hyperlink ref="B189" r:id="rId187" display="https://amp.vexpenses.com/settings/membros-de-equipe/896102" xr:uid="{622CAD2B-A4BE-42F9-B9A5-A8ADF0FBAC25}"/>
    <hyperlink ref="B190" r:id="rId188" display="https://amp.vexpenses.com/settings/membros-de-equipe/896103" xr:uid="{C2866EB7-9E13-4414-8E8E-C06761C8ED87}"/>
    <hyperlink ref="B191" r:id="rId189" display="https://amp.vexpenses.com/settings/membros-de-equipe/896104" xr:uid="{225B45F6-8762-4B79-8070-21402FA32E6A}"/>
    <hyperlink ref="B192" r:id="rId190" display="https://amp.vexpenses.com/settings/membros-de-equipe/896105" xr:uid="{9A6A908E-CF56-4F58-BB6B-BB6183497DCD}"/>
    <hyperlink ref="B193" r:id="rId191" display="https://amp.vexpenses.com/settings/membros-de-equipe/896106" xr:uid="{C4A60235-5718-4057-BF22-781EA0ECD37B}"/>
    <hyperlink ref="B194" r:id="rId192" display="https://amp.vexpenses.com/settings/membros-de-equipe/896107" xr:uid="{75D0A91D-F9E3-405D-B271-8B814899F510}"/>
    <hyperlink ref="B195" r:id="rId193" display="https://amp.vexpenses.com/settings/membros-de-equipe/917075" xr:uid="{BB70E620-020A-4EA3-8B6A-4D94AB892D3C}"/>
    <hyperlink ref="B196" r:id="rId194" display="https://amp.vexpenses.com/settings/membros-de-equipe/896109" xr:uid="{4C773D96-C4A3-4756-80BB-6A226A63B7E1}"/>
    <hyperlink ref="B197" r:id="rId195" display="https://amp.vexpenses.com/settings/membros-de-equipe/917058" xr:uid="{FF6A070D-69D2-4149-8810-E84121CDB3C3}"/>
    <hyperlink ref="B198" r:id="rId196" display="https://amp.vexpenses.com/settings/membros-de-equipe/896111" xr:uid="{CBE942EE-2576-4E46-B442-073841285C8E}"/>
    <hyperlink ref="B199" r:id="rId197" display="https://amp.vexpenses.com/settings/membros-de-equipe/927567" xr:uid="{7AD3B3B7-F808-4FBF-A428-D2E2573303BC}"/>
    <hyperlink ref="B200" r:id="rId198" display="https://amp.vexpenses.com/settings/membros-de-equipe/896112" xr:uid="{A5527775-62FC-42D2-9DC0-1531B72C34B3}"/>
    <hyperlink ref="B201" r:id="rId199" display="https://amp.vexpenses.com/settings/membros-de-equipe/896113" xr:uid="{102D7A17-7517-4683-9A00-D66C5171B807}"/>
    <hyperlink ref="B202" r:id="rId200" display="https://amp.vexpenses.com/settings/membros-de-equipe/930400" xr:uid="{688C3534-A790-4E77-9119-A1C677C53F07}"/>
    <hyperlink ref="B203" r:id="rId201" display="https://amp.vexpenses.com/settings/membros-de-equipe/896115" xr:uid="{5B0479BA-F44F-4373-8F2E-6D926EB5DD0C}"/>
    <hyperlink ref="B204" r:id="rId202" display="https://amp.vexpenses.com/settings/membros-de-equipe/896116" xr:uid="{F2EFBAE7-0F8A-4E3A-99DA-FB06416927B4}"/>
    <hyperlink ref="B205" r:id="rId203" display="https://amp.vexpenses.com/settings/membros-de-equipe/896117" xr:uid="{7B3A2A31-B477-4FE9-B7B5-00BFD012EC7F}"/>
    <hyperlink ref="B206" r:id="rId204" display="https://amp.vexpenses.com/settings/membros-de-equipe/896421" xr:uid="{857709C8-43A5-434D-BF75-B089A1D5F088}"/>
    <hyperlink ref="B207" r:id="rId205" display="https://amp.vexpenses.com/settings/membros-de-equipe/896118" xr:uid="{FBBBE0B5-95EE-4D91-801B-14B1ABC88FDB}"/>
    <hyperlink ref="B208" r:id="rId206" display="https://amp.vexpenses.com/settings/membros-de-equipe/896119" xr:uid="{96DEC703-F339-4C3A-B869-F5C902A7EE61}"/>
    <hyperlink ref="B209" r:id="rId207" display="https://amp.vexpenses.com/settings/membros-de-equipe/929756" xr:uid="{C569B8E1-C28C-40C6-A469-76AC8D36DB5A}"/>
    <hyperlink ref="B210" r:id="rId208" display="https://amp.vexpenses.com/settings/membros-de-equipe/896120" xr:uid="{1BB44CF4-DEFC-4417-B259-98C315815ACC}"/>
    <hyperlink ref="B211" r:id="rId209" display="https://amp.vexpenses.com/settings/membros-de-equipe/896121" xr:uid="{A3FA0DED-C98B-44DF-9D06-9CD3F6ED66F7}"/>
    <hyperlink ref="B212" r:id="rId210" display="https://amp.vexpenses.com/settings/membros-de-equipe/916905" xr:uid="{65EA538F-DEE1-4793-B65A-F2928662B29B}"/>
    <hyperlink ref="B213" r:id="rId211" display="https://amp.vexpenses.com/settings/membros-de-equipe/896122" xr:uid="{6B2BAC90-2D87-4935-B2FC-143E2CD0910E}"/>
    <hyperlink ref="B214" r:id="rId212" display="https://amp.vexpenses.com/settings/membros-de-equipe/929761" xr:uid="{D802F772-DB5A-4DA2-AE44-06EDFD568C5B}"/>
    <hyperlink ref="B215" r:id="rId213" display="https://amp.vexpenses.com/settings/membros-de-equipe/951179" xr:uid="{5005AB2E-499B-437E-9264-EDFE3AD1051F}"/>
    <hyperlink ref="B216" r:id="rId214" display="https://amp.vexpenses.com/settings/membros-de-equipe/896123" xr:uid="{D148D0BF-73D5-42A6-82C8-8A2795ED7D79}"/>
    <hyperlink ref="B217" r:id="rId215" display="https://amp.vexpenses.com/settings/membros-de-equipe/896124" xr:uid="{9E5D61D5-9E05-4E2A-978F-016E23E1A233}"/>
    <hyperlink ref="B218" r:id="rId216" display="https://amp.vexpenses.com/settings/membros-de-equipe/896125" xr:uid="{91912F34-B44B-4BDB-B255-739CB35D084F}"/>
    <hyperlink ref="B219" r:id="rId217" display="https://amp.vexpenses.com/settings/membros-de-equipe/916374" xr:uid="{69A3AA98-63FF-4913-8EB2-4501FE78E223}"/>
    <hyperlink ref="B220" r:id="rId218" display="https://amp.vexpenses.com/settings/membros-de-equipe/896127" xr:uid="{BDFE5982-2B6D-4F6B-97AC-EECB8776E71C}"/>
    <hyperlink ref="B221" r:id="rId219" display="https://amp.vexpenses.com/settings/membros-de-equipe/896128" xr:uid="{A751D521-9D19-4204-BA13-6694EAE62A0D}"/>
    <hyperlink ref="B222" r:id="rId220" display="https://amp.vexpenses.com/settings/membros-de-equipe/896129" xr:uid="{F262708D-AD6F-444A-82C0-6629A5E716F2}"/>
    <hyperlink ref="B223" r:id="rId221" display="https://amp.vexpenses.com/settings/membros-de-equipe/896131" xr:uid="{DE7E9E51-04DB-46FD-A610-1F85C76B330E}"/>
    <hyperlink ref="B224" r:id="rId222" display="https://amp.vexpenses.com/settings/membros-de-equipe/896132" xr:uid="{2897A086-2E73-4203-A1CB-75C9863ADE14}"/>
    <hyperlink ref="B225" r:id="rId223" display="https://amp.vexpenses.com/settings/membros-de-equipe/917353" xr:uid="{F5F35524-3C2E-4439-8AD8-1B56BEB254DD}"/>
    <hyperlink ref="B226" r:id="rId224" display="https://amp.vexpenses.com/settings/membros-de-equipe/896133" xr:uid="{EA8E2FDB-68F8-44BE-BAAD-25532DE4FE34}"/>
    <hyperlink ref="B227" r:id="rId225" display="https://amp.vexpenses.com/settings/membros-de-equipe/922784" xr:uid="{9AD16A68-301D-43B5-8CC2-096583EC92C0}"/>
    <hyperlink ref="B228" r:id="rId226" display="https://amp.vexpenses.com/settings/membros-de-equipe/916921" xr:uid="{2EA3E104-3285-4408-964B-76D9226B1AB4}"/>
    <hyperlink ref="B229" r:id="rId227" display="https://amp.vexpenses.com/settings/membros-de-equipe/896135" xr:uid="{C386C262-4A4B-4650-B44A-A46390F483AC}"/>
    <hyperlink ref="B230" r:id="rId228" display="https://amp.vexpenses.com/settings/membros-de-equipe/896136" xr:uid="{48C4C9BF-6E12-4344-9DCE-EB298E0C3C0B}"/>
    <hyperlink ref="B231" r:id="rId229" display="https://amp.vexpenses.com/settings/membros-de-equipe/896137" xr:uid="{FFE665B5-F456-4250-AD5A-666B9BF6973E}"/>
    <hyperlink ref="B232" r:id="rId230" display="https://amp.vexpenses.com/settings/membros-de-equipe/954733" xr:uid="{A01A62DB-EC38-4C70-899F-FD41327D9F13}"/>
    <hyperlink ref="B233" r:id="rId231" display="https://amp.vexpenses.com/settings/membros-de-equipe/896138" xr:uid="{7199E8BA-8E00-4B26-8E02-4650388610B8}"/>
    <hyperlink ref="B234" r:id="rId232" display="https://amp.vexpenses.com/settings/membros-de-equipe/896140" xr:uid="{8865AE37-3813-43A7-BFDE-2834F91E56E0}"/>
    <hyperlink ref="B235" r:id="rId233" display="https://amp.vexpenses.com/settings/membros-de-equipe/896141" xr:uid="{76A1AD70-6786-4078-A06D-B32CDF422382}"/>
    <hyperlink ref="B236" r:id="rId234" display="https://amp.vexpenses.com/settings/membros-de-equipe/896142" xr:uid="{4B39AA3F-26FA-4B43-B1E1-F562E5DF2D67}"/>
    <hyperlink ref="B237" r:id="rId235" display="https://amp.vexpenses.com/settings/membros-de-equipe/896143" xr:uid="{A8B180D4-44F2-4824-8601-B7A6B0E1C058}"/>
    <hyperlink ref="B238" r:id="rId236" display="https://amp.vexpenses.com/settings/membros-de-equipe/923893" xr:uid="{B80F397C-34A1-41D4-899C-C2ABBD7AFC36}"/>
    <hyperlink ref="B239" r:id="rId237" display="https://amp.vexpenses.com/settings/membros-de-equipe/896144" xr:uid="{CD57C911-6B82-403F-8633-176915453062}"/>
    <hyperlink ref="B240" r:id="rId238" display="https://amp.vexpenses.com/settings/membros-de-equipe/896145" xr:uid="{DE528A84-7AA7-4052-8540-87C407214936}"/>
    <hyperlink ref="B241" r:id="rId239" display="https://amp.vexpenses.com/settings/membros-de-equipe/958951" xr:uid="{7331684B-32EB-4188-95BF-DD13E0A7C46E}"/>
    <hyperlink ref="B242" r:id="rId240" display="https://amp.vexpenses.com/settings/membros-de-equipe/896147" xr:uid="{C5606316-F491-454B-8D36-1DDEBBB529EE}"/>
    <hyperlink ref="B243" r:id="rId241" display="https://amp.vexpenses.com/settings/membros-de-equipe/896148" xr:uid="{FD2A1D9B-F550-4DFB-9B56-EB793D71864B}"/>
    <hyperlink ref="B244" r:id="rId242" display="https://amp.vexpenses.com/settings/membros-de-equipe/896149" xr:uid="{8DCE00EF-97A7-494D-80B6-82897B26128A}"/>
    <hyperlink ref="B245" r:id="rId243" display="https://amp.vexpenses.com/settings/membros-de-equipe/896150" xr:uid="{47FED0D5-1D21-4524-84F2-25AA010389C9}"/>
    <hyperlink ref="B246" r:id="rId244" display="https://amp.vexpenses.com/settings/membros-de-equipe/923651" xr:uid="{A912DA4C-7AF7-49DE-A9C4-C9357931681C}"/>
    <hyperlink ref="B247" r:id="rId245" display="https://amp.vexpenses.com/settings/membros-de-equipe/896151" xr:uid="{1FFD0757-728A-41A7-893B-9FB0F11D0281}"/>
    <hyperlink ref="B248" r:id="rId246" display="https://amp.vexpenses.com/settings/membros-de-equipe/896152" xr:uid="{8DECEA05-CA01-4D9A-96AE-59701C916773}"/>
    <hyperlink ref="B249" r:id="rId247" display="https://amp.vexpenses.com/settings/membros-de-equipe/896153" xr:uid="{94DE802A-FA80-4F75-9026-A71CCBF0B05C}"/>
    <hyperlink ref="B250" r:id="rId248" display="https://amp.vexpenses.com/settings/membros-de-equipe/896154" xr:uid="{F0D02223-7DD5-4C82-820C-23742483DF57}"/>
    <hyperlink ref="B251" r:id="rId249" display="https://amp.vexpenses.com/settings/membros-de-equipe/896156" xr:uid="{0EE7574A-E5AE-4C91-A7DC-B7DF11B876EB}"/>
    <hyperlink ref="B252" r:id="rId250" display="https://amp.vexpenses.com/settings/membros-de-equipe/896157" xr:uid="{8D47CFD8-557B-453E-9169-DDA7B894717F}"/>
    <hyperlink ref="B253" r:id="rId251" display="https://amp.vexpenses.com/settings/membros-de-equipe/896158" xr:uid="{7B705B0F-797A-4B7D-A5E4-B731EAE5BA9D}"/>
    <hyperlink ref="B254" r:id="rId252" display="https://amp.vexpenses.com/settings/membros-de-equipe/931414" xr:uid="{F55AFA85-4A7F-4B4D-8FF6-E69AF3CE7AC9}"/>
    <hyperlink ref="B255" r:id="rId253" display="https://amp.vexpenses.com/settings/membros-de-equipe/896159" xr:uid="{C066CEF6-C121-43C4-986F-478A448E5457}"/>
    <hyperlink ref="B256" r:id="rId254" display="https://amp.vexpenses.com/settings/membros-de-equipe/930413" xr:uid="{BA595143-42BC-4BCF-A3BF-3470725E6B7D}"/>
    <hyperlink ref="B257" r:id="rId255" display="https://amp.vexpenses.com/settings/membros-de-equipe/896161" xr:uid="{2F2D87F7-1F31-4434-A158-9D591CDA7E38}"/>
    <hyperlink ref="B258" r:id="rId256" display="https://amp.vexpenses.com/settings/membros-de-equipe/896162" xr:uid="{2104431F-662D-4009-9FAE-19B8468EA558}"/>
    <hyperlink ref="B259" r:id="rId257" display="https://amp.vexpenses.com/settings/membros-de-equipe/896163" xr:uid="{D0D0F60C-95F3-4A86-913E-56A09FD8DE1E}"/>
    <hyperlink ref="B260" r:id="rId258" display="https://amp.vexpenses.com/settings/membros-de-equipe/916884" xr:uid="{0504DF7F-5B35-4B0B-8D61-9414DCA42544}"/>
    <hyperlink ref="B261" r:id="rId259" display="https://amp.vexpenses.com/settings/membros-de-equipe/896164" xr:uid="{19111EBB-9759-4ECC-A470-DC1BCCCBFCC6}"/>
    <hyperlink ref="B262" r:id="rId260" display="https://amp.vexpenses.com/settings/membros-de-equipe/896165" xr:uid="{15243490-AF82-45A7-8FED-B7DC48DAD635}"/>
    <hyperlink ref="B263" r:id="rId261" display="https://amp.vexpenses.com/settings/membros-de-equipe/896166" xr:uid="{6916D1E9-F177-4284-A3FC-484C2C2741F9}"/>
    <hyperlink ref="B264" r:id="rId262" display="https://amp.vexpenses.com/settings/membros-de-equipe/921956" xr:uid="{11E15CAB-BC82-467B-994F-3C94D884FDC9}"/>
    <hyperlink ref="B265" r:id="rId263" display="https://amp.vexpenses.com/settings/membros-de-equipe/896168" xr:uid="{4743B53D-33DD-4F78-8195-0DE3A95114A2}"/>
    <hyperlink ref="B266" r:id="rId264" display="https://amp.vexpenses.com/settings/membros-de-equipe/896170" xr:uid="{73E8823B-57A1-45CA-9295-3C1FA6C1DF11}"/>
    <hyperlink ref="B267" r:id="rId265" display="https://amp.vexpenses.com/settings/membros-de-equipe/896171" xr:uid="{34EE65A5-288B-4639-B9A5-B1FC1E26D084}"/>
    <hyperlink ref="B268" r:id="rId266" display="https://amp.vexpenses.com/settings/membros-de-equipe/896172" xr:uid="{335A5022-F763-425E-8E90-C4808F61D3A4}"/>
    <hyperlink ref="B269" r:id="rId267" display="https://amp.vexpenses.com/settings/membros-de-equipe/896173" xr:uid="{CDBC6D1A-B817-4770-AE32-52555E5A8C82}"/>
    <hyperlink ref="B270" r:id="rId268" display="https://amp.vexpenses.com/settings/membros-de-equipe/896174" xr:uid="{F82ED6E6-CB14-4B48-B14A-F0EF033C8426}"/>
    <hyperlink ref="B271" r:id="rId269" display="https://amp.vexpenses.com/settings/membros-de-equipe/957803" xr:uid="{6373CFCD-DE0A-4782-80E7-0F1655FF5729}"/>
    <hyperlink ref="B272" r:id="rId270" display="https://amp.vexpenses.com/settings/membros-de-equipe/916893" xr:uid="{027FAEB7-2518-44E0-8974-AF03E7E1BD32}"/>
    <hyperlink ref="B273" r:id="rId271" display="https://amp.vexpenses.com/settings/membros-de-equipe/896175" xr:uid="{203DBFB3-1D38-41F6-93CD-8D3374720EA8}"/>
    <hyperlink ref="B274" r:id="rId272" display="https://amp.vexpenses.com/settings/membros-de-equipe/896176" xr:uid="{965011AF-2700-4B8D-BF8F-9D750D2DDB59}"/>
    <hyperlink ref="B275" r:id="rId273" display="https://amp.vexpenses.com/settings/membros-de-equipe/896177" xr:uid="{A4105E29-1EDE-4698-B5CD-132AEAF82C3D}"/>
    <hyperlink ref="B276" r:id="rId274" display="https://amp.vexpenses.com/settings/membros-de-equipe/896178" xr:uid="{1B2171DC-065B-458A-8928-DF289BD12111}"/>
    <hyperlink ref="B277" r:id="rId275" display="https://amp.vexpenses.com/settings/membros-de-equipe/896179" xr:uid="{B02DCCE9-DF81-41AB-9E75-4EEB0DF39E24}"/>
    <hyperlink ref="B278" r:id="rId276" display="https://amp.vexpenses.com/settings/membros-de-equipe/896180" xr:uid="{4A28F1F5-083E-461D-98EF-1CFE343219D6}"/>
    <hyperlink ref="B279" r:id="rId277" display="https://amp.vexpenses.com/settings/membros-de-equipe/896181" xr:uid="{276364D7-B4F4-4FDD-BD75-9AEA0E6B70DC}"/>
    <hyperlink ref="B280" r:id="rId278" display="https://amp.vexpenses.com/settings/membros-de-equipe/896183" xr:uid="{CCE087DA-0CE9-496A-9600-D8713D7FF994}"/>
    <hyperlink ref="B281" r:id="rId279" display="https://amp.vexpenses.com/settings/membros-de-equipe/896184" xr:uid="{1725E33B-B998-4699-B031-C5D134F7D52B}"/>
    <hyperlink ref="B282" r:id="rId280" display="https://amp.vexpenses.com/settings/membros-de-equipe/921535" xr:uid="{4275A5A7-A322-4F3F-AFAE-3B28C70C0953}"/>
    <hyperlink ref="B283" r:id="rId281" display="https://amp.vexpenses.com/settings/membros-de-equipe/896185" xr:uid="{F06C7322-37F6-4FA4-A63D-EFEBA06EAFEF}"/>
    <hyperlink ref="B284" r:id="rId282" display="https://amp.vexpenses.com/settings/membros-de-equipe/896186" xr:uid="{A4766BD3-6BC8-455D-A51B-E2F957EA2E36}"/>
    <hyperlink ref="B285" r:id="rId283" display="https://amp.vexpenses.com/settings/membros-de-equipe/896188" xr:uid="{C6CF86A9-7DBE-42B0-8DCD-ECA411B754CD}"/>
    <hyperlink ref="B286" r:id="rId284" display="https://amp.vexpenses.com/settings/membros-de-equipe/896189" xr:uid="{FA6D24A1-0B80-4F02-B252-B0C18F4AB134}"/>
    <hyperlink ref="B287" r:id="rId285" display="https://amp.vexpenses.com/settings/membros-de-equipe/958523" xr:uid="{27D61771-B532-434A-AD0D-801B99B5FB89}"/>
    <hyperlink ref="B288" r:id="rId286" display="https://amp.vexpenses.com/settings/membros-de-equipe/896191" xr:uid="{753C903E-5BF0-44AB-9A85-28C167B98BBD}"/>
    <hyperlink ref="B289" r:id="rId287" display="https://amp.vexpenses.com/settings/membros-de-equipe/896192" xr:uid="{C3250E2B-A9CD-4FF7-A3E4-1A40CF28945F}"/>
    <hyperlink ref="B290" r:id="rId288" display="https://amp.vexpenses.com/settings/membros-de-equipe/896193" xr:uid="{61A1AED2-3584-4FE7-AC0E-7CFCA84E7805}"/>
    <hyperlink ref="B291" r:id="rId289" display="https://amp.vexpenses.com/settings/membros-de-equipe/896195" xr:uid="{A367091E-E265-4606-9D6B-7F02E697A0BC}"/>
    <hyperlink ref="B292" r:id="rId290" display="https://amp.vexpenses.com/settings/membros-de-equipe/896196" xr:uid="{5F312F74-4244-4261-821D-1DCFE8E74F46}"/>
    <hyperlink ref="B293" r:id="rId291" display="https://amp.vexpenses.com/settings/membros-de-equipe/896197" xr:uid="{E0BD80B2-E84A-45CA-9320-5C5A7391126E}"/>
    <hyperlink ref="B294" r:id="rId292" display="https://amp.vexpenses.com/settings/membros-de-equipe/896198" xr:uid="{84586754-E049-43E4-8F82-DEBC2741E667}"/>
    <hyperlink ref="B295" r:id="rId293" display="https://amp.vexpenses.com/settings/membros-de-equipe/896199" xr:uid="{403E82E3-F6D8-4E59-A820-99693166CC53}"/>
    <hyperlink ref="B296" r:id="rId294" display="https://amp.vexpenses.com/settings/membros-de-equipe/896200" xr:uid="{3DDE6892-7ED6-403B-B213-090637839A3A}"/>
    <hyperlink ref="B297" r:id="rId295" display="https://amp.vexpenses.com/settings/membros-de-equipe/896201" xr:uid="{65831D6E-7E53-416F-8526-4338DB53F30F}"/>
    <hyperlink ref="B298" r:id="rId296" display="https://amp.vexpenses.com/settings/membros-de-equipe/896202" xr:uid="{EDDDB0D3-F8FA-487E-8335-263ED88BA273}"/>
    <hyperlink ref="B299" r:id="rId297" display="https://amp.vexpenses.com/settings/membros-de-equipe/896203" xr:uid="{CF65C1E9-16DD-4F5D-AC7D-17BFD6B6C0B2}"/>
    <hyperlink ref="B300" r:id="rId298" display="https://amp.vexpenses.com/settings/membros-de-equipe/896204" xr:uid="{FF81633D-A120-430B-AF38-6D349F5ABC25}"/>
    <hyperlink ref="B301" r:id="rId299" display="https://amp.vexpenses.com/settings/membros-de-equipe/896422" xr:uid="{499E7976-20BF-42D8-960E-C5DD242F9141}"/>
    <hyperlink ref="B302" r:id="rId300" display="https://amp.vexpenses.com/settings/membros-de-equipe/923628" xr:uid="{8BA16223-87CC-4E16-9E8A-EDC210EBA84E}"/>
    <hyperlink ref="B303" r:id="rId301" display="https://amp.vexpenses.com/settings/membros-de-equipe/896205" xr:uid="{699CCBE1-C065-4ECF-99A8-5D12EECEA8BA}"/>
    <hyperlink ref="B304" r:id="rId302" display="https://amp.vexpenses.com/settings/membros-de-equipe/921952" xr:uid="{0D3ED628-A07B-411A-A188-DCCBF84A6AA7}"/>
    <hyperlink ref="B305" r:id="rId303" display="https://amp.vexpenses.com/settings/membros-de-equipe/896206" xr:uid="{FA2C8707-AFB3-4601-BFC5-154DC6EFCC5C}"/>
    <hyperlink ref="B306" r:id="rId304" display="https://amp.vexpenses.com/settings/membros-de-equipe/896207" xr:uid="{725B6563-773C-4B9B-88EB-FEA1741232A7}"/>
    <hyperlink ref="B307" r:id="rId305" display="https://amp.vexpenses.com/settings/membros-de-equipe/916936" xr:uid="{1EFBAEAC-7573-4C34-90B4-EA903784BB36}"/>
    <hyperlink ref="B308" r:id="rId306" display="https://amp.vexpenses.com/settings/membros-de-equipe/896208" xr:uid="{347830D2-B961-426C-B5E2-BF041C2E7375}"/>
    <hyperlink ref="B309" r:id="rId307" display="https://amp.vexpenses.com/settings/membros-de-equipe/896209" xr:uid="{B198076D-26CC-4C8A-8424-18B48E1BF547}"/>
    <hyperlink ref="B310" r:id="rId308" display="https://amp.vexpenses.com/settings/membros-de-equipe/896210" xr:uid="{2D0EF12B-CD2E-4A0F-8F72-3BEE49931677}"/>
    <hyperlink ref="B311" r:id="rId309" display="https://amp.vexpenses.com/settings/membros-de-equipe/896211" xr:uid="{DA97D38A-4C35-4C76-8753-B588028C3F9B}"/>
    <hyperlink ref="B312" r:id="rId310" display="https://amp.vexpenses.com/settings/membros-de-equipe/922276" xr:uid="{DF57ACB5-21D3-4924-9CE0-F75FA310A50F}"/>
    <hyperlink ref="B313" r:id="rId311" display="https://amp.vexpenses.com/settings/membros-de-equipe/896212" xr:uid="{AD81741A-C651-4183-B1FA-E1A70060E7C8}"/>
    <hyperlink ref="B314" r:id="rId312" display="https://amp.vexpenses.com/settings/membros-de-equipe/896213" xr:uid="{412D3AB1-B1BD-4647-A897-DFC2083A82B2}"/>
    <hyperlink ref="B315" r:id="rId313" display="https://amp.vexpenses.com/settings/membros-de-equipe/923302" xr:uid="{450E4997-71F9-40D6-A0A2-9D809A570997}"/>
    <hyperlink ref="B316" r:id="rId314" display="https://amp.vexpenses.com/settings/membros-de-equipe/896214" xr:uid="{4B556D79-1AFA-4F14-8EBE-671DC686A83F}"/>
    <hyperlink ref="B317" r:id="rId315" display="https://amp.vexpenses.com/settings/membros-de-equipe/917049" xr:uid="{8FE07603-EAAE-4D9C-BFCE-9856A1433495}"/>
    <hyperlink ref="B318" r:id="rId316" display="https://amp.vexpenses.com/settings/membros-de-equipe/896215" xr:uid="{E3049DEF-8E49-4410-A5EF-2F354F35BD95}"/>
    <hyperlink ref="B319" r:id="rId317" display="https://amp.vexpenses.com/settings/membros-de-equipe/961469" xr:uid="{FD37F41B-8F00-47F1-8B45-E1B9E03A23A8}"/>
    <hyperlink ref="B320" r:id="rId318" display="https://amp.vexpenses.com/settings/membros-de-equipe/896216" xr:uid="{893E0370-91C7-42FC-A2EA-8EF727ABB780}"/>
    <hyperlink ref="B321" r:id="rId319" display="https://amp.vexpenses.com/settings/membros-de-equipe/896217" xr:uid="{16297472-AE23-4F48-ADEB-3209BA94C9BD}"/>
    <hyperlink ref="B322" r:id="rId320" display="https://amp.vexpenses.com/settings/membros-de-equipe/896218" xr:uid="{350C5F62-004A-4198-B8B6-5DCF3FE24E44}"/>
    <hyperlink ref="B323" r:id="rId321" display="https://amp.vexpenses.com/settings/membros-de-equipe/916906" xr:uid="{0FFDC79D-1197-4EF2-875B-75BA9CA85895}"/>
    <hyperlink ref="B324" r:id="rId322" display="https://amp.vexpenses.com/settings/membros-de-equipe/917357" xr:uid="{F4051A98-D7D7-4624-A081-4949FAE5BC88}"/>
    <hyperlink ref="B325" r:id="rId323" display="https://amp.vexpenses.com/settings/membros-de-equipe/916930" xr:uid="{0BFC5034-0D66-4FAD-90FA-E941FA165A8F}"/>
    <hyperlink ref="B326" r:id="rId324" display="https://amp.vexpenses.com/settings/membros-de-equipe/896219" xr:uid="{ABEFCD88-7386-4DD4-87DF-0113E0E48801}"/>
    <hyperlink ref="B327" r:id="rId325" display="https://amp.vexpenses.com/settings/membros-de-equipe/896220" xr:uid="{04DA5EE9-898C-4982-8D71-CB068FE4D8BE}"/>
    <hyperlink ref="B328" r:id="rId326" display="https://amp.vexpenses.com/settings/membros-de-equipe/891904" xr:uid="{5796AAC6-81AD-4A58-ACB0-4E926C13CB53}"/>
    <hyperlink ref="B329" r:id="rId327" display="https://amp.vexpenses.com/settings/membros-de-equipe/940725" xr:uid="{69EF6A5D-6167-438F-B793-93904A968CD9}"/>
    <hyperlink ref="B330" r:id="rId328" display="https://amp.vexpenses.com/settings/membros-de-equipe/896221" xr:uid="{A598C2B2-1828-417F-B785-A28ADCC6688E}"/>
    <hyperlink ref="B331" r:id="rId329" display="https://amp.vexpenses.com/settings/membros-de-equipe/923895" xr:uid="{A665BD41-D0E5-492D-9AD6-D8483AED9F61}"/>
    <hyperlink ref="B332" r:id="rId330" display="https://amp.vexpenses.com/settings/membros-de-equipe/896222" xr:uid="{3642F890-22A7-48FD-B714-50ACFC88A156}"/>
    <hyperlink ref="B333" r:id="rId331" display="https://amp.vexpenses.com/settings/membros-de-equipe/896423" xr:uid="{B688BE7E-78DE-480F-A5FF-63B92B16016B}"/>
    <hyperlink ref="B334" r:id="rId332" display="https://amp.vexpenses.com/settings/membros-de-equipe/917361" xr:uid="{442096DF-E81C-4391-A2AF-F6EC73CF50E4}"/>
    <hyperlink ref="B335" r:id="rId333" display="https://amp.vexpenses.com/settings/membros-de-equipe/896223" xr:uid="{BA1BB2ED-0866-4D7C-996C-B9F4444468BC}"/>
    <hyperlink ref="B336" r:id="rId334" display="https://amp.vexpenses.com/settings/membros-de-equipe/896224" xr:uid="{CFA4EB04-0C2C-4237-A0FD-409EAC57A536}"/>
    <hyperlink ref="B337" r:id="rId335" display="https://amp.vexpenses.com/settings/membros-de-equipe/896225" xr:uid="{BC2F17CC-F36F-4EE2-9645-3034913F6DC9}"/>
    <hyperlink ref="B338" r:id="rId336" display="https://amp.vexpenses.com/settings/membros-de-equipe/896226" xr:uid="{D7BD949A-9A21-4550-B8B2-8DC04D9FA86B}"/>
    <hyperlink ref="B339" r:id="rId337" display="https://amp.vexpenses.com/settings/membros-de-equipe/925993" xr:uid="{E8C5AAD4-E1B3-4D49-BF67-0BA7A1B95137}"/>
    <hyperlink ref="B340" r:id="rId338" display="https://amp.vexpenses.com/settings/membros-de-equipe/896227" xr:uid="{F8F268DC-1640-418C-83D5-989B4D065159}"/>
    <hyperlink ref="B341" r:id="rId339" display="https://amp.vexpenses.com/settings/membros-de-equipe/896228" xr:uid="{C8AF77B9-C9F0-41D5-91F7-96C4AB546443}"/>
    <hyperlink ref="B342" r:id="rId340" display="https://amp.vexpenses.com/settings/membros-de-equipe/896229" xr:uid="{2061A3C0-D31A-4B08-A6A0-DE8C542A9FDC}"/>
    <hyperlink ref="B343" r:id="rId341" display="https://amp.vexpenses.com/settings/membros-de-equipe/896230" xr:uid="{03B10BBB-32A8-424F-80B8-176FCCC6BDE1}"/>
    <hyperlink ref="B344" r:id="rId342" display="https://amp.vexpenses.com/settings/membros-de-equipe/896231" xr:uid="{8BE24E4C-095B-4639-A480-D7D7FF380C61}"/>
    <hyperlink ref="B345" r:id="rId343" display="https://amp.vexpenses.com/settings/membros-de-equipe/916932" xr:uid="{B7247E05-001D-4C77-ABF3-FD2813E896F1}"/>
    <hyperlink ref="B346" r:id="rId344" display="https://amp.vexpenses.com/settings/membros-de-equipe/896232" xr:uid="{36495A69-AD69-4591-A473-5558CE0A4E19}"/>
    <hyperlink ref="B347" r:id="rId345" display="https://amp.vexpenses.com/settings/membros-de-equipe/896233" xr:uid="{78F69657-E499-4F9C-BDE7-56B7BF8F87CE}"/>
    <hyperlink ref="B348" r:id="rId346" display="https://amp.vexpenses.com/settings/membros-de-equipe/896234" xr:uid="{A9DA4306-37B7-410A-9488-9D280309C76C}"/>
    <hyperlink ref="B349" r:id="rId347" display="https://amp.vexpenses.com/settings/membros-de-equipe/896235" xr:uid="{1CBE3B67-5FE4-483E-845F-F54B5EFAC77B}"/>
    <hyperlink ref="B350" r:id="rId348" display="https://amp.vexpenses.com/settings/membros-de-equipe/896236" xr:uid="{566391E9-B272-45AD-9F64-58A9FEA5A664}"/>
    <hyperlink ref="B351" r:id="rId349" display="https://amp.vexpenses.com/settings/membros-de-equipe/896237" xr:uid="{DD56AEBB-8134-4733-8587-8B1BC28912A9}"/>
    <hyperlink ref="B352" r:id="rId350" display="https://amp.vexpenses.com/settings/membros-de-equipe/916912" xr:uid="{700E9256-ECA4-49C8-954A-76117650AC75}"/>
    <hyperlink ref="B353" r:id="rId351" display="https://amp.vexpenses.com/settings/membros-de-equipe/896238" xr:uid="{C583DED9-A746-4477-AC80-5C3C49E516D5}"/>
    <hyperlink ref="B354" r:id="rId352" display="https://amp.vexpenses.com/settings/membros-de-equipe/896239" xr:uid="{71F89685-219C-4CB2-906F-436D80883531}"/>
    <hyperlink ref="B355" r:id="rId353" display="https://amp.vexpenses.com/settings/membros-de-equipe/896240" xr:uid="{4502400E-296F-445E-B3F2-0F2E1B5D42F9}"/>
    <hyperlink ref="B356" r:id="rId354" display="https://amp.vexpenses.com/settings/membros-de-equipe/896241" xr:uid="{A2D1CAC3-A879-4FAF-AD5B-1E4915DDD522}"/>
    <hyperlink ref="B357" r:id="rId355" display="https://amp.vexpenses.com/settings/membros-de-equipe/896242" xr:uid="{84AB6716-395A-4441-80AB-FA69398C8F1F}"/>
    <hyperlink ref="B358" r:id="rId356" display="https://amp.vexpenses.com/settings/membros-de-equipe/896243" xr:uid="{0EB124A5-5246-4BA8-AF5D-572690165A6A}"/>
    <hyperlink ref="B359" r:id="rId357" display="https://amp.vexpenses.com/settings/membros-de-equipe/933048" xr:uid="{3B063C63-EFB6-401B-BFBE-AF0669786745}"/>
    <hyperlink ref="B360" r:id="rId358" display="https://amp.vexpenses.com/settings/membros-de-equipe/928767" xr:uid="{50D08F64-31E9-418E-8752-E86CCCDE464D}"/>
    <hyperlink ref="B361" r:id="rId359" display="https://amp.vexpenses.com/settings/membros-de-equipe/917057" xr:uid="{DF5EAEDA-87D5-4BD3-B2F7-4E063F680F7F}"/>
    <hyperlink ref="B362" r:id="rId360" display="https://amp.vexpenses.com/settings/membros-de-equipe/917365" xr:uid="{A932203B-469C-4419-B904-82B5EB11D210}"/>
    <hyperlink ref="B363" r:id="rId361" display="https://amp.vexpenses.com/settings/membros-de-equipe/896244" xr:uid="{1AD93847-559F-4371-A235-578C2FF779AB}"/>
    <hyperlink ref="B364" r:id="rId362" display="https://amp.vexpenses.com/settings/membros-de-equipe/935493" xr:uid="{6DBF706A-0FFC-4D8F-B647-54ECF8ECF3EC}"/>
    <hyperlink ref="B365" r:id="rId363" display="https://amp.vexpenses.com/settings/membros-de-equipe/896245" xr:uid="{EBD24167-91AF-4448-88EB-D39F73B774F0}"/>
    <hyperlink ref="B366" r:id="rId364" display="https://amp.vexpenses.com/settings/membros-de-equipe/948926" xr:uid="{76B10AD0-7EB0-4AF4-A879-E232F23C25E5}"/>
    <hyperlink ref="B367" r:id="rId365" display="https://amp.vexpenses.com/settings/membros-de-equipe/929759" xr:uid="{D3C504F6-FAD9-464C-934A-438803AE9DD1}"/>
    <hyperlink ref="B368" r:id="rId366" display="https://amp.vexpenses.com/settings/membros-de-equipe/896246" xr:uid="{47F3FC37-BD85-4279-80D1-1E4FE9E95EED}"/>
    <hyperlink ref="B369" r:id="rId367" display="https://amp.vexpenses.com/settings/membros-de-equipe/896248" xr:uid="{2339080D-A3E6-48AC-BABC-8C3014675DB0}"/>
    <hyperlink ref="B370" r:id="rId368" display="https://amp.vexpenses.com/settings/membros-de-equipe/896249" xr:uid="{32AC0C92-678B-44F6-B5D7-91DA23C407D7}"/>
    <hyperlink ref="B371" r:id="rId369" display="https://amp.vexpenses.com/settings/membros-de-equipe/896250" xr:uid="{68B2B4FD-3DAE-4911-B874-B70AB2E76E93}"/>
    <hyperlink ref="B372" r:id="rId370" display="https://amp.vexpenses.com/settings/membros-de-equipe/913936" xr:uid="{863C3CE5-168E-4830-8355-81B21F3E78F2}"/>
    <hyperlink ref="B373" r:id="rId371" display="https://amp.vexpenses.com/settings/membros-de-equipe/896251" xr:uid="{99F552D9-1A4E-4FA8-A4B4-EA1F7E04D2B0}"/>
    <hyperlink ref="B374" r:id="rId372" display="https://amp.vexpenses.com/settings/membros-de-equipe/896425" xr:uid="{41D203F9-D696-41EE-B922-4A351554EE63}"/>
    <hyperlink ref="B375" r:id="rId373" display="https://amp.vexpenses.com/settings/membros-de-equipe/896252" xr:uid="{43BAE3E8-1D8D-46DD-A9FA-0B5B07C7CA45}"/>
    <hyperlink ref="B376" r:id="rId374" display="https://amp.vexpenses.com/settings/membros-de-equipe/896253" xr:uid="{AD368EF0-8F5C-4CF1-BDD2-8F8946AEC230}"/>
    <hyperlink ref="B377" r:id="rId375" display="https://amp.vexpenses.com/settings/membros-de-equipe/896254" xr:uid="{EA41731E-959F-41DA-B61F-596709E64FB2}"/>
    <hyperlink ref="B378" r:id="rId376" display="https://amp.vexpenses.com/settings/membros-de-equipe/896333" xr:uid="{9B420BE3-6BA4-4F86-BB9D-923A5286CA45}"/>
    <hyperlink ref="B379" r:id="rId377" display="https://amp.vexpenses.com/settings/membros-de-equipe/896255" xr:uid="{9A93677A-498D-42F9-895E-0D6FA5CCE4D1}"/>
    <hyperlink ref="B380" r:id="rId378" display="https://amp.vexpenses.com/settings/membros-de-equipe/896256" xr:uid="{9CCFEA39-29EE-4554-AE3D-539D852EA75D}"/>
    <hyperlink ref="B381" r:id="rId379" display="https://amp.vexpenses.com/settings/membros-de-equipe/896257" xr:uid="{55A81827-7896-4809-AF13-224CC26B2E3D}"/>
    <hyperlink ref="B382" r:id="rId380" display="https://amp.vexpenses.com/settings/membros-de-equipe/896258" xr:uid="{B1C3A8D9-4758-41EE-B708-229D7E776019}"/>
    <hyperlink ref="B383" r:id="rId381" display="https://amp.vexpenses.com/settings/membros-de-equipe/896259" xr:uid="{B8B4F09B-5B65-4E11-974A-E18A489440AB}"/>
    <hyperlink ref="B384" r:id="rId382" display="https://amp.vexpenses.com/settings/membros-de-equipe/946419" xr:uid="{E37A71A4-9367-460F-AFCB-18270C3CD75B}"/>
    <hyperlink ref="B385" r:id="rId383" display="https://amp.vexpenses.com/settings/membros-de-equipe/891980" xr:uid="{8A82F333-6407-43C2-9FE9-C7FB70DF2D94}"/>
    <hyperlink ref="B386" r:id="rId384" display="https://amp.vexpenses.com/settings/membros-de-equipe/896262" xr:uid="{01160631-9224-4F08-BC5C-B8AA4EC907D1}"/>
    <hyperlink ref="B387" r:id="rId385" display="https://amp.vexpenses.com/settings/membros-de-equipe/896264" xr:uid="{0BED106D-3290-4303-AD13-BCE39C46D32E}"/>
    <hyperlink ref="B388" r:id="rId386" display="https://amp.vexpenses.com/settings/membros-de-equipe/896265" xr:uid="{CC0A4E51-6337-44E6-827D-C9138BB63CEF}"/>
    <hyperlink ref="B389" r:id="rId387" display="https://amp.vexpenses.com/settings/membros-de-equipe/896266" xr:uid="{11A16CEB-A7E4-4DB9-8DAB-7E06847964E6}"/>
    <hyperlink ref="B390" r:id="rId388" display="https://amp.vexpenses.com/settings/membros-de-equipe/924050" xr:uid="{F41133E6-DE37-4E65-9737-B6BF9F9F9875}"/>
    <hyperlink ref="B391" r:id="rId389" display="https://amp.vexpenses.com/settings/membros-de-equipe/917363" xr:uid="{CB4D867C-366B-4CDD-B228-4EE363255E5A}"/>
    <hyperlink ref="B392" r:id="rId390" display="https://amp.vexpenses.com/settings/membros-de-equipe/896267" xr:uid="{AE5FC205-BB44-4F96-80AC-6EDA6831BA18}"/>
    <hyperlink ref="B393" r:id="rId391" display="https://amp.vexpenses.com/settings/membros-de-equipe/896269" xr:uid="{2A228790-EA72-484B-9E61-26B95E3CCA2B}"/>
    <hyperlink ref="B394" r:id="rId392" display="https://amp.vexpenses.com/settings/membros-de-equipe/896270" xr:uid="{EF2637A5-0D28-4ABB-B89E-F4FF2E6D5664}"/>
    <hyperlink ref="B395" r:id="rId393" display="https://amp.vexpenses.com/settings/membros-de-equipe/943299" xr:uid="{B110D5C8-D50F-47C3-9951-538BFF3E26F6}"/>
    <hyperlink ref="B396" r:id="rId394" display="https://amp.vexpenses.com/settings/membros-de-equipe/896271" xr:uid="{F2E54DF5-1ACB-4E92-BB97-525081FF9BBD}"/>
    <hyperlink ref="B397" r:id="rId395" display="https://amp.vexpenses.com/settings/membros-de-equipe/896272" xr:uid="{F6B3AF9F-9B21-4B2E-AA6B-1DE20BA37E20}"/>
    <hyperlink ref="B398" r:id="rId396" display="https://amp.vexpenses.com/settings/membros-de-equipe/896273" xr:uid="{805050E5-C15F-4567-AB78-939FAB894A0B}"/>
    <hyperlink ref="B399" r:id="rId397" display="https://amp.vexpenses.com/settings/membros-de-equipe/896274" xr:uid="{8BCDA9D2-CFD4-40F4-8944-3FDD926D534C}"/>
    <hyperlink ref="B400" r:id="rId398" display="https://amp.vexpenses.com/settings/membros-de-equipe/896275" xr:uid="{04EBD418-BF6E-4104-BA45-C32773F3A19D}"/>
    <hyperlink ref="B401" r:id="rId399" display="https://amp.vexpenses.com/settings/membros-de-equipe/896276" xr:uid="{4AFBDBB7-6CC2-43E5-B9BB-E35254986C12}"/>
    <hyperlink ref="B402" r:id="rId400" display="https://amp.vexpenses.com/settings/membros-de-equipe/896277" xr:uid="{B49A8E77-ABFB-4014-BEE5-75C1B3F06DDC}"/>
    <hyperlink ref="B403" r:id="rId401" display="https://amp.vexpenses.com/settings/membros-de-equipe/896278" xr:uid="{4B011E01-9030-4A48-BF39-50E0882198E5}"/>
    <hyperlink ref="B404" r:id="rId402" display="https://amp.vexpenses.com/settings/membros-de-equipe/896279" xr:uid="{412E0B23-1719-4B24-9587-C1792E807A64}"/>
    <hyperlink ref="B405" r:id="rId403" display="https://amp.vexpenses.com/settings/membros-de-equipe/896280" xr:uid="{EF70968B-1F2F-457A-A2C3-0B7A658A1684}"/>
    <hyperlink ref="B406" r:id="rId404" display="https://amp.vexpenses.com/settings/membros-de-equipe/916915" xr:uid="{90B5D09C-84C5-4559-BA7D-04C2007C0B53}"/>
    <hyperlink ref="B407" r:id="rId405" display="https://amp.vexpenses.com/settings/membros-de-equipe/896281" xr:uid="{F3B35F4B-E1DC-4411-8FA3-25B8E21E96F7}"/>
    <hyperlink ref="B408" r:id="rId406" display="https://amp.vexpenses.com/settings/membros-de-equipe/896282" xr:uid="{FA800710-6253-4317-BCE4-F5B7562E97FD}"/>
    <hyperlink ref="B409" r:id="rId407" display="https://amp.vexpenses.com/settings/membros-de-equipe/896283" xr:uid="{9BA0316B-D471-4BA0-8FD0-9B9F4D24528F}"/>
    <hyperlink ref="B410" r:id="rId408" display="https://amp.vexpenses.com/settings/membros-de-equipe/896284" xr:uid="{3A632112-E09F-42C1-9150-A9701481BE49}"/>
    <hyperlink ref="B411" r:id="rId409" display="https://amp.vexpenses.com/settings/membros-de-equipe/896285" xr:uid="{CA4B4A5A-6015-4C24-B3C1-15ABABB3FB79}"/>
    <hyperlink ref="B412" r:id="rId410" display="https://amp.vexpenses.com/settings/membros-de-equipe/896286" xr:uid="{BEE2A61F-653A-47A2-8CA0-2A5FA07849B8}"/>
    <hyperlink ref="B413" r:id="rId411" display="https://amp.vexpenses.com/settings/membros-de-equipe/921927" xr:uid="{9A70CA6D-D544-4D79-9B39-90A16817375F}"/>
    <hyperlink ref="B414" r:id="rId412" display="https://amp.vexpenses.com/settings/membros-de-equipe/896287" xr:uid="{7B4A36D1-5E00-4789-AB08-AF3E279EB638}"/>
    <hyperlink ref="B415" r:id="rId413" display="https://amp.vexpenses.com/settings/membros-de-equipe/896288" xr:uid="{5A3A3BE8-F99F-47B0-8660-B4B94577AC39}"/>
    <hyperlink ref="B416" r:id="rId414" display="https://amp.vexpenses.com/settings/membros-de-equipe/896289" xr:uid="{033F2B62-8B74-4CD9-8155-A0F2A2AA435A}"/>
    <hyperlink ref="B417" r:id="rId415" display="https://amp.vexpenses.com/settings/membros-de-equipe/896290" xr:uid="{F07B5679-08E2-4170-A045-E05536399C57}"/>
    <hyperlink ref="B418" r:id="rId416" display="https://amp.vexpenses.com/settings/membros-de-equipe/954642" xr:uid="{B5814AC6-0FE1-44C9-A9DF-2091FEB74264}"/>
    <hyperlink ref="B419" r:id="rId417" display="https://amp.vexpenses.com/settings/membros-de-equipe/896291" xr:uid="{3DBA61AB-A3AA-41CC-BA6A-D7CCD0AC62D6}"/>
    <hyperlink ref="B420" r:id="rId418" display="https://amp.vexpenses.com/settings/membros-de-equipe/896292" xr:uid="{E2D81075-7B8B-4042-9CFA-45C066E39D57}"/>
    <hyperlink ref="B421" r:id="rId419" display="https://amp.vexpenses.com/settings/membros-de-equipe/896293" xr:uid="{99324EDB-B92C-403C-8D01-39CF04FB701B}"/>
    <hyperlink ref="B422" r:id="rId420" display="https://amp.vexpenses.com/settings/membros-de-equipe/950243" xr:uid="{9677C7E0-DF13-44D6-8C16-A4CA187371E4}"/>
    <hyperlink ref="B423" r:id="rId421" display="https://amp.vexpenses.com/settings/membros-de-equipe/896294" xr:uid="{4C7BAFA6-3AAD-46D9-88FF-EE4A9991E363}"/>
    <hyperlink ref="B424" r:id="rId422" display="https://amp.vexpenses.com/settings/membros-de-equipe/896295" xr:uid="{F9396B3E-9137-4476-BCAA-A5AE6D4490B8}"/>
    <hyperlink ref="B425" r:id="rId423" display="https://amp.vexpenses.com/settings/membros-de-equipe/920825" xr:uid="{EFED3C25-A7BC-4F39-950C-772D80AC856A}"/>
    <hyperlink ref="B426" r:id="rId424" display="https://amp.vexpenses.com/settings/membros-de-equipe/896296" xr:uid="{713F4BFF-EBE9-4089-A8D1-426EA0A1961F}"/>
    <hyperlink ref="B427" r:id="rId425" display="https://amp.vexpenses.com/settings/membros-de-equipe/896297" xr:uid="{52BBA52E-8A84-4944-832B-8E0C5B00D3BB}"/>
    <hyperlink ref="B428" r:id="rId426" display="https://amp.vexpenses.com/settings/membros-de-equipe/920083" xr:uid="{F42A2DD2-49FA-4019-8093-CF5885F50417}"/>
    <hyperlink ref="B429" r:id="rId427" display="https://amp.vexpenses.com/settings/membros-de-equipe/896298" xr:uid="{F93D6E2D-3EF8-4EF5-816A-CF6187499525}"/>
    <hyperlink ref="B430" r:id="rId428" display="https://amp.vexpenses.com/settings/membros-de-equipe/891978" xr:uid="{F6BCC65F-4B39-49A4-BF42-DA376E5B3FBD}"/>
    <hyperlink ref="B431" r:id="rId429" display="https://amp.vexpenses.com/settings/membros-de-equipe/918849" xr:uid="{B0FE2019-E454-46CC-9330-3B8DA2AA1258}"/>
    <hyperlink ref="B432" r:id="rId430" display="https://amp.vexpenses.com/settings/membros-de-equipe/896299" xr:uid="{958E67CC-928D-4BB8-9050-B82FD34CC683}"/>
    <hyperlink ref="B433" r:id="rId431" display="https://amp.vexpenses.com/settings/membros-de-equipe/896300" xr:uid="{F85ACF63-D2B6-42DD-BDE6-ACB567C78C21}"/>
    <hyperlink ref="B434" r:id="rId432" display="https://amp.vexpenses.com/settings/membros-de-equipe/896301" xr:uid="{E383DA86-7E8C-461C-8B4B-F1D97677C9E5}"/>
    <hyperlink ref="B435" r:id="rId433" display="https://amp.vexpenses.com/settings/membros-de-equipe/896302" xr:uid="{2F9BE00D-82A3-4337-8ED2-445F732BA50D}"/>
    <hyperlink ref="B436" r:id="rId434" display="https://amp.vexpenses.com/settings/membros-de-equipe/896303" xr:uid="{1E7411E8-BB63-4EFF-B23B-BF87D49C1B1F}"/>
    <hyperlink ref="B437" r:id="rId435" display="https://amp.vexpenses.com/settings/membros-de-equipe/923649" xr:uid="{A43A6F85-8CA8-48F6-A594-F014F7A1C8C3}"/>
    <hyperlink ref="B438" r:id="rId436" display="https://amp.vexpenses.com/settings/membros-de-equipe/896304" xr:uid="{0714D200-4C81-48EF-ADD8-143405D3F91D}"/>
    <hyperlink ref="B439" r:id="rId437" display="https://amp.vexpenses.com/settings/membros-de-equipe/921795" xr:uid="{987FED51-09EF-4A75-B5F9-8E490CEC5CFF}"/>
    <hyperlink ref="B440" r:id="rId438" display="https://amp.vexpenses.com/settings/membros-de-equipe/896305" xr:uid="{5B598D3A-9309-4DB8-8A7F-2D04AAA337C5}"/>
    <hyperlink ref="B441" r:id="rId439" display="https://amp.vexpenses.com/settings/membros-de-equipe/917065" xr:uid="{19732FB3-4D16-431A-884B-3C63F3C22FFF}"/>
    <hyperlink ref="B442" r:id="rId440" display="https://amp.vexpenses.com/settings/membros-de-equipe/928994" xr:uid="{D3DC6F76-C277-4D12-82B5-D4F9F7CDF807}"/>
    <hyperlink ref="B443" r:id="rId441" display="https://amp.vexpenses.com/settings/membros-de-equipe/896306" xr:uid="{61BFFC2C-226D-4D9C-86AF-B093ABD65E4A}"/>
    <hyperlink ref="B444" r:id="rId442" display="https://amp.vexpenses.com/settings/membros-de-equipe/896308" xr:uid="{EC4B7291-474D-407E-91C3-C226754D29D1}"/>
    <hyperlink ref="B445" r:id="rId443" display="https://amp.vexpenses.com/settings/membros-de-equipe/896310" xr:uid="{78415116-0F42-45D1-9CD6-A4E0D4A64280}"/>
    <hyperlink ref="B446" r:id="rId444" display="https://amp.vexpenses.com/settings/membros-de-equipe/896311" xr:uid="{BB71E914-1142-4C19-BF32-590CE1AA043C}"/>
    <hyperlink ref="B447" r:id="rId445" display="https://amp.vexpenses.com/settings/membros-de-equipe/896312" xr:uid="{4C4AD85B-8F46-4F59-B4EF-27326BBBAB06}"/>
    <hyperlink ref="B448" r:id="rId446" display="https://amp.vexpenses.com/settings/membros-de-equipe/896313" xr:uid="{85BC32A0-1F35-40C1-AF6F-C250AE57391D}"/>
    <hyperlink ref="B449" r:id="rId447" display="https://amp.vexpenses.com/settings/membros-de-equipe/896314" xr:uid="{73C2D7B8-8A74-409F-9107-AE2502BFDD94}"/>
    <hyperlink ref="B450" r:id="rId448" display="https://amp.vexpenses.com/settings/membros-de-equipe/917081" xr:uid="{830E10FC-D762-4830-817B-071BE923AB8E}"/>
    <hyperlink ref="B451" r:id="rId449" display="https://amp.vexpenses.com/settings/membros-de-equipe/896315" xr:uid="{5077633D-CF7D-49F7-825B-B32B9CA83440}"/>
    <hyperlink ref="B452" r:id="rId450" display="https://amp.vexpenses.com/settings/membros-de-equipe/922275" xr:uid="{08347E88-8CCF-4E95-ACC7-D32D73E866A0}"/>
    <hyperlink ref="B453" r:id="rId451" display="https://amp.vexpenses.com/settings/membros-de-equipe/950558" xr:uid="{9C07FDD8-A589-4885-915F-37BF526EA406}"/>
    <hyperlink ref="B454" r:id="rId452" display="https://amp.vexpenses.com/settings/membros-de-equipe/896316" xr:uid="{7B7D4D05-3F13-4F09-9213-35B33201B4AD}"/>
    <hyperlink ref="B455" r:id="rId453" display="https://amp.vexpenses.com/settings/membros-de-equipe/896317" xr:uid="{DC63954F-0593-4B3C-BC35-5126978F9840}"/>
    <hyperlink ref="B456" r:id="rId454" display="https://amp.vexpenses.com/settings/membros-de-equipe/896318" xr:uid="{F8DFCA57-1713-454D-9C7C-A6E2E74E0D79}"/>
    <hyperlink ref="B457" r:id="rId455" display="https://amp.vexpenses.com/settings/membros-de-equipe/896319" xr:uid="{C3937373-1558-4A8F-A570-3F82005FBA14}"/>
    <hyperlink ref="B458" r:id="rId456" display="https://amp.vexpenses.com/settings/membros-de-equipe/896321" xr:uid="{E8710846-0F45-414C-A38E-CF184FC4FCC6}"/>
    <hyperlink ref="B459" r:id="rId457" display="https://amp.vexpenses.com/settings/membros-de-equipe/896322" xr:uid="{3A66A04E-416C-4401-BD1E-F70CE78368BE}"/>
    <hyperlink ref="B460" r:id="rId458" display="https://amp.vexpenses.com/settings/membros-de-equipe/930412" xr:uid="{6BE49BEF-9012-4304-B782-74C4B3768C77}"/>
    <hyperlink ref="B461" r:id="rId459" display="https://amp.vexpenses.com/settings/membros-de-equipe/896324" xr:uid="{734BD826-9FD1-499A-A1A0-B255C8A1BC57}"/>
    <hyperlink ref="B462" r:id="rId460" display="https://amp.vexpenses.com/settings/membros-de-equipe/896325" xr:uid="{42838674-C420-4C5E-A2DC-55D8FE8ABCA5}"/>
    <hyperlink ref="B463" r:id="rId461" display="https://amp.vexpenses.com/settings/membros-de-equipe/896326" xr:uid="{D8774B60-0AD2-42D0-8798-9779A7659456}"/>
    <hyperlink ref="B464" r:id="rId462" display="https://amp.vexpenses.com/settings/membros-de-equipe/896327" xr:uid="{B0670FDA-CC4F-45ED-9473-CB892A9E215D}"/>
    <hyperlink ref="B465" r:id="rId463" display="https://amp.vexpenses.com/settings/membros-de-equipe/896328" xr:uid="{A391E780-036E-4399-8D98-C969F666E41D}"/>
    <hyperlink ref="B466" r:id="rId464" display="https://amp.vexpenses.com/settings/membros-de-equipe/917069" xr:uid="{9D95EF4D-3B1A-4A1B-8279-052CC5CBFBFD}"/>
    <hyperlink ref="B467" r:id="rId465" display="https://amp.vexpenses.com/settings/membros-de-equipe/896329" xr:uid="{0D39E7CD-23DA-4327-A8FC-36C359BF5ACA}"/>
    <hyperlink ref="B468" r:id="rId466" display="https://amp.vexpenses.com/settings/membros-de-equipe/896330" xr:uid="{96FB6208-135D-4018-B7FE-20B847E51F3B}"/>
    <hyperlink ref="B469" r:id="rId467" display="https://amp.vexpenses.com/settings/membros-de-equipe/963612" xr:uid="{DC405244-DC6F-429A-B714-32DE562E5D93}"/>
    <hyperlink ref="B470" r:id="rId468" display="https://amp.vexpenses.com/settings/membros-de-equipe/896331" xr:uid="{0DAEA5AF-EC9E-4FC4-80EC-CF45AAD21B63}"/>
    <hyperlink ref="B471" r:id="rId469" display="https://amp.vexpenses.com/settings/membros-de-equipe/896332" xr:uid="{1CF2528F-D456-4C66-B1AF-7B275BCB922B}"/>
    <hyperlink ref="B472" r:id="rId470" display="https://amp.vexpenses.com/settings/membros-de-equipe/896357" xr:uid="{0895541F-48E6-4D1E-AF30-5F7CB1DB3CF6}"/>
    <hyperlink ref="B473" r:id="rId471" display="https://amp.vexpenses.com/settings/membros-de-equipe/896335" xr:uid="{E782CF3F-C899-4A9A-A4A7-24863BD2A091}"/>
    <hyperlink ref="B474" r:id="rId472" display="https://amp.vexpenses.com/settings/membros-de-equipe/928097" xr:uid="{9A543724-9993-41EA-B190-71171AC1971C}"/>
    <hyperlink ref="B475" r:id="rId473" display="https://amp.vexpenses.com/settings/membros-de-equipe/921961" xr:uid="{812043F3-F200-4F3E-85ED-BFADC8FC288E}"/>
    <hyperlink ref="B476" r:id="rId474" display="https://amp.vexpenses.com/settings/membros-de-equipe/896336" xr:uid="{6C1F0E65-EE6E-408F-9394-CE7F8A59786D}"/>
    <hyperlink ref="B477" r:id="rId475" display="https://amp.vexpenses.com/settings/membros-de-equipe/917059" xr:uid="{31B9D1EF-BCEB-41E3-B02E-80F1C29ADD4A}"/>
    <hyperlink ref="B478" r:id="rId476" display="https://amp.vexpenses.com/settings/membros-de-equipe/896338" xr:uid="{F26CB4C3-BCC1-4EF1-965F-341577E5EBA4}"/>
    <hyperlink ref="B479" r:id="rId477" display="https://amp.vexpenses.com/settings/membros-de-equipe/917364" xr:uid="{7F73E80E-A7CB-49A3-8502-3D8638231370}"/>
    <hyperlink ref="B480" r:id="rId478" display="https://amp.vexpenses.com/settings/membros-de-equipe/896339" xr:uid="{750F6991-2835-4966-8862-C94E7C22AE2D}"/>
    <hyperlink ref="B481" r:id="rId479" display="https://amp.vexpenses.com/settings/membros-de-equipe/896340" xr:uid="{3446224B-5C14-4413-A0C1-D86BA16B293C}"/>
    <hyperlink ref="B482" r:id="rId480" display="https://amp.vexpenses.com/settings/membros-de-equipe/896341" xr:uid="{F3311D8E-5575-46D8-8D48-149A9B4D7140}"/>
    <hyperlink ref="B483" r:id="rId481" display="https://amp.vexpenses.com/settings/membros-de-equipe/896342" xr:uid="{B1CB1AE0-C510-4D66-A4E6-A54B578C09BB}"/>
    <hyperlink ref="B484" r:id="rId482" display="https://amp.vexpenses.com/settings/membros-de-equipe/896343" xr:uid="{21530DAD-55A7-4710-96DC-DA475E41773F}"/>
    <hyperlink ref="B485" r:id="rId483" display="https://amp.vexpenses.com/settings/membros-de-equipe/896344" xr:uid="{91AD4FAB-AFF8-4E37-A35F-8238C1D75C74}"/>
    <hyperlink ref="B486" r:id="rId484" display="https://amp.vexpenses.com/settings/membros-de-equipe/896346" xr:uid="{8327CD6C-15CF-4ABC-9737-2DFDA53AEBFD}"/>
    <hyperlink ref="B487" r:id="rId485" display="https://amp.vexpenses.com/settings/membros-de-equipe/896347" xr:uid="{629BF2E8-8330-46F0-AEB9-182ACC2EAE90}"/>
    <hyperlink ref="B488" r:id="rId486" display="https://amp.vexpenses.com/settings/membros-de-equipe/896348" xr:uid="{AAFC0F20-AC04-4383-B05F-45CD15E600A4}"/>
    <hyperlink ref="B489" r:id="rId487" display="https://amp.vexpenses.com/settings/membros-de-equipe/896349" xr:uid="{5C8CCECD-20FC-4682-9656-6915416D6111}"/>
    <hyperlink ref="B490" r:id="rId488" display="https://amp.vexpenses.com/settings/membros-de-equipe/896350" xr:uid="{09433BD4-884E-4EB0-8C7D-88BFFD08B375}"/>
    <hyperlink ref="B491" r:id="rId489" display="https://amp.vexpenses.com/settings/membros-de-equipe/896351" xr:uid="{122D7928-3562-4369-83A6-0DD6836179D3}"/>
    <hyperlink ref="B492" r:id="rId490" display="https://amp.vexpenses.com/settings/membros-de-equipe/896352" xr:uid="{BD2F9F84-9EC8-42AC-9AB0-4E0D81EBD435}"/>
    <hyperlink ref="B493" r:id="rId491" display="https://amp.vexpenses.com/settings/membros-de-equipe/896353" xr:uid="{6B39D86B-AD59-4883-B3A2-D75F48DA3F85}"/>
    <hyperlink ref="B494" r:id="rId492" display="https://amp.vexpenses.com/settings/membros-de-equipe/920862" xr:uid="{D466692E-96EE-4204-A964-A92B465DEA94}"/>
    <hyperlink ref="B495" r:id="rId493" display="https://amp.vexpenses.com/settings/membros-de-equipe/896354" xr:uid="{D6AAF31F-2D20-4195-92CE-55A1706988C6}"/>
    <hyperlink ref="B496" r:id="rId494" display="https://amp.vexpenses.com/settings/membros-de-equipe/896355" xr:uid="{96F92C3F-D921-4C7F-8046-866310364735}"/>
    <hyperlink ref="B497" r:id="rId495" display="https://amp.vexpenses.com/settings/membros-de-equipe/917051" xr:uid="{BA1CD265-0C2B-4593-9ED5-D991C0519B92}"/>
    <hyperlink ref="B498" r:id="rId496" display="https://amp.vexpenses.com/settings/membros-de-equipe/896356" xr:uid="{ED73C91A-D689-4661-83CA-DA8BF929B3E8}"/>
    <hyperlink ref="B499" r:id="rId497" display="https://amp.vexpenses.com/settings/membros-de-equipe/896397" xr:uid="{F8B6B3B5-E1FF-406D-A064-C3E353A6F0A3}"/>
    <hyperlink ref="B500" r:id="rId498" display="https://amp.vexpenses.com/settings/membros-de-equipe/896358" xr:uid="{1C809440-2A15-4EB9-8A05-B269C06764DA}"/>
    <hyperlink ref="B501" r:id="rId499" display="https://amp.vexpenses.com/settings/membros-de-equipe/930440" xr:uid="{D3DBD394-C307-435A-9052-B1FCAB63036C}"/>
    <hyperlink ref="B502" r:id="rId500" display="https://amp.vexpenses.com/settings/membros-de-equipe/896359" xr:uid="{00BD720E-BA25-407E-A672-977F95ED2C1E}"/>
    <hyperlink ref="B503" r:id="rId501" display="https://amp.vexpenses.com/settings/membros-de-equipe/896360" xr:uid="{282E4872-017D-4333-ABA6-D659CD0A2C9A}"/>
    <hyperlink ref="B504" r:id="rId502" display="https://amp.vexpenses.com/settings/membros-de-equipe/896361" xr:uid="{F8663A56-1E05-495E-8F82-A49F734FA66D}"/>
    <hyperlink ref="B505" r:id="rId503" display="https://amp.vexpenses.com/settings/membros-de-equipe/920855" xr:uid="{44889353-8B05-4054-9468-1F3B216CF400}"/>
    <hyperlink ref="B506" r:id="rId504" display="https://amp.vexpenses.com/settings/membros-de-equipe/896362" xr:uid="{0471A053-A648-413D-9280-32C83D518759}"/>
    <hyperlink ref="B507" r:id="rId505" display="https://amp.vexpenses.com/settings/membros-de-equipe/896363" xr:uid="{1BAE6324-7475-4287-8B49-BCED133DAA12}"/>
    <hyperlink ref="B508" r:id="rId506" display="https://amp.vexpenses.com/settings/membros-de-equipe/896364" xr:uid="{E4ACC2C5-35FC-4C10-8680-DDA2893B6530}"/>
    <hyperlink ref="B509" r:id="rId507" display="https://amp.vexpenses.com/settings/membros-de-equipe/896365" xr:uid="{72F41F33-B555-466A-B6AD-D12D7F4F4A9B}"/>
    <hyperlink ref="B510" r:id="rId508" display="https://amp.vexpenses.com/settings/membros-de-equipe/917052" xr:uid="{5642F606-E437-4855-8AFE-6F06B4226FA6}"/>
    <hyperlink ref="B511" r:id="rId509" display="https://amp.vexpenses.com/settings/membros-de-equipe/896366" xr:uid="{9CF642B6-6715-40EF-B86A-AD78102F53D3}"/>
    <hyperlink ref="B512" r:id="rId510" display="https://amp.vexpenses.com/settings/membros-de-equipe/896367" xr:uid="{053F4940-3CC6-459B-9842-C9666633A355}"/>
    <hyperlink ref="B513" r:id="rId511" display="https://amp.vexpenses.com/settings/membros-de-equipe/896369" xr:uid="{B9434ABF-A4EC-4369-AFD5-27418F30C633}"/>
    <hyperlink ref="B514" r:id="rId512" display="https://amp.vexpenses.com/settings/membros-de-equipe/931255" xr:uid="{935E6F1C-798E-45B7-9126-02A24FBC7D4D}"/>
    <hyperlink ref="B515" r:id="rId513" display="https://amp.vexpenses.com/settings/membros-de-equipe/922852" xr:uid="{263B9BEE-E9FC-4A20-91CF-5427B6A78446}"/>
    <hyperlink ref="B516" r:id="rId514" display="https://amp.vexpenses.com/settings/membros-de-equipe/896372" xr:uid="{DD473640-57E8-4C41-A9D0-6541C06B258A}"/>
    <hyperlink ref="B517" r:id="rId515" display="https://amp.vexpenses.com/settings/membros-de-equipe/896373" xr:uid="{352F380F-AC11-4B8E-B000-E65436DAFAE0}"/>
    <hyperlink ref="B518" r:id="rId516" display="https://amp.vexpenses.com/settings/membros-de-equipe/920868" xr:uid="{0F5AFEF1-2D32-474C-A1EC-39482BFA8327}"/>
    <hyperlink ref="B519" r:id="rId517" display="https://amp.vexpenses.com/settings/membros-de-equipe/917368" xr:uid="{2D8119CB-B232-4953-B172-7375C305FB1F}"/>
    <hyperlink ref="B520" r:id="rId518" display="https://amp.vexpenses.com/settings/membros-de-equipe/896424" xr:uid="{F7548C04-B1CE-4476-BD60-99AD7AC27A49}"/>
    <hyperlink ref="B521" r:id="rId519" display="https://amp.vexpenses.com/settings/membros-de-equipe/896376" xr:uid="{0EA05F73-E429-4763-821C-8CCCA9F9173D}"/>
    <hyperlink ref="B522" r:id="rId520" display="https://amp.vexpenses.com/settings/membros-de-equipe/896377" xr:uid="{3C5E0C78-3C85-40F5-B617-E178E49DBA71}"/>
    <hyperlink ref="B523" r:id="rId521" display="https://amp.vexpenses.com/settings/membros-de-equipe/896378" xr:uid="{C51D91FF-C603-423D-B97E-92D8B8014D9B}"/>
    <hyperlink ref="B524" r:id="rId522" display="https://amp.vexpenses.com/settings/membros-de-equipe/896379" xr:uid="{8F6E43F2-4059-4B57-83CE-B3B215CB01A0}"/>
    <hyperlink ref="B525" r:id="rId523" display="https://amp.vexpenses.com/settings/membros-de-equipe/957806" xr:uid="{3F819D51-D5B5-4230-9A61-35890385BBDC}"/>
    <hyperlink ref="B526" r:id="rId524" display="https://amp.vexpenses.com/settings/membros-de-equipe/923842" xr:uid="{4A807F1A-81C9-439B-8FB8-3C9599081B0E}"/>
    <hyperlink ref="B527" r:id="rId525" display="https://amp.vexpenses.com/settings/membros-de-equipe/896380" xr:uid="{42581028-F390-4EEB-9EB7-134A93AB1CD1}"/>
    <hyperlink ref="B528" r:id="rId526" display="https://amp.vexpenses.com/settings/membros-de-equipe/896381" xr:uid="{BC003C06-BE2F-4397-B8AB-73111D4F0564}"/>
    <hyperlink ref="B529" r:id="rId527" display="https://amp.vexpenses.com/settings/membros-de-equipe/896383" xr:uid="{929F14D1-EA09-4018-BEC8-8C636FAA3A40}"/>
    <hyperlink ref="B530" r:id="rId528" display="https://amp.vexpenses.com/settings/membros-de-equipe/896384" xr:uid="{7EE62659-F573-4B3D-90E1-D8C63BBD73F4}"/>
    <hyperlink ref="B531" r:id="rId529" display="https://amp.vexpenses.com/settings/membros-de-equipe/896385" xr:uid="{F918EDCB-9512-4427-B3DA-F5CA22D96A6B}"/>
    <hyperlink ref="B532" r:id="rId530" display="https://amp.vexpenses.com/settings/membros-de-equipe/896386" xr:uid="{68557B99-2E06-4BFD-9DB5-F707EE1BE770}"/>
    <hyperlink ref="B533" r:id="rId531" display="https://amp.vexpenses.com/settings/membros-de-equipe/896387" xr:uid="{C62770C5-7A32-4D5E-BE6D-33A687F2C3C1}"/>
    <hyperlink ref="B534" r:id="rId532" display="https://amp.vexpenses.com/settings/membros-de-equipe/896388" xr:uid="{27B61034-F361-4E1F-AFB7-8CC9B92C8A96}"/>
    <hyperlink ref="B535" r:id="rId533" display="https://amp.vexpenses.com/settings/membros-de-equipe/896389" xr:uid="{A8EB2A28-D1E1-4377-82A5-18960936716E}"/>
    <hyperlink ref="B536" r:id="rId534" display="https://amp.vexpenses.com/settings/membros-de-equipe/896390" xr:uid="{1CBE88A2-25EA-43CA-BC1A-2727E5C93162}"/>
    <hyperlink ref="B537" r:id="rId535" display="https://amp.vexpenses.com/settings/membros-de-equipe/896391" xr:uid="{922523B0-3B01-40D4-9247-447306300DD2}"/>
    <hyperlink ref="B538" r:id="rId536" display="https://amp.vexpenses.com/settings/membros-de-equipe/896392" xr:uid="{66B9B1F8-6BD5-4C15-8E5C-75B1468D86BD}"/>
    <hyperlink ref="B539" r:id="rId537" display="https://amp.vexpenses.com/settings/membros-de-equipe/896393" xr:uid="{B4E49C57-C74F-43D0-A81F-55176B5A9357}"/>
    <hyperlink ref="B540" r:id="rId538" display="https://amp.vexpenses.com/settings/membros-de-equipe/896394" xr:uid="{F550F029-CAE2-470C-85E3-3DFCF36E4366}"/>
    <hyperlink ref="B541" r:id="rId539" display="https://amp.vexpenses.com/settings/membros-de-equipe/916366" xr:uid="{069DE8A3-5E2B-41EA-BC35-5172FD74C3B4}"/>
    <hyperlink ref="B542" r:id="rId540" display="https://amp.vexpenses.com/settings/membros-de-equipe/921921" xr:uid="{2A03CAA9-11D7-41DE-AC1A-596BBA0416A9}"/>
    <hyperlink ref="B543" r:id="rId541" display="https://amp.vexpenses.com/settings/membros-de-equipe/896395" xr:uid="{638E1583-4F48-4A47-944A-42317B94BB46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85B33-A255-401A-9153-6719876486A3}">
  <dimension ref="B2:L211"/>
  <sheetViews>
    <sheetView showGridLines="0" tabSelected="1" topLeftCell="F1" workbookViewId="0">
      <selection activeCell="I6" sqref="I6"/>
    </sheetView>
  </sheetViews>
  <sheetFormatPr defaultRowHeight="15.75" x14ac:dyDescent="0.25"/>
  <cols>
    <col min="2" max="2" width="32.75" bestFit="1" customWidth="1"/>
    <col min="3" max="3" width="10.5" bestFit="1" customWidth="1"/>
    <col min="4" max="4" width="10.875" bestFit="1" customWidth="1"/>
    <col min="5" max="5" width="23.25" bestFit="1" customWidth="1"/>
    <col min="6" max="6" width="15" bestFit="1" customWidth="1"/>
    <col min="7" max="7" width="15.75" bestFit="1" customWidth="1"/>
    <col min="8" max="8" width="14.125" bestFit="1" customWidth="1"/>
    <col min="11" max="11" width="16.25" bestFit="1" customWidth="1"/>
    <col min="12" max="12" width="20" bestFit="1" customWidth="1"/>
  </cols>
  <sheetData>
    <row r="2" spans="2:12" x14ac:dyDescent="0.25">
      <c r="B2" s="4" t="s">
        <v>1</v>
      </c>
      <c r="C2" s="4" t="s">
        <v>2</v>
      </c>
      <c r="D2" s="6" t="s">
        <v>3</v>
      </c>
      <c r="E2" s="7" t="s">
        <v>4</v>
      </c>
      <c r="F2" s="7" t="s">
        <v>5</v>
      </c>
      <c r="G2" s="5" t="s">
        <v>6</v>
      </c>
      <c r="H2" s="11" t="s">
        <v>1815</v>
      </c>
      <c r="K2" s="105" t="s">
        <v>1469</v>
      </c>
      <c r="L2" t="s">
        <v>1827</v>
      </c>
    </row>
    <row r="3" spans="2:12" x14ac:dyDescent="0.25">
      <c r="B3" s="120" t="s">
        <v>115</v>
      </c>
      <c r="C3" s="114" t="s">
        <v>1772</v>
      </c>
      <c r="D3" s="115" t="s">
        <v>18</v>
      </c>
      <c r="E3" s="115" t="s">
        <v>116</v>
      </c>
      <c r="F3" s="99">
        <v>11030850001</v>
      </c>
      <c r="G3" s="128" t="s">
        <v>20</v>
      </c>
      <c r="H3" s="117">
        <v>1998</v>
      </c>
      <c r="K3" s="106">
        <v>1201044</v>
      </c>
      <c r="L3" s="103">
        <v>500</v>
      </c>
    </row>
    <row r="4" spans="2:12" x14ac:dyDescent="0.25">
      <c r="B4" s="120" t="s">
        <v>336</v>
      </c>
      <c r="C4" s="114" t="s">
        <v>1690</v>
      </c>
      <c r="D4" s="115" t="s">
        <v>18</v>
      </c>
      <c r="E4" s="115" t="s">
        <v>309</v>
      </c>
      <c r="F4" s="71">
        <v>11030820001</v>
      </c>
      <c r="G4" s="115" t="s">
        <v>136</v>
      </c>
      <c r="H4" s="117">
        <v>1994</v>
      </c>
      <c r="K4" s="106">
        <v>1201071</v>
      </c>
      <c r="L4" s="103">
        <v>142.89999999999998</v>
      </c>
    </row>
    <row r="5" spans="2:12" x14ac:dyDescent="0.25">
      <c r="B5" s="120" t="s">
        <v>1798</v>
      </c>
      <c r="C5" s="114" t="s">
        <v>1537</v>
      </c>
      <c r="D5" s="115" t="s">
        <v>18</v>
      </c>
      <c r="E5" s="115" t="s">
        <v>19</v>
      </c>
      <c r="F5" s="71">
        <v>11030290001</v>
      </c>
      <c r="G5" s="115" t="s">
        <v>20</v>
      </c>
      <c r="H5" s="117">
        <v>3998</v>
      </c>
      <c r="K5" s="106">
        <v>1104150001</v>
      </c>
      <c r="L5" s="103">
        <v>2624.06</v>
      </c>
    </row>
    <row r="6" spans="2:12" x14ac:dyDescent="0.25">
      <c r="B6" s="120" t="s">
        <v>730</v>
      </c>
      <c r="C6" s="114" t="s">
        <v>731</v>
      </c>
      <c r="D6" s="115" t="s">
        <v>18</v>
      </c>
      <c r="E6" s="115" t="s">
        <v>187</v>
      </c>
      <c r="F6" s="71">
        <v>11030870001</v>
      </c>
      <c r="G6" s="115" t="s">
        <v>78</v>
      </c>
      <c r="H6" s="117">
        <v>457</v>
      </c>
      <c r="K6" s="106">
        <v>11010060001</v>
      </c>
      <c r="L6" s="103">
        <v>292.57000000000011</v>
      </c>
    </row>
    <row r="7" spans="2:12" x14ac:dyDescent="0.25">
      <c r="B7" s="120" t="s">
        <v>402</v>
      </c>
      <c r="C7" s="114" t="s">
        <v>403</v>
      </c>
      <c r="D7" s="115" t="s">
        <v>18</v>
      </c>
      <c r="E7" s="123" t="s">
        <v>124</v>
      </c>
      <c r="F7" s="71">
        <v>11030750001</v>
      </c>
      <c r="G7" s="115" t="s">
        <v>65</v>
      </c>
      <c r="H7" s="117">
        <v>4000</v>
      </c>
      <c r="K7" s="106">
        <v>11010090001</v>
      </c>
      <c r="L7" s="103">
        <v>49.899999999999977</v>
      </c>
    </row>
    <row r="8" spans="2:12" x14ac:dyDescent="0.25">
      <c r="B8" s="120" t="s">
        <v>559</v>
      </c>
      <c r="C8" s="114" t="s">
        <v>560</v>
      </c>
      <c r="D8" s="115" t="s">
        <v>18</v>
      </c>
      <c r="E8" s="115" t="s">
        <v>561</v>
      </c>
      <c r="F8" s="71">
        <v>11030700001</v>
      </c>
      <c r="G8" s="115" t="s">
        <v>30</v>
      </c>
      <c r="H8" s="117">
        <v>266.27</v>
      </c>
      <c r="K8" s="106">
        <v>11010120001</v>
      </c>
      <c r="L8" s="103">
        <v>300</v>
      </c>
    </row>
    <row r="9" spans="2:12" x14ac:dyDescent="0.25">
      <c r="B9" s="120" t="s">
        <v>333</v>
      </c>
      <c r="C9" s="114" t="s">
        <v>1803</v>
      </c>
      <c r="D9" s="115" t="s">
        <v>18</v>
      </c>
      <c r="E9" s="123" t="s">
        <v>334</v>
      </c>
      <c r="F9" s="71">
        <v>11030770001</v>
      </c>
      <c r="G9" s="115" t="s">
        <v>24</v>
      </c>
      <c r="H9" s="117">
        <v>1964</v>
      </c>
      <c r="K9" s="106">
        <v>11010140001</v>
      </c>
      <c r="L9" s="103">
        <v>592.98</v>
      </c>
    </row>
    <row r="10" spans="2:12" x14ac:dyDescent="0.25">
      <c r="B10" s="120" t="s">
        <v>606</v>
      </c>
      <c r="C10" s="114" t="s">
        <v>607</v>
      </c>
      <c r="D10" s="115" t="s">
        <v>18</v>
      </c>
      <c r="E10" s="123" t="s">
        <v>381</v>
      </c>
      <c r="F10" s="71">
        <v>11030830001</v>
      </c>
      <c r="G10" s="115" t="s">
        <v>65</v>
      </c>
      <c r="H10" s="117">
        <v>2295.0100000000002</v>
      </c>
      <c r="K10" s="106">
        <v>11010150001</v>
      </c>
      <c r="L10" s="103">
        <v>109.5</v>
      </c>
    </row>
    <row r="11" spans="2:12" x14ac:dyDescent="0.25">
      <c r="B11" s="120" t="s">
        <v>454</v>
      </c>
      <c r="C11" s="114" t="s">
        <v>455</v>
      </c>
      <c r="D11" s="115" t="s">
        <v>18</v>
      </c>
      <c r="E11" s="115" t="s">
        <v>187</v>
      </c>
      <c r="F11" s="71">
        <v>11030870001</v>
      </c>
      <c r="G11" s="123" t="s">
        <v>78</v>
      </c>
      <c r="H11" s="117">
        <v>478.86</v>
      </c>
      <c r="K11" s="106">
        <v>11010170001</v>
      </c>
      <c r="L11" s="103">
        <v>57.850000000000023</v>
      </c>
    </row>
    <row r="12" spans="2:12" x14ac:dyDescent="0.25">
      <c r="B12" s="120" t="s">
        <v>463</v>
      </c>
      <c r="C12" s="114" t="s">
        <v>464</v>
      </c>
      <c r="D12" s="115" t="s">
        <v>18</v>
      </c>
      <c r="E12" s="115" t="s">
        <v>465</v>
      </c>
      <c r="F12" s="71">
        <v>11030900001</v>
      </c>
      <c r="G12" s="127" t="s">
        <v>24</v>
      </c>
      <c r="H12" s="117">
        <v>985.03</v>
      </c>
      <c r="K12" s="106">
        <v>11010180001</v>
      </c>
      <c r="L12" s="103">
        <v>824.93</v>
      </c>
    </row>
    <row r="13" spans="2:12" x14ac:dyDescent="0.25">
      <c r="B13" s="121" t="s">
        <v>379</v>
      </c>
      <c r="C13" s="122" t="s">
        <v>1619</v>
      </c>
      <c r="D13" s="115" t="s">
        <v>18</v>
      </c>
      <c r="E13" s="123" t="s">
        <v>187</v>
      </c>
      <c r="F13" s="71">
        <v>11030870001</v>
      </c>
      <c r="G13" s="123" t="s">
        <v>78</v>
      </c>
      <c r="H13" s="117">
        <v>994</v>
      </c>
      <c r="K13" s="106">
        <v>11010300001</v>
      </c>
      <c r="L13" s="103">
        <v>1466.42</v>
      </c>
    </row>
    <row r="14" spans="2:12" x14ac:dyDescent="0.25">
      <c r="B14" s="121" t="s">
        <v>167</v>
      </c>
      <c r="C14" s="122" t="s">
        <v>1528</v>
      </c>
      <c r="D14" s="115" t="s">
        <v>18</v>
      </c>
      <c r="E14" s="123" t="s">
        <v>29</v>
      </c>
      <c r="F14" s="71">
        <v>11030860001</v>
      </c>
      <c r="G14" s="123" t="s">
        <v>30</v>
      </c>
      <c r="H14" s="117">
        <v>997</v>
      </c>
      <c r="K14" s="106">
        <v>11010330001</v>
      </c>
      <c r="L14" s="103">
        <v>57</v>
      </c>
    </row>
    <row r="15" spans="2:12" x14ac:dyDescent="0.25">
      <c r="B15" s="121" t="s">
        <v>697</v>
      </c>
      <c r="C15" s="122" t="s">
        <v>698</v>
      </c>
      <c r="D15" s="115" t="s">
        <v>18</v>
      </c>
      <c r="E15" s="123" t="s">
        <v>317</v>
      </c>
      <c r="F15" s="71">
        <v>11030620001</v>
      </c>
      <c r="G15" s="123" t="s">
        <v>34</v>
      </c>
      <c r="H15" s="117">
        <v>770.68</v>
      </c>
      <c r="K15" s="106">
        <v>11010370001</v>
      </c>
      <c r="L15" s="103">
        <v>864.06999999999948</v>
      </c>
    </row>
    <row r="16" spans="2:12" x14ac:dyDescent="0.25">
      <c r="B16" s="120" t="s">
        <v>194</v>
      </c>
      <c r="C16" s="114" t="s">
        <v>1675</v>
      </c>
      <c r="D16" s="115" t="s">
        <v>18</v>
      </c>
      <c r="E16" s="115" t="s">
        <v>195</v>
      </c>
      <c r="F16" s="71">
        <v>11062270001</v>
      </c>
      <c r="G16" s="123" t="s">
        <v>24</v>
      </c>
      <c r="H16" s="117">
        <v>1499.47</v>
      </c>
      <c r="K16" s="106">
        <v>11010400001</v>
      </c>
      <c r="L16" s="103">
        <v>2890.88</v>
      </c>
    </row>
    <row r="17" spans="2:12" x14ac:dyDescent="0.25">
      <c r="B17" s="121" t="s">
        <v>700</v>
      </c>
      <c r="C17" s="122" t="s">
        <v>701</v>
      </c>
      <c r="D17" s="115" t="s">
        <v>18</v>
      </c>
      <c r="E17" s="123" t="s">
        <v>49</v>
      </c>
      <c r="F17" s="71">
        <v>11040160001</v>
      </c>
      <c r="G17" s="127" t="s">
        <v>27</v>
      </c>
      <c r="H17" s="117">
        <v>488.89</v>
      </c>
      <c r="K17" s="106">
        <v>11010420001</v>
      </c>
      <c r="L17" s="103">
        <v>158.98000000000039</v>
      </c>
    </row>
    <row r="18" spans="2:12" x14ac:dyDescent="0.25">
      <c r="B18" s="120" t="s">
        <v>719</v>
      </c>
      <c r="C18" s="114" t="s">
        <v>720</v>
      </c>
      <c r="D18" s="115" t="s">
        <v>18</v>
      </c>
      <c r="E18" s="115" t="s">
        <v>721</v>
      </c>
      <c r="F18" s="71">
        <v>11061950001</v>
      </c>
      <c r="G18" s="123" t="s">
        <v>30</v>
      </c>
      <c r="H18" s="117">
        <v>478.49</v>
      </c>
      <c r="K18" s="106">
        <v>11030260001</v>
      </c>
      <c r="L18" s="103">
        <v>9996.7800000000007</v>
      </c>
    </row>
    <row r="19" spans="2:12" x14ac:dyDescent="0.25">
      <c r="B19" s="120" t="s">
        <v>516</v>
      </c>
      <c r="C19" s="114" t="s">
        <v>517</v>
      </c>
      <c r="D19" s="115" t="s">
        <v>18</v>
      </c>
      <c r="E19" s="115" t="s">
        <v>518</v>
      </c>
      <c r="F19" s="71">
        <v>11062650001</v>
      </c>
      <c r="G19" s="127" t="s">
        <v>24</v>
      </c>
      <c r="H19" s="117">
        <v>1434.36</v>
      </c>
      <c r="K19" s="106">
        <v>11030290001</v>
      </c>
      <c r="L19" s="103">
        <v>28293.42</v>
      </c>
    </row>
    <row r="20" spans="2:12" x14ac:dyDescent="0.25">
      <c r="B20" s="120" t="s">
        <v>206</v>
      </c>
      <c r="C20" s="114" t="s">
        <v>1677</v>
      </c>
      <c r="D20" s="115" t="s">
        <v>18</v>
      </c>
      <c r="E20" s="115" t="s">
        <v>43</v>
      </c>
      <c r="F20" s="71">
        <v>11030690001</v>
      </c>
      <c r="G20" s="127" t="s">
        <v>30</v>
      </c>
      <c r="H20" s="117">
        <v>1600</v>
      </c>
      <c r="K20" s="106">
        <v>11030570001</v>
      </c>
      <c r="L20" s="103">
        <v>2790.79</v>
      </c>
    </row>
    <row r="21" spans="2:12" x14ac:dyDescent="0.25">
      <c r="B21" s="121" t="s">
        <v>525</v>
      </c>
      <c r="C21" s="122" t="s">
        <v>526</v>
      </c>
      <c r="D21" s="115" t="s">
        <v>18</v>
      </c>
      <c r="E21" s="123" t="s">
        <v>81</v>
      </c>
      <c r="F21" s="71">
        <v>11061820001</v>
      </c>
      <c r="G21" s="127" t="s">
        <v>34</v>
      </c>
      <c r="H21" s="117">
        <v>492.1</v>
      </c>
      <c r="K21" s="106">
        <v>11030580001</v>
      </c>
      <c r="L21" s="103">
        <v>35.630000000001019</v>
      </c>
    </row>
    <row r="22" spans="2:12" x14ac:dyDescent="0.25">
      <c r="B22" s="120" t="s">
        <v>111</v>
      </c>
      <c r="C22" s="114" t="s">
        <v>1524</v>
      </c>
      <c r="D22" s="115" t="s">
        <v>18</v>
      </c>
      <c r="E22" s="115" t="s">
        <v>41</v>
      </c>
      <c r="F22" s="71">
        <v>11061490001</v>
      </c>
      <c r="G22" s="127" t="s">
        <v>24</v>
      </c>
      <c r="H22" s="117">
        <v>998.25</v>
      </c>
      <c r="K22" s="106">
        <v>11030590001</v>
      </c>
      <c r="L22" s="103">
        <v>2156.34</v>
      </c>
    </row>
    <row r="23" spans="2:12" x14ac:dyDescent="0.25">
      <c r="B23" s="121" t="s">
        <v>788</v>
      </c>
      <c r="C23" s="122" t="s">
        <v>789</v>
      </c>
      <c r="D23" s="115" t="s">
        <v>18</v>
      </c>
      <c r="E23" s="123" t="s">
        <v>46</v>
      </c>
      <c r="F23" s="71">
        <v>1104150001</v>
      </c>
      <c r="G23" s="127" t="s">
        <v>39</v>
      </c>
      <c r="H23" s="117">
        <v>2624.06</v>
      </c>
      <c r="K23" s="106">
        <v>11030600001</v>
      </c>
      <c r="L23" s="103">
        <v>1785.0200000000841</v>
      </c>
    </row>
    <row r="24" spans="2:12" x14ac:dyDescent="0.25">
      <c r="B24" s="121" t="s">
        <v>170</v>
      </c>
      <c r="C24" s="122" t="s">
        <v>1535</v>
      </c>
      <c r="D24" s="115" t="s">
        <v>18</v>
      </c>
      <c r="E24" s="123" t="s">
        <v>113</v>
      </c>
      <c r="F24" s="71">
        <v>11061720001</v>
      </c>
      <c r="G24" s="123" t="s">
        <v>30</v>
      </c>
      <c r="H24" s="117">
        <v>229.69000000000005</v>
      </c>
      <c r="K24" s="106">
        <v>11030610001</v>
      </c>
      <c r="L24" s="103">
        <v>2790.87</v>
      </c>
    </row>
    <row r="25" spans="2:12" x14ac:dyDescent="0.25">
      <c r="B25" s="120" t="s">
        <v>588</v>
      </c>
      <c r="C25" s="114" t="s">
        <v>589</v>
      </c>
      <c r="D25" s="115" t="s">
        <v>18</v>
      </c>
      <c r="E25" s="115" t="s">
        <v>1818</v>
      </c>
      <c r="F25" s="71">
        <v>11030810001</v>
      </c>
      <c r="G25" s="123" t="s">
        <v>20</v>
      </c>
      <c r="H25" s="117">
        <v>796.06</v>
      </c>
      <c r="K25" s="106">
        <v>11030620001</v>
      </c>
      <c r="L25" s="103">
        <v>3540.1299999999997</v>
      </c>
    </row>
    <row r="26" spans="2:12" x14ac:dyDescent="0.25">
      <c r="B26" s="121" t="s">
        <v>651</v>
      </c>
      <c r="C26" s="122" t="s">
        <v>652</v>
      </c>
      <c r="D26" s="115" t="s">
        <v>18</v>
      </c>
      <c r="E26" s="123" t="s">
        <v>49</v>
      </c>
      <c r="F26" s="71">
        <v>11040160001</v>
      </c>
      <c r="G26" s="127" t="s">
        <v>27</v>
      </c>
      <c r="H26" s="117">
        <v>760.74</v>
      </c>
      <c r="K26" s="106">
        <v>11030630001</v>
      </c>
      <c r="L26" s="103">
        <v>2795</v>
      </c>
    </row>
    <row r="27" spans="2:12" x14ac:dyDescent="0.25">
      <c r="B27" s="121" t="s">
        <v>420</v>
      </c>
      <c r="C27" s="122" t="s">
        <v>421</v>
      </c>
      <c r="D27" s="115" t="s">
        <v>18</v>
      </c>
      <c r="E27" s="123" t="s">
        <v>59</v>
      </c>
      <c r="F27" s="71">
        <v>11080440001</v>
      </c>
      <c r="G27" s="123" t="s">
        <v>30</v>
      </c>
      <c r="H27" s="117">
        <v>77</v>
      </c>
      <c r="K27" s="106">
        <v>11030640001</v>
      </c>
      <c r="L27" s="103">
        <v>4792.74999999999</v>
      </c>
    </row>
    <row r="28" spans="2:12" x14ac:dyDescent="0.25">
      <c r="B28" s="120" t="s">
        <v>266</v>
      </c>
      <c r="C28" s="114" t="s">
        <v>1523</v>
      </c>
      <c r="D28" s="115" t="s">
        <v>18</v>
      </c>
      <c r="E28" s="115" t="s">
        <v>267</v>
      </c>
      <c r="F28" s="71">
        <v>11080170001</v>
      </c>
      <c r="G28" s="123" t="s">
        <v>65</v>
      </c>
      <c r="H28" s="117">
        <v>2779.27</v>
      </c>
      <c r="K28" s="106">
        <v>11030660001</v>
      </c>
      <c r="L28" s="103">
        <v>4509.4699999999984</v>
      </c>
    </row>
    <row r="29" spans="2:12" x14ac:dyDescent="0.25">
      <c r="B29" s="120" t="s">
        <v>281</v>
      </c>
      <c r="C29" s="114" t="s">
        <v>1504</v>
      </c>
      <c r="D29" s="115" t="s">
        <v>18</v>
      </c>
      <c r="E29" s="115" t="s">
        <v>148</v>
      </c>
      <c r="F29" s="71">
        <v>11030630001</v>
      </c>
      <c r="G29" s="123" t="s">
        <v>34</v>
      </c>
      <c r="H29" s="117">
        <v>2795</v>
      </c>
      <c r="K29" s="106">
        <v>11030690001</v>
      </c>
      <c r="L29" s="103">
        <v>2393.6</v>
      </c>
    </row>
    <row r="30" spans="2:12" x14ac:dyDescent="0.25">
      <c r="B30" s="120" t="s">
        <v>702</v>
      </c>
      <c r="C30" s="114" t="s">
        <v>703</v>
      </c>
      <c r="D30" s="115" t="s">
        <v>18</v>
      </c>
      <c r="E30" s="115" t="s">
        <v>381</v>
      </c>
      <c r="F30" s="71">
        <v>11030830001</v>
      </c>
      <c r="G30" s="127" t="s">
        <v>65</v>
      </c>
      <c r="H30" s="117">
        <v>2717.3</v>
      </c>
      <c r="K30" s="106">
        <v>11030700001</v>
      </c>
      <c r="L30" s="103">
        <v>2388.7200000000116</v>
      </c>
    </row>
    <row r="31" spans="2:12" x14ac:dyDescent="0.25">
      <c r="B31" s="121" t="s">
        <v>509</v>
      </c>
      <c r="C31" s="122" t="s">
        <v>510</v>
      </c>
      <c r="D31" s="115" t="s">
        <v>18</v>
      </c>
      <c r="E31" s="123" t="s">
        <v>113</v>
      </c>
      <c r="F31" s="71">
        <v>11061720001</v>
      </c>
      <c r="G31" s="127" t="s">
        <v>30</v>
      </c>
      <c r="H31" s="117">
        <v>593.96</v>
      </c>
      <c r="K31" s="106">
        <v>11030710001</v>
      </c>
      <c r="L31" s="103">
        <v>477.9200000000493</v>
      </c>
    </row>
    <row r="32" spans="2:12" x14ac:dyDescent="0.25">
      <c r="B32" s="120" t="s">
        <v>602</v>
      </c>
      <c r="C32" s="114" t="s">
        <v>603</v>
      </c>
      <c r="D32" s="115" t="s">
        <v>18</v>
      </c>
      <c r="E32" s="115" t="s">
        <v>113</v>
      </c>
      <c r="F32" s="71">
        <v>11061720001</v>
      </c>
      <c r="G32" s="123" t="s">
        <v>30</v>
      </c>
      <c r="H32" s="117">
        <v>221.64</v>
      </c>
      <c r="K32" s="106">
        <v>11030730001</v>
      </c>
      <c r="L32" s="103">
        <v>13.080000000000041</v>
      </c>
    </row>
    <row r="33" spans="2:12" x14ac:dyDescent="0.25">
      <c r="B33" s="120" t="s">
        <v>666</v>
      </c>
      <c r="C33" s="114" t="s">
        <v>667</v>
      </c>
      <c r="D33" s="115" t="s">
        <v>18</v>
      </c>
      <c r="E33" s="115" t="s">
        <v>38</v>
      </c>
      <c r="F33" s="71">
        <v>11040130001</v>
      </c>
      <c r="G33" s="127" t="s">
        <v>39</v>
      </c>
      <c r="H33" s="117">
        <v>90</v>
      </c>
      <c r="K33" s="106">
        <v>11030750001</v>
      </c>
      <c r="L33" s="103">
        <v>7933.0500000000502</v>
      </c>
    </row>
    <row r="34" spans="2:12" x14ac:dyDescent="0.25">
      <c r="B34" s="120" t="s">
        <v>240</v>
      </c>
      <c r="C34" s="114" t="s">
        <v>1654</v>
      </c>
      <c r="D34" s="115" t="s">
        <v>18</v>
      </c>
      <c r="E34" s="115" t="s">
        <v>73</v>
      </c>
      <c r="F34" s="71">
        <v>11040140001</v>
      </c>
      <c r="G34" s="127" t="s">
        <v>39</v>
      </c>
      <c r="H34" s="117">
        <v>101.7</v>
      </c>
      <c r="K34" s="106">
        <v>11030760001</v>
      </c>
      <c r="L34" s="103">
        <v>35.659999999998035</v>
      </c>
    </row>
    <row r="35" spans="2:12" x14ac:dyDescent="0.25">
      <c r="B35" s="113" t="s">
        <v>50</v>
      </c>
      <c r="C35" s="114" t="s">
        <v>1538</v>
      </c>
      <c r="D35" s="115" t="s">
        <v>18</v>
      </c>
      <c r="E35" s="115" t="s">
        <v>51</v>
      </c>
      <c r="F35" s="71">
        <v>11040170001</v>
      </c>
      <c r="G35" s="127" t="s">
        <v>1816</v>
      </c>
      <c r="H35" s="117">
        <v>1598.44</v>
      </c>
      <c r="K35" s="106">
        <v>11030770001</v>
      </c>
      <c r="L35" s="103">
        <v>3297.7499999999927</v>
      </c>
    </row>
    <row r="36" spans="2:12" x14ac:dyDescent="0.25">
      <c r="B36" s="120" t="s">
        <v>406</v>
      </c>
      <c r="C36" s="114" t="s">
        <v>407</v>
      </c>
      <c r="D36" s="115" t="s">
        <v>18</v>
      </c>
      <c r="E36" s="115" t="s">
        <v>157</v>
      </c>
      <c r="F36" s="71">
        <v>11040040001</v>
      </c>
      <c r="G36" s="123" t="s">
        <v>20</v>
      </c>
      <c r="H36" s="117">
        <v>1499</v>
      </c>
      <c r="K36" s="106">
        <v>11030780001</v>
      </c>
      <c r="L36" s="103">
        <v>1763.51</v>
      </c>
    </row>
    <row r="37" spans="2:12" x14ac:dyDescent="0.25">
      <c r="B37" s="120" t="s">
        <v>289</v>
      </c>
      <c r="C37" s="114" t="s">
        <v>1797</v>
      </c>
      <c r="D37" s="115" t="s">
        <v>18</v>
      </c>
      <c r="E37" s="115" t="s">
        <v>290</v>
      </c>
      <c r="F37" s="71">
        <v>11062740001</v>
      </c>
      <c r="G37" s="127" t="s">
        <v>20</v>
      </c>
      <c r="H37" s="117">
        <v>2471</v>
      </c>
      <c r="K37" s="106">
        <v>11030790001</v>
      </c>
      <c r="L37" s="103">
        <v>7628.05</v>
      </c>
    </row>
    <row r="38" spans="2:12" x14ac:dyDescent="0.25">
      <c r="B38" s="120" t="s">
        <v>655</v>
      </c>
      <c r="C38" s="114" t="s">
        <v>656</v>
      </c>
      <c r="D38" s="115" t="s">
        <v>18</v>
      </c>
      <c r="E38" s="115" t="s">
        <v>64</v>
      </c>
      <c r="F38" s="71">
        <v>11030840001</v>
      </c>
      <c r="G38" s="127" t="s">
        <v>65</v>
      </c>
      <c r="H38" s="117">
        <v>995.14</v>
      </c>
      <c r="K38" s="106">
        <v>11030800001</v>
      </c>
      <c r="L38" s="103">
        <v>1025.260000000002</v>
      </c>
    </row>
    <row r="39" spans="2:12" x14ac:dyDescent="0.25">
      <c r="B39" s="120" t="s">
        <v>565</v>
      </c>
      <c r="C39" s="114" t="s">
        <v>566</v>
      </c>
      <c r="D39" s="115" t="s">
        <v>18</v>
      </c>
      <c r="E39" s="115" t="s">
        <v>203</v>
      </c>
      <c r="F39" s="71">
        <v>11030790001</v>
      </c>
      <c r="G39" s="127" t="s">
        <v>30</v>
      </c>
      <c r="H39" s="117">
        <v>1985.24</v>
      </c>
      <c r="K39" s="106">
        <v>11030810001</v>
      </c>
      <c r="L39" s="103">
        <v>796.06</v>
      </c>
    </row>
    <row r="40" spans="2:12" x14ac:dyDescent="0.25">
      <c r="B40" s="120" t="s">
        <v>600</v>
      </c>
      <c r="C40" s="114" t="s">
        <v>601</v>
      </c>
      <c r="D40" s="115" t="s">
        <v>18</v>
      </c>
      <c r="E40" s="115" t="s">
        <v>73</v>
      </c>
      <c r="F40" s="71">
        <v>11040140001</v>
      </c>
      <c r="G40" s="127" t="s">
        <v>39</v>
      </c>
      <c r="H40" s="117">
        <v>16.89</v>
      </c>
      <c r="K40" s="106">
        <v>11030820001</v>
      </c>
      <c r="L40" s="103">
        <v>1994</v>
      </c>
    </row>
    <row r="41" spans="2:12" x14ac:dyDescent="0.25">
      <c r="B41" s="120" t="s">
        <v>632</v>
      </c>
      <c r="C41" s="114" t="s">
        <v>633</v>
      </c>
      <c r="D41" s="115" t="s">
        <v>18</v>
      </c>
      <c r="E41" s="115" t="s">
        <v>634</v>
      </c>
      <c r="F41" s="71">
        <v>11030260001</v>
      </c>
      <c r="G41" s="127" t="s">
        <v>24</v>
      </c>
      <c r="H41" s="117">
        <v>9996.7800000000007</v>
      </c>
      <c r="K41" s="106">
        <v>11030830001</v>
      </c>
      <c r="L41" s="103">
        <v>6924.38</v>
      </c>
    </row>
    <row r="42" spans="2:12" x14ac:dyDescent="0.25">
      <c r="B42" s="120" t="s">
        <v>777</v>
      </c>
      <c r="C42" s="114" t="s">
        <v>778</v>
      </c>
      <c r="D42" s="115" t="s">
        <v>18</v>
      </c>
      <c r="E42" s="115" t="s">
        <v>453</v>
      </c>
      <c r="F42" s="71">
        <v>11062640001</v>
      </c>
      <c r="G42" s="127" t="s">
        <v>65</v>
      </c>
      <c r="H42" s="117">
        <v>1190.5100000000305</v>
      </c>
      <c r="K42" s="106">
        <v>11030840001</v>
      </c>
      <c r="L42" s="103">
        <v>3987.91</v>
      </c>
    </row>
    <row r="43" spans="2:12" x14ac:dyDescent="0.25">
      <c r="B43" s="121" t="s">
        <v>400</v>
      </c>
      <c r="C43" s="122" t="s">
        <v>401</v>
      </c>
      <c r="D43" s="115" t="s">
        <v>18</v>
      </c>
      <c r="E43" s="123" t="s">
        <v>267</v>
      </c>
      <c r="F43" s="71">
        <v>11080170001</v>
      </c>
      <c r="G43" s="127" t="s">
        <v>65</v>
      </c>
      <c r="H43" s="117">
        <v>1830.6900000000023</v>
      </c>
      <c r="K43" s="106">
        <v>11030850001</v>
      </c>
      <c r="L43" s="103">
        <v>3490.8599999999897</v>
      </c>
    </row>
    <row r="44" spans="2:12" x14ac:dyDescent="0.25">
      <c r="B44" s="121" t="s">
        <v>165</v>
      </c>
      <c r="C44" s="122" t="s">
        <v>1586</v>
      </c>
      <c r="D44" s="115" t="s">
        <v>18</v>
      </c>
      <c r="E44" s="123" t="s">
        <v>166</v>
      </c>
      <c r="F44" s="71">
        <v>11061870001</v>
      </c>
      <c r="G44" s="123" t="s">
        <v>136</v>
      </c>
      <c r="H44" s="117">
        <v>4099.3900000000003</v>
      </c>
      <c r="K44" s="106">
        <v>11030860001</v>
      </c>
      <c r="L44" s="103">
        <v>1711.63</v>
      </c>
    </row>
    <row r="45" spans="2:12" x14ac:dyDescent="0.25">
      <c r="B45" s="134" t="s">
        <v>138</v>
      </c>
      <c r="C45" s="135" t="s">
        <v>1588</v>
      </c>
      <c r="D45" s="136" t="s">
        <v>18</v>
      </c>
      <c r="E45" s="137" t="s">
        <v>139</v>
      </c>
      <c r="F45" s="137">
        <v>11061940001</v>
      </c>
      <c r="G45" s="137" t="s">
        <v>30</v>
      </c>
      <c r="H45" s="141">
        <v>599.99999999999989</v>
      </c>
      <c r="K45" s="106">
        <v>11030870001</v>
      </c>
      <c r="L45" s="103">
        <v>3829.0099999999943</v>
      </c>
    </row>
    <row r="46" spans="2:12" x14ac:dyDescent="0.25">
      <c r="B46" s="120" t="s">
        <v>294</v>
      </c>
      <c r="C46" s="114" t="s">
        <v>1501</v>
      </c>
      <c r="D46" s="115" t="s">
        <v>18</v>
      </c>
      <c r="E46" s="115" t="s">
        <v>295</v>
      </c>
      <c r="F46" s="71">
        <v>11061430001</v>
      </c>
      <c r="G46" s="123" t="s">
        <v>20</v>
      </c>
      <c r="H46" s="117">
        <v>3098.640000000039</v>
      </c>
      <c r="K46" s="106">
        <v>11030890001</v>
      </c>
      <c r="L46" s="103">
        <v>6172.3200000000015</v>
      </c>
    </row>
    <row r="47" spans="2:12" x14ac:dyDescent="0.25">
      <c r="B47" s="120" t="s">
        <v>276</v>
      </c>
      <c r="C47" s="114" t="s">
        <v>1794</v>
      </c>
      <c r="D47" s="115" t="s">
        <v>18</v>
      </c>
      <c r="E47" s="115" t="s">
        <v>69</v>
      </c>
      <c r="F47" s="71">
        <v>11030600001</v>
      </c>
      <c r="G47" s="127" t="s">
        <v>34</v>
      </c>
      <c r="H47" s="117">
        <v>1785.0200000000841</v>
      </c>
      <c r="K47" s="106">
        <v>11030900001</v>
      </c>
      <c r="L47" s="103">
        <v>985.03</v>
      </c>
    </row>
    <row r="48" spans="2:12" x14ac:dyDescent="0.25">
      <c r="B48" s="120" t="s">
        <v>134</v>
      </c>
      <c r="C48" s="114" t="s">
        <v>1505</v>
      </c>
      <c r="D48" s="115" t="s">
        <v>18</v>
      </c>
      <c r="E48" s="115" t="s">
        <v>135</v>
      </c>
      <c r="F48" s="71">
        <v>11080220001</v>
      </c>
      <c r="G48" s="127" t="s">
        <v>136</v>
      </c>
      <c r="H48" s="117">
        <v>341.89999999999418</v>
      </c>
      <c r="K48" s="106">
        <v>11040040001</v>
      </c>
      <c r="L48" s="103">
        <v>11225.779999999995</v>
      </c>
    </row>
    <row r="49" spans="2:12" x14ac:dyDescent="0.25">
      <c r="B49" s="121" t="s">
        <v>186</v>
      </c>
      <c r="C49" s="122" t="s">
        <v>1783</v>
      </c>
      <c r="D49" s="115" t="s">
        <v>18</v>
      </c>
      <c r="E49" s="123" t="s">
        <v>187</v>
      </c>
      <c r="F49" s="71">
        <v>11030870001</v>
      </c>
      <c r="G49" s="127" t="s">
        <v>78</v>
      </c>
      <c r="H49" s="117">
        <v>931.06999999999437</v>
      </c>
      <c r="K49" s="106">
        <v>11040130001</v>
      </c>
      <c r="L49" s="103">
        <v>2883.3300000000022</v>
      </c>
    </row>
    <row r="50" spans="2:12" x14ac:dyDescent="0.25">
      <c r="B50" s="121" t="s">
        <v>257</v>
      </c>
      <c r="C50" s="122" t="s">
        <v>1681</v>
      </c>
      <c r="D50" s="115" t="s">
        <v>18</v>
      </c>
      <c r="E50" s="123" t="s">
        <v>258</v>
      </c>
      <c r="F50" s="71">
        <v>11030710001</v>
      </c>
      <c r="G50" s="127" t="s">
        <v>30</v>
      </c>
      <c r="H50" s="117">
        <v>477.9200000000493</v>
      </c>
      <c r="K50" s="106">
        <v>11040140001</v>
      </c>
      <c r="L50" s="103">
        <v>577.92999999999972</v>
      </c>
    </row>
    <row r="51" spans="2:12" x14ac:dyDescent="0.25">
      <c r="B51" s="121" t="s">
        <v>499</v>
      </c>
      <c r="C51" s="122" t="s">
        <v>500</v>
      </c>
      <c r="D51" s="115" t="s">
        <v>18</v>
      </c>
      <c r="E51" s="123" t="s">
        <v>203</v>
      </c>
      <c r="F51" s="71">
        <v>11030790001</v>
      </c>
      <c r="G51" s="123" t="s">
        <v>30</v>
      </c>
      <c r="H51" s="117">
        <v>3149.93</v>
      </c>
      <c r="K51" s="106">
        <v>11040160001</v>
      </c>
      <c r="L51" s="103">
        <v>4539.7999999999984</v>
      </c>
    </row>
    <row r="52" spans="2:12" x14ac:dyDescent="0.25">
      <c r="B52" s="120" t="s">
        <v>490</v>
      </c>
      <c r="C52" s="114" t="s">
        <v>491</v>
      </c>
      <c r="D52" s="115" t="s">
        <v>18</v>
      </c>
      <c r="E52" s="115" t="s">
        <v>116</v>
      </c>
      <c r="F52" s="71">
        <v>11030850001</v>
      </c>
      <c r="G52" s="123" t="s">
        <v>20</v>
      </c>
      <c r="H52" s="117">
        <v>85.039999999993526</v>
      </c>
      <c r="K52" s="106">
        <v>11040170001</v>
      </c>
      <c r="L52" s="103">
        <v>4477.7499999999991</v>
      </c>
    </row>
    <row r="53" spans="2:12" x14ac:dyDescent="0.25">
      <c r="B53" s="121" t="s">
        <v>451</v>
      </c>
      <c r="C53" s="122" t="s">
        <v>452</v>
      </c>
      <c r="D53" s="115" t="s">
        <v>18</v>
      </c>
      <c r="E53" s="123" t="s">
        <v>453</v>
      </c>
      <c r="F53" s="71">
        <v>11062640001</v>
      </c>
      <c r="G53" s="127" t="s">
        <v>65</v>
      </c>
      <c r="H53" s="117">
        <v>1134.3599999999969</v>
      </c>
      <c r="K53" s="106">
        <v>11060710001</v>
      </c>
      <c r="L53" s="103">
        <v>3331.2100000000351</v>
      </c>
    </row>
    <row r="54" spans="2:12" x14ac:dyDescent="0.25">
      <c r="B54" s="120" t="s">
        <v>154</v>
      </c>
      <c r="C54" s="114" t="s">
        <v>1577</v>
      </c>
      <c r="D54" s="115" t="s">
        <v>18</v>
      </c>
      <c r="E54" s="115" t="s">
        <v>155</v>
      </c>
      <c r="F54" s="71">
        <v>11030580001</v>
      </c>
      <c r="G54" s="123" t="s">
        <v>34</v>
      </c>
      <c r="H54" s="117">
        <v>35.630000000001019</v>
      </c>
      <c r="K54" s="106">
        <v>11061390001</v>
      </c>
      <c r="L54" s="103">
        <v>2695.27</v>
      </c>
    </row>
    <row r="55" spans="2:12" x14ac:dyDescent="0.25">
      <c r="B55" s="120" t="s">
        <v>497</v>
      </c>
      <c r="C55" s="114" t="s">
        <v>498</v>
      </c>
      <c r="D55" s="115" t="s">
        <v>18</v>
      </c>
      <c r="E55" s="115" t="s">
        <v>77</v>
      </c>
      <c r="F55" s="71">
        <v>11060710001</v>
      </c>
      <c r="G55" s="127" t="s">
        <v>78</v>
      </c>
      <c r="H55" s="117">
        <v>3331.2100000000351</v>
      </c>
      <c r="K55" s="106">
        <v>11061400001</v>
      </c>
      <c r="L55" s="103">
        <v>2155.12</v>
      </c>
    </row>
    <row r="56" spans="2:12" x14ac:dyDescent="0.25">
      <c r="B56" s="121" t="s">
        <v>577</v>
      </c>
      <c r="C56" s="122" t="s">
        <v>578</v>
      </c>
      <c r="D56" s="115" t="s">
        <v>18</v>
      </c>
      <c r="E56" s="123" t="s">
        <v>124</v>
      </c>
      <c r="F56" s="71">
        <v>11030750001</v>
      </c>
      <c r="G56" s="127" t="s">
        <v>65</v>
      </c>
      <c r="H56" s="117">
        <v>1919.5900000000511</v>
      </c>
      <c r="K56" s="106">
        <v>11061430001</v>
      </c>
      <c r="L56" s="103">
        <v>3247.5600000000336</v>
      </c>
    </row>
    <row r="57" spans="2:12" x14ac:dyDescent="0.25">
      <c r="B57" s="120" t="s">
        <v>92</v>
      </c>
      <c r="C57" s="114" t="s">
        <v>93</v>
      </c>
      <c r="D57" s="115" t="s">
        <v>18</v>
      </c>
      <c r="E57" s="115" t="s">
        <v>19</v>
      </c>
      <c r="F57" s="71">
        <v>11030290001</v>
      </c>
      <c r="G57" s="123" t="s">
        <v>20</v>
      </c>
      <c r="H57" s="117">
        <v>5500</v>
      </c>
      <c r="K57" s="106">
        <v>11061480001</v>
      </c>
      <c r="L57" s="103">
        <v>2193.9699999999998</v>
      </c>
    </row>
    <row r="58" spans="2:12" x14ac:dyDescent="0.25">
      <c r="B58" s="120" t="s">
        <v>726</v>
      </c>
      <c r="C58" s="114" t="s">
        <v>727</v>
      </c>
      <c r="D58" s="115" t="s">
        <v>18</v>
      </c>
      <c r="E58" s="115" t="s">
        <v>487</v>
      </c>
      <c r="F58" s="71">
        <v>11030890001</v>
      </c>
      <c r="G58" s="127" t="s">
        <v>24</v>
      </c>
      <c r="H58" s="117">
        <v>1228.3200000000015</v>
      </c>
      <c r="K58" s="106">
        <v>11061490001</v>
      </c>
      <c r="L58" s="103">
        <v>998.25</v>
      </c>
    </row>
    <row r="59" spans="2:12" x14ac:dyDescent="0.25">
      <c r="B59" s="131" t="s">
        <v>52</v>
      </c>
      <c r="C59" s="122" t="s">
        <v>1766</v>
      </c>
      <c r="D59" s="115" t="s">
        <v>18</v>
      </c>
      <c r="E59" s="123" t="s">
        <v>53</v>
      </c>
      <c r="F59" s="71">
        <v>11061480001</v>
      </c>
      <c r="G59" s="127" t="s">
        <v>24</v>
      </c>
      <c r="H59" s="117">
        <v>1784.07</v>
      </c>
      <c r="K59" s="106">
        <v>11061720001</v>
      </c>
      <c r="L59" s="103">
        <v>16735.839999999956</v>
      </c>
    </row>
    <row r="60" spans="2:12" x14ac:dyDescent="0.25">
      <c r="B60" s="120" t="s">
        <v>736</v>
      </c>
      <c r="C60" s="114" t="s">
        <v>737</v>
      </c>
      <c r="D60" s="115" t="s">
        <v>18</v>
      </c>
      <c r="E60" s="115" t="s">
        <v>51</v>
      </c>
      <c r="F60" s="71">
        <v>11040170001</v>
      </c>
      <c r="G60" s="123" t="s">
        <v>1816</v>
      </c>
      <c r="H60" s="117">
        <v>7.0000000000000639</v>
      </c>
      <c r="K60" s="106">
        <v>11061770001</v>
      </c>
      <c r="L60" s="103">
        <v>156.51000000000013</v>
      </c>
    </row>
    <row r="61" spans="2:12" x14ac:dyDescent="0.25">
      <c r="B61" s="96" t="s">
        <v>17</v>
      </c>
      <c r="C61" s="71" t="s">
        <v>1494</v>
      </c>
      <c r="D61" s="115" t="s">
        <v>18</v>
      </c>
      <c r="E61" s="71" t="s">
        <v>19</v>
      </c>
      <c r="F61" s="71">
        <v>11030290001</v>
      </c>
      <c r="G61" s="123" t="s">
        <v>20</v>
      </c>
      <c r="H61" s="117">
        <v>9807.41</v>
      </c>
      <c r="K61" s="106">
        <v>11061810001</v>
      </c>
      <c r="L61" s="103">
        <v>247.7</v>
      </c>
    </row>
    <row r="62" spans="2:12" x14ac:dyDescent="0.25">
      <c r="B62" s="120" t="s">
        <v>287</v>
      </c>
      <c r="C62" s="114" t="s">
        <v>1796</v>
      </c>
      <c r="D62" s="115" t="s">
        <v>18</v>
      </c>
      <c r="E62" s="115" t="s">
        <v>51</v>
      </c>
      <c r="F62" s="71">
        <v>11040170001</v>
      </c>
      <c r="G62" s="123" t="s">
        <v>1816</v>
      </c>
      <c r="H62" s="117">
        <v>1761.1399999999999</v>
      </c>
      <c r="K62" s="106">
        <v>11061820001</v>
      </c>
      <c r="L62" s="103">
        <v>534.05000000000075</v>
      </c>
    </row>
    <row r="63" spans="2:12" x14ac:dyDescent="0.25">
      <c r="B63" s="120" t="s">
        <v>153</v>
      </c>
      <c r="C63" s="114" t="s">
        <v>1500</v>
      </c>
      <c r="D63" s="115" t="s">
        <v>18</v>
      </c>
      <c r="E63" s="115" t="s">
        <v>19</v>
      </c>
      <c r="F63" s="71">
        <v>11030290001</v>
      </c>
      <c r="G63" s="123" t="s">
        <v>20</v>
      </c>
      <c r="H63" s="117">
        <v>3993.64</v>
      </c>
      <c r="K63" s="106">
        <v>11061860001</v>
      </c>
      <c r="L63" s="103">
        <v>4991.3</v>
      </c>
    </row>
    <row r="64" spans="2:12" x14ac:dyDescent="0.25">
      <c r="B64" s="120" t="s">
        <v>217</v>
      </c>
      <c r="C64" s="114" t="s">
        <v>1542</v>
      </c>
      <c r="D64" s="115" t="s">
        <v>18</v>
      </c>
      <c r="E64" s="115" t="s">
        <v>49</v>
      </c>
      <c r="F64" s="71">
        <v>11040160001</v>
      </c>
      <c r="G64" s="127" t="s">
        <v>27</v>
      </c>
      <c r="H64" s="117">
        <v>1394.37</v>
      </c>
      <c r="K64" s="106">
        <v>11061870001</v>
      </c>
      <c r="L64" s="103">
        <v>4099.3900000000003</v>
      </c>
    </row>
    <row r="65" spans="2:12" x14ac:dyDescent="0.25">
      <c r="B65" s="121" t="s">
        <v>433</v>
      </c>
      <c r="C65" s="122" t="s">
        <v>434</v>
      </c>
      <c r="D65" s="115" t="s">
        <v>18</v>
      </c>
      <c r="E65" s="123" t="s">
        <v>315</v>
      </c>
      <c r="F65" s="71">
        <v>11080370001</v>
      </c>
      <c r="G65" s="123" t="s">
        <v>30</v>
      </c>
      <c r="H65" s="117">
        <v>2154.4299999999985</v>
      </c>
      <c r="K65" s="106">
        <v>11061890001</v>
      </c>
      <c r="L65" s="103">
        <v>389.57000000000335</v>
      </c>
    </row>
    <row r="66" spans="2:12" x14ac:dyDescent="0.25">
      <c r="B66" s="120" t="s">
        <v>644</v>
      </c>
      <c r="C66" s="114" t="s">
        <v>645</v>
      </c>
      <c r="D66" s="115" t="s">
        <v>18</v>
      </c>
      <c r="E66" s="115" t="s">
        <v>329</v>
      </c>
      <c r="F66" s="71">
        <v>11010420001</v>
      </c>
      <c r="G66" s="123" t="s">
        <v>65</v>
      </c>
      <c r="H66" s="117">
        <v>158.98000000000039</v>
      </c>
      <c r="K66" s="106">
        <v>11061940001</v>
      </c>
      <c r="L66" s="103">
        <v>599.99999999999989</v>
      </c>
    </row>
    <row r="67" spans="2:12" x14ac:dyDescent="0.25">
      <c r="B67" s="121" t="s">
        <v>625</v>
      </c>
      <c r="C67" s="122" t="s">
        <v>626</v>
      </c>
      <c r="D67" s="115" t="s">
        <v>18</v>
      </c>
      <c r="E67" s="123" t="s">
        <v>179</v>
      </c>
      <c r="F67" s="71">
        <v>11030590001</v>
      </c>
      <c r="G67" s="127" t="s">
        <v>34</v>
      </c>
      <c r="H67" s="117">
        <v>2156.34</v>
      </c>
      <c r="K67" s="106">
        <v>11061950001</v>
      </c>
      <c r="L67" s="103">
        <v>478.49</v>
      </c>
    </row>
    <row r="68" spans="2:12" x14ac:dyDescent="0.25">
      <c r="B68" s="121" t="s">
        <v>695</v>
      </c>
      <c r="C68" s="122" t="s">
        <v>696</v>
      </c>
      <c r="D68" s="115" t="s">
        <v>18</v>
      </c>
      <c r="E68" s="123" t="s">
        <v>322</v>
      </c>
      <c r="F68" s="71">
        <v>11010400001</v>
      </c>
      <c r="G68" s="123" t="s">
        <v>20</v>
      </c>
      <c r="H68" s="117">
        <v>2890.88</v>
      </c>
      <c r="K68" s="106">
        <v>11061980001</v>
      </c>
      <c r="L68" s="103">
        <v>368.09999999999985</v>
      </c>
    </row>
    <row r="69" spans="2:12" x14ac:dyDescent="0.25">
      <c r="B69" s="120" t="s">
        <v>550</v>
      </c>
      <c r="C69" s="114" t="s">
        <v>551</v>
      </c>
      <c r="D69" s="115" t="s">
        <v>18</v>
      </c>
      <c r="E69" s="115" t="s">
        <v>19</v>
      </c>
      <c r="F69" s="71">
        <v>11030290001</v>
      </c>
      <c r="G69" s="123" t="s">
        <v>20</v>
      </c>
      <c r="H69" s="117">
        <v>4994.37</v>
      </c>
      <c r="K69" s="106">
        <v>11062020001</v>
      </c>
      <c r="L69" s="103">
        <v>155.36000000000035</v>
      </c>
    </row>
    <row r="70" spans="2:12" x14ac:dyDescent="0.25">
      <c r="B70" s="120" t="s">
        <v>145</v>
      </c>
      <c r="C70" s="114" t="s">
        <v>1507</v>
      </c>
      <c r="D70" s="115" t="s">
        <v>18</v>
      </c>
      <c r="E70" s="115" t="s">
        <v>146</v>
      </c>
      <c r="F70" s="71">
        <v>11030640001</v>
      </c>
      <c r="G70" s="127" t="s">
        <v>65</v>
      </c>
      <c r="H70" s="117">
        <v>4295.1000000000004</v>
      </c>
      <c r="K70" s="106">
        <v>11062050001</v>
      </c>
      <c r="L70" s="103">
        <v>48.39999999999965</v>
      </c>
    </row>
    <row r="71" spans="2:12" x14ac:dyDescent="0.25">
      <c r="B71" s="120" t="s">
        <v>212</v>
      </c>
      <c r="C71" s="114" t="s">
        <v>1544</v>
      </c>
      <c r="D71" s="115" t="s">
        <v>18</v>
      </c>
      <c r="E71" s="115" t="s">
        <v>116</v>
      </c>
      <c r="F71" s="71">
        <v>11030850001</v>
      </c>
      <c r="G71" s="127" t="s">
        <v>20</v>
      </c>
      <c r="H71" s="117">
        <v>1407.8199999999961</v>
      </c>
      <c r="K71" s="106">
        <v>11062110001</v>
      </c>
      <c r="L71" s="103">
        <v>160</v>
      </c>
    </row>
    <row r="72" spans="2:12" x14ac:dyDescent="0.25">
      <c r="B72" s="121" t="s">
        <v>56</v>
      </c>
      <c r="C72" s="122" t="s">
        <v>1574</v>
      </c>
      <c r="D72" s="115" t="s">
        <v>18</v>
      </c>
      <c r="E72" s="123" t="s">
        <v>49</v>
      </c>
      <c r="F72" s="71">
        <v>11040160001</v>
      </c>
      <c r="G72" s="127" t="s">
        <v>27</v>
      </c>
      <c r="H72" s="117">
        <v>4.8899999999975083</v>
      </c>
      <c r="K72" s="106">
        <v>11062160001</v>
      </c>
      <c r="L72" s="103">
        <v>593.33000000000004</v>
      </c>
    </row>
    <row r="73" spans="2:12" x14ac:dyDescent="0.25">
      <c r="B73" s="121" t="s">
        <v>367</v>
      </c>
      <c r="C73" s="122" t="s">
        <v>1808</v>
      </c>
      <c r="D73" s="115" t="s">
        <v>18</v>
      </c>
      <c r="E73" s="123" t="s">
        <v>150</v>
      </c>
      <c r="F73" s="71">
        <v>11030570001</v>
      </c>
      <c r="G73" s="123" t="s">
        <v>34</v>
      </c>
      <c r="H73" s="117">
        <v>2790.79</v>
      </c>
      <c r="K73" s="106">
        <v>11062270001</v>
      </c>
      <c r="L73" s="103">
        <v>1499.47</v>
      </c>
    </row>
    <row r="74" spans="2:12" x14ac:dyDescent="0.25">
      <c r="B74" s="121" t="s">
        <v>738</v>
      </c>
      <c r="C74" s="122" t="s">
        <v>739</v>
      </c>
      <c r="D74" s="115" t="s">
        <v>18</v>
      </c>
      <c r="E74" s="123" t="s">
        <v>334</v>
      </c>
      <c r="F74" s="71">
        <v>11030770001</v>
      </c>
      <c r="G74" s="123" t="s">
        <v>24</v>
      </c>
      <c r="H74" s="117">
        <v>1333.7499999999927</v>
      </c>
      <c r="K74" s="106">
        <v>11062280001</v>
      </c>
      <c r="L74" s="103">
        <v>1461.25</v>
      </c>
    </row>
    <row r="75" spans="2:12" x14ac:dyDescent="0.25">
      <c r="B75" s="121" t="s">
        <v>485</v>
      </c>
      <c r="C75" s="122" t="s">
        <v>486</v>
      </c>
      <c r="D75" s="115" t="s">
        <v>18</v>
      </c>
      <c r="E75" s="123" t="s">
        <v>487</v>
      </c>
      <c r="F75" s="71">
        <v>11030890001</v>
      </c>
      <c r="G75" s="127" t="s">
        <v>24</v>
      </c>
      <c r="H75" s="117">
        <v>4944</v>
      </c>
      <c r="K75" s="106">
        <v>11062350001</v>
      </c>
      <c r="L75" s="103">
        <v>1731.83</v>
      </c>
    </row>
    <row r="76" spans="2:12" x14ac:dyDescent="0.25">
      <c r="B76" s="120" t="s">
        <v>271</v>
      </c>
      <c r="C76" s="114" t="s">
        <v>1606</v>
      </c>
      <c r="D76" s="115" t="s">
        <v>18</v>
      </c>
      <c r="E76" s="115" t="s">
        <v>245</v>
      </c>
      <c r="F76" s="71">
        <v>11030760001</v>
      </c>
      <c r="G76" s="127" t="s">
        <v>65</v>
      </c>
      <c r="H76" s="117">
        <v>34.999999999998181</v>
      </c>
      <c r="K76" s="106">
        <v>11062450001</v>
      </c>
      <c r="L76" s="103">
        <v>1563.3899999999999</v>
      </c>
    </row>
    <row r="77" spans="2:12" x14ac:dyDescent="0.25">
      <c r="B77" s="120" t="s">
        <v>408</v>
      </c>
      <c r="C77" s="114" t="s">
        <v>409</v>
      </c>
      <c r="D77" s="115" t="s">
        <v>18</v>
      </c>
      <c r="E77" s="115" t="s">
        <v>97</v>
      </c>
      <c r="F77" s="71">
        <v>11010370001</v>
      </c>
      <c r="G77" s="127" t="s">
        <v>30</v>
      </c>
      <c r="H77" s="117">
        <v>662.07000000000016</v>
      </c>
      <c r="K77" s="106">
        <v>11062630001</v>
      </c>
      <c r="L77" s="103">
        <v>638.56000000000006</v>
      </c>
    </row>
    <row r="78" spans="2:12" x14ac:dyDescent="0.25">
      <c r="B78" s="121" t="s">
        <v>763</v>
      </c>
      <c r="C78" s="122" t="s">
        <v>764</v>
      </c>
      <c r="D78" s="115" t="s">
        <v>18</v>
      </c>
      <c r="E78" s="123" t="s">
        <v>135</v>
      </c>
      <c r="F78" s="71">
        <v>11080220001</v>
      </c>
      <c r="G78" s="127" t="s">
        <v>136</v>
      </c>
      <c r="H78" s="117">
        <v>3158.1000000000022</v>
      </c>
      <c r="K78" s="106">
        <v>11062640001</v>
      </c>
      <c r="L78" s="103">
        <v>2324.8700000000272</v>
      </c>
    </row>
    <row r="79" spans="2:12" x14ac:dyDescent="0.25">
      <c r="B79" s="121" t="s">
        <v>472</v>
      </c>
      <c r="C79" s="122" t="s">
        <v>473</v>
      </c>
      <c r="D79" s="115" t="s">
        <v>18</v>
      </c>
      <c r="E79" s="123" t="s">
        <v>51</v>
      </c>
      <c r="F79" s="71">
        <v>11040170001</v>
      </c>
      <c r="G79" s="123" t="s">
        <v>1816</v>
      </c>
      <c r="H79" s="117">
        <v>907.17</v>
      </c>
      <c r="K79" s="106">
        <v>11062650001</v>
      </c>
      <c r="L79" s="103">
        <v>1434.36</v>
      </c>
    </row>
    <row r="80" spans="2:12" x14ac:dyDescent="0.25">
      <c r="B80" s="121" t="s">
        <v>254</v>
      </c>
      <c r="C80" s="122" t="s">
        <v>1791</v>
      </c>
      <c r="D80" s="115" t="s">
        <v>18</v>
      </c>
      <c r="E80" s="123" t="s">
        <v>187</v>
      </c>
      <c r="F80" s="71">
        <v>11030870001</v>
      </c>
      <c r="G80" s="123" t="s">
        <v>78</v>
      </c>
      <c r="H80" s="117">
        <v>968.08</v>
      </c>
      <c r="K80" s="106">
        <v>11062660001</v>
      </c>
      <c r="L80" s="103">
        <v>746.4</v>
      </c>
    </row>
    <row r="81" spans="2:12" x14ac:dyDescent="0.25">
      <c r="B81" s="121" t="s">
        <v>511</v>
      </c>
      <c r="C81" s="122" t="s">
        <v>512</v>
      </c>
      <c r="D81" s="115" t="s">
        <v>18</v>
      </c>
      <c r="E81" s="123" t="s">
        <v>146</v>
      </c>
      <c r="F81" s="71">
        <v>11030640001</v>
      </c>
      <c r="G81" s="123" t="s">
        <v>65</v>
      </c>
      <c r="H81" s="117">
        <v>99.979999999998654</v>
      </c>
      <c r="K81" s="106">
        <v>11062670001</v>
      </c>
      <c r="L81" s="103">
        <v>589.27000000000044</v>
      </c>
    </row>
    <row r="82" spans="2:12" x14ac:dyDescent="0.25">
      <c r="B82" s="121" t="s">
        <v>131</v>
      </c>
      <c r="C82" s="122" t="s">
        <v>1589</v>
      </c>
      <c r="D82" s="115" t="s">
        <v>18</v>
      </c>
      <c r="E82" s="123" t="s">
        <v>132</v>
      </c>
      <c r="F82" s="71">
        <v>11061860001</v>
      </c>
      <c r="G82" s="123" t="s">
        <v>78</v>
      </c>
      <c r="H82" s="117">
        <v>4991.3</v>
      </c>
      <c r="K82" s="106">
        <v>11062740001</v>
      </c>
      <c r="L82" s="103">
        <v>2471</v>
      </c>
    </row>
    <row r="83" spans="2:12" x14ac:dyDescent="0.25">
      <c r="B83" s="121" t="s">
        <v>707</v>
      </c>
      <c r="C83" s="122" t="s">
        <v>708</v>
      </c>
      <c r="D83" s="115" t="s">
        <v>18</v>
      </c>
      <c r="E83" s="123" t="s">
        <v>561</v>
      </c>
      <c r="F83" s="71">
        <v>11030700001</v>
      </c>
      <c r="G83" s="123" t="s">
        <v>30</v>
      </c>
      <c r="H83" s="117">
        <v>2122.4500000000116</v>
      </c>
      <c r="K83" s="106">
        <v>11062760001</v>
      </c>
      <c r="L83" s="103">
        <v>741.33</v>
      </c>
    </row>
    <row r="84" spans="2:12" x14ac:dyDescent="0.25">
      <c r="B84" s="121" t="s">
        <v>369</v>
      </c>
      <c r="C84" s="122" t="s">
        <v>1810</v>
      </c>
      <c r="D84" s="115" t="s">
        <v>18</v>
      </c>
      <c r="E84" s="123" t="s">
        <v>284</v>
      </c>
      <c r="F84" s="71">
        <v>11010180001</v>
      </c>
      <c r="G84" s="127" t="s">
        <v>30</v>
      </c>
      <c r="H84" s="117">
        <v>332.75</v>
      </c>
      <c r="K84" s="106">
        <v>11062850001</v>
      </c>
      <c r="L84" s="103">
        <v>56</v>
      </c>
    </row>
    <row r="85" spans="2:12" x14ac:dyDescent="0.25">
      <c r="B85" s="120" t="s">
        <v>249</v>
      </c>
      <c r="C85" s="114" t="s">
        <v>1790</v>
      </c>
      <c r="D85" s="115" t="s">
        <v>18</v>
      </c>
      <c r="E85" s="115" t="s">
        <v>250</v>
      </c>
      <c r="F85" s="71">
        <v>11062760001</v>
      </c>
      <c r="G85" s="123" t="s">
        <v>27</v>
      </c>
      <c r="H85" s="117">
        <v>741.33</v>
      </c>
      <c r="K85" s="106">
        <v>11062900001</v>
      </c>
      <c r="L85" s="103">
        <v>1489.9</v>
      </c>
    </row>
    <row r="86" spans="2:12" x14ac:dyDescent="0.25">
      <c r="B86" s="121" t="s">
        <v>372</v>
      </c>
      <c r="C86" s="122" t="s">
        <v>1695</v>
      </c>
      <c r="D86" s="115" t="s">
        <v>18</v>
      </c>
      <c r="E86" s="123" t="s">
        <v>373</v>
      </c>
      <c r="F86" s="71">
        <v>11080230001</v>
      </c>
      <c r="G86" s="127" t="s">
        <v>24</v>
      </c>
      <c r="H86" s="117">
        <v>739.2</v>
      </c>
      <c r="K86" s="106">
        <v>11063040001</v>
      </c>
      <c r="L86" s="103">
        <v>250</v>
      </c>
    </row>
    <row r="87" spans="2:12" x14ac:dyDescent="0.25">
      <c r="B87" s="121" t="s">
        <v>649</v>
      </c>
      <c r="C87" s="122" t="s">
        <v>650</v>
      </c>
      <c r="D87" s="115" t="s">
        <v>18</v>
      </c>
      <c r="E87" s="123" t="s">
        <v>113</v>
      </c>
      <c r="F87" s="71">
        <v>11061720001</v>
      </c>
      <c r="G87" s="123" t="s">
        <v>30</v>
      </c>
      <c r="H87" s="117">
        <v>79.119999999999877</v>
      </c>
      <c r="K87" s="106">
        <v>11080150001</v>
      </c>
      <c r="L87" s="103">
        <v>1494</v>
      </c>
    </row>
    <row r="88" spans="2:12" x14ac:dyDescent="0.25">
      <c r="B88" s="120" t="s">
        <v>233</v>
      </c>
      <c r="C88" s="114" t="s">
        <v>234</v>
      </c>
      <c r="D88" s="115" t="s">
        <v>18</v>
      </c>
      <c r="E88" s="115" t="s">
        <v>113</v>
      </c>
      <c r="F88" s="71">
        <v>11061720001</v>
      </c>
      <c r="G88" s="123" t="s">
        <v>30</v>
      </c>
      <c r="H88" s="117">
        <v>29.900000000000347</v>
      </c>
      <c r="K88" s="106">
        <v>11080170001</v>
      </c>
      <c r="L88" s="103">
        <v>4609.9600000000028</v>
      </c>
    </row>
    <row r="89" spans="2:12" x14ac:dyDescent="0.25">
      <c r="B89" s="121" t="s">
        <v>527</v>
      </c>
      <c r="C89" s="122" t="s">
        <v>528</v>
      </c>
      <c r="D89" s="115" t="s">
        <v>18</v>
      </c>
      <c r="E89" s="123" t="s">
        <v>26</v>
      </c>
      <c r="F89" s="71">
        <v>11030800001</v>
      </c>
      <c r="G89" s="127" t="s">
        <v>27</v>
      </c>
      <c r="H89" s="117">
        <v>260.89999999999918</v>
      </c>
      <c r="K89" s="106">
        <v>11080220001</v>
      </c>
      <c r="L89" s="103">
        <v>3499.9999999999964</v>
      </c>
    </row>
    <row r="90" spans="2:12" x14ac:dyDescent="0.25">
      <c r="B90" s="121" t="s">
        <v>118</v>
      </c>
      <c r="C90" s="122" t="s">
        <v>1773</v>
      </c>
      <c r="D90" s="115" t="s">
        <v>18</v>
      </c>
      <c r="E90" s="123" t="s">
        <v>49</v>
      </c>
      <c r="F90" s="71">
        <v>11040160001</v>
      </c>
      <c r="G90" s="123" t="s">
        <v>27</v>
      </c>
      <c r="H90" s="117">
        <v>335.58999999999924</v>
      </c>
      <c r="K90" s="106">
        <v>11080230001</v>
      </c>
      <c r="L90" s="103">
        <v>739.2</v>
      </c>
    </row>
    <row r="91" spans="2:12" x14ac:dyDescent="0.25">
      <c r="B91" s="120" t="s">
        <v>244</v>
      </c>
      <c r="C91" s="114" t="s">
        <v>1570</v>
      </c>
      <c r="D91" s="115" t="s">
        <v>18</v>
      </c>
      <c r="E91" s="115" t="s">
        <v>245</v>
      </c>
      <c r="F91" s="71">
        <v>11030760001</v>
      </c>
      <c r="G91" s="127" t="s">
        <v>65</v>
      </c>
      <c r="H91" s="117">
        <v>0.65999999999985448</v>
      </c>
      <c r="K91" s="106">
        <v>11080370001</v>
      </c>
      <c r="L91" s="103">
        <v>2154.4299999999985</v>
      </c>
    </row>
    <row r="92" spans="2:12" x14ac:dyDescent="0.25">
      <c r="B92" s="121" t="s">
        <v>117</v>
      </c>
      <c r="C92" s="122" t="s">
        <v>1612</v>
      </c>
      <c r="D92" s="115" t="s">
        <v>18</v>
      </c>
      <c r="E92" s="123" t="s">
        <v>49</v>
      </c>
      <c r="F92" s="71">
        <v>11040160001</v>
      </c>
      <c r="G92" s="127" t="s">
        <v>27</v>
      </c>
      <c r="H92" s="117">
        <v>322.30000000000103</v>
      </c>
      <c r="K92" s="106">
        <v>11080400001</v>
      </c>
      <c r="L92" s="103">
        <v>596.41</v>
      </c>
    </row>
    <row r="93" spans="2:12" x14ac:dyDescent="0.25">
      <c r="B93" s="121" t="s">
        <v>446</v>
      </c>
      <c r="C93" s="122" t="s">
        <v>447</v>
      </c>
      <c r="D93" s="115" t="s">
        <v>18</v>
      </c>
      <c r="E93" s="123" t="s">
        <v>49</v>
      </c>
      <c r="F93" s="71">
        <v>11040160001</v>
      </c>
      <c r="G93" s="127" t="s">
        <v>27</v>
      </c>
      <c r="H93" s="117">
        <v>697</v>
      </c>
      <c r="K93" s="106">
        <v>11080440001</v>
      </c>
      <c r="L93" s="103">
        <v>759.49000000000024</v>
      </c>
    </row>
    <row r="94" spans="2:12" x14ac:dyDescent="0.25">
      <c r="B94" s="121" t="s">
        <v>261</v>
      </c>
      <c r="C94" s="122" t="s">
        <v>1792</v>
      </c>
      <c r="D94" s="115" t="s">
        <v>18</v>
      </c>
      <c r="E94" s="123" t="s">
        <v>113</v>
      </c>
      <c r="F94" s="71">
        <v>11061720001</v>
      </c>
      <c r="G94" s="123" t="s">
        <v>30</v>
      </c>
      <c r="H94" s="117">
        <v>557.22000000000105</v>
      </c>
      <c r="K94" s="106">
        <v>11080500001</v>
      </c>
      <c r="L94" s="103">
        <v>405.7</v>
      </c>
    </row>
    <row r="95" spans="2:12" x14ac:dyDescent="0.25">
      <c r="B95" s="120" t="s">
        <v>514</v>
      </c>
      <c r="C95" s="114" t="s">
        <v>515</v>
      </c>
      <c r="D95" s="115" t="s">
        <v>18</v>
      </c>
      <c r="E95" s="115" t="s">
        <v>295</v>
      </c>
      <c r="F95" s="71">
        <v>11061430001</v>
      </c>
      <c r="G95" s="123" t="s">
        <v>20</v>
      </c>
      <c r="H95" s="117">
        <v>148.91999999999467</v>
      </c>
      <c r="K95" s="106">
        <v>11110340001</v>
      </c>
      <c r="L95" s="103">
        <v>693.14</v>
      </c>
    </row>
    <row r="96" spans="2:12" x14ac:dyDescent="0.25">
      <c r="B96" s="120" t="s">
        <v>519</v>
      </c>
      <c r="C96" s="114" t="s">
        <v>520</v>
      </c>
      <c r="D96" s="115" t="s">
        <v>18</v>
      </c>
      <c r="E96" s="115" t="s">
        <v>146</v>
      </c>
      <c r="F96" s="71">
        <v>11030640001</v>
      </c>
      <c r="G96" s="123" t="s">
        <v>65</v>
      </c>
      <c r="H96" s="117">
        <v>397.66999999999098</v>
      </c>
      <c r="K96" s="106" t="s">
        <v>1470</v>
      </c>
      <c r="L96" s="103">
        <v>231100.01000000018</v>
      </c>
    </row>
    <row r="97" spans="2:8" x14ac:dyDescent="0.25">
      <c r="B97" s="120" t="s">
        <v>745</v>
      </c>
      <c r="C97" s="114" t="s">
        <v>746</v>
      </c>
      <c r="D97" s="115" t="s">
        <v>18</v>
      </c>
      <c r="E97" s="115" t="s">
        <v>747</v>
      </c>
      <c r="F97" s="71">
        <v>11080400001</v>
      </c>
      <c r="G97" s="127" t="s">
        <v>30</v>
      </c>
      <c r="H97" s="117">
        <v>596.41</v>
      </c>
    </row>
    <row r="98" spans="2:8" x14ac:dyDescent="0.25">
      <c r="B98" s="120" t="s">
        <v>314</v>
      </c>
      <c r="C98" s="114" t="s">
        <v>1620</v>
      </c>
      <c r="D98" s="115" t="s">
        <v>18</v>
      </c>
      <c r="E98" s="115" t="s">
        <v>113</v>
      </c>
      <c r="F98" s="71">
        <v>11061720001</v>
      </c>
      <c r="G98" s="127" t="s">
        <v>30</v>
      </c>
      <c r="H98" s="117">
        <v>679.35000000000218</v>
      </c>
    </row>
    <row r="99" spans="2:8" x14ac:dyDescent="0.25">
      <c r="B99" s="120" t="s">
        <v>213</v>
      </c>
      <c r="C99" s="114" t="s">
        <v>1539</v>
      </c>
      <c r="D99" s="115" t="s">
        <v>18</v>
      </c>
      <c r="E99" s="115" t="s">
        <v>26</v>
      </c>
      <c r="F99" s="71">
        <v>11030800001</v>
      </c>
      <c r="G99" s="127" t="s">
        <v>27</v>
      </c>
      <c r="H99" s="117">
        <v>413.94000000000136</v>
      </c>
    </row>
    <row r="100" spans="2:8" x14ac:dyDescent="0.25">
      <c r="B100" s="121" t="s">
        <v>801</v>
      </c>
      <c r="C100" s="122" t="s">
        <v>802</v>
      </c>
      <c r="D100" s="115" t="s">
        <v>18</v>
      </c>
      <c r="E100" s="123" t="s">
        <v>803</v>
      </c>
      <c r="F100" s="71">
        <v>11061390001</v>
      </c>
      <c r="G100" s="127" t="s">
        <v>34</v>
      </c>
      <c r="H100" s="117">
        <v>2695.27</v>
      </c>
    </row>
    <row r="101" spans="2:8" x14ac:dyDescent="0.25">
      <c r="B101" s="121" t="s">
        <v>728</v>
      </c>
      <c r="C101" s="122" t="s">
        <v>729</v>
      </c>
      <c r="D101" s="115" t="s">
        <v>18</v>
      </c>
      <c r="E101" s="123" t="s">
        <v>228</v>
      </c>
      <c r="F101" s="71">
        <v>11062670001</v>
      </c>
      <c r="G101" s="123" t="s">
        <v>65</v>
      </c>
      <c r="H101" s="117">
        <v>268.98000000000047</v>
      </c>
    </row>
    <row r="102" spans="2:8" x14ac:dyDescent="0.25">
      <c r="B102" s="120" t="s">
        <v>479</v>
      </c>
      <c r="C102" s="114" t="s">
        <v>480</v>
      </c>
      <c r="D102" s="115" t="s">
        <v>18</v>
      </c>
      <c r="E102" s="115" t="s">
        <v>160</v>
      </c>
      <c r="F102" s="71">
        <v>11062450001</v>
      </c>
      <c r="G102" s="123" t="s">
        <v>27</v>
      </c>
      <c r="H102" s="117">
        <v>789.69</v>
      </c>
    </row>
    <row r="103" spans="2:8" x14ac:dyDescent="0.25">
      <c r="B103" s="120" t="s">
        <v>351</v>
      </c>
      <c r="C103" s="114" t="s">
        <v>1600</v>
      </c>
      <c r="D103" s="115" t="s">
        <v>18</v>
      </c>
      <c r="E103" s="115" t="s">
        <v>51</v>
      </c>
      <c r="F103" s="71">
        <v>11040170001</v>
      </c>
      <c r="G103" s="127" t="s">
        <v>1816</v>
      </c>
      <c r="H103" s="117">
        <v>203.99999999999909</v>
      </c>
    </row>
    <row r="104" spans="2:8" x14ac:dyDescent="0.25">
      <c r="B104" s="121" t="s">
        <v>283</v>
      </c>
      <c r="C104" s="122" t="s">
        <v>1683</v>
      </c>
      <c r="D104" s="115" t="s">
        <v>18</v>
      </c>
      <c r="E104" s="123" t="s">
        <v>284</v>
      </c>
      <c r="F104" s="71">
        <v>11010180001</v>
      </c>
      <c r="G104" s="123" t="s">
        <v>30</v>
      </c>
      <c r="H104" s="117">
        <v>492.17999999999995</v>
      </c>
    </row>
    <row r="105" spans="2:8" x14ac:dyDescent="0.25">
      <c r="B105" s="120" t="s">
        <v>60</v>
      </c>
      <c r="C105" s="114" t="s">
        <v>1660</v>
      </c>
      <c r="D105" s="115" t="s">
        <v>18</v>
      </c>
      <c r="E105" s="115" t="s">
        <v>61</v>
      </c>
      <c r="F105" s="71">
        <v>11010060001</v>
      </c>
      <c r="G105" s="123" t="s">
        <v>24</v>
      </c>
      <c r="H105" s="117">
        <v>292.57000000000011</v>
      </c>
    </row>
    <row r="106" spans="2:8" x14ac:dyDescent="0.25">
      <c r="B106" s="120" t="s">
        <v>365</v>
      </c>
      <c r="C106" s="114" t="s">
        <v>1495</v>
      </c>
      <c r="D106" s="115" t="s">
        <v>18</v>
      </c>
      <c r="E106" s="115" t="s">
        <v>366</v>
      </c>
      <c r="F106" s="71">
        <v>11030660001</v>
      </c>
      <c r="G106" s="127" t="s">
        <v>27</v>
      </c>
      <c r="H106" s="117">
        <v>3965.01</v>
      </c>
    </row>
    <row r="107" spans="2:8" x14ac:dyDescent="0.25">
      <c r="B107" s="120" t="s">
        <v>156</v>
      </c>
      <c r="C107" s="114" t="s">
        <v>1778</v>
      </c>
      <c r="D107" s="115" t="s">
        <v>18</v>
      </c>
      <c r="E107" s="115" t="s">
        <v>157</v>
      </c>
      <c r="F107" s="71">
        <v>11040040001</v>
      </c>
      <c r="G107" s="127" t="s">
        <v>20</v>
      </c>
      <c r="H107" s="117">
        <v>198.74999999999457</v>
      </c>
    </row>
    <row r="108" spans="2:8" x14ac:dyDescent="0.25">
      <c r="B108" s="134" t="s">
        <v>780</v>
      </c>
      <c r="C108" s="135" t="s">
        <v>781</v>
      </c>
      <c r="D108" s="136" t="s">
        <v>18</v>
      </c>
      <c r="E108" s="137" t="s">
        <v>782</v>
      </c>
      <c r="F108" s="137">
        <v>11062110001</v>
      </c>
      <c r="G108" s="138" t="s">
        <v>30</v>
      </c>
      <c r="H108" s="141">
        <v>160</v>
      </c>
    </row>
    <row r="109" spans="2:8" x14ac:dyDescent="0.25">
      <c r="B109" s="120" t="s">
        <v>384</v>
      </c>
      <c r="C109" s="114" t="s">
        <v>1812</v>
      </c>
      <c r="D109" s="115" t="s">
        <v>18</v>
      </c>
      <c r="E109" s="115" t="s">
        <v>29</v>
      </c>
      <c r="F109" s="71">
        <v>11030860001</v>
      </c>
      <c r="G109" s="123" t="s">
        <v>30</v>
      </c>
      <c r="H109" s="117">
        <v>714.63</v>
      </c>
    </row>
    <row r="110" spans="2:8" x14ac:dyDescent="0.25">
      <c r="B110" s="121" t="s">
        <v>390</v>
      </c>
      <c r="C110" s="122" t="s">
        <v>1551</v>
      </c>
      <c r="D110" s="115" t="s">
        <v>18</v>
      </c>
      <c r="E110" s="123" t="s">
        <v>391</v>
      </c>
      <c r="F110" s="71">
        <v>11062630001</v>
      </c>
      <c r="G110" s="127" t="s">
        <v>30</v>
      </c>
      <c r="H110" s="117">
        <v>490.72</v>
      </c>
    </row>
    <row r="111" spans="2:8" x14ac:dyDescent="0.25">
      <c r="B111" s="120" t="s">
        <v>247</v>
      </c>
      <c r="C111" s="114" t="s">
        <v>1789</v>
      </c>
      <c r="D111" s="115" t="s">
        <v>18</v>
      </c>
      <c r="E111" s="115" t="s">
        <v>228</v>
      </c>
      <c r="F111" s="71">
        <v>11062670001</v>
      </c>
      <c r="G111" s="127" t="s">
        <v>65</v>
      </c>
      <c r="H111" s="117">
        <v>320.29000000000002</v>
      </c>
    </row>
    <row r="112" spans="2:8" x14ac:dyDescent="0.25">
      <c r="B112" s="120" t="s">
        <v>431</v>
      </c>
      <c r="C112" s="114" t="s">
        <v>432</v>
      </c>
      <c r="D112" s="115" t="s">
        <v>18</v>
      </c>
      <c r="E112" s="115" t="s">
        <v>366</v>
      </c>
      <c r="F112" s="71">
        <v>11030660001</v>
      </c>
      <c r="G112" s="127" t="s">
        <v>27</v>
      </c>
      <c r="H112" s="117">
        <v>544.45999999999822</v>
      </c>
    </row>
    <row r="113" spans="2:8" x14ac:dyDescent="0.25">
      <c r="B113" s="121" t="s">
        <v>256</v>
      </c>
      <c r="C113" s="122" t="s">
        <v>1556</v>
      </c>
      <c r="D113" s="115" t="s">
        <v>18</v>
      </c>
      <c r="E113" s="123" t="s">
        <v>157</v>
      </c>
      <c r="F113" s="71">
        <v>11040040001</v>
      </c>
      <c r="G113" s="127" t="s">
        <v>20</v>
      </c>
      <c r="H113" s="117">
        <v>6208.89</v>
      </c>
    </row>
    <row r="114" spans="2:8" x14ac:dyDescent="0.25">
      <c r="B114" s="120" t="s">
        <v>90</v>
      </c>
      <c r="C114" s="114" t="s">
        <v>1622</v>
      </c>
      <c r="D114" s="115" t="s">
        <v>18</v>
      </c>
      <c r="E114" s="115" t="s">
        <v>26</v>
      </c>
      <c r="F114" s="71">
        <v>11030800001</v>
      </c>
      <c r="G114" s="123" t="s">
        <v>27</v>
      </c>
      <c r="H114" s="117">
        <v>350.42000000000144</v>
      </c>
    </row>
    <row r="115" spans="2:8" x14ac:dyDescent="0.25">
      <c r="B115" s="121" t="s">
        <v>793</v>
      </c>
      <c r="C115" s="122" t="s">
        <v>794</v>
      </c>
      <c r="D115" s="115" t="s">
        <v>18</v>
      </c>
      <c r="E115" s="123" t="s">
        <v>1820</v>
      </c>
      <c r="F115" s="71">
        <v>11062900001</v>
      </c>
      <c r="G115" s="127" t="s">
        <v>27</v>
      </c>
      <c r="H115" s="117">
        <v>1489.9</v>
      </c>
    </row>
    <row r="116" spans="2:8" x14ac:dyDescent="0.25">
      <c r="B116" s="120" t="s">
        <v>760</v>
      </c>
      <c r="C116" s="114" t="s">
        <v>761</v>
      </c>
      <c r="D116" s="115" t="s">
        <v>18</v>
      </c>
      <c r="E116" s="115" t="s">
        <v>762</v>
      </c>
      <c r="F116" s="71">
        <v>11080500001</v>
      </c>
      <c r="G116" s="123" t="s">
        <v>24</v>
      </c>
      <c r="H116" s="117">
        <v>405.7</v>
      </c>
    </row>
    <row r="117" spans="2:8" x14ac:dyDescent="0.25">
      <c r="B117" s="120" t="s">
        <v>459</v>
      </c>
      <c r="C117" s="114" t="s">
        <v>460</v>
      </c>
      <c r="D117" s="115" t="s">
        <v>18</v>
      </c>
      <c r="E117" s="115" t="s">
        <v>59</v>
      </c>
      <c r="F117" s="71">
        <v>11080440001</v>
      </c>
      <c r="G117" s="127" t="s">
        <v>30</v>
      </c>
      <c r="H117" s="117">
        <v>332.49000000000024</v>
      </c>
    </row>
    <row r="118" spans="2:8" x14ac:dyDescent="0.25">
      <c r="B118" s="96" t="s">
        <v>32</v>
      </c>
      <c r="C118" s="71" t="s">
        <v>1617</v>
      </c>
      <c r="D118" s="115" t="s">
        <v>18</v>
      </c>
      <c r="E118" s="71" t="s">
        <v>33</v>
      </c>
      <c r="F118" s="71">
        <v>11010140001</v>
      </c>
      <c r="G118" s="123" t="s">
        <v>34</v>
      </c>
      <c r="H118" s="117">
        <v>592.98</v>
      </c>
    </row>
    <row r="119" spans="2:8" x14ac:dyDescent="0.25">
      <c r="B119" s="121" t="s">
        <v>398</v>
      </c>
      <c r="C119" s="122" t="s">
        <v>399</v>
      </c>
      <c r="D119" s="115" t="s">
        <v>18</v>
      </c>
      <c r="E119" s="123" t="s">
        <v>360</v>
      </c>
      <c r="F119" s="71">
        <v>11080150001</v>
      </c>
      <c r="G119" s="127" t="s">
        <v>24</v>
      </c>
      <c r="H119" s="117">
        <v>1494</v>
      </c>
    </row>
    <row r="120" spans="2:8" x14ac:dyDescent="0.25">
      <c r="B120" s="121" t="s">
        <v>172</v>
      </c>
      <c r="C120" s="122" t="s">
        <v>1673</v>
      </c>
      <c r="D120" s="115" t="s">
        <v>18</v>
      </c>
      <c r="E120" s="123" t="s">
        <v>113</v>
      </c>
      <c r="F120" s="71">
        <v>11061720001</v>
      </c>
      <c r="G120" s="123" t="s">
        <v>30</v>
      </c>
      <c r="H120" s="117">
        <v>373.39</v>
      </c>
    </row>
    <row r="121" spans="2:8" x14ac:dyDescent="0.25">
      <c r="B121" s="120" t="s">
        <v>711</v>
      </c>
      <c r="C121" s="114" t="s">
        <v>712</v>
      </c>
      <c r="D121" s="115" t="s">
        <v>18</v>
      </c>
      <c r="E121" s="115" t="s">
        <v>439</v>
      </c>
      <c r="F121" s="71">
        <v>11062280001</v>
      </c>
      <c r="G121" s="123" t="s">
        <v>65</v>
      </c>
      <c r="H121" s="117">
        <v>1461.25</v>
      </c>
    </row>
    <row r="122" spans="2:8" x14ac:dyDescent="0.25">
      <c r="B122" s="120" t="s">
        <v>790</v>
      </c>
      <c r="C122" s="114" t="s">
        <v>791</v>
      </c>
      <c r="D122" s="115" t="s">
        <v>18</v>
      </c>
      <c r="E122" s="115" t="s">
        <v>157</v>
      </c>
      <c r="F122" s="71">
        <v>11040040001</v>
      </c>
      <c r="G122" s="123" t="s">
        <v>20</v>
      </c>
      <c r="H122" s="117">
        <v>223.18</v>
      </c>
    </row>
    <row r="123" spans="2:8" x14ac:dyDescent="0.25">
      <c r="B123" s="120" t="s">
        <v>100</v>
      </c>
      <c r="C123" s="114" t="s">
        <v>1506</v>
      </c>
      <c r="D123" s="115" t="s">
        <v>18</v>
      </c>
      <c r="E123" s="115" t="s">
        <v>101</v>
      </c>
      <c r="F123" s="71">
        <v>11030610001</v>
      </c>
      <c r="G123" s="123" t="s">
        <v>34</v>
      </c>
      <c r="H123" s="117">
        <v>2790.87</v>
      </c>
    </row>
    <row r="124" spans="2:8" x14ac:dyDescent="0.25">
      <c r="B124" s="121" t="s">
        <v>380</v>
      </c>
      <c r="C124" s="122" t="s">
        <v>1697</v>
      </c>
      <c r="D124" s="115" t="s">
        <v>18</v>
      </c>
      <c r="E124" s="123" t="s">
        <v>381</v>
      </c>
      <c r="F124" s="71">
        <v>11030830001</v>
      </c>
      <c r="G124" s="123" t="s">
        <v>65</v>
      </c>
      <c r="H124" s="117">
        <v>1912.07</v>
      </c>
    </row>
    <row r="125" spans="2:8" x14ac:dyDescent="0.25">
      <c r="B125" s="120" t="s">
        <v>159</v>
      </c>
      <c r="C125" s="114" t="s">
        <v>1779</v>
      </c>
      <c r="D125" s="115" t="s">
        <v>18</v>
      </c>
      <c r="E125" s="115" t="s">
        <v>160</v>
      </c>
      <c r="F125" s="71">
        <v>11062450001</v>
      </c>
      <c r="G125" s="127" t="s">
        <v>27</v>
      </c>
      <c r="H125" s="117">
        <v>419.7999999999999</v>
      </c>
    </row>
    <row r="126" spans="2:8" x14ac:dyDescent="0.25">
      <c r="B126" s="120" t="s">
        <v>684</v>
      </c>
      <c r="C126" s="114" t="s">
        <v>685</v>
      </c>
      <c r="D126" s="115" t="s">
        <v>18</v>
      </c>
      <c r="E126" s="115" t="s">
        <v>686</v>
      </c>
      <c r="F126" s="71">
        <v>11010300001</v>
      </c>
      <c r="G126" s="127" t="s">
        <v>30</v>
      </c>
      <c r="H126" s="117">
        <v>1466.42</v>
      </c>
    </row>
    <row r="127" spans="2:8" x14ac:dyDescent="0.25">
      <c r="B127" s="120" t="s">
        <v>174</v>
      </c>
      <c r="C127" s="114" t="s">
        <v>175</v>
      </c>
      <c r="D127" s="115" t="s">
        <v>18</v>
      </c>
      <c r="E127" s="115" t="s">
        <v>73</v>
      </c>
      <c r="F127" s="71">
        <v>11040140001</v>
      </c>
      <c r="G127" s="127" t="s">
        <v>39</v>
      </c>
      <c r="H127" s="117">
        <v>55.000000000000128</v>
      </c>
    </row>
    <row r="128" spans="2:8" x14ac:dyDescent="0.25">
      <c r="B128" s="121" t="s">
        <v>171</v>
      </c>
      <c r="C128" s="122" t="s">
        <v>1672</v>
      </c>
      <c r="D128" s="115" t="s">
        <v>18</v>
      </c>
      <c r="E128" s="123" t="s">
        <v>55</v>
      </c>
      <c r="F128" s="71">
        <v>11062050001</v>
      </c>
      <c r="G128" s="127" t="s">
        <v>39</v>
      </c>
      <c r="H128" s="117">
        <v>48.39999999999965</v>
      </c>
    </row>
    <row r="129" spans="2:8" x14ac:dyDescent="0.25">
      <c r="B129" s="120" t="s">
        <v>140</v>
      </c>
      <c r="C129" s="114" t="s">
        <v>1671</v>
      </c>
      <c r="D129" s="115" t="s">
        <v>18</v>
      </c>
      <c r="E129" s="115" t="s">
        <v>38</v>
      </c>
      <c r="F129" s="71">
        <v>11040130001</v>
      </c>
      <c r="G129" s="127" t="s">
        <v>39</v>
      </c>
      <c r="H129" s="117">
        <v>2161.1999999999998</v>
      </c>
    </row>
    <row r="130" spans="2:8" x14ac:dyDescent="0.25">
      <c r="B130" s="121" t="s">
        <v>376</v>
      </c>
      <c r="C130" s="122" t="s">
        <v>1564</v>
      </c>
      <c r="D130" s="115" t="s">
        <v>18</v>
      </c>
      <c r="E130" s="123" t="s">
        <v>113</v>
      </c>
      <c r="F130" s="71">
        <v>11061720001</v>
      </c>
      <c r="G130" s="127" t="s">
        <v>30</v>
      </c>
      <c r="H130" s="117">
        <v>367.8</v>
      </c>
    </row>
    <row r="131" spans="2:8" x14ac:dyDescent="0.25">
      <c r="B131" s="121" t="s">
        <v>103</v>
      </c>
      <c r="C131" s="122" t="s">
        <v>1566</v>
      </c>
      <c r="D131" s="115" t="s">
        <v>18</v>
      </c>
      <c r="E131" s="123" t="s">
        <v>49</v>
      </c>
      <c r="F131" s="71">
        <v>11040160001</v>
      </c>
      <c r="G131" s="123" t="s">
        <v>27</v>
      </c>
      <c r="H131" s="117">
        <v>188.54999999999995</v>
      </c>
    </row>
    <row r="132" spans="2:8" x14ac:dyDescent="0.25">
      <c r="B132" s="120" t="s">
        <v>717</v>
      </c>
      <c r="C132" s="114" t="s">
        <v>718</v>
      </c>
      <c r="D132" s="115" t="s">
        <v>18</v>
      </c>
      <c r="E132" s="115" t="s">
        <v>113</v>
      </c>
      <c r="F132" s="71">
        <v>11061720001</v>
      </c>
      <c r="G132" s="123" t="s">
        <v>30</v>
      </c>
      <c r="H132" s="117">
        <v>503.76</v>
      </c>
    </row>
    <row r="133" spans="2:8" x14ac:dyDescent="0.25">
      <c r="B133" s="121" t="s">
        <v>635</v>
      </c>
      <c r="C133" s="122" t="s">
        <v>636</v>
      </c>
      <c r="D133" s="115" t="s">
        <v>18</v>
      </c>
      <c r="E133" s="123" t="s">
        <v>113</v>
      </c>
      <c r="F133" s="71">
        <v>11061720001</v>
      </c>
      <c r="G133" s="123" t="s">
        <v>30</v>
      </c>
      <c r="H133" s="117">
        <v>432.32</v>
      </c>
    </row>
    <row r="134" spans="2:8" x14ac:dyDescent="0.25">
      <c r="B134" s="120" t="s">
        <v>169</v>
      </c>
      <c r="C134" s="114" t="s">
        <v>1780</v>
      </c>
      <c r="D134" s="115" t="s">
        <v>18</v>
      </c>
      <c r="E134" s="115" t="s">
        <v>113</v>
      </c>
      <c r="F134" s="71">
        <v>11061720001</v>
      </c>
      <c r="G134" s="123" t="s">
        <v>30</v>
      </c>
      <c r="H134" s="117">
        <v>566.55999999999995</v>
      </c>
    </row>
    <row r="135" spans="2:8" x14ac:dyDescent="0.25">
      <c r="B135" s="121" t="s">
        <v>476</v>
      </c>
      <c r="C135" s="122" t="s">
        <v>477</v>
      </c>
      <c r="D135" s="115" t="s">
        <v>18</v>
      </c>
      <c r="E135" s="123" t="s">
        <v>113</v>
      </c>
      <c r="F135" s="71">
        <v>11061720001</v>
      </c>
      <c r="G135" s="127" t="s">
        <v>30</v>
      </c>
      <c r="H135" s="117">
        <v>142.00000000000182</v>
      </c>
    </row>
    <row r="136" spans="2:8" x14ac:dyDescent="0.25">
      <c r="B136" s="120" t="s">
        <v>539</v>
      </c>
      <c r="C136" s="114" t="s">
        <v>540</v>
      </c>
      <c r="D136" s="115" t="s">
        <v>18</v>
      </c>
      <c r="E136" s="115" t="s">
        <v>541</v>
      </c>
      <c r="F136" s="71">
        <v>11110340001</v>
      </c>
      <c r="G136" s="123" t="s">
        <v>78</v>
      </c>
      <c r="H136" s="117">
        <v>693.14</v>
      </c>
    </row>
    <row r="137" spans="2:8" x14ac:dyDescent="0.25">
      <c r="B137" s="120" t="s">
        <v>123</v>
      </c>
      <c r="C137" s="114" t="s">
        <v>1604</v>
      </c>
      <c r="D137" s="115" t="s">
        <v>18</v>
      </c>
      <c r="E137" s="115" t="s">
        <v>124</v>
      </c>
      <c r="F137" s="71">
        <v>11030750001</v>
      </c>
      <c r="G137" s="127" t="s">
        <v>65</v>
      </c>
      <c r="H137" s="117">
        <v>2013.4599999999991</v>
      </c>
    </row>
    <row r="138" spans="2:8" x14ac:dyDescent="0.25">
      <c r="B138" s="121" t="s">
        <v>693</v>
      </c>
      <c r="C138" s="122" t="s">
        <v>694</v>
      </c>
      <c r="D138" s="115" t="s">
        <v>18</v>
      </c>
      <c r="E138" s="123" t="s">
        <v>317</v>
      </c>
      <c r="F138" s="71">
        <v>11030620001</v>
      </c>
      <c r="G138" s="127" t="s">
        <v>34</v>
      </c>
      <c r="H138" s="117">
        <v>2769.45</v>
      </c>
    </row>
    <row r="139" spans="2:8" x14ac:dyDescent="0.25">
      <c r="B139" s="121" t="s">
        <v>748</v>
      </c>
      <c r="C139" s="122" t="s">
        <v>749</v>
      </c>
      <c r="D139" s="115" t="s">
        <v>18</v>
      </c>
      <c r="E139" s="123" t="s">
        <v>750</v>
      </c>
      <c r="F139" s="71">
        <v>11062160001</v>
      </c>
      <c r="G139" s="123" t="s">
        <v>24</v>
      </c>
      <c r="H139" s="117">
        <v>593.33000000000004</v>
      </c>
    </row>
    <row r="140" spans="2:8" x14ac:dyDescent="0.25">
      <c r="B140" s="121" t="s">
        <v>176</v>
      </c>
      <c r="C140" s="122" t="s">
        <v>1572</v>
      </c>
      <c r="D140" s="115" t="s">
        <v>18</v>
      </c>
      <c r="E140" s="123" t="s">
        <v>113</v>
      </c>
      <c r="F140" s="71">
        <v>11061720001</v>
      </c>
      <c r="G140" s="123" t="s">
        <v>30</v>
      </c>
      <c r="H140" s="117">
        <v>705.50999999995111</v>
      </c>
    </row>
    <row r="141" spans="2:8" x14ac:dyDescent="0.25">
      <c r="B141" s="121" t="s">
        <v>396</v>
      </c>
      <c r="C141" s="122" t="s">
        <v>1643</v>
      </c>
      <c r="D141" s="115" t="s">
        <v>18</v>
      </c>
      <c r="E141" s="123" t="s">
        <v>71</v>
      </c>
      <c r="F141" s="71">
        <v>11061810001</v>
      </c>
      <c r="G141" s="127" t="s">
        <v>34</v>
      </c>
      <c r="H141" s="117">
        <v>247.7</v>
      </c>
    </row>
    <row r="142" spans="2:8" x14ac:dyDescent="0.25">
      <c r="B142" s="121" t="s">
        <v>619</v>
      </c>
      <c r="C142" s="122" t="s">
        <v>620</v>
      </c>
      <c r="D142" s="115" t="s">
        <v>18</v>
      </c>
      <c r="E142" s="123" t="s">
        <v>49</v>
      </c>
      <c r="F142" s="71">
        <v>11040160001</v>
      </c>
      <c r="G142" s="127" t="s">
        <v>27</v>
      </c>
      <c r="H142" s="117">
        <v>347.47000000000048</v>
      </c>
    </row>
    <row r="143" spans="2:8" x14ac:dyDescent="0.25">
      <c r="B143" s="120" t="s">
        <v>202</v>
      </c>
      <c r="C143" s="114" t="s">
        <v>1785</v>
      </c>
      <c r="D143" s="115" t="s">
        <v>18</v>
      </c>
      <c r="E143" s="115" t="s">
        <v>203</v>
      </c>
      <c r="F143" s="71">
        <v>11030790001</v>
      </c>
      <c r="G143" s="123" t="s">
        <v>30</v>
      </c>
      <c r="H143" s="117">
        <v>2492.88</v>
      </c>
    </row>
    <row r="144" spans="2:8" x14ac:dyDescent="0.25">
      <c r="B144" s="121" t="s">
        <v>94</v>
      </c>
      <c r="C144" s="122" t="s">
        <v>1626</v>
      </c>
      <c r="D144" s="115" t="s">
        <v>18</v>
      </c>
      <c r="E144" s="123" t="s">
        <v>81</v>
      </c>
      <c r="F144" s="71">
        <v>11061820001</v>
      </c>
      <c r="G144" s="123" t="s">
        <v>34</v>
      </c>
      <c r="H144" s="117">
        <v>41.950000000000728</v>
      </c>
    </row>
    <row r="145" spans="2:8" x14ac:dyDescent="0.25">
      <c r="B145" s="121" t="s">
        <v>663</v>
      </c>
      <c r="C145" s="122" t="s">
        <v>664</v>
      </c>
      <c r="D145" s="115" t="s">
        <v>18</v>
      </c>
      <c r="E145" s="123" t="s">
        <v>224</v>
      </c>
      <c r="F145" s="71">
        <v>11061400001</v>
      </c>
      <c r="G145" s="123" t="s">
        <v>30</v>
      </c>
      <c r="H145" s="117">
        <v>593.9</v>
      </c>
    </row>
    <row r="146" spans="2:8" x14ac:dyDescent="0.25">
      <c r="B146" s="121" t="s">
        <v>604</v>
      </c>
      <c r="C146" s="122" t="s">
        <v>605</v>
      </c>
      <c r="D146" s="115" t="s">
        <v>18</v>
      </c>
      <c r="E146" s="123" t="s">
        <v>113</v>
      </c>
      <c r="F146" s="71">
        <v>11061720001</v>
      </c>
      <c r="G146" s="123" t="s">
        <v>30</v>
      </c>
      <c r="H146" s="117">
        <v>137.12</v>
      </c>
    </row>
    <row r="147" spans="2:8" x14ac:dyDescent="0.25">
      <c r="B147" s="121" t="s">
        <v>529</v>
      </c>
      <c r="C147" s="122" t="s">
        <v>530</v>
      </c>
      <c r="D147" s="115" t="s">
        <v>18</v>
      </c>
      <c r="E147" s="123" t="s">
        <v>531</v>
      </c>
      <c r="F147" s="71">
        <v>11030780001</v>
      </c>
      <c r="G147" s="123" t="s">
        <v>65</v>
      </c>
      <c r="H147" s="117">
        <v>1763.51</v>
      </c>
    </row>
    <row r="148" spans="2:8" x14ac:dyDescent="0.25">
      <c r="B148" s="121" t="s">
        <v>679</v>
      </c>
      <c r="C148" s="122" t="s">
        <v>680</v>
      </c>
      <c r="D148" s="115" t="s">
        <v>18</v>
      </c>
      <c r="E148" s="123" t="s">
        <v>113</v>
      </c>
      <c r="F148" s="71">
        <v>11061720001</v>
      </c>
      <c r="G148" s="123" t="s">
        <v>30</v>
      </c>
      <c r="H148" s="117">
        <v>799.3</v>
      </c>
    </row>
    <row r="149" spans="2:8" x14ac:dyDescent="0.25">
      <c r="B149" s="121" t="s">
        <v>638</v>
      </c>
      <c r="C149" s="122" t="s">
        <v>639</v>
      </c>
      <c r="D149" s="115" t="s">
        <v>18</v>
      </c>
      <c r="E149" s="123" t="s">
        <v>113</v>
      </c>
      <c r="F149" s="71">
        <v>11061720001</v>
      </c>
      <c r="G149" s="127" t="s">
        <v>30</v>
      </c>
      <c r="H149" s="117">
        <v>616.6</v>
      </c>
    </row>
    <row r="150" spans="2:8" x14ac:dyDescent="0.25">
      <c r="B150" s="121" t="s">
        <v>671</v>
      </c>
      <c r="C150" s="122" t="s">
        <v>672</v>
      </c>
      <c r="D150" s="115" t="s">
        <v>18</v>
      </c>
      <c r="E150" s="123" t="s">
        <v>38</v>
      </c>
      <c r="F150" s="71">
        <v>11040130001</v>
      </c>
      <c r="G150" s="123" t="s">
        <v>39</v>
      </c>
      <c r="H150" s="117">
        <v>114.57</v>
      </c>
    </row>
    <row r="151" spans="2:8" x14ac:dyDescent="0.25">
      <c r="B151" s="121" t="s">
        <v>543</v>
      </c>
      <c r="C151" s="122" t="s">
        <v>544</v>
      </c>
      <c r="D151" s="115" t="s">
        <v>18</v>
      </c>
      <c r="E151" s="123" t="s">
        <v>181</v>
      </c>
      <c r="F151" s="71">
        <v>11062020001</v>
      </c>
      <c r="G151" s="123" t="s">
        <v>30</v>
      </c>
      <c r="H151" s="117">
        <v>99.230000000000018</v>
      </c>
    </row>
    <row r="152" spans="2:8" x14ac:dyDescent="0.25">
      <c r="B152" s="120" t="s">
        <v>66</v>
      </c>
      <c r="C152" s="114" t="s">
        <v>1605</v>
      </c>
      <c r="D152" s="115" t="s">
        <v>18</v>
      </c>
      <c r="E152" s="115" t="s">
        <v>67</v>
      </c>
      <c r="F152" s="71">
        <v>11061890001</v>
      </c>
      <c r="G152" s="123" t="s">
        <v>30</v>
      </c>
      <c r="H152" s="117">
        <v>389.57000000000335</v>
      </c>
    </row>
    <row r="153" spans="2:8" x14ac:dyDescent="0.25">
      <c r="B153" s="120" t="s">
        <v>182</v>
      </c>
      <c r="C153" s="114" t="s">
        <v>1781</v>
      </c>
      <c r="D153" s="115" t="s">
        <v>18</v>
      </c>
      <c r="E153" s="115" t="s">
        <v>73</v>
      </c>
      <c r="F153" s="71">
        <v>11040140001</v>
      </c>
      <c r="G153" s="127" t="s">
        <v>39</v>
      </c>
      <c r="H153" s="117">
        <v>63.379999999999939</v>
      </c>
    </row>
    <row r="154" spans="2:8" x14ac:dyDescent="0.25">
      <c r="B154" s="120" t="s">
        <v>579</v>
      </c>
      <c r="C154" s="114" t="s">
        <v>580</v>
      </c>
      <c r="D154" s="115" t="s">
        <v>18</v>
      </c>
      <c r="E154" s="115" t="s">
        <v>38</v>
      </c>
      <c r="F154" s="71">
        <v>11040130001</v>
      </c>
      <c r="G154" s="127" t="s">
        <v>39</v>
      </c>
      <c r="H154" s="117">
        <v>90</v>
      </c>
    </row>
    <row r="155" spans="2:8" x14ac:dyDescent="0.25">
      <c r="B155" s="120" t="s">
        <v>356</v>
      </c>
      <c r="C155" s="114" t="s">
        <v>1632</v>
      </c>
      <c r="D155" s="115" t="s">
        <v>18</v>
      </c>
      <c r="E155" s="115" t="s">
        <v>113</v>
      </c>
      <c r="F155" s="71">
        <v>11061720001</v>
      </c>
      <c r="G155" s="127" t="s">
        <v>30</v>
      </c>
      <c r="H155" s="117">
        <v>800</v>
      </c>
    </row>
    <row r="156" spans="2:8" x14ac:dyDescent="0.25">
      <c r="B156" s="120" t="s">
        <v>375</v>
      </c>
      <c r="C156" s="114" t="s">
        <v>1811</v>
      </c>
      <c r="D156" s="115" t="s">
        <v>18</v>
      </c>
      <c r="E156" s="115" t="s">
        <v>113</v>
      </c>
      <c r="F156" s="71">
        <v>11061720001</v>
      </c>
      <c r="G156" s="123" t="s">
        <v>30</v>
      </c>
      <c r="H156" s="117">
        <v>795.42</v>
      </c>
    </row>
    <row r="157" spans="2:8" x14ac:dyDescent="0.25">
      <c r="B157" s="121" t="s">
        <v>282</v>
      </c>
      <c r="C157" s="122" t="s">
        <v>1569</v>
      </c>
      <c r="D157" s="115" t="s">
        <v>18</v>
      </c>
      <c r="E157" s="123" t="s">
        <v>181</v>
      </c>
      <c r="F157" s="71">
        <v>11062020001</v>
      </c>
      <c r="G157" s="127" t="s">
        <v>30</v>
      </c>
      <c r="H157" s="117">
        <v>56.130000000000322</v>
      </c>
    </row>
    <row r="158" spans="2:8" x14ac:dyDescent="0.25">
      <c r="B158" s="121" t="s">
        <v>556</v>
      </c>
      <c r="C158" s="122" t="s">
        <v>557</v>
      </c>
      <c r="D158" s="115" t="s">
        <v>18</v>
      </c>
      <c r="E158" s="123" t="s">
        <v>391</v>
      </c>
      <c r="F158" s="71">
        <v>11062630001</v>
      </c>
      <c r="G158" s="123" t="s">
        <v>30</v>
      </c>
      <c r="H158" s="117">
        <v>147.84000000000003</v>
      </c>
    </row>
    <row r="159" spans="2:8" x14ac:dyDescent="0.25">
      <c r="B159" s="120" t="s">
        <v>715</v>
      </c>
      <c r="C159" s="114" t="s">
        <v>716</v>
      </c>
      <c r="D159" s="115" t="s">
        <v>18</v>
      </c>
      <c r="E159" s="115" t="s">
        <v>38</v>
      </c>
      <c r="F159" s="71">
        <v>11040130001</v>
      </c>
      <c r="G159" s="123" t="s">
        <v>39</v>
      </c>
      <c r="H159" s="117">
        <v>37.700000000000045</v>
      </c>
    </row>
    <row r="160" spans="2:8" x14ac:dyDescent="0.25">
      <c r="B160" s="121" t="s">
        <v>198</v>
      </c>
      <c r="C160" s="122" t="s">
        <v>1676</v>
      </c>
      <c r="D160" s="115" t="s">
        <v>18</v>
      </c>
      <c r="E160" s="123" t="s">
        <v>38</v>
      </c>
      <c r="F160" s="71">
        <v>11040130001</v>
      </c>
      <c r="G160" s="123" t="s">
        <v>39</v>
      </c>
      <c r="H160" s="117">
        <v>71.500000000001023</v>
      </c>
    </row>
    <row r="161" spans="2:8" x14ac:dyDescent="0.25">
      <c r="B161" s="120" t="s">
        <v>292</v>
      </c>
      <c r="C161" s="114" t="s">
        <v>1590</v>
      </c>
      <c r="D161" s="115" t="s">
        <v>18</v>
      </c>
      <c r="E161" s="115" t="s">
        <v>157</v>
      </c>
      <c r="F161" s="71">
        <v>11040040001</v>
      </c>
      <c r="G161" s="123" t="s">
        <v>20</v>
      </c>
      <c r="H161" s="117">
        <v>3095.96</v>
      </c>
    </row>
    <row r="162" spans="2:8" x14ac:dyDescent="0.25">
      <c r="B162" s="121" t="s">
        <v>505</v>
      </c>
      <c r="C162" s="122" t="s">
        <v>506</v>
      </c>
      <c r="D162" s="115" t="s">
        <v>18</v>
      </c>
      <c r="E162" s="123" t="s">
        <v>73</v>
      </c>
      <c r="F162" s="71">
        <v>11040140001</v>
      </c>
      <c r="G162" s="127" t="s">
        <v>39</v>
      </c>
      <c r="H162" s="117">
        <v>142.11000000000001</v>
      </c>
    </row>
    <row r="163" spans="2:8" x14ac:dyDescent="0.25">
      <c r="B163" s="120" t="s">
        <v>216</v>
      </c>
      <c r="C163" s="114" t="s">
        <v>1647</v>
      </c>
      <c r="D163" s="115" t="s">
        <v>18</v>
      </c>
      <c r="E163" s="115" t="s">
        <v>73</v>
      </c>
      <c r="F163" s="71">
        <v>11040140001</v>
      </c>
      <c r="G163" s="123" t="s">
        <v>39</v>
      </c>
      <c r="H163" s="117">
        <v>23.119999999999894</v>
      </c>
    </row>
    <row r="164" spans="2:8" x14ac:dyDescent="0.25">
      <c r="B164" s="121" t="s">
        <v>183</v>
      </c>
      <c r="C164" s="122" t="s">
        <v>1576</v>
      </c>
      <c r="D164" s="115" t="s">
        <v>18</v>
      </c>
      <c r="E164" s="123" t="s">
        <v>73</v>
      </c>
      <c r="F164" s="71">
        <v>11040140001</v>
      </c>
      <c r="G164" s="127" t="s">
        <v>39</v>
      </c>
      <c r="H164" s="117">
        <v>22.799999999999713</v>
      </c>
    </row>
    <row r="165" spans="2:8" x14ac:dyDescent="0.25">
      <c r="B165" s="88" t="s">
        <v>23</v>
      </c>
      <c r="C165" s="67" t="s">
        <v>1765</v>
      </c>
      <c r="D165" s="115" t="s">
        <v>18</v>
      </c>
      <c r="E165" s="67" t="s">
        <v>53</v>
      </c>
      <c r="F165" s="71">
        <v>11061480001</v>
      </c>
      <c r="G165" s="123" t="s">
        <v>24</v>
      </c>
      <c r="H165" s="117">
        <v>409.9</v>
      </c>
    </row>
    <row r="166" spans="2:8" x14ac:dyDescent="0.25">
      <c r="B166" s="121" t="s">
        <v>231</v>
      </c>
      <c r="C166" s="122" t="s">
        <v>1563</v>
      </c>
      <c r="D166" s="115" t="s">
        <v>18</v>
      </c>
      <c r="E166" s="123" t="s">
        <v>113</v>
      </c>
      <c r="F166" s="71">
        <v>11061720001</v>
      </c>
      <c r="G166" s="127" t="s">
        <v>30</v>
      </c>
      <c r="H166" s="117">
        <v>750</v>
      </c>
    </row>
    <row r="167" spans="2:8" x14ac:dyDescent="0.25">
      <c r="B167" s="121" t="s">
        <v>120</v>
      </c>
      <c r="C167" s="122" t="s">
        <v>1666</v>
      </c>
      <c r="D167" s="115" t="s">
        <v>18</v>
      </c>
      <c r="E167" s="123" t="s">
        <v>38</v>
      </c>
      <c r="F167" s="71">
        <v>11040130001</v>
      </c>
      <c r="G167" s="123" t="s">
        <v>39</v>
      </c>
      <c r="H167" s="117">
        <v>28.210000000000719</v>
      </c>
    </row>
    <row r="168" spans="2:8" x14ac:dyDescent="0.25">
      <c r="B168" s="120" t="s">
        <v>196</v>
      </c>
      <c r="C168" s="114" t="s">
        <v>1784</v>
      </c>
      <c r="D168" s="115" t="s">
        <v>18</v>
      </c>
      <c r="E168" s="115" t="s">
        <v>197</v>
      </c>
      <c r="F168" s="71">
        <v>11061770001</v>
      </c>
      <c r="G168" s="123" t="s">
        <v>34</v>
      </c>
      <c r="H168" s="117">
        <v>69.860000000000127</v>
      </c>
    </row>
    <row r="169" spans="2:8" x14ac:dyDescent="0.25">
      <c r="B169" s="121" t="s">
        <v>493</v>
      </c>
      <c r="C169" s="122" t="s">
        <v>494</v>
      </c>
      <c r="D169" s="115" t="s">
        <v>18</v>
      </c>
      <c r="E169" s="123" t="s">
        <v>73</v>
      </c>
      <c r="F169" s="71">
        <v>11040140001</v>
      </c>
      <c r="G169" s="127" t="s">
        <v>39</v>
      </c>
      <c r="H169" s="117">
        <v>14.500000000000121</v>
      </c>
    </row>
    <row r="170" spans="2:8" x14ac:dyDescent="0.25">
      <c r="B170" s="121" t="s">
        <v>84</v>
      </c>
      <c r="C170" s="122" t="s">
        <v>1662</v>
      </c>
      <c r="D170" s="115" t="s">
        <v>18</v>
      </c>
      <c r="E170" s="123" t="s">
        <v>38</v>
      </c>
      <c r="F170" s="71">
        <v>11040130001</v>
      </c>
      <c r="G170" s="123" t="s">
        <v>39</v>
      </c>
      <c r="H170" s="117">
        <v>80</v>
      </c>
    </row>
    <row r="171" spans="2:8" x14ac:dyDescent="0.25">
      <c r="B171" s="120" t="s">
        <v>345</v>
      </c>
      <c r="C171" s="114" t="s">
        <v>1805</v>
      </c>
      <c r="D171" s="115" t="s">
        <v>18</v>
      </c>
      <c r="E171" s="115" t="s">
        <v>224</v>
      </c>
      <c r="F171" s="71">
        <v>11061400001</v>
      </c>
      <c r="G171" s="123" t="s">
        <v>30</v>
      </c>
      <c r="H171" s="117">
        <v>861.22</v>
      </c>
    </row>
    <row r="172" spans="2:8" x14ac:dyDescent="0.25">
      <c r="B172" s="121" t="s">
        <v>85</v>
      </c>
      <c r="C172" s="122" t="s">
        <v>1769</v>
      </c>
      <c r="D172" s="115" t="s">
        <v>18</v>
      </c>
      <c r="E172" s="123" t="s">
        <v>73</v>
      </c>
      <c r="F172" s="71">
        <v>11040140001</v>
      </c>
      <c r="G172" s="127" t="s">
        <v>39</v>
      </c>
      <c r="H172" s="117">
        <v>14.419999999999987</v>
      </c>
    </row>
    <row r="173" spans="2:8" x14ac:dyDescent="0.25">
      <c r="B173" s="121" t="s">
        <v>112</v>
      </c>
      <c r="C173" s="122" t="s">
        <v>1555</v>
      </c>
      <c r="D173" s="115" t="s">
        <v>18</v>
      </c>
      <c r="E173" s="123" t="s">
        <v>113</v>
      </c>
      <c r="F173" s="71">
        <v>11061720001</v>
      </c>
      <c r="G173" s="123" t="s">
        <v>30</v>
      </c>
      <c r="H173" s="117">
        <v>744.5</v>
      </c>
    </row>
    <row r="174" spans="2:8" x14ac:dyDescent="0.25">
      <c r="B174" s="96" t="s">
        <v>42</v>
      </c>
      <c r="C174" s="71" t="s">
        <v>1658</v>
      </c>
      <c r="D174" s="115" t="s">
        <v>18</v>
      </c>
      <c r="E174" s="71" t="s">
        <v>43</v>
      </c>
      <c r="F174" s="71">
        <v>11030690001</v>
      </c>
      <c r="G174" s="123" t="s">
        <v>30</v>
      </c>
      <c r="H174" s="117">
        <v>793.6</v>
      </c>
    </row>
    <row r="175" spans="2:8" x14ac:dyDescent="0.25">
      <c r="B175" s="121" t="s">
        <v>96</v>
      </c>
      <c r="C175" s="122" t="s">
        <v>1771</v>
      </c>
      <c r="D175" s="115" t="s">
        <v>18</v>
      </c>
      <c r="E175" s="123" t="s">
        <v>97</v>
      </c>
      <c r="F175" s="71">
        <v>11010370001</v>
      </c>
      <c r="G175" s="127" t="s">
        <v>30</v>
      </c>
      <c r="H175" s="117">
        <v>201.99999999999932</v>
      </c>
    </row>
    <row r="176" spans="2:8" x14ac:dyDescent="0.25">
      <c r="B176" s="120" t="s">
        <v>392</v>
      </c>
      <c r="C176" s="114" t="s">
        <v>1592</v>
      </c>
      <c r="D176" s="115" t="s">
        <v>18</v>
      </c>
      <c r="E176" s="115" t="s">
        <v>393</v>
      </c>
      <c r="F176" s="71">
        <v>11062350001</v>
      </c>
      <c r="G176" s="123" t="s">
        <v>24</v>
      </c>
      <c r="H176" s="117">
        <v>1731.83</v>
      </c>
    </row>
    <row r="177" spans="2:8" x14ac:dyDescent="0.25">
      <c r="B177" s="121" t="s">
        <v>483</v>
      </c>
      <c r="C177" s="122" t="s">
        <v>484</v>
      </c>
      <c r="D177" s="115" t="s">
        <v>18</v>
      </c>
      <c r="E177" s="123" t="s">
        <v>73</v>
      </c>
      <c r="F177" s="71">
        <v>11040140001</v>
      </c>
      <c r="G177" s="127" t="s">
        <v>39</v>
      </c>
      <c r="H177" s="117">
        <v>35.900000000000006</v>
      </c>
    </row>
    <row r="178" spans="2:8" x14ac:dyDescent="0.25">
      <c r="B178" s="121" t="s">
        <v>404</v>
      </c>
      <c r="C178" s="122" t="s">
        <v>405</v>
      </c>
      <c r="D178" s="115" t="s">
        <v>18</v>
      </c>
      <c r="E178" s="123" t="s">
        <v>73</v>
      </c>
      <c r="F178" s="71">
        <v>11040140001</v>
      </c>
      <c r="G178" s="123" t="s">
        <v>39</v>
      </c>
      <c r="H178" s="117">
        <v>23.909999999999854</v>
      </c>
    </row>
    <row r="179" spans="2:8" x14ac:dyDescent="0.25">
      <c r="B179" s="120" t="s">
        <v>534</v>
      </c>
      <c r="C179" s="114" t="s">
        <v>535</v>
      </c>
      <c r="D179" s="115" t="s">
        <v>18</v>
      </c>
      <c r="E179" s="115" t="s">
        <v>536</v>
      </c>
      <c r="F179" s="71">
        <v>11010330001</v>
      </c>
      <c r="G179" s="123" t="s">
        <v>65</v>
      </c>
      <c r="H179" s="117">
        <v>57</v>
      </c>
    </row>
    <row r="180" spans="2:8" x14ac:dyDescent="0.25">
      <c r="B180" s="121" t="s">
        <v>795</v>
      </c>
      <c r="C180" s="122" t="s">
        <v>796</v>
      </c>
      <c r="D180" s="115" t="s">
        <v>18</v>
      </c>
      <c r="E180" s="123" t="s">
        <v>113</v>
      </c>
      <c r="F180" s="71">
        <v>11061720001</v>
      </c>
      <c r="G180" s="127" t="s">
        <v>30</v>
      </c>
      <c r="H180" s="117">
        <v>674.22</v>
      </c>
    </row>
    <row r="181" spans="2:8" x14ac:dyDescent="0.25">
      <c r="B181" s="120" t="s">
        <v>58</v>
      </c>
      <c r="C181" s="114" t="s">
        <v>1659</v>
      </c>
      <c r="D181" s="115" t="s">
        <v>18</v>
      </c>
      <c r="E181" s="115" t="s">
        <v>59</v>
      </c>
      <c r="F181" s="71">
        <v>11080440001</v>
      </c>
      <c r="G181" s="123" t="s">
        <v>30</v>
      </c>
      <c r="H181" s="117">
        <v>350</v>
      </c>
    </row>
    <row r="182" spans="2:8" x14ac:dyDescent="0.25">
      <c r="B182" s="120" t="s">
        <v>307</v>
      </c>
      <c r="C182" s="114" t="s">
        <v>1571</v>
      </c>
      <c r="D182" s="115" t="s">
        <v>18</v>
      </c>
      <c r="E182" s="115" t="s">
        <v>73</v>
      </c>
      <c r="F182" s="71">
        <v>11040140001</v>
      </c>
      <c r="G182" s="127" t="s">
        <v>39</v>
      </c>
      <c r="H182" s="117">
        <v>20</v>
      </c>
    </row>
    <row r="183" spans="2:8" x14ac:dyDescent="0.25">
      <c r="B183" s="120" t="s">
        <v>209</v>
      </c>
      <c r="C183" s="114" t="s">
        <v>1678</v>
      </c>
      <c r="D183" s="115" t="s">
        <v>18</v>
      </c>
      <c r="E183" s="115" t="s">
        <v>38</v>
      </c>
      <c r="F183" s="71">
        <v>11040130001</v>
      </c>
      <c r="G183" s="127" t="s">
        <v>39</v>
      </c>
      <c r="H183" s="117">
        <v>104.8</v>
      </c>
    </row>
    <row r="184" spans="2:8" x14ac:dyDescent="0.25">
      <c r="B184" s="121" t="s">
        <v>382</v>
      </c>
      <c r="C184" s="122" t="s">
        <v>1698</v>
      </c>
      <c r="D184" s="115" t="s">
        <v>18</v>
      </c>
      <c r="E184" s="123" t="s">
        <v>113</v>
      </c>
      <c r="F184" s="71">
        <v>11061720001</v>
      </c>
      <c r="G184" s="127" t="s">
        <v>30</v>
      </c>
      <c r="H184" s="117">
        <v>741.62</v>
      </c>
    </row>
    <row r="185" spans="2:8" x14ac:dyDescent="0.25">
      <c r="B185" s="121" t="s">
        <v>63</v>
      </c>
      <c r="C185" s="122" t="s">
        <v>1661</v>
      </c>
      <c r="D185" s="115" t="s">
        <v>18</v>
      </c>
      <c r="E185" s="123" t="s">
        <v>64</v>
      </c>
      <c r="F185" s="71">
        <v>11030840001</v>
      </c>
      <c r="G185" s="123" t="s">
        <v>65</v>
      </c>
      <c r="H185" s="117">
        <v>2992.77</v>
      </c>
    </row>
    <row r="186" spans="2:8" x14ac:dyDescent="0.25">
      <c r="B186" s="121" t="s">
        <v>413</v>
      </c>
      <c r="C186" s="122" t="s">
        <v>414</v>
      </c>
      <c r="D186" s="115" t="s">
        <v>18</v>
      </c>
      <c r="E186" s="123" t="s">
        <v>73</v>
      </c>
      <c r="F186" s="71">
        <v>11040140001</v>
      </c>
      <c r="G186" s="123" t="s">
        <v>39</v>
      </c>
      <c r="H186" s="117">
        <v>3.2000000000000028</v>
      </c>
    </row>
    <row r="187" spans="2:8" x14ac:dyDescent="0.25">
      <c r="B187" s="120" t="s">
        <v>363</v>
      </c>
      <c r="C187" s="114" t="s">
        <v>1637</v>
      </c>
      <c r="D187" s="115" t="s">
        <v>18</v>
      </c>
      <c r="E187" s="115" t="s">
        <v>113</v>
      </c>
      <c r="F187" s="71">
        <v>11061720001</v>
      </c>
      <c r="G187" s="127" t="s">
        <v>30</v>
      </c>
      <c r="H187" s="117">
        <v>695.94</v>
      </c>
    </row>
    <row r="188" spans="2:8" x14ac:dyDescent="0.25">
      <c r="B188" s="121" t="s">
        <v>798</v>
      </c>
      <c r="C188" s="122" t="s">
        <v>799</v>
      </c>
      <c r="D188" s="115" t="s">
        <v>18</v>
      </c>
      <c r="E188" s="123" t="s">
        <v>113</v>
      </c>
      <c r="F188" s="71">
        <v>11061720001</v>
      </c>
      <c r="G188" s="127" t="s">
        <v>30</v>
      </c>
      <c r="H188" s="117">
        <v>204.01999999999998</v>
      </c>
    </row>
    <row r="189" spans="2:8" x14ac:dyDescent="0.25">
      <c r="B189" s="120" t="s">
        <v>173</v>
      </c>
      <c r="C189" s="114" t="s">
        <v>1674</v>
      </c>
      <c r="D189" s="115" t="s">
        <v>18</v>
      </c>
      <c r="E189" s="115" t="s">
        <v>113</v>
      </c>
      <c r="F189" s="71">
        <v>11061720001</v>
      </c>
      <c r="G189" s="123" t="s">
        <v>30</v>
      </c>
      <c r="H189" s="117">
        <v>309.89999999999998</v>
      </c>
    </row>
    <row r="190" spans="2:8" x14ac:dyDescent="0.25">
      <c r="B190" s="120" t="s">
        <v>567</v>
      </c>
      <c r="C190" s="114" t="s">
        <v>568</v>
      </c>
      <c r="D190" s="115" t="s">
        <v>18</v>
      </c>
      <c r="E190" s="115" t="s">
        <v>569</v>
      </c>
      <c r="F190" s="71">
        <v>11061980001</v>
      </c>
      <c r="G190" s="127" t="s">
        <v>34</v>
      </c>
      <c r="H190" s="117">
        <v>198.89999999999986</v>
      </c>
    </row>
    <row r="191" spans="2:8" x14ac:dyDescent="0.25">
      <c r="B191" s="120" t="s">
        <v>573</v>
      </c>
      <c r="C191" s="114" t="s">
        <v>574</v>
      </c>
      <c r="D191" s="115" t="s">
        <v>18</v>
      </c>
      <c r="E191" s="115" t="s">
        <v>73</v>
      </c>
      <c r="F191" s="71">
        <v>11040140001</v>
      </c>
      <c r="G191" s="127" t="s">
        <v>39</v>
      </c>
      <c r="H191" s="117">
        <v>41</v>
      </c>
    </row>
    <row r="192" spans="2:8" x14ac:dyDescent="0.25">
      <c r="B192" s="121" t="s">
        <v>474</v>
      </c>
      <c r="C192" s="122" t="s">
        <v>475</v>
      </c>
      <c r="D192" s="115" t="s">
        <v>18</v>
      </c>
      <c r="E192" s="123" t="s">
        <v>113</v>
      </c>
      <c r="F192" s="71">
        <v>11061720001</v>
      </c>
      <c r="G192" s="127" t="s">
        <v>30</v>
      </c>
      <c r="H192" s="117">
        <v>524.51</v>
      </c>
    </row>
    <row r="193" spans="2:8" x14ac:dyDescent="0.25">
      <c r="B193" s="120" t="s">
        <v>448</v>
      </c>
      <c r="C193" s="114" t="s">
        <v>449</v>
      </c>
      <c r="D193" s="115" t="s">
        <v>18</v>
      </c>
      <c r="E193" s="115" t="s">
        <v>224</v>
      </c>
      <c r="F193" s="71">
        <v>11061400001</v>
      </c>
      <c r="G193" s="123" t="s">
        <v>30</v>
      </c>
      <c r="H193" s="117">
        <v>700</v>
      </c>
    </row>
    <row r="194" spans="2:8" x14ac:dyDescent="0.25">
      <c r="B194" s="134" t="s">
        <v>323</v>
      </c>
      <c r="C194" s="135" t="s">
        <v>1824</v>
      </c>
      <c r="D194" s="136" t="s">
        <v>18</v>
      </c>
      <c r="E194" s="137" t="s">
        <v>324</v>
      </c>
      <c r="F194" s="137">
        <v>1201044</v>
      </c>
      <c r="G194" s="136" t="s">
        <v>24</v>
      </c>
      <c r="H194" s="141">
        <v>500</v>
      </c>
    </row>
    <row r="195" spans="2:8" x14ac:dyDescent="0.25">
      <c r="B195" s="120" t="s">
        <v>812</v>
      </c>
      <c r="C195" s="114" t="s">
        <v>813</v>
      </c>
      <c r="D195" s="115" t="s">
        <v>18</v>
      </c>
      <c r="E195" s="115" t="s">
        <v>160</v>
      </c>
      <c r="F195" s="71">
        <v>11062450001</v>
      </c>
      <c r="G195" s="123" t="s">
        <v>27</v>
      </c>
      <c r="H195" s="117">
        <v>353.9</v>
      </c>
    </row>
    <row r="196" spans="2:8" x14ac:dyDescent="0.25">
      <c r="B196" s="134" t="s">
        <v>106</v>
      </c>
      <c r="C196" s="135" t="s">
        <v>1825</v>
      </c>
      <c r="D196" s="136" t="s">
        <v>18</v>
      </c>
      <c r="E196" s="137" t="s">
        <v>1817</v>
      </c>
      <c r="F196" s="137">
        <v>11010120001</v>
      </c>
      <c r="G196" s="138" t="s">
        <v>20</v>
      </c>
      <c r="H196" s="141">
        <v>300</v>
      </c>
    </row>
    <row r="197" spans="2:8" x14ac:dyDescent="0.25">
      <c r="B197" s="121" t="s">
        <v>808</v>
      </c>
      <c r="C197" s="122" t="s">
        <v>809</v>
      </c>
      <c r="D197" s="115" t="s">
        <v>18</v>
      </c>
      <c r="E197" s="123" t="s">
        <v>569</v>
      </c>
      <c r="F197" s="71">
        <v>11061980001</v>
      </c>
      <c r="G197" s="123" t="s">
        <v>34</v>
      </c>
      <c r="H197" s="117">
        <v>169.2</v>
      </c>
    </row>
    <row r="198" spans="2:8" x14ac:dyDescent="0.25">
      <c r="B198" s="121" t="s">
        <v>126</v>
      </c>
      <c r="C198" s="122" t="s">
        <v>1775</v>
      </c>
      <c r="D198" s="115" t="s">
        <v>18</v>
      </c>
      <c r="E198" s="123" t="s">
        <v>127</v>
      </c>
      <c r="F198" s="71">
        <v>11062850001</v>
      </c>
      <c r="G198" s="127" t="s">
        <v>27</v>
      </c>
      <c r="H198" s="117">
        <v>56</v>
      </c>
    </row>
    <row r="199" spans="2:8" x14ac:dyDescent="0.25">
      <c r="B199" s="120" t="s">
        <v>143</v>
      </c>
      <c r="C199" s="114" t="s">
        <v>1652</v>
      </c>
      <c r="D199" s="115" t="s">
        <v>18</v>
      </c>
      <c r="E199" s="115" t="s">
        <v>144</v>
      </c>
      <c r="F199" s="71">
        <v>11010090001</v>
      </c>
      <c r="G199" s="123" t="s">
        <v>65</v>
      </c>
      <c r="H199" s="117">
        <v>49.899999999999977</v>
      </c>
    </row>
    <row r="200" spans="2:8" x14ac:dyDescent="0.25">
      <c r="B200" s="121" t="s">
        <v>783</v>
      </c>
      <c r="C200" s="122" t="s">
        <v>784</v>
      </c>
      <c r="D200" s="115" t="s">
        <v>18</v>
      </c>
      <c r="E200" s="123" t="s">
        <v>785</v>
      </c>
      <c r="F200" s="71">
        <v>11010150001</v>
      </c>
      <c r="G200" s="123" t="s">
        <v>30</v>
      </c>
      <c r="H200" s="117">
        <v>109.5</v>
      </c>
    </row>
    <row r="201" spans="2:8" x14ac:dyDescent="0.25">
      <c r="B201" s="120" t="s">
        <v>608</v>
      </c>
      <c r="C201" s="114" t="s">
        <v>609</v>
      </c>
      <c r="D201" s="115" t="s">
        <v>18</v>
      </c>
      <c r="E201" s="115" t="s">
        <v>113</v>
      </c>
      <c r="F201" s="71">
        <v>11061720001</v>
      </c>
      <c r="G201" s="123" t="s">
        <v>30</v>
      </c>
      <c r="H201" s="117">
        <v>796.88</v>
      </c>
    </row>
    <row r="202" spans="2:8" x14ac:dyDescent="0.25">
      <c r="B202" s="121" t="s">
        <v>481</v>
      </c>
      <c r="C202" s="122" t="s">
        <v>482</v>
      </c>
      <c r="D202" s="115" t="s">
        <v>18</v>
      </c>
      <c r="E202" s="123" t="s">
        <v>38</v>
      </c>
      <c r="F202" s="71">
        <v>11040130001</v>
      </c>
      <c r="G202" s="127" t="s">
        <v>39</v>
      </c>
      <c r="H202" s="117">
        <v>105.35</v>
      </c>
    </row>
    <row r="203" spans="2:8" x14ac:dyDescent="0.25">
      <c r="B203" s="121" t="s">
        <v>806</v>
      </c>
      <c r="C203" s="122" t="s">
        <v>807</v>
      </c>
      <c r="D203" s="115" t="s">
        <v>18</v>
      </c>
      <c r="E203" s="123" t="s">
        <v>197</v>
      </c>
      <c r="F203" s="71">
        <v>11061770001</v>
      </c>
      <c r="G203" s="123" t="s">
        <v>34</v>
      </c>
      <c r="H203" s="117">
        <v>86.65</v>
      </c>
    </row>
    <row r="204" spans="2:8" x14ac:dyDescent="0.25">
      <c r="B204" s="121" t="s">
        <v>775</v>
      </c>
      <c r="C204" s="122" t="s">
        <v>776</v>
      </c>
      <c r="D204" s="115" t="s">
        <v>18</v>
      </c>
      <c r="E204" s="123" t="s">
        <v>113</v>
      </c>
      <c r="F204" s="71">
        <v>11061720001</v>
      </c>
      <c r="G204" s="123" t="s">
        <v>30</v>
      </c>
      <c r="H204" s="117">
        <v>585.79999999999995</v>
      </c>
    </row>
    <row r="205" spans="2:8" x14ac:dyDescent="0.25">
      <c r="B205" s="120" t="s">
        <v>615</v>
      </c>
      <c r="C205" s="114" t="s">
        <v>616</v>
      </c>
      <c r="D205" s="115" t="s">
        <v>18</v>
      </c>
      <c r="E205" s="115" t="s">
        <v>113</v>
      </c>
      <c r="F205" s="71">
        <v>11061720001</v>
      </c>
      <c r="G205" s="123" t="s">
        <v>30</v>
      </c>
      <c r="H205" s="117">
        <v>1334.89</v>
      </c>
    </row>
    <row r="206" spans="2:8" x14ac:dyDescent="0.25">
      <c r="B206" s="121" t="s">
        <v>220</v>
      </c>
      <c r="C206" s="122" t="s">
        <v>1558</v>
      </c>
      <c r="D206" s="115" t="s">
        <v>18</v>
      </c>
      <c r="E206" s="123" t="s">
        <v>113</v>
      </c>
      <c r="F206" s="71">
        <v>11061720001</v>
      </c>
      <c r="G206" s="127" t="s">
        <v>30</v>
      </c>
      <c r="H206" s="117">
        <v>742.9</v>
      </c>
    </row>
    <row r="207" spans="2:8" x14ac:dyDescent="0.25">
      <c r="B207" s="121" t="s">
        <v>630</v>
      </c>
      <c r="C207" s="122" t="s">
        <v>631</v>
      </c>
      <c r="D207" s="115" t="s">
        <v>18</v>
      </c>
      <c r="E207" s="123" t="s">
        <v>130</v>
      </c>
      <c r="F207" s="71">
        <v>1201071</v>
      </c>
      <c r="G207" s="123" t="s">
        <v>30</v>
      </c>
      <c r="H207" s="117">
        <v>142.89999999999998</v>
      </c>
    </row>
    <row r="208" spans="2:8" x14ac:dyDescent="0.25">
      <c r="B208" s="121" t="s">
        <v>204</v>
      </c>
      <c r="C208" s="122" t="s">
        <v>1786</v>
      </c>
      <c r="D208" s="115" t="s">
        <v>18</v>
      </c>
      <c r="E208" s="123" t="s">
        <v>205</v>
      </c>
      <c r="F208" s="71">
        <v>11062660001</v>
      </c>
      <c r="G208" s="123" t="s">
        <v>34</v>
      </c>
      <c r="H208" s="117">
        <v>746.4</v>
      </c>
    </row>
    <row r="209" spans="2:8" x14ac:dyDescent="0.25">
      <c r="B209" s="121" t="s">
        <v>647</v>
      </c>
      <c r="C209" s="122" t="s">
        <v>648</v>
      </c>
      <c r="D209" s="115" t="s">
        <v>18</v>
      </c>
      <c r="E209" s="123" t="s">
        <v>164</v>
      </c>
      <c r="F209" s="71">
        <v>11030730001</v>
      </c>
      <c r="G209" s="123" t="s">
        <v>20</v>
      </c>
      <c r="H209" s="117">
        <v>13.080000000000041</v>
      </c>
    </row>
    <row r="210" spans="2:8" x14ac:dyDescent="0.25">
      <c r="B210" s="120" t="s">
        <v>1813</v>
      </c>
      <c r="C210" s="114" t="s">
        <v>1814</v>
      </c>
      <c r="D210" s="115" t="s">
        <v>18</v>
      </c>
      <c r="E210" s="115" t="s">
        <v>1819</v>
      </c>
      <c r="F210" s="71">
        <v>11063040001</v>
      </c>
      <c r="G210" s="123" t="s">
        <v>20</v>
      </c>
      <c r="H210" s="117">
        <v>250</v>
      </c>
    </row>
    <row r="211" spans="2:8" x14ac:dyDescent="0.25">
      <c r="B211" s="121" t="s">
        <v>754</v>
      </c>
      <c r="C211" s="122" t="s">
        <v>755</v>
      </c>
      <c r="D211" s="115" t="s">
        <v>18</v>
      </c>
      <c r="E211" s="123" t="s">
        <v>756</v>
      </c>
      <c r="F211" s="71">
        <v>11010170001</v>
      </c>
      <c r="G211" s="127" t="s">
        <v>27</v>
      </c>
      <c r="H211" s="117">
        <v>57.850000000000023</v>
      </c>
    </row>
  </sheetData>
  <autoFilter ref="B2:H211" xr:uid="{7A385B33-A255-401A-9153-6719876486A3}"/>
  <conditionalFormatting sqref="B2">
    <cfRule type="duplicateValues" dxfId="6" priority="3"/>
  </conditionalFormatting>
  <conditionalFormatting sqref="B2:C2">
    <cfRule type="duplicateValues" dxfId="5" priority="4"/>
  </conditionalFormatting>
  <conditionalFormatting sqref="B13:B211 B2">
    <cfRule type="duplicateValues" dxfId="0" priority="35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43FC3-1E85-4EDF-BFD7-291B4DCD2C52}">
  <dimension ref="A1"/>
  <sheetViews>
    <sheetView workbookViewId="0"/>
  </sheetViews>
  <sheetFormatPr defaultRowHeight="15.75" x14ac:dyDescent="0.25"/>
  <sheetData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80E92-52DF-4E39-B5BF-0853FB6E847E}">
  <sheetPr filterMode="1"/>
  <dimension ref="B1:I533"/>
  <sheetViews>
    <sheetView workbookViewId="0">
      <selection activeCell="B1" sqref="B1:I1"/>
    </sheetView>
  </sheetViews>
  <sheetFormatPr defaultRowHeight="15.75" x14ac:dyDescent="0.25"/>
  <cols>
    <col min="2" max="2" width="4.125" bestFit="1" customWidth="1"/>
    <col min="3" max="3" width="33.125" bestFit="1" customWidth="1"/>
    <col min="4" max="4" width="27.75" bestFit="1" customWidth="1"/>
    <col min="5" max="5" width="9.75" bestFit="1" customWidth="1"/>
    <col min="6" max="6" width="12" bestFit="1" customWidth="1"/>
    <col min="7" max="7" width="12.25" bestFit="1" customWidth="1"/>
    <col min="8" max="8" width="10.25" bestFit="1" customWidth="1"/>
  </cols>
  <sheetData>
    <row r="1" spans="2:9" x14ac:dyDescent="0.25">
      <c r="B1" s="56" t="s">
        <v>814</v>
      </c>
      <c r="C1" s="56" t="s">
        <v>815</v>
      </c>
      <c r="D1" s="56" t="s">
        <v>816</v>
      </c>
      <c r="E1" s="56" t="s">
        <v>817</v>
      </c>
      <c r="F1" s="56" t="s">
        <v>818</v>
      </c>
      <c r="G1" s="56" t="s">
        <v>819</v>
      </c>
      <c r="H1" s="56" t="s">
        <v>820</v>
      </c>
      <c r="I1" s="56" t="s">
        <v>821</v>
      </c>
    </row>
    <row r="2" spans="2:9" hidden="1" x14ac:dyDescent="0.25">
      <c r="B2" s="41"/>
      <c r="C2" s="43" t="s">
        <v>17</v>
      </c>
      <c r="D2" s="43" t="s">
        <v>822</v>
      </c>
      <c r="E2" s="43" t="s">
        <v>823</v>
      </c>
      <c r="F2" s="48" t="s">
        <v>22</v>
      </c>
      <c r="G2" s="43" t="s">
        <v>824</v>
      </c>
      <c r="H2" s="43" t="s">
        <v>825</v>
      </c>
      <c r="I2" s="44"/>
    </row>
    <row r="3" spans="2:9" hidden="1" x14ac:dyDescent="0.25">
      <c r="B3" s="41"/>
      <c r="C3" s="43" t="s">
        <v>23</v>
      </c>
      <c r="D3" s="43" t="s">
        <v>826</v>
      </c>
      <c r="E3" s="43" t="s">
        <v>823</v>
      </c>
      <c r="F3" s="48" t="s">
        <v>22</v>
      </c>
      <c r="G3" s="43" t="s">
        <v>824</v>
      </c>
      <c r="H3" s="43" t="s">
        <v>825</v>
      </c>
      <c r="I3" s="44"/>
    </row>
    <row r="4" spans="2:9" hidden="1" x14ac:dyDescent="0.25">
      <c r="B4" s="41"/>
      <c r="C4" s="43" t="s">
        <v>25</v>
      </c>
      <c r="D4" s="43" t="s">
        <v>827</v>
      </c>
      <c r="E4" s="43" t="s">
        <v>823</v>
      </c>
      <c r="F4" s="48" t="s">
        <v>22</v>
      </c>
      <c r="G4" s="43" t="s">
        <v>824</v>
      </c>
      <c r="H4" s="43" t="s">
        <v>825</v>
      </c>
      <c r="I4" s="44"/>
    </row>
    <row r="5" spans="2:9" hidden="1" x14ac:dyDescent="0.25">
      <c r="B5" s="41"/>
      <c r="C5" s="43" t="s">
        <v>28</v>
      </c>
      <c r="D5" s="43" t="s">
        <v>828</v>
      </c>
      <c r="E5" s="43" t="s">
        <v>823</v>
      </c>
      <c r="F5" s="48" t="s">
        <v>22</v>
      </c>
      <c r="G5" s="43" t="s">
        <v>824</v>
      </c>
      <c r="H5" s="43" t="s">
        <v>825</v>
      </c>
      <c r="I5" s="44"/>
    </row>
    <row r="6" spans="2:9" hidden="1" x14ac:dyDescent="0.25">
      <c r="B6" s="41"/>
      <c r="C6" s="43" t="s">
        <v>32</v>
      </c>
      <c r="D6" s="43" t="s">
        <v>829</v>
      </c>
      <c r="E6" s="43" t="s">
        <v>823</v>
      </c>
      <c r="F6" s="48" t="s">
        <v>22</v>
      </c>
      <c r="G6" s="43" t="s">
        <v>824</v>
      </c>
      <c r="H6" s="43" t="s">
        <v>825</v>
      </c>
      <c r="I6" s="44"/>
    </row>
    <row r="7" spans="2:9" hidden="1" x14ac:dyDescent="0.25">
      <c r="B7" s="41"/>
      <c r="C7" s="43" t="s">
        <v>35</v>
      </c>
      <c r="D7" s="43" t="s">
        <v>830</v>
      </c>
      <c r="E7" s="43" t="s">
        <v>831</v>
      </c>
      <c r="F7" s="49" t="s">
        <v>36</v>
      </c>
      <c r="G7" s="43" t="s">
        <v>824</v>
      </c>
      <c r="H7" s="43" t="s">
        <v>825</v>
      </c>
      <c r="I7" s="44"/>
    </row>
    <row r="8" spans="2:9" hidden="1" x14ac:dyDescent="0.25">
      <c r="B8" s="41"/>
      <c r="C8" s="43" t="s">
        <v>37</v>
      </c>
      <c r="D8" s="43" t="s">
        <v>832</v>
      </c>
      <c r="E8" s="43" t="s">
        <v>823</v>
      </c>
      <c r="F8" s="48" t="s">
        <v>22</v>
      </c>
      <c r="G8" s="43" t="s">
        <v>824</v>
      </c>
      <c r="H8" s="43" t="s">
        <v>825</v>
      </c>
      <c r="I8" s="44"/>
    </row>
    <row r="9" spans="2:9" hidden="1" x14ac:dyDescent="0.25">
      <c r="B9" s="41"/>
      <c r="C9" s="43" t="s">
        <v>42</v>
      </c>
      <c r="D9" s="43" t="s">
        <v>833</v>
      </c>
      <c r="E9" s="43" t="s">
        <v>823</v>
      </c>
      <c r="F9" s="48" t="s">
        <v>22</v>
      </c>
      <c r="G9" s="43" t="s">
        <v>824</v>
      </c>
      <c r="H9" s="43" t="s">
        <v>825</v>
      </c>
      <c r="I9" s="44"/>
    </row>
    <row r="10" spans="2:9" hidden="1" x14ac:dyDescent="0.25">
      <c r="B10" s="41"/>
      <c r="C10" s="43" t="s">
        <v>44</v>
      </c>
      <c r="D10" s="43" t="s">
        <v>834</v>
      </c>
      <c r="E10" s="43" t="s">
        <v>823</v>
      </c>
      <c r="F10" s="49" t="s">
        <v>36</v>
      </c>
      <c r="G10" s="43" t="s">
        <v>824</v>
      </c>
      <c r="H10" s="43" t="s">
        <v>825</v>
      </c>
      <c r="I10" s="44"/>
    </row>
    <row r="11" spans="2:9" hidden="1" x14ac:dyDescent="0.25">
      <c r="B11" s="41"/>
      <c r="C11" s="43" t="s">
        <v>45</v>
      </c>
      <c r="D11" s="43" t="s">
        <v>835</v>
      </c>
      <c r="E11" s="43" t="s">
        <v>823</v>
      </c>
      <c r="F11" s="50" t="s">
        <v>47</v>
      </c>
      <c r="G11" s="43" t="s">
        <v>824</v>
      </c>
      <c r="H11" s="43" t="s">
        <v>825</v>
      </c>
      <c r="I11" s="44"/>
    </row>
    <row r="12" spans="2:9" hidden="1" x14ac:dyDescent="0.25">
      <c r="B12" s="41"/>
      <c r="C12" s="43" t="s">
        <v>48</v>
      </c>
      <c r="D12" s="43" t="s">
        <v>836</v>
      </c>
      <c r="E12" s="43" t="s">
        <v>823</v>
      </c>
      <c r="F12" s="48" t="s">
        <v>22</v>
      </c>
      <c r="G12" s="43" t="s">
        <v>824</v>
      </c>
      <c r="H12" s="43" t="s">
        <v>825</v>
      </c>
      <c r="I12" s="44"/>
    </row>
    <row r="13" spans="2:9" hidden="1" x14ac:dyDescent="0.25">
      <c r="B13" s="41"/>
      <c r="C13" s="43" t="s">
        <v>50</v>
      </c>
      <c r="D13" s="43" t="s">
        <v>837</v>
      </c>
      <c r="E13" s="43" t="s">
        <v>823</v>
      </c>
      <c r="F13" s="48" t="s">
        <v>22</v>
      </c>
      <c r="G13" s="43" t="s">
        <v>824</v>
      </c>
      <c r="H13" s="43" t="s">
        <v>825</v>
      </c>
      <c r="I13" s="44"/>
    </row>
    <row r="14" spans="2:9" hidden="1" x14ac:dyDescent="0.25">
      <c r="B14" s="41"/>
      <c r="C14" s="43" t="s">
        <v>54</v>
      </c>
      <c r="D14" s="43" t="s">
        <v>838</v>
      </c>
      <c r="E14" s="43" t="s">
        <v>823</v>
      </c>
      <c r="F14" s="49" t="s">
        <v>36</v>
      </c>
      <c r="G14" s="43" t="s">
        <v>824</v>
      </c>
      <c r="H14" s="43" t="s">
        <v>825</v>
      </c>
      <c r="I14" s="44"/>
    </row>
    <row r="15" spans="2:9" hidden="1" x14ac:dyDescent="0.25">
      <c r="B15" s="41"/>
      <c r="C15" s="43" t="s">
        <v>56</v>
      </c>
      <c r="D15" s="43" t="s">
        <v>839</v>
      </c>
      <c r="E15" s="43" t="s">
        <v>823</v>
      </c>
      <c r="F15" s="48" t="s">
        <v>22</v>
      </c>
      <c r="G15" s="43" t="s">
        <v>824</v>
      </c>
      <c r="H15" s="43" t="s">
        <v>825</v>
      </c>
      <c r="I15" s="44"/>
    </row>
    <row r="16" spans="2:9" hidden="1" x14ac:dyDescent="0.25">
      <c r="B16" s="41"/>
      <c r="C16" s="43" t="s">
        <v>840</v>
      </c>
      <c r="D16" s="43" t="s">
        <v>841</v>
      </c>
      <c r="E16" s="43" t="s">
        <v>823</v>
      </c>
      <c r="F16" s="48" t="s">
        <v>22</v>
      </c>
      <c r="G16" s="43" t="s">
        <v>824</v>
      </c>
      <c r="H16" s="43" t="s">
        <v>825</v>
      </c>
      <c r="I16" s="44"/>
    </row>
    <row r="17" spans="2:9" hidden="1" x14ac:dyDescent="0.25">
      <c r="B17" s="41"/>
      <c r="C17" s="43" t="s">
        <v>57</v>
      </c>
      <c r="D17" s="43" t="s">
        <v>842</v>
      </c>
      <c r="E17" s="43" t="s">
        <v>823</v>
      </c>
      <c r="F17" s="50" t="s">
        <v>47</v>
      </c>
      <c r="G17" s="43" t="s">
        <v>824</v>
      </c>
      <c r="H17" s="43" t="s">
        <v>825</v>
      </c>
      <c r="I17" s="44"/>
    </row>
    <row r="18" spans="2:9" hidden="1" x14ac:dyDescent="0.25">
      <c r="B18" s="41"/>
      <c r="C18" s="43" t="s">
        <v>58</v>
      </c>
      <c r="D18" s="43" t="s">
        <v>843</v>
      </c>
      <c r="E18" s="43" t="s">
        <v>823</v>
      </c>
      <c r="F18" s="48" t="s">
        <v>22</v>
      </c>
      <c r="G18" s="43" t="s">
        <v>824</v>
      </c>
      <c r="H18" s="43" t="s">
        <v>825</v>
      </c>
      <c r="I18" s="44"/>
    </row>
    <row r="19" spans="2:9" hidden="1" x14ac:dyDescent="0.25">
      <c r="B19" s="41"/>
      <c r="C19" s="43" t="s">
        <v>60</v>
      </c>
      <c r="D19" s="43" t="s">
        <v>846</v>
      </c>
      <c r="E19" s="43" t="s">
        <v>823</v>
      </c>
      <c r="F19" s="48" t="s">
        <v>22</v>
      </c>
      <c r="G19" s="43" t="s">
        <v>824</v>
      </c>
      <c r="H19" s="43" t="s">
        <v>825</v>
      </c>
      <c r="I19" s="44"/>
    </row>
    <row r="20" spans="2:9" hidden="1" x14ac:dyDescent="0.25">
      <c r="B20" s="41"/>
      <c r="C20" s="43" t="s">
        <v>62</v>
      </c>
      <c r="D20" s="43" t="s">
        <v>847</v>
      </c>
      <c r="E20" s="43" t="s">
        <v>823</v>
      </c>
      <c r="F20" s="49" t="s">
        <v>36</v>
      </c>
      <c r="G20" s="43" t="s">
        <v>824</v>
      </c>
      <c r="H20" s="43" t="s">
        <v>825</v>
      </c>
      <c r="I20" s="44"/>
    </row>
    <row r="21" spans="2:9" hidden="1" x14ac:dyDescent="0.25">
      <c r="B21" s="41"/>
      <c r="C21" s="43" t="s">
        <v>63</v>
      </c>
      <c r="D21" s="43" t="s">
        <v>848</v>
      </c>
      <c r="E21" s="43" t="s">
        <v>823</v>
      </c>
      <c r="F21" s="48" t="s">
        <v>22</v>
      </c>
      <c r="G21" s="43" t="s">
        <v>824</v>
      </c>
      <c r="H21" s="43" t="s">
        <v>825</v>
      </c>
      <c r="I21" s="44"/>
    </row>
    <row r="22" spans="2:9" hidden="1" x14ac:dyDescent="0.25">
      <c r="B22" s="41"/>
      <c r="C22" s="43" t="s">
        <v>66</v>
      </c>
      <c r="D22" s="43" t="s">
        <v>849</v>
      </c>
      <c r="E22" s="43" t="s">
        <v>823</v>
      </c>
      <c r="F22" s="48" t="s">
        <v>22</v>
      </c>
      <c r="G22" s="43" t="s">
        <v>824</v>
      </c>
      <c r="H22" s="43" t="s">
        <v>825</v>
      </c>
      <c r="I22" s="44"/>
    </row>
    <row r="23" spans="2:9" hidden="1" x14ac:dyDescent="0.25">
      <c r="B23" s="41"/>
      <c r="C23" s="43" t="s">
        <v>68</v>
      </c>
      <c r="D23" s="43" t="s">
        <v>850</v>
      </c>
      <c r="E23" s="43" t="s">
        <v>823</v>
      </c>
      <c r="F23" s="48" t="s">
        <v>22</v>
      </c>
      <c r="G23" s="43" t="s">
        <v>824</v>
      </c>
      <c r="H23" s="43" t="s">
        <v>825</v>
      </c>
      <c r="I23" s="44"/>
    </row>
    <row r="24" spans="2:9" hidden="1" x14ac:dyDescent="0.25">
      <c r="B24" s="41"/>
      <c r="C24" s="43" t="s">
        <v>70</v>
      </c>
      <c r="D24" s="43" t="s">
        <v>851</v>
      </c>
      <c r="E24" s="43" t="s">
        <v>823</v>
      </c>
      <c r="F24" s="48" t="s">
        <v>22</v>
      </c>
      <c r="G24" s="43" t="s">
        <v>824</v>
      </c>
      <c r="H24" s="43" t="s">
        <v>825</v>
      </c>
      <c r="I24" s="44"/>
    </row>
    <row r="25" spans="2:9" hidden="1" x14ac:dyDescent="0.25">
      <c r="B25" s="41"/>
      <c r="C25" s="43" t="s">
        <v>72</v>
      </c>
      <c r="D25" s="43" t="s">
        <v>852</v>
      </c>
      <c r="E25" s="43" t="s">
        <v>823</v>
      </c>
      <c r="F25" s="49" t="s">
        <v>36</v>
      </c>
      <c r="G25" s="43" t="s">
        <v>824</v>
      </c>
      <c r="H25" s="43" t="s">
        <v>825</v>
      </c>
      <c r="I25" s="44"/>
    </row>
    <row r="26" spans="2:9" hidden="1" x14ac:dyDescent="0.25">
      <c r="B26" s="41"/>
      <c r="C26" s="43" t="s">
        <v>74</v>
      </c>
      <c r="D26" s="43" t="s">
        <v>853</v>
      </c>
      <c r="E26" s="43" t="s">
        <v>831</v>
      </c>
      <c r="F26" s="48" t="s">
        <v>22</v>
      </c>
      <c r="G26" s="43" t="s">
        <v>824</v>
      </c>
      <c r="H26" s="43" t="s">
        <v>825</v>
      </c>
      <c r="I26" s="44"/>
    </row>
    <row r="27" spans="2:9" hidden="1" x14ac:dyDescent="0.25">
      <c r="B27" s="41"/>
      <c r="C27" s="43" t="s">
        <v>854</v>
      </c>
      <c r="D27" s="43" t="s">
        <v>855</v>
      </c>
      <c r="E27" s="43" t="s">
        <v>823</v>
      </c>
      <c r="F27" s="49" t="s">
        <v>36</v>
      </c>
      <c r="G27" s="43" t="s">
        <v>824</v>
      </c>
      <c r="H27" s="43" t="s">
        <v>825</v>
      </c>
      <c r="I27" s="44"/>
    </row>
    <row r="28" spans="2:9" hidden="1" x14ac:dyDescent="0.25">
      <c r="B28" s="41"/>
      <c r="C28" s="43" t="s">
        <v>79</v>
      </c>
      <c r="D28" s="43" t="s">
        <v>856</v>
      </c>
      <c r="E28" s="43" t="s">
        <v>823</v>
      </c>
      <c r="F28" s="48" t="s">
        <v>22</v>
      </c>
      <c r="G28" s="43" t="s">
        <v>824</v>
      </c>
      <c r="H28" s="43" t="s">
        <v>825</v>
      </c>
      <c r="I28" s="44"/>
    </row>
    <row r="29" spans="2:9" hidden="1" x14ac:dyDescent="0.25">
      <c r="B29" s="41"/>
      <c r="C29" s="43" t="s">
        <v>80</v>
      </c>
      <c r="D29" s="43" t="s">
        <v>857</v>
      </c>
      <c r="E29" s="43" t="s">
        <v>823</v>
      </c>
      <c r="F29" s="48" t="s">
        <v>22</v>
      </c>
      <c r="G29" s="43" t="s">
        <v>824</v>
      </c>
      <c r="H29" s="43" t="s">
        <v>825</v>
      </c>
      <c r="I29" s="44"/>
    </row>
    <row r="30" spans="2:9" hidden="1" x14ac:dyDescent="0.25">
      <c r="B30" s="41"/>
      <c r="C30" s="43" t="s">
        <v>84</v>
      </c>
      <c r="D30" s="43" t="s">
        <v>858</v>
      </c>
      <c r="E30" s="43" t="s">
        <v>823</v>
      </c>
      <c r="F30" s="49" t="s">
        <v>36</v>
      </c>
      <c r="G30" s="43" t="s">
        <v>824</v>
      </c>
      <c r="H30" s="43" t="s">
        <v>825</v>
      </c>
      <c r="I30" s="44"/>
    </row>
    <row r="31" spans="2:9" hidden="1" x14ac:dyDescent="0.25">
      <c r="B31" s="41"/>
      <c r="C31" s="43" t="s">
        <v>85</v>
      </c>
      <c r="D31" s="43" t="s">
        <v>859</v>
      </c>
      <c r="E31" s="43" t="s">
        <v>823</v>
      </c>
      <c r="F31" s="48" t="s">
        <v>22</v>
      </c>
      <c r="G31" s="43" t="s">
        <v>824</v>
      </c>
      <c r="H31" s="43" t="s">
        <v>825</v>
      </c>
      <c r="I31" s="44"/>
    </row>
    <row r="32" spans="2:9" hidden="1" x14ac:dyDescent="0.25">
      <c r="B32" s="41"/>
      <c r="C32" s="43" t="s">
        <v>86</v>
      </c>
      <c r="D32" s="43" t="s">
        <v>860</v>
      </c>
      <c r="E32" s="43" t="s">
        <v>831</v>
      </c>
      <c r="F32" s="48" t="s">
        <v>22</v>
      </c>
      <c r="G32" s="43" t="s">
        <v>824</v>
      </c>
      <c r="H32" s="43" t="s">
        <v>861</v>
      </c>
      <c r="I32" s="44"/>
    </row>
    <row r="33" spans="2:9" hidden="1" x14ac:dyDescent="0.25">
      <c r="B33" s="41"/>
      <c r="C33" s="43" t="s">
        <v>862</v>
      </c>
      <c r="D33" s="43" t="s">
        <v>863</v>
      </c>
      <c r="E33" s="43" t="s">
        <v>823</v>
      </c>
      <c r="F33" s="48" t="s">
        <v>22</v>
      </c>
      <c r="G33" s="43" t="s">
        <v>824</v>
      </c>
      <c r="H33" s="43" t="s">
        <v>825</v>
      </c>
      <c r="I33" s="44"/>
    </row>
    <row r="34" spans="2:9" hidden="1" x14ac:dyDescent="0.25">
      <c r="B34" s="41"/>
      <c r="C34" s="43" t="s">
        <v>88</v>
      </c>
      <c r="D34" s="43" t="s">
        <v>864</v>
      </c>
      <c r="E34" s="43" t="s">
        <v>823</v>
      </c>
      <c r="F34" s="48" t="s">
        <v>22</v>
      </c>
      <c r="G34" s="43" t="s">
        <v>824</v>
      </c>
      <c r="H34" s="43" t="s">
        <v>825</v>
      </c>
      <c r="I34" s="44"/>
    </row>
    <row r="35" spans="2:9" hidden="1" x14ac:dyDescent="0.25">
      <c r="B35" s="41"/>
      <c r="C35" s="43" t="s">
        <v>90</v>
      </c>
      <c r="D35" s="43" t="s">
        <v>865</v>
      </c>
      <c r="E35" s="43" t="s">
        <v>823</v>
      </c>
      <c r="F35" s="48" t="s">
        <v>22</v>
      </c>
      <c r="G35" s="43" t="s">
        <v>824</v>
      </c>
      <c r="H35" s="43" t="s">
        <v>825</v>
      </c>
      <c r="I35" s="44"/>
    </row>
    <row r="36" spans="2:9" hidden="1" x14ac:dyDescent="0.25">
      <c r="B36" s="41"/>
      <c r="C36" s="43" t="s">
        <v>91</v>
      </c>
      <c r="D36" s="43" t="s">
        <v>866</v>
      </c>
      <c r="E36" s="43" t="s">
        <v>823</v>
      </c>
      <c r="F36" s="49" t="s">
        <v>36</v>
      </c>
      <c r="G36" s="43" t="s">
        <v>824</v>
      </c>
      <c r="H36" s="43" t="s">
        <v>825</v>
      </c>
      <c r="I36" s="44"/>
    </row>
    <row r="37" spans="2:9" hidden="1" x14ac:dyDescent="0.25">
      <c r="B37" s="41"/>
      <c r="C37" s="43" t="s">
        <v>92</v>
      </c>
      <c r="D37" s="43" t="s">
        <v>867</v>
      </c>
      <c r="E37" s="43" t="s">
        <v>823</v>
      </c>
      <c r="F37" s="48" t="s">
        <v>22</v>
      </c>
      <c r="G37" s="43" t="s">
        <v>824</v>
      </c>
      <c r="H37" s="43" t="s">
        <v>825</v>
      </c>
      <c r="I37" s="44"/>
    </row>
    <row r="38" spans="2:9" hidden="1" x14ac:dyDescent="0.25">
      <c r="B38" s="41"/>
      <c r="C38" s="43" t="s">
        <v>868</v>
      </c>
      <c r="D38" s="43" t="s">
        <v>869</v>
      </c>
      <c r="E38" s="43" t="s">
        <v>823</v>
      </c>
      <c r="F38" s="48" t="s">
        <v>22</v>
      </c>
      <c r="G38" s="43" t="s">
        <v>824</v>
      </c>
      <c r="H38" s="43" t="s">
        <v>825</v>
      </c>
      <c r="I38" s="44"/>
    </row>
    <row r="39" spans="2:9" hidden="1" x14ac:dyDescent="0.25">
      <c r="B39" s="41"/>
      <c r="C39" s="43" t="s">
        <v>870</v>
      </c>
      <c r="D39" s="43" t="s">
        <v>871</v>
      </c>
      <c r="E39" s="43" t="s">
        <v>872</v>
      </c>
      <c r="F39" s="49" t="s">
        <v>36</v>
      </c>
      <c r="G39" s="43" t="s">
        <v>824</v>
      </c>
      <c r="H39" s="43" t="s">
        <v>861</v>
      </c>
      <c r="I39" s="44"/>
    </row>
    <row r="40" spans="2:9" hidden="1" x14ac:dyDescent="0.25">
      <c r="B40" s="41"/>
      <c r="C40" s="43" t="s">
        <v>94</v>
      </c>
      <c r="D40" s="43" t="s">
        <v>873</v>
      </c>
      <c r="E40" s="43" t="s">
        <v>823</v>
      </c>
      <c r="F40" s="48" t="s">
        <v>22</v>
      </c>
      <c r="G40" s="43" t="s">
        <v>824</v>
      </c>
      <c r="H40" s="43" t="s">
        <v>825</v>
      </c>
      <c r="I40" s="44"/>
    </row>
    <row r="41" spans="2:9" hidden="1" x14ac:dyDescent="0.25">
      <c r="B41" s="41"/>
      <c r="C41" s="43" t="s">
        <v>95</v>
      </c>
      <c r="D41" s="43" t="s">
        <v>874</v>
      </c>
      <c r="E41" s="43" t="s">
        <v>823</v>
      </c>
      <c r="F41" s="48" t="s">
        <v>22</v>
      </c>
      <c r="G41" s="43" t="s">
        <v>824</v>
      </c>
      <c r="H41" s="43" t="s">
        <v>825</v>
      </c>
      <c r="I41" s="44"/>
    </row>
    <row r="42" spans="2:9" hidden="1" x14ac:dyDescent="0.25">
      <c r="B42" s="41"/>
      <c r="C42" s="43" t="s">
        <v>96</v>
      </c>
      <c r="D42" s="43" t="s">
        <v>877</v>
      </c>
      <c r="E42" s="43" t="s">
        <v>823</v>
      </c>
      <c r="F42" s="48" t="s">
        <v>22</v>
      </c>
      <c r="G42" s="43" t="s">
        <v>824</v>
      </c>
      <c r="H42" s="43" t="s">
        <v>825</v>
      </c>
      <c r="I42" s="44"/>
    </row>
    <row r="43" spans="2:9" hidden="1" x14ac:dyDescent="0.25">
      <c r="B43" s="41"/>
      <c r="C43" s="43" t="s">
        <v>98</v>
      </c>
      <c r="D43" s="43" t="s">
        <v>878</v>
      </c>
      <c r="E43" s="43" t="s">
        <v>823</v>
      </c>
      <c r="F43" s="48" t="s">
        <v>22</v>
      </c>
      <c r="G43" s="43" t="s">
        <v>824</v>
      </c>
      <c r="H43" s="43" t="s">
        <v>825</v>
      </c>
      <c r="I43" s="44"/>
    </row>
    <row r="44" spans="2:9" hidden="1" x14ac:dyDescent="0.25">
      <c r="B44" s="41"/>
      <c r="C44" s="43" t="s">
        <v>879</v>
      </c>
      <c r="D44" s="43" t="s">
        <v>880</v>
      </c>
      <c r="E44" s="43" t="s">
        <v>823</v>
      </c>
      <c r="F44" s="48" t="s">
        <v>22</v>
      </c>
      <c r="G44" s="43" t="s">
        <v>824</v>
      </c>
      <c r="H44" s="43" t="s">
        <v>825</v>
      </c>
      <c r="I44" s="44"/>
    </row>
    <row r="45" spans="2:9" hidden="1" x14ac:dyDescent="0.25">
      <c r="B45" s="41"/>
      <c r="C45" s="43" t="s">
        <v>99</v>
      </c>
      <c r="D45" s="43" t="s">
        <v>881</v>
      </c>
      <c r="E45" s="43" t="s">
        <v>823</v>
      </c>
      <c r="F45" s="49" t="s">
        <v>36</v>
      </c>
      <c r="G45" s="43" t="s">
        <v>824</v>
      </c>
      <c r="H45" s="43" t="s">
        <v>825</v>
      </c>
      <c r="I45" s="44"/>
    </row>
    <row r="46" spans="2:9" hidden="1" x14ac:dyDescent="0.25">
      <c r="B46" s="41"/>
      <c r="C46" s="43" t="s">
        <v>100</v>
      </c>
      <c r="D46" s="43" t="s">
        <v>882</v>
      </c>
      <c r="E46" s="43" t="s">
        <v>823</v>
      </c>
      <c r="F46" s="48" t="s">
        <v>22</v>
      </c>
      <c r="G46" s="43" t="s">
        <v>824</v>
      </c>
      <c r="H46" s="43" t="s">
        <v>825</v>
      </c>
      <c r="I46" s="44"/>
    </row>
    <row r="47" spans="2:9" hidden="1" x14ac:dyDescent="0.25">
      <c r="B47" s="41"/>
      <c r="C47" s="43" t="s">
        <v>102</v>
      </c>
      <c r="D47" s="43" t="s">
        <v>883</v>
      </c>
      <c r="E47" s="43" t="s">
        <v>823</v>
      </c>
      <c r="F47" s="48" t="s">
        <v>22</v>
      </c>
      <c r="G47" s="43" t="s">
        <v>824</v>
      </c>
      <c r="H47" s="43" t="s">
        <v>825</v>
      </c>
      <c r="I47" s="44"/>
    </row>
    <row r="48" spans="2:9" hidden="1" x14ac:dyDescent="0.25">
      <c r="B48" s="41"/>
      <c r="C48" s="43" t="s">
        <v>103</v>
      </c>
      <c r="D48" s="43" t="s">
        <v>884</v>
      </c>
      <c r="E48" s="43" t="s">
        <v>823</v>
      </c>
      <c r="F48" s="48" t="s">
        <v>22</v>
      </c>
      <c r="G48" s="43" t="s">
        <v>824</v>
      </c>
      <c r="H48" s="43" t="s">
        <v>825</v>
      </c>
      <c r="I48" s="44"/>
    </row>
    <row r="49" spans="2:9" hidden="1" x14ac:dyDescent="0.25">
      <c r="B49" s="41"/>
      <c r="C49" s="43" t="s">
        <v>104</v>
      </c>
      <c r="D49" s="43" t="s">
        <v>885</v>
      </c>
      <c r="E49" s="43" t="s">
        <v>823</v>
      </c>
      <c r="F49" s="48" t="s">
        <v>22</v>
      </c>
      <c r="G49" s="43" t="s">
        <v>824</v>
      </c>
      <c r="H49" s="43" t="s">
        <v>825</v>
      </c>
      <c r="I49" s="44"/>
    </row>
    <row r="50" spans="2:9" hidden="1" x14ac:dyDescent="0.25">
      <c r="B50" s="41"/>
      <c r="C50" s="43" t="s">
        <v>886</v>
      </c>
      <c r="D50" s="43" t="s">
        <v>887</v>
      </c>
      <c r="E50" s="43" t="s">
        <v>823</v>
      </c>
      <c r="F50" s="48" t="s">
        <v>22</v>
      </c>
      <c r="G50" s="43" t="s">
        <v>824</v>
      </c>
      <c r="H50" s="43" t="s">
        <v>825</v>
      </c>
      <c r="I50" s="44"/>
    </row>
    <row r="51" spans="2:9" hidden="1" x14ac:dyDescent="0.25">
      <c r="B51" s="42"/>
      <c r="C51" s="45" t="s">
        <v>888</v>
      </c>
      <c r="D51" s="45" t="s">
        <v>889</v>
      </c>
      <c r="E51" s="45" t="s">
        <v>872</v>
      </c>
      <c r="F51" s="51" t="s">
        <v>36</v>
      </c>
      <c r="G51" s="45" t="s">
        <v>824</v>
      </c>
      <c r="H51" s="45" t="s">
        <v>861</v>
      </c>
      <c r="I51" s="40"/>
    </row>
    <row r="52" spans="2:9" hidden="1" x14ac:dyDescent="0.25">
      <c r="B52" s="41"/>
      <c r="C52" s="43" t="s">
        <v>105</v>
      </c>
      <c r="D52" s="43" t="s">
        <v>890</v>
      </c>
      <c r="E52" s="43" t="s">
        <v>823</v>
      </c>
      <c r="F52" s="49" t="s">
        <v>36</v>
      </c>
      <c r="G52" s="43" t="s">
        <v>824</v>
      </c>
      <c r="H52" s="43" t="s">
        <v>825</v>
      </c>
      <c r="I52" s="44"/>
    </row>
    <row r="53" spans="2:9" hidden="1" x14ac:dyDescent="0.25">
      <c r="B53" s="41"/>
      <c r="C53" s="43" t="s">
        <v>891</v>
      </c>
      <c r="D53" s="43" t="s">
        <v>892</v>
      </c>
      <c r="E53" s="43" t="s">
        <v>823</v>
      </c>
      <c r="F53" s="48" t="s">
        <v>22</v>
      </c>
      <c r="G53" s="43" t="s">
        <v>824</v>
      </c>
      <c r="H53" s="43" t="s">
        <v>825</v>
      </c>
      <c r="I53" s="44"/>
    </row>
    <row r="54" spans="2:9" hidden="1" x14ac:dyDescent="0.25">
      <c r="B54" s="41"/>
      <c r="C54" s="43" t="s">
        <v>1471</v>
      </c>
      <c r="D54" s="43" t="s">
        <v>1472</v>
      </c>
      <c r="E54" s="43" t="s">
        <v>823</v>
      </c>
      <c r="F54" s="48" t="s">
        <v>22</v>
      </c>
      <c r="G54" s="43" t="s">
        <v>824</v>
      </c>
      <c r="H54" s="43" t="s">
        <v>825</v>
      </c>
      <c r="I54" s="44"/>
    </row>
    <row r="55" spans="2:9" hidden="1" x14ac:dyDescent="0.25">
      <c r="B55" s="41"/>
      <c r="C55" s="43" t="s">
        <v>107</v>
      </c>
      <c r="D55" s="43" t="s">
        <v>893</v>
      </c>
      <c r="E55" s="43" t="s">
        <v>823</v>
      </c>
      <c r="F55" s="48" t="s">
        <v>22</v>
      </c>
      <c r="G55" s="43" t="s">
        <v>824</v>
      </c>
      <c r="H55" s="43" t="s">
        <v>825</v>
      </c>
      <c r="I55" s="44"/>
    </row>
    <row r="56" spans="2:9" hidden="1" x14ac:dyDescent="0.25">
      <c r="B56" s="41"/>
      <c r="C56" s="43" t="s">
        <v>109</v>
      </c>
      <c r="D56" s="43" t="s">
        <v>894</v>
      </c>
      <c r="E56" s="43" t="s">
        <v>823</v>
      </c>
      <c r="F56" s="48" t="s">
        <v>22</v>
      </c>
      <c r="G56" s="43" t="s">
        <v>824</v>
      </c>
      <c r="H56" s="43" t="s">
        <v>825</v>
      </c>
      <c r="I56" s="44"/>
    </row>
    <row r="57" spans="2:9" hidden="1" x14ac:dyDescent="0.25">
      <c r="B57" s="41"/>
      <c r="C57" s="43" t="s">
        <v>111</v>
      </c>
      <c r="D57" s="43" t="s">
        <v>895</v>
      </c>
      <c r="E57" s="43" t="s">
        <v>823</v>
      </c>
      <c r="F57" s="48" t="s">
        <v>22</v>
      </c>
      <c r="G57" s="43" t="s">
        <v>824</v>
      </c>
      <c r="H57" s="43" t="s">
        <v>825</v>
      </c>
      <c r="I57" s="44"/>
    </row>
    <row r="58" spans="2:9" hidden="1" x14ac:dyDescent="0.25">
      <c r="B58" s="41"/>
      <c r="C58" s="43" t="s">
        <v>112</v>
      </c>
      <c r="D58" s="43" t="s">
        <v>896</v>
      </c>
      <c r="E58" s="43" t="s">
        <v>823</v>
      </c>
      <c r="F58" s="48" t="s">
        <v>22</v>
      </c>
      <c r="G58" s="43" t="s">
        <v>824</v>
      </c>
      <c r="H58" s="43" t="s">
        <v>825</v>
      </c>
      <c r="I58" s="44"/>
    </row>
    <row r="59" spans="2:9" hidden="1" x14ac:dyDescent="0.25">
      <c r="B59" s="41"/>
      <c r="C59" s="43" t="s">
        <v>115</v>
      </c>
      <c r="D59" s="43" t="s">
        <v>897</v>
      </c>
      <c r="E59" s="43" t="s">
        <v>823</v>
      </c>
      <c r="F59" s="48" t="s">
        <v>22</v>
      </c>
      <c r="G59" s="43" t="s">
        <v>824</v>
      </c>
      <c r="H59" s="43" t="s">
        <v>825</v>
      </c>
      <c r="I59" s="44"/>
    </row>
    <row r="60" spans="2:9" hidden="1" x14ac:dyDescent="0.25">
      <c r="B60" s="41"/>
      <c r="C60" s="43" t="s">
        <v>117</v>
      </c>
      <c r="D60" s="43" t="s">
        <v>898</v>
      </c>
      <c r="E60" s="43" t="s">
        <v>823</v>
      </c>
      <c r="F60" s="48" t="s">
        <v>22</v>
      </c>
      <c r="G60" s="43" t="s">
        <v>824</v>
      </c>
      <c r="H60" s="43" t="s">
        <v>825</v>
      </c>
      <c r="I60" s="44"/>
    </row>
    <row r="61" spans="2:9" hidden="1" x14ac:dyDescent="0.25">
      <c r="B61" s="41"/>
      <c r="C61" s="43" t="s">
        <v>120</v>
      </c>
      <c r="D61" s="43" t="s">
        <v>899</v>
      </c>
      <c r="E61" s="43" t="s">
        <v>823</v>
      </c>
      <c r="F61" s="48" t="s">
        <v>22</v>
      </c>
      <c r="G61" s="43" t="s">
        <v>824</v>
      </c>
      <c r="H61" s="43" t="s">
        <v>825</v>
      </c>
      <c r="I61" s="44"/>
    </row>
    <row r="62" spans="2:9" hidden="1" x14ac:dyDescent="0.25">
      <c r="B62" s="41"/>
      <c r="C62" s="43" t="s">
        <v>121</v>
      </c>
      <c r="D62" s="43" t="s">
        <v>900</v>
      </c>
      <c r="E62" s="43" t="s">
        <v>823</v>
      </c>
      <c r="F62" s="49" t="s">
        <v>36</v>
      </c>
      <c r="G62" s="43" t="s">
        <v>824</v>
      </c>
      <c r="H62" s="43" t="s">
        <v>825</v>
      </c>
      <c r="I62" s="44"/>
    </row>
    <row r="63" spans="2:9" hidden="1" x14ac:dyDescent="0.25">
      <c r="B63" s="41"/>
      <c r="C63" s="43" t="s">
        <v>901</v>
      </c>
      <c r="D63" s="43" t="s">
        <v>902</v>
      </c>
      <c r="E63" s="43" t="s">
        <v>823</v>
      </c>
      <c r="F63" s="48" t="s">
        <v>22</v>
      </c>
      <c r="G63" s="43" t="s">
        <v>824</v>
      </c>
      <c r="H63" s="43" t="s">
        <v>825</v>
      </c>
      <c r="I63" s="44"/>
    </row>
    <row r="64" spans="2:9" hidden="1" x14ac:dyDescent="0.25">
      <c r="B64" s="41"/>
      <c r="C64" s="43" t="s">
        <v>122</v>
      </c>
      <c r="D64" s="43" t="s">
        <v>903</v>
      </c>
      <c r="E64" s="43" t="s">
        <v>823</v>
      </c>
      <c r="F64" s="48" t="s">
        <v>22</v>
      </c>
      <c r="G64" s="43" t="s">
        <v>824</v>
      </c>
      <c r="H64" s="43" t="s">
        <v>825</v>
      </c>
      <c r="I64" s="44"/>
    </row>
    <row r="65" spans="2:9" hidden="1" x14ac:dyDescent="0.25">
      <c r="B65" s="41"/>
      <c r="C65" s="43" t="s">
        <v>123</v>
      </c>
      <c r="D65" s="43" t="s">
        <v>904</v>
      </c>
      <c r="E65" s="43" t="s">
        <v>823</v>
      </c>
      <c r="F65" s="48" t="s">
        <v>22</v>
      </c>
      <c r="G65" s="43" t="s">
        <v>824</v>
      </c>
      <c r="H65" s="43" t="s">
        <v>825</v>
      </c>
      <c r="I65" s="44"/>
    </row>
    <row r="66" spans="2:9" hidden="1" x14ac:dyDescent="0.25">
      <c r="B66" s="41"/>
      <c r="C66" s="43" t="s">
        <v>125</v>
      </c>
      <c r="D66" s="43" t="s">
        <v>905</v>
      </c>
      <c r="E66" s="43" t="s">
        <v>823</v>
      </c>
      <c r="F66" s="48" t="s">
        <v>22</v>
      </c>
      <c r="G66" s="43" t="s">
        <v>824</v>
      </c>
      <c r="H66" s="43" t="s">
        <v>825</v>
      </c>
      <c r="I66" s="44"/>
    </row>
    <row r="67" spans="2:9" hidden="1" x14ac:dyDescent="0.25">
      <c r="B67" s="41"/>
      <c r="C67" s="43" t="s">
        <v>906</v>
      </c>
      <c r="D67" s="43" t="s">
        <v>907</v>
      </c>
      <c r="E67" s="43" t="s">
        <v>823</v>
      </c>
      <c r="F67" s="48" t="s">
        <v>22</v>
      </c>
      <c r="G67" s="43" t="s">
        <v>824</v>
      </c>
      <c r="H67" s="43" t="s">
        <v>825</v>
      </c>
      <c r="I67" s="44"/>
    </row>
    <row r="68" spans="2:9" hidden="1" x14ac:dyDescent="0.25">
      <c r="B68" s="41"/>
      <c r="C68" s="43" t="s">
        <v>908</v>
      </c>
      <c r="D68" s="43" t="s">
        <v>909</v>
      </c>
      <c r="E68" s="43" t="s">
        <v>823</v>
      </c>
      <c r="F68" s="49" t="s">
        <v>36</v>
      </c>
      <c r="G68" s="43" t="s">
        <v>824</v>
      </c>
      <c r="H68" s="43" t="s">
        <v>825</v>
      </c>
      <c r="I68" s="44"/>
    </row>
    <row r="69" spans="2:9" hidden="1" x14ac:dyDescent="0.25">
      <c r="B69" s="41"/>
      <c r="C69" s="43" t="s">
        <v>128</v>
      </c>
      <c r="D69" s="43" t="s">
        <v>910</v>
      </c>
      <c r="E69" s="43" t="s">
        <v>831</v>
      </c>
      <c r="F69" s="50" t="s">
        <v>47</v>
      </c>
      <c r="G69" s="43" t="s">
        <v>824</v>
      </c>
      <c r="H69" s="43" t="s">
        <v>825</v>
      </c>
      <c r="I69" s="44"/>
    </row>
    <row r="70" spans="2:9" hidden="1" x14ac:dyDescent="0.25">
      <c r="B70" s="41"/>
      <c r="C70" s="43" t="s">
        <v>131</v>
      </c>
      <c r="D70" s="43" t="s">
        <v>911</v>
      </c>
      <c r="E70" s="43" t="s">
        <v>823</v>
      </c>
      <c r="F70" s="48" t="s">
        <v>22</v>
      </c>
      <c r="G70" s="43" t="s">
        <v>824</v>
      </c>
      <c r="H70" s="43" t="s">
        <v>825</v>
      </c>
      <c r="I70" s="44"/>
    </row>
    <row r="71" spans="2:9" hidden="1" x14ac:dyDescent="0.25">
      <c r="B71" s="41"/>
      <c r="C71" s="43" t="s">
        <v>133</v>
      </c>
      <c r="D71" s="43" t="s">
        <v>912</v>
      </c>
      <c r="E71" s="43" t="s">
        <v>831</v>
      </c>
      <c r="F71" s="50" t="s">
        <v>47</v>
      </c>
      <c r="G71" s="43" t="s">
        <v>824</v>
      </c>
      <c r="H71" s="43" t="s">
        <v>825</v>
      </c>
      <c r="I71" s="44"/>
    </row>
    <row r="72" spans="2:9" hidden="1" x14ac:dyDescent="0.25">
      <c r="B72" s="41"/>
      <c r="C72" s="43" t="s">
        <v>134</v>
      </c>
      <c r="D72" s="43" t="s">
        <v>913</v>
      </c>
      <c r="E72" s="43" t="s">
        <v>823</v>
      </c>
      <c r="F72" s="48" t="s">
        <v>22</v>
      </c>
      <c r="G72" s="43" t="s">
        <v>824</v>
      </c>
      <c r="H72" s="43" t="s">
        <v>825</v>
      </c>
      <c r="I72" s="44"/>
    </row>
    <row r="73" spans="2:9" hidden="1" x14ac:dyDescent="0.25">
      <c r="B73" s="41"/>
      <c r="C73" s="43" t="s">
        <v>138</v>
      </c>
      <c r="D73" s="43" t="s">
        <v>914</v>
      </c>
      <c r="E73" s="43" t="s">
        <v>823</v>
      </c>
      <c r="F73" s="48" t="s">
        <v>22</v>
      </c>
      <c r="G73" s="43" t="s">
        <v>824</v>
      </c>
      <c r="H73" s="43" t="s">
        <v>825</v>
      </c>
      <c r="I73" s="44"/>
    </row>
    <row r="74" spans="2:9" hidden="1" x14ac:dyDescent="0.25">
      <c r="B74" s="41"/>
      <c r="C74" s="43" t="s">
        <v>140</v>
      </c>
      <c r="D74" s="43" t="s">
        <v>915</v>
      </c>
      <c r="E74" s="43" t="s">
        <v>823</v>
      </c>
      <c r="F74" s="48" t="s">
        <v>22</v>
      </c>
      <c r="G74" s="43" t="s">
        <v>824</v>
      </c>
      <c r="H74" s="43" t="s">
        <v>825</v>
      </c>
      <c r="I74" s="44"/>
    </row>
    <row r="75" spans="2:9" hidden="1" x14ac:dyDescent="0.25">
      <c r="B75" s="41"/>
      <c r="C75" s="43" t="s">
        <v>141</v>
      </c>
      <c r="D75" s="43" t="s">
        <v>916</v>
      </c>
      <c r="E75" s="43" t="s">
        <v>823</v>
      </c>
      <c r="F75" s="52" t="s">
        <v>670</v>
      </c>
      <c r="G75" s="43" t="s">
        <v>824</v>
      </c>
      <c r="H75" s="43" t="s">
        <v>825</v>
      </c>
      <c r="I75" s="44"/>
    </row>
    <row r="76" spans="2:9" hidden="1" x14ac:dyDescent="0.25">
      <c r="B76" s="41"/>
      <c r="C76" s="43" t="s">
        <v>143</v>
      </c>
      <c r="D76" s="43" t="s">
        <v>917</v>
      </c>
      <c r="E76" s="43" t="s">
        <v>823</v>
      </c>
      <c r="F76" s="48" t="s">
        <v>22</v>
      </c>
      <c r="G76" s="43" t="s">
        <v>824</v>
      </c>
      <c r="H76" s="43" t="s">
        <v>825</v>
      </c>
      <c r="I76" s="44"/>
    </row>
    <row r="77" spans="2:9" hidden="1" x14ac:dyDescent="0.25">
      <c r="B77" s="41"/>
      <c r="C77" s="43" t="s">
        <v>145</v>
      </c>
      <c r="D77" s="43" t="s">
        <v>918</v>
      </c>
      <c r="E77" s="43" t="s">
        <v>823</v>
      </c>
      <c r="F77" s="48" t="s">
        <v>22</v>
      </c>
      <c r="G77" s="43" t="s">
        <v>824</v>
      </c>
      <c r="H77" s="43" t="s">
        <v>825</v>
      </c>
      <c r="I77" s="44"/>
    </row>
    <row r="78" spans="2:9" hidden="1" x14ac:dyDescent="0.25">
      <c r="B78" s="41"/>
      <c r="C78" s="43" t="s">
        <v>147</v>
      </c>
      <c r="D78" s="43" t="s">
        <v>919</v>
      </c>
      <c r="E78" s="43" t="s">
        <v>823</v>
      </c>
      <c r="F78" s="49" t="s">
        <v>36</v>
      </c>
      <c r="G78" s="43" t="s">
        <v>824</v>
      </c>
      <c r="H78" s="43" t="s">
        <v>825</v>
      </c>
      <c r="I78" s="44"/>
    </row>
    <row r="79" spans="2:9" hidden="1" x14ac:dyDescent="0.25">
      <c r="B79" s="41"/>
      <c r="C79" s="43" t="s">
        <v>149</v>
      </c>
      <c r="D79" s="43" t="s">
        <v>920</v>
      </c>
      <c r="E79" s="43" t="s">
        <v>823</v>
      </c>
      <c r="F79" s="48" t="s">
        <v>22</v>
      </c>
      <c r="G79" s="43" t="s">
        <v>824</v>
      </c>
      <c r="H79" s="43" t="s">
        <v>825</v>
      </c>
      <c r="I79" s="44"/>
    </row>
    <row r="80" spans="2:9" hidden="1" x14ac:dyDescent="0.25">
      <c r="B80" s="41"/>
      <c r="C80" s="43" t="s">
        <v>151</v>
      </c>
      <c r="D80" s="43" t="s">
        <v>921</v>
      </c>
      <c r="E80" s="43" t="s">
        <v>823</v>
      </c>
      <c r="F80" s="48" t="s">
        <v>22</v>
      </c>
      <c r="G80" s="43" t="s">
        <v>824</v>
      </c>
      <c r="H80" s="43" t="s">
        <v>825</v>
      </c>
      <c r="I80" s="44"/>
    </row>
    <row r="81" spans="2:9" hidden="1" x14ac:dyDescent="0.25">
      <c r="B81" s="41"/>
      <c r="C81" s="43" t="s">
        <v>152</v>
      </c>
      <c r="D81" s="43" t="s">
        <v>922</v>
      </c>
      <c r="E81" s="43" t="s">
        <v>823</v>
      </c>
      <c r="F81" s="48" t="s">
        <v>22</v>
      </c>
      <c r="G81" s="43" t="s">
        <v>824</v>
      </c>
      <c r="H81" s="43" t="s">
        <v>825</v>
      </c>
      <c r="I81" s="44"/>
    </row>
    <row r="82" spans="2:9" hidden="1" x14ac:dyDescent="0.25">
      <c r="B82" s="41"/>
      <c r="C82" s="43" t="s">
        <v>923</v>
      </c>
      <c r="D82" s="43" t="s">
        <v>924</v>
      </c>
      <c r="E82" s="43" t="s">
        <v>823</v>
      </c>
      <c r="F82" s="49" t="s">
        <v>36</v>
      </c>
      <c r="G82" s="43" t="s">
        <v>824</v>
      </c>
      <c r="H82" s="43" t="s">
        <v>825</v>
      </c>
      <c r="I82" s="44"/>
    </row>
    <row r="83" spans="2:9" hidden="1" x14ac:dyDescent="0.25">
      <c r="B83" s="41"/>
      <c r="C83" s="43" t="s">
        <v>153</v>
      </c>
      <c r="D83" s="43" t="s">
        <v>925</v>
      </c>
      <c r="E83" s="43" t="s">
        <v>823</v>
      </c>
      <c r="F83" s="48" t="s">
        <v>22</v>
      </c>
      <c r="G83" s="43" t="s">
        <v>824</v>
      </c>
      <c r="H83" s="43" t="s">
        <v>825</v>
      </c>
      <c r="I83" s="44"/>
    </row>
    <row r="84" spans="2:9" hidden="1" x14ac:dyDescent="0.25">
      <c r="B84" s="41"/>
      <c r="C84" s="43" t="s">
        <v>154</v>
      </c>
      <c r="D84" s="43" t="s">
        <v>926</v>
      </c>
      <c r="E84" s="43" t="s">
        <v>823</v>
      </c>
      <c r="F84" s="48" t="s">
        <v>22</v>
      </c>
      <c r="G84" s="43" t="s">
        <v>824</v>
      </c>
      <c r="H84" s="43" t="s">
        <v>825</v>
      </c>
      <c r="I84" s="44"/>
    </row>
    <row r="85" spans="2:9" hidden="1" x14ac:dyDescent="0.25">
      <c r="B85" s="41"/>
      <c r="C85" s="43" t="s">
        <v>158</v>
      </c>
      <c r="D85" s="43" t="s">
        <v>928</v>
      </c>
      <c r="E85" s="43" t="s">
        <v>823</v>
      </c>
      <c r="F85" s="49" t="s">
        <v>36</v>
      </c>
      <c r="G85" s="43" t="s">
        <v>824</v>
      </c>
      <c r="H85" s="43" t="s">
        <v>825</v>
      </c>
      <c r="I85" s="44"/>
    </row>
    <row r="86" spans="2:9" hidden="1" x14ac:dyDescent="0.25">
      <c r="B86" s="41"/>
      <c r="C86" s="43" t="s">
        <v>929</v>
      </c>
      <c r="D86" s="43" t="s">
        <v>930</v>
      </c>
      <c r="E86" s="43" t="s">
        <v>823</v>
      </c>
      <c r="F86" s="49" t="s">
        <v>36</v>
      </c>
      <c r="G86" s="43" t="s">
        <v>824</v>
      </c>
      <c r="H86" s="43" t="s">
        <v>825</v>
      </c>
      <c r="I86" s="44"/>
    </row>
    <row r="87" spans="2:9" hidden="1" x14ac:dyDescent="0.25">
      <c r="B87" s="41"/>
      <c r="C87" s="43" t="s">
        <v>1473</v>
      </c>
      <c r="D87" s="43" t="s">
        <v>1474</v>
      </c>
      <c r="E87" s="43" t="s">
        <v>823</v>
      </c>
      <c r="F87" s="48" t="s">
        <v>22</v>
      </c>
      <c r="G87" s="43" t="s">
        <v>824</v>
      </c>
      <c r="H87" s="43" t="s">
        <v>825</v>
      </c>
      <c r="I87" s="44"/>
    </row>
    <row r="88" spans="2:9" hidden="1" x14ac:dyDescent="0.25">
      <c r="B88" s="41"/>
      <c r="C88" s="43" t="s">
        <v>165</v>
      </c>
      <c r="D88" s="43" t="s">
        <v>931</v>
      </c>
      <c r="E88" s="43" t="s">
        <v>823</v>
      </c>
      <c r="F88" s="48" t="s">
        <v>22</v>
      </c>
      <c r="G88" s="43" t="s">
        <v>824</v>
      </c>
      <c r="H88" s="43" t="s">
        <v>825</v>
      </c>
      <c r="I88" s="44"/>
    </row>
    <row r="89" spans="2:9" hidden="1" x14ac:dyDescent="0.25">
      <c r="B89" s="41"/>
      <c r="C89" s="43" t="s">
        <v>167</v>
      </c>
      <c r="D89" s="43" t="s">
        <v>932</v>
      </c>
      <c r="E89" s="43" t="s">
        <v>823</v>
      </c>
      <c r="F89" s="48" t="s">
        <v>22</v>
      </c>
      <c r="G89" s="43" t="s">
        <v>824</v>
      </c>
      <c r="H89" s="43" t="s">
        <v>825</v>
      </c>
      <c r="I89" s="44"/>
    </row>
    <row r="90" spans="2:9" hidden="1" x14ac:dyDescent="0.25">
      <c r="B90" s="41"/>
      <c r="C90" s="43" t="s">
        <v>169</v>
      </c>
      <c r="D90" s="43" t="s">
        <v>933</v>
      </c>
      <c r="E90" s="43" t="s">
        <v>823</v>
      </c>
      <c r="F90" s="49" t="s">
        <v>36</v>
      </c>
      <c r="G90" s="43" t="s">
        <v>824</v>
      </c>
      <c r="H90" s="43" t="s">
        <v>825</v>
      </c>
      <c r="I90" s="44"/>
    </row>
    <row r="91" spans="2:9" hidden="1" x14ac:dyDescent="0.25">
      <c r="B91" s="41"/>
      <c r="C91" s="43" t="s">
        <v>170</v>
      </c>
      <c r="D91" s="43" t="s">
        <v>934</v>
      </c>
      <c r="E91" s="43" t="s">
        <v>823</v>
      </c>
      <c r="F91" s="48" t="s">
        <v>22</v>
      </c>
      <c r="G91" s="43" t="s">
        <v>824</v>
      </c>
      <c r="H91" s="43" t="s">
        <v>825</v>
      </c>
      <c r="I91" s="44"/>
    </row>
    <row r="92" spans="2:9" hidden="1" x14ac:dyDescent="0.25">
      <c r="B92" s="41"/>
      <c r="C92" s="43" t="s">
        <v>171</v>
      </c>
      <c r="D92" s="43" t="s">
        <v>935</v>
      </c>
      <c r="E92" s="43" t="s">
        <v>823</v>
      </c>
      <c r="F92" s="48" t="s">
        <v>22</v>
      </c>
      <c r="G92" s="43" t="s">
        <v>824</v>
      </c>
      <c r="H92" s="43" t="s">
        <v>825</v>
      </c>
      <c r="I92" s="44"/>
    </row>
    <row r="93" spans="2:9" hidden="1" x14ac:dyDescent="0.25">
      <c r="B93" s="41"/>
      <c r="C93" s="43" t="s">
        <v>172</v>
      </c>
      <c r="D93" s="43" t="s">
        <v>936</v>
      </c>
      <c r="E93" s="43" t="s">
        <v>823</v>
      </c>
      <c r="F93" s="48" t="s">
        <v>22</v>
      </c>
      <c r="G93" s="43" t="s">
        <v>824</v>
      </c>
      <c r="H93" s="43" t="s">
        <v>825</v>
      </c>
      <c r="I93" s="44"/>
    </row>
    <row r="94" spans="2:9" hidden="1" x14ac:dyDescent="0.25">
      <c r="B94" s="41"/>
      <c r="C94" s="43" t="s">
        <v>937</v>
      </c>
      <c r="D94" s="43" t="s">
        <v>938</v>
      </c>
      <c r="E94" s="43" t="s">
        <v>823</v>
      </c>
      <c r="F94" s="48" t="s">
        <v>22</v>
      </c>
      <c r="G94" s="43" t="s">
        <v>824</v>
      </c>
      <c r="H94" s="43" t="s">
        <v>825</v>
      </c>
      <c r="I94" s="44"/>
    </row>
    <row r="95" spans="2:9" hidden="1" x14ac:dyDescent="0.25">
      <c r="B95" s="41"/>
      <c r="C95" s="43" t="s">
        <v>173</v>
      </c>
      <c r="D95" s="43" t="s">
        <v>939</v>
      </c>
      <c r="E95" s="43" t="s">
        <v>823</v>
      </c>
      <c r="F95" s="48" t="s">
        <v>22</v>
      </c>
      <c r="G95" s="43" t="s">
        <v>824</v>
      </c>
      <c r="H95" s="43" t="s">
        <v>825</v>
      </c>
      <c r="I95" s="44"/>
    </row>
    <row r="96" spans="2:9" hidden="1" x14ac:dyDescent="0.25">
      <c r="B96" s="41"/>
      <c r="C96" s="43" t="s">
        <v>174</v>
      </c>
      <c r="D96" s="43" t="s">
        <v>940</v>
      </c>
      <c r="E96" s="43" t="s">
        <v>823</v>
      </c>
      <c r="F96" s="48" t="s">
        <v>22</v>
      </c>
      <c r="G96" s="43" t="s">
        <v>824</v>
      </c>
      <c r="H96" s="43" t="s">
        <v>825</v>
      </c>
      <c r="I96" s="44"/>
    </row>
    <row r="97" spans="2:9" hidden="1" x14ac:dyDescent="0.25">
      <c r="B97" s="41"/>
      <c r="C97" s="43" t="s">
        <v>941</v>
      </c>
      <c r="D97" s="43" t="s">
        <v>942</v>
      </c>
      <c r="E97" s="43" t="s">
        <v>823</v>
      </c>
      <c r="F97" s="48" t="s">
        <v>22</v>
      </c>
      <c r="G97" s="43" t="s">
        <v>824</v>
      </c>
      <c r="H97" s="43" t="s">
        <v>825</v>
      </c>
      <c r="I97" s="44"/>
    </row>
    <row r="98" spans="2:9" hidden="1" x14ac:dyDescent="0.25">
      <c r="B98" s="41"/>
      <c r="C98" s="43" t="s">
        <v>176</v>
      </c>
      <c r="D98" s="43" t="s">
        <v>943</v>
      </c>
      <c r="E98" s="43" t="s">
        <v>823</v>
      </c>
      <c r="F98" s="48" t="s">
        <v>22</v>
      </c>
      <c r="G98" s="43" t="s">
        <v>824</v>
      </c>
      <c r="H98" s="43" t="s">
        <v>825</v>
      </c>
      <c r="I98" s="44"/>
    </row>
    <row r="99" spans="2:9" hidden="1" x14ac:dyDescent="0.25">
      <c r="B99" s="41"/>
      <c r="C99" s="43" t="s">
        <v>944</v>
      </c>
      <c r="D99" s="43" t="s">
        <v>945</v>
      </c>
      <c r="E99" s="43" t="s">
        <v>823</v>
      </c>
      <c r="F99" s="53" t="s">
        <v>222</v>
      </c>
      <c r="G99" s="43" t="s">
        <v>825</v>
      </c>
      <c r="H99" s="43" t="s">
        <v>825</v>
      </c>
      <c r="I99" s="44"/>
    </row>
    <row r="100" spans="2:9" hidden="1" x14ac:dyDescent="0.25">
      <c r="B100" s="42"/>
      <c r="C100" s="45" t="s">
        <v>946</v>
      </c>
      <c r="D100" s="45" t="s">
        <v>947</v>
      </c>
      <c r="E100" s="45" t="s">
        <v>823</v>
      </c>
      <c r="F100" s="54" t="s">
        <v>22</v>
      </c>
      <c r="G100" s="45" t="s">
        <v>824</v>
      </c>
      <c r="H100" s="45" t="s">
        <v>825</v>
      </c>
      <c r="I100" s="46"/>
    </row>
    <row r="101" spans="2:9" hidden="1" x14ac:dyDescent="0.25">
      <c r="B101" s="41"/>
      <c r="C101" s="43" t="s">
        <v>178</v>
      </c>
      <c r="D101" s="43" t="s">
        <v>948</v>
      </c>
      <c r="E101" s="43" t="s">
        <v>823</v>
      </c>
      <c r="F101" s="49" t="s">
        <v>36</v>
      </c>
      <c r="G101" s="43" t="s">
        <v>824</v>
      </c>
      <c r="H101" s="43" t="s">
        <v>825</v>
      </c>
      <c r="I101" s="44"/>
    </row>
    <row r="102" spans="2:9" hidden="1" x14ac:dyDescent="0.25">
      <c r="B102" s="41"/>
      <c r="C102" s="43" t="s">
        <v>949</v>
      </c>
      <c r="D102" s="43" t="s">
        <v>950</v>
      </c>
      <c r="E102" s="43" t="s">
        <v>823</v>
      </c>
      <c r="F102" s="48" t="s">
        <v>22</v>
      </c>
      <c r="G102" s="43" t="s">
        <v>824</v>
      </c>
      <c r="H102" s="43" t="s">
        <v>825</v>
      </c>
      <c r="I102" s="44"/>
    </row>
    <row r="103" spans="2:9" hidden="1" x14ac:dyDescent="0.25">
      <c r="B103" s="41"/>
      <c r="C103" s="43" t="s">
        <v>180</v>
      </c>
      <c r="D103" s="43" t="s">
        <v>951</v>
      </c>
      <c r="E103" s="43" t="s">
        <v>823</v>
      </c>
      <c r="F103" s="48" t="s">
        <v>22</v>
      </c>
      <c r="G103" s="43" t="s">
        <v>824</v>
      </c>
      <c r="H103" s="43" t="s">
        <v>825</v>
      </c>
      <c r="I103" s="44"/>
    </row>
    <row r="104" spans="2:9" hidden="1" x14ac:dyDescent="0.25">
      <c r="B104" s="41"/>
      <c r="C104" s="43" t="s">
        <v>182</v>
      </c>
      <c r="D104" s="43" t="s">
        <v>952</v>
      </c>
      <c r="E104" s="43" t="s">
        <v>823</v>
      </c>
      <c r="F104" s="48" t="s">
        <v>22</v>
      </c>
      <c r="G104" s="43" t="s">
        <v>824</v>
      </c>
      <c r="H104" s="43" t="s">
        <v>825</v>
      </c>
      <c r="I104" s="44"/>
    </row>
    <row r="105" spans="2:9" hidden="1" x14ac:dyDescent="0.25">
      <c r="B105" s="41"/>
      <c r="C105" s="43" t="s">
        <v>953</v>
      </c>
      <c r="D105" s="43" t="s">
        <v>954</v>
      </c>
      <c r="E105" s="43" t="s">
        <v>872</v>
      </c>
      <c r="F105" s="53" t="s">
        <v>222</v>
      </c>
      <c r="G105" s="43" t="s">
        <v>825</v>
      </c>
      <c r="H105" s="43" t="s">
        <v>825</v>
      </c>
      <c r="I105" s="44"/>
    </row>
    <row r="106" spans="2:9" hidden="1" x14ac:dyDescent="0.25">
      <c r="B106" s="42"/>
      <c r="C106" s="45" t="s">
        <v>955</v>
      </c>
      <c r="D106" s="45" t="s">
        <v>956</v>
      </c>
      <c r="E106" s="45" t="s">
        <v>823</v>
      </c>
      <c r="F106" s="54" t="s">
        <v>22</v>
      </c>
      <c r="G106" s="45" t="s">
        <v>824</v>
      </c>
      <c r="H106" s="45" t="s">
        <v>825</v>
      </c>
      <c r="I106" s="46"/>
    </row>
    <row r="107" spans="2:9" hidden="1" x14ac:dyDescent="0.25">
      <c r="B107" s="41"/>
      <c r="C107" s="43" t="s">
        <v>183</v>
      </c>
      <c r="D107" s="43" t="s">
        <v>957</v>
      </c>
      <c r="E107" s="43" t="s">
        <v>823</v>
      </c>
      <c r="F107" s="48" t="s">
        <v>22</v>
      </c>
      <c r="G107" s="43" t="s">
        <v>824</v>
      </c>
      <c r="H107" s="43" t="s">
        <v>825</v>
      </c>
      <c r="I107" s="44"/>
    </row>
    <row r="108" spans="2:9" hidden="1" x14ac:dyDescent="0.25">
      <c r="B108" s="41"/>
      <c r="C108" s="43" t="s">
        <v>184</v>
      </c>
      <c r="D108" s="43" t="s">
        <v>958</v>
      </c>
      <c r="E108" s="43" t="s">
        <v>823</v>
      </c>
      <c r="F108" s="48" t="s">
        <v>22</v>
      </c>
      <c r="G108" s="43" t="s">
        <v>824</v>
      </c>
      <c r="H108" s="43" t="s">
        <v>825</v>
      </c>
      <c r="I108" s="44"/>
    </row>
    <row r="109" spans="2:9" hidden="1" x14ac:dyDescent="0.25">
      <c r="B109" s="41"/>
      <c r="C109" s="43" t="s">
        <v>959</v>
      </c>
      <c r="D109" s="43" t="s">
        <v>960</v>
      </c>
      <c r="E109" s="43" t="s">
        <v>823</v>
      </c>
      <c r="F109" s="48" t="s">
        <v>22</v>
      </c>
      <c r="G109" s="43" t="s">
        <v>824</v>
      </c>
      <c r="H109" s="43" t="s">
        <v>825</v>
      </c>
      <c r="I109" s="44"/>
    </row>
    <row r="110" spans="2:9" hidden="1" x14ac:dyDescent="0.25">
      <c r="B110" s="41"/>
      <c r="C110" s="43" t="s">
        <v>186</v>
      </c>
      <c r="D110" s="43" t="s">
        <v>961</v>
      </c>
      <c r="E110" s="43" t="s">
        <v>823</v>
      </c>
      <c r="F110" s="49" t="s">
        <v>36</v>
      </c>
      <c r="G110" s="43" t="s">
        <v>824</v>
      </c>
      <c r="H110" s="43" t="s">
        <v>825</v>
      </c>
      <c r="I110" s="44"/>
    </row>
    <row r="111" spans="2:9" hidden="1" x14ac:dyDescent="0.25">
      <c r="B111" s="41"/>
      <c r="C111" s="43" t="s">
        <v>188</v>
      </c>
      <c r="D111" s="43" t="s">
        <v>962</v>
      </c>
      <c r="E111" s="43" t="s">
        <v>823</v>
      </c>
      <c r="F111" s="48" t="s">
        <v>22</v>
      </c>
      <c r="G111" s="43" t="s">
        <v>824</v>
      </c>
      <c r="H111" s="43" t="s">
        <v>825</v>
      </c>
      <c r="I111" s="44"/>
    </row>
    <row r="112" spans="2:9" hidden="1" x14ac:dyDescent="0.25">
      <c r="B112" s="41"/>
      <c r="C112" s="43" t="s">
        <v>963</v>
      </c>
      <c r="D112" s="43" t="s">
        <v>964</v>
      </c>
      <c r="E112" s="43" t="s">
        <v>823</v>
      </c>
      <c r="F112" s="48" t="s">
        <v>22</v>
      </c>
      <c r="G112" s="43" t="s">
        <v>824</v>
      </c>
      <c r="H112" s="43" t="s">
        <v>825</v>
      </c>
      <c r="I112" s="44"/>
    </row>
    <row r="113" spans="2:9" hidden="1" x14ac:dyDescent="0.25">
      <c r="B113" s="41"/>
      <c r="C113" s="43" t="s">
        <v>189</v>
      </c>
      <c r="D113" s="43" t="s">
        <v>965</v>
      </c>
      <c r="E113" s="43" t="s">
        <v>823</v>
      </c>
      <c r="F113" s="48" t="s">
        <v>22</v>
      </c>
      <c r="G113" s="43" t="s">
        <v>824</v>
      </c>
      <c r="H113" s="43" t="s">
        <v>825</v>
      </c>
      <c r="I113" s="44"/>
    </row>
    <row r="114" spans="2:9" hidden="1" x14ac:dyDescent="0.25">
      <c r="B114" s="41"/>
      <c r="C114" s="43" t="s">
        <v>191</v>
      </c>
      <c r="D114" s="43" t="s">
        <v>966</v>
      </c>
      <c r="E114" s="43" t="s">
        <v>831</v>
      </c>
      <c r="F114" s="49" t="s">
        <v>36</v>
      </c>
      <c r="G114" s="43" t="s">
        <v>824</v>
      </c>
      <c r="H114" s="43" t="s">
        <v>825</v>
      </c>
      <c r="I114" s="44"/>
    </row>
    <row r="115" spans="2:9" hidden="1" x14ac:dyDescent="0.25">
      <c r="B115" s="41"/>
      <c r="C115" s="43" t="s">
        <v>192</v>
      </c>
      <c r="D115" s="43" t="s">
        <v>967</v>
      </c>
      <c r="E115" s="43" t="s">
        <v>823</v>
      </c>
      <c r="F115" s="49" t="s">
        <v>36</v>
      </c>
      <c r="G115" s="43" t="s">
        <v>824</v>
      </c>
      <c r="H115" s="43" t="s">
        <v>825</v>
      </c>
      <c r="I115" s="44"/>
    </row>
    <row r="116" spans="2:9" hidden="1" x14ac:dyDescent="0.25">
      <c r="B116" s="41"/>
      <c r="C116" s="43" t="s">
        <v>193</v>
      </c>
      <c r="D116" s="43" t="s">
        <v>968</v>
      </c>
      <c r="E116" s="43" t="s">
        <v>823</v>
      </c>
      <c r="F116" s="48" t="s">
        <v>22</v>
      </c>
      <c r="G116" s="43" t="s">
        <v>824</v>
      </c>
      <c r="H116" s="43" t="s">
        <v>825</v>
      </c>
      <c r="I116" s="44"/>
    </row>
    <row r="117" spans="2:9" hidden="1" x14ac:dyDescent="0.25">
      <c r="B117" s="41"/>
      <c r="C117" s="43" t="s">
        <v>194</v>
      </c>
      <c r="D117" s="43" t="s">
        <v>969</v>
      </c>
      <c r="E117" s="43" t="s">
        <v>823</v>
      </c>
      <c r="F117" s="48" t="s">
        <v>22</v>
      </c>
      <c r="G117" s="43" t="s">
        <v>824</v>
      </c>
      <c r="H117" s="43" t="s">
        <v>825</v>
      </c>
      <c r="I117" s="44"/>
    </row>
    <row r="118" spans="2:9" hidden="1" x14ac:dyDescent="0.25">
      <c r="B118" s="41"/>
      <c r="C118" s="43" t="s">
        <v>196</v>
      </c>
      <c r="D118" s="43" t="s">
        <v>970</v>
      </c>
      <c r="E118" s="43" t="s">
        <v>823</v>
      </c>
      <c r="F118" s="48" t="s">
        <v>22</v>
      </c>
      <c r="G118" s="43" t="s">
        <v>824</v>
      </c>
      <c r="H118" s="43" t="s">
        <v>825</v>
      </c>
      <c r="I118" s="44"/>
    </row>
    <row r="119" spans="2:9" hidden="1" x14ac:dyDescent="0.25">
      <c r="B119" s="41"/>
      <c r="C119" s="43" t="s">
        <v>198</v>
      </c>
      <c r="D119" s="43" t="s">
        <v>971</v>
      </c>
      <c r="E119" s="43" t="s">
        <v>823</v>
      </c>
      <c r="F119" s="48" t="s">
        <v>22</v>
      </c>
      <c r="G119" s="43" t="s">
        <v>824</v>
      </c>
      <c r="H119" s="43" t="s">
        <v>825</v>
      </c>
      <c r="I119" s="44"/>
    </row>
    <row r="120" spans="2:9" hidden="1" x14ac:dyDescent="0.25">
      <c r="B120" s="41"/>
      <c r="C120" s="43" t="s">
        <v>972</v>
      </c>
      <c r="D120" s="43" t="s">
        <v>973</v>
      </c>
      <c r="E120" s="43" t="s">
        <v>823</v>
      </c>
      <c r="F120" s="48" t="s">
        <v>22</v>
      </c>
      <c r="G120" s="43" t="s">
        <v>824</v>
      </c>
      <c r="H120" s="43" t="s">
        <v>825</v>
      </c>
      <c r="I120" s="44"/>
    </row>
    <row r="121" spans="2:9" hidden="1" x14ac:dyDescent="0.25">
      <c r="B121" s="41"/>
      <c r="C121" s="43" t="s">
        <v>199</v>
      </c>
      <c r="D121" s="43" t="s">
        <v>974</v>
      </c>
      <c r="E121" s="43" t="s">
        <v>823</v>
      </c>
      <c r="F121" s="49" t="s">
        <v>36</v>
      </c>
      <c r="G121" s="43" t="s">
        <v>824</v>
      </c>
      <c r="H121" s="43" t="s">
        <v>825</v>
      </c>
      <c r="I121" s="44"/>
    </row>
    <row r="122" spans="2:9" hidden="1" x14ac:dyDescent="0.25">
      <c r="B122" s="41"/>
      <c r="C122" s="43" t="s">
        <v>200</v>
      </c>
      <c r="D122" s="43" t="s">
        <v>975</v>
      </c>
      <c r="E122" s="43" t="s">
        <v>823</v>
      </c>
      <c r="F122" s="48" t="s">
        <v>22</v>
      </c>
      <c r="G122" s="43" t="s">
        <v>824</v>
      </c>
      <c r="H122" s="43" t="s">
        <v>825</v>
      </c>
      <c r="I122" s="44"/>
    </row>
    <row r="123" spans="2:9" hidden="1" x14ac:dyDescent="0.25">
      <c r="B123" s="41"/>
      <c r="C123" s="43" t="s">
        <v>206</v>
      </c>
      <c r="D123" s="43" t="s">
        <v>976</v>
      </c>
      <c r="E123" s="43" t="s">
        <v>823</v>
      </c>
      <c r="F123" s="48" t="s">
        <v>22</v>
      </c>
      <c r="G123" s="43" t="s">
        <v>824</v>
      </c>
      <c r="H123" s="43" t="s">
        <v>825</v>
      </c>
      <c r="I123" s="44"/>
    </row>
    <row r="124" spans="2:9" hidden="1" x14ac:dyDescent="0.25">
      <c r="B124" s="41"/>
      <c r="C124" s="43" t="s">
        <v>208</v>
      </c>
      <c r="D124" s="43" t="s">
        <v>977</v>
      </c>
      <c r="E124" s="43" t="s">
        <v>823</v>
      </c>
      <c r="F124" s="48" t="s">
        <v>22</v>
      </c>
      <c r="G124" s="43" t="s">
        <v>824</v>
      </c>
      <c r="H124" s="43" t="s">
        <v>825</v>
      </c>
      <c r="I124" s="44"/>
    </row>
    <row r="125" spans="2:9" hidden="1" x14ac:dyDescent="0.25">
      <c r="B125" s="41"/>
      <c r="C125" s="43" t="s">
        <v>209</v>
      </c>
      <c r="D125" s="43" t="s">
        <v>978</v>
      </c>
      <c r="E125" s="43" t="s">
        <v>823</v>
      </c>
      <c r="F125" s="48" t="s">
        <v>22</v>
      </c>
      <c r="G125" s="43" t="s">
        <v>824</v>
      </c>
      <c r="H125" s="43" t="s">
        <v>825</v>
      </c>
      <c r="I125" s="44"/>
    </row>
    <row r="126" spans="2:9" hidden="1" x14ac:dyDescent="0.25">
      <c r="B126" s="41"/>
      <c r="C126" s="43" t="s">
        <v>210</v>
      </c>
      <c r="D126" s="43" t="s">
        <v>979</v>
      </c>
      <c r="E126" s="43" t="s">
        <v>823</v>
      </c>
      <c r="F126" s="48" t="s">
        <v>22</v>
      </c>
      <c r="G126" s="43" t="s">
        <v>824</v>
      </c>
      <c r="H126" s="43" t="s">
        <v>825</v>
      </c>
      <c r="I126" s="44"/>
    </row>
    <row r="127" spans="2:9" hidden="1" x14ac:dyDescent="0.25">
      <c r="B127" s="41"/>
      <c r="C127" s="43" t="s">
        <v>212</v>
      </c>
      <c r="D127" s="43" t="s">
        <v>980</v>
      </c>
      <c r="E127" s="43" t="s">
        <v>823</v>
      </c>
      <c r="F127" s="48" t="s">
        <v>22</v>
      </c>
      <c r="G127" s="43" t="s">
        <v>824</v>
      </c>
      <c r="H127" s="43" t="s">
        <v>825</v>
      </c>
      <c r="I127" s="44"/>
    </row>
    <row r="128" spans="2:9" hidden="1" x14ac:dyDescent="0.25">
      <c r="B128" s="41"/>
      <c r="C128" s="43" t="s">
        <v>213</v>
      </c>
      <c r="D128" s="43" t="s">
        <v>981</v>
      </c>
      <c r="E128" s="43" t="s">
        <v>823</v>
      </c>
      <c r="F128" s="48" t="s">
        <v>22</v>
      </c>
      <c r="G128" s="43" t="s">
        <v>824</v>
      </c>
      <c r="H128" s="43" t="s">
        <v>825</v>
      </c>
      <c r="I128" s="44"/>
    </row>
    <row r="129" spans="2:9" hidden="1" x14ac:dyDescent="0.25">
      <c r="B129" s="41"/>
      <c r="C129" s="43" t="s">
        <v>214</v>
      </c>
      <c r="D129" s="43" t="s">
        <v>982</v>
      </c>
      <c r="E129" s="43" t="s">
        <v>823</v>
      </c>
      <c r="F129" s="48" t="s">
        <v>22</v>
      </c>
      <c r="G129" s="43" t="s">
        <v>824</v>
      </c>
      <c r="H129" s="43" t="s">
        <v>825</v>
      </c>
      <c r="I129" s="44"/>
    </row>
    <row r="130" spans="2:9" hidden="1" x14ac:dyDescent="0.25">
      <c r="B130" s="41"/>
      <c r="C130" s="43" t="s">
        <v>216</v>
      </c>
      <c r="D130" s="43" t="s">
        <v>983</v>
      </c>
      <c r="E130" s="43" t="s">
        <v>823</v>
      </c>
      <c r="F130" s="48" t="s">
        <v>22</v>
      </c>
      <c r="G130" s="43" t="s">
        <v>824</v>
      </c>
      <c r="H130" s="43" t="s">
        <v>825</v>
      </c>
      <c r="I130" s="44"/>
    </row>
    <row r="131" spans="2:9" hidden="1" x14ac:dyDescent="0.25">
      <c r="B131" s="41"/>
      <c r="C131" s="43" t="s">
        <v>217</v>
      </c>
      <c r="D131" s="43" t="s">
        <v>984</v>
      </c>
      <c r="E131" s="43" t="s">
        <v>823</v>
      </c>
      <c r="F131" s="48" t="s">
        <v>22</v>
      </c>
      <c r="G131" s="43" t="s">
        <v>824</v>
      </c>
      <c r="H131" s="43" t="s">
        <v>825</v>
      </c>
      <c r="I131" s="44"/>
    </row>
    <row r="132" spans="2:9" hidden="1" x14ac:dyDescent="0.25">
      <c r="B132" s="41"/>
      <c r="C132" s="43" t="s">
        <v>218</v>
      </c>
      <c r="D132" s="43" t="s">
        <v>985</v>
      </c>
      <c r="E132" s="43" t="s">
        <v>823</v>
      </c>
      <c r="F132" s="49" t="s">
        <v>36</v>
      </c>
      <c r="G132" s="43" t="s">
        <v>824</v>
      </c>
      <c r="H132" s="43" t="s">
        <v>825</v>
      </c>
      <c r="I132" s="44"/>
    </row>
    <row r="133" spans="2:9" hidden="1" x14ac:dyDescent="0.25">
      <c r="B133" s="41"/>
      <c r="C133" s="43" t="s">
        <v>986</v>
      </c>
      <c r="D133" s="43" t="s">
        <v>987</v>
      </c>
      <c r="E133" s="43" t="s">
        <v>823</v>
      </c>
      <c r="F133" s="49" t="s">
        <v>36</v>
      </c>
      <c r="G133" s="43" t="s">
        <v>824</v>
      </c>
      <c r="H133" s="43" t="s">
        <v>825</v>
      </c>
      <c r="I133" s="44"/>
    </row>
    <row r="134" spans="2:9" hidden="1" x14ac:dyDescent="0.25">
      <c r="B134" s="41"/>
      <c r="C134" s="43" t="s">
        <v>220</v>
      </c>
      <c r="D134" s="43" t="s">
        <v>988</v>
      </c>
      <c r="E134" s="43" t="s">
        <v>823</v>
      </c>
      <c r="F134" s="48" t="s">
        <v>22</v>
      </c>
      <c r="G134" s="43" t="s">
        <v>824</v>
      </c>
      <c r="H134" s="43" t="s">
        <v>825</v>
      </c>
      <c r="I134" s="44"/>
    </row>
    <row r="135" spans="2:9" hidden="1" x14ac:dyDescent="0.25">
      <c r="B135" s="41"/>
      <c r="C135" s="43" t="s">
        <v>989</v>
      </c>
      <c r="D135" s="43" t="s">
        <v>990</v>
      </c>
      <c r="E135" s="43" t="s">
        <v>823</v>
      </c>
      <c r="F135" s="48" t="s">
        <v>22</v>
      </c>
      <c r="G135" s="43" t="s">
        <v>824</v>
      </c>
      <c r="H135" s="43" t="s">
        <v>825</v>
      </c>
      <c r="I135" s="44"/>
    </row>
    <row r="136" spans="2:9" hidden="1" x14ac:dyDescent="0.25">
      <c r="B136" s="41"/>
      <c r="C136" s="43" t="s">
        <v>223</v>
      </c>
      <c r="D136" s="43" t="s">
        <v>991</v>
      </c>
      <c r="E136" s="43" t="s">
        <v>823</v>
      </c>
      <c r="F136" s="48" t="s">
        <v>22</v>
      </c>
      <c r="G136" s="43" t="s">
        <v>824</v>
      </c>
      <c r="H136" s="43" t="s">
        <v>825</v>
      </c>
      <c r="I136" s="44"/>
    </row>
    <row r="137" spans="2:9" hidden="1" x14ac:dyDescent="0.25">
      <c r="B137" s="41"/>
      <c r="C137" s="43" t="s">
        <v>225</v>
      </c>
      <c r="D137" s="43" t="s">
        <v>992</v>
      </c>
      <c r="E137" s="43" t="s">
        <v>823</v>
      </c>
      <c r="F137" s="48" t="s">
        <v>22</v>
      </c>
      <c r="G137" s="43" t="s">
        <v>824</v>
      </c>
      <c r="H137" s="43" t="s">
        <v>825</v>
      </c>
      <c r="I137" s="44"/>
    </row>
    <row r="138" spans="2:9" hidden="1" x14ac:dyDescent="0.25">
      <c r="B138" s="41"/>
      <c r="C138" s="43" t="s">
        <v>226</v>
      </c>
      <c r="D138" s="43" t="s">
        <v>993</v>
      </c>
      <c r="E138" s="43" t="s">
        <v>823</v>
      </c>
      <c r="F138" s="49" t="s">
        <v>36</v>
      </c>
      <c r="G138" s="43" t="s">
        <v>824</v>
      </c>
      <c r="H138" s="43" t="s">
        <v>825</v>
      </c>
      <c r="I138" s="44"/>
    </row>
    <row r="139" spans="2:9" hidden="1" x14ac:dyDescent="0.25">
      <c r="B139" s="41"/>
      <c r="C139" s="43" t="s">
        <v>227</v>
      </c>
      <c r="D139" s="43" t="s">
        <v>994</v>
      </c>
      <c r="E139" s="43" t="s">
        <v>823</v>
      </c>
      <c r="F139" s="48" t="s">
        <v>22</v>
      </c>
      <c r="G139" s="43" t="s">
        <v>824</v>
      </c>
      <c r="H139" s="43" t="s">
        <v>825</v>
      </c>
      <c r="I139" s="44"/>
    </row>
    <row r="140" spans="2:9" hidden="1" x14ac:dyDescent="0.25">
      <c r="B140" s="41"/>
      <c r="C140" s="43" t="s">
        <v>995</v>
      </c>
      <c r="D140" s="43" t="s">
        <v>996</v>
      </c>
      <c r="E140" s="43" t="s">
        <v>823</v>
      </c>
      <c r="F140" s="48" t="s">
        <v>22</v>
      </c>
      <c r="G140" s="43" t="s">
        <v>824</v>
      </c>
      <c r="H140" s="43" t="s">
        <v>825</v>
      </c>
      <c r="I140" s="44"/>
    </row>
    <row r="141" spans="2:9" hidden="1" x14ac:dyDescent="0.25">
      <c r="B141" s="41"/>
      <c r="C141" s="43" t="s">
        <v>229</v>
      </c>
      <c r="D141" s="43" t="s">
        <v>997</v>
      </c>
      <c r="E141" s="43" t="s">
        <v>823</v>
      </c>
      <c r="F141" s="48" t="s">
        <v>22</v>
      </c>
      <c r="G141" s="43" t="s">
        <v>824</v>
      </c>
      <c r="H141" s="43" t="s">
        <v>825</v>
      </c>
      <c r="I141" s="44"/>
    </row>
    <row r="142" spans="2:9" hidden="1" x14ac:dyDescent="0.25">
      <c r="B142" s="41"/>
      <c r="C142" s="43" t="s">
        <v>231</v>
      </c>
      <c r="D142" s="43" t="s">
        <v>998</v>
      </c>
      <c r="E142" s="43" t="s">
        <v>823</v>
      </c>
      <c r="F142" s="48" t="s">
        <v>22</v>
      </c>
      <c r="G142" s="43" t="s">
        <v>824</v>
      </c>
      <c r="H142" s="43" t="s">
        <v>825</v>
      </c>
      <c r="I142" s="44"/>
    </row>
    <row r="143" spans="2:9" hidden="1" x14ac:dyDescent="0.25">
      <c r="B143" s="41"/>
      <c r="C143" s="43" t="s">
        <v>232</v>
      </c>
      <c r="D143" s="43" t="s">
        <v>999</v>
      </c>
      <c r="E143" s="43" t="s">
        <v>823</v>
      </c>
      <c r="F143" s="49" t="s">
        <v>36</v>
      </c>
      <c r="G143" s="43" t="s">
        <v>824</v>
      </c>
      <c r="H143" s="43" t="s">
        <v>825</v>
      </c>
      <c r="I143" s="44"/>
    </row>
    <row r="144" spans="2:9" hidden="1" x14ac:dyDescent="0.25">
      <c r="B144" s="41"/>
      <c r="C144" s="43" t="s">
        <v>233</v>
      </c>
      <c r="D144" s="43" t="s">
        <v>1000</v>
      </c>
      <c r="E144" s="43" t="s">
        <v>823</v>
      </c>
      <c r="F144" s="48" t="s">
        <v>22</v>
      </c>
      <c r="G144" s="43" t="s">
        <v>824</v>
      </c>
      <c r="H144" s="43" t="s">
        <v>825</v>
      </c>
      <c r="I144" s="44"/>
    </row>
    <row r="145" spans="2:9" hidden="1" x14ac:dyDescent="0.25">
      <c r="B145" s="41"/>
      <c r="C145" s="43" t="s">
        <v>1001</v>
      </c>
      <c r="D145" s="43" t="s">
        <v>1002</v>
      </c>
      <c r="E145" s="43" t="s">
        <v>823</v>
      </c>
      <c r="F145" s="48" t="s">
        <v>22</v>
      </c>
      <c r="G145" s="43" t="s">
        <v>824</v>
      </c>
      <c r="H145" s="43" t="s">
        <v>825</v>
      </c>
      <c r="I145" s="44"/>
    </row>
    <row r="146" spans="2:9" hidden="1" x14ac:dyDescent="0.25">
      <c r="B146" s="41"/>
      <c r="C146" s="43" t="s">
        <v>235</v>
      </c>
      <c r="D146" s="43" t="s">
        <v>1003</v>
      </c>
      <c r="E146" s="43" t="s">
        <v>823</v>
      </c>
      <c r="F146" s="48" t="s">
        <v>22</v>
      </c>
      <c r="G146" s="43" t="s">
        <v>824</v>
      </c>
      <c r="H146" s="43" t="s">
        <v>825</v>
      </c>
      <c r="I146" s="44"/>
    </row>
    <row r="147" spans="2:9" hidden="1" x14ac:dyDescent="0.25">
      <c r="B147" s="41"/>
      <c r="C147" s="43" t="s">
        <v>237</v>
      </c>
      <c r="D147" s="43" t="s">
        <v>1004</v>
      </c>
      <c r="E147" s="43" t="s">
        <v>823</v>
      </c>
      <c r="F147" s="48" t="s">
        <v>22</v>
      </c>
      <c r="G147" s="43" t="s">
        <v>824</v>
      </c>
      <c r="H147" s="43" t="s">
        <v>825</v>
      </c>
      <c r="I147" s="44"/>
    </row>
    <row r="148" spans="2:9" hidden="1" x14ac:dyDescent="0.25">
      <c r="B148" s="41"/>
      <c r="C148" s="43" t="s">
        <v>240</v>
      </c>
      <c r="D148" s="43" t="s">
        <v>1005</v>
      </c>
      <c r="E148" s="43" t="s">
        <v>823</v>
      </c>
      <c r="F148" s="48" t="s">
        <v>22</v>
      </c>
      <c r="G148" s="43" t="s">
        <v>824</v>
      </c>
      <c r="H148" s="43" t="s">
        <v>825</v>
      </c>
      <c r="I148" s="44"/>
    </row>
    <row r="149" spans="2:9" hidden="1" x14ac:dyDescent="0.25">
      <c r="B149" s="41"/>
      <c r="C149" s="43" t="s">
        <v>241</v>
      </c>
      <c r="D149" s="43" t="s">
        <v>1006</v>
      </c>
      <c r="E149" s="43" t="s">
        <v>823</v>
      </c>
      <c r="F149" s="48" t="s">
        <v>22</v>
      </c>
      <c r="G149" s="43" t="s">
        <v>824</v>
      </c>
      <c r="H149" s="43" t="s">
        <v>825</v>
      </c>
      <c r="I149" s="44"/>
    </row>
    <row r="150" spans="2:9" hidden="1" x14ac:dyDescent="0.25">
      <c r="B150" s="41"/>
      <c r="C150" s="43" t="s">
        <v>242</v>
      </c>
      <c r="D150" s="43" t="s">
        <v>1007</v>
      </c>
      <c r="E150" s="43" t="s">
        <v>823</v>
      </c>
      <c r="F150" s="48" t="s">
        <v>22</v>
      </c>
      <c r="G150" s="43" t="s">
        <v>824</v>
      </c>
      <c r="H150" s="43" t="s">
        <v>825</v>
      </c>
      <c r="I150" s="44"/>
    </row>
    <row r="151" spans="2:9" hidden="1" x14ac:dyDescent="0.25">
      <c r="B151" s="41"/>
      <c r="C151" s="43" t="s">
        <v>244</v>
      </c>
      <c r="D151" s="43" t="s">
        <v>1008</v>
      </c>
      <c r="E151" s="43" t="s">
        <v>823</v>
      </c>
      <c r="F151" s="48" t="s">
        <v>22</v>
      </c>
      <c r="G151" s="43" t="s">
        <v>824</v>
      </c>
      <c r="H151" s="43" t="s">
        <v>825</v>
      </c>
      <c r="I151" s="44"/>
    </row>
    <row r="152" spans="2:9" hidden="1" x14ac:dyDescent="0.25">
      <c r="B152" s="41"/>
      <c r="C152" s="43" t="s">
        <v>246</v>
      </c>
      <c r="D152" s="43" t="s">
        <v>1009</v>
      </c>
      <c r="E152" s="43" t="s">
        <v>823</v>
      </c>
      <c r="F152" s="48" t="s">
        <v>22</v>
      </c>
      <c r="G152" s="43" t="s">
        <v>824</v>
      </c>
      <c r="H152" s="43" t="s">
        <v>825</v>
      </c>
      <c r="I152" s="44"/>
    </row>
    <row r="153" spans="2:9" hidden="1" x14ac:dyDescent="0.25">
      <c r="B153" s="41"/>
      <c r="C153" s="43" t="s">
        <v>1010</v>
      </c>
      <c r="D153" s="43" t="s">
        <v>1011</v>
      </c>
      <c r="E153" s="43" t="s">
        <v>823</v>
      </c>
      <c r="F153" s="52" t="s">
        <v>263</v>
      </c>
      <c r="G153" s="43" t="s">
        <v>824</v>
      </c>
      <c r="H153" s="43" t="s">
        <v>825</v>
      </c>
      <c r="I153" s="44"/>
    </row>
    <row r="154" spans="2:9" hidden="1" x14ac:dyDescent="0.25">
      <c r="B154" s="41"/>
      <c r="C154" s="43" t="s">
        <v>247</v>
      </c>
      <c r="D154" s="43" t="s">
        <v>1012</v>
      </c>
      <c r="E154" s="43" t="s">
        <v>823</v>
      </c>
      <c r="F154" s="48" t="s">
        <v>22</v>
      </c>
      <c r="G154" s="43" t="s">
        <v>824</v>
      </c>
      <c r="H154" s="43" t="s">
        <v>825</v>
      </c>
      <c r="I154" s="44"/>
    </row>
    <row r="155" spans="2:9" hidden="1" x14ac:dyDescent="0.25">
      <c r="B155" s="42"/>
      <c r="C155" s="45" t="s">
        <v>248</v>
      </c>
      <c r="D155" s="45" t="s">
        <v>1013</v>
      </c>
      <c r="E155" s="45" t="s">
        <v>823</v>
      </c>
      <c r="F155" s="54" t="s">
        <v>22</v>
      </c>
      <c r="G155" s="45" t="s">
        <v>824</v>
      </c>
      <c r="H155" s="45" t="s">
        <v>825</v>
      </c>
      <c r="I155" s="46"/>
    </row>
    <row r="156" spans="2:9" hidden="1" x14ac:dyDescent="0.25">
      <c r="B156" s="41"/>
      <c r="C156" s="43" t="s">
        <v>249</v>
      </c>
      <c r="D156" s="43" t="s">
        <v>1014</v>
      </c>
      <c r="E156" s="43" t="s">
        <v>823</v>
      </c>
      <c r="F156" s="49" t="s">
        <v>36</v>
      </c>
      <c r="G156" s="43" t="s">
        <v>824</v>
      </c>
      <c r="H156" s="43" t="s">
        <v>825</v>
      </c>
      <c r="I156" s="44"/>
    </row>
    <row r="157" spans="2:9" hidden="1" x14ac:dyDescent="0.25">
      <c r="B157" s="41"/>
      <c r="C157" s="43" t="s">
        <v>251</v>
      </c>
      <c r="D157" s="43" t="s">
        <v>1015</v>
      </c>
      <c r="E157" s="43" t="s">
        <v>831</v>
      </c>
      <c r="F157" s="49" t="s">
        <v>36</v>
      </c>
      <c r="G157" s="43" t="s">
        <v>824</v>
      </c>
      <c r="H157" s="43" t="s">
        <v>825</v>
      </c>
      <c r="I157" s="44"/>
    </row>
    <row r="158" spans="2:9" hidden="1" x14ac:dyDescent="0.25">
      <c r="B158" s="41"/>
      <c r="C158" s="43" t="s">
        <v>252</v>
      </c>
      <c r="D158" s="43" t="s">
        <v>1016</v>
      </c>
      <c r="E158" s="43" t="s">
        <v>823</v>
      </c>
      <c r="F158" s="49" t="s">
        <v>36</v>
      </c>
      <c r="G158" s="43" t="s">
        <v>824</v>
      </c>
      <c r="H158" s="43" t="s">
        <v>825</v>
      </c>
      <c r="I158" s="44"/>
    </row>
    <row r="159" spans="2:9" hidden="1" x14ac:dyDescent="0.25">
      <c r="B159" s="41"/>
      <c r="C159" s="43" t="s">
        <v>253</v>
      </c>
      <c r="D159" s="43" t="s">
        <v>1017</v>
      </c>
      <c r="E159" s="43" t="s">
        <v>831</v>
      </c>
      <c r="F159" s="49" t="s">
        <v>36</v>
      </c>
      <c r="G159" s="43" t="s">
        <v>824</v>
      </c>
      <c r="H159" s="43" t="s">
        <v>825</v>
      </c>
      <c r="I159" s="44"/>
    </row>
    <row r="160" spans="2:9" hidden="1" x14ac:dyDescent="0.25">
      <c r="B160" s="41"/>
      <c r="C160" s="43" t="s">
        <v>255</v>
      </c>
      <c r="D160" s="43" t="s">
        <v>1019</v>
      </c>
      <c r="E160" s="43" t="s">
        <v>823</v>
      </c>
      <c r="F160" s="49" t="s">
        <v>36</v>
      </c>
      <c r="G160" s="43" t="s">
        <v>824</v>
      </c>
      <c r="H160" s="43" t="s">
        <v>825</v>
      </c>
      <c r="I160" s="44"/>
    </row>
    <row r="161" spans="2:9" hidden="1" x14ac:dyDescent="0.25">
      <c r="B161" s="41"/>
      <c r="C161" s="43" t="s">
        <v>1475</v>
      </c>
      <c r="D161" s="43" t="s">
        <v>1476</v>
      </c>
      <c r="E161" s="43" t="s">
        <v>823</v>
      </c>
      <c r="F161" s="52" t="s">
        <v>670</v>
      </c>
      <c r="G161" s="43" t="s">
        <v>824</v>
      </c>
      <c r="H161" s="43" t="s">
        <v>825</v>
      </c>
      <c r="I161" s="44"/>
    </row>
    <row r="162" spans="2:9" hidden="1" x14ac:dyDescent="0.25">
      <c r="B162" s="41"/>
      <c r="C162" s="43" t="s">
        <v>1020</v>
      </c>
      <c r="D162" s="43" t="s">
        <v>1021</v>
      </c>
      <c r="E162" s="43" t="s">
        <v>823</v>
      </c>
      <c r="F162" s="48" t="s">
        <v>22</v>
      </c>
      <c r="G162" s="43" t="s">
        <v>824</v>
      </c>
      <c r="H162" s="43" t="s">
        <v>825</v>
      </c>
      <c r="I162" s="44"/>
    </row>
    <row r="163" spans="2:9" hidden="1" x14ac:dyDescent="0.25">
      <c r="B163" s="41"/>
      <c r="C163" s="43" t="s">
        <v>256</v>
      </c>
      <c r="D163" s="43" t="s">
        <v>1022</v>
      </c>
      <c r="E163" s="43" t="s">
        <v>823</v>
      </c>
      <c r="F163" s="48" t="s">
        <v>22</v>
      </c>
      <c r="G163" s="43" t="s">
        <v>824</v>
      </c>
      <c r="H163" s="43" t="s">
        <v>825</v>
      </c>
      <c r="I163" s="44"/>
    </row>
    <row r="164" spans="2:9" hidden="1" x14ac:dyDescent="0.25">
      <c r="B164" s="41"/>
      <c r="C164" s="43" t="s">
        <v>257</v>
      </c>
      <c r="D164" s="43" t="s">
        <v>1023</v>
      </c>
      <c r="E164" s="43" t="s">
        <v>823</v>
      </c>
      <c r="F164" s="48" t="s">
        <v>22</v>
      </c>
      <c r="G164" s="43" t="s">
        <v>824</v>
      </c>
      <c r="H164" s="43" t="s">
        <v>825</v>
      </c>
      <c r="I164" s="44"/>
    </row>
    <row r="165" spans="2:9" hidden="1" x14ac:dyDescent="0.25">
      <c r="B165" s="41"/>
      <c r="C165" s="43" t="s">
        <v>259</v>
      </c>
      <c r="D165" s="43" t="s">
        <v>1024</v>
      </c>
      <c r="E165" s="43" t="s">
        <v>823</v>
      </c>
      <c r="F165" s="48" t="s">
        <v>22</v>
      </c>
      <c r="G165" s="43" t="s">
        <v>824</v>
      </c>
      <c r="H165" s="43" t="s">
        <v>825</v>
      </c>
      <c r="I165" s="44"/>
    </row>
    <row r="166" spans="2:9" hidden="1" x14ac:dyDescent="0.25">
      <c r="B166" s="41"/>
      <c r="C166" s="43" t="s">
        <v>260</v>
      </c>
      <c r="D166" s="43" t="s">
        <v>1025</v>
      </c>
      <c r="E166" s="43" t="s">
        <v>823</v>
      </c>
      <c r="F166" s="48" t="s">
        <v>22</v>
      </c>
      <c r="G166" s="43" t="s">
        <v>824</v>
      </c>
      <c r="H166" s="43" t="s">
        <v>825</v>
      </c>
      <c r="I166" s="44"/>
    </row>
    <row r="167" spans="2:9" hidden="1" x14ac:dyDescent="0.25">
      <c r="B167" s="41"/>
      <c r="C167" s="43" t="s">
        <v>261</v>
      </c>
      <c r="D167" s="43" t="s">
        <v>1026</v>
      </c>
      <c r="E167" s="43" t="s">
        <v>823</v>
      </c>
      <c r="F167" s="48" t="s">
        <v>22</v>
      </c>
      <c r="G167" s="43" t="s">
        <v>824</v>
      </c>
      <c r="H167" s="43" t="s">
        <v>825</v>
      </c>
      <c r="I167" s="44"/>
    </row>
    <row r="168" spans="2:9" hidden="1" x14ac:dyDescent="0.25">
      <c r="B168" s="41"/>
      <c r="C168" s="43" t="s">
        <v>262</v>
      </c>
      <c r="D168" s="43" t="s">
        <v>1027</v>
      </c>
      <c r="E168" s="43" t="s">
        <v>823</v>
      </c>
      <c r="F168" s="52" t="s">
        <v>263</v>
      </c>
      <c r="G168" s="43" t="s">
        <v>824</v>
      </c>
      <c r="H168" s="43" t="s">
        <v>825</v>
      </c>
      <c r="I168" s="44"/>
    </row>
    <row r="169" spans="2:9" hidden="1" x14ac:dyDescent="0.25">
      <c r="B169" s="41"/>
      <c r="C169" s="43" t="s">
        <v>162</v>
      </c>
      <c r="D169" s="43" t="s">
        <v>1028</v>
      </c>
      <c r="E169" s="43" t="s">
        <v>831</v>
      </c>
      <c r="F169" s="53" t="s">
        <v>222</v>
      </c>
      <c r="G169" s="43" t="s">
        <v>825</v>
      </c>
      <c r="H169" s="43" t="s">
        <v>825</v>
      </c>
      <c r="I169" s="44"/>
    </row>
    <row r="170" spans="2:9" hidden="1" x14ac:dyDescent="0.25">
      <c r="B170" s="41"/>
      <c r="C170" s="43" t="s">
        <v>264</v>
      </c>
      <c r="D170" s="43" t="s">
        <v>1029</v>
      </c>
      <c r="E170" s="43" t="s">
        <v>823</v>
      </c>
      <c r="F170" s="49" t="s">
        <v>36</v>
      </c>
      <c r="G170" s="43" t="s">
        <v>824</v>
      </c>
      <c r="H170" s="43" t="s">
        <v>825</v>
      </c>
      <c r="I170" s="44"/>
    </row>
    <row r="171" spans="2:9" hidden="1" x14ac:dyDescent="0.25">
      <c r="B171" s="41"/>
      <c r="C171" s="43" t="s">
        <v>265</v>
      </c>
      <c r="D171" s="43" t="s">
        <v>1030</v>
      </c>
      <c r="E171" s="43" t="s">
        <v>831</v>
      </c>
      <c r="F171" s="49" t="s">
        <v>36</v>
      </c>
      <c r="G171" s="43" t="s">
        <v>824</v>
      </c>
      <c r="H171" s="43" t="s">
        <v>825</v>
      </c>
      <c r="I171" s="44"/>
    </row>
    <row r="172" spans="2:9" hidden="1" x14ac:dyDescent="0.25">
      <c r="B172" s="41"/>
      <c r="C172" s="43" t="s">
        <v>1031</v>
      </c>
      <c r="D172" s="43" t="s">
        <v>1032</v>
      </c>
      <c r="E172" s="43" t="s">
        <v>823</v>
      </c>
      <c r="F172" s="48" t="s">
        <v>22</v>
      </c>
      <c r="G172" s="43" t="s">
        <v>824</v>
      </c>
      <c r="H172" s="43" t="s">
        <v>825</v>
      </c>
      <c r="I172" s="44"/>
    </row>
    <row r="173" spans="2:9" hidden="1" x14ac:dyDescent="0.25">
      <c r="B173" s="41"/>
      <c r="C173" s="43" t="s">
        <v>266</v>
      </c>
      <c r="D173" s="43" t="s">
        <v>1033</v>
      </c>
      <c r="E173" s="43" t="s">
        <v>823</v>
      </c>
      <c r="F173" s="48" t="s">
        <v>22</v>
      </c>
      <c r="G173" s="43" t="s">
        <v>824</v>
      </c>
      <c r="H173" s="43" t="s">
        <v>825</v>
      </c>
      <c r="I173" s="44"/>
    </row>
    <row r="174" spans="2:9" hidden="1" x14ac:dyDescent="0.25">
      <c r="B174" s="41"/>
      <c r="C174" s="43" t="s">
        <v>1034</v>
      </c>
      <c r="D174" s="43" t="s">
        <v>1035</v>
      </c>
      <c r="E174" s="43" t="s">
        <v>823</v>
      </c>
      <c r="F174" s="48" t="s">
        <v>22</v>
      </c>
      <c r="G174" s="43" t="s">
        <v>824</v>
      </c>
      <c r="H174" s="43" t="s">
        <v>825</v>
      </c>
      <c r="I174" s="44"/>
    </row>
    <row r="175" spans="2:9" hidden="1" x14ac:dyDescent="0.25">
      <c r="B175" s="41"/>
      <c r="C175" s="43" t="s">
        <v>268</v>
      </c>
      <c r="D175" s="43" t="s">
        <v>1036</v>
      </c>
      <c r="E175" s="43" t="s">
        <v>823</v>
      </c>
      <c r="F175" s="53" t="s">
        <v>222</v>
      </c>
      <c r="G175" s="43" t="s">
        <v>825</v>
      </c>
      <c r="H175" s="43" t="s">
        <v>825</v>
      </c>
      <c r="I175" s="44"/>
    </row>
    <row r="176" spans="2:9" hidden="1" x14ac:dyDescent="0.25">
      <c r="B176" s="41"/>
      <c r="C176" s="43" t="s">
        <v>269</v>
      </c>
      <c r="D176" s="43" t="s">
        <v>1037</v>
      </c>
      <c r="E176" s="43" t="s">
        <v>823</v>
      </c>
      <c r="F176" s="50" t="s">
        <v>47</v>
      </c>
      <c r="G176" s="43" t="s">
        <v>824</v>
      </c>
      <c r="H176" s="43" t="s">
        <v>825</v>
      </c>
      <c r="I176" s="44"/>
    </row>
    <row r="177" spans="2:9" hidden="1" x14ac:dyDescent="0.25">
      <c r="B177" s="41"/>
      <c r="C177" s="43" t="s">
        <v>270</v>
      </c>
      <c r="D177" s="43" t="s">
        <v>1038</v>
      </c>
      <c r="E177" s="43" t="s">
        <v>823</v>
      </c>
      <c r="F177" s="48" t="s">
        <v>22</v>
      </c>
      <c r="G177" s="43" t="s">
        <v>824</v>
      </c>
      <c r="H177" s="43" t="s">
        <v>825</v>
      </c>
      <c r="I177" s="44"/>
    </row>
    <row r="178" spans="2:9" hidden="1" x14ac:dyDescent="0.25">
      <c r="B178" s="41"/>
      <c r="C178" s="43" t="s">
        <v>271</v>
      </c>
      <c r="D178" s="43" t="s">
        <v>1039</v>
      </c>
      <c r="E178" s="43" t="s">
        <v>823</v>
      </c>
      <c r="F178" s="48" t="s">
        <v>22</v>
      </c>
      <c r="G178" s="43" t="s">
        <v>824</v>
      </c>
      <c r="H178" s="43" t="s">
        <v>825</v>
      </c>
      <c r="I178" s="44"/>
    </row>
    <row r="179" spans="2:9" hidden="1" x14ac:dyDescent="0.25">
      <c r="B179" s="41"/>
      <c r="C179" s="43" t="s">
        <v>272</v>
      </c>
      <c r="D179" s="43" t="s">
        <v>1040</v>
      </c>
      <c r="E179" s="43" t="s">
        <v>823</v>
      </c>
      <c r="F179" s="48" t="s">
        <v>22</v>
      </c>
      <c r="G179" s="43" t="s">
        <v>824</v>
      </c>
      <c r="H179" s="43" t="s">
        <v>825</v>
      </c>
      <c r="I179" s="44"/>
    </row>
    <row r="180" spans="2:9" hidden="1" x14ac:dyDescent="0.25">
      <c r="B180" s="41"/>
      <c r="C180" s="43" t="s">
        <v>273</v>
      </c>
      <c r="D180" s="43" t="s">
        <v>1041</v>
      </c>
      <c r="E180" s="43" t="s">
        <v>823</v>
      </c>
      <c r="F180" s="50" t="s">
        <v>47</v>
      </c>
      <c r="G180" s="43" t="s">
        <v>824</v>
      </c>
      <c r="H180" s="43" t="s">
        <v>825</v>
      </c>
      <c r="I180" s="44"/>
    </row>
    <row r="181" spans="2:9" hidden="1" x14ac:dyDescent="0.25">
      <c r="B181" s="41"/>
      <c r="C181" s="43" t="s">
        <v>274</v>
      </c>
      <c r="D181" s="43" t="s">
        <v>1042</v>
      </c>
      <c r="E181" s="43" t="s">
        <v>823</v>
      </c>
      <c r="F181" s="48" t="s">
        <v>22</v>
      </c>
      <c r="G181" s="43" t="s">
        <v>824</v>
      </c>
      <c r="H181" s="43" t="s">
        <v>825</v>
      </c>
      <c r="I181" s="44"/>
    </row>
    <row r="182" spans="2:9" hidden="1" x14ac:dyDescent="0.25">
      <c r="B182" s="41"/>
      <c r="C182" s="43" t="s">
        <v>276</v>
      </c>
      <c r="D182" s="43" t="s">
        <v>1043</v>
      </c>
      <c r="E182" s="43" t="s">
        <v>823</v>
      </c>
      <c r="F182" s="48" t="s">
        <v>22</v>
      </c>
      <c r="G182" s="43" t="s">
        <v>824</v>
      </c>
      <c r="H182" s="43" t="s">
        <v>825</v>
      </c>
      <c r="I182" s="44"/>
    </row>
    <row r="183" spans="2:9" hidden="1" x14ac:dyDescent="0.25">
      <c r="B183" s="41"/>
      <c r="C183" s="43" t="s">
        <v>1044</v>
      </c>
      <c r="D183" s="43" t="s">
        <v>1045</v>
      </c>
      <c r="E183" s="43" t="s">
        <v>823</v>
      </c>
      <c r="F183" s="48" t="s">
        <v>22</v>
      </c>
      <c r="G183" s="43" t="s">
        <v>824</v>
      </c>
      <c r="H183" s="43" t="s">
        <v>825</v>
      </c>
      <c r="I183" s="44"/>
    </row>
    <row r="184" spans="2:9" hidden="1" x14ac:dyDescent="0.25">
      <c r="B184" s="41"/>
      <c r="C184" s="43" t="s">
        <v>277</v>
      </c>
      <c r="D184" s="43" t="s">
        <v>1046</v>
      </c>
      <c r="E184" s="43" t="s">
        <v>823</v>
      </c>
      <c r="F184" s="49" t="s">
        <v>36</v>
      </c>
      <c r="G184" s="43" t="s">
        <v>824</v>
      </c>
      <c r="H184" s="43" t="s">
        <v>825</v>
      </c>
      <c r="I184" s="44"/>
    </row>
    <row r="185" spans="2:9" hidden="1" x14ac:dyDescent="0.25">
      <c r="B185" s="41"/>
      <c r="C185" s="43" t="s">
        <v>278</v>
      </c>
      <c r="D185" s="43" t="s">
        <v>1047</v>
      </c>
      <c r="E185" s="43" t="s">
        <v>823</v>
      </c>
      <c r="F185" s="48" t="s">
        <v>22</v>
      </c>
      <c r="G185" s="43" t="s">
        <v>824</v>
      </c>
      <c r="H185" s="43" t="s">
        <v>825</v>
      </c>
      <c r="I185" s="44"/>
    </row>
    <row r="186" spans="2:9" hidden="1" x14ac:dyDescent="0.25">
      <c r="B186" s="41"/>
      <c r="C186" s="43" t="s">
        <v>281</v>
      </c>
      <c r="D186" s="43" t="s">
        <v>1049</v>
      </c>
      <c r="E186" s="43" t="s">
        <v>823</v>
      </c>
      <c r="F186" s="48" t="s">
        <v>22</v>
      </c>
      <c r="G186" s="43" t="s">
        <v>824</v>
      </c>
      <c r="H186" s="43" t="s">
        <v>825</v>
      </c>
      <c r="I186" s="44"/>
    </row>
    <row r="187" spans="2:9" hidden="1" x14ac:dyDescent="0.25">
      <c r="B187" s="41"/>
      <c r="C187" s="43" t="s">
        <v>1050</v>
      </c>
      <c r="D187" s="43" t="s">
        <v>1051</v>
      </c>
      <c r="E187" s="43" t="s">
        <v>823</v>
      </c>
      <c r="F187" s="49" t="s">
        <v>36</v>
      </c>
      <c r="G187" s="43" t="s">
        <v>824</v>
      </c>
      <c r="H187" s="43" t="s">
        <v>825</v>
      </c>
      <c r="I187" s="44"/>
    </row>
    <row r="188" spans="2:9" hidden="1" x14ac:dyDescent="0.25">
      <c r="B188" s="41"/>
      <c r="C188" s="43" t="s">
        <v>282</v>
      </c>
      <c r="D188" s="43" t="s">
        <v>1052</v>
      </c>
      <c r="E188" s="43" t="s">
        <v>823</v>
      </c>
      <c r="F188" s="48" t="s">
        <v>22</v>
      </c>
      <c r="G188" s="43" t="s">
        <v>824</v>
      </c>
      <c r="H188" s="43" t="s">
        <v>825</v>
      </c>
      <c r="I188" s="44"/>
    </row>
    <row r="189" spans="2:9" hidden="1" x14ac:dyDescent="0.25">
      <c r="B189" s="41"/>
      <c r="C189" s="43" t="s">
        <v>1053</v>
      </c>
      <c r="D189" s="43" t="s">
        <v>1054</v>
      </c>
      <c r="E189" s="43" t="s">
        <v>823</v>
      </c>
      <c r="F189" s="48" t="s">
        <v>22</v>
      </c>
      <c r="G189" s="43" t="s">
        <v>824</v>
      </c>
      <c r="H189" s="43" t="s">
        <v>825</v>
      </c>
      <c r="I189" s="44"/>
    </row>
    <row r="190" spans="2:9" hidden="1" x14ac:dyDescent="0.25">
      <c r="B190" s="41"/>
      <c r="C190" s="43" t="s">
        <v>283</v>
      </c>
      <c r="D190" s="43" t="s">
        <v>1055</v>
      </c>
      <c r="E190" s="43" t="s">
        <v>823</v>
      </c>
      <c r="F190" s="48" t="s">
        <v>22</v>
      </c>
      <c r="G190" s="43" t="s">
        <v>824</v>
      </c>
      <c r="H190" s="43" t="s">
        <v>825</v>
      </c>
      <c r="I190" s="44"/>
    </row>
    <row r="191" spans="2:9" hidden="1" x14ac:dyDescent="0.25">
      <c r="B191" s="41"/>
      <c r="C191" s="43" t="s">
        <v>285</v>
      </c>
      <c r="D191" s="43" t="s">
        <v>1056</v>
      </c>
      <c r="E191" s="43" t="s">
        <v>823</v>
      </c>
      <c r="F191" s="49" t="s">
        <v>36</v>
      </c>
      <c r="G191" s="43" t="s">
        <v>824</v>
      </c>
      <c r="H191" s="43" t="s">
        <v>825</v>
      </c>
      <c r="I191" s="44"/>
    </row>
    <row r="192" spans="2:9" hidden="1" x14ac:dyDescent="0.25">
      <c r="B192" s="41"/>
      <c r="C192" s="43" t="s">
        <v>286</v>
      </c>
      <c r="D192" s="43" t="s">
        <v>1057</v>
      </c>
      <c r="E192" s="43" t="s">
        <v>823</v>
      </c>
      <c r="F192" s="50" t="s">
        <v>47</v>
      </c>
      <c r="G192" s="43" t="s">
        <v>824</v>
      </c>
      <c r="H192" s="43" t="s">
        <v>825</v>
      </c>
      <c r="I192" s="44"/>
    </row>
    <row r="193" spans="2:9" hidden="1" x14ac:dyDescent="0.25">
      <c r="B193" s="41"/>
      <c r="C193" s="43" t="s">
        <v>1058</v>
      </c>
      <c r="D193" s="43" t="s">
        <v>1059</v>
      </c>
      <c r="E193" s="43" t="s">
        <v>823</v>
      </c>
      <c r="F193" s="48" t="s">
        <v>22</v>
      </c>
      <c r="G193" s="43" t="s">
        <v>824</v>
      </c>
      <c r="H193" s="43" t="s">
        <v>825</v>
      </c>
      <c r="I193" s="44"/>
    </row>
    <row r="194" spans="2:9" hidden="1" x14ac:dyDescent="0.25">
      <c r="B194" s="41"/>
      <c r="C194" s="43" t="s">
        <v>287</v>
      </c>
      <c r="D194" s="43" t="s">
        <v>1060</v>
      </c>
      <c r="E194" s="43" t="s">
        <v>823</v>
      </c>
      <c r="F194" s="48" t="s">
        <v>22</v>
      </c>
      <c r="G194" s="43" t="s">
        <v>824</v>
      </c>
      <c r="H194" s="43" t="s">
        <v>825</v>
      </c>
      <c r="I194" s="44"/>
    </row>
    <row r="195" spans="2:9" hidden="1" x14ac:dyDescent="0.25">
      <c r="B195" s="41"/>
      <c r="C195" s="43" t="s">
        <v>288</v>
      </c>
      <c r="D195" s="43" t="s">
        <v>1061</v>
      </c>
      <c r="E195" s="43" t="s">
        <v>831</v>
      </c>
      <c r="F195" s="49" t="s">
        <v>36</v>
      </c>
      <c r="G195" s="43" t="s">
        <v>824</v>
      </c>
      <c r="H195" s="43" t="s">
        <v>825</v>
      </c>
      <c r="I195" s="44"/>
    </row>
    <row r="196" spans="2:9" hidden="1" x14ac:dyDescent="0.25">
      <c r="B196" s="41"/>
      <c r="C196" s="43" t="s">
        <v>289</v>
      </c>
      <c r="D196" s="43" t="s">
        <v>1062</v>
      </c>
      <c r="E196" s="43" t="s">
        <v>823</v>
      </c>
      <c r="F196" s="48" t="s">
        <v>22</v>
      </c>
      <c r="G196" s="43" t="s">
        <v>824</v>
      </c>
      <c r="H196" s="43" t="s">
        <v>825</v>
      </c>
      <c r="I196" s="44"/>
    </row>
    <row r="197" spans="2:9" hidden="1" x14ac:dyDescent="0.25">
      <c r="B197" s="41"/>
      <c r="C197" s="43" t="s">
        <v>1063</v>
      </c>
      <c r="D197" s="43" t="s">
        <v>1064</v>
      </c>
      <c r="E197" s="43" t="s">
        <v>823</v>
      </c>
      <c r="F197" s="48" t="s">
        <v>22</v>
      </c>
      <c r="G197" s="43" t="s">
        <v>824</v>
      </c>
      <c r="H197" s="43" t="s">
        <v>825</v>
      </c>
      <c r="I197" s="44"/>
    </row>
    <row r="198" spans="2:9" hidden="1" x14ac:dyDescent="0.25">
      <c r="B198" s="41"/>
      <c r="C198" s="43" t="s">
        <v>291</v>
      </c>
      <c r="D198" s="43" t="s">
        <v>1065</v>
      </c>
      <c r="E198" s="43" t="s">
        <v>831</v>
      </c>
      <c r="F198" s="49" t="s">
        <v>36</v>
      </c>
      <c r="G198" s="43" t="s">
        <v>824</v>
      </c>
      <c r="H198" s="43" t="s">
        <v>1066</v>
      </c>
      <c r="I198" s="44"/>
    </row>
    <row r="199" spans="2:9" hidden="1" x14ac:dyDescent="0.25">
      <c r="B199" s="41"/>
      <c r="C199" s="43" t="s">
        <v>1067</v>
      </c>
      <c r="D199" s="43" t="s">
        <v>1068</v>
      </c>
      <c r="E199" s="43" t="s">
        <v>823</v>
      </c>
      <c r="F199" s="53" t="s">
        <v>222</v>
      </c>
      <c r="G199" s="43" t="s">
        <v>825</v>
      </c>
      <c r="H199" s="43" t="s">
        <v>825</v>
      </c>
      <c r="I199" s="44"/>
    </row>
    <row r="200" spans="2:9" hidden="1" x14ac:dyDescent="0.25">
      <c r="B200" s="41"/>
      <c r="C200" s="43" t="s">
        <v>292</v>
      </c>
      <c r="D200" s="43" t="s">
        <v>1069</v>
      </c>
      <c r="E200" s="43" t="s">
        <v>823</v>
      </c>
      <c r="F200" s="48" t="s">
        <v>22</v>
      </c>
      <c r="G200" s="43" t="s">
        <v>824</v>
      </c>
      <c r="H200" s="43" t="s">
        <v>825</v>
      </c>
      <c r="I200" s="44"/>
    </row>
    <row r="201" spans="2:9" hidden="1" x14ac:dyDescent="0.25">
      <c r="B201" s="41"/>
      <c r="C201" s="43" t="s">
        <v>293</v>
      </c>
      <c r="D201" s="43" t="s">
        <v>1070</v>
      </c>
      <c r="E201" s="43" t="s">
        <v>823</v>
      </c>
      <c r="F201" s="48" t="s">
        <v>22</v>
      </c>
      <c r="G201" s="43" t="s">
        <v>824</v>
      </c>
      <c r="H201" s="43" t="s">
        <v>825</v>
      </c>
      <c r="I201" s="44"/>
    </row>
    <row r="202" spans="2:9" hidden="1" x14ac:dyDescent="0.25">
      <c r="B202" s="41"/>
      <c r="C202" s="43" t="s">
        <v>294</v>
      </c>
      <c r="D202" s="43" t="s">
        <v>1071</v>
      </c>
      <c r="E202" s="43" t="s">
        <v>823</v>
      </c>
      <c r="F202" s="48" t="s">
        <v>22</v>
      </c>
      <c r="G202" s="43" t="s">
        <v>824</v>
      </c>
      <c r="H202" s="43" t="s">
        <v>825</v>
      </c>
      <c r="I202" s="44"/>
    </row>
    <row r="203" spans="2:9" hidden="1" x14ac:dyDescent="0.25">
      <c r="B203" s="41"/>
      <c r="C203" s="43" t="s">
        <v>296</v>
      </c>
      <c r="D203" s="43" t="s">
        <v>1072</v>
      </c>
      <c r="E203" s="43" t="s">
        <v>823</v>
      </c>
      <c r="F203" s="52" t="s">
        <v>263</v>
      </c>
      <c r="G203" s="43" t="s">
        <v>824</v>
      </c>
      <c r="H203" s="43" t="s">
        <v>825</v>
      </c>
      <c r="I203" s="44"/>
    </row>
    <row r="204" spans="2:9" hidden="1" x14ac:dyDescent="0.25">
      <c r="B204" s="41"/>
      <c r="C204" s="43" t="s">
        <v>297</v>
      </c>
      <c r="D204" s="43" t="s">
        <v>1073</v>
      </c>
      <c r="E204" s="43" t="s">
        <v>823</v>
      </c>
      <c r="F204" s="49" t="s">
        <v>36</v>
      </c>
      <c r="G204" s="43" t="s">
        <v>824</v>
      </c>
      <c r="H204" s="43" t="s">
        <v>825</v>
      </c>
      <c r="I204" s="44"/>
    </row>
    <row r="205" spans="2:9" hidden="1" x14ac:dyDescent="0.25">
      <c r="B205" s="41"/>
      <c r="C205" s="43" t="s">
        <v>300</v>
      </c>
      <c r="D205" s="43" t="s">
        <v>1074</v>
      </c>
      <c r="E205" s="43" t="s">
        <v>823</v>
      </c>
      <c r="F205" s="48" t="s">
        <v>22</v>
      </c>
      <c r="G205" s="43" t="s">
        <v>824</v>
      </c>
      <c r="H205" s="43" t="s">
        <v>825</v>
      </c>
      <c r="I205" s="44"/>
    </row>
    <row r="206" spans="2:9" hidden="1" x14ac:dyDescent="0.25">
      <c r="B206" s="41"/>
      <c r="C206" s="43" t="s">
        <v>301</v>
      </c>
      <c r="D206" s="43" t="s">
        <v>1075</v>
      </c>
      <c r="E206" s="43" t="s">
        <v>823</v>
      </c>
      <c r="F206" s="49" t="s">
        <v>36</v>
      </c>
      <c r="G206" s="43" t="s">
        <v>824</v>
      </c>
      <c r="H206" s="43" t="s">
        <v>825</v>
      </c>
      <c r="I206" s="44"/>
    </row>
    <row r="207" spans="2:9" hidden="1" x14ac:dyDescent="0.25">
      <c r="B207" s="41"/>
      <c r="C207" s="43" t="s">
        <v>302</v>
      </c>
      <c r="D207" s="43" t="s">
        <v>1076</v>
      </c>
      <c r="E207" s="43" t="s">
        <v>823</v>
      </c>
      <c r="F207" s="48" t="s">
        <v>22</v>
      </c>
      <c r="G207" s="43" t="s">
        <v>824</v>
      </c>
      <c r="H207" s="43" t="s">
        <v>825</v>
      </c>
      <c r="I207" s="44"/>
    </row>
    <row r="208" spans="2:9" hidden="1" x14ac:dyDescent="0.25">
      <c r="B208" s="41"/>
      <c r="C208" s="43" t="s">
        <v>303</v>
      </c>
      <c r="D208" s="43" t="s">
        <v>1077</v>
      </c>
      <c r="E208" s="43" t="s">
        <v>823</v>
      </c>
      <c r="F208" s="48" t="s">
        <v>22</v>
      </c>
      <c r="G208" s="43" t="s">
        <v>824</v>
      </c>
      <c r="H208" s="43" t="s">
        <v>825</v>
      </c>
      <c r="I208" s="44"/>
    </row>
    <row r="209" spans="2:9" hidden="1" x14ac:dyDescent="0.25">
      <c r="B209" s="41"/>
      <c r="C209" s="43" t="s">
        <v>304</v>
      </c>
      <c r="D209" s="43" t="s">
        <v>1078</v>
      </c>
      <c r="E209" s="43" t="s">
        <v>823</v>
      </c>
      <c r="F209" s="48" t="s">
        <v>22</v>
      </c>
      <c r="G209" s="43" t="s">
        <v>824</v>
      </c>
      <c r="H209" s="43" t="s">
        <v>825</v>
      </c>
      <c r="I209" s="44"/>
    </row>
    <row r="210" spans="2:9" hidden="1" x14ac:dyDescent="0.25">
      <c r="B210" s="41"/>
      <c r="C210" s="43" t="s">
        <v>1079</v>
      </c>
      <c r="D210" s="43" t="s">
        <v>1080</v>
      </c>
      <c r="E210" s="43" t="s">
        <v>823</v>
      </c>
      <c r="F210" s="48" t="s">
        <v>22</v>
      </c>
      <c r="G210" s="43" t="s">
        <v>824</v>
      </c>
      <c r="H210" s="43" t="s">
        <v>825</v>
      </c>
      <c r="I210" s="44"/>
    </row>
    <row r="211" spans="2:9" hidden="1" x14ac:dyDescent="0.25">
      <c r="B211" s="41"/>
      <c r="C211" s="43" t="s">
        <v>305</v>
      </c>
      <c r="D211" s="43" t="s">
        <v>1081</v>
      </c>
      <c r="E211" s="43" t="s">
        <v>823</v>
      </c>
      <c r="F211" s="49" t="s">
        <v>36</v>
      </c>
      <c r="G211" s="43" t="s">
        <v>824</v>
      </c>
      <c r="H211" s="43" t="s">
        <v>825</v>
      </c>
      <c r="I211" s="44"/>
    </row>
    <row r="212" spans="2:9" hidden="1" x14ac:dyDescent="0.25">
      <c r="B212" s="41"/>
      <c r="C212" s="43" t="s">
        <v>306</v>
      </c>
      <c r="D212" s="43" t="s">
        <v>1084</v>
      </c>
      <c r="E212" s="43" t="s">
        <v>823</v>
      </c>
      <c r="F212" s="48" t="s">
        <v>22</v>
      </c>
      <c r="G212" s="43" t="s">
        <v>824</v>
      </c>
      <c r="H212" s="43" t="s">
        <v>825</v>
      </c>
      <c r="I212" s="44"/>
    </row>
    <row r="213" spans="2:9" hidden="1" x14ac:dyDescent="0.25">
      <c r="B213" s="41"/>
      <c r="C213" s="43" t="s">
        <v>307</v>
      </c>
      <c r="D213" s="43" t="s">
        <v>1085</v>
      </c>
      <c r="E213" s="43" t="s">
        <v>823</v>
      </c>
      <c r="F213" s="48" t="s">
        <v>22</v>
      </c>
      <c r="G213" s="43" t="s">
        <v>824</v>
      </c>
      <c r="H213" s="43" t="s">
        <v>825</v>
      </c>
      <c r="I213" s="44"/>
    </row>
    <row r="214" spans="2:9" hidden="1" x14ac:dyDescent="0.25">
      <c r="B214" s="41"/>
      <c r="C214" s="43" t="s">
        <v>308</v>
      </c>
      <c r="D214" s="43" t="s">
        <v>1086</v>
      </c>
      <c r="E214" s="43" t="s">
        <v>823</v>
      </c>
      <c r="F214" s="48" t="s">
        <v>22</v>
      </c>
      <c r="G214" s="43" t="s">
        <v>824</v>
      </c>
      <c r="H214" s="43" t="s">
        <v>825</v>
      </c>
      <c r="I214" s="44"/>
    </row>
    <row r="215" spans="2:9" hidden="1" x14ac:dyDescent="0.25">
      <c r="B215" s="41"/>
      <c r="C215" s="43" t="s">
        <v>310</v>
      </c>
      <c r="D215" s="43" t="s">
        <v>1087</v>
      </c>
      <c r="E215" s="43" t="s">
        <v>823</v>
      </c>
      <c r="F215" s="48" t="s">
        <v>22</v>
      </c>
      <c r="G215" s="43" t="s">
        <v>824</v>
      </c>
      <c r="H215" s="43" t="s">
        <v>825</v>
      </c>
      <c r="I215" s="44"/>
    </row>
    <row r="216" spans="2:9" hidden="1" x14ac:dyDescent="0.25">
      <c r="B216" s="41"/>
      <c r="C216" s="43" t="s">
        <v>312</v>
      </c>
      <c r="D216" s="43" t="s">
        <v>1088</v>
      </c>
      <c r="E216" s="43" t="s">
        <v>823</v>
      </c>
      <c r="F216" s="49" t="s">
        <v>36</v>
      </c>
      <c r="G216" s="43" t="s">
        <v>824</v>
      </c>
      <c r="H216" s="43" t="s">
        <v>825</v>
      </c>
      <c r="I216" s="44"/>
    </row>
    <row r="217" spans="2:9" hidden="1" x14ac:dyDescent="0.25">
      <c r="B217" s="41"/>
      <c r="C217" s="43" t="s">
        <v>313</v>
      </c>
      <c r="D217" s="43" t="s">
        <v>1089</v>
      </c>
      <c r="E217" s="43" t="s">
        <v>823</v>
      </c>
      <c r="F217" s="48" t="s">
        <v>22</v>
      </c>
      <c r="G217" s="43" t="s">
        <v>824</v>
      </c>
      <c r="H217" s="43" t="s">
        <v>825</v>
      </c>
      <c r="I217" s="44"/>
    </row>
    <row r="218" spans="2:9" hidden="1" x14ac:dyDescent="0.25">
      <c r="B218" s="41"/>
      <c r="C218" s="43" t="s">
        <v>314</v>
      </c>
      <c r="D218" s="43" t="s">
        <v>1090</v>
      </c>
      <c r="E218" s="43" t="s">
        <v>823</v>
      </c>
      <c r="F218" s="48" t="s">
        <v>22</v>
      </c>
      <c r="G218" s="43" t="s">
        <v>824</v>
      </c>
      <c r="H218" s="43" t="s">
        <v>825</v>
      </c>
      <c r="I218" s="44"/>
    </row>
    <row r="219" spans="2:9" hidden="1" x14ac:dyDescent="0.25">
      <c r="B219" s="41"/>
      <c r="C219" s="43" t="s">
        <v>316</v>
      </c>
      <c r="D219" s="43" t="s">
        <v>1091</v>
      </c>
      <c r="E219" s="43" t="s">
        <v>823</v>
      </c>
      <c r="F219" s="48" t="s">
        <v>22</v>
      </c>
      <c r="G219" s="43" t="s">
        <v>824</v>
      </c>
      <c r="H219" s="43" t="s">
        <v>825</v>
      </c>
      <c r="I219" s="44"/>
    </row>
    <row r="220" spans="2:9" hidden="1" x14ac:dyDescent="0.25">
      <c r="B220" s="41"/>
      <c r="C220" s="43" t="s">
        <v>318</v>
      </c>
      <c r="D220" s="43" t="s">
        <v>1092</v>
      </c>
      <c r="E220" s="43" t="s">
        <v>823</v>
      </c>
      <c r="F220" s="48" t="s">
        <v>22</v>
      </c>
      <c r="G220" s="43" t="s">
        <v>824</v>
      </c>
      <c r="H220" s="43" t="s">
        <v>825</v>
      </c>
      <c r="I220" s="44"/>
    </row>
    <row r="221" spans="2:9" hidden="1" x14ac:dyDescent="0.25">
      <c r="B221" s="41"/>
      <c r="C221" s="43" t="s">
        <v>325</v>
      </c>
      <c r="D221" s="43" t="s">
        <v>1093</v>
      </c>
      <c r="E221" s="43" t="s">
        <v>823</v>
      </c>
      <c r="F221" s="48" t="s">
        <v>22</v>
      </c>
      <c r="G221" s="43" t="s">
        <v>824</v>
      </c>
      <c r="H221" s="43" t="s">
        <v>825</v>
      </c>
      <c r="I221" s="44"/>
    </row>
    <row r="222" spans="2:9" hidden="1" x14ac:dyDescent="0.25">
      <c r="B222" s="41"/>
      <c r="C222" s="43" t="s">
        <v>327</v>
      </c>
      <c r="D222" s="43" t="s">
        <v>1094</v>
      </c>
      <c r="E222" s="43" t="s">
        <v>823</v>
      </c>
      <c r="F222" s="48" t="s">
        <v>22</v>
      </c>
      <c r="G222" s="43" t="s">
        <v>824</v>
      </c>
      <c r="H222" s="43" t="s">
        <v>825</v>
      </c>
      <c r="I222" s="44"/>
    </row>
    <row r="223" spans="2:9" hidden="1" x14ac:dyDescent="0.25">
      <c r="B223" s="41"/>
      <c r="C223" s="43" t="s">
        <v>330</v>
      </c>
      <c r="D223" s="43" t="s">
        <v>1095</v>
      </c>
      <c r="E223" s="43" t="s">
        <v>823</v>
      </c>
      <c r="F223" s="48" t="s">
        <v>22</v>
      </c>
      <c r="G223" s="43" t="s">
        <v>824</v>
      </c>
      <c r="H223" s="43" t="s">
        <v>825</v>
      </c>
      <c r="I223" s="44"/>
    </row>
    <row r="224" spans="2:9" hidden="1" x14ac:dyDescent="0.25">
      <c r="B224" s="41"/>
      <c r="C224" s="43" t="s">
        <v>331</v>
      </c>
      <c r="D224" s="43" t="s">
        <v>1096</v>
      </c>
      <c r="E224" s="43" t="s">
        <v>823</v>
      </c>
      <c r="F224" s="49" t="s">
        <v>36</v>
      </c>
      <c r="G224" s="43" t="s">
        <v>824</v>
      </c>
      <c r="H224" s="43" t="s">
        <v>825</v>
      </c>
      <c r="I224" s="44"/>
    </row>
    <row r="225" spans="2:9" hidden="1" x14ac:dyDescent="0.25">
      <c r="B225" s="41"/>
      <c r="C225" s="43" t="s">
        <v>1097</v>
      </c>
      <c r="D225" s="43" t="s">
        <v>1098</v>
      </c>
      <c r="E225" s="43" t="s">
        <v>831</v>
      </c>
      <c r="F225" s="50" t="s">
        <v>47</v>
      </c>
      <c r="G225" s="43" t="s">
        <v>824</v>
      </c>
      <c r="H225" s="43" t="s">
        <v>825</v>
      </c>
      <c r="I225" s="44"/>
    </row>
    <row r="226" spans="2:9" hidden="1" x14ac:dyDescent="0.25">
      <c r="B226" s="41"/>
      <c r="C226" s="43" t="s">
        <v>1099</v>
      </c>
      <c r="D226" s="43" t="s">
        <v>1100</v>
      </c>
      <c r="E226" s="43" t="s">
        <v>823</v>
      </c>
      <c r="F226" s="48" t="s">
        <v>22</v>
      </c>
      <c r="G226" s="43" t="s">
        <v>824</v>
      </c>
      <c r="H226" s="43" t="s">
        <v>825</v>
      </c>
      <c r="I226" s="44"/>
    </row>
    <row r="227" spans="2:9" hidden="1" x14ac:dyDescent="0.25">
      <c r="B227" s="41"/>
      <c r="C227" s="43" t="s">
        <v>332</v>
      </c>
      <c r="D227" s="43" t="s">
        <v>1101</v>
      </c>
      <c r="E227" s="43" t="s">
        <v>823</v>
      </c>
      <c r="F227" s="48" t="s">
        <v>22</v>
      </c>
      <c r="G227" s="43" t="s">
        <v>824</v>
      </c>
      <c r="H227" s="43" t="s">
        <v>825</v>
      </c>
      <c r="I227" s="44"/>
    </row>
    <row r="228" spans="2:9" hidden="1" x14ac:dyDescent="0.25">
      <c r="B228" s="41"/>
      <c r="C228" s="43" t="s">
        <v>335</v>
      </c>
      <c r="D228" s="43" t="s">
        <v>1103</v>
      </c>
      <c r="E228" s="43" t="s">
        <v>823</v>
      </c>
      <c r="F228" s="49" t="s">
        <v>36</v>
      </c>
      <c r="G228" s="43" t="s">
        <v>824</v>
      </c>
      <c r="H228" s="43" t="s">
        <v>825</v>
      </c>
      <c r="I228" s="44"/>
    </row>
    <row r="229" spans="2:9" hidden="1" x14ac:dyDescent="0.25">
      <c r="B229" s="41"/>
      <c r="C229" s="43" t="s">
        <v>336</v>
      </c>
      <c r="D229" s="43" t="s">
        <v>1104</v>
      </c>
      <c r="E229" s="43" t="s">
        <v>823</v>
      </c>
      <c r="F229" s="48" t="s">
        <v>22</v>
      </c>
      <c r="G229" s="43" t="s">
        <v>824</v>
      </c>
      <c r="H229" s="43" t="s">
        <v>825</v>
      </c>
      <c r="I229" s="44"/>
    </row>
    <row r="230" spans="2:9" hidden="1" x14ac:dyDescent="0.25">
      <c r="B230" s="41"/>
      <c r="C230" s="43" t="s">
        <v>337</v>
      </c>
      <c r="D230" s="43" t="s">
        <v>1105</v>
      </c>
      <c r="E230" s="43" t="s">
        <v>823</v>
      </c>
      <c r="F230" s="48" t="s">
        <v>22</v>
      </c>
      <c r="G230" s="43" t="s">
        <v>824</v>
      </c>
      <c r="H230" s="43" t="s">
        <v>825</v>
      </c>
      <c r="I230" s="44"/>
    </row>
    <row r="231" spans="2:9" hidden="1" x14ac:dyDescent="0.25">
      <c r="B231" s="41"/>
      <c r="C231" s="43" t="s">
        <v>338</v>
      </c>
      <c r="D231" s="43" t="s">
        <v>1106</v>
      </c>
      <c r="E231" s="43" t="s">
        <v>823</v>
      </c>
      <c r="F231" s="48" t="s">
        <v>22</v>
      </c>
      <c r="G231" s="43" t="s">
        <v>824</v>
      </c>
      <c r="H231" s="43" t="s">
        <v>825</v>
      </c>
      <c r="I231" s="44"/>
    </row>
    <row r="232" spans="2:9" hidden="1" x14ac:dyDescent="0.25">
      <c r="B232" s="41"/>
      <c r="C232" s="43" t="s">
        <v>339</v>
      </c>
      <c r="D232" s="43" t="s">
        <v>1107</v>
      </c>
      <c r="E232" s="43" t="s">
        <v>823</v>
      </c>
      <c r="F232" s="48" t="s">
        <v>22</v>
      </c>
      <c r="G232" s="43" t="s">
        <v>824</v>
      </c>
      <c r="H232" s="43" t="s">
        <v>825</v>
      </c>
      <c r="I232" s="44"/>
    </row>
    <row r="233" spans="2:9" hidden="1" x14ac:dyDescent="0.25">
      <c r="B233" s="41"/>
      <c r="C233" s="43" t="s">
        <v>340</v>
      </c>
      <c r="D233" s="43" t="s">
        <v>1108</v>
      </c>
      <c r="E233" s="43" t="s">
        <v>823</v>
      </c>
      <c r="F233" s="48" t="s">
        <v>22</v>
      </c>
      <c r="G233" s="43" t="s">
        <v>824</v>
      </c>
      <c r="H233" s="43" t="s">
        <v>825</v>
      </c>
      <c r="I233" s="44"/>
    </row>
    <row r="234" spans="2:9" hidden="1" x14ac:dyDescent="0.25">
      <c r="B234" s="41"/>
      <c r="C234" s="43" t="s">
        <v>341</v>
      </c>
      <c r="D234" s="43" t="s">
        <v>1109</v>
      </c>
      <c r="E234" s="43" t="s">
        <v>823</v>
      </c>
      <c r="F234" s="48" t="s">
        <v>22</v>
      </c>
      <c r="G234" s="43" t="s">
        <v>824</v>
      </c>
      <c r="H234" s="43" t="s">
        <v>825</v>
      </c>
      <c r="I234" s="44"/>
    </row>
    <row r="235" spans="2:9" hidden="1" x14ac:dyDescent="0.25">
      <c r="B235" s="41"/>
      <c r="C235" s="43" t="s">
        <v>342</v>
      </c>
      <c r="D235" s="43" t="s">
        <v>1110</v>
      </c>
      <c r="E235" s="43" t="s">
        <v>823</v>
      </c>
      <c r="F235" s="48" t="s">
        <v>22</v>
      </c>
      <c r="G235" s="43" t="s">
        <v>824</v>
      </c>
      <c r="H235" s="43" t="s">
        <v>825</v>
      </c>
      <c r="I235" s="44"/>
    </row>
    <row r="236" spans="2:9" hidden="1" x14ac:dyDescent="0.25">
      <c r="B236" s="41"/>
      <c r="C236" s="43" t="s">
        <v>344</v>
      </c>
      <c r="D236" s="43" t="s">
        <v>1112</v>
      </c>
      <c r="E236" s="43" t="s">
        <v>823</v>
      </c>
      <c r="F236" s="48" t="s">
        <v>22</v>
      </c>
      <c r="G236" s="43" t="s">
        <v>824</v>
      </c>
      <c r="H236" s="43" t="s">
        <v>825</v>
      </c>
      <c r="I236" s="44"/>
    </row>
    <row r="237" spans="2:9" hidden="1" x14ac:dyDescent="0.25">
      <c r="B237" s="41"/>
      <c r="C237" s="43" t="s">
        <v>346</v>
      </c>
      <c r="D237" s="43" t="s">
        <v>1113</v>
      </c>
      <c r="E237" s="43" t="s">
        <v>823</v>
      </c>
      <c r="F237" s="48" t="s">
        <v>22</v>
      </c>
      <c r="G237" s="43" t="s">
        <v>824</v>
      </c>
      <c r="H237" s="43" t="s">
        <v>825</v>
      </c>
      <c r="I237" s="44"/>
    </row>
    <row r="238" spans="2:9" hidden="1" x14ac:dyDescent="0.25">
      <c r="B238" s="41"/>
      <c r="C238" s="43" t="s">
        <v>348</v>
      </c>
      <c r="D238" s="43" t="s">
        <v>1114</v>
      </c>
      <c r="E238" s="43" t="s">
        <v>823</v>
      </c>
      <c r="F238" s="48" t="s">
        <v>22</v>
      </c>
      <c r="G238" s="43" t="s">
        <v>824</v>
      </c>
      <c r="H238" s="43" t="s">
        <v>825</v>
      </c>
      <c r="I238" s="44"/>
    </row>
    <row r="239" spans="2:9" hidden="1" x14ac:dyDescent="0.25">
      <c r="B239" s="41"/>
      <c r="C239" s="43" t="s">
        <v>1115</v>
      </c>
      <c r="D239" s="43" t="s">
        <v>1116</v>
      </c>
      <c r="E239" s="43" t="s">
        <v>823</v>
      </c>
      <c r="F239" s="48" t="s">
        <v>22</v>
      </c>
      <c r="G239" s="43" t="s">
        <v>824</v>
      </c>
      <c r="H239" s="43" t="s">
        <v>825</v>
      </c>
      <c r="I239" s="44"/>
    </row>
    <row r="240" spans="2:9" hidden="1" x14ac:dyDescent="0.25">
      <c r="B240" s="41"/>
      <c r="C240" s="43" t="s">
        <v>350</v>
      </c>
      <c r="D240" s="43" t="s">
        <v>1117</v>
      </c>
      <c r="E240" s="43" t="s">
        <v>823</v>
      </c>
      <c r="F240" s="48" t="s">
        <v>22</v>
      </c>
      <c r="G240" s="43" t="s">
        <v>824</v>
      </c>
      <c r="H240" s="43" t="s">
        <v>825</v>
      </c>
      <c r="I240" s="44"/>
    </row>
    <row r="241" spans="2:9" hidden="1" x14ac:dyDescent="0.25">
      <c r="B241" s="41"/>
      <c r="C241" s="43" t="s">
        <v>351</v>
      </c>
      <c r="D241" s="43" t="s">
        <v>1118</v>
      </c>
      <c r="E241" s="43" t="s">
        <v>823</v>
      </c>
      <c r="F241" s="48" t="s">
        <v>22</v>
      </c>
      <c r="G241" s="43" t="s">
        <v>824</v>
      </c>
      <c r="H241" s="43" t="s">
        <v>825</v>
      </c>
      <c r="I241" s="44"/>
    </row>
    <row r="242" spans="2:9" hidden="1" x14ac:dyDescent="0.25">
      <c r="B242" s="41"/>
      <c r="C242" s="43" t="s">
        <v>352</v>
      </c>
      <c r="D242" s="43" t="s">
        <v>1119</v>
      </c>
      <c r="E242" s="43" t="s">
        <v>823</v>
      </c>
      <c r="F242" s="49" t="s">
        <v>36</v>
      </c>
      <c r="G242" s="43" t="s">
        <v>824</v>
      </c>
      <c r="H242" s="43" t="s">
        <v>825</v>
      </c>
      <c r="I242" s="44"/>
    </row>
    <row r="243" spans="2:9" hidden="1" x14ac:dyDescent="0.25">
      <c r="B243" s="41"/>
      <c r="C243" s="43" t="s">
        <v>353</v>
      </c>
      <c r="D243" s="43" t="s">
        <v>1477</v>
      </c>
      <c r="E243" s="43" t="s">
        <v>823</v>
      </c>
      <c r="F243" s="49" t="s">
        <v>36</v>
      </c>
      <c r="G243" s="43" t="s">
        <v>824</v>
      </c>
      <c r="H243" s="43" t="s">
        <v>825</v>
      </c>
      <c r="I243" s="44"/>
    </row>
    <row r="244" spans="2:9" hidden="1" x14ac:dyDescent="0.25">
      <c r="B244" s="41"/>
      <c r="C244" s="43" t="s">
        <v>354</v>
      </c>
      <c r="D244" s="43" t="s">
        <v>1121</v>
      </c>
      <c r="E244" s="43" t="s">
        <v>823</v>
      </c>
      <c r="F244" s="48" t="s">
        <v>22</v>
      </c>
      <c r="G244" s="43" t="s">
        <v>824</v>
      </c>
      <c r="H244" s="43" t="s">
        <v>825</v>
      </c>
      <c r="I244" s="44"/>
    </row>
    <row r="245" spans="2:9" hidden="1" x14ac:dyDescent="0.25">
      <c r="B245" s="41"/>
      <c r="C245" s="43" t="s">
        <v>355</v>
      </c>
      <c r="D245" s="43" t="s">
        <v>1122</v>
      </c>
      <c r="E245" s="43" t="s">
        <v>823</v>
      </c>
      <c r="F245" s="48" t="s">
        <v>22</v>
      </c>
      <c r="G245" s="43" t="s">
        <v>824</v>
      </c>
      <c r="H245" s="43" t="s">
        <v>825</v>
      </c>
      <c r="I245" s="44"/>
    </row>
    <row r="246" spans="2:9" hidden="1" x14ac:dyDescent="0.25">
      <c r="B246" s="42"/>
      <c r="C246" s="45" t="s">
        <v>356</v>
      </c>
      <c r="D246" s="45" t="s">
        <v>1123</v>
      </c>
      <c r="E246" s="45" t="s">
        <v>823</v>
      </c>
      <c r="F246" s="54" t="s">
        <v>22</v>
      </c>
      <c r="G246" s="45" t="s">
        <v>824</v>
      </c>
      <c r="H246" s="45" t="s">
        <v>825</v>
      </c>
      <c r="I246" s="46"/>
    </row>
    <row r="247" spans="2:9" hidden="1" x14ac:dyDescent="0.25">
      <c r="B247" s="41"/>
      <c r="C247" s="43" t="s">
        <v>357</v>
      </c>
      <c r="D247" s="43" t="s">
        <v>1124</v>
      </c>
      <c r="E247" s="43" t="s">
        <v>823</v>
      </c>
      <c r="F247" s="48" t="s">
        <v>22</v>
      </c>
      <c r="G247" s="43" t="s">
        <v>824</v>
      </c>
      <c r="H247" s="43" t="s">
        <v>825</v>
      </c>
      <c r="I247" s="44"/>
    </row>
    <row r="248" spans="2:9" hidden="1" x14ac:dyDescent="0.25">
      <c r="B248" s="41"/>
      <c r="C248" s="43" t="s">
        <v>1125</v>
      </c>
      <c r="D248" s="43" t="s">
        <v>1126</v>
      </c>
      <c r="E248" s="43" t="s">
        <v>872</v>
      </c>
      <c r="F248" s="53" t="s">
        <v>222</v>
      </c>
      <c r="G248" s="43" t="s">
        <v>825</v>
      </c>
      <c r="H248" s="43" t="s">
        <v>825</v>
      </c>
      <c r="I248" s="44"/>
    </row>
    <row r="249" spans="2:9" hidden="1" x14ac:dyDescent="0.25">
      <c r="B249" s="41"/>
      <c r="C249" s="43" t="s">
        <v>358</v>
      </c>
      <c r="D249" s="43" t="s">
        <v>1127</v>
      </c>
      <c r="E249" s="43" t="s">
        <v>823</v>
      </c>
      <c r="F249" s="48" t="s">
        <v>22</v>
      </c>
      <c r="G249" s="43" t="s">
        <v>824</v>
      </c>
      <c r="H249" s="43" t="s">
        <v>825</v>
      </c>
      <c r="I249" s="44"/>
    </row>
    <row r="250" spans="2:9" hidden="1" x14ac:dyDescent="0.25">
      <c r="B250" s="41"/>
      <c r="C250" s="43" t="s">
        <v>1478</v>
      </c>
      <c r="D250" s="43" t="s">
        <v>1479</v>
      </c>
      <c r="E250" s="43" t="s">
        <v>823</v>
      </c>
      <c r="F250" s="50" t="s">
        <v>47</v>
      </c>
      <c r="G250" s="43" t="s">
        <v>824</v>
      </c>
      <c r="H250" s="43" t="s">
        <v>825</v>
      </c>
      <c r="I250" s="44"/>
    </row>
    <row r="251" spans="2:9" hidden="1" x14ac:dyDescent="0.25">
      <c r="B251" s="41"/>
      <c r="C251" s="43" t="s">
        <v>362</v>
      </c>
      <c r="D251" s="43" t="s">
        <v>1480</v>
      </c>
      <c r="E251" s="43" t="s">
        <v>823</v>
      </c>
      <c r="F251" s="49" t="s">
        <v>36</v>
      </c>
      <c r="G251" s="43" t="s">
        <v>824</v>
      </c>
      <c r="H251" s="43" t="s">
        <v>825</v>
      </c>
      <c r="I251" s="44"/>
    </row>
    <row r="252" spans="2:9" hidden="1" x14ac:dyDescent="0.25">
      <c r="B252" s="42"/>
      <c r="C252" s="45" t="s">
        <v>363</v>
      </c>
      <c r="D252" s="45" t="s">
        <v>1129</v>
      </c>
      <c r="E252" s="45" t="s">
        <v>823</v>
      </c>
      <c r="F252" s="54" t="s">
        <v>22</v>
      </c>
      <c r="G252" s="45" t="s">
        <v>824</v>
      </c>
      <c r="H252" s="45" t="s">
        <v>825</v>
      </c>
      <c r="I252" s="46"/>
    </row>
    <row r="253" spans="2:9" hidden="1" x14ac:dyDescent="0.25">
      <c r="B253" s="41"/>
      <c r="C253" s="43" t="s">
        <v>364</v>
      </c>
      <c r="D253" s="43" t="s">
        <v>1130</v>
      </c>
      <c r="E253" s="43" t="s">
        <v>823</v>
      </c>
      <c r="F253" s="48" t="s">
        <v>22</v>
      </c>
      <c r="G253" s="43" t="s">
        <v>824</v>
      </c>
      <c r="H253" s="43" t="s">
        <v>825</v>
      </c>
      <c r="I253" s="44"/>
    </row>
    <row r="254" spans="2:9" hidden="1" x14ac:dyDescent="0.25">
      <c r="B254" s="41"/>
      <c r="C254" s="43" t="s">
        <v>365</v>
      </c>
      <c r="D254" s="43" t="s">
        <v>1131</v>
      </c>
      <c r="E254" s="43" t="s">
        <v>823</v>
      </c>
      <c r="F254" s="48" t="s">
        <v>22</v>
      </c>
      <c r="G254" s="43" t="s">
        <v>824</v>
      </c>
      <c r="H254" s="43" t="s">
        <v>825</v>
      </c>
      <c r="I254" s="44"/>
    </row>
    <row r="255" spans="2:9" hidden="1" x14ac:dyDescent="0.25">
      <c r="B255" s="41"/>
      <c r="C255" s="43" t="s">
        <v>367</v>
      </c>
      <c r="D255" s="43" t="s">
        <v>1132</v>
      </c>
      <c r="E255" s="43" t="s">
        <v>823</v>
      </c>
      <c r="F255" s="48" t="s">
        <v>22</v>
      </c>
      <c r="G255" s="43" t="s">
        <v>824</v>
      </c>
      <c r="H255" s="43" t="s">
        <v>825</v>
      </c>
      <c r="I255" s="44"/>
    </row>
    <row r="256" spans="2:9" hidden="1" x14ac:dyDescent="0.25">
      <c r="B256" s="41"/>
      <c r="C256" s="43" t="s">
        <v>370</v>
      </c>
      <c r="D256" s="43" t="s">
        <v>1133</v>
      </c>
      <c r="E256" s="43" t="s">
        <v>823</v>
      </c>
      <c r="F256" s="48" t="s">
        <v>22</v>
      </c>
      <c r="G256" s="43" t="s">
        <v>824</v>
      </c>
      <c r="H256" s="43" t="s">
        <v>825</v>
      </c>
      <c r="I256" s="44"/>
    </row>
    <row r="257" spans="2:9" hidden="1" x14ac:dyDescent="0.25">
      <c r="B257" s="41"/>
      <c r="C257" s="43" t="s">
        <v>372</v>
      </c>
      <c r="D257" s="43" t="s">
        <v>1134</v>
      </c>
      <c r="E257" s="43" t="s">
        <v>823</v>
      </c>
      <c r="F257" s="48" t="s">
        <v>22</v>
      </c>
      <c r="G257" s="43" t="s">
        <v>824</v>
      </c>
      <c r="H257" s="43" t="s">
        <v>825</v>
      </c>
      <c r="I257" s="44"/>
    </row>
    <row r="258" spans="2:9" hidden="1" x14ac:dyDescent="0.25">
      <c r="B258" s="41"/>
      <c r="C258" s="43" t="s">
        <v>374</v>
      </c>
      <c r="D258" s="43" t="s">
        <v>1135</v>
      </c>
      <c r="E258" s="43" t="s">
        <v>823</v>
      </c>
      <c r="F258" s="48" t="s">
        <v>22</v>
      </c>
      <c r="G258" s="43" t="s">
        <v>824</v>
      </c>
      <c r="H258" s="43" t="s">
        <v>825</v>
      </c>
      <c r="I258" s="44"/>
    </row>
    <row r="259" spans="2:9" hidden="1" x14ac:dyDescent="0.25">
      <c r="B259" s="41"/>
      <c r="C259" s="43" t="s">
        <v>1136</v>
      </c>
      <c r="D259" s="43" t="s">
        <v>1137</v>
      </c>
      <c r="E259" s="43" t="s">
        <v>823</v>
      </c>
      <c r="F259" s="48" t="s">
        <v>22</v>
      </c>
      <c r="G259" s="43" t="s">
        <v>824</v>
      </c>
      <c r="H259" s="43" t="s">
        <v>825</v>
      </c>
      <c r="I259" s="44"/>
    </row>
    <row r="260" spans="2:9" hidden="1" x14ac:dyDescent="0.25">
      <c r="B260" s="41"/>
      <c r="C260" s="43" t="s">
        <v>376</v>
      </c>
      <c r="D260" s="43" t="s">
        <v>1138</v>
      </c>
      <c r="E260" s="43" t="s">
        <v>823</v>
      </c>
      <c r="F260" s="50" t="s">
        <v>47</v>
      </c>
      <c r="G260" s="43" t="s">
        <v>824</v>
      </c>
      <c r="H260" s="43" t="s">
        <v>825</v>
      </c>
      <c r="I260" s="44"/>
    </row>
    <row r="261" spans="2:9" hidden="1" x14ac:dyDescent="0.25">
      <c r="B261" s="41"/>
      <c r="C261" s="43" t="s">
        <v>377</v>
      </c>
      <c r="D261" s="43" t="s">
        <v>1139</v>
      </c>
      <c r="E261" s="43" t="s">
        <v>823</v>
      </c>
      <c r="F261" s="48" t="s">
        <v>22</v>
      </c>
      <c r="G261" s="43" t="s">
        <v>824</v>
      </c>
      <c r="H261" s="43" t="s">
        <v>825</v>
      </c>
      <c r="I261" s="44"/>
    </row>
    <row r="262" spans="2:9" hidden="1" x14ac:dyDescent="0.25">
      <c r="B262" s="41"/>
      <c r="C262" s="43" t="s">
        <v>379</v>
      </c>
      <c r="D262" s="43" t="s">
        <v>1140</v>
      </c>
      <c r="E262" s="43" t="s">
        <v>823</v>
      </c>
      <c r="F262" s="48" t="s">
        <v>22</v>
      </c>
      <c r="G262" s="43" t="s">
        <v>824</v>
      </c>
      <c r="H262" s="43" t="s">
        <v>825</v>
      </c>
      <c r="I262" s="44"/>
    </row>
    <row r="263" spans="2:9" hidden="1" x14ac:dyDescent="0.25">
      <c r="B263" s="41"/>
      <c r="C263" s="43" t="s">
        <v>380</v>
      </c>
      <c r="D263" s="43" t="s">
        <v>1141</v>
      </c>
      <c r="E263" s="43" t="s">
        <v>823</v>
      </c>
      <c r="F263" s="48" t="s">
        <v>22</v>
      </c>
      <c r="G263" s="43" t="s">
        <v>824</v>
      </c>
      <c r="H263" s="43" t="s">
        <v>825</v>
      </c>
      <c r="I263" s="44"/>
    </row>
    <row r="264" spans="2:9" hidden="1" x14ac:dyDescent="0.25">
      <c r="B264" s="41"/>
      <c r="C264" s="43" t="s">
        <v>382</v>
      </c>
      <c r="D264" s="43" t="s">
        <v>1142</v>
      </c>
      <c r="E264" s="43" t="s">
        <v>823</v>
      </c>
      <c r="F264" s="48" t="s">
        <v>22</v>
      </c>
      <c r="G264" s="43" t="s">
        <v>824</v>
      </c>
      <c r="H264" s="43" t="s">
        <v>825</v>
      </c>
      <c r="I264" s="44"/>
    </row>
    <row r="265" spans="2:9" hidden="1" x14ac:dyDescent="0.25">
      <c r="B265" s="41"/>
      <c r="C265" s="43" t="s">
        <v>383</v>
      </c>
      <c r="D265" s="43" t="s">
        <v>1143</v>
      </c>
      <c r="E265" s="43" t="s">
        <v>823</v>
      </c>
      <c r="F265" s="48" t="s">
        <v>22</v>
      </c>
      <c r="G265" s="43" t="s">
        <v>824</v>
      </c>
      <c r="H265" s="43" t="s">
        <v>825</v>
      </c>
      <c r="I265" s="44"/>
    </row>
    <row r="266" spans="2:9" hidden="1" x14ac:dyDescent="0.25">
      <c r="B266" s="41"/>
      <c r="C266" s="43" t="s">
        <v>385</v>
      </c>
      <c r="D266" s="43" t="s">
        <v>1145</v>
      </c>
      <c r="E266" s="43" t="s">
        <v>823</v>
      </c>
      <c r="F266" s="49" t="s">
        <v>36</v>
      </c>
      <c r="G266" s="43" t="s">
        <v>824</v>
      </c>
      <c r="H266" s="43" t="s">
        <v>825</v>
      </c>
      <c r="I266" s="44"/>
    </row>
    <row r="267" spans="2:9" hidden="1" x14ac:dyDescent="0.25">
      <c r="B267" s="41"/>
      <c r="C267" s="43" t="s">
        <v>386</v>
      </c>
      <c r="D267" s="43" t="s">
        <v>1146</v>
      </c>
      <c r="E267" s="43" t="s">
        <v>823</v>
      </c>
      <c r="F267" s="48" t="s">
        <v>22</v>
      </c>
      <c r="G267" s="43" t="s">
        <v>824</v>
      </c>
      <c r="H267" s="43" t="s">
        <v>825</v>
      </c>
      <c r="I267" s="44"/>
    </row>
    <row r="268" spans="2:9" hidden="1" x14ac:dyDescent="0.25">
      <c r="B268" s="41"/>
      <c r="C268" s="43" t="s">
        <v>1147</v>
      </c>
      <c r="D268" s="43" t="s">
        <v>1148</v>
      </c>
      <c r="E268" s="43" t="s">
        <v>823</v>
      </c>
      <c r="F268" s="48" t="s">
        <v>22</v>
      </c>
      <c r="G268" s="43" t="s">
        <v>824</v>
      </c>
      <c r="H268" s="43" t="s">
        <v>825</v>
      </c>
      <c r="I268" s="44"/>
    </row>
    <row r="269" spans="2:9" hidden="1" x14ac:dyDescent="0.25">
      <c r="B269" s="41"/>
      <c r="C269" s="43" t="s">
        <v>387</v>
      </c>
      <c r="D269" s="43" t="s">
        <v>1149</v>
      </c>
      <c r="E269" s="43" t="s">
        <v>823</v>
      </c>
      <c r="F269" s="49" t="s">
        <v>36</v>
      </c>
      <c r="G269" s="43" t="s">
        <v>824</v>
      </c>
      <c r="H269" s="43" t="s">
        <v>825</v>
      </c>
      <c r="I269" s="44"/>
    </row>
    <row r="270" spans="2:9" hidden="1" x14ac:dyDescent="0.25">
      <c r="B270" s="41"/>
      <c r="C270" s="43" t="s">
        <v>388</v>
      </c>
      <c r="D270" s="43" t="s">
        <v>1150</v>
      </c>
      <c r="E270" s="43" t="s">
        <v>823</v>
      </c>
      <c r="F270" s="48" t="s">
        <v>22</v>
      </c>
      <c r="G270" s="43" t="s">
        <v>824</v>
      </c>
      <c r="H270" s="43" t="s">
        <v>825</v>
      </c>
      <c r="I270" s="44"/>
    </row>
    <row r="271" spans="2:9" hidden="1" x14ac:dyDescent="0.25">
      <c r="B271" s="41"/>
      <c r="C271" s="43" t="s">
        <v>390</v>
      </c>
      <c r="D271" s="43" t="s">
        <v>1151</v>
      </c>
      <c r="E271" s="43" t="s">
        <v>823</v>
      </c>
      <c r="F271" s="48" t="s">
        <v>22</v>
      </c>
      <c r="G271" s="43" t="s">
        <v>824</v>
      </c>
      <c r="H271" s="43" t="s">
        <v>825</v>
      </c>
      <c r="I271" s="44"/>
    </row>
    <row r="272" spans="2:9" hidden="1" x14ac:dyDescent="0.25">
      <c r="B272" s="41"/>
      <c r="C272" s="43" t="s">
        <v>392</v>
      </c>
      <c r="D272" s="43" t="s">
        <v>1152</v>
      </c>
      <c r="E272" s="43" t="s">
        <v>823</v>
      </c>
      <c r="F272" s="48" t="s">
        <v>22</v>
      </c>
      <c r="G272" s="43" t="s">
        <v>824</v>
      </c>
      <c r="H272" s="43" t="s">
        <v>825</v>
      </c>
      <c r="I272" s="44"/>
    </row>
    <row r="273" spans="2:9" hidden="1" x14ac:dyDescent="0.25">
      <c r="B273" s="41"/>
      <c r="C273" s="43" t="s">
        <v>394</v>
      </c>
      <c r="D273" s="43" t="s">
        <v>1153</v>
      </c>
      <c r="E273" s="43" t="s">
        <v>823</v>
      </c>
      <c r="F273" s="50" t="s">
        <v>47</v>
      </c>
      <c r="G273" s="43" t="s">
        <v>824</v>
      </c>
      <c r="H273" s="43" t="s">
        <v>825</v>
      </c>
      <c r="I273" s="44"/>
    </row>
    <row r="274" spans="2:9" hidden="1" x14ac:dyDescent="0.25">
      <c r="B274" s="41"/>
      <c r="C274" s="43" t="s">
        <v>1481</v>
      </c>
      <c r="D274" s="43" t="s">
        <v>1482</v>
      </c>
      <c r="E274" s="43" t="s">
        <v>823</v>
      </c>
      <c r="F274" s="49" t="s">
        <v>36</v>
      </c>
      <c r="G274" s="43" t="s">
        <v>824</v>
      </c>
      <c r="H274" s="43" t="s">
        <v>825</v>
      </c>
      <c r="I274" s="44"/>
    </row>
    <row r="275" spans="2:9" hidden="1" x14ac:dyDescent="0.25">
      <c r="B275" s="41"/>
      <c r="C275" s="43" t="s">
        <v>395</v>
      </c>
      <c r="D275" s="43" t="s">
        <v>1154</v>
      </c>
      <c r="E275" s="43" t="s">
        <v>823</v>
      </c>
      <c r="F275" s="52" t="s">
        <v>263</v>
      </c>
      <c r="G275" s="43" t="s">
        <v>824</v>
      </c>
      <c r="H275" s="43" t="s">
        <v>825</v>
      </c>
      <c r="I275" s="44"/>
    </row>
    <row r="276" spans="2:9" hidden="1" x14ac:dyDescent="0.25">
      <c r="B276" s="41"/>
      <c r="C276" s="43" t="s">
        <v>396</v>
      </c>
      <c r="D276" s="43" t="s">
        <v>1155</v>
      </c>
      <c r="E276" s="43" t="s">
        <v>823</v>
      </c>
      <c r="F276" s="48" t="s">
        <v>22</v>
      </c>
      <c r="G276" s="43" t="s">
        <v>824</v>
      </c>
      <c r="H276" s="43" t="s">
        <v>825</v>
      </c>
      <c r="I276" s="44"/>
    </row>
    <row r="277" spans="2:9" hidden="1" x14ac:dyDescent="0.25">
      <c r="B277" s="41"/>
      <c r="C277" s="43" t="s">
        <v>397</v>
      </c>
      <c r="D277" s="43" t="s">
        <v>1156</v>
      </c>
      <c r="E277" s="43" t="s">
        <v>823</v>
      </c>
      <c r="F277" s="48" t="s">
        <v>22</v>
      </c>
      <c r="G277" s="43" t="s">
        <v>824</v>
      </c>
      <c r="H277" s="43" t="s">
        <v>825</v>
      </c>
      <c r="I277" s="44"/>
    </row>
    <row r="278" spans="2:9" hidden="1" x14ac:dyDescent="0.25">
      <c r="B278" s="41"/>
      <c r="C278" s="43" t="s">
        <v>398</v>
      </c>
      <c r="D278" s="43" t="s">
        <v>1157</v>
      </c>
      <c r="E278" s="43" t="s">
        <v>823</v>
      </c>
      <c r="F278" s="48" t="s">
        <v>22</v>
      </c>
      <c r="G278" s="43" t="s">
        <v>824</v>
      </c>
      <c r="H278" s="43" t="s">
        <v>825</v>
      </c>
      <c r="I278" s="44"/>
    </row>
    <row r="279" spans="2:9" hidden="1" x14ac:dyDescent="0.25">
      <c r="B279" s="41"/>
      <c r="C279" s="43" t="s">
        <v>400</v>
      </c>
      <c r="D279" s="43" t="s">
        <v>1158</v>
      </c>
      <c r="E279" s="43" t="s">
        <v>823</v>
      </c>
      <c r="F279" s="48" t="s">
        <v>22</v>
      </c>
      <c r="G279" s="43" t="s">
        <v>824</v>
      </c>
      <c r="H279" s="43" t="s">
        <v>825</v>
      </c>
      <c r="I279" s="44"/>
    </row>
    <row r="280" spans="2:9" hidden="1" x14ac:dyDescent="0.25">
      <c r="B280" s="41"/>
      <c r="C280" s="43" t="s">
        <v>1483</v>
      </c>
      <c r="D280" s="43" t="s">
        <v>1484</v>
      </c>
      <c r="E280" s="43" t="s">
        <v>823</v>
      </c>
      <c r="F280" s="49" t="s">
        <v>36</v>
      </c>
      <c r="G280" s="43" t="s">
        <v>824</v>
      </c>
      <c r="H280" s="43" t="s">
        <v>825</v>
      </c>
      <c r="I280" s="44"/>
    </row>
    <row r="281" spans="2:9" hidden="1" x14ac:dyDescent="0.25">
      <c r="B281" s="41"/>
      <c r="C281" s="43" t="s">
        <v>402</v>
      </c>
      <c r="D281" s="43" t="s">
        <v>1159</v>
      </c>
      <c r="E281" s="43" t="s">
        <v>823</v>
      </c>
      <c r="F281" s="48" t="s">
        <v>22</v>
      </c>
      <c r="G281" s="43" t="s">
        <v>824</v>
      </c>
      <c r="H281" s="43" t="s">
        <v>825</v>
      </c>
      <c r="I281" s="44"/>
    </row>
    <row r="282" spans="2:9" hidden="1" x14ac:dyDescent="0.25">
      <c r="B282" s="41"/>
      <c r="C282" s="43" t="s">
        <v>404</v>
      </c>
      <c r="D282" s="43" t="s">
        <v>1160</v>
      </c>
      <c r="E282" s="43" t="s">
        <v>823</v>
      </c>
      <c r="F282" s="48" t="s">
        <v>22</v>
      </c>
      <c r="G282" s="43" t="s">
        <v>824</v>
      </c>
      <c r="H282" s="43" t="s">
        <v>825</v>
      </c>
      <c r="I282" s="44"/>
    </row>
    <row r="283" spans="2:9" hidden="1" x14ac:dyDescent="0.25">
      <c r="B283" s="41"/>
      <c r="C283" s="43" t="s">
        <v>410</v>
      </c>
      <c r="D283" s="43" t="s">
        <v>1162</v>
      </c>
      <c r="E283" s="43" t="s">
        <v>823</v>
      </c>
      <c r="F283" s="48" t="s">
        <v>22</v>
      </c>
      <c r="G283" s="43" t="s">
        <v>824</v>
      </c>
      <c r="H283" s="43" t="s">
        <v>825</v>
      </c>
      <c r="I283" s="44"/>
    </row>
    <row r="284" spans="2:9" hidden="1" x14ac:dyDescent="0.25">
      <c r="B284" s="41"/>
      <c r="C284" s="43" t="s">
        <v>411</v>
      </c>
      <c r="D284" s="43" t="s">
        <v>1163</v>
      </c>
      <c r="E284" s="43" t="s">
        <v>823</v>
      </c>
      <c r="F284" s="48" t="s">
        <v>22</v>
      </c>
      <c r="G284" s="43" t="s">
        <v>824</v>
      </c>
      <c r="H284" s="43" t="s">
        <v>825</v>
      </c>
      <c r="I284" s="44"/>
    </row>
    <row r="285" spans="2:9" hidden="1" x14ac:dyDescent="0.25">
      <c r="B285" s="41"/>
      <c r="C285" s="43" t="s">
        <v>413</v>
      </c>
      <c r="D285" s="43" t="s">
        <v>1164</v>
      </c>
      <c r="E285" s="43" t="s">
        <v>823</v>
      </c>
      <c r="F285" s="48" t="s">
        <v>22</v>
      </c>
      <c r="G285" s="43" t="s">
        <v>824</v>
      </c>
      <c r="H285" s="43" t="s">
        <v>825</v>
      </c>
      <c r="I285" s="44"/>
    </row>
    <row r="286" spans="2:9" hidden="1" x14ac:dyDescent="0.25">
      <c r="B286" s="41"/>
      <c r="C286" s="43" t="s">
        <v>1165</v>
      </c>
      <c r="D286" s="43" t="s">
        <v>1166</v>
      </c>
      <c r="E286" s="43" t="s">
        <v>823</v>
      </c>
      <c r="F286" s="48" t="s">
        <v>22</v>
      </c>
      <c r="G286" s="43" t="s">
        <v>824</v>
      </c>
      <c r="H286" s="43" t="s">
        <v>825</v>
      </c>
      <c r="I286" s="44"/>
    </row>
    <row r="287" spans="2:9" hidden="1" x14ac:dyDescent="0.25">
      <c r="B287" s="41"/>
      <c r="C287" s="43" t="s">
        <v>415</v>
      </c>
      <c r="D287" s="43" t="s">
        <v>1167</v>
      </c>
      <c r="E287" s="43" t="s">
        <v>823</v>
      </c>
      <c r="F287" s="49" t="s">
        <v>36</v>
      </c>
      <c r="G287" s="43" t="s">
        <v>824</v>
      </c>
      <c r="H287" s="43" t="s">
        <v>825</v>
      </c>
      <c r="I287" s="44"/>
    </row>
    <row r="288" spans="2:9" hidden="1" x14ac:dyDescent="0.25">
      <c r="B288" s="41"/>
      <c r="C288" s="43" t="s">
        <v>416</v>
      </c>
      <c r="D288" s="43" t="s">
        <v>1168</v>
      </c>
      <c r="E288" s="43" t="s">
        <v>823</v>
      </c>
      <c r="F288" s="48" t="s">
        <v>22</v>
      </c>
      <c r="G288" s="43" t="s">
        <v>824</v>
      </c>
      <c r="H288" s="43" t="s">
        <v>825</v>
      </c>
      <c r="I288" s="44"/>
    </row>
    <row r="289" spans="2:9" hidden="1" x14ac:dyDescent="0.25">
      <c r="B289" s="41"/>
      <c r="C289" s="43" t="s">
        <v>418</v>
      </c>
      <c r="D289" s="43" t="s">
        <v>1169</v>
      </c>
      <c r="E289" s="43" t="s">
        <v>823</v>
      </c>
      <c r="F289" s="48" t="s">
        <v>22</v>
      </c>
      <c r="G289" s="43" t="s">
        <v>824</v>
      </c>
      <c r="H289" s="43" t="s">
        <v>825</v>
      </c>
      <c r="I289" s="44"/>
    </row>
    <row r="290" spans="2:9" hidden="1" x14ac:dyDescent="0.25">
      <c r="B290" s="41"/>
      <c r="C290" s="43" t="s">
        <v>420</v>
      </c>
      <c r="D290" s="43" t="s">
        <v>1170</v>
      </c>
      <c r="E290" s="43" t="s">
        <v>823</v>
      </c>
      <c r="F290" s="48" t="s">
        <v>22</v>
      </c>
      <c r="G290" s="43" t="s">
        <v>824</v>
      </c>
      <c r="H290" s="43" t="s">
        <v>825</v>
      </c>
      <c r="I290" s="44"/>
    </row>
    <row r="291" spans="2:9" hidden="1" x14ac:dyDescent="0.25">
      <c r="B291" s="41"/>
      <c r="C291" s="43" t="s">
        <v>422</v>
      </c>
      <c r="D291" s="43" t="s">
        <v>1171</v>
      </c>
      <c r="E291" s="43" t="s">
        <v>823</v>
      </c>
      <c r="F291" s="48" t="s">
        <v>22</v>
      </c>
      <c r="G291" s="43" t="s">
        <v>824</v>
      </c>
      <c r="H291" s="43" t="s">
        <v>825</v>
      </c>
      <c r="I291" s="44"/>
    </row>
    <row r="292" spans="2:9" hidden="1" x14ac:dyDescent="0.25">
      <c r="B292" s="41"/>
      <c r="C292" s="43" t="s">
        <v>1172</v>
      </c>
      <c r="D292" s="43" t="s">
        <v>1173</v>
      </c>
      <c r="E292" s="43" t="s">
        <v>823</v>
      </c>
      <c r="F292" s="48" t="s">
        <v>22</v>
      </c>
      <c r="G292" s="43" t="s">
        <v>824</v>
      </c>
      <c r="H292" s="43" t="s">
        <v>825</v>
      </c>
      <c r="I292" s="44"/>
    </row>
    <row r="293" spans="2:9" hidden="1" x14ac:dyDescent="0.25">
      <c r="B293" s="41"/>
      <c r="C293" s="43" t="s">
        <v>1174</v>
      </c>
      <c r="D293" s="43" t="s">
        <v>1175</v>
      </c>
      <c r="E293" s="43" t="s">
        <v>823</v>
      </c>
      <c r="F293" s="48" t="s">
        <v>22</v>
      </c>
      <c r="G293" s="43" t="s">
        <v>824</v>
      </c>
      <c r="H293" s="43" t="s">
        <v>825</v>
      </c>
      <c r="I293" s="44"/>
    </row>
    <row r="294" spans="2:9" hidden="1" x14ac:dyDescent="0.25">
      <c r="B294" s="41"/>
      <c r="C294" s="43" t="s">
        <v>424</v>
      </c>
      <c r="D294" s="43" t="s">
        <v>1176</v>
      </c>
      <c r="E294" s="43" t="s">
        <v>823</v>
      </c>
      <c r="F294" s="49" t="s">
        <v>36</v>
      </c>
      <c r="G294" s="43" t="s">
        <v>824</v>
      </c>
      <c r="H294" s="43" t="s">
        <v>825</v>
      </c>
      <c r="I294" s="44"/>
    </row>
    <row r="295" spans="2:9" hidden="1" x14ac:dyDescent="0.25">
      <c r="B295" s="41"/>
      <c r="C295" s="43" t="s">
        <v>425</v>
      </c>
      <c r="D295" s="43" t="s">
        <v>1177</v>
      </c>
      <c r="E295" s="43" t="s">
        <v>823</v>
      </c>
      <c r="F295" s="48" t="s">
        <v>22</v>
      </c>
      <c r="G295" s="43" t="s">
        <v>824</v>
      </c>
      <c r="H295" s="43" t="s">
        <v>825</v>
      </c>
      <c r="I295" s="44"/>
    </row>
    <row r="296" spans="2:9" hidden="1" x14ac:dyDescent="0.25">
      <c r="B296" s="41"/>
      <c r="C296" s="43" t="s">
        <v>1178</v>
      </c>
      <c r="D296" s="43" t="s">
        <v>1179</v>
      </c>
      <c r="E296" s="43" t="s">
        <v>823</v>
      </c>
      <c r="F296" s="48" t="s">
        <v>22</v>
      </c>
      <c r="G296" s="43" t="s">
        <v>824</v>
      </c>
      <c r="H296" s="43" t="s">
        <v>825</v>
      </c>
      <c r="I296" s="44"/>
    </row>
    <row r="297" spans="2:9" hidden="1" x14ac:dyDescent="0.25">
      <c r="B297" s="41"/>
      <c r="C297" s="43" t="s">
        <v>426</v>
      </c>
      <c r="D297" s="43" t="s">
        <v>1180</v>
      </c>
      <c r="E297" s="43" t="s">
        <v>823</v>
      </c>
      <c r="F297" s="48" t="s">
        <v>22</v>
      </c>
      <c r="G297" s="43" t="s">
        <v>824</v>
      </c>
      <c r="H297" s="43" t="s">
        <v>825</v>
      </c>
      <c r="I297" s="44"/>
    </row>
    <row r="298" spans="2:9" hidden="1" x14ac:dyDescent="0.25">
      <c r="B298" s="41"/>
      <c r="C298" s="43" t="s">
        <v>428</v>
      </c>
      <c r="D298" s="43" t="s">
        <v>1181</v>
      </c>
      <c r="E298" s="43" t="s">
        <v>823</v>
      </c>
      <c r="F298" s="49" t="s">
        <v>36</v>
      </c>
      <c r="G298" s="43" t="s">
        <v>824</v>
      </c>
      <c r="H298" s="43" t="s">
        <v>825</v>
      </c>
      <c r="I298" s="44"/>
    </row>
    <row r="299" spans="2:9" hidden="1" x14ac:dyDescent="0.25">
      <c r="B299" s="41"/>
      <c r="C299" s="43" t="s">
        <v>429</v>
      </c>
      <c r="D299" s="43" t="s">
        <v>1182</v>
      </c>
      <c r="E299" s="43" t="s">
        <v>823</v>
      </c>
      <c r="F299" s="48" t="s">
        <v>22</v>
      </c>
      <c r="G299" s="43" t="s">
        <v>824</v>
      </c>
      <c r="H299" s="43" t="s">
        <v>825</v>
      </c>
      <c r="I299" s="44"/>
    </row>
    <row r="300" spans="2:9" hidden="1" x14ac:dyDescent="0.25">
      <c r="B300" s="41"/>
      <c r="C300" s="43" t="s">
        <v>433</v>
      </c>
      <c r="D300" s="43" t="s">
        <v>1183</v>
      </c>
      <c r="E300" s="43" t="s">
        <v>823</v>
      </c>
      <c r="F300" s="50" t="s">
        <v>47</v>
      </c>
      <c r="G300" s="43" t="s">
        <v>824</v>
      </c>
      <c r="H300" s="43" t="s">
        <v>825</v>
      </c>
      <c r="I300" s="44"/>
    </row>
    <row r="301" spans="2:9" hidden="1" x14ac:dyDescent="0.25">
      <c r="B301" s="41"/>
      <c r="C301" s="43" t="s">
        <v>435</v>
      </c>
      <c r="D301" s="43" t="s">
        <v>1184</v>
      </c>
      <c r="E301" s="43" t="s">
        <v>823</v>
      </c>
      <c r="F301" s="48" t="s">
        <v>22</v>
      </c>
      <c r="G301" s="43" t="s">
        <v>824</v>
      </c>
      <c r="H301" s="43" t="s">
        <v>825</v>
      </c>
      <c r="I301" s="44"/>
    </row>
    <row r="302" spans="2:9" hidden="1" x14ac:dyDescent="0.25">
      <c r="B302" s="41"/>
      <c r="C302" s="43" t="s">
        <v>436</v>
      </c>
      <c r="D302" s="43" t="s">
        <v>1185</v>
      </c>
      <c r="E302" s="43" t="s">
        <v>823</v>
      </c>
      <c r="F302" s="49" t="s">
        <v>36</v>
      </c>
      <c r="G302" s="43" t="s">
        <v>824</v>
      </c>
      <c r="H302" s="43" t="s">
        <v>825</v>
      </c>
      <c r="I302" s="44"/>
    </row>
    <row r="303" spans="2:9" hidden="1" x14ac:dyDescent="0.25">
      <c r="B303" s="41"/>
      <c r="C303" s="43" t="s">
        <v>437</v>
      </c>
      <c r="D303" s="43" t="s">
        <v>1186</v>
      </c>
      <c r="E303" s="43" t="s">
        <v>823</v>
      </c>
      <c r="F303" s="48" t="s">
        <v>22</v>
      </c>
      <c r="G303" s="43" t="s">
        <v>824</v>
      </c>
      <c r="H303" s="43" t="s">
        <v>825</v>
      </c>
      <c r="I303" s="44"/>
    </row>
    <row r="304" spans="2:9" hidden="1" x14ac:dyDescent="0.25">
      <c r="B304" s="41"/>
      <c r="C304" s="43" t="s">
        <v>1187</v>
      </c>
      <c r="D304" s="43" t="s">
        <v>1188</v>
      </c>
      <c r="E304" s="43" t="s">
        <v>823</v>
      </c>
      <c r="F304" s="48" t="s">
        <v>22</v>
      </c>
      <c r="G304" s="43" t="s">
        <v>824</v>
      </c>
      <c r="H304" s="43" t="s">
        <v>825</v>
      </c>
      <c r="I304" s="44"/>
    </row>
    <row r="305" spans="2:9" hidden="1" x14ac:dyDescent="0.25">
      <c r="B305" s="41"/>
      <c r="C305" s="43" t="s">
        <v>440</v>
      </c>
      <c r="D305" s="43" t="s">
        <v>1189</v>
      </c>
      <c r="E305" s="43" t="s">
        <v>823</v>
      </c>
      <c r="F305" s="49" t="s">
        <v>36</v>
      </c>
      <c r="G305" s="43" t="s">
        <v>824</v>
      </c>
      <c r="H305" s="43" t="s">
        <v>825</v>
      </c>
      <c r="I305" s="44"/>
    </row>
    <row r="306" spans="2:9" hidden="1" x14ac:dyDescent="0.25">
      <c r="B306" s="41"/>
      <c r="C306" s="43" t="s">
        <v>441</v>
      </c>
      <c r="D306" s="43" t="s">
        <v>1190</v>
      </c>
      <c r="E306" s="43" t="s">
        <v>823</v>
      </c>
      <c r="F306" s="48" t="s">
        <v>22</v>
      </c>
      <c r="G306" s="43" t="s">
        <v>824</v>
      </c>
      <c r="H306" s="43" t="s">
        <v>825</v>
      </c>
      <c r="I306" s="44"/>
    </row>
    <row r="307" spans="2:9" hidden="1" x14ac:dyDescent="0.25">
      <c r="B307" s="41"/>
      <c r="C307" s="43" t="s">
        <v>443</v>
      </c>
      <c r="D307" s="43" t="s">
        <v>1191</v>
      </c>
      <c r="E307" s="43" t="s">
        <v>823</v>
      </c>
      <c r="F307" s="48" t="s">
        <v>22</v>
      </c>
      <c r="G307" s="43" t="s">
        <v>824</v>
      </c>
      <c r="H307" s="43" t="s">
        <v>825</v>
      </c>
      <c r="I307" s="44"/>
    </row>
    <row r="308" spans="2:9" hidden="1" x14ac:dyDescent="0.25">
      <c r="B308" s="41"/>
      <c r="C308" s="43" t="s">
        <v>445</v>
      </c>
      <c r="D308" s="43" t="s">
        <v>1192</v>
      </c>
      <c r="E308" s="43" t="s">
        <v>823</v>
      </c>
      <c r="F308" s="48" t="s">
        <v>22</v>
      </c>
      <c r="G308" s="43" t="s">
        <v>824</v>
      </c>
      <c r="H308" s="43" t="s">
        <v>825</v>
      </c>
      <c r="I308" s="44"/>
    </row>
    <row r="309" spans="2:9" hidden="1" x14ac:dyDescent="0.25">
      <c r="B309" s="41"/>
      <c r="C309" s="43" t="s">
        <v>446</v>
      </c>
      <c r="D309" s="43" t="s">
        <v>1193</v>
      </c>
      <c r="E309" s="43" t="s">
        <v>823</v>
      </c>
      <c r="F309" s="48" t="s">
        <v>22</v>
      </c>
      <c r="G309" s="43" t="s">
        <v>824</v>
      </c>
      <c r="H309" s="43" t="s">
        <v>825</v>
      </c>
      <c r="I309" s="44"/>
    </row>
    <row r="310" spans="2:9" hidden="1" x14ac:dyDescent="0.25">
      <c r="B310" s="41"/>
      <c r="C310" s="43" t="s">
        <v>1194</v>
      </c>
      <c r="D310" s="43" t="s">
        <v>1195</v>
      </c>
      <c r="E310" s="43" t="s">
        <v>823</v>
      </c>
      <c r="F310" s="49" t="s">
        <v>36</v>
      </c>
      <c r="G310" s="43" t="s">
        <v>824</v>
      </c>
      <c r="H310" s="43" t="s">
        <v>825</v>
      </c>
      <c r="I310" s="44"/>
    </row>
    <row r="311" spans="2:9" hidden="1" x14ac:dyDescent="0.25">
      <c r="B311" s="41"/>
      <c r="C311" s="43" t="s">
        <v>448</v>
      </c>
      <c r="D311" s="43" t="s">
        <v>1196</v>
      </c>
      <c r="E311" s="43" t="s">
        <v>823</v>
      </c>
      <c r="F311" s="48" t="s">
        <v>22</v>
      </c>
      <c r="G311" s="43" t="s">
        <v>824</v>
      </c>
      <c r="H311" s="43" t="s">
        <v>825</v>
      </c>
      <c r="I311" s="44"/>
    </row>
    <row r="312" spans="2:9" hidden="1" x14ac:dyDescent="0.25">
      <c r="B312" s="41"/>
      <c r="C312" s="43" t="s">
        <v>450</v>
      </c>
      <c r="D312" s="43" t="s">
        <v>1197</v>
      </c>
      <c r="E312" s="43" t="s">
        <v>823</v>
      </c>
      <c r="F312" s="50" t="s">
        <v>47</v>
      </c>
      <c r="G312" s="43" t="s">
        <v>824</v>
      </c>
      <c r="H312" s="43" t="s">
        <v>825</v>
      </c>
      <c r="I312" s="44"/>
    </row>
    <row r="313" spans="2:9" hidden="1" x14ac:dyDescent="0.25">
      <c r="B313" s="41"/>
      <c r="C313" s="43" t="s">
        <v>451</v>
      </c>
      <c r="D313" s="43" t="s">
        <v>1198</v>
      </c>
      <c r="E313" s="43" t="s">
        <v>823</v>
      </c>
      <c r="F313" s="48" t="s">
        <v>22</v>
      </c>
      <c r="G313" s="43" t="s">
        <v>824</v>
      </c>
      <c r="H313" s="43" t="s">
        <v>825</v>
      </c>
      <c r="I313" s="44"/>
    </row>
    <row r="314" spans="2:9" hidden="1" x14ac:dyDescent="0.25">
      <c r="B314" s="41"/>
      <c r="C314" s="43" t="s">
        <v>456</v>
      </c>
      <c r="D314" s="43" t="s">
        <v>1201</v>
      </c>
      <c r="E314" s="43" t="s">
        <v>831</v>
      </c>
      <c r="F314" s="50" t="s">
        <v>47</v>
      </c>
      <c r="G314" s="43" t="s">
        <v>824</v>
      </c>
      <c r="H314" s="43" t="s">
        <v>825</v>
      </c>
      <c r="I314" s="44"/>
    </row>
    <row r="315" spans="2:9" hidden="1" x14ac:dyDescent="0.25">
      <c r="B315" s="41"/>
      <c r="C315" s="43" t="s">
        <v>459</v>
      </c>
      <c r="D315" s="43" t="s">
        <v>1202</v>
      </c>
      <c r="E315" s="43" t="s">
        <v>831</v>
      </c>
      <c r="F315" s="48" t="s">
        <v>22</v>
      </c>
      <c r="G315" s="43" t="s">
        <v>824</v>
      </c>
      <c r="H315" s="43" t="s">
        <v>825</v>
      </c>
      <c r="I315" s="44"/>
    </row>
    <row r="316" spans="2:9" hidden="1" x14ac:dyDescent="0.25">
      <c r="B316" s="41"/>
      <c r="C316" s="43" t="s">
        <v>461</v>
      </c>
      <c r="D316" s="43" t="s">
        <v>1203</v>
      </c>
      <c r="E316" s="43" t="s">
        <v>823</v>
      </c>
      <c r="F316" s="49" t="s">
        <v>36</v>
      </c>
      <c r="G316" s="43" t="s">
        <v>824</v>
      </c>
      <c r="H316" s="43" t="s">
        <v>825</v>
      </c>
      <c r="I316" s="44"/>
    </row>
    <row r="317" spans="2:9" hidden="1" x14ac:dyDescent="0.25">
      <c r="B317" s="41"/>
      <c r="C317" s="43" t="s">
        <v>462</v>
      </c>
      <c r="D317" s="43" t="s">
        <v>1204</v>
      </c>
      <c r="E317" s="43" t="s">
        <v>823</v>
      </c>
      <c r="F317" s="49" t="s">
        <v>36</v>
      </c>
      <c r="G317" s="43" t="s">
        <v>824</v>
      </c>
      <c r="H317" s="43" t="s">
        <v>825</v>
      </c>
      <c r="I317" s="44"/>
    </row>
    <row r="318" spans="2:9" hidden="1" x14ac:dyDescent="0.25">
      <c r="B318" s="41"/>
      <c r="C318" s="43" t="s">
        <v>1205</v>
      </c>
      <c r="D318" s="43" t="s">
        <v>1206</v>
      </c>
      <c r="E318" s="43" t="s">
        <v>823</v>
      </c>
      <c r="F318" s="48" t="s">
        <v>22</v>
      </c>
      <c r="G318" s="43" t="s">
        <v>824</v>
      </c>
      <c r="H318" s="43" t="s">
        <v>825</v>
      </c>
      <c r="I318" s="44"/>
    </row>
    <row r="319" spans="2:9" hidden="1" x14ac:dyDescent="0.25">
      <c r="B319" s="41"/>
      <c r="C319" s="43" t="s">
        <v>1207</v>
      </c>
      <c r="D319" s="43" t="s">
        <v>1208</v>
      </c>
      <c r="E319" s="43" t="s">
        <v>823</v>
      </c>
      <c r="F319" s="49" t="s">
        <v>36</v>
      </c>
      <c r="G319" s="43" t="s">
        <v>824</v>
      </c>
      <c r="H319" s="43" t="s">
        <v>825</v>
      </c>
      <c r="I319" s="44"/>
    </row>
    <row r="320" spans="2:9" hidden="1" x14ac:dyDescent="0.25">
      <c r="B320" s="41"/>
      <c r="C320" s="43" t="s">
        <v>466</v>
      </c>
      <c r="D320" s="43" t="s">
        <v>1209</v>
      </c>
      <c r="E320" s="43" t="s">
        <v>823</v>
      </c>
      <c r="F320" s="48" t="s">
        <v>22</v>
      </c>
      <c r="G320" s="43" t="s">
        <v>824</v>
      </c>
      <c r="H320" s="43" t="s">
        <v>825</v>
      </c>
      <c r="I320" s="44"/>
    </row>
    <row r="321" spans="2:9" hidden="1" x14ac:dyDescent="0.25">
      <c r="B321" s="41"/>
      <c r="C321" s="43" t="s">
        <v>468</v>
      </c>
      <c r="D321" s="43" t="s">
        <v>1210</v>
      </c>
      <c r="E321" s="43" t="s">
        <v>823</v>
      </c>
      <c r="F321" s="48" t="s">
        <v>22</v>
      </c>
      <c r="G321" s="43" t="s">
        <v>824</v>
      </c>
      <c r="H321" s="43" t="s">
        <v>825</v>
      </c>
      <c r="I321" s="44"/>
    </row>
    <row r="322" spans="2:9" hidden="1" x14ac:dyDescent="0.25">
      <c r="B322" s="41"/>
      <c r="C322" s="43" t="s">
        <v>469</v>
      </c>
      <c r="D322" s="43" t="s">
        <v>1211</v>
      </c>
      <c r="E322" s="43" t="s">
        <v>872</v>
      </c>
      <c r="F322" s="48" t="s">
        <v>22</v>
      </c>
      <c r="G322" s="43" t="s">
        <v>824</v>
      </c>
      <c r="H322" s="43" t="s">
        <v>861</v>
      </c>
      <c r="I322" s="44"/>
    </row>
    <row r="323" spans="2:9" hidden="1" x14ac:dyDescent="0.25">
      <c r="B323" s="41"/>
      <c r="C323" s="43" t="s">
        <v>1212</v>
      </c>
      <c r="D323" s="43" t="s">
        <v>1213</v>
      </c>
      <c r="E323" s="43" t="s">
        <v>823</v>
      </c>
      <c r="F323" s="48" t="s">
        <v>22</v>
      </c>
      <c r="G323" s="43" t="s">
        <v>824</v>
      </c>
      <c r="H323" s="43" t="s">
        <v>825</v>
      </c>
      <c r="I323" s="44"/>
    </row>
    <row r="324" spans="2:9" hidden="1" x14ac:dyDescent="0.25">
      <c r="B324" s="41"/>
      <c r="C324" s="43" t="s">
        <v>470</v>
      </c>
      <c r="D324" s="43" t="s">
        <v>1214</v>
      </c>
      <c r="E324" s="43" t="s">
        <v>823</v>
      </c>
      <c r="F324" s="49" t="s">
        <v>36</v>
      </c>
      <c r="G324" s="43" t="s">
        <v>824</v>
      </c>
      <c r="H324" s="43" t="s">
        <v>825</v>
      </c>
      <c r="I324" s="44"/>
    </row>
    <row r="325" spans="2:9" hidden="1" x14ac:dyDescent="0.25">
      <c r="B325" s="41"/>
      <c r="C325" s="43" t="s">
        <v>471</v>
      </c>
      <c r="D325" s="43" t="s">
        <v>1215</v>
      </c>
      <c r="E325" s="43" t="s">
        <v>823</v>
      </c>
      <c r="F325" s="48" t="s">
        <v>22</v>
      </c>
      <c r="G325" s="43" t="s">
        <v>824</v>
      </c>
      <c r="H325" s="43" t="s">
        <v>825</v>
      </c>
      <c r="I325" s="44"/>
    </row>
    <row r="326" spans="2:9" hidden="1" x14ac:dyDescent="0.25">
      <c r="B326" s="41"/>
      <c r="C326" s="43" t="s">
        <v>472</v>
      </c>
      <c r="D326" s="43" t="s">
        <v>1216</v>
      </c>
      <c r="E326" s="43" t="s">
        <v>823</v>
      </c>
      <c r="F326" s="48" t="s">
        <v>22</v>
      </c>
      <c r="G326" s="43" t="s">
        <v>824</v>
      </c>
      <c r="H326" s="43" t="s">
        <v>825</v>
      </c>
      <c r="I326" s="44"/>
    </row>
    <row r="327" spans="2:9" hidden="1" x14ac:dyDescent="0.25">
      <c r="B327" s="41"/>
      <c r="C327" s="43" t="s">
        <v>476</v>
      </c>
      <c r="D327" s="43" t="s">
        <v>1217</v>
      </c>
      <c r="E327" s="43" t="s">
        <v>823</v>
      </c>
      <c r="F327" s="48" t="s">
        <v>22</v>
      </c>
      <c r="G327" s="43" t="s">
        <v>824</v>
      </c>
      <c r="H327" s="43" t="s">
        <v>825</v>
      </c>
      <c r="I327" s="44"/>
    </row>
    <row r="328" spans="2:9" hidden="1" x14ac:dyDescent="0.25">
      <c r="B328" s="41"/>
      <c r="C328" s="43" t="s">
        <v>478</v>
      </c>
      <c r="D328" s="43" t="s">
        <v>1218</v>
      </c>
      <c r="E328" s="43" t="s">
        <v>823</v>
      </c>
      <c r="F328" s="49" t="s">
        <v>36</v>
      </c>
      <c r="G328" s="43" t="s">
        <v>824</v>
      </c>
      <c r="H328" s="43" t="s">
        <v>825</v>
      </c>
      <c r="I328" s="44"/>
    </row>
    <row r="329" spans="2:9" hidden="1" x14ac:dyDescent="0.25">
      <c r="B329" s="41"/>
      <c r="C329" s="43" t="s">
        <v>481</v>
      </c>
      <c r="D329" s="43" t="s">
        <v>1219</v>
      </c>
      <c r="E329" s="43" t="s">
        <v>823</v>
      </c>
      <c r="F329" s="48" t="s">
        <v>22</v>
      </c>
      <c r="G329" s="43" t="s">
        <v>824</v>
      </c>
      <c r="H329" s="43" t="s">
        <v>825</v>
      </c>
      <c r="I329" s="44"/>
    </row>
    <row r="330" spans="2:9" hidden="1" x14ac:dyDescent="0.25">
      <c r="B330" s="41"/>
      <c r="C330" s="43" t="s">
        <v>483</v>
      </c>
      <c r="D330" s="43" t="s">
        <v>1220</v>
      </c>
      <c r="E330" s="43" t="s">
        <v>823</v>
      </c>
      <c r="F330" s="48" t="s">
        <v>22</v>
      </c>
      <c r="G330" s="43" t="s">
        <v>824</v>
      </c>
      <c r="H330" s="43" t="s">
        <v>825</v>
      </c>
      <c r="I330" s="44"/>
    </row>
    <row r="331" spans="2:9" hidden="1" x14ac:dyDescent="0.25">
      <c r="B331" s="41"/>
      <c r="C331" s="43" t="s">
        <v>488</v>
      </c>
      <c r="D331" s="43" t="s">
        <v>1221</v>
      </c>
      <c r="E331" s="43" t="s">
        <v>823</v>
      </c>
      <c r="F331" s="48" t="s">
        <v>22</v>
      </c>
      <c r="G331" s="43" t="s">
        <v>824</v>
      </c>
      <c r="H331" s="43" t="s">
        <v>825</v>
      </c>
      <c r="I331" s="44"/>
    </row>
    <row r="332" spans="2:9" hidden="1" x14ac:dyDescent="0.25">
      <c r="B332" s="41"/>
      <c r="C332" s="43" t="s">
        <v>490</v>
      </c>
      <c r="D332" s="43" t="s">
        <v>1222</v>
      </c>
      <c r="E332" s="43" t="s">
        <v>823</v>
      </c>
      <c r="F332" s="50" t="s">
        <v>47</v>
      </c>
      <c r="G332" s="43" t="s">
        <v>824</v>
      </c>
      <c r="H332" s="43" t="s">
        <v>825</v>
      </c>
      <c r="I332" s="44"/>
    </row>
    <row r="333" spans="2:9" hidden="1" x14ac:dyDescent="0.25">
      <c r="B333" s="41"/>
      <c r="C333" s="43" t="s">
        <v>492</v>
      </c>
      <c r="D333" s="43" t="s">
        <v>1223</v>
      </c>
      <c r="E333" s="43" t="s">
        <v>823</v>
      </c>
      <c r="F333" s="49" t="s">
        <v>36</v>
      </c>
      <c r="G333" s="43" t="s">
        <v>824</v>
      </c>
      <c r="H333" s="43" t="s">
        <v>825</v>
      </c>
      <c r="I333" s="44"/>
    </row>
    <row r="334" spans="2:9" hidden="1" x14ac:dyDescent="0.25">
      <c r="B334" s="41"/>
      <c r="C334" s="43" t="s">
        <v>493</v>
      </c>
      <c r="D334" s="43" t="s">
        <v>1224</v>
      </c>
      <c r="E334" s="43" t="s">
        <v>823</v>
      </c>
      <c r="F334" s="48" t="s">
        <v>22</v>
      </c>
      <c r="G334" s="43" t="s">
        <v>824</v>
      </c>
      <c r="H334" s="43" t="s">
        <v>825</v>
      </c>
      <c r="I334" s="44"/>
    </row>
    <row r="335" spans="2:9" hidden="1" x14ac:dyDescent="0.25">
      <c r="B335" s="41"/>
      <c r="C335" s="43" t="s">
        <v>495</v>
      </c>
      <c r="D335" s="43" t="s">
        <v>1225</v>
      </c>
      <c r="E335" s="43" t="s">
        <v>823</v>
      </c>
      <c r="F335" s="52" t="s">
        <v>263</v>
      </c>
      <c r="G335" s="43" t="s">
        <v>824</v>
      </c>
      <c r="H335" s="43" t="s">
        <v>825</v>
      </c>
      <c r="I335" s="44"/>
    </row>
    <row r="336" spans="2:9" hidden="1" x14ac:dyDescent="0.25">
      <c r="B336" s="41"/>
      <c r="C336" s="43" t="s">
        <v>497</v>
      </c>
      <c r="D336" s="43" t="s">
        <v>1226</v>
      </c>
      <c r="E336" s="43" t="s">
        <v>823</v>
      </c>
      <c r="F336" s="48" t="s">
        <v>22</v>
      </c>
      <c r="G336" s="43" t="s">
        <v>824</v>
      </c>
      <c r="H336" s="43" t="s">
        <v>825</v>
      </c>
      <c r="I336" s="44"/>
    </row>
    <row r="337" spans="2:9" hidden="1" x14ac:dyDescent="0.25">
      <c r="B337" s="41"/>
      <c r="C337" s="43" t="s">
        <v>499</v>
      </c>
      <c r="D337" s="43" t="s">
        <v>1227</v>
      </c>
      <c r="E337" s="43" t="s">
        <v>823</v>
      </c>
      <c r="F337" s="48" t="s">
        <v>22</v>
      </c>
      <c r="G337" s="43" t="s">
        <v>824</v>
      </c>
      <c r="H337" s="43" t="s">
        <v>825</v>
      </c>
      <c r="I337" s="44"/>
    </row>
    <row r="338" spans="2:9" x14ac:dyDescent="0.25">
      <c r="B338" s="41"/>
      <c r="C338" s="43" t="s">
        <v>501</v>
      </c>
      <c r="D338" s="43" t="s">
        <v>1228</v>
      </c>
      <c r="E338" s="43" t="s">
        <v>823</v>
      </c>
      <c r="F338" s="52" t="s">
        <v>670</v>
      </c>
      <c r="G338" s="43" t="s">
        <v>824</v>
      </c>
      <c r="H338" s="43" t="s">
        <v>825</v>
      </c>
      <c r="I338" s="44"/>
    </row>
    <row r="339" spans="2:9" hidden="1" x14ac:dyDescent="0.25">
      <c r="B339" s="41"/>
      <c r="C339" s="43" t="s">
        <v>503</v>
      </c>
      <c r="D339" s="43" t="s">
        <v>1229</v>
      </c>
      <c r="E339" s="43" t="s">
        <v>823</v>
      </c>
      <c r="F339" s="50" t="s">
        <v>47</v>
      </c>
      <c r="G339" s="43" t="s">
        <v>824</v>
      </c>
      <c r="H339" s="43" t="s">
        <v>825</v>
      </c>
      <c r="I339" s="44"/>
    </row>
    <row r="340" spans="2:9" hidden="1" x14ac:dyDescent="0.25">
      <c r="B340" s="41"/>
      <c r="C340" s="43" t="s">
        <v>505</v>
      </c>
      <c r="D340" s="43" t="s">
        <v>1230</v>
      </c>
      <c r="E340" s="43" t="s">
        <v>823</v>
      </c>
      <c r="F340" s="48" t="s">
        <v>22</v>
      </c>
      <c r="G340" s="43" t="s">
        <v>824</v>
      </c>
      <c r="H340" s="43" t="s">
        <v>825</v>
      </c>
      <c r="I340" s="44"/>
    </row>
    <row r="341" spans="2:9" hidden="1" x14ac:dyDescent="0.25">
      <c r="B341" s="41"/>
      <c r="C341" s="43" t="s">
        <v>507</v>
      </c>
      <c r="D341" s="43" t="s">
        <v>1231</v>
      </c>
      <c r="E341" s="43" t="s">
        <v>823</v>
      </c>
      <c r="F341" s="48" t="s">
        <v>22</v>
      </c>
      <c r="G341" s="43" t="s">
        <v>824</v>
      </c>
      <c r="H341" s="43" t="s">
        <v>825</v>
      </c>
      <c r="I341" s="44"/>
    </row>
    <row r="342" spans="2:9" hidden="1" x14ac:dyDescent="0.25">
      <c r="B342" s="41"/>
      <c r="C342" s="43" t="s">
        <v>1232</v>
      </c>
      <c r="D342" s="43" t="s">
        <v>1233</v>
      </c>
      <c r="E342" s="43" t="s">
        <v>823</v>
      </c>
      <c r="F342" s="48" t="s">
        <v>22</v>
      </c>
      <c r="G342" s="43" t="s">
        <v>824</v>
      </c>
      <c r="H342" s="43" t="s">
        <v>825</v>
      </c>
      <c r="I342" s="44"/>
    </row>
    <row r="343" spans="2:9" hidden="1" x14ac:dyDescent="0.25">
      <c r="B343" s="41"/>
      <c r="C343" s="43" t="s">
        <v>508</v>
      </c>
      <c r="D343" s="43" t="s">
        <v>1234</v>
      </c>
      <c r="E343" s="43" t="s">
        <v>823</v>
      </c>
      <c r="F343" s="48" t="s">
        <v>22</v>
      </c>
      <c r="G343" s="43" t="s">
        <v>824</v>
      </c>
      <c r="H343" s="43" t="s">
        <v>825</v>
      </c>
      <c r="I343" s="44"/>
    </row>
    <row r="344" spans="2:9" hidden="1" x14ac:dyDescent="0.25">
      <c r="B344" s="41"/>
      <c r="C344" s="43" t="s">
        <v>509</v>
      </c>
      <c r="D344" s="43" t="s">
        <v>1235</v>
      </c>
      <c r="E344" s="43" t="s">
        <v>823</v>
      </c>
      <c r="F344" s="48" t="s">
        <v>22</v>
      </c>
      <c r="G344" s="43" t="s">
        <v>824</v>
      </c>
      <c r="H344" s="43" t="s">
        <v>825</v>
      </c>
      <c r="I344" s="44"/>
    </row>
    <row r="345" spans="2:9" hidden="1" x14ac:dyDescent="0.25">
      <c r="B345" s="41"/>
      <c r="C345" s="43" t="s">
        <v>511</v>
      </c>
      <c r="D345" s="43" t="s">
        <v>1236</v>
      </c>
      <c r="E345" s="43" t="s">
        <v>823</v>
      </c>
      <c r="F345" s="48" t="s">
        <v>22</v>
      </c>
      <c r="G345" s="43" t="s">
        <v>824</v>
      </c>
      <c r="H345" s="43" t="s">
        <v>825</v>
      </c>
      <c r="I345" s="44"/>
    </row>
    <row r="346" spans="2:9" hidden="1" x14ac:dyDescent="0.25">
      <c r="B346" s="41"/>
      <c r="C346" s="43" t="s">
        <v>513</v>
      </c>
      <c r="D346" s="43" t="s">
        <v>1237</v>
      </c>
      <c r="E346" s="43" t="s">
        <v>823</v>
      </c>
      <c r="F346" s="49" t="s">
        <v>36</v>
      </c>
      <c r="G346" s="43" t="s">
        <v>824</v>
      </c>
      <c r="H346" s="43" t="s">
        <v>825</v>
      </c>
      <c r="I346" s="44"/>
    </row>
    <row r="347" spans="2:9" hidden="1" x14ac:dyDescent="0.25">
      <c r="B347" s="41"/>
      <c r="C347" s="43" t="s">
        <v>514</v>
      </c>
      <c r="D347" s="43" t="s">
        <v>1238</v>
      </c>
      <c r="E347" s="43" t="s">
        <v>823</v>
      </c>
      <c r="F347" s="48" t="s">
        <v>22</v>
      </c>
      <c r="G347" s="43" t="s">
        <v>824</v>
      </c>
      <c r="H347" s="43" t="s">
        <v>825</v>
      </c>
      <c r="I347" s="44"/>
    </row>
    <row r="348" spans="2:9" hidden="1" x14ac:dyDescent="0.25">
      <c r="B348" s="41"/>
      <c r="C348" s="43" t="s">
        <v>1239</v>
      </c>
      <c r="D348" s="43" t="s">
        <v>1240</v>
      </c>
      <c r="E348" s="43" t="s">
        <v>823</v>
      </c>
      <c r="F348" s="48" t="s">
        <v>22</v>
      </c>
      <c r="G348" s="43" t="s">
        <v>824</v>
      </c>
      <c r="H348" s="43" t="s">
        <v>825</v>
      </c>
      <c r="I348" s="44"/>
    </row>
    <row r="349" spans="2:9" hidden="1" x14ac:dyDescent="0.25">
      <c r="B349" s="41"/>
      <c r="C349" s="43" t="s">
        <v>1241</v>
      </c>
      <c r="D349" s="43" t="s">
        <v>1242</v>
      </c>
      <c r="E349" s="43" t="s">
        <v>823</v>
      </c>
      <c r="F349" s="48" t="s">
        <v>22</v>
      </c>
      <c r="G349" s="43" t="s">
        <v>824</v>
      </c>
      <c r="H349" s="43" t="s">
        <v>825</v>
      </c>
      <c r="I349" s="44"/>
    </row>
    <row r="350" spans="2:9" hidden="1" x14ac:dyDescent="0.25">
      <c r="B350" s="41"/>
      <c r="C350" s="43" t="s">
        <v>516</v>
      </c>
      <c r="D350" s="43" t="s">
        <v>1243</v>
      </c>
      <c r="E350" s="43" t="s">
        <v>823</v>
      </c>
      <c r="F350" s="48" t="s">
        <v>22</v>
      </c>
      <c r="G350" s="43" t="s">
        <v>824</v>
      </c>
      <c r="H350" s="43" t="s">
        <v>825</v>
      </c>
      <c r="I350" s="44"/>
    </row>
    <row r="351" spans="2:9" hidden="1" x14ac:dyDescent="0.25">
      <c r="B351" s="41"/>
      <c r="C351" s="43" t="s">
        <v>519</v>
      </c>
      <c r="D351" s="43" t="s">
        <v>1244</v>
      </c>
      <c r="E351" s="43" t="s">
        <v>823</v>
      </c>
      <c r="F351" s="48" t="s">
        <v>22</v>
      </c>
      <c r="G351" s="43" t="s">
        <v>824</v>
      </c>
      <c r="H351" s="43" t="s">
        <v>825</v>
      </c>
      <c r="I351" s="44"/>
    </row>
    <row r="352" spans="2:9" hidden="1" x14ac:dyDescent="0.25">
      <c r="B352" s="41"/>
      <c r="C352" s="43" t="s">
        <v>521</v>
      </c>
      <c r="D352" s="43" t="s">
        <v>1245</v>
      </c>
      <c r="E352" s="43" t="s">
        <v>823</v>
      </c>
      <c r="F352" s="49" t="s">
        <v>36</v>
      </c>
      <c r="G352" s="43" t="s">
        <v>824</v>
      </c>
      <c r="H352" s="43" t="s">
        <v>825</v>
      </c>
      <c r="I352" s="44"/>
    </row>
    <row r="353" spans="2:9" hidden="1" x14ac:dyDescent="0.25">
      <c r="B353" s="41"/>
      <c r="C353" s="43" t="s">
        <v>1246</v>
      </c>
      <c r="D353" s="43" t="s">
        <v>1247</v>
      </c>
      <c r="E353" s="43" t="s">
        <v>823</v>
      </c>
      <c r="F353" s="50" t="s">
        <v>47</v>
      </c>
      <c r="G353" s="43" t="s">
        <v>824</v>
      </c>
      <c r="H353" s="43" t="s">
        <v>825</v>
      </c>
      <c r="I353" s="44"/>
    </row>
    <row r="354" spans="2:9" hidden="1" x14ac:dyDescent="0.25">
      <c r="B354" s="42"/>
      <c r="C354" s="45" t="s">
        <v>523</v>
      </c>
      <c r="D354" s="45" t="s">
        <v>1248</v>
      </c>
      <c r="E354" s="45" t="s">
        <v>823</v>
      </c>
      <c r="F354" s="55" t="s">
        <v>222</v>
      </c>
      <c r="G354" s="45" t="s">
        <v>825</v>
      </c>
      <c r="H354" s="45" t="s">
        <v>825</v>
      </c>
      <c r="I354" s="46"/>
    </row>
    <row r="355" spans="2:9" hidden="1" x14ac:dyDescent="0.25">
      <c r="B355" s="41"/>
      <c r="C355" s="43" t="s">
        <v>524</v>
      </c>
      <c r="D355" s="43" t="s">
        <v>1249</v>
      </c>
      <c r="E355" s="43" t="s">
        <v>823</v>
      </c>
      <c r="F355" s="48" t="s">
        <v>22</v>
      </c>
      <c r="G355" s="43" t="s">
        <v>824</v>
      </c>
      <c r="H355" s="43" t="s">
        <v>825</v>
      </c>
      <c r="I355" s="44"/>
    </row>
    <row r="356" spans="2:9" hidden="1" x14ac:dyDescent="0.25">
      <c r="B356" s="41"/>
      <c r="C356" s="43" t="s">
        <v>525</v>
      </c>
      <c r="D356" s="43" t="s">
        <v>1250</v>
      </c>
      <c r="E356" s="43" t="s">
        <v>823</v>
      </c>
      <c r="F356" s="48" t="s">
        <v>22</v>
      </c>
      <c r="G356" s="43" t="s">
        <v>824</v>
      </c>
      <c r="H356" s="43" t="s">
        <v>825</v>
      </c>
      <c r="I356" s="44"/>
    </row>
    <row r="357" spans="2:9" hidden="1" x14ac:dyDescent="0.25">
      <c r="B357" s="41"/>
      <c r="C357" s="43" t="s">
        <v>527</v>
      </c>
      <c r="D357" s="43" t="s">
        <v>1251</v>
      </c>
      <c r="E357" s="43" t="s">
        <v>823</v>
      </c>
      <c r="F357" s="48" t="s">
        <v>22</v>
      </c>
      <c r="G357" s="43" t="s">
        <v>824</v>
      </c>
      <c r="H357" s="43" t="s">
        <v>825</v>
      </c>
      <c r="I357" s="44"/>
    </row>
    <row r="358" spans="2:9" hidden="1" x14ac:dyDescent="0.25">
      <c r="B358" s="41"/>
      <c r="C358" s="43" t="s">
        <v>1252</v>
      </c>
      <c r="D358" s="43" t="s">
        <v>1253</v>
      </c>
      <c r="E358" s="43" t="s">
        <v>823</v>
      </c>
      <c r="F358" s="48" t="s">
        <v>22</v>
      </c>
      <c r="G358" s="43" t="s">
        <v>824</v>
      </c>
      <c r="H358" s="43" t="s">
        <v>825</v>
      </c>
      <c r="I358" s="44"/>
    </row>
    <row r="359" spans="2:9" hidden="1" x14ac:dyDescent="0.25">
      <c r="B359" s="41"/>
      <c r="C359" s="43" t="s">
        <v>529</v>
      </c>
      <c r="D359" s="43" t="s">
        <v>1254</v>
      </c>
      <c r="E359" s="43" t="s">
        <v>823</v>
      </c>
      <c r="F359" s="48" t="s">
        <v>22</v>
      </c>
      <c r="G359" s="43" t="s">
        <v>824</v>
      </c>
      <c r="H359" s="43" t="s">
        <v>825</v>
      </c>
      <c r="I359" s="44"/>
    </row>
    <row r="360" spans="2:9" hidden="1" x14ac:dyDescent="0.25">
      <c r="B360" s="41"/>
      <c r="C360" s="43" t="s">
        <v>533</v>
      </c>
      <c r="D360" s="43" t="s">
        <v>1256</v>
      </c>
      <c r="E360" s="43" t="s">
        <v>831</v>
      </c>
      <c r="F360" s="49" t="s">
        <v>36</v>
      </c>
      <c r="G360" s="43" t="s">
        <v>824</v>
      </c>
      <c r="H360" s="43" t="s">
        <v>825</v>
      </c>
      <c r="I360" s="44"/>
    </row>
    <row r="361" spans="2:9" hidden="1" x14ac:dyDescent="0.25">
      <c r="B361" s="41"/>
      <c r="C361" s="43" t="s">
        <v>534</v>
      </c>
      <c r="D361" s="43" t="s">
        <v>1257</v>
      </c>
      <c r="E361" s="43" t="s">
        <v>823</v>
      </c>
      <c r="F361" s="48" t="s">
        <v>22</v>
      </c>
      <c r="G361" s="43" t="s">
        <v>824</v>
      </c>
      <c r="H361" s="43" t="s">
        <v>825</v>
      </c>
      <c r="I361" s="44"/>
    </row>
    <row r="362" spans="2:9" hidden="1" x14ac:dyDescent="0.25">
      <c r="B362" s="41"/>
      <c r="C362" s="43" t="s">
        <v>1258</v>
      </c>
      <c r="D362" s="43" t="s">
        <v>1259</v>
      </c>
      <c r="E362" s="43" t="s">
        <v>823</v>
      </c>
      <c r="F362" s="48" t="s">
        <v>22</v>
      </c>
      <c r="G362" s="43" t="s">
        <v>824</v>
      </c>
      <c r="H362" s="43" t="s">
        <v>825</v>
      </c>
      <c r="I362" s="44"/>
    </row>
    <row r="363" spans="2:9" hidden="1" x14ac:dyDescent="0.25">
      <c r="B363" s="41"/>
      <c r="C363" s="43" t="s">
        <v>537</v>
      </c>
      <c r="D363" s="43" t="s">
        <v>1485</v>
      </c>
      <c r="E363" s="43" t="s">
        <v>831</v>
      </c>
      <c r="F363" s="49" t="s">
        <v>36</v>
      </c>
      <c r="G363" s="43" t="s">
        <v>824</v>
      </c>
      <c r="H363" s="43" t="s">
        <v>825</v>
      </c>
      <c r="I363" s="44"/>
    </row>
    <row r="364" spans="2:9" hidden="1" x14ac:dyDescent="0.25">
      <c r="B364" s="41"/>
      <c r="C364" s="43" t="s">
        <v>539</v>
      </c>
      <c r="D364" s="43" t="s">
        <v>1261</v>
      </c>
      <c r="E364" s="43" t="s">
        <v>823</v>
      </c>
      <c r="F364" s="48" t="s">
        <v>22</v>
      </c>
      <c r="G364" s="43" t="s">
        <v>824</v>
      </c>
      <c r="H364" s="43" t="s">
        <v>825</v>
      </c>
      <c r="I364" s="44"/>
    </row>
    <row r="365" spans="2:9" hidden="1" x14ac:dyDescent="0.25">
      <c r="B365" s="41"/>
      <c r="C365" s="43" t="s">
        <v>542</v>
      </c>
      <c r="D365" s="43" t="s">
        <v>1262</v>
      </c>
      <c r="E365" s="43" t="s">
        <v>831</v>
      </c>
      <c r="F365" s="48" t="s">
        <v>22</v>
      </c>
      <c r="G365" s="43" t="s">
        <v>824</v>
      </c>
      <c r="H365" s="43" t="s">
        <v>825</v>
      </c>
      <c r="I365" s="44"/>
    </row>
    <row r="366" spans="2:9" hidden="1" x14ac:dyDescent="0.25">
      <c r="B366" s="41"/>
      <c r="C366" s="43" t="s">
        <v>543</v>
      </c>
      <c r="D366" s="43" t="s">
        <v>1263</v>
      </c>
      <c r="E366" s="43" t="s">
        <v>823</v>
      </c>
      <c r="F366" s="48" t="s">
        <v>22</v>
      </c>
      <c r="G366" s="43" t="s">
        <v>824</v>
      </c>
      <c r="H366" s="43" t="s">
        <v>825</v>
      </c>
      <c r="I366" s="44"/>
    </row>
    <row r="367" spans="2:9" hidden="1" x14ac:dyDescent="0.25">
      <c r="B367" s="41"/>
      <c r="C367" s="43" t="s">
        <v>545</v>
      </c>
      <c r="D367" s="43" t="s">
        <v>1264</v>
      </c>
      <c r="E367" s="43" t="s">
        <v>823</v>
      </c>
      <c r="F367" s="48" t="s">
        <v>22</v>
      </c>
      <c r="G367" s="43" t="s">
        <v>824</v>
      </c>
      <c r="H367" s="43" t="s">
        <v>825</v>
      </c>
      <c r="I367" s="44"/>
    </row>
    <row r="368" spans="2:9" hidden="1" x14ac:dyDescent="0.25">
      <c r="B368" s="41"/>
      <c r="C368" s="43" t="s">
        <v>548</v>
      </c>
      <c r="D368" s="43" t="s">
        <v>1265</v>
      </c>
      <c r="E368" s="43" t="s">
        <v>823</v>
      </c>
      <c r="F368" s="49" t="s">
        <v>36</v>
      </c>
      <c r="G368" s="43" t="s">
        <v>824</v>
      </c>
      <c r="H368" s="43" t="s">
        <v>825</v>
      </c>
      <c r="I368" s="44"/>
    </row>
    <row r="369" spans="2:9" hidden="1" x14ac:dyDescent="0.25">
      <c r="B369" s="41"/>
      <c r="C369" s="43" t="s">
        <v>549</v>
      </c>
      <c r="D369" s="43" t="s">
        <v>1266</v>
      </c>
      <c r="E369" s="43" t="s">
        <v>823</v>
      </c>
      <c r="F369" s="48" t="s">
        <v>22</v>
      </c>
      <c r="G369" s="43" t="s">
        <v>824</v>
      </c>
      <c r="H369" s="43" t="s">
        <v>825</v>
      </c>
      <c r="I369" s="44"/>
    </row>
    <row r="370" spans="2:9" hidden="1" x14ac:dyDescent="0.25">
      <c r="B370" s="41"/>
      <c r="C370" s="43" t="s">
        <v>552</v>
      </c>
      <c r="D370" s="43" t="s">
        <v>1267</v>
      </c>
      <c r="E370" s="43" t="s">
        <v>823</v>
      </c>
      <c r="F370" s="48" t="s">
        <v>22</v>
      </c>
      <c r="G370" s="43" t="s">
        <v>824</v>
      </c>
      <c r="H370" s="43" t="s">
        <v>825</v>
      </c>
      <c r="I370" s="44"/>
    </row>
    <row r="371" spans="2:9" hidden="1" x14ac:dyDescent="0.25">
      <c r="B371" s="41"/>
      <c r="C371" s="43" t="s">
        <v>1268</v>
      </c>
      <c r="D371" s="43" t="s">
        <v>1269</v>
      </c>
      <c r="E371" s="43" t="s">
        <v>823</v>
      </c>
      <c r="F371" s="49" t="s">
        <v>36</v>
      </c>
      <c r="G371" s="43" t="s">
        <v>824</v>
      </c>
      <c r="H371" s="43" t="s">
        <v>825</v>
      </c>
      <c r="I371" s="44"/>
    </row>
    <row r="372" spans="2:9" hidden="1" x14ac:dyDescent="0.25">
      <c r="B372" s="41"/>
      <c r="C372" s="43" t="s">
        <v>555</v>
      </c>
      <c r="D372" s="43" t="s">
        <v>1270</v>
      </c>
      <c r="E372" s="43" t="s">
        <v>823</v>
      </c>
      <c r="F372" s="48" t="s">
        <v>22</v>
      </c>
      <c r="G372" s="43" t="s">
        <v>824</v>
      </c>
      <c r="H372" s="43" t="s">
        <v>825</v>
      </c>
      <c r="I372" s="44"/>
    </row>
    <row r="373" spans="2:9" hidden="1" x14ac:dyDescent="0.25">
      <c r="B373" s="41"/>
      <c r="C373" s="43" t="s">
        <v>1271</v>
      </c>
      <c r="D373" s="43" t="s">
        <v>1272</v>
      </c>
      <c r="E373" s="43" t="s">
        <v>823</v>
      </c>
      <c r="F373" s="48" t="s">
        <v>22</v>
      </c>
      <c r="G373" s="43" t="s">
        <v>824</v>
      </c>
      <c r="H373" s="43" t="s">
        <v>825</v>
      </c>
      <c r="I373" s="44"/>
    </row>
    <row r="374" spans="2:9" hidden="1" x14ac:dyDescent="0.25">
      <c r="B374" s="41"/>
      <c r="C374" s="43" t="s">
        <v>556</v>
      </c>
      <c r="D374" s="43" t="s">
        <v>1273</v>
      </c>
      <c r="E374" s="43" t="s">
        <v>823</v>
      </c>
      <c r="F374" s="48" t="s">
        <v>22</v>
      </c>
      <c r="G374" s="43" t="s">
        <v>824</v>
      </c>
      <c r="H374" s="43" t="s">
        <v>825</v>
      </c>
      <c r="I374" s="44"/>
    </row>
    <row r="375" spans="2:9" hidden="1" x14ac:dyDescent="0.25">
      <c r="B375" s="41"/>
      <c r="C375" s="43" t="s">
        <v>558</v>
      </c>
      <c r="D375" s="43" t="s">
        <v>1274</v>
      </c>
      <c r="E375" s="43" t="s">
        <v>823</v>
      </c>
      <c r="F375" s="48" t="s">
        <v>22</v>
      </c>
      <c r="G375" s="43" t="s">
        <v>824</v>
      </c>
      <c r="H375" s="43" t="s">
        <v>825</v>
      </c>
      <c r="I375" s="44"/>
    </row>
    <row r="376" spans="2:9" hidden="1" x14ac:dyDescent="0.25">
      <c r="B376" s="41"/>
      <c r="C376" s="43" t="s">
        <v>559</v>
      </c>
      <c r="D376" s="43" t="s">
        <v>1275</v>
      </c>
      <c r="E376" s="43" t="s">
        <v>823</v>
      </c>
      <c r="F376" s="48" t="s">
        <v>22</v>
      </c>
      <c r="G376" s="43" t="s">
        <v>824</v>
      </c>
      <c r="H376" s="43" t="s">
        <v>825</v>
      </c>
      <c r="I376" s="44"/>
    </row>
    <row r="377" spans="2:9" hidden="1" x14ac:dyDescent="0.25">
      <c r="B377" s="41"/>
      <c r="C377" s="43" t="s">
        <v>1276</v>
      </c>
      <c r="D377" s="43" t="s">
        <v>1277</v>
      </c>
      <c r="E377" s="43" t="s">
        <v>872</v>
      </c>
      <c r="F377" s="53" t="s">
        <v>222</v>
      </c>
      <c r="G377" s="43" t="s">
        <v>825</v>
      </c>
      <c r="H377" s="43" t="s">
        <v>825</v>
      </c>
      <c r="I377" s="44"/>
    </row>
    <row r="378" spans="2:9" hidden="1" x14ac:dyDescent="0.25">
      <c r="B378" s="41"/>
      <c r="C378" s="43" t="s">
        <v>1278</v>
      </c>
      <c r="D378" s="43" t="s">
        <v>1279</v>
      </c>
      <c r="E378" s="43" t="s">
        <v>872</v>
      </c>
      <c r="F378" s="49" t="s">
        <v>36</v>
      </c>
      <c r="G378" s="43" t="s">
        <v>824</v>
      </c>
      <c r="H378" s="43" t="s">
        <v>861</v>
      </c>
      <c r="I378" s="44"/>
    </row>
    <row r="379" spans="2:9" hidden="1" x14ac:dyDescent="0.25">
      <c r="B379" s="41"/>
      <c r="C379" s="43" t="s">
        <v>563</v>
      </c>
      <c r="D379" s="43" t="s">
        <v>1280</v>
      </c>
      <c r="E379" s="43" t="s">
        <v>823</v>
      </c>
      <c r="F379" s="48" t="s">
        <v>22</v>
      </c>
      <c r="G379" s="43" t="s">
        <v>824</v>
      </c>
      <c r="H379" s="43" t="s">
        <v>825</v>
      </c>
      <c r="I379" s="44"/>
    </row>
    <row r="380" spans="2:9" hidden="1" x14ac:dyDescent="0.25">
      <c r="B380" s="41"/>
      <c r="C380" s="43" t="s">
        <v>565</v>
      </c>
      <c r="D380" s="43" t="s">
        <v>1281</v>
      </c>
      <c r="E380" s="43" t="s">
        <v>823</v>
      </c>
      <c r="F380" s="48" t="s">
        <v>22</v>
      </c>
      <c r="G380" s="43" t="s">
        <v>824</v>
      </c>
      <c r="H380" s="43" t="s">
        <v>825</v>
      </c>
      <c r="I380" s="44"/>
    </row>
    <row r="381" spans="2:9" hidden="1" x14ac:dyDescent="0.25">
      <c r="B381" s="41"/>
      <c r="C381" s="43" t="s">
        <v>1282</v>
      </c>
      <c r="D381" s="43" t="s">
        <v>1283</v>
      </c>
      <c r="E381" s="43" t="s">
        <v>823</v>
      </c>
      <c r="F381" s="49" t="s">
        <v>36</v>
      </c>
      <c r="G381" s="43" t="s">
        <v>824</v>
      </c>
      <c r="H381" s="43" t="s">
        <v>825</v>
      </c>
      <c r="I381" s="44"/>
    </row>
    <row r="382" spans="2:9" hidden="1" x14ac:dyDescent="0.25">
      <c r="B382" s="41"/>
      <c r="C382" s="43" t="s">
        <v>1284</v>
      </c>
      <c r="D382" s="43" t="s">
        <v>1285</v>
      </c>
      <c r="E382" s="43" t="s">
        <v>823</v>
      </c>
      <c r="F382" s="48" t="s">
        <v>22</v>
      </c>
      <c r="G382" s="43" t="s">
        <v>824</v>
      </c>
      <c r="H382" s="43" t="s">
        <v>825</v>
      </c>
      <c r="I382" s="44"/>
    </row>
    <row r="383" spans="2:9" hidden="1" x14ac:dyDescent="0.25">
      <c r="B383" s="41"/>
      <c r="C383" s="43" t="s">
        <v>567</v>
      </c>
      <c r="D383" s="43" t="s">
        <v>1286</v>
      </c>
      <c r="E383" s="43" t="s">
        <v>823</v>
      </c>
      <c r="F383" s="49" t="s">
        <v>36</v>
      </c>
      <c r="G383" s="43" t="s">
        <v>824</v>
      </c>
      <c r="H383" s="43" t="s">
        <v>825</v>
      </c>
      <c r="I383" s="44"/>
    </row>
    <row r="384" spans="2:9" hidden="1" x14ac:dyDescent="0.25">
      <c r="B384" s="41"/>
      <c r="C384" s="43" t="s">
        <v>570</v>
      </c>
      <c r="D384" s="43" t="s">
        <v>1287</v>
      </c>
      <c r="E384" s="43" t="s">
        <v>823</v>
      </c>
      <c r="F384" s="48" t="s">
        <v>22</v>
      </c>
      <c r="G384" s="43" t="s">
        <v>824</v>
      </c>
      <c r="H384" s="43" t="s">
        <v>825</v>
      </c>
      <c r="I384" s="44"/>
    </row>
    <row r="385" spans="2:9" hidden="1" x14ac:dyDescent="0.25">
      <c r="B385" s="41"/>
      <c r="C385" s="43" t="s">
        <v>572</v>
      </c>
      <c r="D385" s="43" t="s">
        <v>1288</v>
      </c>
      <c r="E385" s="43" t="s">
        <v>823</v>
      </c>
      <c r="F385" s="49" t="s">
        <v>36</v>
      </c>
      <c r="G385" s="43" t="s">
        <v>824</v>
      </c>
      <c r="H385" s="43" t="s">
        <v>825</v>
      </c>
      <c r="I385" s="44"/>
    </row>
    <row r="386" spans="2:9" hidden="1" x14ac:dyDescent="0.25">
      <c r="B386" s="41"/>
      <c r="C386" s="43" t="s">
        <v>573</v>
      </c>
      <c r="D386" s="43" t="s">
        <v>1289</v>
      </c>
      <c r="E386" s="43" t="s">
        <v>823</v>
      </c>
      <c r="F386" s="48" t="s">
        <v>22</v>
      </c>
      <c r="G386" s="43" t="s">
        <v>824</v>
      </c>
      <c r="H386" s="43" t="s">
        <v>825</v>
      </c>
      <c r="I386" s="44"/>
    </row>
    <row r="387" spans="2:9" hidden="1" x14ac:dyDescent="0.25">
      <c r="B387" s="41"/>
      <c r="C387" s="43" t="s">
        <v>576</v>
      </c>
      <c r="D387" s="43" t="s">
        <v>1290</v>
      </c>
      <c r="E387" s="43" t="s">
        <v>823</v>
      </c>
      <c r="F387" s="48" t="s">
        <v>22</v>
      </c>
      <c r="G387" s="43" t="s">
        <v>824</v>
      </c>
      <c r="H387" s="43" t="s">
        <v>825</v>
      </c>
      <c r="I387" s="44"/>
    </row>
    <row r="388" spans="2:9" hidden="1" x14ac:dyDescent="0.25">
      <c r="B388" s="41"/>
      <c r="C388" s="43" t="s">
        <v>1291</v>
      </c>
      <c r="D388" s="43" t="s">
        <v>1292</v>
      </c>
      <c r="E388" s="43" t="s">
        <v>823</v>
      </c>
      <c r="F388" s="48" t="s">
        <v>22</v>
      </c>
      <c r="G388" s="43" t="s">
        <v>824</v>
      </c>
      <c r="H388" s="43" t="s">
        <v>825</v>
      </c>
      <c r="I388" s="44"/>
    </row>
    <row r="389" spans="2:9" hidden="1" x14ac:dyDescent="0.25">
      <c r="B389" s="41"/>
      <c r="C389" s="43" t="s">
        <v>577</v>
      </c>
      <c r="D389" s="43" t="s">
        <v>1293</v>
      </c>
      <c r="E389" s="43" t="s">
        <v>823</v>
      </c>
      <c r="F389" s="48" t="s">
        <v>22</v>
      </c>
      <c r="G389" s="43" t="s">
        <v>824</v>
      </c>
      <c r="H389" s="43" t="s">
        <v>825</v>
      </c>
      <c r="I389" s="44"/>
    </row>
    <row r="390" spans="2:9" hidden="1" x14ac:dyDescent="0.25">
      <c r="B390" s="41"/>
      <c r="C390" s="43" t="s">
        <v>579</v>
      </c>
      <c r="D390" s="43" t="s">
        <v>1294</v>
      </c>
      <c r="E390" s="43" t="s">
        <v>823</v>
      </c>
      <c r="F390" s="49" t="s">
        <v>36</v>
      </c>
      <c r="G390" s="43" t="s">
        <v>824</v>
      </c>
      <c r="H390" s="43" t="s">
        <v>825</v>
      </c>
      <c r="I390" s="44"/>
    </row>
    <row r="391" spans="2:9" hidden="1" x14ac:dyDescent="0.25">
      <c r="B391" s="41"/>
      <c r="C391" s="43" t="s">
        <v>1295</v>
      </c>
      <c r="D391" s="43" t="s">
        <v>1296</v>
      </c>
      <c r="E391" s="43" t="s">
        <v>823</v>
      </c>
      <c r="F391" s="48" t="s">
        <v>22</v>
      </c>
      <c r="G391" s="43" t="s">
        <v>824</v>
      </c>
      <c r="H391" s="43" t="s">
        <v>825</v>
      </c>
      <c r="I391" s="44"/>
    </row>
    <row r="392" spans="2:9" hidden="1" x14ac:dyDescent="0.25">
      <c r="B392" s="41"/>
      <c r="C392" s="43" t="s">
        <v>581</v>
      </c>
      <c r="D392" s="43" t="s">
        <v>1297</v>
      </c>
      <c r="E392" s="43" t="s">
        <v>823</v>
      </c>
      <c r="F392" s="48" t="s">
        <v>22</v>
      </c>
      <c r="G392" s="43" t="s">
        <v>824</v>
      </c>
      <c r="H392" s="43" t="s">
        <v>825</v>
      </c>
      <c r="I392" s="44"/>
    </row>
    <row r="393" spans="2:9" hidden="1" x14ac:dyDescent="0.25">
      <c r="B393" s="41"/>
      <c r="C393" s="43" t="s">
        <v>583</v>
      </c>
      <c r="D393" s="43" t="s">
        <v>1298</v>
      </c>
      <c r="E393" s="43" t="s">
        <v>823</v>
      </c>
      <c r="F393" s="48" t="s">
        <v>22</v>
      </c>
      <c r="G393" s="43" t="s">
        <v>824</v>
      </c>
      <c r="H393" s="43" t="s">
        <v>825</v>
      </c>
      <c r="I393" s="44"/>
    </row>
    <row r="394" spans="2:9" hidden="1" x14ac:dyDescent="0.25">
      <c r="B394" s="41"/>
      <c r="C394" s="43" t="s">
        <v>587</v>
      </c>
      <c r="D394" s="43" t="s">
        <v>1299</v>
      </c>
      <c r="E394" s="43" t="s">
        <v>823</v>
      </c>
      <c r="F394" s="48" t="s">
        <v>22</v>
      </c>
      <c r="G394" s="43" t="s">
        <v>824</v>
      </c>
      <c r="H394" s="43" t="s">
        <v>825</v>
      </c>
      <c r="I394" s="44"/>
    </row>
    <row r="395" spans="2:9" hidden="1" x14ac:dyDescent="0.25">
      <c r="B395" s="41"/>
      <c r="C395" s="43" t="s">
        <v>588</v>
      </c>
      <c r="D395" s="43" t="s">
        <v>1300</v>
      </c>
      <c r="E395" s="43" t="s">
        <v>823</v>
      </c>
      <c r="F395" s="48" t="s">
        <v>22</v>
      </c>
      <c r="G395" s="43" t="s">
        <v>824</v>
      </c>
      <c r="H395" s="43" t="s">
        <v>825</v>
      </c>
      <c r="I395" s="44"/>
    </row>
    <row r="396" spans="2:9" hidden="1" x14ac:dyDescent="0.25">
      <c r="B396" s="41"/>
      <c r="C396" s="43" t="s">
        <v>1301</v>
      </c>
      <c r="D396" s="43" t="s">
        <v>1302</v>
      </c>
      <c r="E396" s="43" t="s">
        <v>823</v>
      </c>
      <c r="F396" s="48" t="s">
        <v>22</v>
      </c>
      <c r="G396" s="43" t="s">
        <v>824</v>
      </c>
      <c r="H396" s="43" t="s">
        <v>825</v>
      </c>
      <c r="I396" s="44"/>
    </row>
    <row r="397" spans="2:9" hidden="1" x14ac:dyDescent="0.25">
      <c r="B397" s="41"/>
      <c r="C397" s="43" t="s">
        <v>590</v>
      </c>
      <c r="D397" s="43" t="s">
        <v>1303</v>
      </c>
      <c r="E397" s="43" t="s">
        <v>823</v>
      </c>
      <c r="F397" s="48" t="s">
        <v>22</v>
      </c>
      <c r="G397" s="43" t="s">
        <v>824</v>
      </c>
      <c r="H397" s="43" t="s">
        <v>825</v>
      </c>
      <c r="I397" s="44"/>
    </row>
    <row r="398" spans="2:9" hidden="1" x14ac:dyDescent="0.25">
      <c r="B398" s="41"/>
      <c r="C398" s="43" t="s">
        <v>593</v>
      </c>
      <c r="D398" s="43" t="s">
        <v>1304</v>
      </c>
      <c r="E398" s="43" t="s">
        <v>823</v>
      </c>
      <c r="F398" s="48" t="s">
        <v>22</v>
      </c>
      <c r="G398" s="43" t="s">
        <v>824</v>
      </c>
      <c r="H398" s="43" t="s">
        <v>825</v>
      </c>
      <c r="I398" s="44"/>
    </row>
    <row r="399" spans="2:9" hidden="1" x14ac:dyDescent="0.25">
      <c r="B399" s="41"/>
      <c r="C399" s="43" t="s">
        <v>1305</v>
      </c>
      <c r="D399" s="43" t="s">
        <v>1306</v>
      </c>
      <c r="E399" s="43" t="s">
        <v>823</v>
      </c>
      <c r="F399" s="50" t="s">
        <v>47</v>
      </c>
      <c r="G399" s="43" t="s">
        <v>824</v>
      </c>
      <c r="H399" s="43" t="s">
        <v>825</v>
      </c>
      <c r="I399" s="44"/>
    </row>
    <row r="400" spans="2:9" hidden="1" x14ac:dyDescent="0.25">
      <c r="B400" s="41"/>
      <c r="C400" s="43" t="s">
        <v>595</v>
      </c>
      <c r="D400" s="43" t="s">
        <v>1307</v>
      </c>
      <c r="E400" s="43" t="s">
        <v>823</v>
      </c>
      <c r="F400" s="48" t="s">
        <v>22</v>
      </c>
      <c r="G400" s="43" t="s">
        <v>824</v>
      </c>
      <c r="H400" s="43" t="s">
        <v>825</v>
      </c>
      <c r="I400" s="44"/>
    </row>
    <row r="401" spans="2:9" hidden="1" x14ac:dyDescent="0.25">
      <c r="B401" s="41"/>
      <c r="C401" s="43" t="s">
        <v>596</v>
      </c>
      <c r="D401" s="43" t="s">
        <v>1308</v>
      </c>
      <c r="E401" s="43" t="s">
        <v>823</v>
      </c>
      <c r="F401" s="48" t="s">
        <v>22</v>
      </c>
      <c r="G401" s="43" t="s">
        <v>824</v>
      </c>
      <c r="H401" s="43" t="s">
        <v>825</v>
      </c>
      <c r="I401" s="44"/>
    </row>
    <row r="402" spans="2:9" hidden="1" x14ac:dyDescent="0.25">
      <c r="B402" s="41"/>
      <c r="C402" s="43" t="s">
        <v>1309</v>
      </c>
      <c r="D402" s="43" t="s">
        <v>1310</v>
      </c>
      <c r="E402" s="43" t="s">
        <v>823</v>
      </c>
      <c r="F402" s="48" t="s">
        <v>22</v>
      </c>
      <c r="G402" s="43" t="s">
        <v>824</v>
      </c>
      <c r="H402" s="43" t="s">
        <v>825</v>
      </c>
      <c r="I402" s="44"/>
    </row>
    <row r="403" spans="2:9" hidden="1" x14ac:dyDescent="0.25">
      <c r="B403" s="41"/>
      <c r="C403" s="43" t="s">
        <v>598</v>
      </c>
      <c r="D403" s="43" t="s">
        <v>1311</v>
      </c>
      <c r="E403" s="43" t="s">
        <v>823</v>
      </c>
      <c r="F403" s="48" t="s">
        <v>22</v>
      </c>
      <c r="G403" s="43" t="s">
        <v>824</v>
      </c>
      <c r="H403" s="43" t="s">
        <v>825</v>
      </c>
      <c r="I403" s="44"/>
    </row>
    <row r="404" spans="2:9" hidden="1" x14ac:dyDescent="0.25">
      <c r="B404" s="41"/>
      <c r="C404" s="43" t="s">
        <v>599</v>
      </c>
      <c r="D404" s="43" t="s">
        <v>1312</v>
      </c>
      <c r="E404" s="43" t="s">
        <v>823</v>
      </c>
      <c r="F404" s="48" t="s">
        <v>22</v>
      </c>
      <c r="G404" s="43" t="s">
        <v>824</v>
      </c>
      <c r="H404" s="43" t="s">
        <v>825</v>
      </c>
      <c r="I404" s="44"/>
    </row>
    <row r="405" spans="2:9" hidden="1" x14ac:dyDescent="0.25">
      <c r="B405" s="41"/>
      <c r="C405" s="43" t="s">
        <v>600</v>
      </c>
      <c r="D405" s="43" t="s">
        <v>1313</v>
      </c>
      <c r="E405" s="43" t="s">
        <v>823</v>
      </c>
      <c r="F405" s="48" t="s">
        <v>22</v>
      </c>
      <c r="G405" s="43" t="s">
        <v>824</v>
      </c>
      <c r="H405" s="43" t="s">
        <v>825</v>
      </c>
      <c r="I405" s="44"/>
    </row>
    <row r="406" spans="2:9" hidden="1" x14ac:dyDescent="0.25">
      <c r="B406" s="41"/>
      <c r="C406" s="43" t="s">
        <v>602</v>
      </c>
      <c r="D406" s="43" t="s">
        <v>1314</v>
      </c>
      <c r="E406" s="43" t="s">
        <v>823</v>
      </c>
      <c r="F406" s="48" t="s">
        <v>22</v>
      </c>
      <c r="G406" s="43" t="s">
        <v>824</v>
      </c>
      <c r="H406" s="43" t="s">
        <v>825</v>
      </c>
      <c r="I406" s="44"/>
    </row>
    <row r="407" spans="2:9" hidden="1" x14ac:dyDescent="0.25">
      <c r="B407" s="41"/>
      <c r="C407" s="43" t="s">
        <v>604</v>
      </c>
      <c r="D407" s="43" t="s">
        <v>1315</v>
      </c>
      <c r="E407" s="43" t="s">
        <v>823</v>
      </c>
      <c r="F407" s="48" t="s">
        <v>22</v>
      </c>
      <c r="G407" s="43" t="s">
        <v>824</v>
      </c>
      <c r="H407" s="43" t="s">
        <v>825</v>
      </c>
      <c r="I407" s="44"/>
    </row>
    <row r="408" spans="2:9" hidden="1" x14ac:dyDescent="0.25">
      <c r="B408" s="41"/>
      <c r="C408" s="43" t="s">
        <v>606</v>
      </c>
      <c r="D408" s="43" t="s">
        <v>1316</v>
      </c>
      <c r="E408" s="43" t="s">
        <v>823</v>
      </c>
      <c r="F408" s="48" t="s">
        <v>22</v>
      </c>
      <c r="G408" s="43" t="s">
        <v>824</v>
      </c>
      <c r="H408" s="43" t="s">
        <v>825</v>
      </c>
      <c r="I408" s="44"/>
    </row>
    <row r="409" spans="2:9" hidden="1" x14ac:dyDescent="0.25">
      <c r="B409" s="41"/>
      <c r="C409" s="43" t="s">
        <v>608</v>
      </c>
      <c r="D409" s="43" t="s">
        <v>1317</v>
      </c>
      <c r="E409" s="43" t="s">
        <v>823</v>
      </c>
      <c r="F409" s="48" t="s">
        <v>22</v>
      </c>
      <c r="G409" s="43" t="s">
        <v>824</v>
      </c>
      <c r="H409" s="43" t="s">
        <v>825</v>
      </c>
      <c r="I409" s="44"/>
    </row>
    <row r="410" spans="2:9" hidden="1" x14ac:dyDescent="0.25">
      <c r="B410" s="41"/>
      <c r="C410" s="43" t="s">
        <v>610</v>
      </c>
      <c r="D410" s="43" t="s">
        <v>1318</v>
      </c>
      <c r="E410" s="43" t="s">
        <v>823</v>
      </c>
      <c r="F410" s="49" t="s">
        <v>36</v>
      </c>
      <c r="G410" s="43" t="s">
        <v>824</v>
      </c>
      <c r="H410" s="43" t="s">
        <v>825</v>
      </c>
      <c r="I410" s="44"/>
    </row>
    <row r="411" spans="2:9" hidden="1" x14ac:dyDescent="0.25">
      <c r="B411" s="41"/>
      <c r="C411" s="43" t="s">
        <v>611</v>
      </c>
      <c r="D411" s="43" t="s">
        <v>1321</v>
      </c>
      <c r="E411" s="43" t="s">
        <v>823</v>
      </c>
      <c r="F411" s="50" t="s">
        <v>47</v>
      </c>
      <c r="G411" s="43" t="s">
        <v>824</v>
      </c>
      <c r="H411" s="43" t="s">
        <v>825</v>
      </c>
      <c r="I411" s="44"/>
    </row>
    <row r="412" spans="2:9" hidden="1" x14ac:dyDescent="0.25">
      <c r="B412" s="41"/>
      <c r="C412" s="43" t="s">
        <v>612</v>
      </c>
      <c r="D412" s="43" t="s">
        <v>1322</v>
      </c>
      <c r="E412" s="43" t="s">
        <v>823</v>
      </c>
      <c r="F412" s="48" t="s">
        <v>22</v>
      </c>
      <c r="G412" s="43" t="s">
        <v>824</v>
      </c>
      <c r="H412" s="43" t="s">
        <v>825</v>
      </c>
      <c r="I412" s="44"/>
    </row>
    <row r="413" spans="2:9" hidden="1" x14ac:dyDescent="0.25">
      <c r="B413" s="41"/>
      <c r="C413" s="43" t="s">
        <v>615</v>
      </c>
      <c r="D413" s="43" t="s">
        <v>1323</v>
      </c>
      <c r="E413" s="43" t="s">
        <v>823</v>
      </c>
      <c r="F413" s="48" t="s">
        <v>22</v>
      </c>
      <c r="G413" s="43" t="s">
        <v>824</v>
      </c>
      <c r="H413" s="43" t="s">
        <v>825</v>
      </c>
      <c r="I413" s="44"/>
    </row>
    <row r="414" spans="2:9" hidden="1" x14ac:dyDescent="0.25">
      <c r="B414" s="41"/>
      <c r="C414" s="43" t="s">
        <v>1326</v>
      </c>
      <c r="D414" s="43" t="s">
        <v>1327</v>
      </c>
      <c r="E414" s="43" t="s">
        <v>823</v>
      </c>
      <c r="F414" s="48" t="s">
        <v>22</v>
      </c>
      <c r="G414" s="43" t="s">
        <v>824</v>
      </c>
      <c r="H414" s="43" t="s">
        <v>825</v>
      </c>
      <c r="I414" s="44"/>
    </row>
    <row r="415" spans="2:9" hidden="1" x14ac:dyDescent="0.25">
      <c r="B415" s="41"/>
      <c r="C415" s="43" t="s">
        <v>617</v>
      </c>
      <c r="D415" s="43" t="s">
        <v>1328</v>
      </c>
      <c r="E415" s="43" t="s">
        <v>823</v>
      </c>
      <c r="F415" s="48" t="s">
        <v>22</v>
      </c>
      <c r="G415" s="43" t="s">
        <v>824</v>
      </c>
      <c r="H415" s="43" t="s">
        <v>825</v>
      </c>
      <c r="I415" s="44"/>
    </row>
    <row r="416" spans="2:9" hidden="1" x14ac:dyDescent="0.25">
      <c r="B416" s="41"/>
      <c r="C416" s="43" t="s">
        <v>621</v>
      </c>
      <c r="D416" s="43" t="s">
        <v>1329</v>
      </c>
      <c r="E416" s="43" t="s">
        <v>823</v>
      </c>
      <c r="F416" s="52" t="s">
        <v>670</v>
      </c>
      <c r="G416" s="43" t="s">
        <v>824</v>
      </c>
      <c r="H416" s="43" t="s">
        <v>825</v>
      </c>
      <c r="I416" s="44"/>
    </row>
    <row r="417" spans="2:9" hidden="1" x14ac:dyDescent="0.25">
      <c r="B417" s="41"/>
      <c r="C417" s="43" t="s">
        <v>624</v>
      </c>
      <c r="D417" s="43" t="s">
        <v>1330</v>
      </c>
      <c r="E417" s="43" t="s">
        <v>823</v>
      </c>
      <c r="F417" s="48" t="s">
        <v>22</v>
      </c>
      <c r="G417" s="43" t="s">
        <v>824</v>
      </c>
      <c r="H417" s="43" t="s">
        <v>825</v>
      </c>
      <c r="I417" s="44"/>
    </row>
    <row r="418" spans="2:9" hidden="1" x14ac:dyDescent="0.25">
      <c r="B418" s="41"/>
      <c r="C418" s="43" t="s">
        <v>625</v>
      </c>
      <c r="D418" s="43" t="s">
        <v>1331</v>
      </c>
      <c r="E418" s="43" t="s">
        <v>823</v>
      </c>
      <c r="F418" s="48" t="s">
        <v>22</v>
      </c>
      <c r="G418" s="43" t="s">
        <v>824</v>
      </c>
      <c r="H418" s="43" t="s">
        <v>825</v>
      </c>
      <c r="I418" s="44"/>
    </row>
    <row r="419" spans="2:9" hidden="1" x14ac:dyDescent="0.25">
      <c r="B419" s="41"/>
      <c r="C419" s="43" t="s">
        <v>1332</v>
      </c>
      <c r="D419" s="43" t="s">
        <v>1333</v>
      </c>
      <c r="E419" s="43" t="s">
        <v>823</v>
      </c>
      <c r="F419" s="48" t="s">
        <v>22</v>
      </c>
      <c r="G419" s="43" t="s">
        <v>824</v>
      </c>
      <c r="H419" s="43" t="s">
        <v>825</v>
      </c>
      <c r="I419" s="44"/>
    </row>
    <row r="420" spans="2:9" hidden="1" x14ac:dyDescent="0.25">
      <c r="B420" s="41"/>
      <c r="C420" s="43" t="s">
        <v>627</v>
      </c>
      <c r="D420" s="43" t="s">
        <v>1334</v>
      </c>
      <c r="E420" s="43" t="s">
        <v>823</v>
      </c>
      <c r="F420" s="48" t="s">
        <v>22</v>
      </c>
      <c r="G420" s="43" t="s">
        <v>824</v>
      </c>
      <c r="H420" s="43" t="s">
        <v>825</v>
      </c>
      <c r="I420" s="44"/>
    </row>
    <row r="421" spans="2:9" hidden="1" x14ac:dyDescent="0.25">
      <c r="B421" s="41"/>
      <c r="C421" s="43" t="s">
        <v>1335</v>
      </c>
      <c r="D421" s="43" t="s">
        <v>1336</v>
      </c>
      <c r="E421" s="43" t="s">
        <v>872</v>
      </c>
      <c r="F421" s="49" t="s">
        <v>36</v>
      </c>
      <c r="G421" s="43" t="s">
        <v>824</v>
      </c>
      <c r="H421" s="43" t="s">
        <v>861</v>
      </c>
      <c r="I421" s="44"/>
    </row>
    <row r="422" spans="2:9" hidden="1" x14ac:dyDescent="0.25">
      <c r="B422" s="41"/>
      <c r="C422" s="43" t="s">
        <v>628</v>
      </c>
      <c r="D422" s="43" t="s">
        <v>1486</v>
      </c>
      <c r="E422" s="43" t="s">
        <v>823</v>
      </c>
      <c r="F422" s="48" t="s">
        <v>22</v>
      </c>
      <c r="G422" s="43" t="s">
        <v>824</v>
      </c>
      <c r="H422" s="43" t="s">
        <v>825</v>
      </c>
      <c r="I422" s="44"/>
    </row>
    <row r="423" spans="2:9" hidden="1" x14ac:dyDescent="0.25">
      <c r="B423" s="41"/>
      <c r="C423" s="43" t="s">
        <v>630</v>
      </c>
      <c r="D423" s="43" t="s">
        <v>1338</v>
      </c>
      <c r="E423" s="43" t="s">
        <v>823</v>
      </c>
      <c r="F423" s="48" t="s">
        <v>22</v>
      </c>
      <c r="G423" s="43" t="s">
        <v>824</v>
      </c>
      <c r="H423" s="43" t="s">
        <v>825</v>
      </c>
      <c r="I423" s="44"/>
    </row>
    <row r="424" spans="2:9" hidden="1" x14ac:dyDescent="0.25">
      <c r="B424" s="41"/>
      <c r="C424" s="43" t="s">
        <v>632</v>
      </c>
      <c r="D424" s="43" t="s">
        <v>1339</v>
      </c>
      <c r="E424" s="43" t="s">
        <v>823</v>
      </c>
      <c r="F424" s="48" t="s">
        <v>22</v>
      </c>
      <c r="G424" s="43" t="s">
        <v>824</v>
      </c>
      <c r="H424" s="43" t="s">
        <v>825</v>
      </c>
      <c r="I424" s="44"/>
    </row>
    <row r="425" spans="2:9" hidden="1" x14ac:dyDescent="0.25">
      <c r="B425" s="41"/>
      <c r="C425" s="43" t="s">
        <v>1487</v>
      </c>
      <c r="D425" s="43" t="s">
        <v>1488</v>
      </c>
      <c r="E425" s="43" t="s">
        <v>823</v>
      </c>
      <c r="F425" s="48" t="s">
        <v>22</v>
      </c>
      <c r="G425" s="43" t="s">
        <v>824</v>
      </c>
      <c r="H425" s="43" t="s">
        <v>825</v>
      </c>
      <c r="I425" s="44"/>
    </row>
    <row r="426" spans="2:9" hidden="1" x14ac:dyDescent="0.25">
      <c r="B426" s="41"/>
      <c r="C426" s="43" t="s">
        <v>635</v>
      </c>
      <c r="D426" s="43" t="s">
        <v>1340</v>
      </c>
      <c r="E426" s="43" t="s">
        <v>823</v>
      </c>
      <c r="F426" s="48" t="s">
        <v>22</v>
      </c>
      <c r="G426" s="43" t="s">
        <v>824</v>
      </c>
      <c r="H426" s="43" t="s">
        <v>825</v>
      </c>
      <c r="I426" s="44"/>
    </row>
    <row r="427" spans="2:9" hidden="1" x14ac:dyDescent="0.25">
      <c r="B427" s="41"/>
      <c r="C427" s="43" t="s">
        <v>637</v>
      </c>
      <c r="D427" s="43" t="s">
        <v>1341</v>
      </c>
      <c r="E427" s="43" t="s">
        <v>823</v>
      </c>
      <c r="F427" s="49" t="s">
        <v>36</v>
      </c>
      <c r="G427" s="43" t="s">
        <v>824</v>
      </c>
      <c r="H427" s="43" t="s">
        <v>825</v>
      </c>
      <c r="I427" s="44"/>
    </row>
    <row r="428" spans="2:9" hidden="1" x14ac:dyDescent="0.25">
      <c r="B428" s="41"/>
      <c r="C428" s="43" t="s">
        <v>638</v>
      </c>
      <c r="D428" s="43" t="s">
        <v>1342</v>
      </c>
      <c r="E428" s="43" t="s">
        <v>823</v>
      </c>
      <c r="F428" s="48" t="s">
        <v>22</v>
      </c>
      <c r="G428" s="43" t="s">
        <v>824</v>
      </c>
      <c r="H428" s="43" t="s">
        <v>825</v>
      </c>
      <c r="I428" s="44"/>
    </row>
    <row r="429" spans="2:9" hidden="1" x14ac:dyDescent="0.25">
      <c r="B429" s="41"/>
      <c r="C429" s="43" t="s">
        <v>1343</v>
      </c>
      <c r="D429" s="43" t="s">
        <v>1344</v>
      </c>
      <c r="E429" s="43" t="s">
        <v>823</v>
      </c>
      <c r="F429" s="48" t="s">
        <v>22</v>
      </c>
      <c r="G429" s="43" t="s">
        <v>824</v>
      </c>
      <c r="H429" s="43" t="s">
        <v>825</v>
      </c>
      <c r="I429" s="44"/>
    </row>
    <row r="430" spans="2:9" hidden="1" x14ac:dyDescent="0.25">
      <c r="B430" s="41"/>
      <c r="C430" s="43" t="s">
        <v>640</v>
      </c>
      <c r="D430" s="43" t="s">
        <v>1345</v>
      </c>
      <c r="E430" s="43" t="s">
        <v>823</v>
      </c>
      <c r="F430" s="48" t="s">
        <v>22</v>
      </c>
      <c r="G430" s="43" t="s">
        <v>824</v>
      </c>
      <c r="H430" s="43" t="s">
        <v>825</v>
      </c>
      <c r="I430" s="44"/>
    </row>
    <row r="431" spans="2:9" hidden="1" x14ac:dyDescent="0.25">
      <c r="B431" s="41"/>
      <c r="C431" s="43" t="s">
        <v>642</v>
      </c>
      <c r="D431" s="43" t="s">
        <v>1346</v>
      </c>
      <c r="E431" s="43" t="s">
        <v>823</v>
      </c>
      <c r="F431" s="50" t="s">
        <v>47</v>
      </c>
      <c r="G431" s="43" t="s">
        <v>824</v>
      </c>
      <c r="H431" s="43" t="s">
        <v>825</v>
      </c>
      <c r="I431" s="44"/>
    </row>
    <row r="432" spans="2:9" hidden="1" x14ac:dyDescent="0.25">
      <c r="B432" s="41"/>
      <c r="C432" s="43" t="s">
        <v>1347</v>
      </c>
      <c r="D432" s="43" t="s">
        <v>1348</v>
      </c>
      <c r="E432" s="43" t="s">
        <v>823</v>
      </c>
      <c r="F432" s="48" t="s">
        <v>22</v>
      </c>
      <c r="G432" s="43" t="s">
        <v>824</v>
      </c>
      <c r="H432" s="43" t="s">
        <v>825</v>
      </c>
      <c r="I432" s="44"/>
    </row>
    <row r="433" spans="2:9" hidden="1" x14ac:dyDescent="0.25">
      <c r="B433" s="41"/>
      <c r="C433" s="43" t="s">
        <v>643</v>
      </c>
      <c r="D433" s="43" t="s">
        <v>1349</v>
      </c>
      <c r="E433" s="43" t="s">
        <v>823</v>
      </c>
      <c r="F433" s="48" t="s">
        <v>22</v>
      </c>
      <c r="G433" s="43" t="s">
        <v>824</v>
      </c>
      <c r="H433" s="43" t="s">
        <v>825</v>
      </c>
      <c r="I433" s="44"/>
    </row>
    <row r="434" spans="2:9" hidden="1" x14ac:dyDescent="0.25">
      <c r="B434" s="41"/>
      <c r="C434" s="43" t="s">
        <v>646</v>
      </c>
      <c r="D434" s="43" t="s">
        <v>1350</v>
      </c>
      <c r="E434" s="43" t="s">
        <v>823</v>
      </c>
      <c r="F434" s="50" t="s">
        <v>47</v>
      </c>
      <c r="G434" s="43" t="s">
        <v>824</v>
      </c>
      <c r="H434" s="43" t="s">
        <v>825</v>
      </c>
      <c r="I434" s="44"/>
    </row>
    <row r="435" spans="2:9" hidden="1" x14ac:dyDescent="0.25">
      <c r="B435" s="41"/>
      <c r="C435" s="43" t="s">
        <v>647</v>
      </c>
      <c r="D435" s="43" t="s">
        <v>1351</v>
      </c>
      <c r="E435" s="43" t="s">
        <v>823</v>
      </c>
      <c r="F435" s="48" t="s">
        <v>22</v>
      </c>
      <c r="G435" s="43" t="s">
        <v>824</v>
      </c>
      <c r="H435" s="43" t="s">
        <v>825</v>
      </c>
      <c r="I435" s="44"/>
    </row>
    <row r="436" spans="2:9" hidden="1" x14ac:dyDescent="0.25">
      <c r="B436" s="41"/>
      <c r="C436" s="43" t="s">
        <v>649</v>
      </c>
      <c r="D436" s="43" t="s">
        <v>1352</v>
      </c>
      <c r="E436" s="43" t="s">
        <v>823</v>
      </c>
      <c r="F436" s="48" t="s">
        <v>22</v>
      </c>
      <c r="G436" s="43" t="s">
        <v>824</v>
      </c>
      <c r="H436" s="43" t="s">
        <v>825</v>
      </c>
      <c r="I436" s="44"/>
    </row>
    <row r="437" spans="2:9" hidden="1" x14ac:dyDescent="0.25">
      <c r="B437" s="41"/>
      <c r="C437" s="43" t="s">
        <v>1353</v>
      </c>
      <c r="D437" s="43" t="s">
        <v>1354</v>
      </c>
      <c r="E437" s="43" t="s">
        <v>823</v>
      </c>
      <c r="F437" s="48" t="s">
        <v>22</v>
      </c>
      <c r="G437" s="43" t="s">
        <v>824</v>
      </c>
      <c r="H437" s="43" t="s">
        <v>825</v>
      </c>
      <c r="I437" s="44"/>
    </row>
    <row r="438" spans="2:9" hidden="1" x14ac:dyDescent="0.25">
      <c r="B438" s="41"/>
      <c r="C438" s="43" t="s">
        <v>651</v>
      </c>
      <c r="D438" s="43" t="s">
        <v>1355</v>
      </c>
      <c r="E438" s="43" t="s">
        <v>823</v>
      </c>
      <c r="F438" s="48" t="s">
        <v>22</v>
      </c>
      <c r="G438" s="43" t="s">
        <v>824</v>
      </c>
      <c r="H438" s="43" t="s">
        <v>825</v>
      </c>
      <c r="I438" s="44"/>
    </row>
    <row r="439" spans="2:9" hidden="1" x14ac:dyDescent="0.25">
      <c r="B439" s="41"/>
      <c r="C439" s="43" t="s">
        <v>1356</v>
      </c>
      <c r="D439" s="43" t="s">
        <v>1357</v>
      </c>
      <c r="E439" s="43" t="s">
        <v>823</v>
      </c>
      <c r="F439" s="48" t="s">
        <v>22</v>
      </c>
      <c r="G439" s="43" t="s">
        <v>824</v>
      </c>
      <c r="H439" s="43" t="s">
        <v>825</v>
      </c>
      <c r="I439" s="44"/>
    </row>
    <row r="440" spans="2:9" hidden="1" x14ac:dyDescent="0.25">
      <c r="B440" s="41"/>
      <c r="C440" s="43" t="s">
        <v>653</v>
      </c>
      <c r="D440" s="43" t="s">
        <v>1358</v>
      </c>
      <c r="E440" s="43" t="s">
        <v>823</v>
      </c>
      <c r="F440" s="48" t="s">
        <v>22</v>
      </c>
      <c r="G440" s="43" t="s">
        <v>824</v>
      </c>
      <c r="H440" s="43" t="s">
        <v>825</v>
      </c>
      <c r="I440" s="44"/>
    </row>
    <row r="441" spans="2:9" hidden="1" x14ac:dyDescent="0.25">
      <c r="B441" s="41"/>
      <c r="C441" s="43" t="s">
        <v>655</v>
      </c>
      <c r="D441" s="43" t="s">
        <v>1359</v>
      </c>
      <c r="E441" s="43" t="s">
        <v>823</v>
      </c>
      <c r="F441" s="48" t="s">
        <v>22</v>
      </c>
      <c r="G441" s="43" t="s">
        <v>824</v>
      </c>
      <c r="H441" s="43" t="s">
        <v>825</v>
      </c>
      <c r="I441" s="44"/>
    </row>
    <row r="442" spans="2:9" hidden="1" x14ac:dyDescent="0.25">
      <c r="B442" s="41"/>
      <c r="C442" s="43" t="s">
        <v>657</v>
      </c>
      <c r="D442" s="43" t="s">
        <v>1360</v>
      </c>
      <c r="E442" s="43" t="s">
        <v>823</v>
      </c>
      <c r="F442" s="49" t="s">
        <v>36</v>
      </c>
      <c r="G442" s="43" t="s">
        <v>824</v>
      </c>
      <c r="H442" s="43" t="s">
        <v>825</v>
      </c>
      <c r="I442" s="44"/>
    </row>
    <row r="443" spans="2:9" hidden="1" x14ac:dyDescent="0.25">
      <c r="B443" s="41"/>
      <c r="C443" s="43" t="s">
        <v>658</v>
      </c>
      <c r="D443" s="43" t="s">
        <v>1361</v>
      </c>
      <c r="E443" s="43" t="s">
        <v>823</v>
      </c>
      <c r="F443" s="48" t="s">
        <v>22</v>
      </c>
      <c r="G443" s="43" t="s">
        <v>824</v>
      </c>
      <c r="H443" s="43" t="s">
        <v>825</v>
      </c>
      <c r="I443" s="44"/>
    </row>
    <row r="444" spans="2:9" hidden="1" x14ac:dyDescent="0.25">
      <c r="B444" s="41"/>
      <c r="C444" s="43" t="s">
        <v>661</v>
      </c>
      <c r="D444" s="43" t="s">
        <v>1362</v>
      </c>
      <c r="E444" s="43" t="s">
        <v>823</v>
      </c>
      <c r="F444" s="48" t="s">
        <v>22</v>
      </c>
      <c r="G444" s="43" t="s">
        <v>824</v>
      </c>
      <c r="H444" s="43" t="s">
        <v>825</v>
      </c>
      <c r="I444" s="44"/>
    </row>
    <row r="445" spans="2:9" hidden="1" x14ac:dyDescent="0.25">
      <c r="B445" s="41"/>
      <c r="C445" s="43" t="s">
        <v>663</v>
      </c>
      <c r="D445" s="43" t="s">
        <v>1364</v>
      </c>
      <c r="E445" s="43" t="s">
        <v>823</v>
      </c>
      <c r="F445" s="48" t="s">
        <v>22</v>
      </c>
      <c r="G445" s="43" t="s">
        <v>824</v>
      </c>
      <c r="H445" s="43" t="s">
        <v>825</v>
      </c>
      <c r="I445" s="44"/>
    </row>
    <row r="446" spans="2:9" hidden="1" x14ac:dyDescent="0.25">
      <c r="B446" s="41"/>
      <c r="C446" s="43" t="s">
        <v>665</v>
      </c>
      <c r="D446" s="43" t="s">
        <v>1365</v>
      </c>
      <c r="E446" s="43" t="s">
        <v>823</v>
      </c>
      <c r="F446" s="48" t="s">
        <v>22</v>
      </c>
      <c r="G446" s="43" t="s">
        <v>824</v>
      </c>
      <c r="H446" s="43" t="s">
        <v>825</v>
      </c>
      <c r="I446" s="44"/>
    </row>
    <row r="447" spans="2:9" hidden="1" x14ac:dyDescent="0.25">
      <c r="B447" s="41"/>
      <c r="C447" s="43" t="s">
        <v>666</v>
      </c>
      <c r="D447" s="43" t="s">
        <v>1366</v>
      </c>
      <c r="E447" s="43" t="s">
        <v>823</v>
      </c>
      <c r="F447" s="48" t="s">
        <v>22</v>
      </c>
      <c r="G447" s="43" t="s">
        <v>824</v>
      </c>
      <c r="H447" s="43" t="s">
        <v>825</v>
      </c>
      <c r="I447" s="44"/>
    </row>
    <row r="448" spans="2:9" hidden="1" x14ac:dyDescent="0.25">
      <c r="B448" s="41"/>
      <c r="C448" s="43" t="s">
        <v>668</v>
      </c>
      <c r="D448" s="43" t="s">
        <v>1367</v>
      </c>
      <c r="E448" s="43" t="s">
        <v>823</v>
      </c>
      <c r="F448" s="48" t="s">
        <v>22</v>
      </c>
      <c r="G448" s="43" t="s">
        <v>824</v>
      </c>
      <c r="H448" s="43" t="s">
        <v>825</v>
      </c>
      <c r="I448" s="44"/>
    </row>
    <row r="449" spans="2:9" hidden="1" x14ac:dyDescent="0.25">
      <c r="B449" s="41"/>
      <c r="C449" s="43" t="s">
        <v>671</v>
      </c>
      <c r="D449" s="43" t="s">
        <v>1368</v>
      </c>
      <c r="E449" s="43" t="s">
        <v>823</v>
      </c>
      <c r="F449" s="48" t="s">
        <v>22</v>
      </c>
      <c r="G449" s="43" t="s">
        <v>824</v>
      </c>
      <c r="H449" s="43" t="s">
        <v>825</v>
      </c>
      <c r="I449" s="44"/>
    </row>
    <row r="450" spans="2:9" hidden="1" x14ac:dyDescent="0.25">
      <c r="B450" s="41"/>
      <c r="C450" s="43" t="s">
        <v>673</v>
      </c>
      <c r="D450" s="43" t="s">
        <v>1369</v>
      </c>
      <c r="E450" s="43" t="s">
        <v>823</v>
      </c>
      <c r="F450" s="48" t="s">
        <v>22</v>
      </c>
      <c r="G450" s="43" t="s">
        <v>824</v>
      </c>
      <c r="H450" s="43" t="s">
        <v>825</v>
      </c>
      <c r="I450" s="44"/>
    </row>
    <row r="451" spans="2:9" hidden="1" x14ac:dyDescent="0.25">
      <c r="B451" s="41"/>
      <c r="C451" s="43" t="s">
        <v>1370</v>
      </c>
      <c r="D451" s="43" t="s">
        <v>1371</v>
      </c>
      <c r="E451" s="43" t="s">
        <v>823</v>
      </c>
      <c r="F451" s="48" t="s">
        <v>22</v>
      </c>
      <c r="G451" s="43" t="s">
        <v>824</v>
      </c>
      <c r="H451" s="43" t="s">
        <v>825</v>
      </c>
      <c r="I451" s="44"/>
    </row>
    <row r="452" spans="2:9" hidden="1" x14ac:dyDescent="0.25">
      <c r="B452" s="41"/>
      <c r="C452" s="43" t="s">
        <v>1295</v>
      </c>
      <c r="D452" s="43" t="s">
        <v>1296</v>
      </c>
      <c r="E452" s="43" t="s">
        <v>823</v>
      </c>
      <c r="F452" s="48" t="s">
        <v>22</v>
      </c>
      <c r="G452" s="43" t="s">
        <v>824</v>
      </c>
      <c r="H452" s="43" t="s">
        <v>825</v>
      </c>
      <c r="I452" s="44"/>
    </row>
    <row r="453" spans="2:9" hidden="1" x14ac:dyDescent="0.25">
      <c r="B453" s="41"/>
      <c r="C453" s="43" t="s">
        <v>697</v>
      </c>
      <c r="D453" s="43" t="s">
        <v>1383</v>
      </c>
      <c r="E453" s="43" t="s">
        <v>823</v>
      </c>
      <c r="F453" s="48" t="s">
        <v>22</v>
      </c>
      <c r="G453" s="43" t="s">
        <v>824</v>
      </c>
      <c r="H453" s="43" t="s">
        <v>825</v>
      </c>
      <c r="I453" s="44"/>
    </row>
    <row r="454" spans="2:9" hidden="1" x14ac:dyDescent="0.25">
      <c r="B454" s="41"/>
      <c r="C454" s="43" t="s">
        <v>21</v>
      </c>
      <c r="D454" s="43" t="s">
        <v>1384</v>
      </c>
      <c r="E454" s="43" t="s">
        <v>823</v>
      </c>
      <c r="F454" s="49" t="s">
        <v>36</v>
      </c>
      <c r="G454" s="43" t="s">
        <v>824</v>
      </c>
      <c r="H454" s="43" t="s">
        <v>825</v>
      </c>
      <c r="I454" s="44"/>
    </row>
    <row r="455" spans="2:9" hidden="1" x14ac:dyDescent="0.25">
      <c r="B455" s="41"/>
      <c r="C455" s="43" t="s">
        <v>1483</v>
      </c>
      <c r="D455" s="43" t="s">
        <v>1484</v>
      </c>
      <c r="E455" s="43" t="s">
        <v>823</v>
      </c>
      <c r="F455" s="49" t="s">
        <v>36</v>
      </c>
      <c r="G455" s="43" t="s">
        <v>824</v>
      </c>
      <c r="H455" s="43" t="s">
        <v>825</v>
      </c>
      <c r="I455" s="44"/>
    </row>
    <row r="456" spans="2:9" hidden="1" x14ac:dyDescent="0.25">
      <c r="B456" s="41"/>
      <c r="C456" s="43" t="s">
        <v>699</v>
      </c>
      <c r="D456" s="43" t="s">
        <v>1385</v>
      </c>
      <c r="E456" s="43" t="s">
        <v>823</v>
      </c>
      <c r="F456" s="48" t="s">
        <v>22</v>
      </c>
      <c r="G456" s="43" t="s">
        <v>824</v>
      </c>
      <c r="H456" s="43" t="s">
        <v>861</v>
      </c>
      <c r="I456" s="44"/>
    </row>
    <row r="457" spans="2:9" hidden="1" x14ac:dyDescent="0.25">
      <c r="B457" s="41"/>
      <c r="C457" s="43" t="s">
        <v>700</v>
      </c>
      <c r="D457" s="43" t="s">
        <v>1386</v>
      </c>
      <c r="E457" s="43" t="s">
        <v>823</v>
      </c>
      <c r="F457" s="48" t="s">
        <v>22</v>
      </c>
      <c r="G457" s="43" t="s">
        <v>824</v>
      </c>
      <c r="H457" s="43" t="s">
        <v>825</v>
      </c>
      <c r="I457" s="44"/>
    </row>
    <row r="458" spans="2:9" hidden="1" x14ac:dyDescent="0.25">
      <c r="B458" s="41"/>
      <c r="C458" s="43" t="s">
        <v>702</v>
      </c>
      <c r="D458" s="43" t="s">
        <v>1389</v>
      </c>
      <c r="E458" s="43" t="s">
        <v>823</v>
      </c>
      <c r="F458" s="48" t="s">
        <v>22</v>
      </c>
      <c r="G458" s="43" t="s">
        <v>824</v>
      </c>
      <c r="H458" s="43" t="s">
        <v>825</v>
      </c>
      <c r="I458" s="44"/>
    </row>
    <row r="459" spans="2:9" hidden="1" x14ac:dyDescent="0.25">
      <c r="B459" s="41"/>
      <c r="C459" s="43" t="s">
        <v>1387</v>
      </c>
      <c r="D459" s="43" t="s">
        <v>1388</v>
      </c>
      <c r="E459" s="43" t="s">
        <v>823</v>
      </c>
      <c r="F459" s="50" t="s">
        <v>47</v>
      </c>
      <c r="G459" s="43" t="s">
        <v>824</v>
      </c>
      <c r="H459" s="43" t="s">
        <v>825</v>
      </c>
      <c r="I459" s="44"/>
    </row>
    <row r="460" spans="2:9" hidden="1" x14ac:dyDescent="0.25">
      <c r="B460" s="41"/>
      <c r="C460" s="43" t="s">
        <v>704</v>
      </c>
      <c r="D460" s="43" t="s">
        <v>1390</v>
      </c>
      <c r="E460" s="43" t="s">
        <v>823</v>
      </c>
      <c r="F460" s="49" t="s">
        <v>36</v>
      </c>
      <c r="G460" s="43" t="s">
        <v>824</v>
      </c>
      <c r="H460" s="43" t="s">
        <v>825</v>
      </c>
      <c r="I460" s="44"/>
    </row>
    <row r="461" spans="2:9" hidden="1" x14ac:dyDescent="0.25">
      <c r="B461" s="41"/>
      <c r="C461" s="43" t="s">
        <v>428</v>
      </c>
      <c r="D461" s="43" t="s">
        <v>1181</v>
      </c>
      <c r="E461" s="43" t="s">
        <v>823</v>
      </c>
      <c r="F461" s="49" t="s">
        <v>36</v>
      </c>
      <c r="G461" s="43" t="s">
        <v>824</v>
      </c>
      <c r="H461" s="43" t="s">
        <v>825</v>
      </c>
      <c r="I461" s="44"/>
    </row>
    <row r="462" spans="2:9" hidden="1" x14ac:dyDescent="0.25">
      <c r="B462" s="41"/>
      <c r="C462" s="43" t="s">
        <v>1391</v>
      </c>
      <c r="D462" s="43" t="s">
        <v>1392</v>
      </c>
      <c r="E462" s="43" t="s">
        <v>823</v>
      </c>
      <c r="F462" s="48" t="s">
        <v>22</v>
      </c>
      <c r="G462" s="43" t="s">
        <v>824</v>
      </c>
      <c r="H462" s="43" t="s">
        <v>825</v>
      </c>
      <c r="I462" s="44"/>
    </row>
    <row r="463" spans="2:9" hidden="1" x14ac:dyDescent="0.25">
      <c r="B463" s="41"/>
      <c r="C463" s="43" t="s">
        <v>705</v>
      </c>
      <c r="D463" s="43" t="s">
        <v>1393</v>
      </c>
      <c r="E463" s="43" t="s">
        <v>823</v>
      </c>
      <c r="F463" s="48" t="s">
        <v>22</v>
      </c>
      <c r="G463" s="43" t="s">
        <v>824</v>
      </c>
      <c r="H463" s="43" t="s">
        <v>825</v>
      </c>
      <c r="I463" s="44"/>
    </row>
    <row r="464" spans="2:9" hidden="1" x14ac:dyDescent="0.25">
      <c r="B464" s="41"/>
      <c r="C464" s="43" t="s">
        <v>707</v>
      </c>
      <c r="D464" s="43" t="s">
        <v>1394</v>
      </c>
      <c r="E464" s="43" t="s">
        <v>823</v>
      </c>
      <c r="F464" s="48" t="s">
        <v>22</v>
      </c>
      <c r="G464" s="43" t="s">
        <v>824</v>
      </c>
      <c r="H464" s="43" t="s">
        <v>825</v>
      </c>
      <c r="I464" s="44"/>
    </row>
    <row r="465" spans="2:9" hidden="1" x14ac:dyDescent="0.25">
      <c r="B465" s="41"/>
      <c r="C465" s="43" t="s">
        <v>1398</v>
      </c>
      <c r="D465" s="43" t="s">
        <v>1399</v>
      </c>
      <c r="E465" s="43" t="s">
        <v>823</v>
      </c>
      <c r="F465" s="49" t="s">
        <v>36</v>
      </c>
      <c r="G465" s="43" t="s">
        <v>824</v>
      </c>
      <c r="H465" s="43" t="s">
        <v>825</v>
      </c>
      <c r="I465" s="44"/>
    </row>
    <row r="466" spans="2:9" hidden="1" x14ac:dyDescent="0.25">
      <c r="B466" s="41"/>
      <c r="C466" s="43" t="s">
        <v>711</v>
      </c>
      <c r="D466" s="43" t="s">
        <v>1400</v>
      </c>
      <c r="E466" s="43" t="s">
        <v>823</v>
      </c>
      <c r="F466" s="48" t="s">
        <v>22</v>
      </c>
      <c r="G466" s="43" t="s">
        <v>824</v>
      </c>
      <c r="H466" s="43" t="s">
        <v>825</v>
      </c>
      <c r="I466" s="44"/>
    </row>
    <row r="467" spans="2:9" hidden="1" x14ac:dyDescent="0.25">
      <c r="B467" s="41"/>
      <c r="C467" s="43" t="s">
        <v>713</v>
      </c>
      <c r="D467" s="43" t="s">
        <v>1401</v>
      </c>
      <c r="E467" s="43" t="s">
        <v>823</v>
      </c>
      <c r="F467" s="48" t="s">
        <v>22</v>
      </c>
      <c r="G467" s="43" t="s">
        <v>824</v>
      </c>
      <c r="H467" s="43" t="s">
        <v>825</v>
      </c>
      <c r="I467" s="44"/>
    </row>
    <row r="468" spans="2:9" hidden="1" x14ac:dyDescent="0.25">
      <c r="B468" s="41"/>
      <c r="C468" s="43" t="s">
        <v>555</v>
      </c>
      <c r="D468" s="43" t="s">
        <v>1270</v>
      </c>
      <c r="E468" s="43" t="s">
        <v>823</v>
      </c>
      <c r="F468" s="48" t="s">
        <v>22</v>
      </c>
      <c r="G468" s="43" t="s">
        <v>824</v>
      </c>
      <c r="H468" s="43" t="s">
        <v>825</v>
      </c>
      <c r="I468" s="44"/>
    </row>
    <row r="469" spans="2:9" hidden="1" x14ac:dyDescent="0.25">
      <c r="B469" s="41"/>
      <c r="C469" s="43" t="s">
        <v>556</v>
      </c>
      <c r="D469" s="43" t="s">
        <v>1273</v>
      </c>
      <c r="E469" s="43" t="s">
        <v>823</v>
      </c>
      <c r="F469" s="48" t="s">
        <v>22</v>
      </c>
      <c r="G469" s="43" t="s">
        <v>824</v>
      </c>
      <c r="H469" s="43" t="s">
        <v>825</v>
      </c>
      <c r="I469" s="44"/>
    </row>
    <row r="470" spans="2:9" hidden="1" x14ac:dyDescent="0.25">
      <c r="B470" s="41"/>
      <c r="C470" s="43" t="s">
        <v>715</v>
      </c>
      <c r="D470" s="43" t="s">
        <v>1402</v>
      </c>
      <c r="E470" s="43" t="s">
        <v>823</v>
      </c>
      <c r="F470" s="48" t="s">
        <v>22</v>
      </c>
      <c r="G470" s="43" t="s">
        <v>824</v>
      </c>
      <c r="H470" s="43" t="s">
        <v>825</v>
      </c>
      <c r="I470" s="44"/>
    </row>
    <row r="471" spans="2:9" hidden="1" x14ac:dyDescent="0.25">
      <c r="B471" s="41"/>
      <c r="C471" s="43" t="s">
        <v>1403</v>
      </c>
      <c r="D471" s="43" t="s">
        <v>1404</v>
      </c>
      <c r="E471" s="43" t="s">
        <v>823</v>
      </c>
      <c r="F471" s="52" t="s">
        <v>670</v>
      </c>
      <c r="G471" s="43" t="s">
        <v>824</v>
      </c>
      <c r="H471" s="43" t="s">
        <v>825</v>
      </c>
      <c r="I471" s="44"/>
    </row>
    <row r="472" spans="2:9" hidden="1" x14ac:dyDescent="0.25">
      <c r="B472" s="41"/>
      <c r="C472" s="43" t="s">
        <v>717</v>
      </c>
      <c r="D472" s="43" t="s">
        <v>1405</v>
      </c>
      <c r="E472" s="43" t="s">
        <v>823</v>
      </c>
      <c r="F472" s="48" t="s">
        <v>22</v>
      </c>
      <c r="G472" s="43" t="s">
        <v>824</v>
      </c>
      <c r="H472" s="43" t="s">
        <v>825</v>
      </c>
      <c r="I472" s="44"/>
    </row>
    <row r="473" spans="2:9" hidden="1" x14ac:dyDescent="0.25">
      <c r="B473" s="41"/>
      <c r="C473" s="43" t="s">
        <v>719</v>
      </c>
      <c r="D473" s="43" t="s">
        <v>1406</v>
      </c>
      <c r="E473" s="43" t="s">
        <v>823</v>
      </c>
      <c r="F473" s="48" t="s">
        <v>22</v>
      </c>
      <c r="G473" s="43" t="s">
        <v>824</v>
      </c>
      <c r="H473" s="43" t="s">
        <v>825</v>
      </c>
      <c r="I473" s="44"/>
    </row>
    <row r="474" spans="2:9" hidden="1" x14ac:dyDescent="0.25">
      <c r="B474" s="41"/>
      <c r="C474" s="43" t="s">
        <v>1407</v>
      </c>
      <c r="D474" s="43" t="s">
        <v>1408</v>
      </c>
      <c r="E474" s="43" t="s">
        <v>823</v>
      </c>
      <c r="F474" s="50" t="s">
        <v>47</v>
      </c>
      <c r="G474" s="43" t="s">
        <v>824</v>
      </c>
      <c r="H474" s="43" t="s">
        <v>825</v>
      </c>
      <c r="I474" s="44"/>
    </row>
    <row r="475" spans="2:9" hidden="1" x14ac:dyDescent="0.25">
      <c r="B475" s="41"/>
      <c r="C475" s="43" t="s">
        <v>963</v>
      </c>
      <c r="D475" s="43" t="s">
        <v>964</v>
      </c>
      <c r="E475" s="43" t="s">
        <v>823</v>
      </c>
      <c r="F475" s="48" t="s">
        <v>22</v>
      </c>
      <c r="G475" s="43" t="s">
        <v>824</v>
      </c>
      <c r="H475" s="43" t="s">
        <v>825</v>
      </c>
      <c r="I475" s="44"/>
    </row>
    <row r="476" spans="2:9" hidden="1" x14ac:dyDescent="0.25">
      <c r="B476" s="41"/>
      <c r="C476" s="43" t="s">
        <v>724</v>
      </c>
      <c r="D476" s="43" t="s">
        <v>1410</v>
      </c>
      <c r="E476" s="43" t="s">
        <v>823</v>
      </c>
      <c r="F476" s="48" t="s">
        <v>22</v>
      </c>
      <c r="G476" s="43" t="s">
        <v>824</v>
      </c>
      <c r="H476" s="43" t="s">
        <v>825</v>
      </c>
      <c r="I476" s="44"/>
    </row>
    <row r="477" spans="2:9" hidden="1" x14ac:dyDescent="0.25">
      <c r="B477" s="41"/>
      <c r="C477" s="43" t="s">
        <v>722</v>
      </c>
      <c r="D477" s="43" t="s">
        <v>1409</v>
      </c>
      <c r="E477" s="43" t="s">
        <v>823</v>
      </c>
      <c r="F477" s="48" t="s">
        <v>22</v>
      </c>
      <c r="G477" s="43" t="s">
        <v>824</v>
      </c>
      <c r="H477" s="43" t="s">
        <v>825</v>
      </c>
      <c r="I477" s="44"/>
    </row>
    <row r="478" spans="2:9" hidden="1" x14ac:dyDescent="0.25">
      <c r="B478" s="41"/>
      <c r="C478" s="43" t="s">
        <v>459</v>
      </c>
      <c r="D478" s="43" t="s">
        <v>1202</v>
      </c>
      <c r="E478" s="43" t="s">
        <v>831</v>
      </c>
      <c r="F478" s="48" t="s">
        <v>22</v>
      </c>
      <c r="G478" s="43" t="s">
        <v>824</v>
      </c>
      <c r="H478" s="43" t="s">
        <v>825</v>
      </c>
      <c r="I478" s="44"/>
    </row>
    <row r="479" spans="2:9" hidden="1" x14ac:dyDescent="0.25">
      <c r="B479" s="41"/>
      <c r="C479" s="43" t="s">
        <v>241</v>
      </c>
      <c r="D479" s="43" t="s">
        <v>1006</v>
      </c>
      <c r="E479" s="43" t="s">
        <v>823</v>
      </c>
      <c r="F479" s="48" t="s">
        <v>22</v>
      </c>
      <c r="G479" s="43" t="s">
        <v>824</v>
      </c>
      <c r="H479" s="43" t="s">
        <v>825</v>
      </c>
      <c r="I479" s="44"/>
    </row>
    <row r="480" spans="2:9" hidden="1" x14ac:dyDescent="0.25">
      <c r="B480" s="41"/>
      <c r="C480" s="43" t="s">
        <v>178</v>
      </c>
      <c r="D480" s="43" t="s">
        <v>948</v>
      </c>
      <c r="E480" s="43" t="s">
        <v>823</v>
      </c>
      <c r="F480" s="49" t="s">
        <v>36</v>
      </c>
      <c r="G480" s="43" t="s">
        <v>824</v>
      </c>
      <c r="H480" s="43" t="s">
        <v>825</v>
      </c>
      <c r="I480" s="44"/>
    </row>
    <row r="481" spans="2:9" hidden="1" x14ac:dyDescent="0.25">
      <c r="B481" s="41"/>
      <c r="C481" s="43" t="s">
        <v>232</v>
      </c>
      <c r="D481" s="43" t="s">
        <v>999</v>
      </c>
      <c r="E481" s="43" t="s">
        <v>823</v>
      </c>
      <c r="F481" s="49" t="s">
        <v>36</v>
      </c>
      <c r="G481" s="43" t="s">
        <v>824</v>
      </c>
      <c r="H481" s="43" t="s">
        <v>825</v>
      </c>
      <c r="I481" s="44"/>
    </row>
    <row r="482" spans="2:9" hidden="1" x14ac:dyDescent="0.25">
      <c r="B482" s="41"/>
      <c r="C482" s="43" t="s">
        <v>806</v>
      </c>
      <c r="D482" s="43" t="s">
        <v>1465</v>
      </c>
      <c r="E482" s="43" t="s">
        <v>823</v>
      </c>
      <c r="F482" s="48" t="s">
        <v>22</v>
      </c>
      <c r="G482" s="43" t="s">
        <v>824</v>
      </c>
      <c r="H482" s="43" t="s">
        <v>825</v>
      </c>
      <c r="I482" s="44"/>
    </row>
    <row r="483" spans="2:9" hidden="1" x14ac:dyDescent="0.25">
      <c r="B483" s="41"/>
      <c r="C483" s="43" t="s">
        <v>628</v>
      </c>
      <c r="D483" s="43" t="s">
        <v>1486</v>
      </c>
      <c r="E483" s="43" t="s">
        <v>823</v>
      </c>
      <c r="F483" s="48" t="s">
        <v>22</v>
      </c>
      <c r="G483" s="43" t="s">
        <v>824</v>
      </c>
      <c r="H483" s="43" t="s">
        <v>825</v>
      </c>
      <c r="I483" s="44"/>
    </row>
    <row r="484" spans="2:9" hidden="1" x14ac:dyDescent="0.25">
      <c r="B484" s="41"/>
      <c r="C484" s="43" t="s">
        <v>728</v>
      </c>
      <c r="D484" s="43" t="s">
        <v>1413</v>
      </c>
      <c r="E484" s="43" t="s">
        <v>823</v>
      </c>
      <c r="F484" s="48" t="s">
        <v>22</v>
      </c>
      <c r="G484" s="43" t="s">
        <v>824</v>
      </c>
      <c r="H484" s="43" t="s">
        <v>825</v>
      </c>
      <c r="I484" s="44"/>
    </row>
    <row r="485" spans="2:9" hidden="1" x14ac:dyDescent="0.25">
      <c r="B485" s="41"/>
      <c r="C485" s="43" t="s">
        <v>730</v>
      </c>
      <c r="D485" s="43" t="s">
        <v>1416</v>
      </c>
      <c r="E485" s="43" t="s">
        <v>823</v>
      </c>
      <c r="F485" s="48" t="s">
        <v>22</v>
      </c>
      <c r="G485" s="43" t="s">
        <v>824</v>
      </c>
      <c r="H485" s="43" t="s">
        <v>825</v>
      </c>
      <c r="I485" s="44"/>
    </row>
    <row r="486" spans="2:9" hidden="1" x14ac:dyDescent="0.25">
      <c r="B486" s="41"/>
      <c r="C486" s="43" t="s">
        <v>733</v>
      </c>
      <c r="D486" s="43" t="s">
        <v>1418</v>
      </c>
      <c r="E486" s="43" t="s">
        <v>823</v>
      </c>
      <c r="F486" s="48" t="s">
        <v>22</v>
      </c>
      <c r="G486" s="43" t="s">
        <v>824</v>
      </c>
      <c r="H486" s="43" t="s">
        <v>825</v>
      </c>
      <c r="I486" s="44"/>
    </row>
    <row r="487" spans="2:9" hidden="1" x14ac:dyDescent="0.25">
      <c r="B487" s="41"/>
      <c r="C487" s="43" t="s">
        <v>1414</v>
      </c>
      <c r="D487" s="43" t="s">
        <v>1415</v>
      </c>
      <c r="E487" s="43" t="s">
        <v>823</v>
      </c>
      <c r="F487" s="48" t="s">
        <v>22</v>
      </c>
      <c r="G487" s="43" t="s">
        <v>824</v>
      </c>
      <c r="H487" s="43" t="s">
        <v>825</v>
      </c>
      <c r="I487" s="44"/>
    </row>
    <row r="488" spans="2:9" hidden="1" x14ac:dyDescent="0.25">
      <c r="B488" s="41"/>
      <c r="C488" s="43" t="s">
        <v>735</v>
      </c>
      <c r="D488" s="43" t="s">
        <v>1419</v>
      </c>
      <c r="E488" s="43" t="s">
        <v>831</v>
      </c>
      <c r="F488" s="49" t="s">
        <v>36</v>
      </c>
      <c r="G488" s="43" t="s">
        <v>824</v>
      </c>
      <c r="H488" s="43" t="s">
        <v>825</v>
      </c>
      <c r="I488" s="44"/>
    </row>
    <row r="489" spans="2:9" hidden="1" x14ac:dyDescent="0.25">
      <c r="B489" s="41"/>
      <c r="C489" s="43" t="s">
        <v>736</v>
      </c>
      <c r="D489" s="43" t="s">
        <v>1420</v>
      </c>
      <c r="E489" s="43" t="s">
        <v>823</v>
      </c>
      <c r="F489" s="48" t="s">
        <v>22</v>
      </c>
      <c r="G489" s="43" t="s">
        <v>824</v>
      </c>
      <c r="H489" s="43" t="s">
        <v>825</v>
      </c>
      <c r="I489" s="44"/>
    </row>
    <row r="490" spans="2:9" hidden="1" x14ac:dyDescent="0.25">
      <c r="B490" s="41"/>
      <c r="C490" s="43" t="s">
        <v>600</v>
      </c>
      <c r="D490" s="43" t="s">
        <v>1313</v>
      </c>
      <c r="E490" s="43" t="s">
        <v>823</v>
      </c>
      <c r="F490" s="48" t="s">
        <v>22</v>
      </c>
      <c r="G490" s="43" t="s">
        <v>824</v>
      </c>
      <c r="H490" s="43" t="s">
        <v>825</v>
      </c>
      <c r="I490" s="44"/>
    </row>
    <row r="491" spans="2:9" hidden="1" x14ac:dyDescent="0.25">
      <c r="B491" s="41"/>
      <c r="C491" s="43" t="s">
        <v>738</v>
      </c>
      <c r="D491" s="43" t="s">
        <v>1421</v>
      </c>
      <c r="E491" s="43" t="s">
        <v>823</v>
      </c>
      <c r="F491" s="48" t="s">
        <v>22</v>
      </c>
      <c r="G491" s="43" t="s">
        <v>824</v>
      </c>
      <c r="H491" s="43" t="s">
        <v>825</v>
      </c>
      <c r="I491" s="44"/>
    </row>
    <row r="492" spans="2:9" hidden="1" x14ac:dyDescent="0.25">
      <c r="B492" s="41"/>
      <c r="C492" s="43" t="s">
        <v>743</v>
      </c>
      <c r="D492" s="43" t="s">
        <v>1425</v>
      </c>
      <c r="E492" s="43" t="s">
        <v>823</v>
      </c>
      <c r="F492" s="48" t="s">
        <v>22</v>
      </c>
      <c r="G492" s="43" t="s">
        <v>824</v>
      </c>
      <c r="H492" s="43" t="s">
        <v>825</v>
      </c>
      <c r="I492" s="44"/>
    </row>
    <row r="493" spans="2:9" hidden="1" x14ac:dyDescent="0.25">
      <c r="B493" s="41"/>
      <c r="C493" s="43" t="s">
        <v>741</v>
      </c>
      <c r="D493" s="43" t="s">
        <v>1423</v>
      </c>
      <c r="E493" s="43" t="s">
        <v>823</v>
      </c>
      <c r="F493" s="48" t="s">
        <v>22</v>
      </c>
      <c r="G493" s="43" t="s">
        <v>824</v>
      </c>
      <c r="H493" s="43" t="s">
        <v>825</v>
      </c>
      <c r="I493" s="44"/>
    </row>
    <row r="494" spans="2:9" hidden="1" x14ac:dyDescent="0.25">
      <c r="B494" s="41"/>
      <c r="C494" s="43" t="s">
        <v>748</v>
      </c>
      <c r="D494" s="43" t="s">
        <v>1427</v>
      </c>
      <c r="E494" s="43" t="s">
        <v>823</v>
      </c>
      <c r="F494" s="48" t="s">
        <v>22</v>
      </c>
      <c r="G494" s="43" t="s">
        <v>824</v>
      </c>
      <c r="H494" s="43" t="s">
        <v>825</v>
      </c>
      <c r="I494" s="44"/>
    </row>
    <row r="495" spans="2:9" hidden="1" x14ac:dyDescent="0.25">
      <c r="B495" s="41"/>
      <c r="C495" s="43" t="s">
        <v>751</v>
      </c>
      <c r="D495" s="43" t="s">
        <v>1428</v>
      </c>
      <c r="E495" s="43" t="s">
        <v>823</v>
      </c>
      <c r="F495" s="48" t="s">
        <v>22</v>
      </c>
      <c r="G495" s="43" t="s">
        <v>824</v>
      </c>
      <c r="H495" s="43" t="s">
        <v>825</v>
      </c>
      <c r="I495" s="44"/>
    </row>
    <row r="496" spans="2:9" hidden="1" x14ac:dyDescent="0.25">
      <c r="B496" s="41"/>
      <c r="C496" s="43" t="s">
        <v>740</v>
      </c>
      <c r="D496" s="43" t="s">
        <v>1422</v>
      </c>
      <c r="E496" s="43" t="s">
        <v>823</v>
      </c>
      <c r="F496" s="49" t="s">
        <v>36</v>
      </c>
      <c r="G496" s="43" t="s">
        <v>824</v>
      </c>
      <c r="H496" s="43" t="s">
        <v>825</v>
      </c>
      <c r="I496" s="44"/>
    </row>
    <row r="497" spans="2:9" hidden="1" x14ac:dyDescent="0.25">
      <c r="B497" s="41"/>
      <c r="C497" s="43" t="s">
        <v>627</v>
      </c>
      <c r="D497" s="43" t="s">
        <v>1334</v>
      </c>
      <c r="E497" s="43" t="s">
        <v>823</v>
      </c>
      <c r="F497" s="48" t="s">
        <v>22</v>
      </c>
      <c r="G497" s="43" t="s">
        <v>824</v>
      </c>
      <c r="H497" s="43" t="s">
        <v>825</v>
      </c>
      <c r="I497" s="44"/>
    </row>
    <row r="498" spans="2:9" hidden="1" x14ac:dyDescent="0.25">
      <c r="B498" s="41"/>
      <c r="C498" s="43" t="s">
        <v>745</v>
      </c>
      <c r="D498" s="43" t="s">
        <v>1426</v>
      </c>
      <c r="E498" s="43" t="s">
        <v>823</v>
      </c>
      <c r="F498" s="48" t="s">
        <v>22</v>
      </c>
      <c r="G498" s="43" t="s">
        <v>824</v>
      </c>
      <c r="H498" s="43" t="s">
        <v>825</v>
      </c>
      <c r="I498" s="44"/>
    </row>
    <row r="499" spans="2:9" hidden="1" x14ac:dyDescent="0.25">
      <c r="B499" s="41"/>
      <c r="C499" s="43" t="s">
        <v>752</v>
      </c>
      <c r="D499" s="43" t="s">
        <v>1429</v>
      </c>
      <c r="E499" s="43" t="s">
        <v>823</v>
      </c>
      <c r="F499" s="49" t="s">
        <v>36</v>
      </c>
      <c r="G499" s="43" t="s">
        <v>824</v>
      </c>
      <c r="H499" s="43" t="s">
        <v>825</v>
      </c>
      <c r="I499" s="44"/>
    </row>
    <row r="500" spans="2:9" hidden="1" x14ac:dyDescent="0.25">
      <c r="B500" s="41"/>
      <c r="C500" s="43" t="s">
        <v>753</v>
      </c>
      <c r="D500" s="43" t="s">
        <v>1430</v>
      </c>
      <c r="E500" s="43" t="s">
        <v>823</v>
      </c>
      <c r="F500" s="49" t="s">
        <v>36</v>
      </c>
      <c r="G500" s="43" t="s">
        <v>824</v>
      </c>
      <c r="H500" s="43" t="s">
        <v>825</v>
      </c>
      <c r="I500" s="44"/>
    </row>
    <row r="501" spans="2:9" hidden="1" x14ac:dyDescent="0.25">
      <c r="B501" s="41"/>
      <c r="C501" s="43" t="s">
        <v>103</v>
      </c>
      <c r="D501" s="43" t="s">
        <v>884</v>
      </c>
      <c r="E501" s="43" t="s">
        <v>823</v>
      </c>
      <c r="F501" s="48" t="s">
        <v>22</v>
      </c>
      <c r="G501" s="43" t="s">
        <v>824</v>
      </c>
      <c r="H501" s="43" t="s">
        <v>825</v>
      </c>
      <c r="I501" s="44"/>
    </row>
    <row r="502" spans="2:9" hidden="1" x14ac:dyDescent="0.25">
      <c r="B502" s="41"/>
      <c r="C502" s="43" t="s">
        <v>763</v>
      </c>
      <c r="D502" s="43" t="s">
        <v>1433</v>
      </c>
      <c r="E502" s="43" t="s">
        <v>823</v>
      </c>
      <c r="F502" s="48" t="s">
        <v>22</v>
      </c>
      <c r="G502" s="43" t="s">
        <v>824</v>
      </c>
      <c r="H502" s="43" t="s">
        <v>825</v>
      </c>
      <c r="I502" s="44"/>
    </row>
    <row r="503" spans="2:9" hidden="1" x14ac:dyDescent="0.25">
      <c r="B503" s="41"/>
      <c r="C503" s="43" t="s">
        <v>1435</v>
      </c>
      <c r="D503" s="43" t="s">
        <v>1436</v>
      </c>
      <c r="E503" s="43" t="s">
        <v>823</v>
      </c>
      <c r="F503" s="48" t="s">
        <v>22</v>
      </c>
      <c r="G503" s="43" t="s">
        <v>824</v>
      </c>
      <c r="H503" s="43" t="s">
        <v>825</v>
      </c>
      <c r="I503" s="44"/>
    </row>
    <row r="504" spans="2:9" hidden="1" x14ac:dyDescent="0.25">
      <c r="B504" s="41"/>
      <c r="C504" s="43" t="s">
        <v>765</v>
      </c>
      <c r="D504" s="43" t="s">
        <v>1434</v>
      </c>
      <c r="E504" s="43" t="s">
        <v>823</v>
      </c>
      <c r="F504" s="49" t="s">
        <v>36</v>
      </c>
      <c r="G504" s="43" t="s">
        <v>824</v>
      </c>
      <c r="H504" s="43" t="s">
        <v>825</v>
      </c>
      <c r="I504" s="44"/>
    </row>
    <row r="505" spans="2:9" hidden="1" x14ac:dyDescent="0.25">
      <c r="B505" s="41"/>
      <c r="C505" s="43" t="s">
        <v>767</v>
      </c>
      <c r="D505" s="43" t="s">
        <v>1438</v>
      </c>
      <c r="E505" s="43" t="s">
        <v>823</v>
      </c>
      <c r="F505" s="48" t="s">
        <v>22</v>
      </c>
      <c r="G505" s="43" t="s">
        <v>824</v>
      </c>
      <c r="H505" s="43" t="s">
        <v>825</v>
      </c>
      <c r="I505" s="44"/>
    </row>
    <row r="506" spans="2:9" hidden="1" x14ac:dyDescent="0.25">
      <c r="B506" s="41"/>
      <c r="C506" s="43" t="s">
        <v>415</v>
      </c>
      <c r="D506" s="43" t="s">
        <v>1167</v>
      </c>
      <c r="E506" s="43" t="s">
        <v>823</v>
      </c>
      <c r="F506" s="49" t="s">
        <v>36</v>
      </c>
      <c r="G506" s="43" t="s">
        <v>824</v>
      </c>
      <c r="H506" s="43" t="s">
        <v>825</v>
      </c>
      <c r="I506" s="44"/>
    </row>
    <row r="507" spans="2:9" hidden="1" x14ac:dyDescent="0.25">
      <c r="B507" s="41"/>
      <c r="C507" s="43" t="s">
        <v>754</v>
      </c>
      <c r="D507" s="43" t="s">
        <v>1431</v>
      </c>
      <c r="E507" s="43" t="s">
        <v>823</v>
      </c>
      <c r="F507" s="48" t="s">
        <v>22</v>
      </c>
      <c r="G507" s="43" t="s">
        <v>824</v>
      </c>
      <c r="H507" s="43" t="s">
        <v>825</v>
      </c>
      <c r="I507" s="44"/>
    </row>
    <row r="508" spans="2:9" hidden="1" x14ac:dyDescent="0.25">
      <c r="B508" s="41"/>
      <c r="C508" s="43" t="s">
        <v>777</v>
      </c>
      <c r="D508" s="43" t="s">
        <v>1442</v>
      </c>
      <c r="E508" s="43" t="s">
        <v>823</v>
      </c>
      <c r="F508" s="48" t="s">
        <v>22</v>
      </c>
      <c r="G508" s="43" t="s">
        <v>824</v>
      </c>
      <c r="H508" s="43" t="s">
        <v>825</v>
      </c>
      <c r="I508" s="44"/>
    </row>
    <row r="509" spans="2:9" hidden="1" x14ac:dyDescent="0.25">
      <c r="B509" s="41"/>
      <c r="C509" s="43" t="s">
        <v>775</v>
      </c>
      <c r="D509" s="43" t="s">
        <v>1441</v>
      </c>
      <c r="E509" s="43" t="s">
        <v>823</v>
      </c>
      <c r="F509" s="48" t="s">
        <v>22</v>
      </c>
      <c r="G509" s="43" t="s">
        <v>824</v>
      </c>
      <c r="H509" s="43" t="s">
        <v>825</v>
      </c>
      <c r="I509" s="44"/>
    </row>
    <row r="510" spans="2:9" hidden="1" x14ac:dyDescent="0.25">
      <c r="B510" s="41"/>
      <c r="C510" s="43" t="s">
        <v>774</v>
      </c>
      <c r="D510" s="43" t="s">
        <v>1440</v>
      </c>
      <c r="E510" s="43" t="s">
        <v>823</v>
      </c>
      <c r="F510" s="49" t="s">
        <v>36</v>
      </c>
      <c r="G510" s="43" t="s">
        <v>824</v>
      </c>
      <c r="H510" s="43" t="s">
        <v>825</v>
      </c>
      <c r="I510" s="44"/>
    </row>
    <row r="511" spans="2:9" hidden="1" x14ac:dyDescent="0.25">
      <c r="B511" s="41"/>
      <c r="C511" s="43" t="s">
        <v>1443</v>
      </c>
      <c r="D511" s="43" t="s">
        <v>1444</v>
      </c>
      <c r="E511" s="43" t="s">
        <v>831</v>
      </c>
      <c r="F511" s="49" t="s">
        <v>36</v>
      </c>
      <c r="G511" s="43" t="s">
        <v>824</v>
      </c>
      <c r="H511" s="43" t="s">
        <v>825</v>
      </c>
      <c r="I511" s="44"/>
    </row>
    <row r="512" spans="2:9" hidden="1" x14ac:dyDescent="0.25">
      <c r="B512" s="41"/>
      <c r="C512" s="43" t="s">
        <v>780</v>
      </c>
      <c r="D512" s="43" t="s">
        <v>1445</v>
      </c>
      <c r="E512" s="43" t="s">
        <v>823</v>
      </c>
      <c r="F512" s="48" t="s">
        <v>22</v>
      </c>
      <c r="G512" s="43" t="s">
        <v>824</v>
      </c>
      <c r="H512" s="43" t="s">
        <v>825</v>
      </c>
      <c r="I512" s="44"/>
    </row>
    <row r="513" spans="2:9" hidden="1" x14ac:dyDescent="0.25">
      <c r="B513" s="41"/>
      <c r="C513" s="43" t="s">
        <v>1446</v>
      </c>
      <c r="D513" s="43" t="s">
        <v>1447</v>
      </c>
      <c r="E513" s="43" t="s">
        <v>823</v>
      </c>
      <c r="F513" s="49" t="s">
        <v>36</v>
      </c>
      <c r="G513" s="43" t="s">
        <v>824</v>
      </c>
      <c r="H513" s="43" t="s">
        <v>825</v>
      </c>
      <c r="I513" s="44"/>
    </row>
    <row r="514" spans="2:9" hidden="1" x14ac:dyDescent="0.25">
      <c r="B514" s="41"/>
      <c r="C514" s="43" t="s">
        <v>786</v>
      </c>
      <c r="D514" s="43" t="s">
        <v>1451</v>
      </c>
      <c r="E514" s="43" t="s">
        <v>823</v>
      </c>
      <c r="F514" s="50" t="s">
        <v>47</v>
      </c>
      <c r="G514" s="43" t="s">
        <v>824</v>
      </c>
      <c r="H514" s="43" t="s">
        <v>825</v>
      </c>
      <c r="I514" s="44"/>
    </row>
    <row r="515" spans="2:9" hidden="1" x14ac:dyDescent="0.25">
      <c r="B515" s="41"/>
      <c r="C515" s="43" t="s">
        <v>783</v>
      </c>
      <c r="D515" s="43" t="s">
        <v>1450</v>
      </c>
      <c r="E515" s="43" t="s">
        <v>823</v>
      </c>
      <c r="F515" s="48" t="s">
        <v>22</v>
      </c>
      <c r="G515" s="43" t="s">
        <v>824</v>
      </c>
      <c r="H515" s="43" t="s">
        <v>825</v>
      </c>
      <c r="I515" s="44"/>
    </row>
    <row r="516" spans="2:9" hidden="1" x14ac:dyDescent="0.25">
      <c r="B516" s="41"/>
      <c r="C516" s="43" t="s">
        <v>790</v>
      </c>
      <c r="D516" s="43" t="s">
        <v>1453</v>
      </c>
      <c r="E516" s="43" t="s">
        <v>823</v>
      </c>
      <c r="F516" s="48" t="s">
        <v>22</v>
      </c>
      <c r="G516" s="43" t="s">
        <v>824</v>
      </c>
      <c r="H516" s="43" t="s">
        <v>825</v>
      </c>
      <c r="I516" s="44"/>
    </row>
    <row r="517" spans="2:9" hidden="1" x14ac:dyDescent="0.25">
      <c r="B517" s="41"/>
      <c r="C517" s="43" t="s">
        <v>788</v>
      </c>
      <c r="D517" s="43" t="s">
        <v>1452</v>
      </c>
      <c r="E517" s="43" t="s">
        <v>823</v>
      </c>
      <c r="F517" s="48" t="s">
        <v>22</v>
      </c>
      <c r="G517" s="43" t="s">
        <v>824</v>
      </c>
      <c r="H517" s="43" t="s">
        <v>825</v>
      </c>
      <c r="I517" s="44"/>
    </row>
    <row r="518" spans="2:9" hidden="1" x14ac:dyDescent="0.25">
      <c r="B518" s="41"/>
      <c r="C518" s="43" t="s">
        <v>792</v>
      </c>
      <c r="D518" s="43" t="s">
        <v>1454</v>
      </c>
      <c r="E518" s="43" t="s">
        <v>823</v>
      </c>
      <c r="F518" s="49" t="s">
        <v>36</v>
      </c>
      <c r="G518" s="43" t="s">
        <v>824</v>
      </c>
      <c r="H518" s="43" t="s">
        <v>825</v>
      </c>
      <c r="I518" s="44"/>
    </row>
    <row r="519" spans="2:9" hidden="1" x14ac:dyDescent="0.25">
      <c r="B519" s="41"/>
      <c r="C519" s="43" t="s">
        <v>793</v>
      </c>
      <c r="D519" s="43" t="s">
        <v>1455</v>
      </c>
      <c r="E519" s="43" t="s">
        <v>823</v>
      </c>
      <c r="F519" s="48" t="s">
        <v>22</v>
      </c>
      <c r="G519" s="43" t="s">
        <v>824</v>
      </c>
      <c r="H519" s="43" t="s">
        <v>825</v>
      </c>
      <c r="I519" s="44"/>
    </row>
    <row r="520" spans="2:9" hidden="1" x14ac:dyDescent="0.25">
      <c r="B520" s="41"/>
      <c r="C520" s="43" t="s">
        <v>1456</v>
      </c>
      <c r="D520" s="43" t="s">
        <v>1457</v>
      </c>
      <c r="E520" s="43" t="s">
        <v>823</v>
      </c>
      <c r="F520" s="52" t="s">
        <v>263</v>
      </c>
      <c r="G520" s="43" t="s">
        <v>824</v>
      </c>
      <c r="H520" s="43" t="s">
        <v>825</v>
      </c>
      <c r="I520" s="44"/>
    </row>
    <row r="521" spans="2:9" hidden="1" x14ac:dyDescent="0.25">
      <c r="B521" s="41"/>
      <c r="C521" s="43" t="s">
        <v>797</v>
      </c>
      <c r="D521" s="43" t="s">
        <v>1459</v>
      </c>
      <c r="E521" s="43" t="s">
        <v>823</v>
      </c>
      <c r="F521" s="48" t="s">
        <v>22</v>
      </c>
      <c r="G521" s="43" t="s">
        <v>824</v>
      </c>
      <c r="H521" s="43" t="s">
        <v>825</v>
      </c>
      <c r="I521" s="44"/>
    </row>
    <row r="522" spans="2:9" hidden="1" x14ac:dyDescent="0.25">
      <c r="B522" s="41"/>
      <c r="C522" s="43" t="s">
        <v>795</v>
      </c>
      <c r="D522" s="43" t="s">
        <v>1458</v>
      </c>
      <c r="E522" s="43" t="s">
        <v>823</v>
      </c>
      <c r="F522" s="48" t="s">
        <v>22</v>
      </c>
      <c r="G522" s="43" t="s">
        <v>824</v>
      </c>
      <c r="H522" s="43" t="s">
        <v>825</v>
      </c>
      <c r="I522" s="44"/>
    </row>
    <row r="523" spans="2:9" hidden="1" x14ac:dyDescent="0.25">
      <c r="B523" s="41"/>
      <c r="C523" s="43" t="s">
        <v>800</v>
      </c>
      <c r="D523" s="43" t="s">
        <v>1461</v>
      </c>
      <c r="E523" s="43" t="s">
        <v>823</v>
      </c>
      <c r="F523" s="48" t="s">
        <v>22</v>
      </c>
      <c r="G523" s="43" t="s">
        <v>824</v>
      </c>
      <c r="H523" s="43" t="s">
        <v>825</v>
      </c>
      <c r="I523" s="44"/>
    </row>
    <row r="524" spans="2:9" hidden="1" x14ac:dyDescent="0.25">
      <c r="B524" s="41"/>
      <c r="C524" s="43" t="s">
        <v>801</v>
      </c>
      <c r="D524" s="43" t="s">
        <v>1462</v>
      </c>
      <c r="E524" s="43" t="s">
        <v>823</v>
      </c>
      <c r="F524" s="48" t="s">
        <v>22</v>
      </c>
      <c r="G524" s="43" t="s">
        <v>824</v>
      </c>
      <c r="H524" s="43" t="s">
        <v>825</v>
      </c>
      <c r="I524" s="44"/>
    </row>
    <row r="525" spans="2:9" hidden="1" x14ac:dyDescent="0.25">
      <c r="B525" s="41"/>
      <c r="C525" s="43" t="s">
        <v>804</v>
      </c>
      <c r="D525" s="43" t="s">
        <v>1463</v>
      </c>
      <c r="E525" s="43" t="s">
        <v>823</v>
      </c>
      <c r="F525" s="48" t="s">
        <v>22</v>
      </c>
      <c r="G525" s="43" t="s">
        <v>824</v>
      </c>
      <c r="H525" s="43" t="s">
        <v>825</v>
      </c>
      <c r="I525" s="44"/>
    </row>
    <row r="526" spans="2:9" hidden="1" x14ac:dyDescent="0.25">
      <c r="B526" s="41"/>
      <c r="C526" s="43" t="s">
        <v>808</v>
      </c>
      <c r="D526" s="43" t="s">
        <v>1466</v>
      </c>
      <c r="E526" s="43" t="s">
        <v>823</v>
      </c>
      <c r="F526" s="52" t="s">
        <v>263</v>
      </c>
      <c r="G526" s="43" t="s">
        <v>824</v>
      </c>
      <c r="H526" s="43" t="s">
        <v>825</v>
      </c>
      <c r="I526" s="44"/>
    </row>
    <row r="527" spans="2:9" hidden="1" x14ac:dyDescent="0.25">
      <c r="B527" s="41"/>
      <c r="C527" s="43" t="s">
        <v>805</v>
      </c>
      <c r="D527" s="43" t="s">
        <v>1464</v>
      </c>
      <c r="E527" s="43" t="s">
        <v>823</v>
      </c>
      <c r="F527" s="48" t="s">
        <v>22</v>
      </c>
      <c r="G527" s="43" t="s">
        <v>824</v>
      </c>
      <c r="H527" s="43" t="s">
        <v>825</v>
      </c>
      <c r="I527" s="44"/>
    </row>
    <row r="528" spans="2:9" hidden="1" x14ac:dyDescent="0.25">
      <c r="B528" s="41"/>
      <c r="C528" s="43" t="s">
        <v>811</v>
      </c>
      <c r="D528" s="43" t="s">
        <v>1468</v>
      </c>
      <c r="E528" s="43" t="s">
        <v>823</v>
      </c>
      <c r="F528" s="48" t="s">
        <v>22</v>
      </c>
      <c r="G528" s="43" t="s">
        <v>824</v>
      </c>
      <c r="H528" s="43" t="s">
        <v>825</v>
      </c>
      <c r="I528" s="44"/>
    </row>
    <row r="529" spans="2:9" hidden="1" x14ac:dyDescent="0.25">
      <c r="B529" s="41"/>
      <c r="C529" s="43" t="s">
        <v>810</v>
      </c>
      <c r="D529" s="43" t="s">
        <v>1467</v>
      </c>
      <c r="E529" s="43" t="s">
        <v>823</v>
      </c>
      <c r="F529" s="48" t="s">
        <v>22</v>
      </c>
      <c r="G529" s="43" t="s">
        <v>824</v>
      </c>
      <c r="H529" s="43" t="s">
        <v>825</v>
      </c>
      <c r="I529" s="44"/>
    </row>
    <row r="530" spans="2:9" hidden="1" x14ac:dyDescent="0.25">
      <c r="B530" s="41"/>
      <c r="C530" s="43" t="s">
        <v>854</v>
      </c>
      <c r="D530" s="43" t="s">
        <v>855</v>
      </c>
      <c r="E530" s="43" t="s">
        <v>823</v>
      </c>
      <c r="F530" s="49" t="s">
        <v>36</v>
      </c>
      <c r="G530" s="43" t="s">
        <v>824</v>
      </c>
      <c r="H530" s="43" t="s">
        <v>825</v>
      </c>
      <c r="I530" s="44"/>
    </row>
    <row r="531" spans="2:9" hidden="1" x14ac:dyDescent="0.25">
      <c r="B531" s="41"/>
      <c r="C531" s="43" t="s">
        <v>376</v>
      </c>
      <c r="D531" s="43" t="s">
        <v>1138</v>
      </c>
      <c r="E531" s="43" t="s">
        <v>823</v>
      </c>
      <c r="F531" s="50" t="s">
        <v>47</v>
      </c>
      <c r="G531" s="43" t="s">
        <v>824</v>
      </c>
      <c r="H531" s="43" t="s">
        <v>825</v>
      </c>
      <c r="I531" s="44"/>
    </row>
    <row r="532" spans="2:9" hidden="1" x14ac:dyDescent="0.25">
      <c r="B532" s="42"/>
      <c r="C532" s="45" t="s">
        <v>404</v>
      </c>
      <c r="D532" s="45" t="s">
        <v>1160</v>
      </c>
      <c r="E532" s="45" t="s">
        <v>823</v>
      </c>
      <c r="F532" s="54" t="s">
        <v>22</v>
      </c>
      <c r="G532" s="45" t="s">
        <v>824</v>
      </c>
      <c r="H532" s="45" t="s">
        <v>825</v>
      </c>
      <c r="I532" s="46"/>
    </row>
    <row r="533" spans="2:9" x14ac:dyDescent="0.25">
      <c r="B533" s="41"/>
      <c r="C533" s="40"/>
      <c r="D533" s="40"/>
      <c r="E533" s="40"/>
      <c r="F533" s="40"/>
      <c r="G533" s="40"/>
      <c r="H533" s="40"/>
      <c r="I533" s="40"/>
    </row>
  </sheetData>
  <autoFilter ref="B1:I532" xr:uid="{2C580E92-52DF-4E39-B5BF-0853FB6E847E}">
    <filterColumn colId="1">
      <filters>
        <filter val="LUIS CARLOS BROERING"/>
      </filters>
    </filterColumn>
  </autoFilter>
  <hyperlinks>
    <hyperlink ref="B2" r:id="rId1" display="https://amp.vexpenses.com/settings/membros-de-equipe/895944" xr:uid="{ABC68CE9-F0C0-427E-99A8-C85987F4FC0A}"/>
    <hyperlink ref="B3" r:id="rId2" display="https://amp.vexpenses.com/settings/membros-de-equipe/923558" xr:uid="{CF9E8166-F879-41C2-9296-61F22B9FC09F}"/>
    <hyperlink ref="B4" r:id="rId3" display="https://amp.vexpenses.com/settings/membros-de-equipe/895945" xr:uid="{614A7AA5-BD4E-4A98-AD78-10EB49C5C047}"/>
    <hyperlink ref="B5" r:id="rId4" display="https://amp.vexpenses.com/settings/membros-de-equipe/895946" xr:uid="{344C754E-3AAF-42C4-84DF-2E0ECDA8B309}"/>
    <hyperlink ref="B6" r:id="rId5" display="https://amp.vexpenses.com/settings/membros-de-equipe/895947" xr:uid="{0E567BC3-5C8D-4059-A21A-04A0AED4697C}"/>
    <hyperlink ref="B7" r:id="rId6" display="https://amp.vexpenses.com/settings/membros-de-equipe/895948" xr:uid="{AFF76D91-9FD9-466B-8C5B-D8137FFA7ECD}"/>
    <hyperlink ref="B8" r:id="rId7" display="https://amp.vexpenses.com/settings/membros-de-equipe/895949" xr:uid="{383C6C84-CD81-4563-BE32-E6F19B15AD9B}"/>
    <hyperlink ref="B9" r:id="rId8" display="https://amp.vexpenses.com/settings/membros-de-equipe/895950" xr:uid="{B4E36A57-7F4D-4EA1-A8E6-C7E528DB7186}"/>
    <hyperlink ref="B10" r:id="rId9" display="https://amp.vexpenses.com/settings/membros-de-equipe/895952" xr:uid="{4DA3B8E5-F477-4CF3-831C-0E0DC30865D4}"/>
    <hyperlink ref="B11" r:id="rId10" display="https://amp.vexpenses.com/settings/membros-de-equipe/895954" xr:uid="{D23F8483-417E-446C-8720-B7B2734CA173}"/>
    <hyperlink ref="B12" r:id="rId11" display="https://amp.vexpenses.com/settings/membros-de-equipe/895955" xr:uid="{25563E67-BA37-4098-A48D-6F71A11E9A06}"/>
    <hyperlink ref="B13" r:id="rId12" display="https://amp.vexpenses.com/settings/membros-de-equipe/895956" xr:uid="{56660D0B-022C-42F9-A729-48B816E5E10A}"/>
    <hyperlink ref="B14" r:id="rId13" display="https://amp.vexpenses.com/settings/membros-de-equipe/916910" xr:uid="{5831ACCC-0F08-4230-AE84-029B8A8F0D60}"/>
    <hyperlink ref="B15" r:id="rId14" display="https://amp.vexpenses.com/settings/membros-de-equipe/895957" xr:uid="{292E4D4F-818D-44C9-BE41-9C9CDB018CC9}"/>
    <hyperlink ref="B16" r:id="rId15" display="https://amp.vexpenses.com/settings/membros-de-equipe/895958" xr:uid="{CC5B7B1B-840D-4A3E-A16A-885E2CFCE24D}"/>
    <hyperlink ref="B17" r:id="rId16" display="https://amp.vexpenses.com/settings/membros-de-equipe/929763" xr:uid="{3B54B075-D9AD-4F07-84F6-1FE6DF8D5385}"/>
    <hyperlink ref="B18" r:id="rId17" display="https://amp.vexpenses.com/settings/membros-de-equipe/895959" xr:uid="{8062AD1D-894A-4E09-A9A2-E2A7C91724FD}"/>
    <hyperlink ref="B19" r:id="rId18" display="https://amp.vexpenses.com/settings/membros-de-equipe/895961" xr:uid="{C4997693-C4D0-4901-9E26-1D746DC39F90}"/>
    <hyperlink ref="B20" r:id="rId19" display="https://amp.vexpenses.com/settings/membros-de-equipe/895962" xr:uid="{22EC71FF-070A-4DA1-9A0D-741A1986C2B6}"/>
    <hyperlink ref="B21" r:id="rId20" display="https://amp.vexpenses.com/settings/membros-de-equipe/895963" xr:uid="{D6DD6555-7A18-4804-BBC5-4EBFF3D96857}"/>
    <hyperlink ref="B22" r:id="rId21" display="https://amp.vexpenses.com/settings/membros-de-equipe/895964" xr:uid="{93530528-CCFE-4860-8A05-03370EE70462}"/>
    <hyperlink ref="B23" r:id="rId22" display="https://amp.vexpenses.com/settings/membros-de-equipe/895965" xr:uid="{1A56E2EB-C47C-461A-9F7D-037A1878B6ED}"/>
    <hyperlink ref="B24" r:id="rId23" display="https://amp.vexpenses.com/settings/membros-de-equipe/917314" xr:uid="{F19E0F30-DE6A-4C8C-8946-0F75109361F4}"/>
    <hyperlink ref="B25" r:id="rId24" display="https://amp.vexpenses.com/settings/membros-de-equipe/895966" xr:uid="{5C2C616E-0029-42B4-84BF-9629FFAA4CBC}"/>
    <hyperlink ref="B26" r:id="rId25" display="https://amp.vexpenses.com/settings/membros-de-equipe/895967" xr:uid="{A2E80321-FC33-4E4B-B470-F0FF6C02C4CE}"/>
    <hyperlink ref="B27" r:id="rId26" display="https://amp.vexpenses.com/settings/membros-de-equipe/916897" xr:uid="{97F1A807-53AF-4BE5-9DA9-221B9505C627}"/>
    <hyperlink ref="B28" r:id="rId27" display="https://amp.vexpenses.com/settings/membros-de-equipe/895968" xr:uid="{C2D472DD-47E0-40EE-869E-2C01210CB9CD}"/>
    <hyperlink ref="B29" r:id="rId28" display="https://amp.vexpenses.com/settings/membros-de-equipe/917318" xr:uid="{49CF2909-386E-4060-A667-3373F74019C3}"/>
    <hyperlink ref="B30" r:id="rId29" display="https://amp.vexpenses.com/settings/membros-de-equipe/895969" xr:uid="{1D6867BA-C461-4228-81D2-43FD65CD48CE}"/>
    <hyperlink ref="B31" r:id="rId30" display="https://amp.vexpenses.com/settings/membros-de-equipe/918852" xr:uid="{91F13C3F-AEDA-4887-A7C2-A6BCC8B289EB}"/>
    <hyperlink ref="B32" r:id="rId31" display="https://amp.vexpenses.com/settings/membros-de-equipe/895970" xr:uid="{BA5EE95F-4D0C-4CD8-888F-AC067654681B}"/>
    <hyperlink ref="B33" r:id="rId32" display="https://amp.vexpenses.com/settings/membros-de-equipe/895971" xr:uid="{C78A4ED2-73BB-41C3-BCAB-829AB0DD42D1}"/>
    <hyperlink ref="B34" r:id="rId33" display="https://amp.vexpenses.com/settings/membros-de-equipe/895972" xr:uid="{457A83DD-2C92-4F69-867B-799D50F2D232}"/>
    <hyperlink ref="B35" r:id="rId34" display="https://amp.vexpenses.com/settings/membros-de-equipe/895974" xr:uid="{F9A54379-A084-4553-9F73-F64AA7C501AF}"/>
    <hyperlink ref="B36" r:id="rId35" display="https://amp.vexpenses.com/settings/membros-de-equipe/929757" xr:uid="{17D99C8E-0E4D-4102-8C48-B4F9A3489120}"/>
    <hyperlink ref="B37" r:id="rId36" display="https://amp.vexpenses.com/settings/membros-de-equipe/895975" xr:uid="{0032A97A-5BC5-4C11-A48D-C4625325B8ED}"/>
    <hyperlink ref="B38" r:id="rId37" display="https://amp.vexpenses.com/settings/membros-de-equipe/895976" xr:uid="{697E85CA-A494-4A58-BCBD-9F8D5DBC8D5D}"/>
    <hyperlink ref="B39" r:id="rId38" display="https://amp.vexpenses.com/settings/membros-de-equipe/891979" xr:uid="{473DFD1F-99AE-4409-BEA4-6CC59711879F}"/>
    <hyperlink ref="B40" r:id="rId39" display="https://amp.vexpenses.com/settings/membros-de-equipe/895977" xr:uid="{58D533C8-9463-464E-A6FF-6F846A31D88C}"/>
    <hyperlink ref="B41" r:id="rId40" display="https://amp.vexpenses.com/settings/membros-de-equipe/895978" xr:uid="{AD02FEE0-DA7C-4E8C-91C8-A9596F48D340}"/>
    <hyperlink ref="B42" r:id="rId41" display="https://amp.vexpenses.com/settings/membros-de-equipe/934784" xr:uid="{6F15D69C-64D3-4503-8128-557D9E5CC8B2}"/>
    <hyperlink ref="B43" r:id="rId42" display="https://amp.vexpenses.com/settings/membros-de-equipe/917324" xr:uid="{AC474F46-C2CD-4676-B2B1-01D9DEC9A2D1}"/>
    <hyperlink ref="B44" r:id="rId43" display="https://amp.vexpenses.com/settings/membros-de-equipe/895981" xr:uid="{8894218C-1DA7-4DB9-A1BB-495145B3A6D2}"/>
    <hyperlink ref="B45" r:id="rId44" display="https://amp.vexpenses.com/settings/membros-de-equipe/895982" xr:uid="{4B20E749-CD94-472D-B430-9F234A389F5F}"/>
    <hyperlink ref="B46" r:id="rId45" display="https://amp.vexpenses.com/settings/membros-de-equipe/895983" xr:uid="{4142C0AF-7321-4892-851B-5146E3AF0C0B}"/>
    <hyperlink ref="B47" r:id="rId46" display="https://amp.vexpenses.com/settings/membros-de-equipe/895984" xr:uid="{C74CC4AB-1D28-4E54-BA4E-2E322321F00C}"/>
    <hyperlink ref="B48" r:id="rId47" display="https://amp.vexpenses.com/settings/membros-de-equipe/895985" xr:uid="{129BF54C-39F2-4A0B-99B5-760747114115}"/>
    <hyperlink ref="B49" r:id="rId48" display="https://amp.vexpenses.com/settings/membros-de-equipe/916889" xr:uid="{72E02E9B-D03C-4016-B7BB-814719825667}"/>
    <hyperlink ref="B50" r:id="rId49" display="https://amp.vexpenses.com/settings/membros-de-equipe/895986" xr:uid="{027D4B11-CF05-4A4B-A73A-77851B6E3185}"/>
    <hyperlink ref="B51" r:id="rId50" display="https://amp.vexpenses.com/settings/membros-de-equipe/891977" xr:uid="{6EF613AE-E20A-420B-91F4-D51D0980A9A8}"/>
    <hyperlink ref="B52" r:id="rId51" display="https://amp.vexpenses.com/settings/membros-de-equipe/895988" xr:uid="{3857269A-4CD3-4F06-BE50-D19241E2BA56}"/>
    <hyperlink ref="B53" r:id="rId52" display="https://amp.vexpenses.com/settings/membros-de-equipe/895989" xr:uid="{A5BDFB77-290B-4854-B784-0AA11C1E459E}"/>
    <hyperlink ref="B54" r:id="rId53" display="https://amp.vexpenses.com/settings/membros-de-equipe/895990" xr:uid="{824E921A-4501-48DA-8D4D-2D6146BDA8ED}"/>
    <hyperlink ref="B55" r:id="rId54" display="https://amp.vexpenses.com/settings/membros-de-equipe/895991" xr:uid="{25A73E1B-7F8B-473A-826A-1F7F313078D5}"/>
    <hyperlink ref="B56" r:id="rId55" display="https://amp.vexpenses.com/settings/membros-de-equipe/895992" xr:uid="{626BDC8E-C9CB-444B-A7F7-BEACE7B59683}"/>
    <hyperlink ref="B57" r:id="rId56" display="https://amp.vexpenses.com/settings/membros-de-equipe/895993" xr:uid="{D3A81DD0-BF9D-4595-9D79-B01017533AE7}"/>
    <hyperlink ref="B58" r:id="rId57" display="https://amp.vexpenses.com/settings/membros-de-equipe/895994" xr:uid="{2D9C17F1-DB95-449A-A28A-49DB64512AC2}"/>
    <hyperlink ref="B59" r:id="rId58" display="https://amp.vexpenses.com/settings/membros-de-equipe/920071" xr:uid="{C28C6F6B-BDA6-4EA4-8D86-1A4023727FA6}"/>
    <hyperlink ref="B60" r:id="rId59" display="https://amp.vexpenses.com/settings/membros-de-equipe/895996" xr:uid="{9B7CEBED-131E-4DB0-9EDB-606C0041A1B9}"/>
    <hyperlink ref="B61" r:id="rId60" display="https://amp.vexpenses.com/settings/membros-de-equipe/895997" xr:uid="{4CBEC936-3472-4E44-A7EA-C56FA9BC43B9}"/>
    <hyperlink ref="B62" r:id="rId61" display="https://amp.vexpenses.com/settings/membros-de-equipe/917085" xr:uid="{9F0ED6E6-B4C3-4299-AD15-42C5229D5442}"/>
    <hyperlink ref="B63" r:id="rId62" display="https://amp.vexpenses.com/settings/membros-de-equipe/895998" xr:uid="{962F0125-73A9-475A-8C9E-BB9C14DF9F8B}"/>
    <hyperlink ref="B64" r:id="rId63" display="https://amp.vexpenses.com/settings/membros-de-equipe/930416" xr:uid="{DCA455CC-0DE2-4A09-95D1-30201E8E12C6}"/>
    <hyperlink ref="B65" r:id="rId64" display="https://amp.vexpenses.com/settings/membros-de-equipe/895999" xr:uid="{0D09E6CA-A493-4846-A543-75CA0594B822}"/>
    <hyperlink ref="B66" r:id="rId65" display="https://amp.vexpenses.com/settings/membros-de-equipe/896000" xr:uid="{3CB1CFE2-D307-480F-9EC5-6E2790D091DA}"/>
    <hyperlink ref="B67" r:id="rId66" display="https://amp.vexpenses.com/settings/membros-de-equipe/896001" xr:uid="{FFD1CCF1-06EC-4918-965C-472F4E0647D7}"/>
    <hyperlink ref="B68" r:id="rId67" display="https://amp.vexpenses.com/settings/membros-de-equipe/896002" xr:uid="{ADB3A0ED-63AD-40A4-A77D-FF0E1CA5E79C}"/>
    <hyperlink ref="B69" r:id="rId68" display="https://amp.vexpenses.com/settings/membros-de-equipe/896003" xr:uid="{DAC74BD6-528D-4207-AA0E-0EF44BA417F6}"/>
    <hyperlink ref="B70" r:id="rId69" display="https://amp.vexpenses.com/settings/membros-de-equipe/896004" xr:uid="{AFCFB670-203C-42FB-A4D0-717300BF0207}"/>
    <hyperlink ref="B71" r:id="rId70" display="https://amp.vexpenses.com/settings/membros-de-equipe/896005" xr:uid="{887C1B04-122D-4467-819A-BD4A4523FB7A}"/>
    <hyperlink ref="B72" r:id="rId71" display="https://amp.vexpenses.com/settings/membros-de-equipe/896006" xr:uid="{6B5A8624-505C-407B-9892-D0F397C7CAAD}"/>
    <hyperlink ref="B73" r:id="rId72" display="https://amp.vexpenses.com/settings/membros-de-equipe/896007" xr:uid="{CF07C59D-9BD8-4A57-96EB-CCC02924F353}"/>
    <hyperlink ref="B74" r:id="rId73" display="https://amp.vexpenses.com/settings/membros-de-equipe/896008" xr:uid="{E2375938-ACD5-4E02-84BB-37C1BC1B26BF}"/>
    <hyperlink ref="B75" r:id="rId74" display="https://amp.vexpenses.com/settings/membros-de-equipe/896009" xr:uid="{411A3DDB-C0EE-43C4-9696-6542F5AFA49A}"/>
    <hyperlink ref="B76" r:id="rId75" display="https://amp.vexpenses.com/settings/membros-de-equipe/896011" xr:uid="{BF8E80C2-F271-4DAE-8409-A127A95E1FA0}"/>
    <hyperlink ref="B77" r:id="rId76" display="https://amp.vexpenses.com/settings/membros-de-equipe/896012" xr:uid="{EF88400F-58C9-4758-899F-BD65D0309534}"/>
    <hyperlink ref="B78" r:id="rId77" display="https://amp.vexpenses.com/settings/membros-de-equipe/896014" xr:uid="{06B96FA0-29CD-4CC7-B0DB-0DCA3E382258}"/>
    <hyperlink ref="B79" r:id="rId78" display="https://amp.vexpenses.com/settings/membros-de-equipe/896015" xr:uid="{A856E529-1A4C-439F-9DDC-8E83D23211FB}"/>
    <hyperlink ref="B80" r:id="rId79" display="https://amp.vexpenses.com/settings/membros-de-equipe/930924" xr:uid="{704A1DD5-A296-4819-A680-95D49D31BC8F}"/>
    <hyperlink ref="B81" r:id="rId80" display="https://amp.vexpenses.com/settings/membros-de-equipe/896017" xr:uid="{6A96B165-73AE-42D9-9A5F-0AC0BF3538EC}"/>
    <hyperlink ref="B82" r:id="rId81" display="https://amp.vexpenses.com/settings/membros-de-equipe/917342" xr:uid="{B6F8CC59-CD16-44B5-8E0F-072019C77C19}"/>
    <hyperlink ref="B83" r:id="rId82" display="https://amp.vexpenses.com/settings/membros-de-equipe/896018" xr:uid="{9FE1F8D2-F8B8-4B48-9D7F-2C5CD1E550DC}"/>
    <hyperlink ref="B84" r:id="rId83" display="https://amp.vexpenses.com/settings/membros-de-equipe/896019" xr:uid="{4578A306-2B25-4163-9B81-F71239A7B0BE}"/>
    <hyperlink ref="B85" r:id="rId84" display="https://amp.vexpenses.com/settings/membros-de-equipe/896020" xr:uid="{E9AC9DF6-A31B-42EC-9632-71D08CD7A5F7}"/>
    <hyperlink ref="B86" r:id="rId85" display="https://amp.vexpenses.com/settings/membros-de-equipe/896021" xr:uid="{4D8655E1-815A-4115-A740-98A0795F091E}"/>
    <hyperlink ref="B87" r:id="rId86" display="https://amp.vexpenses.com/settings/membros-de-equipe/915897" xr:uid="{CBAAA2CB-DE0D-47DA-A08F-F65B907D51E9}"/>
    <hyperlink ref="B88" r:id="rId87" display="https://amp.vexpenses.com/settings/membros-de-equipe/896023" xr:uid="{1E74AE16-E06B-4531-A6A7-AE05B5304507}"/>
    <hyperlink ref="B89" r:id="rId88" display="https://amp.vexpenses.com/settings/membros-de-equipe/896024" xr:uid="{2B914165-6A3A-4680-A7BC-1C9C8264D443}"/>
    <hyperlink ref="B90" r:id="rId89" display="https://amp.vexpenses.com/settings/membros-de-equipe/896025" xr:uid="{84D8CF64-D2AD-4229-B56D-7C77781A78D5}"/>
    <hyperlink ref="B91" r:id="rId90" display="https://amp.vexpenses.com/settings/membros-de-equipe/896026" xr:uid="{15001967-B22E-43A1-BF69-F2E7D06483BB}"/>
    <hyperlink ref="B92" r:id="rId91" display="https://amp.vexpenses.com/settings/membros-de-equipe/896027" xr:uid="{31AEE29B-3A7A-452E-9F63-04280AAD8D68}"/>
    <hyperlink ref="B93" r:id="rId92" display="https://amp.vexpenses.com/settings/membros-de-equipe/896028" xr:uid="{17A8A701-2C7E-4E55-B16F-9F3671BCE916}"/>
    <hyperlink ref="B94" r:id="rId93" display="https://amp.vexpenses.com/settings/membros-de-equipe/896029" xr:uid="{961E4969-7C81-4650-8B96-36E4C962A4DC}"/>
    <hyperlink ref="B95" r:id="rId94" display="https://amp.vexpenses.com/settings/membros-de-equipe/896030" xr:uid="{B629B7F8-9698-4FBA-959B-CADB2BEEEAE0}"/>
    <hyperlink ref="B96" r:id="rId95" display="https://amp.vexpenses.com/settings/membros-de-equipe/896031" xr:uid="{88271907-ED04-41D6-BDB7-E5F2F3020871}"/>
    <hyperlink ref="B97" r:id="rId96" display="https://amp.vexpenses.com/settings/membros-de-equipe/896032" xr:uid="{BBA4051E-989B-4D32-B1F6-4A2BAF3BB292}"/>
    <hyperlink ref="B98" r:id="rId97" display="https://amp.vexpenses.com/settings/membros-de-equipe/896033" xr:uid="{360FD1E3-ABDF-43EE-87F2-3F3275B670CF}"/>
    <hyperlink ref="B99" r:id="rId98" display="https://amp.vexpenses.com/settings/membros-de-equipe/930403" xr:uid="{681C702F-0624-416E-B0B2-20ED69902745}"/>
    <hyperlink ref="B100" r:id="rId99" display="https://amp.vexpenses.com/settings/membros-de-equipe/935041" xr:uid="{3FC000A9-13D6-42F3-9526-2135408E08BE}"/>
    <hyperlink ref="B101" r:id="rId100" display="https://amp.vexpenses.com/settings/membros-de-equipe/896034" xr:uid="{D02CB58B-396B-43A0-BD5A-1B7BFFCEC765}"/>
    <hyperlink ref="B102" r:id="rId101" display="https://amp.vexpenses.com/settings/membros-de-equipe/921947" xr:uid="{4275205F-1999-4AD9-AD51-034A084D9703}"/>
    <hyperlink ref="B103" r:id="rId102" display="https://amp.vexpenses.com/settings/membros-de-equipe/896035" xr:uid="{1794CB0B-E562-46DB-BE0C-60356831B436}"/>
    <hyperlink ref="B104" r:id="rId103" display="https://amp.vexpenses.com/settings/membros-de-equipe/896036" xr:uid="{729F8CCC-8F01-44DF-BADC-AA5393AA4AD3}"/>
    <hyperlink ref="B105" r:id="rId104" display="https://amp.vexpenses.com/settings/membros-de-equipe/890792" xr:uid="{D1A4290A-0D12-4E61-83C0-78AACB6AF8BA}"/>
    <hyperlink ref="B106" r:id="rId105" display="https://amp.vexpenses.com/settings/membros-de-equipe/919653" xr:uid="{AEDBBEA1-CEA2-48A5-9B7E-0E32F334C3A5}"/>
    <hyperlink ref="B107" r:id="rId106" display="https://amp.vexpenses.com/settings/membros-de-equipe/896037" xr:uid="{9BDEA1C6-03C9-4BB7-A9B8-E2D4626A2B6F}"/>
    <hyperlink ref="B108" r:id="rId107" display="https://amp.vexpenses.com/settings/membros-de-equipe/917376" xr:uid="{DBDDF636-CE63-472A-9077-948FA65542A8}"/>
    <hyperlink ref="B109" r:id="rId108" display="https://amp.vexpenses.com/settings/membros-de-equipe/930913" xr:uid="{B1534842-95FC-4B2A-B3A0-0BEDD860DA33}"/>
    <hyperlink ref="B110" r:id="rId109" display="https://amp.vexpenses.com/settings/membros-de-equipe/916919" xr:uid="{69FBBD29-36A1-4767-A552-CFC65C7E2F40}"/>
    <hyperlink ref="B111" r:id="rId110" display="https://amp.vexpenses.com/settings/membros-de-equipe/896040" xr:uid="{F1A9E189-333C-440B-8052-70625B346F42}"/>
    <hyperlink ref="B112" r:id="rId111" display="https://amp.vexpenses.com/settings/membros-de-equipe/923635" xr:uid="{5C476895-3D39-465D-BF40-73444CB34942}"/>
    <hyperlink ref="B113" r:id="rId112" display="https://amp.vexpenses.com/settings/membros-de-equipe/896419" xr:uid="{CFB7D97E-4EC2-413F-8657-AE86FB4ACE81}"/>
    <hyperlink ref="B114" r:id="rId113" display="https://amp.vexpenses.com/settings/membros-de-equipe/896041" xr:uid="{B500D20B-1F45-4553-9E5D-9B1BF76C7254}"/>
    <hyperlink ref="B115" r:id="rId114" display="https://amp.vexpenses.com/settings/membros-de-equipe/917060" xr:uid="{4238C154-D4DC-40B6-B3B7-4D4E62F97742}"/>
    <hyperlink ref="B116" r:id="rId115" display="https://amp.vexpenses.com/settings/membros-de-equipe/896043" xr:uid="{368302E2-BA3F-431B-B452-D496C88F9F20}"/>
    <hyperlink ref="B117" r:id="rId116" display="https://amp.vexpenses.com/settings/membros-de-equipe/896044" xr:uid="{84251418-B86E-4DF3-9B72-9D6724DBD9F7}"/>
    <hyperlink ref="B118" r:id="rId117" display="https://amp.vexpenses.com/settings/membros-de-equipe/917345" xr:uid="{9C4B945B-4FCF-4098-B1FA-E78009F825BA}"/>
    <hyperlink ref="B119" r:id="rId118" display="https://amp.vexpenses.com/settings/membros-de-equipe/896045" xr:uid="{FFC4E403-4B92-4D29-8672-C612CE2EFFF1}"/>
    <hyperlink ref="B120" r:id="rId119" display="https://amp.vexpenses.com/settings/membros-de-equipe/896046" xr:uid="{F8CBAE5A-37A1-440C-B3D1-02D0F3F80B8F}"/>
    <hyperlink ref="B121" r:id="rId120" display="https://amp.vexpenses.com/settings/membros-de-equipe/896047" xr:uid="{8EA7A56C-705B-4A7D-8E70-8DBBC5FE29B4}"/>
    <hyperlink ref="B122" r:id="rId121" display="https://amp.vexpenses.com/settings/membros-de-equipe/896048" xr:uid="{E578A050-A96E-40AB-8C84-3A987D55A822}"/>
    <hyperlink ref="B123" r:id="rId122" display="https://amp.vexpenses.com/settings/membros-de-equipe/896049" xr:uid="{3A83D895-424B-4EA9-8712-61296B03BC10}"/>
    <hyperlink ref="B124" r:id="rId123" display="https://amp.vexpenses.com/settings/membros-de-equipe/896050" xr:uid="{B9D96191-23C4-4CB2-A9DC-44A3540B4A31}"/>
    <hyperlink ref="B125" r:id="rId124" display="https://amp.vexpenses.com/settings/membros-de-equipe/896051" xr:uid="{C595F709-859A-401F-BC8C-C2F628F8FA4F}"/>
    <hyperlink ref="B126" r:id="rId125" display="https://amp.vexpenses.com/settings/membros-de-equipe/896052" xr:uid="{51C367A3-F191-4DB7-956F-4EC38D9DEF8D}"/>
    <hyperlink ref="B127" r:id="rId126" display="https://amp.vexpenses.com/settings/membros-de-equipe/896053" xr:uid="{211FAC36-39B8-4C39-BC1B-0E3737377F7C}"/>
    <hyperlink ref="B128" r:id="rId127" display="https://amp.vexpenses.com/settings/membros-de-equipe/896054" xr:uid="{1F39C4D8-2267-43FD-B6CA-602F3390A60B}"/>
    <hyperlink ref="B129" r:id="rId128" display="https://amp.vexpenses.com/settings/membros-de-equipe/896055" xr:uid="{F2C17E2D-2DF6-4AFD-B57F-66CF421092DB}"/>
    <hyperlink ref="B130" r:id="rId129" display="https://amp.vexpenses.com/settings/membros-de-equipe/896057" xr:uid="{43AF1CDF-2E85-4F6D-89E6-337814E7D5BE}"/>
    <hyperlink ref="B131" r:id="rId130" display="https://amp.vexpenses.com/settings/membros-de-equipe/896058" xr:uid="{9C555D4B-E646-415D-ADBA-5F8EF355FD87}"/>
    <hyperlink ref="B132" r:id="rId131" display="https://amp.vexpenses.com/settings/membros-de-equipe/896059" xr:uid="{FA07428D-B429-45B6-ACEC-D5870C618FA2}"/>
    <hyperlink ref="B133" r:id="rId132" display="https://amp.vexpenses.com/settings/membros-de-equipe/896060" xr:uid="{43127653-1E59-4299-B154-1B40A97EAF70}"/>
    <hyperlink ref="B134" r:id="rId133" display="https://amp.vexpenses.com/settings/membros-de-equipe/896061" xr:uid="{69142A0C-4030-4E96-8B9B-CFD09D2B08E7}"/>
    <hyperlink ref="B135" r:id="rId134" display="https://amp.vexpenses.com/settings/membros-de-equipe/896062" xr:uid="{B054120D-7D30-4D6B-84F4-BADBC1254414}"/>
    <hyperlink ref="B136" r:id="rId135" display="https://amp.vexpenses.com/settings/membros-de-equipe/927175" xr:uid="{51AFB4F0-2A86-4A1B-9A39-7588E649FDD1}"/>
    <hyperlink ref="B137" r:id="rId136" display="https://amp.vexpenses.com/settings/membros-de-equipe/896063" xr:uid="{68F3D8A7-9867-4CAE-8642-8E40361DDCE5}"/>
    <hyperlink ref="B138" r:id="rId137" display="https://amp.vexpenses.com/settings/membros-de-equipe/896064" xr:uid="{71781637-444C-4FED-90BD-5546934BCB23}"/>
    <hyperlink ref="B139" r:id="rId138" display="https://amp.vexpenses.com/settings/membros-de-equipe/920852" xr:uid="{5B6B483B-EC39-49EF-A282-CF8FB5337E09}"/>
    <hyperlink ref="B140" r:id="rId139" display="https://amp.vexpenses.com/settings/membros-de-equipe/896065" xr:uid="{A309444A-2244-480E-A2A9-8C117470177A}"/>
    <hyperlink ref="B141" r:id="rId140" display="https://amp.vexpenses.com/settings/membros-de-equipe/896066" xr:uid="{523F4701-34C8-43A1-A5CC-8868C93C6864}"/>
    <hyperlink ref="B142" r:id="rId141" display="https://amp.vexpenses.com/settings/membros-de-equipe/896067" xr:uid="{C733A9F9-043B-4471-9C04-0C34634F58AC}"/>
    <hyperlink ref="B143" r:id="rId142" display="https://amp.vexpenses.com/settings/membros-de-equipe/896068" xr:uid="{05F62FDE-1C5B-47C0-9ED5-F180DF4988AA}"/>
    <hyperlink ref="B144" r:id="rId143" display="https://amp.vexpenses.com/settings/membros-de-equipe/896069" xr:uid="{A1ABE54C-CA38-4982-AB26-656801A5AF93}"/>
    <hyperlink ref="B145" r:id="rId144" display="https://amp.vexpenses.com/settings/membros-de-equipe/930406" xr:uid="{CE4EF6A3-E8BA-465D-81BB-18B4A12AE939}"/>
    <hyperlink ref="B146" r:id="rId145" display="https://amp.vexpenses.com/settings/membros-de-equipe/896070" xr:uid="{77766DD4-EB80-44AE-B839-7E32B1B75FE1}"/>
    <hyperlink ref="B147" r:id="rId146" display="https://amp.vexpenses.com/settings/membros-de-equipe/896071" xr:uid="{AF7503D1-0402-4E85-979D-D99F05996F52}"/>
    <hyperlink ref="B148" r:id="rId147" display="https://amp.vexpenses.com/settings/membros-de-equipe/896072" xr:uid="{1EE00A86-4564-4AC8-BF64-5881D62D293C}"/>
    <hyperlink ref="B149" r:id="rId148" display="https://amp.vexpenses.com/settings/membros-de-equipe/896073" xr:uid="{D7767092-AC3B-4BC9-9739-79FA19278682}"/>
    <hyperlink ref="B150" r:id="rId149" display="https://amp.vexpenses.com/settings/membros-de-equipe/896074" xr:uid="{BE9A3EB0-6638-4E70-A80F-E40D3004E1C2}"/>
    <hyperlink ref="B151" r:id="rId150" display="https://amp.vexpenses.com/settings/membros-de-equipe/896075" xr:uid="{CC46CF6A-0861-4DB8-A594-9A9358C7B16E}"/>
    <hyperlink ref="B152" r:id="rId151" display="https://amp.vexpenses.com/settings/membros-de-equipe/915374" xr:uid="{E2F7DE87-19B0-4CCE-A0C6-2A3342511AAF}"/>
    <hyperlink ref="B153" r:id="rId152" display="https://amp.vexpenses.com/settings/membros-de-equipe/896076" xr:uid="{D0DD7D66-9C63-487B-945E-09FEA16AF20A}"/>
    <hyperlink ref="B154" r:id="rId153" display="https://amp.vexpenses.com/settings/membros-de-equipe/920845" xr:uid="{A58F6A82-ABB6-4457-B9AD-5E3B8AB7FB12}"/>
    <hyperlink ref="B155" r:id="rId154" display="https://amp.vexpenses.com/settings/membros-de-equipe/896077" xr:uid="{E90F219A-5CEB-4B63-AB37-3449B65EB7C0}"/>
    <hyperlink ref="B156" r:id="rId155" display="https://amp.vexpenses.com/settings/membros-de-equipe/946535" xr:uid="{A25B6B8E-C173-4860-A184-22E9F18983B4}"/>
    <hyperlink ref="B157" r:id="rId156" display="https://amp.vexpenses.com/settings/membros-de-equipe/896079" xr:uid="{3AB2B398-BFC8-4538-A20B-C052B6AFC139}"/>
    <hyperlink ref="B158" r:id="rId157" display="https://amp.vexpenses.com/settings/membros-de-equipe/922738" xr:uid="{22D75852-85FF-49BE-9F3D-A7B776D1CA92}"/>
    <hyperlink ref="B159" r:id="rId158" display="https://amp.vexpenses.com/settings/membros-de-equipe/896080" xr:uid="{C2E24B66-B952-40C8-BF5C-BD4F92ED9D29}"/>
    <hyperlink ref="B160" r:id="rId159" display="https://amp.vexpenses.com/settings/membros-de-equipe/896081" xr:uid="{090FC5FF-15FC-40D9-8EE1-82BC018180D8}"/>
    <hyperlink ref="B161" r:id="rId160" display="https://amp.vexpenses.com/settings/membros-de-equipe/923631" xr:uid="{F7B4F559-385B-487D-A372-B3E24553776A}"/>
    <hyperlink ref="B162" r:id="rId161" display="https://amp.vexpenses.com/settings/membros-de-equipe/920872" xr:uid="{66655339-8A64-4DA6-B1E0-EEDEEEB39227}"/>
    <hyperlink ref="B163" r:id="rId162" display="https://amp.vexpenses.com/settings/membros-de-equipe/896082" xr:uid="{DA9FE3B0-086D-4FF8-A2CC-F122255188B7}"/>
    <hyperlink ref="B164" r:id="rId163" display="https://amp.vexpenses.com/settings/membros-de-equipe/896083" xr:uid="{2C93AB9D-45B9-4A00-918D-206C36F6AFDC}"/>
    <hyperlink ref="B165" r:id="rId164" display="https://amp.vexpenses.com/settings/membros-de-equipe/930420" xr:uid="{6D9B3869-FDAA-4FC4-9636-E89D9014C95A}"/>
    <hyperlink ref="B166" r:id="rId165" display="https://amp.vexpenses.com/settings/membros-de-equipe/896084" xr:uid="{E8682A4E-D12B-4F0F-A3E9-8A994B9B993F}"/>
    <hyperlink ref="B167" r:id="rId166" display="https://amp.vexpenses.com/settings/membros-de-equipe/896085" xr:uid="{0557A6BF-963F-4EA7-B7D4-7D704B5EAF8A}"/>
    <hyperlink ref="B168" r:id="rId167" display="https://amp.vexpenses.com/settings/membros-de-equipe/896086" xr:uid="{19BBB96F-AC42-41D1-AE01-582B7A4381FE}"/>
    <hyperlink ref="B169" r:id="rId168" display="https://amp.vexpenses.com/settings/membros-de-equipe/946138" xr:uid="{92EACA77-E241-4007-9D58-3727D374AC25}"/>
    <hyperlink ref="B170" r:id="rId169" display="https://amp.vexpenses.com/settings/membros-de-equipe/896087" xr:uid="{FB86DC70-4495-4A5B-9879-A8C0A106B68C}"/>
    <hyperlink ref="B171" r:id="rId170" display="https://amp.vexpenses.com/settings/membros-de-equipe/896088" xr:uid="{1F155D6B-2E95-4181-A9D0-1EE96218E564}"/>
    <hyperlink ref="B172" r:id="rId171" display="https://amp.vexpenses.com/settings/membros-de-equipe/896089" xr:uid="{F7425377-D973-4F57-9182-7774B4FE9216}"/>
    <hyperlink ref="B173" r:id="rId172" display="https://amp.vexpenses.com/settings/membros-de-equipe/896090" xr:uid="{802F3475-873D-49AC-A226-BAFC0D10E497}"/>
    <hyperlink ref="B174" r:id="rId173" display="https://amp.vexpenses.com/settings/membros-de-equipe/896420" xr:uid="{D9DFAEAF-9A0D-4CED-B129-689D0F1DFDBB}"/>
    <hyperlink ref="B175" r:id="rId174" display="https://amp.vexpenses.com/settings/membros-de-equipe/944251" xr:uid="{E82B4A45-6217-48A4-9484-427C8246ED74}"/>
    <hyperlink ref="B176" r:id="rId175" display="https://amp.vexpenses.com/settings/membros-de-equipe/917078" xr:uid="{36670B5C-DD5A-4122-9039-F92A886F4714}"/>
    <hyperlink ref="B177" r:id="rId176" display="https://amp.vexpenses.com/settings/membros-de-equipe/896091" xr:uid="{8D6FC5B4-62D0-4B5F-97D1-875254C85ABD}"/>
    <hyperlink ref="B178" r:id="rId177" display="https://amp.vexpenses.com/settings/membros-de-equipe/896092" xr:uid="{2812A42B-88E0-4E9C-88D2-DA8451FAAE09}"/>
    <hyperlink ref="B179" r:id="rId178" display="https://amp.vexpenses.com/settings/membros-de-equipe/896093" xr:uid="{D1352394-4697-4338-82F8-F035A5D4764C}"/>
    <hyperlink ref="B180" r:id="rId179" display="https://amp.vexpenses.com/settings/membros-de-equipe/896094" xr:uid="{B63FA05B-E774-4590-A2EA-411549B9E829}"/>
    <hyperlink ref="B181" r:id="rId180" display="https://amp.vexpenses.com/settings/membros-de-equipe/896095" xr:uid="{19DD423D-68DE-4435-BDAC-653F76F01FB4}"/>
    <hyperlink ref="B182" r:id="rId181" display="https://amp.vexpenses.com/settings/membros-de-equipe/896096" xr:uid="{6EC5AA26-024C-4543-9474-DF91212921BA}"/>
    <hyperlink ref="B183" r:id="rId182" display="https://amp.vexpenses.com/settings/membros-de-equipe/940437" xr:uid="{9663B352-D043-4553-AB5B-61C5E1D5F87F}"/>
    <hyperlink ref="B184" r:id="rId183" display="https://amp.vexpenses.com/settings/membros-de-equipe/896099" xr:uid="{A183F39E-BEDE-4EC2-B6FB-FFAED615AD35}"/>
    <hyperlink ref="B185" r:id="rId184" display="https://amp.vexpenses.com/settings/membros-de-equipe/896101" xr:uid="{972C91C9-CA27-47A0-BE6B-C642CC803696}"/>
    <hyperlink ref="B186" r:id="rId185" display="https://amp.vexpenses.com/settings/membros-de-equipe/896102" xr:uid="{352F21D8-1D7C-4D2A-8FEB-1528EA7926EA}"/>
    <hyperlink ref="B187" r:id="rId186" display="https://amp.vexpenses.com/settings/membros-de-equipe/896103" xr:uid="{D483A796-BBC3-4E2F-A157-3A97947A97B9}"/>
    <hyperlink ref="B188" r:id="rId187" display="https://amp.vexpenses.com/settings/membros-de-equipe/896104" xr:uid="{87A8C388-696B-49AA-B573-F5F3DE7B57F6}"/>
    <hyperlink ref="B189" r:id="rId188" display="https://amp.vexpenses.com/settings/membros-de-equipe/896105" xr:uid="{A97CD943-6913-49B1-8D43-50214DA76304}"/>
    <hyperlink ref="B190" r:id="rId189" display="https://amp.vexpenses.com/settings/membros-de-equipe/896106" xr:uid="{D65172D8-B495-44DD-8E9C-CAB3DB542197}"/>
    <hyperlink ref="B191" r:id="rId190" display="https://amp.vexpenses.com/settings/membros-de-equipe/896107" xr:uid="{5C7EA1E5-EEFA-4CAA-BA72-30EE4982FF33}"/>
    <hyperlink ref="B192" r:id="rId191" display="https://amp.vexpenses.com/settings/membros-de-equipe/917075" xr:uid="{D6F4CEC3-8C30-4324-82DE-9CD7EB303BFC}"/>
    <hyperlink ref="B193" r:id="rId192" display="https://amp.vexpenses.com/settings/membros-de-equipe/896109" xr:uid="{66C97E27-D000-4AFB-BA27-E01EE1ED6713}"/>
    <hyperlink ref="B194" r:id="rId193" display="https://amp.vexpenses.com/settings/membros-de-equipe/917058" xr:uid="{992AB65E-28B2-4B9E-9770-AB76262FA733}"/>
    <hyperlink ref="B195" r:id="rId194" display="https://amp.vexpenses.com/settings/membros-de-equipe/896111" xr:uid="{8860555B-96C5-4FC9-93D6-E5F15B6F5BF9}"/>
    <hyperlink ref="B196" r:id="rId195" display="https://amp.vexpenses.com/settings/membros-de-equipe/927567" xr:uid="{E42A9403-1173-4E26-819A-D12983DB993C}"/>
    <hyperlink ref="B197" r:id="rId196" display="https://amp.vexpenses.com/settings/membros-de-equipe/896112" xr:uid="{4663790A-D47B-46B0-878D-ECCCB19E26A9}"/>
    <hyperlink ref="B198" r:id="rId197" display="https://amp.vexpenses.com/settings/membros-de-equipe/896113" xr:uid="{E2477E73-DF8E-42A0-BB9C-FCB73C72A711}"/>
    <hyperlink ref="B199" r:id="rId198" display="https://amp.vexpenses.com/settings/membros-de-equipe/930400" xr:uid="{EE219E73-F40B-400E-AB86-D8EB9E74C6F3}"/>
    <hyperlink ref="B200" r:id="rId199" display="https://amp.vexpenses.com/settings/membros-de-equipe/896115" xr:uid="{08639FDB-7A26-4273-9342-4CD9758B8B86}"/>
    <hyperlink ref="B201" r:id="rId200" display="https://amp.vexpenses.com/settings/membros-de-equipe/896116" xr:uid="{608946F7-7BF1-470B-9438-935E55074671}"/>
    <hyperlink ref="B202" r:id="rId201" display="https://amp.vexpenses.com/settings/membros-de-equipe/896117" xr:uid="{E3B6E31F-CFEF-455D-B8F6-DD26B46B64B7}"/>
    <hyperlink ref="B203" r:id="rId202" display="https://amp.vexpenses.com/settings/membros-de-equipe/896421" xr:uid="{1F9AA0B4-A496-419F-8DEB-00E59E05BC11}"/>
    <hyperlink ref="B204" r:id="rId203" display="https://amp.vexpenses.com/settings/membros-de-equipe/896118" xr:uid="{4B624D38-EB77-43DC-9CF7-25FF177E3400}"/>
    <hyperlink ref="B205" r:id="rId204" display="https://amp.vexpenses.com/settings/membros-de-equipe/896119" xr:uid="{FBE350E6-2475-44CD-A216-758B832FC708}"/>
    <hyperlink ref="B206" r:id="rId205" display="https://amp.vexpenses.com/settings/membros-de-equipe/929756" xr:uid="{799BE2C9-6C71-4745-892E-D1541916643E}"/>
    <hyperlink ref="B207" r:id="rId206" display="https://amp.vexpenses.com/settings/membros-de-equipe/896120" xr:uid="{89C5FBAB-4E83-433C-9D69-2DFFE7CF422F}"/>
    <hyperlink ref="B208" r:id="rId207" display="https://amp.vexpenses.com/settings/membros-de-equipe/896121" xr:uid="{5974EF01-1AA8-433A-8A7B-5EB348CF6804}"/>
    <hyperlink ref="B209" r:id="rId208" display="https://amp.vexpenses.com/settings/membros-de-equipe/916905" xr:uid="{C8795B4B-1520-4ADC-A3F4-10728D22572C}"/>
    <hyperlink ref="B210" r:id="rId209" display="https://amp.vexpenses.com/settings/membros-de-equipe/896122" xr:uid="{5687A05A-C4DC-47F1-A08E-2FBCAF20F0D8}"/>
    <hyperlink ref="B211" r:id="rId210" display="https://amp.vexpenses.com/settings/membros-de-equipe/929761" xr:uid="{EC3FA70A-F95D-437A-B00B-7D19D5DE78E1}"/>
    <hyperlink ref="B212" r:id="rId211" display="https://amp.vexpenses.com/settings/membros-de-equipe/896123" xr:uid="{AA2662C2-8426-484B-91F8-7F724D64897A}"/>
    <hyperlink ref="B213" r:id="rId212" display="https://amp.vexpenses.com/settings/membros-de-equipe/896124" xr:uid="{C8220C7B-C0FA-4CB1-B947-FA86D73AE64F}"/>
    <hyperlink ref="B214" r:id="rId213" display="https://amp.vexpenses.com/settings/membros-de-equipe/896125" xr:uid="{F80D1CE9-C199-4685-ABF6-8A59D41EE36C}"/>
    <hyperlink ref="B215" r:id="rId214" display="https://amp.vexpenses.com/settings/membros-de-equipe/916374" xr:uid="{B589357A-9A97-4F84-81FB-8B648ED1D136}"/>
    <hyperlink ref="B216" r:id="rId215" display="https://amp.vexpenses.com/settings/membros-de-equipe/896127" xr:uid="{F2C52072-84EA-4D46-BF22-F90167D44621}"/>
    <hyperlink ref="B217" r:id="rId216" display="https://amp.vexpenses.com/settings/membros-de-equipe/896128" xr:uid="{02D3C763-29D9-4C3D-B233-2152731E4715}"/>
    <hyperlink ref="B218" r:id="rId217" display="https://amp.vexpenses.com/settings/membros-de-equipe/896129" xr:uid="{6D89B945-272F-4B63-92D7-272831D25D15}"/>
    <hyperlink ref="B219" r:id="rId218" display="https://amp.vexpenses.com/settings/membros-de-equipe/896131" xr:uid="{F9C186E7-D67D-4F88-AA47-9A4598DB486D}"/>
    <hyperlink ref="B220" r:id="rId219" display="https://amp.vexpenses.com/settings/membros-de-equipe/896132" xr:uid="{CBA4CD7C-05A2-494F-9A07-C2860DDC8258}"/>
    <hyperlink ref="B221" r:id="rId220" display="https://amp.vexpenses.com/settings/membros-de-equipe/917353" xr:uid="{E8879D99-58DC-4B74-878A-85BE778581D9}"/>
    <hyperlink ref="B222" r:id="rId221" display="https://amp.vexpenses.com/settings/membros-de-equipe/896133" xr:uid="{2FC57D76-E462-47EA-BAA3-1B6F17C7AE1E}"/>
    <hyperlink ref="B223" r:id="rId222" display="https://amp.vexpenses.com/settings/membros-de-equipe/922784" xr:uid="{23670754-23E9-4DFA-BE0A-CBA131641906}"/>
    <hyperlink ref="B224" r:id="rId223" display="https://amp.vexpenses.com/settings/membros-de-equipe/916921" xr:uid="{67C107B3-82FC-474A-87E3-76E2C17E10EF}"/>
    <hyperlink ref="B225" r:id="rId224" display="https://amp.vexpenses.com/settings/membros-de-equipe/896135" xr:uid="{204A8B62-D7F4-4608-AB1B-8DBFED09AF6B}"/>
    <hyperlink ref="B226" r:id="rId225" display="https://amp.vexpenses.com/settings/membros-de-equipe/896136" xr:uid="{197C8FAB-428C-40BE-9D8E-A230C6343B8E}"/>
    <hyperlink ref="B227" r:id="rId226" display="https://amp.vexpenses.com/settings/membros-de-equipe/896137" xr:uid="{4E64DAD1-F021-44FA-B4A4-F8C07190F4D1}"/>
    <hyperlink ref="B228" r:id="rId227" display="https://amp.vexpenses.com/settings/membros-de-equipe/896138" xr:uid="{E1CD3B4E-1F0E-4F59-8F49-22398AEDDD91}"/>
    <hyperlink ref="B229" r:id="rId228" display="https://amp.vexpenses.com/settings/membros-de-equipe/896140" xr:uid="{8A520715-19C9-42CD-B2FB-21532DFB5226}"/>
    <hyperlink ref="B230" r:id="rId229" display="https://amp.vexpenses.com/settings/membros-de-equipe/896141" xr:uid="{9A785750-40CB-47AD-9E01-280A4D90491D}"/>
    <hyperlink ref="B231" r:id="rId230" display="https://amp.vexpenses.com/settings/membros-de-equipe/896142" xr:uid="{440B1F6A-71CA-4EB8-A856-BC415126855A}"/>
    <hyperlink ref="B232" r:id="rId231" display="https://amp.vexpenses.com/settings/membros-de-equipe/896143" xr:uid="{F357DF7D-BDAC-41DF-BFBE-2A3ECF059335}"/>
    <hyperlink ref="B233" r:id="rId232" display="https://amp.vexpenses.com/settings/membros-de-equipe/923893" xr:uid="{8B01B85A-1927-4994-BF9F-334DFF5F485C}"/>
    <hyperlink ref="B234" r:id="rId233" display="https://amp.vexpenses.com/settings/membros-de-equipe/896144" xr:uid="{A4053C7A-FEF7-4A10-BD61-44539171FF04}"/>
    <hyperlink ref="B235" r:id="rId234" display="https://amp.vexpenses.com/settings/membros-de-equipe/896145" xr:uid="{A835335B-CDFC-4E6C-BEA3-CA6462903370}"/>
    <hyperlink ref="B236" r:id="rId235" display="https://amp.vexpenses.com/settings/membros-de-equipe/896147" xr:uid="{64C6DB4F-F2FE-4A15-9E40-F93967E288EB}"/>
    <hyperlink ref="B237" r:id="rId236" display="https://amp.vexpenses.com/settings/membros-de-equipe/896148" xr:uid="{93B21686-E03D-43B6-B8BF-A9A094B47727}"/>
    <hyperlink ref="B238" r:id="rId237" display="https://amp.vexpenses.com/settings/membros-de-equipe/896149" xr:uid="{16FDD7FB-978F-46F8-9344-A22B36BA6702}"/>
    <hyperlink ref="B239" r:id="rId238" display="https://amp.vexpenses.com/settings/membros-de-equipe/896150" xr:uid="{97679BCF-AA66-49A2-A348-E92A3AA14458}"/>
    <hyperlink ref="B240" r:id="rId239" display="https://amp.vexpenses.com/settings/membros-de-equipe/923651" xr:uid="{B893F0E7-BB81-4B1F-8491-2C59A6227260}"/>
    <hyperlink ref="B241" r:id="rId240" display="https://amp.vexpenses.com/settings/membros-de-equipe/896151" xr:uid="{947758D1-7898-4260-95E5-B252E603EFA3}"/>
    <hyperlink ref="B242" r:id="rId241" display="https://amp.vexpenses.com/settings/membros-de-equipe/896152" xr:uid="{130B3DF1-8B0B-41C2-88D1-0B891F6E74B8}"/>
    <hyperlink ref="B243" r:id="rId242" display="https://amp.vexpenses.com/settings/membros-de-equipe/896153" xr:uid="{49F5771B-2D14-4C1F-AED3-5C0F05E57598}"/>
    <hyperlink ref="B244" r:id="rId243" display="https://amp.vexpenses.com/settings/membros-de-equipe/896154" xr:uid="{C7C470C0-CFE6-4161-B0CC-EC475FA81EAB}"/>
    <hyperlink ref="B245" r:id="rId244" display="https://amp.vexpenses.com/settings/membros-de-equipe/896156" xr:uid="{8A18653F-D0C3-4A3C-8CDC-10909C6C4A17}"/>
    <hyperlink ref="B246" r:id="rId245" display="https://amp.vexpenses.com/settings/membros-de-equipe/896157" xr:uid="{97B658EF-39A3-4563-A785-56229CDAD071}"/>
    <hyperlink ref="B247" r:id="rId246" display="https://amp.vexpenses.com/settings/membros-de-equipe/896158" xr:uid="{E74AD3F1-92DC-4448-A4CF-C36B320E942C}"/>
    <hyperlink ref="B248" r:id="rId247" display="https://amp.vexpenses.com/settings/membros-de-equipe/931414" xr:uid="{10093878-B2FD-4E6C-8481-D5F25AA4E51C}"/>
    <hyperlink ref="B249" r:id="rId248" display="https://amp.vexpenses.com/settings/membros-de-equipe/896159" xr:uid="{589F5173-3714-41B8-AB16-1328E29ED939}"/>
    <hyperlink ref="B250" r:id="rId249" display="https://amp.vexpenses.com/settings/membros-de-equipe/896160" xr:uid="{E8E671DE-11B5-45CD-920A-EBC36185746B}"/>
    <hyperlink ref="B251" r:id="rId250" display="https://amp.vexpenses.com/settings/membros-de-equipe/930413" xr:uid="{478B9975-C1C9-4CA5-A1A8-612440F1F5DC}"/>
    <hyperlink ref="B252" r:id="rId251" display="https://amp.vexpenses.com/settings/membros-de-equipe/896161" xr:uid="{85BF90CD-CA6B-4ECD-B763-118AE757AA11}"/>
    <hyperlink ref="B253" r:id="rId252" display="https://amp.vexpenses.com/settings/membros-de-equipe/896162" xr:uid="{159A9F30-7DF4-474F-B5A5-F64EC4AB6BA3}"/>
    <hyperlink ref="B254" r:id="rId253" display="https://amp.vexpenses.com/settings/membros-de-equipe/896163" xr:uid="{83E570E6-32F8-4986-BF37-7F94DB9EEC8D}"/>
    <hyperlink ref="B255" r:id="rId254" display="https://amp.vexpenses.com/settings/membros-de-equipe/916884" xr:uid="{3FBD5BAF-F8E6-4889-9B05-BD59BE4F64C5}"/>
    <hyperlink ref="B256" r:id="rId255" display="https://amp.vexpenses.com/settings/membros-de-equipe/896164" xr:uid="{2CE99B5B-6307-4C1C-8BC1-7DFAF19C6F45}"/>
    <hyperlink ref="B257" r:id="rId256" display="https://amp.vexpenses.com/settings/membros-de-equipe/896165" xr:uid="{D8C27BDE-D3F2-4E4A-BCFA-F309B50816A2}"/>
    <hyperlink ref="B258" r:id="rId257" display="https://amp.vexpenses.com/settings/membros-de-equipe/896166" xr:uid="{556DA912-6F75-4ECE-AD18-945BDAEF9600}"/>
    <hyperlink ref="B259" r:id="rId258" display="https://amp.vexpenses.com/settings/membros-de-equipe/921956" xr:uid="{19B2EC30-7C5B-40FE-B15D-3235065116FF}"/>
    <hyperlink ref="B260" r:id="rId259" display="https://amp.vexpenses.com/settings/membros-de-equipe/896168" xr:uid="{4A66699A-D18B-475C-9FD6-6C64D4DC7FDD}"/>
    <hyperlink ref="B261" r:id="rId260" display="https://amp.vexpenses.com/settings/membros-de-equipe/896170" xr:uid="{A0AFA2CD-9A4D-4AA6-909F-045F55D941D5}"/>
    <hyperlink ref="B262" r:id="rId261" display="https://amp.vexpenses.com/settings/membros-de-equipe/896171" xr:uid="{6E250D53-A2D3-4E8D-894A-CF0CFF0CE38E}"/>
    <hyperlink ref="B263" r:id="rId262" display="https://amp.vexpenses.com/settings/membros-de-equipe/896172" xr:uid="{F63C4375-A802-4664-B571-2F83ABEA1055}"/>
    <hyperlink ref="B264" r:id="rId263" display="https://amp.vexpenses.com/settings/membros-de-equipe/896173" xr:uid="{65884972-B6B8-4708-A96F-05870AF06CBB}"/>
    <hyperlink ref="B265" r:id="rId264" display="https://amp.vexpenses.com/settings/membros-de-equipe/896174" xr:uid="{6B2B58D2-F51B-4C5B-B13E-AD7728AC4F93}"/>
    <hyperlink ref="B266" r:id="rId265" display="https://amp.vexpenses.com/settings/membros-de-equipe/916893" xr:uid="{B2E8319C-8B21-4CD7-BEEE-7C1465DE8CD8}"/>
    <hyperlink ref="B267" r:id="rId266" display="https://amp.vexpenses.com/settings/membros-de-equipe/896175" xr:uid="{57258641-83B3-4BF7-A4B6-E2D4D2D64FEF}"/>
    <hyperlink ref="B268" r:id="rId267" display="https://amp.vexpenses.com/settings/membros-de-equipe/896176" xr:uid="{567817C5-2F51-48EE-86EE-D96402E05A96}"/>
    <hyperlink ref="B269" r:id="rId268" display="https://amp.vexpenses.com/settings/membros-de-equipe/896177" xr:uid="{26957553-D0A5-4EAA-A456-07BB129986C2}"/>
    <hyperlink ref="B270" r:id="rId269" display="https://amp.vexpenses.com/settings/membros-de-equipe/896178" xr:uid="{86224126-DC6E-4AB4-BBC2-C2643F486CA2}"/>
    <hyperlink ref="B271" r:id="rId270" display="https://amp.vexpenses.com/settings/membros-de-equipe/896179" xr:uid="{37597BF6-E70C-4A35-95EC-70BEA2EB43F8}"/>
    <hyperlink ref="B272" r:id="rId271" display="https://amp.vexpenses.com/settings/membros-de-equipe/896180" xr:uid="{2050E21E-6104-46E6-BB6F-67800A1ACC14}"/>
    <hyperlink ref="B273" r:id="rId272" display="https://amp.vexpenses.com/settings/membros-de-equipe/896181" xr:uid="{F0F322F0-B4D2-4C3B-B615-A9FDAA39ABE9}"/>
    <hyperlink ref="B274" r:id="rId273" display="https://amp.vexpenses.com/settings/membros-de-equipe/896182" xr:uid="{50D74F1D-9D8C-45F3-83A6-15D4577010DC}"/>
    <hyperlink ref="B275" r:id="rId274" display="https://amp.vexpenses.com/settings/membros-de-equipe/896183" xr:uid="{A7ABE1F3-B7FB-4A3E-A56D-6B7DE53DF636}"/>
    <hyperlink ref="B276" r:id="rId275" display="https://amp.vexpenses.com/settings/membros-de-equipe/896184" xr:uid="{31DB2B18-381D-4818-B53C-D710DEBCA97C}"/>
    <hyperlink ref="B277" r:id="rId276" display="https://amp.vexpenses.com/settings/membros-de-equipe/921535" xr:uid="{D37B6F75-8158-493B-BEE6-6D833652E6E6}"/>
    <hyperlink ref="B278" r:id="rId277" display="https://amp.vexpenses.com/settings/membros-de-equipe/896185" xr:uid="{F6C74D8E-6442-48D6-8878-8892C4E446E5}"/>
    <hyperlink ref="B279" r:id="rId278" display="https://amp.vexpenses.com/settings/membros-de-equipe/896186" xr:uid="{A6BD4891-A355-4B9D-BA85-4818575A663D}"/>
    <hyperlink ref="B280" r:id="rId279" display="https://amp.vexpenses.com/settings/membros-de-equipe/896187" xr:uid="{134490EF-1BCE-416E-A5B8-AC3A98D79696}"/>
    <hyperlink ref="B281" r:id="rId280" display="https://amp.vexpenses.com/settings/membros-de-equipe/896188" xr:uid="{B6878CF4-BFC4-4AE0-9EFE-E1560713DE29}"/>
    <hyperlink ref="B282" r:id="rId281" display="https://amp.vexpenses.com/settings/membros-de-equipe/896189" xr:uid="{CEC8C034-A2F8-4776-8A8E-CF9E03AC4616}"/>
    <hyperlink ref="B283" r:id="rId282" display="https://amp.vexpenses.com/settings/membros-de-equipe/896191" xr:uid="{28F979F3-472A-4099-92AB-E297F533D5A5}"/>
    <hyperlink ref="B284" r:id="rId283" display="https://amp.vexpenses.com/settings/membros-de-equipe/896192" xr:uid="{3F76D3E1-B1CA-40C7-A265-1DD96AF3606D}"/>
    <hyperlink ref="B285" r:id="rId284" display="https://amp.vexpenses.com/settings/membros-de-equipe/896193" xr:uid="{7936D102-B2FF-4175-9BB8-FD256C4528B3}"/>
    <hyperlink ref="B286" r:id="rId285" display="https://amp.vexpenses.com/settings/membros-de-equipe/896195" xr:uid="{31C9DF17-A789-4DCF-BF4C-01BA6568A5AC}"/>
    <hyperlink ref="B287" r:id="rId286" display="https://amp.vexpenses.com/settings/membros-de-equipe/896196" xr:uid="{4FB6E413-EADD-4C3E-8755-F73B80203B21}"/>
    <hyperlink ref="B288" r:id="rId287" display="https://amp.vexpenses.com/settings/membros-de-equipe/896197" xr:uid="{1140C043-91B7-43B1-B06D-74607041C891}"/>
    <hyperlink ref="B289" r:id="rId288" display="https://amp.vexpenses.com/settings/membros-de-equipe/896198" xr:uid="{22FC8D94-AEE8-47C5-8906-7118408A4530}"/>
    <hyperlink ref="B290" r:id="rId289" display="https://amp.vexpenses.com/settings/membros-de-equipe/896199" xr:uid="{94A41D72-0749-48E3-9BA0-558DCC0F0AA6}"/>
    <hyperlink ref="B291" r:id="rId290" display="https://amp.vexpenses.com/settings/membros-de-equipe/896200" xr:uid="{950BA4AD-936A-47E1-985D-C46DB1C0A9F9}"/>
    <hyperlink ref="B292" r:id="rId291" display="https://amp.vexpenses.com/settings/membros-de-equipe/896201" xr:uid="{EE80C645-B635-4DE4-81B0-50833A265D03}"/>
    <hyperlink ref="B293" r:id="rId292" display="https://amp.vexpenses.com/settings/membros-de-equipe/896202" xr:uid="{91280F98-18AB-4736-89F2-4EE3A3448096}"/>
    <hyperlink ref="B294" r:id="rId293" display="https://amp.vexpenses.com/settings/membros-de-equipe/896203" xr:uid="{0FA4CD31-5AE9-40F9-8964-04B067C62647}"/>
    <hyperlink ref="B295" r:id="rId294" display="https://amp.vexpenses.com/settings/membros-de-equipe/896204" xr:uid="{8966BE55-6B36-4BEF-9DE1-453D3A8629DE}"/>
    <hyperlink ref="B296" r:id="rId295" display="https://amp.vexpenses.com/settings/membros-de-equipe/896422" xr:uid="{862FD742-C65B-41A1-8C8C-64FC7ACC65A9}"/>
    <hyperlink ref="B297" r:id="rId296" display="https://amp.vexpenses.com/settings/membros-de-equipe/923628" xr:uid="{07E5EACB-F40A-4032-B8E1-A5CFD12B5809}"/>
    <hyperlink ref="B298" r:id="rId297" display="https://amp.vexpenses.com/settings/membros-de-equipe/896205" xr:uid="{54420C13-3CAB-4ADF-901A-464100ACC042}"/>
    <hyperlink ref="B299" r:id="rId298" display="https://amp.vexpenses.com/settings/membros-de-equipe/921952" xr:uid="{9A3D3623-5CD8-470C-A7C8-19B5DDDB9405}"/>
    <hyperlink ref="B300" r:id="rId299" display="https://amp.vexpenses.com/settings/membros-de-equipe/896206" xr:uid="{EEA440C2-1BF3-4104-AE09-E9B3FBC7C986}"/>
    <hyperlink ref="B301" r:id="rId300" display="https://amp.vexpenses.com/settings/membros-de-equipe/896207" xr:uid="{C48D6F80-B054-491E-9182-1DE5F9ABF500}"/>
    <hyperlink ref="B302" r:id="rId301" display="https://amp.vexpenses.com/settings/membros-de-equipe/916936" xr:uid="{A89AB5BB-564D-4842-97F0-CF4A3C883738}"/>
    <hyperlink ref="B303" r:id="rId302" display="https://amp.vexpenses.com/settings/membros-de-equipe/896208" xr:uid="{0EBA1BAF-60DE-4277-B6CC-2CD9119DB9F7}"/>
    <hyperlink ref="B304" r:id="rId303" display="https://amp.vexpenses.com/settings/membros-de-equipe/896209" xr:uid="{7262A57A-49BA-451E-B2A4-8D9B6BCCF8CD}"/>
    <hyperlink ref="B305" r:id="rId304" display="https://amp.vexpenses.com/settings/membros-de-equipe/896210" xr:uid="{4B8B76BC-F786-4ADF-AD5B-4DB5F8AFECAE}"/>
    <hyperlink ref="B306" r:id="rId305" display="https://amp.vexpenses.com/settings/membros-de-equipe/896211" xr:uid="{8873356D-A5F6-4578-9036-C2A60EB2EA47}"/>
    <hyperlink ref="B307" r:id="rId306" display="https://amp.vexpenses.com/settings/membros-de-equipe/922276" xr:uid="{21F5C6A4-70B1-4985-8F8C-189E6E8FCBF4}"/>
    <hyperlink ref="B308" r:id="rId307" display="https://amp.vexpenses.com/settings/membros-de-equipe/896212" xr:uid="{76089D19-72F7-427A-9392-5D3B6ED25F1A}"/>
    <hyperlink ref="B309" r:id="rId308" display="https://amp.vexpenses.com/settings/membros-de-equipe/896213" xr:uid="{59B514AB-6277-47E8-9829-197BF9464D3A}"/>
    <hyperlink ref="B310" r:id="rId309" display="https://amp.vexpenses.com/settings/membros-de-equipe/923302" xr:uid="{604E2F63-CA80-4A9C-939E-86778086CF69}"/>
    <hyperlink ref="B311" r:id="rId310" display="https://amp.vexpenses.com/settings/membros-de-equipe/896214" xr:uid="{6A4AD9A7-1865-40DD-88BC-8B4C91BCF361}"/>
    <hyperlink ref="B312" r:id="rId311" display="https://amp.vexpenses.com/settings/membros-de-equipe/917049" xr:uid="{E9FB945A-6C31-401E-B007-4D819A89EFE9}"/>
    <hyperlink ref="B313" r:id="rId312" display="https://amp.vexpenses.com/settings/membros-de-equipe/896215" xr:uid="{401477E7-0A51-4606-930E-2007CC65D0CF}"/>
    <hyperlink ref="B314" r:id="rId313" display="https://amp.vexpenses.com/settings/membros-de-equipe/896216" xr:uid="{26B37E1C-99CC-45B8-AD90-90482B95572C}"/>
    <hyperlink ref="B315" r:id="rId314" display="https://amp.vexpenses.com/settings/membros-de-equipe/896217" xr:uid="{AE1CC5BE-EFF2-4C83-9333-EEEBCE64EA7C}"/>
    <hyperlink ref="B316" r:id="rId315" display="https://amp.vexpenses.com/settings/membros-de-equipe/896218" xr:uid="{5CDCBC82-2E7D-4EF5-B694-CA0D993DEDFE}"/>
    <hyperlink ref="B317" r:id="rId316" display="https://amp.vexpenses.com/settings/membros-de-equipe/916906" xr:uid="{4E10FC2F-64EB-4DEA-A070-26441467F20D}"/>
    <hyperlink ref="B318" r:id="rId317" display="https://amp.vexpenses.com/settings/membros-de-equipe/917357" xr:uid="{F021395C-38A8-4E6A-8FB7-379D036B86A0}"/>
    <hyperlink ref="B319" r:id="rId318" display="https://amp.vexpenses.com/settings/membros-de-equipe/916930" xr:uid="{06DAAC3B-909E-4FB7-9CF8-28F7DEBDA49F}"/>
    <hyperlink ref="B320" r:id="rId319" display="https://amp.vexpenses.com/settings/membros-de-equipe/896219" xr:uid="{EE4D1953-C3A2-4143-8930-18E982EF7400}"/>
    <hyperlink ref="B321" r:id="rId320" display="https://amp.vexpenses.com/settings/membros-de-equipe/896220" xr:uid="{05F6C8DC-586B-4F23-B5C3-14FD03A44656}"/>
    <hyperlink ref="B322" r:id="rId321" display="https://amp.vexpenses.com/settings/membros-de-equipe/891904" xr:uid="{DD24F646-F567-40B3-A4FB-D0A918485BDB}"/>
    <hyperlink ref="B323" r:id="rId322" display="https://amp.vexpenses.com/settings/membros-de-equipe/940725" xr:uid="{40C527D7-049C-4E45-9EF6-4DC30C1CB459}"/>
    <hyperlink ref="B324" r:id="rId323" display="https://amp.vexpenses.com/settings/membros-de-equipe/896221" xr:uid="{B4E192D0-6229-4A15-9F38-E3F3959E88EA}"/>
    <hyperlink ref="B325" r:id="rId324" display="https://amp.vexpenses.com/settings/membros-de-equipe/923895" xr:uid="{0CEB1DEA-526B-4ED1-A06A-69B66461BB9C}"/>
    <hyperlink ref="B326" r:id="rId325" display="https://amp.vexpenses.com/settings/membros-de-equipe/896222" xr:uid="{0F963307-5F02-4BF8-9BB0-545C49713C81}"/>
    <hyperlink ref="B327" r:id="rId326" display="https://amp.vexpenses.com/settings/membros-de-equipe/896423" xr:uid="{8A8BCFB0-E7F5-416D-BF93-36D19EE28679}"/>
    <hyperlink ref="B328" r:id="rId327" display="https://amp.vexpenses.com/settings/membros-de-equipe/917361" xr:uid="{F81BFDAC-961F-45DB-9CB2-D1198A4F99D8}"/>
    <hyperlink ref="B329" r:id="rId328" display="https://amp.vexpenses.com/settings/membros-de-equipe/896223" xr:uid="{1FFBD240-E4E7-469A-A536-D6168C262177}"/>
    <hyperlink ref="B330" r:id="rId329" display="https://amp.vexpenses.com/settings/membros-de-equipe/896224" xr:uid="{004455B2-6904-4873-9493-D3B65E9CACE3}"/>
    <hyperlink ref="B331" r:id="rId330" display="https://amp.vexpenses.com/settings/membros-de-equipe/896225" xr:uid="{90FC5D86-7631-44A0-91E1-47604AF087C2}"/>
    <hyperlink ref="B332" r:id="rId331" display="https://amp.vexpenses.com/settings/membros-de-equipe/896226" xr:uid="{CA621BF3-EB0C-4568-8D83-0534B3DC7656}"/>
    <hyperlink ref="B333" r:id="rId332" display="https://amp.vexpenses.com/settings/membros-de-equipe/925993" xr:uid="{51E2C4D8-0490-4316-ADEB-F246B222AE67}"/>
    <hyperlink ref="B334" r:id="rId333" display="https://amp.vexpenses.com/settings/membros-de-equipe/896227" xr:uid="{FBC5C548-1B07-4BB0-9706-D062D29D4CC5}"/>
    <hyperlink ref="B335" r:id="rId334" display="https://amp.vexpenses.com/settings/membros-de-equipe/896228" xr:uid="{554BD697-AAEE-43B3-85BD-5AE1FAE895E7}"/>
    <hyperlink ref="B336" r:id="rId335" display="https://amp.vexpenses.com/settings/membros-de-equipe/896229" xr:uid="{187880BF-C889-45CA-941C-C0AB0D2C66D6}"/>
    <hyperlink ref="B337" r:id="rId336" display="https://amp.vexpenses.com/settings/membros-de-equipe/896230" xr:uid="{781DC739-F5F2-49E9-AEF3-0D255006D465}"/>
    <hyperlink ref="B338" r:id="rId337" display="https://amp.vexpenses.com/settings/membros-de-equipe/896231" xr:uid="{DD4947B9-57CF-49EE-A6AF-9711BD08316E}"/>
    <hyperlink ref="B339" r:id="rId338" display="https://amp.vexpenses.com/settings/membros-de-equipe/916932" xr:uid="{585033FD-6279-4512-A5BA-722A60407259}"/>
    <hyperlink ref="B340" r:id="rId339" display="https://amp.vexpenses.com/settings/membros-de-equipe/896232" xr:uid="{BA41AF62-040B-406D-B04A-A082EB433050}"/>
    <hyperlink ref="B341" r:id="rId340" display="https://amp.vexpenses.com/settings/membros-de-equipe/896233" xr:uid="{C2CEFD63-11A9-414E-8DE2-339247BE7975}"/>
    <hyperlink ref="B342" r:id="rId341" display="https://amp.vexpenses.com/settings/membros-de-equipe/896234" xr:uid="{0C8DE51E-A8D5-4983-9061-DC3456FC4131}"/>
    <hyperlink ref="B343" r:id="rId342" display="https://amp.vexpenses.com/settings/membros-de-equipe/896235" xr:uid="{4AAC7F97-59B0-49DA-B531-B1E751773BAC}"/>
    <hyperlink ref="B344" r:id="rId343" display="https://amp.vexpenses.com/settings/membros-de-equipe/896236" xr:uid="{A29FE3DD-9FBE-4661-A255-A7229A4A1C4A}"/>
    <hyperlink ref="B345" r:id="rId344" display="https://amp.vexpenses.com/settings/membros-de-equipe/896237" xr:uid="{CEC46FF8-2884-491F-99DA-5733D10D1D2E}"/>
    <hyperlink ref="B346" r:id="rId345" display="https://amp.vexpenses.com/settings/membros-de-equipe/916912" xr:uid="{35041403-823C-4A49-A98E-3EEB25D7050C}"/>
    <hyperlink ref="B347" r:id="rId346" display="https://amp.vexpenses.com/settings/membros-de-equipe/896238" xr:uid="{7D83D20D-7E52-47B2-9060-6A8BE03CCE76}"/>
    <hyperlink ref="B348" r:id="rId347" display="https://amp.vexpenses.com/settings/membros-de-equipe/896239" xr:uid="{9D718394-AEE0-47CE-BB98-4B30D75AA42A}"/>
    <hyperlink ref="B349" r:id="rId348" display="https://amp.vexpenses.com/settings/membros-de-equipe/896240" xr:uid="{7A209C1C-2B09-4DF7-8C22-01D48022B691}"/>
    <hyperlink ref="B350" r:id="rId349" display="https://amp.vexpenses.com/settings/membros-de-equipe/896241" xr:uid="{B4CC4195-4B1F-441B-821F-D79A2700060E}"/>
    <hyperlink ref="B351" r:id="rId350" display="https://amp.vexpenses.com/settings/membros-de-equipe/896242" xr:uid="{F14BA735-61D8-4673-BB75-E061A44550F4}"/>
    <hyperlink ref="B352" r:id="rId351" display="https://amp.vexpenses.com/settings/membros-de-equipe/896243" xr:uid="{23AFBAD3-A93B-4E6C-915F-498067B47476}"/>
    <hyperlink ref="B353" r:id="rId352" display="https://amp.vexpenses.com/settings/membros-de-equipe/933048" xr:uid="{524752FB-05F6-4B58-92C3-484E351C73C7}"/>
    <hyperlink ref="B354" r:id="rId353" display="https://amp.vexpenses.com/settings/membros-de-equipe/928767" xr:uid="{24E68933-B8CC-4B07-BC15-70AA21ED4FF4}"/>
    <hyperlink ref="B355" r:id="rId354" display="https://amp.vexpenses.com/settings/membros-de-equipe/917057" xr:uid="{E26453E0-5EB0-49BB-BE2F-67DAA4B52925}"/>
    <hyperlink ref="B356" r:id="rId355" display="https://amp.vexpenses.com/settings/membros-de-equipe/917365" xr:uid="{A032DA4E-7176-4297-9A9C-4614BF9F4926}"/>
    <hyperlink ref="B357" r:id="rId356" display="https://amp.vexpenses.com/settings/membros-de-equipe/896244" xr:uid="{2F692291-C463-4B5B-BA41-F5F3B6C7757B}"/>
    <hyperlink ref="B358" r:id="rId357" display="https://amp.vexpenses.com/settings/membros-de-equipe/935493" xr:uid="{0EA8E4F5-2AB3-41FF-8235-A8D8958427E1}"/>
    <hyperlink ref="B359" r:id="rId358" display="https://amp.vexpenses.com/settings/membros-de-equipe/896245" xr:uid="{F0C26094-39EE-4FC7-AA54-FA1D0DCCE01C}"/>
    <hyperlink ref="B360" r:id="rId359" display="https://amp.vexpenses.com/settings/membros-de-equipe/929759" xr:uid="{E703E753-4A4C-40C4-BBD8-E8D66720780B}"/>
    <hyperlink ref="B361" r:id="rId360" display="https://amp.vexpenses.com/settings/membros-de-equipe/896246" xr:uid="{EE21C5BD-64D9-4D6A-982E-DBD69850413A}"/>
    <hyperlink ref="B362" r:id="rId361" display="https://amp.vexpenses.com/settings/membros-de-equipe/896248" xr:uid="{AAB97E05-A38A-47DA-8730-7E784E167477}"/>
    <hyperlink ref="B363" r:id="rId362" display="https://amp.vexpenses.com/settings/membros-de-equipe/896249" xr:uid="{CE085C54-9DBC-48AC-9FD3-CB27B1CFFFB3}"/>
    <hyperlink ref="B364" r:id="rId363" display="https://amp.vexpenses.com/settings/membros-de-equipe/896250" xr:uid="{E37C3559-4934-497A-AD12-1405F4FF009E}"/>
    <hyperlink ref="B365" r:id="rId364" display="https://amp.vexpenses.com/settings/membros-de-equipe/913936" xr:uid="{C70BE7C0-8E53-440B-961A-82360368CA11}"/>
    <hyperlink ref="B366" r:id="rId365" display="https://amp.vexpenses.com/settings/membros-de-equipe/896251" xr:uid="{C4FCD34F-6181-4610-87AE-B2803979AC94}"/>
    <hyperlink ref="B367" r:id="rId366" display="https://amp.vexpenses.com/settings/membros-de-equipe/896425" xr:uid="{C888EAF3-0ACA-4AAB-B9F2-758D96B0B13A}"/>
    <hyperlink ref="B368" r:id="rId367" display="https://amp.vexpenses.com/settings/membros-de-equipe/896252" xr:uid="{9AEED808-CC28-464A-9550-39974F87D857}"/>
    <hyperlink ref="B369" r:id="rId368" display="https://amp.vexpenses.com/settings/membros-de-equipe/896253" xr:uid="{7931E12B-1541-48C8-9CA2-B0DD75287321}"/>
    <hyperlink ref="B370" r:id="rId369" display="https://amp.vexpenses.com/settings/membros-de-equipe/896254" xr:uid="{78F36AB3-EA52-4C83-A0E5-959F79593893}"/>
    <hyperlink ref="B371" r:id="rId370" display="https://amp.vexpenses.com/settings/membros-de-equipe/896333" xr:uid="{BC47C960-0614-4129-A5BF-A3541CAD10F0}"/>
    <hyperlink ref="B372" r:id="rId371" display="https://amp.vexpenses.com/settings/membros-de-equipe/896255" xr:uid="{D19170A6-75FE-4D3A-8385-499FFBE59D37}"/>
    <hyperlink ref="B373" r:id="rId372" display="https://amp.vexpenses.com/settings/membros-de-equipe/896256" xr:uid="{B4579AC3-FFE5-4A45-9AA4-D68C9CF79C0C}"/>
    <hyperlink ref="B374" r:id="rId373" display="https://amp.vexpenses.com/settings/membros-de-equipe/896257" xr:uid="{D9E4E3BA-E681-47B1-A344-68569CB1A358}"/>
    <hyperlink ref="B375" r:id="rId374" display="https://amp.vexpenses.com/settings/membros-de-equipe/896258" xr:uid="{3A71E99E-EAE3-49BB-AC4A-ADBC77F37518}"/>
    <hyperlink ref="B376" r:id="rId375" display="https://amp.vexpenses.com/settings/membros-de-equipe/896259" xr:uid="{6E142795-7682-46BC-91E5-F8B47228F97F}"/>
    <hyperlink ref="B377" r:id="rId376" display="https://amp.vexpenses.com/settings/membros-de-equipe/946419" xr:uid="{6C097B91-70F1-47CE-A9E5-89399911F2A2}"/>
    <hyperlink ref="B378" r:id="rId377" display="https://amp.vexpenses.com/settings/membros-de-equipe/891980" xr:uid="{73076100-87C8-4FBC-B841-55A1264F789A}"/>
    <hyperlink ref="B379" r:id="rId378" display="https://amp.vexpenses.com/settings/membros-de-equipe/896262" xr:uid="{057907DE-8657-4BF7-9830-73244E186932}"/>
    <hyperlink ref="B380" r:id="rId379" display="https://amp.vexpenses.com/settings/membros-de-equipe/896264" xr:uid="{AD2B6D00-8F33-4907-9F14-BF1C4BB60110}"/>
    <hyperlink ref="B381" r:id="rId380" display="https://amp.vexpenses.com/settings/membros-de-equipe/896265" xr:uid="{95591E9C-37AA-42DA-BEE8-5FAD0E194543}"/>
    <hyperlink ref="B382" r:id="rId381" display="https://amp.vexpenses.com/settings/membros-de-equipe/896266" xr:uid="{893211E3-933E-4AEF-87C5-47A0A68DCA50}"/>
    <hyperlink ref="B383" r:id="rId382" display="https://amp.vexpenses.com/settings/membros-de-equipe/924050" xr:uid="{E63B7825-F64F-4341-8827-C216677C834A}"/>
    <hyperlink ref="B384" r:id="rId383" display="https://amp.vexpenses.com/settings/membros-de-equipe/917363" xr:uid="{EB338CEE-F310-46E3-96DA-275CC57CC1E2}"/>
    <hyperlink ref="B385" r:id="rId384" display="https://amp.vexpenses.com/settings/membros-de-equipe/896267" xr:uid="{D5EC0003-6253-4C9C-93A3-B0B6ADD0E1D1}"/>
    <hyperlink ref="B386" r:id="rId385" display="https://amp.vexpenses.com/settings/membros-de-equipe/896269" xr:uid="{5E6DB204-B7DF-4E84-A60D-BD6B589DD8A7}"/>
    <hyperlink ref="B387" r:id="rId386" display="https://amp.vexpenses.com/settings/membros-de-equipe/896270" xr:uid="{28332ABA-5279-402A-BD9E-2E244CD1F719}"/>
    <hyperlink ref="B388" r:id="rId387" display="https://amp.vexpenses.com/settings/membros-de-equipe/943299" xr:uid="{4FAA7250-1902-4D56-8056-C55FABEF611A}"/>
    <hyperlink ref="B389" r:id="rId388" display="https://amp.vexpenses.com/settings/membros-de-equipe/896271" xr:uid="{767D2260-1056-4E0A-9825-7D83D12FFB9A}"/>
    <hyperlink ref="B390" r:id="rId389" display="https://amp.vexpenses.com/settings/membros-de-equipe/896272" xr:uid="{2E361F2D-3EB6-4B80-B642-DC1A1AD4034F}"/>
    <hyperlink ref="B391" r:id="rId390" display="https://amp.vexpenses.com/settings/membros-de-equipe/896273" xr:uid="{C882C2AA-391C-413E-9879-3FC91A3BEA81}"/>
    <hyperlink ref="B392" r:id="rId391" display="https://amp.vexpenses.com/settings/membros-de-equipe/896274" xr:uid="{B4D53AE5-EF98-477B-AD70-66E75C6C8A6B}"/>
    <hyperlink ref="B393" r:id="rId392" display="https://amp.vexpenses.com/settings/membros-de-equipe/896275" xr:uid="{81928641-9996-4250-B652-DDF956DD839D}"/>
    <hyperlink ref="B394" r:id="rId393" display="https://amp.vexpenses.com/settings/membros-de-equipe/896276" xr:uid="{4D72DFD6-DBDF-4D9F-9334-CF71BBD616A5}"/>
    <hyperlink ref="B395" r:id="rId394" display="https://amp.vexpenses.com/settings/membros-de-equipe/896277" xr:uid="{717ED6F9-52C1-49D1-9F16-D3074D2D82E2}"/>
    <hyperlink ref="B396" r:id="rId395" display="https://amp.vexpenses.com/settings/membros-de-equipe/896278" xr:uid="{58A90D51-6334-4E9D-BA1E-6F493FB35869}"/>
    <hyperlink ref="B397" r:id="rId396" display="https://amp.vexpenses.com/settings/membros-de-equipe/896279" xr:uid="{B3781DCE-F3C0-4B0E-BCFD-0DCA32B39299}"/>
    <hyperlink ref="B398" r:id="rId397" display="https://amp.vexpenses.com/settings/membros-de-equipe/896280" xr:uid="{F92F85F2-605F-4116-A3F6-9908BECF09B6}"/>
    <hyperlink ref="B399" r:id="rId398" display="https://amp.vexpenses.com/settings/membros-de-equipe/916915" xr:uid="{4CEFAAFD-9E59-484A-9472-6B4ACBB09617}"/>
    <hyperlink ref="B400" r:id="rId399" display="https://amp.vexpenses.com/settings/membros-de-equipe/896281" xr:uid="{F01461D6-1A1F-4EE8-A968-BAA2B92A4F0D}"/>
    <hyperlink ref="B401" r:id="rId400" display="https://amp.vexpenses.com/settings/membros-de-equipe/896282" xr:uid="{FCF532E2-A67E-42CE-B663-A186702EA05E}"/>
    <hyperlink ref="B402" r:id="rId401" display="https://amp.vexpenses.com/settings/membros-de-equipe/896283" xr:uid="{4A8F0DED-C32E-4069-BB7D-01FB43FD70F1}"/>
    <hyperlink ref="B403" r:id="rId402" display="https://amp.vexpenses.com/settings/membros-de-equipe/896284" xr:uid="{E5984532-8613-4B90-9E50-60326BE14778}"/>
    <hyperlink ref="B404" r:id="rId403" display="https://amp.vexpenses.com/settings/membros-de-equipe/896285" xr:uid="{4F2C076C-8797-4040-8B4D-BCEB2913A599}"/>
    <hyperlink ref="B405" r:id="rId404" display="https://amp.vexpenses.com/settings/membros-de-equipe/896286" xr:uid="{F66D7F20-82CD-4B77-89B8-4E68202C5B5D}"/>
    <hyperlink ref="B406" r:id="rId405" display="https://amp.vexpenses.com/settings/membros-de-equipe/921927" xr:uid="{88E3E66E-DF32-404A-8E30-0B9437CE3F46}"/>
    <hyperlink ref="B407" r:id="rId406" display="https://amp.vexpenses.com/settings/membros-de-equipe/896287" xr:uid="{E9369E93-067F-4A20-9652-A38E8B139BDB}"/>
    <hyperlink ref="B408" r:id="rId407" display="https://amp.vexpenses.com/settings/membros-de-equipe/896288" xr:uid="{0041CA7D-4743-48E7-A030-AFE3E76B04CB}"/>
    <hyperlink ref="B409" r:id="rId408" display="https://amp.vexpenses.com/settings/membros-de-equipe/896289" xr:uid="{D3FC7952-981B-4107-89CF-7E5280B28B3C}"/>
    <hyperlink ref="B410" r:id="rId409" display="https://amp.vexpenses.com/settings/membros-de-equipe/896290" xr:uid="{FBBECEA6-82DE-46B7-8CFD-0425894C3FF0}"/>
    <hyperlink ref="B411" r:id="rId410" display="https://amp.vexpenses.com/settings/membros-de-equipe/896291" xr:uid="{FFDF98F5-631A-475D-AFBF-69AE29714E3A}"/>
    <hyperlink ref="B412" r:id="rId411" display="https://amp.vexpenses.com/settings/membros-de-equipe/896292" xr:uid="{A02520CA-C661-4A22-937D-1D3D88739EF6}"/>
    <hyperlink ref="B413" r:id="rId412" display="https://amp.vexpenses.com/settings/membros-de-equipe/896293" xr:uid="{92F6FB8F-3F4E-408E-9008-DB512EC3B7E2}"/>
    <hyperlink ref="B414" r:id="rId413" display="https://amp.vexpenses.com/settings/membros-de-equipe/896294" xr:uid="{B7E04055-07A3-4532-A6A4-89D9FF206D59}"/>
    <hyperlink ref="B415" r:id="rId414" display="https://amp.vexpenses.com/settings/membros-de-equipe/896295" xr:uid="{664156C8-F8FC-46B9-8D1C-53680C81CFFA}"/>
    <hyperlink ref="B416" r:id="rId415" display="https://amp.vexpenses.com/settings/membros-de-equipe/920825" xr:uid="{7ED8CF47-FD93-4592-8EDD-E4DB261AF0A7}"/>
    <hyperlink ref="B417" r:id="rId416" display="https://amp.vexpenses.com/settings/membros-de-equipe/896296" xr:uid="{5CAF7812-7CF4-4FF1-BB81-3F2F80D487F3}"/>
    <hyperlink ref="B418" r:id="rId417" display="https://amp.vexpenses.com/settings/membros-de-equipe/896297" xr:uid="{BCF3B644-7BEF-46C6-B027-4E5CFF82FAB6}"/>
    <hyperlink ref="B419" r:id="rId418" display="https://amp.vexpenses.com/settings/membros-de-equipe/920083" xr:uid="{BDA05FCA-DA0F-402C-9CCF-0A5C77239BC8}"/>
    <hyperlink ref="B420" r:id="rId419" display="https://amp.vexpenses.com/settings/membros-de-equipe/896298" xr:uid="{BD85EF30-3785-4589-B53E-8C8828715E16}"/>
    <hyperlink ref="B421" r:id="rId420" display="https://amp.vexpenses.com/settings/membros-de-equipe/891978" xr:uid="{C685567F-7C74-484E-B723-957C56D9F2CC}"/>
    <hyperlink ref="B422" r:id="rId421" display="https://amp.vexpenses.com/settings/membros-de-equipe/918849" xr:uid="{3E67118E-E81F-4BE9-9183-5B6002DC95C1}"/>
    <hyperlink ref="B423" r:id="rId422" display="https://amp.vexpenses.com/settings/membros-de-equipe/896299" xr:uid="{AE2E8B1E-52EF-4EAB-BD1F-27FF10D74B75}"/>
    <hyperlink ref="B424" r:id="rId423" display="https://amp.vexpenses.com/settings/membros-de-equipe/896300" xr:uid="{47F14600-A610-4CE3-8AAD-209D3A51A46C}"/>
    <hyperlink ref="B425" r:id="rId424" display="https://amp.vexpenses.com/settings/membros-de-equipe/933590" xr:uid="{AB2C0A4B-65C9-4CB8-8269-981788BD4074}"/>
    <hyperlink ref="B426" r:id="rId425" display="https://amp.vexpenses.com/settings/membros-de-equipe/896301" xr:uid="{86715319-D8EF-4A60-92B8-224F1940995D}"/>
    <hyperlink ref="B427" r:id="rId426" display="https://amp.vexpenses.com/settings/membros-de-equipe/896302" xr:uid="{D11B423E-9985-4D8C-BDBD-030C8DA638C0}"/>
    <hyperlink ref="B428" r:id="rId427" display="https://amp.vexpenses.com/settings/membros-de-equipe/896303" xr:uid="{C09AB3F0-FD02-40B1-9ADB-BA9068409818}"/>
    <hyperlink ref="B429" r:id="rId428" display="https://amp.vexpenses.com/settings/membros-de-equipe/923649" xr:uid="{B6391916-DC8A-46D9-9E6B-FF8D7144FE72}"/>
    <hyperlink ref="B430" r:id="rId429" display="https://amp.vexpenses.com/settings/membros-de-equipe/896304" xr:uid="{B0C09870-1481-4B37-89AE-054236EF5732}"/>
    <hyperlink ref="B431" r:id="rId430" display="https://amp.vexpenses.com/settings/membros-de-equipe/921795" xr:uid="{C52CF0C8-847D-4EF4-A3A0-2FBDB9452824}"/>
    <hyperlink ref="B432" r:id="rId431" display="https://amp.vexpenses.com/settings/membros-de-equipe/896305" xr:uid="{9DD28E1A-BDD1-4DD9-89C7-D27FCD786A58}"/>
    <hyperlink ref="B433" r:id="rId432" display="https://amp.vexpenses.com/settings/membros-de-equipe/917065" xr:uid="{9434E9A7-B0F0-4DAF-9D6C-3DCCFCD68561}"/>
    <hyperlink ref="B434" r:id="rId433" display="https://amp.vexpenses.com/settings/membros-de-equipe/928994" xr:uid="{F0EC8779-4367-48F4-B80C-65279D2496EC}"/>
    <hyperlink ref="B435" r:id="rId434" display="https://amp.vexpenses.com/settings/membros-de-equipe/896306" xr:uid="{4E895D8C-1BB3-442E-AC3A-206643971952}"/>
    <hyperlink ref="B436" r:id="rId435" display="https://amp.vexpenses.com/settings/membros-de-equipe/896308" xr:uid="{6C8837C5-EF43-49A8-9230-C5D9F57506E2}"/>
    <hyperlink ref="B437" r:id="rId436" display="https://amp.vexpenses.com/settings/membros-de-equipe/896310" xr:uid="{8A6EB818-7837-4A7B-A49B-C5870A199CA0}"/>
    <hyperlink ref="B438" r:id="rId437" display="https://amp.vexpenses.com/settings/membros-de-equipe/896311" xr:uid="{E15878DC-82BF-493B-8298-34B32941F956}"/>
    <hyperlink ref="B439" r:id="rId438" display="https://amp.vexpenses.com/settings/membros-de-equipe/896312" xr:uid="{0692916B-5DA6-4B5F-AD12-303167FB7DAD}"/>
    <hyperlink ref="B440" r:id="rId439" display="https://amp.vexpenses.com/settings/membros-de-equipe/896313" xr:uid="{F7CA955B-159B-43D7-AB61-AF2A972954DF}"/>
    <hyperlink ref="B441" r:id="rId440" display="https://amp.vexpenses.com/settings/membros-de-equipe/896314" xr:uid="{464512D8-D048-4BB8-9366-CA072E7FADCB}"/>
    <hyperlink ref="B442" r:id="rId441" display="https://amp.vexpenses.com/settings/membros-de-equipe/917081" xr:uid="{B6E5E358-F13B-457B-9C0C-BDB4F67D21D6}"/>
    <hyperlink ref="B443" r:id="rId442" display="https://amp.vexpenses.com/settings/membros-de-equipe/896315" xr:uid="{56BA04CF-19D0-49E8-AFB8-0F3D6C5B6DD4}"/>
    <hyperlink ref="B444" r:id="rId443" display="https://amp.vexpenses.com/settings/membros-de-equipe/922275" xr:uid="{42928AAC-5864-42BF-BCA8-A7ACDB6B74F2}"/>
    <hyperlink ref="B445" r:id="rId444" display="https://amp.vexpenses.com/settings/membros-de-equipe/896316" xr:uid="{6527FCB0-3EDC-4E1B-9160-33576FFE2749}"/>
    <hyperlink ref="B446" r:id="rId445" display="https://amp.vexpenses.com/settings/membros-de-equipe/896317" xr:uid="{87C5D3E6-B387-4091-B665-8483588F1B8F}"/>
    <hyperlink ref="B447" r:id="rId446" display="https://amp.vexpenses.com/settings/membros-de-equipe/896318" xr:uid="{FDC79EC8-8573-405D-B529-09D7367CFC79}"/>
    <hyperlink ref="B448" r:id="rId447" display="https://amp.vexpenses.com/settings/membros-de-equipe/896319" xr:uid="{946C12F2-4C9F-4467-9265-CE691EAA809D}"/>
    <hyperlink ref="B449" r:id="rId448" display="https://amp.vexpenses.com/settings/membros-de-equipe/896321" xr:uid="{B58CF934-B6CF-41B6-A016-E32F86CC3FEB}"/>
    <hyperlink ref="B450" r:id="rId449" display="https://amp.vexpenses.com/settings/membros-de-equipe/896322" xr:uid="{2409FC23-2B7C-4AED-A2B1-F838D8F9B59D}"/>
    <hyperlink ref="B451" r:id="rId450" display="https://amp.vexpenses.com/settings/membros-de-equipe/930412" xr:uid="{E05E19DE-3B35-4937-BC7F-A733C9663C74}"/>
    <hyperlink ref="B452" r:id="rId451" display="https://amp.vexpenses.com/settings/membros-de-equipe/896273" xr:uid="{71BB1921-502C-49F2-AE0D-5A07C9BBD0B9}"/>
    <hyperlink ref="B453" r:id="rId452" display="https://amp.vexpenses.com/settings/membros-de-equipe/896332" xr:uid="{267C75AE-FECC-422D-A507-556AD1037146}"/>
    <hyperlink ref="B454" r:id="rId453" display="https://amp.vexpenses.com/settings/membros-de-equipe/896357" xr:uid="{6285868E-A976-4DAE-A1FC-6FAE3C73CDC7}"/>
    <hyperlink ref="B455" r:id="rId454" display="https://amp.vexpenses.com/settings/membros-de-equipe/896187" xr:uid="{7E5920F3-D262-4C4A-87A5-26F13F6AC136}"/>
    <hyperlink ref="B456" r:id="rId455" display="https://amp.vexpenses.com/settings/membros-de-equipe/896335" xr:uid="{8E208E42-B62F-478C-A19E-D2AF2AF2450B}"/>
    <hyperlink ref="B457" r:id="rId456" display="https://amp.vexpenses.com/settings/membros-de-equipe/928097" xr:uid="{29124451-C6A9-43BF-B9C0-2C597B5DF7CA}"/>
    <hyperlink ref="B458" r:id="rId457" display="https://amp.vexpenses.com/settings/membros-de-equipe/896336" xr:uid="{C2B9941A-4E9B-4475-87CA-25EF44C67427}"/>
    <hyperlink ref="B459" r:id="rId458" display="https://amp.vexpenses.com/settings/membros-de-equipe/921961" xr:uid="{DEB4AD77-17B6-4DD4-82D7-F532C6B8BC1A}"/>
    <hyperlink ref="B460" r:id="rId459" display="https://amp.vexpenses.com/settings/membros-de-equipe/917059" xr:uid="{4BAE2DFE-7957-445D-887D-2E337132601B}"/>
    <hyperlink ref="B461" r:id="rId460" display="https://amp.vexpenses.com/settings/membros-de-equipe/896205" xr:uid="{A46DBB92-1A00-4574-87E1-678C7986724D}"/>
    <hyperlink ref="B462" r:id="rId461" display="https://amp.vexpenses.com/settings/membros-de-equipe/896338" xr:uid="{93C1CF5F-FB76-47D5-A443-BE690D85AE09}"/>
    <hyperlink ref="B463" r:id="rId462" display="https://amp.vexpenses.com/settings/membros-de-equipe/917364" xr:uid="{D86B0C32-6EB6-49FE-9C3E-C1834E462E50}"/>
    <hyperlink ref="B464" r:id="rId463" display="https://amp.vexpenses.com/settings/membros-de-equipe/896339" xr:uid="{C0C53984-C106-4DF5-9AEC-166407769AD6}"/>
    <hyperlink ref="B465" r:id="rId464" display="https://amp.vexpenses.com/settings/membros-de-equipe/896342" xr:uid="{F7FB1D72-6CEF-4711-8BF0-79310D14B53F}"/>
    <hyperlink ref="B466" r:id="rId465" display="https://amp.vexpenses.com/settings/membros-de-equipe/896343" xr:uid="{A2B346A1-4954-4C19-BD41-AA37DCCCEB5F}"/>
    <hyperlink ref="B467" r:id="rId466" display="https://amp.vexpenses.com/settings/membros-de-equipe/896344" xr:uid="{4C6DEAC0-035A-40F3-8285-0AAFDEE2761C}"/>
    <hyperlink ref="B468" r:id="rId467" display="https://amp.vexpenses.com/settings/membros-de-equipe/896255" xr:uid="{CDA5218C-4340-4FB3-9545-3932CF58158D}"/>
    <hyperlink ref="B469" r:id="rId468" display="https://amp.vexpenses.com/settings/membros-de-equipe/896257" xr:uid="{0DD53DFB-D523-4087-A2E5-B9B5D331810A}"/>
    <hyperlink ref="B470" r:id="rId469" display="https://amp.vexpenses.com/settings/membros-de-equipe/896346" xr:uid="{4DBB413E-CDF3-4546-900F-D9D16DD02CB4}"/>
    <hyperlink ref="B471" r:id="rId470" display="https://amp.vexpenses.com/settings/membros-de-equipe/896347" xr:uid="{71818111-8FAF-495D-B3EC-6122F7E925FF}"/>
    <hyperlink ref="B472" r:id="rId471" display="https://amp.vexpenses.com/settings/membros-de-equipe/896348" xr:uid="{D1F99BF9-3EBD-4BEB-8E60-2EFD5F54D0E4}"/>
    <hyperlink ref="B473" r:id="rId472" display="https://amp.vexpenses.com/settings/membros-de-equipe/896349" xr:uid="{D56D431B-3839-49C1-A5C5-949D91B29B1E}"/>
    <hyperlink ref="B474" r:id="rId473" display="https://amp.vexpenses.com/settings/membros-de-equipe/896350" xr:uid="{F370D719-F1CE-45CC-A092-B69F8515C6C6}"/>
    <hyperlink ref="B475" r:id="rId474" display="https://amp.vexpenses.com/settings/membros-de-equipe/923635" xr:uid="{6CF4B1ED-63C8-4A5F-9295-782DB9A20739}"/>
    <hyperlink ref="B476" r:id="rId475" display="https://amp.vexpenses.com/settings/membros-de-equipe/896352" xr:uid="{EF13DDC8-E4A7-471E-8A78-0E4E07F3D560}"/>
    <hyperlink ref="B477" r:id="rId476" display="https://amp.vexpenses.com/settings/membros-de-equipe/896351" xr:uid="{5F1FED61-216F-44E5-8E96-BDCA24E0A947}"/>
    <hyperlink ref="B478" r:id="rId477" display="https://amp.vexpenses.com/settings/membros-de-equipe/896217" xr:uid="{8FC0108D-571A-4918-8535-AB9802A0DD2F}"/>
    <hyperlink ref="B479" r:id="rId478" display="https://amp.vexpenses.com/settings/membros-de-equipe/896073" xr:uid="{768BFFB2-BB8F-415B-BC09-D41667CA92F0}"/>
    <hyperlink ref="B480" r:id="rId479" display="https://amp.vexpenses.com/settings/membros-de-equipe/896034" xr:uid="{F66B19D6-D8DC-4C15-97C0-7EC907255AAA}"/>
    <hyperlink ref="B481" r:id="rId480" display="https://amp.vexpenses.com/settings/membros-de-equipe/896068" xr:uid="{DBE40CB0-A8A3-49A1-80DF-7551E9961A76}"/>
    <hyperlink ref="B482" r:id="rId481" display="https://amp.vexpenses.com/settings/membros-de-equipe/896394" xr:uid="{C6D3650C-8C94-4619-B466-D2179A5E6108}"/>
    <hyperlink ref="B483" r:id="rId482" display="https://amp.vexpenses.com/settings/membros-de-equipe/918849" xr:uid="{CAB91C1F-FBFA-45F0-AB78-E8CE4443088A}"/>
    <hyperlink ref="B484" r:id="rId483" display="https://amp.vexpenses.com/settings/membros-de-equipe/920862" xr:uid="{E6CD313C-52C5-4ABE-9CB5-F93B9A699C7B}"/>
    <hyperlink ref="B485" r:id="rId484" display="https://amp.vexpenses.com/settings/membros-de-equipe/896355" xr:uid="{8460661A-EE8F-498C-9136-5260D3FA7572}"/>
    <hyperlink ref="B486" r:id="rId485" display="https://amp.vexpenses.com/settings/membros-de-equipe/896356" xr:uid="{005E6D82-D8F6-4AB6-8240-3FCBB2B59F08}"/>
    <hyperlink ref="B487" r:id="rId486" display="https://amp.vexpenses.com/settings/membros-de-equipe/896354" xr:uid="{4659627E-AFC6-4675-B148-4914D7DB78BB}"/>
    <hyperlink ref="B488" r:id="rId487" display="https://amp.vexpenses.com/settings/membros-de-equipe/896397" xr:uid="{6EE95572-B312-4DAD-A6F0-A38933FDD0DE}"/>
    <hyperlink ref="B489" r:id="rId488" display="https://amp.vexpenses.com/settings/membros-de-equipe/896358" xr:uid="{CB97C46D-B3B9-414F-9B82-5EECA86B9404}"/>
    <hyperlink ref="B490" r:id="rId489" display="https://amp.vexpenses.com/settings/membros-de-equipe/896286" xr:uid="{8830C260-2E91-4AB1-BC9A-0885B91C6BAF}"/>
    <hyperlink ref="B491" r:id="rId490" display="https://amp.vexpenses.com/settings/membros-de-equipe/930440" xr:uid="{10AB998B-E33E-48FA-B4E3-B1E9C06E56F3}"/>
    <hyperlink ref="B492" r:id="rId491" display="https://amp.vexpenses.com/settings/membros-de-equipe/920855" xr:uid="{367E8595-4AF8-48CF-810F-51B8F68F70B8}"/>
    <hyperlink ref="B493" r:id="rId492" display="https://amp.vexpenses.com/settings/membros-de-equipe/896360" xr:uid="{D5F30EE8-2F0D-4C65-9645-DB43EACC31F0}"/>
    <hyperlink ref="B494" r:id="rId493" display="https://amp.vexpenses.com/settings/membros-de-equipe/896363" xr:uid="{0A224591-4333-49AC-B07C-779B51D58BE0}"/>
    <hyperlink ref="B495" r:id="rId494" display="https://amp.vexpenses.com/settings/membros-de-equipe/896364" xr:uid="{2CE86D56-FCC1-4052-AE7B-ECC1127484C5}"/>
    <hyperlink ref="B496" r:id="rId495" display="https://amp.vexpenses.com/settings/membros-de-equipe/896359" xr:uid="{D9BD5E4C-64EC-4A31-B51B-0A913D51BBE8}"/>
    <hyperlink ref="B497" r:id="rId496" display="https://amp.vexpenses.com/settings/membros-de-equipe/896298" xr:uid="{7DDED877-8C20-4758-8E33-C15231EBFF7A}"/>
    <hyperlink ref="B498" r:id="rId497" display="https://amp.vexpenses.com/settings/membros-de-equipe/896362" xr:uid="{3360F9B7-3F3D-41B6-92BD-EBDDB83CF3FB}"/>
    <hyperlink ref="B499" r:id="rId498" display="https://amp.vexpenses.com/settings/membros-de-equipe/896365" xr:uid="{6F4F131D-57F5-4815-93D2-CBF8526A63D6}"/>
    <hyperlink ref="B500" r:id="rId499" display="https://amp.vexpenses.com/settings/membros-de-equipe/917052" xr:uid="{4C394510-A7D6-4E75-9532-18F34501BD7E}"/>
    <hyperlink ref="B501" r:id="rId500" display="https://amp.vexpenses.com/settings/membros-de-equipe/895985" xr:uid="{7B34124E-0E6D-4967-89FB-0C7BFCF46194}"/>
    <hyperlink ref="B502" r:id="rId501" display="https://amp.vexpenses.com/settings/membros-de-equipe/896369" xr:uid="{289E35C1-59D2-402E-9953-311D01EA8BA0}"/>
    <hyperlink ref="B503" r:id="rId502" display="https://amp.vexpenses.com/settings/membros-de-equipe/922852" xr:uid="{00A48638-54DA-44A9-B63A-92221CADE5B5}"/>
    <hyperlink ref="B504" r:id="rId503" display="https://amp.vexpenses.com/settings/membros-de-equipe/931255" xr:uid="{D26EBDB6-2D99-458F-82C9-555C0C6B159D}"/>
    <hyperlink ref="B505" r:id="rId504" display="https://amp.vexpenses.com/settings/membros-de-equipe/896373" xr:uid="{B25AE219-1EE0-4F11-9600-D6898C169E2E}"/>
    <hyperlink ref="B506" r:id="rId505" display="https://amp.vexpenses.com/settings/membros-de-equipe/896196" xr:uid="{9347A1A2-3438-460B-9379-89888B2C0B07}"/>
    <hyperlink ref="B507" r:id="rId506" display="https://amp.vexpenses.com/settings/membros-de-equipe/896366" xr:uid="{67E7B2A9-0CB1-49F4-833D-C56B25210895}"/>
    <hyperlink ref="B508" r:id="rId507" display="https://amp.vexpenses.com/settings/membros-de-equipe/896376" xr:uid="{9AD5D694-8641-4688-9E4E-0D756D5F23AE}"/>
    <hyperlink ref="B509" r:id="rId508" display="https://amp.vexpenses.com/settings/membros-de-equipe/896424" xr:uid="{CBE5DD7F-3B89-4253-8273-9E5717418414}"/>
    <hyperlink ref="B510" r:id="rId509" display="https://amp.vexpenses.com/settings/membros-de-equipe/917368" xr:uid="{99517F10-8E8D-4FC6-82B6-E5FB684173C5}"/>
    <hyperlink ref="B511" r:id="rId510" display="https://amp.vexpenses.com/settings/membros-de-equipe/896377" xr:uid="{DF156ADB-A2CC-42D8-AF11-0DE6C08DDF16}"/>
    <hyperlink ref="B512" r:id="rId511" display="https://amp.vexpenses.com/settings/membros-de-equipe/896378" xr:uid="{8895E2FF-6840-49A1-B2D9-D80B176807D8}"/>
    <hyperlink ref="B513" r:id="rId512" display="https://amp.vexpenses.com/settings/membros-de-equipe/896379" xr:uid="{837B4588-CF44-47D1-8E45-BE16FA248F1F}"/>
    <hyperlink ref="B514" r:id="rId513" display="https://amp.vexpenses.com/settings/membros-de-equipe/896380" xr:uid="{CAF0BCE8-54BA-4967-90C9-7733D39A04B5}"/>
    <hyperlink ref="B515" r:id="rId514" display="https://amp.vexpenses.com/settings/membros-de-equipe/923842" xr:uid="{EB8C96C4-B92E-4B1F-BC18-3A19D781B973}"/>
    <hyperlink ref="B516" r:id="rId515" display="https://amp.vexpenses.com/settings/membros-de-equipe/896383" xr:uid="{0B202FB4-BA39-4ADF-A5F7-6C6B68A3843B}"/>
    <hyperlink ref="B517" r:id="rId516" display="https://amp.vexpenses.com/settings/membros-de-equipe/896381" xr:uid="{A01F123E-B28F-4AB2-BDBE-A7F845F51EA4}"/>
    <hyperlink ref="B518" r:id="rId517" display="https://amp.vexpenses.com/settings/membros-de-equipe/896384" xr:uid="{9CD4918C-8C27-4C8A-9BD3-C9830FA9DF2F}"/>
    <hyperlink ref="B519" r:id="rId518" display="https://amp.vexpenses.com/settings/membros-de-equipe/896385" xr:uid="{94B24CF2-6342-41FF-902B-D5B3F70E4A1B}"/>
    <hyperlink ref="B520" r:id="rId519" display="https://amp.vexpenses.com/settings/membros-de-equipe/896386" xr:uid="{D02EBAD8-CD75-4A82-9F04-48E68CFB2C9F}"/>
    <hyperlink ref="B521" r:id="rId520" display="https://amp.vexpenses.com/settings/membros-de-equipe/896388" xr:uid="{65B08196-8343-45D8-B807-B0DC42EA3C93}"/>
    <hyperlink ref="B522" r:id="rId521" display="https://amp.vexpenses.com/settings/membros-de-equipe/896387" xr:uid="{7CCDF142-4182-4469-9F81-F7CB81ACEC11}"/>
    <hyperlink ref="B523" r:id="rId522" display="https://amp.vexpenses.com/settings/membros-de-equipe/896390" xr:uid="{02FC9A6E-10FF-4940-A16E-D817CA9C0725}"/>
    <hyperlink ref="B524" r:id="rId523" display="https://amp.vexpenses.com/settings/membros-de-equipe/896391" xr:uid="{6501332E-37B5-4759-BBAA-A376A0460254}"/>
    <hyperlink ref="B525" r:id="rId524" display="https://amp.vexpenses.com/settings/membros-de-equipe/896392" xr:uid="{AECF12E8-A902-4717-A02D-9C3CC36A3178}"/>
    <hyperlink ref="B526" r:id="rId525" display="https://amp.vexpenses.com/settings/membros-de-equipe/916366" xr:uid="{C8645CA0-6F35-4862-B8F0-33F98254E5A4}"/>
    <hyperlink ref="B527" r:id="rId526" display="https://amp.vexpenses.com/settings/membros-de-equipe/896393" xr:uid="{33F511B7-8515-466B-841C-692EABB8C59E}"/>
    <hyperlink ref="B528" r:id="rId527" display="https://amp.vexpenses.com/settings/membros-de-equipe/896395" xr:uid="{80D6F589-92BA-49B5-8319-5DF0A1DB4B75}"/>
    <hyperlink ref="B529" r:id="rId528" display="https://amp.vexpenses.com/settings/membros-de-equipe/921921" xr:uid="{CEC78FA9-7D5A-4A49-834E-838C0397258F}"/>
    <hyperlink ref="B530" r:id="rId529" display="https://amp.vexpenses.com/settings/membros-de-equipe/916897" xr:uid="{DC84EB99-CAB3-4D4B-833A-6BAAD968B201}"/>
    <hyperlink ref="B531" r:id="rId530" display="https://amp.vexpenses.com/settings/membros-de-equipe/896168" xr:uid="{1A46741B-CBDB-4216-8EEE-41B9DE29C03A}"/>
    <hyperlink ref="B532" r:id="rId531" display="https://amp.vexpenses.com/settings/membros-de-equipe/896189" xr:uid="{684FFEC6-DF19-4D71-AC65-31E00C845782}"/>
    <hyperlink ref="B533" r:id="rId532" display="https://amp.vexpenses.com/settings/membros-de-equipe/895951" xr:uid="{8368A45D-C9DB-4B09-B7F9-D9B05296BED4}"/>
  </hyperlink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02456-0E05-4AA2-80BD-9A8633B67C92}">
  <dimension ref="A1:G314"/>
  <sheetViews>
    <sheetView topLeftCell="A25" workbookViewId="0">
      <selection activeCell="C36" sqref="C36"/>
    </sheetView>
  </sheetViews>
  <sheetFormatPr defaultRowHeight="15.75" x14ac:dyDescent="0.25"/>
  <cols>
    <col min="1" max="1" width="36.625" bestFit="1" customWidth="1"/>
    <col min="2" max="2" width="36.625" customWidth="1"/>
    <col min="4" max="4" width="16.5" style="15" bestFit="1" customWidth="1"/>
    <col min="7" max="7" width="18.125" bestFit="1" customWidth="1"/>
  </cols>
  <sheetData>
    <row r="1" spans="1:7" x14ac:dyDescent="0.25">
      <c r="A1" s="13" t="s">
        <v>1</v>
      </c>
      <c r="B1" s="13"/>
      <c r="C1" s="13" t="s">
        <v>1489</v>
      </c>
      <c r="D1" s="15" t="s">
        <v>1490</v>
      </c>
      <c r="E1" t="s">
        <v>1491</v>
      </c>
      <c r="F1" t="s">
        <v>1492</v>
      </c>
      <c r="G1" t="s">
        <v>1493</v>
      </c>
    </row>
    <row r="2" spans="1:7" x14ac:dyDescent="0.25">
      <c r="A2" s="66" t="s">
        <v>17</v>
      </c>
      <c r="B2" s="66" t="s">
        <v>1494</v>
      </c>
      <c r="C2" s="66" t="s">
        <v>1490</v>
      </c>
      <c r="D2" s="15">
        <v>9042407399982</v>
      </c>
      <c r="E2" t="s">
        <v>18</v>
      </c>
      <c r="F2" t="s">
        <v>18</v>
      </c>
      <c r="G2" s="2" t="s">
        <v>1490</v>
      </c>
    </row>
    <row r="3" spans="1:7" x14ac:dyDescent="0.25">
      <c r="A3" s="66" t="s">
        <v>365</v>
      </c>
      <c r="B3" s="66" t="s">
        <v>1495</v>
      </c>
      <c r="C3" s="66" t="s">
        <v>1490</v>
      </c>
      <c r="D3" s="15">
        <v>9042408249079</v>
      </c>
      <c r="E3" t="s">
        <v>18</v>
      </c>
      <c r="F3" t="s">
        <v>18</v>
      </c>
      <c r="G3" s="2" t="s">
        <v>1490</v>
      </c>
    </row>
    <row r="4" spans="1:7" x14ac:dyDescent="0.25">
      <c r="A4" s="66" t="s">
        <v>730</v>
      </c>
      <c r="B4" s="66" t="s">
        <v>731</v>
      </c>
      <c r="C4" s="66" t="s">
        <v>1490</v>
      </c>
      <c r="D4" s="15">
        <v>9042407080491</v>
      </c>
      <c r="E4" t="s">
        <v>18</v>
      </c>
      <c r="F4" t="s">
        <v>18</v>
      </c>
      <c r="G4" s="2" t="s">
        <v>1490</v>
      </c>
    </row>
    <row r="5" spans="1:7" x14ac:dyDescent="0.25">
      <c r="A5" s="66" t="s">
        <v>1496</v>
      </c>
      <c r="B5" s="66" t="s">
        <v>1497</v>
      </c>
      <c r="C5" s="66" t="s">
        <v>1490</v>
      </c>
      <c r="D5" s="15">
        <v>9042406782287</v>
      </c>
      <c r="E5" t="s">
        <v>18</v>
      </c>
      <c r="F5" t="e">
        <v>#N/A</v>
      </c>
      <c r="G5" s="2" t="s">
        <v>1490</v>
      </c>
    </row>
    <row r="6" spans="1:7" x14ac:dyDescent="0.25">
      <c r="A6" s="66" t="s">
        <v>788</v>
      </c>
      <c r="B6" s="66" t="s">
        <v>789</v>
      </c>
      <c r="C6" s="66" t="s">
        <v>1490</v>
      </c>
      <c r="D6" s="15">
        <v>9042408803396</v>
      </c>
      <c r="E6" t="s">
        <v>18</v>
      </c>
      <c r="F6" t="s">
        <v>18</v>
      </c>
      <c r="G6" s="2" t="s">
        <v>1490</v>
      </c>
    </row>
    <row r="7" spans="1:7" s="17" customFormat="1" x14ac:dyDescent="0.25">
      <c r="A7" s="73" t="s">
        <v>422</v>
      </c>
      <c r="B7" s="73" t="s">
        <v>423</v>
      </c>
      <c r="C7" s="73" t="s">
        <v>1490</v>
      </c>
      <c r="D7" s="16" t="s">
        <v>1498</v>
      </c>
      <c r="E7" s="17" t="s">
        <v>18</v>
      </c>
      <c r="F7" s="17" t="s">
        <v>1499</v>
      </c>
      <c r="G7" s="18" t="s">
        <v>1490</v>
      </c>
    </row>
    <row r="8" spans="1:7" x14ac:dyDescent="0.25">
      <c r="A8" s="66" t="s">
        <v>499</v>
      </c>
      <c r="B8" s="66" t="s">
        <v>500</v>
      </c>
      <c r="C8" s="66" t="s">
        <v>1490</v>
      </c>
      <c r="D8" s="15">
        <v>9042407986861</v>
      </c>
      <c r="E8" t="s">
        <v>18</v>
      </c>
      <c r="F8" t="s">
        <v>18</v>
      </c>
      <c r="G8" s="2" t="s">
        <v>1490</v>
      </c>
    </row>
    <row r="9" spans="1:7" x14ac:dyDescent="0.25">
      <c r="A9" s="66" t="s">
        <v>153</v>
      </c>
      <c r="B9" s="66" t="s">
        <v>1500</v>
      </c>
      <c r="C9" s="66" t="s">
        <v>1490</v>
      </c>
      <c r="D9" s="15">
        <v>9042406782022</v>
      </c>
      <c r="E9" t="s">
        <v>18</v>
      </c>
      <c r="F9" t="s">
        <v>18</v>
      </c>
      <c r="G9" s="2" t="s">
        <v>1490</v>
      </c>
    </row>
    <row r="10" spans="1:7" x14ac:dyDescent="0.25">
      <c r="A10" s="66" t="s">
        <v>577</v>
      </c>
      <c r="B10" s="66" t="s">
        <v>578</v>
      </c>
      <c r="C10" s="66" t="s">
        <v>1490</v>
      </c>
      <c r="D10" s="15">
        <v>9042407400145</v>
      </c>
      <c r="E10" t="s">
        <v>18</v>
      </c>
      <c r="F10" t="s">
        <v>18</v>
      </c>
      <c r="G10" s="2" t="s">
        <v>1490</v>
      </c>
    </row>
    <row r="11" spans="1:7" x14ac:dyDescent="0.25">
      <c r="A11" s="66" t="s">
        <v>294</v>
      </c>
      <c r="B11" s="66" t="s">
        <v>1501</v>
      </c>
      <c r="C11" s="66" t="s">
        <v>1490</v>
      </c>
      <c r="D11" s="15">
        <v>9042408803750</v>
      </c>
      <c r="E11" t="s">
        <v>18</v>
      </c>
      <c r="F11" t="s">
        <v>18</v>
      </c>
      <c r="G11" s="2" t="s">
        <v>1490</v>
      </c>
    </row>
    <row r="12" spans="1:7" x14ac:dyDescent="0.25">
      <c r="A12" s="66" t="s">
        <v>777</v>
      </c>
      <c r="B12" s="66" t="s">
        <v>778</v>
      </c>
      <c r="C12" s="66" t="s">
        <v>1490</v>
      </c>
      <c r="D12" s="15">
        <v>9076505613050</v>
      </c>
      <c r="E12" t="s">
        <v>18</v>
      </c>
      <c r="F12" t="s">
        <v>18</v>
      </c>
      <c r="G12" s="2" t="s">
        <v>1490</v>
      </c>
    </row>
    <row r="13" spans="1:7" x14ac:dyDescent="0.25">
      <c r="A13" s="66" t="s">
        <v>402</v>
      </c>
      <c r="B13" s="66" t="s">
        <v>403</v>
      </c>
      <c r="C13" s="66" t="s">
        <v>1490</v>
      </c>
      <c r="D13" s="15">
        <v>9042408803859</v>
      </c>
      <c r="E13" t="s">
        <v>18</v>
      </c>
      <c r="F13" t="s">
        <v>18</v>
      </c>
      <c r="G13" s="2" t="s">
        <v>1490</v>
      </c>
    </row>
    <row r="14" spans="1:7" x14ac:dyDescent="0.25">
      <c r="A14" s="66" t="s">
        <v>1502</v>
      </c>
      <c r="B14" s="66" t="s">
        <v>1503</v>
      </c>
      <c r="C14" s="66" t="s">
        <v>1490</v>
      </c>
      <c r="D14" s="15" t="e">
        <v>#N/A</v>
      </c>
      <c r="E14" t="e">
        <v>#N/A</v>
      </c>
      <c r="F14" t="e">
        <v>#N/A</v>
      </c>
      <c r="G14" s="2" t="e">
        <v>#N/A</v>
      </c>
    </row>
    <row r="15" spans="1:7" s="20" customFormat="1" x14ac:dyDescent="0.25">
      <c r="A15" s="74" t="s">
        <v>281</v>
      </c>
      <c r="B15" s="74" t="s">
        <v>1504</v>
      </c>
      <c r="C15" s="74" t="s">
        <v>1490</v>
      </c>
      <c r="D15" s="19">
        <v>9042408970526</v>
      </c>
      <c r="E15" s="20" t="s">
        <v>18</v>
      </c>
      <c r="F15" s="20" t="s">
        <v>18</v>
      </c>
      <c r="G15" s="21" t="s">
        <v>1490</v>
      </c>
    </row>
    <row r="16" spans="1:7" x14ac:dyDescent="0.25">
      <c r="A16" s="66" t="s">
        <v>451</v>
      </c>
      <c r="B16" s="66" t="s">
        <v>452</v>
      </c>
      <c r="C16" s="66" t="s">
        <v>1490</v>
      </c>
      <c r="D16" s="15">
        <v>9042408599341</v>
      </c>
      <c r="E16" t="s">
        <v>18</v>
      </c>
      <c r="F16" t="s">
        <v>18</v>
      </c>
      <c r="G16" s="2" t="s">
        <v>1490</v>
      </c>
    </row>
    <row r="17" spans="1:7" x14ac:dyDescent="0.25">
      <c r="A17" s="66" t="s">
        <v>134</v>
      </c>
      <c r="B17" s="66" t="s">
        <v>1505</v>
      </c>
      <c r="C17" s="66" t="s">
        <v>1490</v>
      </c>
      <c r="D17" s="15">
        <v>9042408803735</v>
      </c>
      <c r="E17" t="s">
        <v>18</v>
      </c>
      <c r="F17" t="e">
        <v>#N/A</v>
      </c>
      <c r="G17" s="2" t="s">
        <v>1490</v>
      </c>
    </row>
    <row r="18" spans="1:7" x14ac:dyDescent="0.25">
      <c r="A18" s="66" t="s">
        <v>100</v>
      </c>
      <c r="B18" s="66" t="s">
        <v>1506</v>
      </c>
      <c r="C18" s="66" t="s">
        <v>1490</v>
      </c>
      <c r="D18" s="15">
        <v>9042408249145</v>
      </c>
      <c r="E18" t="s">
        <v>18</v>
      </c>
      <c r="F18" t="s">
        <v>18</v>
      </c>
      <c r="G18" s="2" t="s">
        <v>1490</v>
      </c>
    </row>
    <row r="19" spans="1:7" x14ac:dyDescent="0.25">
      <c r="A19" s="66" t="s">
        <v>145</v>
      </c>
      <c r="B19" s="66" t="s">
        <v>1507</v>
      </c>
      <c r="C19" s="66" t="s">
        <v>1490</v>
      </c>
      <c r="D19" s="15">
        <v>9042406781958</v>
      </c>
      <c r="E19" t="s">
        <v>18</v>
      </c>
      <c r="F19" t="s">
        <v>18</v>
      </c>
      <c r="G19" s="2" t="s">
        <v>1490</v>
      </c>
    </row>
    <row r="20" spans="1:7" x14ac:dyDescent="0.25">
      <c r="A20" s="66" t="s">
        <v>1099</v>
      </c>
      <c r="B20" s="66" t="s">
        <v>1508</v>
      </c>
      <c r="C20" s="66" t="s">
        <v>1490</v>
      </c>
      <c r="D20" s="15">
        <v>9076509301751</v>
      </c>
      <c r="E20" t="s">
        <v>18</v>
      </c>
      <c r="F20" t="s">
        <v>18</v>
      </c>
      <c r="G20" s="2" t="s">
        <v>1490</v>
      </c>
    </row>
    <row r="21" spans="1:7" x14ac:dyDescent="0.25">
      <c r="A21" s="66" t="s">
        <v>552</v>
      </c>
      <c r="B21" s="66" t="s">
        <v>553</v>
      </c>
      <c r="C21" s="66" t="s">
        <v>1490</v>
      </c>
      <c r="D21" s="15">
        <v>9042408970203</v>
      </c>
      <c r="E21" t="s">
        <v>18</v>
      </c>
      <c r="F21" t="s">
        <v>18</v>
      </c>
      <c r="G21" s="2" t="s">
        <v>1490</v>
      </c>
    </row>
    <row r="22" spans="1:7" x14ac:dyDescent="0.25">
      <c r="A22" s="74" t="s">
        <v>1010</v>
      </c>
      <c r="B22" s="74" t="s">
        <v>1509</v>
      </c>
      <c r="C22" s="74" t="s">
        <v>1490</v>
      </c>
      <c r="D22" s="19">
        <v>9042408803305</v>
      </c>
      <c r="E22" s="20" t="s">
        <v>18</v>
      </c>
      <c r="F22" s="20" t="s">
        <v>18</v>
      </c>
      <c r="G22" s="21" t="s">
        <v>1490</v>
      </c>
    </row>
    <row r="23" spans="1:7" x14ac:dyDescent="0.25">
      <c r="A23" s="74" t="s">
        <v>593</v>
      </c>
      <c r="B23" s="74" t="s">
        <v>594</v>
      </c>
      <c r="C23" s="74" t="s">
        <v>1490</v>
      </c>
      <c r="D23" s="19">
        <v>9042407080285</v>
      </c>
      <c r="E23" s="20" t="s">
        <v>18</v>
      </c>
      <c r="F23" s="20" t="s">
        <v>18</v>
      </c>
      <c r="G23" s="21" t="s">
        <v>1490</v>
      </c>
    </row>
    <row r="24" spans="1:7" x14ac:dyDescent="0.25">
      <c r="A24" s="74" t="s">
        <v>180</v>
      </c>
      <c r="B24" s="74" t="s">
        <v>1510</v>
      </c>
      <c r="C24" s="74" t="s">
        <v>1490</v>
      </c>
      <c r="D24" s="19">
        <v>9042406782311</v>
      </c>
      <c r="E24" s="20" t="s">
        <v>18</v>
      </c>
      <c r="F24" s="20" t="s">
        <v>18</v>
      </c>
      <c r="G24" s="21" t="s">
        <v>1490</v>
      </c>
    </row>
    <row r="25" spans="1:7" x14ac:dyDescent="0.25">
      <c r="A25" s="66" t="s">
        <v>388</v>
      </c>
      <c r="B25" s="66" t="s">
        <v>1511</v>
      </c>
      <c r="C25" s="66" t="s">
        <v>1490</v>
      </c>
      <c r="D25" s="15">
        <v>9042406781990</v>
      </c>
      <c r="E25" t="s">
        <v>18</v>
      </c>
      <c r="F25" t="e">
        <v>#N/A</v>
      </c>
      <c r="G25" s="2" t="s">
        <v>1490</v>
      </c>
    </row>
    <row r="26" spans="1:7" x14ac:dyDescent="0.25">
      <c r="A26" s="66" t="s">
        <v>1512</v>
      </c>
      <c r="B26" s="66" t="s">
        <v>1513</v>
      </c>
      <c r="C26" s="66" t="s">
        <v>1490</v>
      </c>
      <c r="D26" s="15" t="e">
        <v>#N/A</v>
      </c>
      <c r="E26" t="e">
        <v>#N/A</v>
      </c>
      <c r="F26" t="e">
        <v>#N/A</v>
      </c>
      <c r="G26" s="2" t="e">
        <v>#N/A</v>
      </c>
    </row>
    <row r="27" spans="1:7" x14ac:dyDescent="0.25">
      <c r="A27" s="66" t="s">
        <v>1514</v>
      </c>
      <c r="B27" s="66" t="s">
        <v>1515</v>
      </c>
      <c r="C27" s="66" t="s">
        <v>1490</v>
      </c>
      <c r="D27" s="15" t="e">
        <v>#N/A</v>
      </c>
      <c r="E27" t="e">
        <v>#N/A</v>
      </c>
      <c r="F27" t="e">
        <v>#N/A</v>
      </c>
      <c r="G27" s="2" t="e">
        <v>#N/A</v>
      </c>
    </row>
    <row r="28" spans="1:7" s="20" customFormat="1" x14ac:dyDescent="0.25">
      <c r="A28" s="74" t="s">
        <v>260</v>
      </c>
      <c r="B28" s="74" t="s">
        <v>1516</v>
      </c>
      <c r="C28" s="74" t="s">
        <v>1490</v>
      </c>
      <c r="D28" s="19">
        <v>9042407752073</v>
      </c>
      <c r="E28" s="20" t="s">
        <v>18</v>
      </c>
      <c r="F28" s="20" t="s">
        <v>18</v>
      </c>
      <c r="G28" s="21" t="s">
        <v>1490</v>
      </c>
    </row>
    <row r="29" spans="1:7" s="20" customFormat="1" x14ac:dyDescent="0.25">
      <c r="A29" s="74" t="s">
        <v>713</v>
      </c>
      <c r="B29" s="74" t="s">
        <v>714</v>
      </c>
      <c r="C29" s="74" t="s">
        <v>1490</v>
      </c>
      <c r="D29" s="19">
        <v>9042407552176</v>
      </c>
      <c r="E29" s="20" t="s">
        <v>18</v>
      </c>
      <c r="F29" s="20" t="s">
        <v>18</v>
      </c>
      <c r="G29" s="21" t="s">
        <v>1490</v>
      </c>
    </row>
    <row r="30" spans="1:7" x14ac:dyDescent="0.25">
      <c r="A30" s="66" t="s">
        <v>891</v>
      </c>
      <c r="B30" s="66" t="s">
        <v>1517</v>
      </c>
      <c r="C30" s="66" t="s">
        <v>1490</v>
      </c>
      <c r="D30" s="15">
        <v>9042408803891</v>
      </c>
      <c r="E30" t="s">
        <v>18</v>
      </c>
      <c r="F30" t="s">
        <v>18</v>
      </c>
      <c r="G30" s="2" t="s">
        <v>1490</v>
      </c>
    </row>
    <row r="31" spans="1:7" s="24" customFormat="1" x14ac:dyDescent="0.25">
      <c r="A31" s="22" t="s">
        <v>189</v>
      </c>
      <c r="B31" s="75" t="s">
        <v>1518</v>
      </c>
      <c r="C31" s="22" t="s">
        <v>1490</v>
      </c>
      <c r="D31" s="23">
        <v>9042407552085</v>
      </c>
      <c r="E31" s="24" t="s">
        <v>18</v>
      </c>
      <c r="F31" s="24" t="s">
        <v>18</v>
      </c>
      <c r="G31" s="25" t="s">
        <v>1519</v>
      </c>
    </row>
    <row r="32" spans="1:7" s="27" customFormat="1" x14ac:dyDescent="0.25">
      <c r="A32" s="76" t="s">
        <v>1520</v>
      </c>
      <c r="B32" s="77" t="s">
        <v>1521</v>
      </c>
      <c r="C32" s="77" t="s">
        <v>1490</v>
      </c>
      <c r="D32" s="26" t="e">
        <v>#N/A</v>
      </c>
      <c r="E32" s="27" t="e">
        <v>#N/A</v>
      </c>
      <c r="F32" s="27" t="e">
        <v>#N/A</v>
      </c>
      <c r="G32" s="28" t="e">
        <v>#N/A</v>
      </c>
    </row>
    <row r="33" spans="1:7" s="27" customFormat="1" x14ac:dyDescent="0.25">
      <c r="A33" s="77" t="s">
        <v>1522</v>
      </c>
      <c r="B33" s="77" t="s">
        <v>1521</v>
      </c>
      <c r="C33" s="77" t="s">
        <v>1490</v>
      </c>
      <c r="D33" s="26" t="e">
        <v>#N/A</v>
      </c>
      <c r="E33" s="27" t="e">
        <v>#N/A</v>
      </c>
      <c r="F33" s="27" t="e">
        <v>#N/A</v>
      </c>
      <c r="G33" s="28" t="e">
        <v>#N/A</v>
      </c>
    </row>
    <row r="34" spans="1:7" s="27" customFormat="1" x14ac:dyDescent="0.25">
      <c r="A34" s="77" t="s">
        <v>886</v>
      </c>
      <c r="B34" s="77" t="s">
        <v>1521</v>
      </c>
      <c r="C34" s="77" t="s">
        <v>1490</v>
      </c>
      <c r="D34" s="26" t="e">
        <v>#N/A</v>
      </c>
      <c r="E34" s="27" t="e">
        <v>#N/A</v>
      </c>
      <c r="F34" s="27" t="e">
        <v>#N/A</v>
      </c>
      <c r="G34" s="28" t="e">
        <v>#N/A</v>
      </c>
    </row>
    <row r="35" spans="1:7" x14ac:dyDescent="0.25">
      <c r="A35" s="66" t="s">
        <v>673</v>
      </c>
      <c r="B35" s="66" t="s">
        <v>674</v>
      </c>
      <c r="C35" s="66" t="s">
        <v>1490</v>
      </c>
      <c r="D35" s="15">
        <v>9042408599291</v>
      </c>
      <c r="E35" t="s">
        <v>18</v>
      </c>
      <c r="F35" t="s">
        <v>18</v>
      </c>
      <c r="G35" s="2" t="s">
        <v>1490</v>
      </c>
    </row>
    <row r="36" spans="1:7" x14ac:dyDescent="0.25">
      <c r="A36" s="66" t="s">
        <v>266</v>
      </c>
      <c r="B36" s="66" t="s">
        <v>1523</v>
      </c>
      <c r="C36" s="66" t="s">
        <v>1490</v>
      </c>
      <c r="D36" s="15">
        <v>9042408340399</v>
      </c>
      <c r="E36" t="s">
        <v>18</v>
      </c>
      <c r="F36" t="s">
        <v>18</v>
      </c>
      <c r="G36" s="2" t="s">
        <v>1490</v>
      </c>
    </row>
    <row r="37" spans="1:7" x14ac:dyDescent="0.25">
      <c r="A37" s="66" t="s">
        <v>111</v>
      </c>
      <c r="B37" s="66" t="s">
        <v>1524</v>
      </c>
      <c r="C37" s="66" t="s">
        <v>1490</v>
      </c>
      <c r="D37" s="15">
        <v>9042408481813</v>
      </c>
      <c r="E37" t="s">
        <v>18</v>
      </c>
      <c r="F37" t="s">
        <v>18</v>
      </c>
      <c r="G37" s="2" t="s">
        <v>1490</v>
      </c>
    </row>
    <row r="38" spans="1:7" x14ac:dyDescent="0.25">
      <c r="A38" s="66" t="s">
        <v>1411</v>
      </c>
      <c r="B38" s="66" t="s">
        <v>1525</v>
      </c>
      <c r="C38" s="66" t="s">
        <v>1490</v>
      </c>
      <c r="D38" s="15">
        <v>9076505613068</v>
      </c>
      <c r="E38" t="s">
        <v>18</v>
      </c>
      <c r="F38" t="s">
        <v>18</v>
      </c>
      <c r="G38" s="2" t="s">
        <v>1490</v>
      </c>
    </row>
    <row r="39" spans="1:7" x14ac:dyDescent="0.25">
      <c r="A39" s="66" t="s">
        <v>1526</v>
      </c>
      <c r="B39" s="66" t="s">
        <v>1527</v>
      </c>
      <c r="C39" s="66" t="s">
        <v>1490</v>
      </c>
      <c r="D39" s="15">
        <v>9042408804113</v>
      </c>
      <c r="E39" t="s">
        <v>18</v>
      </c>
      <c r="F39" t="s">
        <v>18</v>
      </c>
      <c r="G39" s="2" t="s">
        <v>1490</v>
      </c>
    </row>
    <row r="40" spans="1:7" x14ac:dyDescent="0.25">
      <c r="A40" s="66" t="s">
        <v>167</v>
      </c>
      <c r="B40" s="66" t="s">
        <v>1528</v>
      </c>
      <c r="C40" s="66" t="s">
        <v>1490</v>
      </c>
      <c r="D40" s="15">
        <v>9042408970278</v>
      </c>
      <c r="E40" t="s">
        <v>18</v>
      </c>
      <c r="F40" t="s">
        <v>18</v>
      </c>
      <c r="G40" s="2" t="s">
        <v>1490</v>
      </c>
    </row>
    <row r="41" spans="1:7" x14ac:dyDescent="0.25">
      <c r="A41" s="66" t="s">
        <v>1295</v>
      </c>
      <c r="B41" s="66" t="s">
        <v>1529</v>
      </c>
      <c r="C41" s="66" t="s">
        <v>1490</v>
      </c>
      <c r="D41" s="15">
        <v>9042407080483</v>
      </c>
      <c r="E41" t="s">
        <v>18</v>
      </c>
      <c r="F41" t="s">
        <v>18</v>
      </c>
      <c r="G41" s="2" t="s">
        <v>1490</v>
      </c>
    </row>
    <row r="42" spans="1:7" x14ac:dyDescent="0.25">
      <c r="A42" s="66" t="s">
        <v>466</v>
      </c>
      <c r="B42" s="66" t="s">
        <v>467</v>
      </c>
      <c r="C42" s="66" t="s">
        <v>1490</v>
      </c>
      <c r="D42" s="15">
        <v>9042407266645</v>
      </c>
      <c r="E42" t="s">
        <v>18</v>
      </c>
      <c r="F42" t="s">
        <v>18</v>
      </c>
      <c r="G42" s="2" t="s">
        <v>1490</v>
      </c>
    </row>
    <row r="43" spans="1:7" x14ac:dyDescent="0.25">
      <c r="A43" s="66" t="s">
        <v>302</v>
      </c>
      <c r="B43" s="66" t="s">
        <v>1530</v>
      </c>
      <c r="C43" s="66" t="s">
        <v>1490</v>
      </c>
      <c r="D43" s="15">
        <v>9042408601386</v>
      </c>
      <c r="E43" t="s">
        <v>18</v>
      </c>
      <c r="F43" t="s">
        <v>18</v>
      </c>
      <c r="G43" s="2" t="s">
        <v>1519</v>
      </c>
    </row>
    <row r="44" spans="1:7" x14ac:dyDescent="0.25">
      <c r="A44" s="66" t="s">
        <v>754</v>
      </c>
      <c r="B44" s="66" t="s">
        <v>755</v>
      </c>
      <c r="C44" s="66" t="s">
        <v>1490</v>
      </c>
      <c r="D44" s="15">
        <v>9042408970195</v>
      </c>
      <c r="E44" t="s">
        <v>18</v>
      </c>
      <c r="F44" t="s">
        <v>18</v>
      </c>
      <c r="G44" s="2" t="s">
        <v>1490</v>
      </c>
    </row>
    <row r="45" spans="1:7" x14ac:dyDescent="0.25">
      <c r="A45" s="66" t="s">
        <v>588</v>
      </c>
      <c r="B45" s="66" t="s">
        <v>589</v>
      </c>
      <c r="C45" s="66" t="s">
        <v>1490</v>
      </c>
      <c r="D45" s="15">
        <v>9076509186467</v>
      </c>
      <c r="E45" t="s">
        <v>18</v>
      </c>
      <c r="F45" t="s">
        <v>18</v>
      </c>
      <c r="G45" s="2" t="s">
        <v>1490</v>
      </c>
    </row>
    <row r="46" spans="1:7" x14ac:dyDescent="0.25">
      <c r="A46" s="66" t="s">
        <v>906</v>
      </c>
      <c r="B46" s="66" t="s">
        <v>1531</v>
      </c>
      <c r="C46" s="66" t="s">
        <v>1490</v>
      </c>
      <c r="D46" s="15">
        <v>9076505447152</v>
      </c>
      <c r="E46" t="s">
        <v>18</v>
      </c>
      <c r="F46" t="s">
        <v>18</v>
      </c>
      <c r="G46" s="2" t="s">
        <v>1490</v>
      </c>
    </row>
    <row r="47" spans="1:7" x14ac:dyDescent="0.25">
      <c r="A47" s="66" t="s">
        <v>527</v>
      </c>
      <c r="B47" s="66" t="s">
        <v>528</v>
      </c>
      <c r="C47" s="66" t="s">
        <v>1490</v>
      </c>
      <c r="D47" s="15">
        <v>9042408340415</v>
      </c>
      <c r="E47" t="s">
        <v>18</v>
      </c>
      <c r="F47" t="s">
        <v>18</v>
      </c>
      <c r="G47" s="2" t="s">
        <v>1490</v>
      </c>
    </row>
    <row r="48" spans="1:7" x14ac:dyDescent="0.25">
      <c r="A48" s="66" t="s">
        <v>862</v>
      </c>
      <c r="B48" s="66" t="s">
        <v>1532</v>
      </c>
      <c r="C48" s="66" t="s">
        <v>1490</v>
      </c>
      <c r="D48" s="15">
        <v>9042408970450</v>
      </c>
      <c r="E48" t="s">
        <v>18</v>
      </c>
      <c r="F48" t="s">
        <v>18</v>
      </c>
      <c r="G48" s="2" t="s">
        <v>1490</v>
      </c>
    </row>
    <row r="49" spans="1:7" s="30" customFormat="1" x14ac:dyDescent="0.25">
      <c r="A49" s="78" t="s">
        <v>1115</v>
      </c>
      <c r="B49" s="78" t="s">
        <v>1533</v>
      </c>
      <c r="C49" s="78" t="s">
        <v>1490</v>
      </c>
      <c r="D49" s="29" t="s">
        <v>1534</v>
      </c>
      <c r="E49" s="30" t="e">
        <v>#N/A</v>
      </c>
      <c r="F49" s="30" t="e">
        <v>#N/A</v>
      </c>
      <c r="G49" s="31" t="e">
        <v>#N/A</v>
      </c>
    </row>
    <row r="50" spans="1:7" s="30" customFormat="1" x14ac:dyDescent="0.25">
      <c r="A50" s="78" t="s">
        <v>537</v>
      </c>
      <c r="B50" s="78" t="s">
        <v>538</v>
      </c>
      <c r="C50" s="78" t="s">
        <v>1490</v>
      </c>
      <c r="D50" s="29" t="s">
        <v>1534</v>
      </c>
      <c r="E50" s="30" t="e">
        <v>#N/A</v>
      </c>
      <c r="F50" s="30" t="e">
        <v>#N/A</v>
      </c>
      <c r="G50" s="31" t="e">
        <v>#N/A</v>
      </c>
    </row>
    <row r="51" spans="1:7" x14ac:dyDescent="0.25">
      <c r="A51" s="66" t="s">
        <v>170</v>
      </c>
      <c r="B51" s="66" t="s">
        <v>1535</v>
      </c>
      <c r="C51" s="66" t="s">
        <v>1490</v>
      </c>
      <c r="D51" s="15">
        <v>9076509186558</v>
      </c>
      <c r="E51" t="s">
        <v>18</v>
      </c>
      <c r="F51" t="s">
        <v>18</v>
      </c>
      <c r="G51" s="2" t="s">
        <v>1490</v>
      </c>
    </row>
    <row r="52" spans="1:7" x14ac:dyDescent="0.25">
      <c r="A52" s="66" t="s">
        <v>658</v>
      </c>
      <c r="B52" s="66" t="s">
        <v>659</v>
      </c>
      <c r="C52" s="66" t="s">
        <v>1490</v>
      </c>
      <c r="D52" s="15">
        <v>9042407552150</v>
      </c>
      <c r="E52" t="s">
        <v>18</v>
      </c>
      <c r="F52" t="s">
        <v>18</v>
      </c>
      <c r="G52" s="2" t="s">
        <v>1490</v>
      </c>
    </row>
    <row r="53" spans="1:7" x14ac:dyDescent="0.25">
      <c r="A53" s="66" t="s">
        <v>790</v>
      </c>
      <c r="B53" s="66" t="s">
        <v>791</v>
      </c>
      <c r="C53" s="66" t="s">
        <v>1490</v>
      </c>
      <c r="D53" s="15">
        <v>9042408340506</v>
      </c>
      <c r="E53" t="s">
        <v>18</v>
      </c>
      <c r="F53" t="s">
        <v>18</v>
      </c>
      <c r="G53" s="2" t="s">
        <v>1490</v>
      </c>
    </row>
    <row r="54" spans="1:7" x14ac:dyDescent="0.25">
      <c r="A54" s="66" t="s">
        <v>651</v>
      </c>
      <c r="B54" s="66" t="s">
        <v>652</v>
      </c>
      <c r="C54" s="66" t="s">
        <v>1490</v>
      </c>
      <c r="D54" s="15">
        <v>9042407351504</v>
      </c>
      <c r="E54" t="s">
        <v>18</v>
      </c>
      <c r="F54" t="s">
        <v>18</v>
      </c>
      <c r="G54" s="2" t="s">
        <v>1490</v>
      </c>
    </row>
    <row r="55" spans="1:7" x14ac:dyDescent="0.25">
      <c r="A55" s="66" t="s">
        <v>649</v>
      </c>
      <c r="B55" s="66" t="s">
        <v>650</v>
      </c>
      <c r="C55" s="66" t="s">
        <v>1490</v>
      </c>
      <c r="D55" s="15">
        <v>9042408803529</v>
      </c>
      <c r="E55" t="s">
        <v>18</v>
      </c>
      <c r="F55" t="s">
        <v>18</v>
      </c>
      <c r="G55" s="2" t="s">
        <v>1490</v>
      </c>
    </row>
    <row r="56" spans="1:7" x14ac:dyDescent="0.25">
      <c r="A56" s="66" t="s">
        <v>640</v>
      </c>
      <c r="B56" s="66" t="s">
        <v>641</v>
      </c>
      <c r="C56" s="66" t="s">
        <v>1490</v>
      </c>
      <c r="D56" s="15">
        <v>9042407351496</v>
      </c>
      <c r="E56" t="s">
        <v>18</v>
      </c>
      <c r="F56" t="s">
        <v>18</v>
      </c>
      <c r="G56" s="2" t="s">
        <v>1490</v>
      </c>
    </row>
    <row r="57" spans="1:7" x14ac:dyDescent="0.25">
      <c r="A57" s="66" t="s">
        <v>608</v>
      </c>
      <c r="B57" s="66" t="s">
        <v>609</v>
      </c>
      <c r="C57" s="66" t="s">
        <v>1490</v>
      </c>
      <c r="D57" s="15">
        <v>9076505875451</v>
      </c>
      <c r="E57" t="s">
        <v>18</v>
      </c>
      <c r="F57" t="s">
        <v>18</v>
      </c>
      <c r="G57" s="2" t="s">
        <v>1519</v>
      </c>
    </row>
    <row r="58" spans="1:7" x14ac:dyDescent="0.25">
      <c r="A58" s="66" t="s">
        <v>1282</v>
      </c>
      <c r="B58" s="66" t="s">
        <v>1536</v>
      </c>
      <c r="C58" s="66" t="s">
        <v>1490</v>
      </c>
      <c r="D58" s="15">
        <v>9042408249095</v>
      </c>
      <c r="E58" t="s">
        <v>18</v>
      </c>
      <c r="F58" t="s">
        <v>18</v>
      </c>
      <c r="G58" s="2" t="s">
        <v>1490</v>
      </c>
    </row>
    <row r="59" spans="1:7" x14ac:dyDescent="0.25">
      <c r="A59" s="66" t="s">
        <v>300</v>
      </c>
      <c r="B59" s="66" t="s">
        <v>1537</v>
      </c>
      <c r="C59" s="66" t="s">
        <v>1490</v>
      </c>
      <c r="D59" s="15">
        <v>9042407400087</v>
      </c>
      <c r="E59" t="s">
        <v>18</v>
      </c>
      <c r="F59" t="e">
        <v>#N/A</v>
      </c>
      <c r="G59" s="2" t="s">
        <v>1490</v>
      </c>
    </row>
    <row r="60" spans="1:7" x14ac:dyDescent="0.25">
      <c r="A60" s="66" t="s">
        <v>50</v>
      </c>
      <c r="B60" s="66" t="s">
        <v>1538</v>
      </c>
      <c r="C60" s="66" t="s">
        <v>1490</v>
      </c>
      <c r="D60" s="15">
        <v>9042408803966</v>
      </c>
      <c r="E60" t="s">
        <v>18</v>
      </c>
      <c r="F60" t="s">
        <v>18</v>
      </c>
      <c r="G60" s="2" t="s">
        <v>1519</v>
      </c>
    </row>
    <row r="61" spans="1:7" x14ac:dyDescent="0.25">
      <c r="A61" s="66" t="s">
        <v>213</v>
      </c>
      <c r="B61" s="66" t="s">
        <v>1539</v>
      </c>
      <c r="C61" s="66" t="s">
        <v>1490</v>
      </c>
      <c r="D61" s="15">
        <v>9042408970211</v>
      </c>
      <c r="E61" t="s">
        <v>18</v>
      </c>
      <c r="F61" t="s">
        <v>18</v>
      </c>
      <c r="G61" s="2" t="s">
        <v>1490</v>
      </c>
    </row>
    <row r="62" spans="1:7" s="27" customFormat="1" x14ac:dyDescent="0.25">
      <c r="A62" s="77" t="s">
        <v>1540</v>
      </c>
      <c r="B62" s="77" t="s">
        <v>1521</v>
      </c>
      <c r="C62" s="77" t="s">
        <v>1490</v>
      </c>
      <c r="D62" s="26" t="e">
        <v>#N/A</v>
      </c>
      <c r="E62" s="27" t="e">
        <v>#N/A</v>
      </c>
      <c r="F62" s="27" t="e">
        <v>#N/A</v>
      </c>
      <c r="G62" s="28" t="e">
        <v>#N/A</v>
      </c>
    </row>
    <row r="63" spans="1:7" x14ac:dyDescent="0.25">
      <c r="A63" s="66" t="s">
        <v>109</v>
      </c>
      <c r="B63" s="66" t="s">
        <v>1541</v>
      </c>
      <c r="C63" s="66" t="s">
        <v>1490</v>
      </c>
      <c r="D63" s="15">
        <v>9042408803685</v>
      </c>
      <c r="E63" t="s">
        <v>18</v>
      </c>
      <c r="F63" t="e">
        <v>#N/A</v>
      </c>
      <c r="G63" s="2" t="s">
        <v>1490</v>
      </c>
    </row>
    <row r="64" spans="1:7" x14ac:dyDescent="0.25">
      <c r="A64" s="66" t="s">
        <v>217</v>
      </c>
      <c r="B64" s="66" t="s">
        <v>1542</v>
      </c>
      <c r="C64" s="66" t="s">
        <v>1490</v>
      </c>
      <c r="D64" s="15">
        <v>9042408599317</v>
      </c>
      <c r="E64" t="s">
        <v>18</v>
      </c>
      <c r="F64" t="s">
        <v>18</v>
      </c>
      <c r="G64" s="2" t="s">
        <v>1490</v>
      </c>
    </row>
    <row r="65" spans="1:7" x14ac:dyDescent="0.25">
      <c r="A65" s="66" t="s">
        <v>604</v>
      </c>
      <c r="B65" s="66" t="s">
        <v>605</v>
      </c>
      <c r="C65" s="66" t="s">
        <v>1490</v>
      </c>
      <c r="D65" s="15">
        <v>9042408803537</v>
      </c>
      <c r="E65" t="s">
        <v>18</v>
      </c>
      <c r="F65" t="s">
        <v>18</v>
      </c>
      <c r="G65" s="2" t="s">
        <v>1490</v>
      </c>
    </row>
    <row r="66" spans="1:7" x14ac:dyDescent="0.25">
      <c r="A66" s="66" t="s">
        <v>370</v>
      </c>
      <c r="B66" s="66" t="s">
        <v>1543</v>
      </c>
      <c r="C66" s="66" t="s">
        <v>1490</v>
      </c>
      <c r="D66" s="15">
        <v>9076509186731</v>
      </c>
      <c r="E66" t="s">
        <v>18</v>
      </c>
      <c r="F66" t="s">
        <v>18</v>
      </c>
      <c r="G66" s="2" t="s">
        <v>1490</v>
      </c>
    </row>
    <row r="67" spans="1:7" x14ac:dyDescent="0.25">
      <c r="A67" s="66" t="s">
        <v>212</v>
      </c>
      <c r="B67" s="66" t="s">
        <v>1544</v>
      </c>
      <c r="C67" s="66" t="s">
        <v>1490</v>
      </c>
      <c r="D67" s="15">
        <v>9042408599283</v>
      </c>
      <c r="E67" t="s">
        <v>18</v>
      </c>
      <c r="F67" t="e">
        <v>#N/A</v>
      </c>
      <c r="G67" s="2" t="s">
        <v>1490</v>
      </c>
    </row>
    <row r="68" spans="1:7" x14ac:dyDescent="0.25">
      <c r="A68" s="66" t="s">
        <v>188</v>
      </c>
      <c r="B68" s="66" t="s">
        <v>1545</v>
      </c>
      <c r="C68" s="66" t="s">
        <v>1490</v>
      </c>
      <c r="D68" s="15">
        <v>9042408601295</v>
      </c>
      <c r="E68" t="s">
        <v>18</v>
      </c>
      <c r="F68" t="s">
        <v>18</v>
      </c>
      <c r="G68" s="2" t="s">
        <v>1490</v>
      </c>
    </row>
    <row r="69" spans="1:7" x14ac:dyDescent="0.25">
      <c r="A69" s="66" t="s">
        <v>724</v>
      </c>
      <c r="B69" s="66" t="s">
        <v>725</v>
      </c>
      <c r="C69" s="66" t="s">
        <v>1490</v>
      </c>
      <c r="D69" s="15">
        <v>9042408481649</v>
      </c>
      <c r="E69" t="s">
        <v>18</v>
      </c>
      <c r="F69" t="e">
        <v>#N/A</v>
      </c>
      <c r="G69" s="2" t="s">
        <v>1490</v>
      </c>
    </row>
    <row r="70" spans="1:7" x14ac:dyDescent="0.25">
      <c r="A70" s="66" t="s">
        <v>193</v>
      </c>
      <c r="B70" s="66" t="s">
        <v>1546</v>
      </c>
      <c r="C70" s="66" t="s">
        <v>1490</v>
      </c>
      <c r="D70" s="15">
        <v>9042408340530</v>
      </c>
      <c r="E70" t="s">
        <v>18</v>
      </c>
      <c r="F70" t="s">
        <v>18</v>
      </c>
      <c r="G70" s="2" t="s">
        <v>1490</v>
      </c>
    </row>
    <row r="71" spans="1:7" s="17" customFormat="1" x14ac:dyDescent="0.25">
      <c r="A71" s="73" t="s">
        <v>769</v>
      </c>
      <c r="B71" s="73" t="s">
        <v>770</v>
      </c>
      <c r="C71" s="73" t="s">
        <v>1490</v>
      </c>
      <c r="D71" s="16" t="s">
        <v>1547</v>
      </c>
      <c r="E71" s="17" t="s">
        <v>18</v>
      </c>
      <c r="F71" s="17" t="s">
        <v>1548</v>
      </c>
      <c r="G71" s="18" t="s">
        <v>1490</v>
      </c>
    </row>
    <row r="72" spans="1:7" x14ac:dyDescent="0.25">
      <c r="A72" s="66" t="s">
        <v>798</v>
      </c>
      <c r="B72" s="66" t="s">
        <v>799</v>
      </c>
      <c r="C72" s="66" t="s">
        <v>1490</v>
      </c>
      <c r="D72" s="15">
        <v>9042408970336</v>
      </c>
      <c r="E72" t="s">
        <v>18</v>
      </c>
      <c r="F72" t="s">
        <v>18</v>
      </c>
      <c r="G72" s="2" t="s">
        <v>1490</v>
      </c>
    </row>
    <row r="73" spans="1:7" x14ac:dyDescent="0.25">
      <c r="A73" s="66" t="s">
        <v>1347</v>
      </c>
      <c r="B73" s="66" t="s">
        <v>1549</v>
      </c>
      <c r="C73" s="66" t="s">
        <v>1490</v>
      </c>
      <c r="D73" s="15">
        <v>9042406782352</v>
      </c>
      <c r="E73" t="s">
        <v>18</v>
      </c>
      <c r="F73" t="s">
        <v>18</v>
      </c>
      <c r="G73" s="2" t="s">
        <v>1490</v>
      </c>
    </row>
    <row r="74" spans="1:7" x14ac:dyDescent="0.25">
      <c r="A74" s="66" t="s">
        <v>556</v>
      </c>
      <c r="B74" s="66" t="s">
        <v>557</v>
      </c>
      <c r="C74" s="66" t="s">
        <v>1490</v>
      </c>
      <c r="D74" s="15">
        <v>9042406781933</v>
      </c>
      <c r="E74" t="s">
        <v>18</v>
      </c>
      <c r="F74" t="s">
        <v>18</v>
      </c>
      <c r="G74" s="2" t="s">
        <v>1490</v>
      </c>
    </row>
    <row r="75" spans="1:7" x14ac:dyDescent="0.25">
      <c r="A75" s="66" t="s">
        <v>647</v>
      </c>
      <c r="B75" s="66" t="s">
        <v>648</v>
      </c>
      <c r="C75" s="66" t="s">
        <v>1490</v>
      </c>
      <c r="D75" s="15">
        <v>9042407080335</v>
      </c>
      <c r="E75" t="s">
        <v>18</v>
      </c>
      <c r="F75" t="s">
        <v>18</v>
      </c>
      <c r="G75" s="2" t="s">
        <v>1490</v>
      </c>
    </row>
    <row r="76" spans="1:7" x14ac:dyDescent="0.25">
      <c r="A76" s="73" t="s">
        <v>1550</v>
      </c>
      <c r="B76" s="66" t="e">
        <v>#N/A</v>
      </c>
      <c r="C76" s="73" t="s">
        <v>1490</v>
      </c>
      <c r="D76" s="15" t="e">
        <v>#N/A</v>
      </c>
      <c r="E76" t="e">
        <v>#N/A</v>
      </c>
      <c r="F76" t="e">
        <v>#N/A</v>
      </c>
      <c r="G76" s="2" t="e">
        <v>#N/A</v>
      </c>
    </row>
    <row r="77" spans="1:7" x14ac:dyDescent="0.25">
      <c r="A77" s="66" t="s">
        <v>390</v>
      </c>
      <c r="B77" s="66" t="s">
        <v>1551</v>
      </c>
      <c r="C77" s="66" t="s">
        <v>1490</v>
      </c>
      <c r="D77" s="15">
        <v>9042407080210</v>
      </c>
      <c r="E77" t="s">
        <v>18</v>
      </c>
      <c r="F77" t="s">
        <v>18</v>
      </c>
      <c r="G77" s="2" t="s">
        <v>1490</v>
      </c>
    </row>
    <row r="78" spans="1:7" x14ac:dyDescent="0.25">
      <c r="A78" s="66" t="s">
        <v>1187</v>
      </c>
      <c r="B78" s="66" t="s">
        <v>1552</v>
      </c>
      <c r="C78" s="66" t="s">
        <v>1490</v>
      </c>
      <c r="D78" s="15">
        <v>9076505447400</v>
      </c>
      <c r="E78" t="s">
        <v>18</v>
      </c>
      <c r="F78" t="e">
        <v>#N/A</v>
      </c>
      <c r="G78" s="2" t="s">
        <v>1490</v>
      </c>
    </row>
    <row r="79" spans="1:7" x14ac:dyDescent="0.25">
      <c r="A79" s="66" t="s">
        <v>539</v>
      </c>
      <c r="B79" s="66" t="s">
        <v>540</v>
      </c>
      <c r="C79" s="66" t="s">
        <v>1490</v>
      </c>
      <c r="D79" s="15">
        <v>9042407023905</v>
      </c>
      <c r="E79" t="s">
        <v>18</v>
      </c>
      <c r="F79" t="s">
        <v>18</v>
      </c>
      <c r="G79" s="2" t="s">
        <v>1490</v>
      </c>
    </row>
    <row r="80" spans="1:7" x14ac:dyDescent="0.25">
      <c r="A80" s="66" t="s">
        <v>383</v>
      </c>
      <c r="B80" s="66" t="s">
        <v>1553</v>
      </c>
      <c r="C80" s="66" t="s">
        <v>1490</v>
      </c>
      <c r="D80" s="15">
        <v>9042407351512</v>
      </c>
      <c r="E80" t="s">
        <v>18</v>
      </c>
      <c r="F80" t="s">
        <v>18</v>
      </c>
      <c r="G80" s="2" t="s">
        <v>1490</v>
      </c>
    </row>
    <row r="81" spans="1:7" x14ac:dyDescent="0.25">
      <c r="A81" s="66" t="s">
        <v>775</v>
      </c>
      <c r="B81" s="66" t="s">
        <v>776</v>
      </c>
      <c r="C81" s="66" t="s">
        <v>1490</v>
      </c>
      <c r="D81" s="15">
        <v>9042408803503</v>
      </c>
      <c r="E81" t="s">
        <v>18</v>
      </c>
      <c r="F81" t="s">
        <v>18</v>
      </c>
      <c r="G81" s="2" t="s">
        <v>1490</v>
      </c>
    </row>
    <row r="82" spans="1:7" x14ac:dyDescent="0.25">
      <c r="A82" s="66" t="s">
        <v>534</v>
      </c>
      <c r="B82" s="66" t="s">
        <v>535</v>
      </c>
      <c r="C82" s="66" t="s">
        <v>1490</v>
      </c>
      <c r="D82" s="15">
        <v>9042408803834</v>
      </c>
      <c r="E82" t="s">
        <v>18</v>
      </c>
      <c r="F82" t="s">
        <v>18</v>
      </c>
      <c r="G82" s="2" t="s">
        <v>1490</v>
      </c>
    </row>
    <row r="83" spans="1:7" s="27" customFormat="1" x14ac:dyDescent="0.25">
      <c r="A83" s="77" t="s">
        <v>1554</v>
      </c>
      <c r="B83" s="77" t="s">
        <v>1521</v>
      </c>
      <c r="C83" s="77" t="s">
        <v>1490</v>
      </c>
      <c r="D83" s="26" t="e">
        <v>#N/A</v>
      </c>
      <c r="E83" s="27" t="e">
        <v>#N/A</v>
      </c>
      <c r="F83" s="27" t="e">
        <v>#N/A</v>
      </c>
      <c r="G83" s="28" t="e">
        <v>#N/A</v>
      </c>
    </row>
    <row r="84" spans="1:7" x14ac:dyDescent="0.25">
      <c r="A84" s="66" t="s">
        <v>112</v>
      </c>
      <c r="B84" s="66" t="s">
        <v>1555</v>
      </c>
      <c r="C84" s="66" t="s">
        <v>1490</v>
      </c>
      <c r="D84" s="15">
        <v>9042407983678</v>
      </c>
      <c r="E84" t="s">
        <v>18</v>
      </c>
      <c r="F84" t="s">
        <v>18</v>
      </c>
      <c r="G84" s="2" t="s">
        <v>1490</v>
      </c>
    </row>
    <row r="85" spans="1:7" x14ac:dyDescent="0.25">
      <c r="A85" s="66" t="s">
        <v>563</v>
      </c>
      <c r="B85" s="66" t="s">
        <v>564</v>
      </c>
      <c r="C85" s="66" t="s">
        <v>1490</v>
      </c>
      <c r="D85" s="15">
        <v>9042408340456</v>
      </c>
      <c r="E85" t="s">
        <v>18</v>
      </c>
      <c r="F85" t="s">
        <v>18</v>
      </c>
      <c r="G85" s="2" t="s">
        <v>1490</v>
      </c>
    </row>
    <row r="86" spans="1:7" x14ac:dyDescent="0.25">
      <c r="A86" s="66" t="s">
        <v>717</v>
      </c>
      <c r="B86" s="66" t="s">
        <v>718</v>
      </c>
      <c r="C86" s="66" t="s">
        <v>1490</v>
      </c>
      <c r="D86" s="15">
        <v>9042408803438</v>
      </c>
      <c r="E86" t="s">
        <v>18</v>
      </c>
      <c r="F86" t="s">
        <v>18</v>
      </c>
      <c r="G86" s="2" t="s">
        <v>1490</v>
      </c>
    </row>
    <row r="87" spans="1:7" x14ac:dyDescent="0.25">
      <c r="A87" s="66" t="s">
        <v>256</v>
      </c>
      <c r="B87" s="66" t="s">
        <v>1556</v>
      </c>
      <c r="C87" s="66" t="s">
        <v>1490</v>
      </c>
      <c r="D87" s="15">
        <v>9042408249046</v>
      </c>
      <c r="E87" t="s">
        <v>18</v>
      </c>
      <c r="F87" t="s">
        <v>18</v>
      </c>
      <c r="G87" s="2" t="s">
        <v>1490</v>
      </c>
    </row>
    <row r="88" spans="1:7" x14ac:dyDescent="0.25">
      <c r="A88" s="66" t="s">
        <v>511</v>
      </c>
      <c r="B88" s="66" t="s">
        <v>512</v>
      </c>
      <c r="C88" s="66" t="s">
        <v>1490</v>
      </c>
      <c r="D88" s="15">
        <v>9076505447459</v>
      </c>
      <c r="E88" t="s">
        <v>18</v>
      </c>
      <c r="F88" t="s">
        <v>18</v>
      </c>
      <c r="G88" s="2" t="s">
        <v>1490</v>
      </c>
    </row>
    <row r="89" spans="1:7" x14ac:dyDescent="0.25">
      <c r="A89" s="66" t="s">
        <v>840</v>
      </c>
      <c r="B89" s="66" t="s">
        <v>1557</v>
      </c>
      <c r="C89" s="66" t="s">
        <v>1490</v>
      </c>
      <c r="D89" s="15">
        <v>9042407266694</v>
      </c>
      <c r="E89" t="s">
        <v>18</v>
      </c>
      <c r="F89" t="s">
        <v>18</v>
      </c>
      <c r="G89" s="2" t="s">
        <v>1490</v>
      </c>
    </row>
    <row r="90" spans="1:7" x14ac:dyDescent="0.25">
      <c r="A90" s="66" t="s">
        <v>220</v>
      </c>
      <c r="B90" s="66" t="s">
        <v>1558</v>
      </c>
      <c r="C90" s="66" t="s">
        <v>1490</v>
      </c>
      <c r="D90" s="15">
        <v>9042408481680</v>
      </c>
      <c r="E90" t="s">
        <v>18</v>
      </c>
      <c r="F90" t="s">
        <v>18</v>
      </c>
      <c r="G90" s="2" t="s">
        <v>1490</v>
      </c>
    </row>
    <row r="91" spans="1:7" x14ac:dyDescent="0.25">
      <c r="A91" s="66" t="s">
        <v>868</v>
      </c>
      <c r="B91" s="66" t="s">
        <v>1559</v>
      </c>
      <c r="C91" s="66" t="s">
        <v>1490</v>
      </c>
      <c r="D91" s="15">
        <v>9042407986804</v>
      </c>
      <c r="E91" t="s">
        <v>18</v>
      </c>
      <c r="F91" t="s">
        <v>18</v>
      </c>
      <c r="G91" s="2" t="s">
        <v>1490</v>
      </c>
    </row>
    <row r="92" spans="1:7" x14ac:dyDescent="0.25">
      <c r="A92" s="66" t="s">
        <v>581</v>
      </c>
      <c r="B92" s="66" t="s">
        <v>582</v>
      </c>
      <c r="C92" s="66" t="s">
        <v>1490</v>
      </c>
      <c r="D92" s="15">
        <v>9042407400137</v>
      </c>
      <c r="E92" t="s">
        <v>18</v>
      </c>
      <c r="F92" t="s">
        <v>18</v>
      </c>
      <c r="G92" s="2" t="s">
        <v>1490</v>
      </c>
    </row>
    <row r="93" spans="1:7" x14ac:dyDescent="0.25">
      <c r="A93" s="66" t="s">
        <v>446</v>
      </c>
      <c r="B93" s="66" t="s">
        <v>447</v>
      </c>
      <c r="C93" s="66" t="s">
        <v>1490</v>
      </c>
      <c r="D93" s="15">
        <v>9042408483132</v>
      </c>
      <c r="E93" t="s">
        <v>18</v>
      </c>
      <c r="F93" t="e">
        <v>#N/A</v>
      </c>
      <c r="G93" s="2" t="s">
        <v>1490</v>
      </c>
    </row>
    <row r="94" spans="1:7" x14ac:dyDescent="0.25">
      <c r="A94" s="66" t="s">
        <v>709</v>
      </c>
      <c r="B94" s="66" t="s">
        <v>710</v>
      </c>
      <c r="C94" s="66" t="s">
        <v>1490</v>
      </c>
      <c r="D94" s="15">
        <v>9042408803875</v>
      </c>
      <c r="E94" t="s">
        <v>18</v>
      </c>
      <c r="F94" t="e">
        <v>#N/A</v>
      </c>
      <c r="G94" s="2" t="s">
        <v>1490</v>
      </c>
    </row>
    <row r="95" spans="1:7" x14ac:dyDescent="0.25">
      <c r="A95" s="66" t="s">
        <v>1376</v>
      </c>
      <c r="B95" s="66" t="s">
        <v>1560</v>
      </c>
      <c r="C95" s="66" t="s">
        <v>1490</v>
      </c>
      <c r="D95" s="15">
        <v>9042408601337</v>
      </c>
      <c r="E95" t="s">
        <v>18</v>
      </c>
      <c r="F95" t="s">
        <v>18</v>
      </c>
      <c r="G95" s="2" t="s">
        <v>1490</v>
      </c>
    </row>
    <row r="96" spans="1:7" x14ac:dyDescent="0.25">
      <c r="A96" s="66" t="s">
        <v>681</v>
      </c>
      <c r="B96" s="66" t="s">
        <v>682</v>
      </c>
      <c r="C96" s="66" t="s">
        <v>1490</v>
      </c>
      <c r="D96" s="15">
        <v>9042408340431</v>
      </c>
      <c r="E96" t="s">
        <v>18</v>
      </c>
      <c r="F96" t="s">
        <v>18</v>
      </c>
      <c r="G96" s="2" t="s">
        <v>1490</v>
      </c>
    </row>
    <row r="97" spans="1:7" x14ac:dyDescent="0.25">
      <c r="A97" s="66" t="s">
        <v>1561</v>
      </c>
      <c r="B97" s="66" t="s">
        <v>1562</v>
      </c>
      <c r="C97" s="66" t="s">
        <v>1490</v>
      </c>
      <c r="D97" s="15">
        <v>9042408599390</v>
      </c>
      <c r="E97" t="s">
        <v>18</v>
      </c>
      <c r="F97" t="s">
        <v>18</v>
      </c>
      <c r="G97" s="2" t="s">
        <v>1490</v>
      </c>
    </row>
    <row r="98" spans="1:7" x14ac:dyDescent="0.25">
      <c r="A98" s="66" t="s">
        <v>519</v>
      </c>
      <c r="B98" s="66" t="s">
        <v>520</v>
      </c>
      <c r="C98" s="66" t="s">
        <v>1490</v>
      </c>
      <c r="D98" s="15">
        <v>9076509186582</v>
      </c>
      <c r="E98" t="s">
        <v>18</v>
      </c>
      <c r="F98" t="s">
        <v>18</v>
      </c>
      <c r="G98" s="2" t="s">
        <v>1490</v>
      </c>
    </row>
    <row r="99" spans="1:7" x14ac:dyDescent="0.25">
      <c r="A99" s="66" t="s">
        <v>476</v>
      </c>
      <c r="B99" s="66" t="s">
        <v>477</v>
      </c>
      <c r="C99" s="66" t="s">
        <v>1490</v>
      </c>
      <c r="D99" s="15">
        <v>9042408804014</v>
      </c>
      <c r="E99" t="s">
        <v>18</v>
      </c>
      <c r="F99" t="s">
        <v>18</v>
      </c>
      <c r="G99" s="2" t="s">
        <v>1490</v>
      </c>
    </row>
    <row r="100" spans="1:7" x14ac:dyDescent="0.25">
      <c r="A100" s="66" t="s">
        <v>638</v>
      </c>
      <c r="B100" s="66" t="s">
        <v>639</v>
      </c>
      <c r="C100" s="66" t="s">
        <v>1490</v>
      </c>
      <c r="D100" s="15">
        <v>9042408970310</v>
      </c>
      <c r="E100" t="s">
        <v>18</v>
      </c>
      <c r="F100" t="s">
        <v>18</v>
      </c>
      <c r="G100" s="2" t="s">
        <v>1490</v>
      </c>
    </row>
    <row r="101" spans="1:7" x14ac:dyDescent="0.25">
      <c r="A101" s="66" t="s">
        <v>231</v>
      </c>
      <c r="B101" s="66" t="s">
        <v>1563</v>
      </c>
      <c r="C101" s="66" t="s">
        <v>1490</v>
      </c>
      <c r="D101" s="15">
        <v>9076509186590</v>
      </c>
      <c r="E101" t="s">
        <v>18</v>
      </c>
      <c r="F101" t="s">
        <v>18</v>
      </c>
      <c r="G101" s="2" t="s">
        <v>1490</v>
      </c>
    </row>
    <row r="102" spans="1:7" x14ac:dyDescent="0.25">
      <c r="A102" s="66" t="s">
        <v>376</v>
      </c>
      <c r="B102" s="66" t="s">
        <v>1564</v>
      </c>
      <c r="C102" s="66" t="s">
        <v>1490</v>
      </c>
      <c r="D102" s="15">
        <v>9042408803511</v>
      </c>
      <c r="E102" t="s">
        <v>18</v>
      </c>
      <c r="F102" t="s">
        <v>18</v>
      </c>
      <c r="G102" s="2" t="s">
        <v>1490</v>
      </c>
    </row>
    <row r="103" spans="1:7" x14ac:dyDescent="0.25">
      <c r="A103" s="66" t="s">
        <v>625</v>
      </c>
      <c r="B103" s="66" t="s">
        <v>626</v>
      </c>
      <c r="C103" s="66" t="s">
        <v>1490</v>
      </c>
      <c r="D103" s="15">
        <v>9042408970153</v>
      </c>
      <c r="E103" t="s">
        <v>18</v>
      </c>
      <c r="F103" t="e">
        <v>#N/A</v>
      </c>
      <c r="G103" s="2" t="s">
        <v>1490</v>
      </c>
    </row>
    <row r="104" spans="1:7" x14ac:dyDescent="0.25">
      <c r="A104" s="66" t="s">
        <v>1301</v>
      </c>
      <c r="B104" s="66" t="s">
        <v>1565</v>
      </c>
      <c r="C104" s="66" t="s">
        <v>1490</v>
      </c>
      <c r="D104" s="15">
        <v>9042408340449</v>
      </c>
      <c r="E104" t="s">
        <v>18</v>
      </c>
      <c r="F104" t="s">
        <v>18</v>
      </c>
      <c r="G104" s="2" t="s">
        <v>1490</v>
      </c>
    </row>
    <row r="105" spans="1:7" x14ac:dyDescent="0.25">
      <c r="A105" s="66" t="s">
        <v>103</v>
      </c>
      <c r="B105" s="66" t="s">
        <v>1566</v>
      </c>
      <c r="C105" s="66" t="s">
        <v>1490</v>
      </c>
      <c r="D105" s="15">
        <v>9042407752164</v>
      </c>
      <c r="E105" t="s">
        <v>18</v>
      </c>
      <c r="F105" t="s">
        <v>18</v>
      </c>
      <c r="G105" s="2" t="s">
        <v>1490</v>
      </c>
    </row>
    <row r="106" spans="1:7" x14ac:dyDescent="0.25">
      <c r="A106" s="66" t="s">
        <v>745</v>
      </c>
      <c r="B106" s="66" t="s">
        <v>746</v>
      </c>
      <c r="C106" s="66" t="s">
        <v>1490</v>
      </c>
      <c r="D106" s="15">
        <v>9042407752081</v>
      </c>
      <c r="E106" t="s">
        <v>18</v>
      </c>
      <c r="F106" t="s">
        <v>18</v>
      </c>
      <c r="G106" s="2" t="s">
        <v>1490</v>
      </c>
    </row>
    <row r="107" spans="1:7" x14ac:dyDescent="0.25">
      <c r="A107" s="66" t="s">
        <v>1403</v>
      </c>
      <c r="B107" s="66" t="s">
        <v>1567</v>
      </c>
      <c r="C107" s="66" t="s">
        <v>1490</v>
      </c>
      <c r="D107" s="15">
        <v>9042408970294</v>
      </c>
      <c r="E107" t="s">
        <v>18</v>
      </c>
      <c r="F107" t="s">
        <v>18</v>
      </c>
      <c r="G107" s="2" t="s">
        <v>1490</v>
      </c>
    </row>
    <row r="108" spans="1:7" x14ac:dyDescent="0.25">
      <c r="A108" s="66" t="s">
        <v>386</v>
      </c>
      <c r="B108" s="66" t="s">
        <v>1568</v>
      </c>
      <c r="C108" s="66" t="s">
        <v>1490</v>
      </c>
      <c r="D108" s="15">
        <v>9042407024028</v>
      </c>
      <c r="E108" t="s">
        <v>18</v>
      </c>
      <c r="F108" t="s">
        <v>18</v>
      </c>
      <c r="G108" s="2" t="s">
        <v>1490</v>
      </c>
    </row>
    <row r="109" spans="1:7" x14ac:dyDescent="0.25">
      <c r="A109" s="79" t="s">
        <v>282</v>
      </c>
      <c r="B109" s="66" t="s">
        <v>1569</v>
      </c>
      <c r="C109" s="66" t="s">
        <v>1490</v>
      </c>
      <c r="D109" s="15">
        <v>9042408481839</v>
      </c>
      <c r="E109" t="s">
        <v>18</v>
      </c>
      <c r="F109" t="s">
        <v>18</v>
      </c>
      <c r="G109" s="2" t="s">
        <v>1490</v>
      </c>
    </row>
    <row r="110" spans="1:7" x14ac:dyDescent="0.25">
      <c r="A110" s="66" t="s">
        <v>244</v>
      </c>
      <c r="B110" s="66" t="s">
        <v>1570</v>
      </c>
      <c r="C110" s="66" t="s">
        <v>1490</v>
      </c>
      <c r="D110" s="15">
        <v>9042408970369</v>
      </c>
      <c r="E110" t="s">
        <v>18</v>
      </c>
      <c r="F110" t="s">
        <v>18</v>
      </c>
      <c r="G110" s="2" t="s">
        <v>1490</v>
      </c>
    </row>
    <row r="111" spans="1:7" x14ac:dyDescent="0.25">
      <c r="A111" s="66" t="s">
        <v>229</v>
      </c>
      <c r="B111" s="66" t="s">
        <v>230</v>
      </c>
      <c r="C111" s="66" t="s">
        <v>1490</v>
      </c>
      <c r="D111" s="15">
        <v>9042408970518</v>
      </c>
      <c r="E111" t="s">
        <v>18</v>
      </c>
      <c r="F111" t="s">
        <v>18</v>
      </c>
      <c r="G111" s="2" t="s">
        <v>1490</v>
      </c>
    </row>
    <row r="112" spans="1:7" x14ac:dyDescent="0.25">
      <c r="A112" s="66" t="s">
        <v>483</v>
      </c>
      <c r="B112" s="66" t="s">
        <v>484</v>
      </c>
      <c r="C112" s="66" t="s">
        <v>1490</v>
      </c>
      <c r="D112" s="15">
        <v>9076505447210</v>
      </c>
      <c r="E112" t="s">
        <v>18</v>
      </c>
      <c r="F112" t="s">
        <v>18</v>
      </c>
      <c r="G112" s="2" t="s">
        <v>1490</v>
      </c>
    </row>
    <row r="113" spans="1:7" x14ac:dyDescent="0.25">
      <c r="A113" s="66" t="s">
        <v>307</v>
      </c>
      <c r="B113" s="66" t="s">
        <v>1571</v>
      </c>
      <c r="C113" s="66" t="s">
        <v>1490</v>
      </c>
      <c r="D113" s="15">
        <v>9076505447269</v>
      </c>
      <c r="E113" t="s">
        <v>18</v>
      </c>
      <c r="F113" t="s">
        <v>18</v>
      </c>
      <c r="G113" s="2" t="s">
        <v>1490</v>
      </c>
    </row>
    <row r="114" spans="1:7" x14ac:dyDescent="0.25">
      <c r="A114" s="66" t="s">
        <v>176</v>
      </c>
      <c r="B114" s="66" t="s">
        <v>1572</v>
      </c>
      <c r="C114" s="66" t="s">
        <v>1490</v>
      </c>
      <c r="D114" s="15">
        <v>9042408804006</v>
      </c>
      <c r="E114" t="s">
        <v>18</v>
      </c>
      <c r="F114" t="s">
        <v>18</v>
      </c>
      <c r="G114" s="2" t="s">
        <v>1490</v>
      </c>
    </row>
    <row r="115" spans="1:7" x14ac:dyDescent="0.25">
      <c r="A115" s="73" t="s">
        <v>1573</v>
      </c>
      <c r="B115" s="66" t="e">
        <v>#N/A</v>
      </c>
      <c r="C115" s="73" t="s">
        <v>1490</v>
      </c>
      <c r="D115" s="15" t="e">
        <v>#N/A</v>
      </c>
      <c r="E115" t="e">
        <v>#N/A</v>
      </c>
      <c r="F115" t="e">
        <v>#N/A</v>
      </c>
      <c r="G115" s="2" t="e">
        <v>#N/A</v>
      </c>
    </row>
    <row r="116" spans="1:7" x14ac:dyDescent="0.25">
      <c r="A116" s="66" t="s">
        <v>56</v>
      </c>
      <c r="B116" s="66" t="s">
        <v>1574</v>
      </c>
      <c r="C116" s="66" t="s">
        <v>1490</v>
      </c>
      <c r="D116" s="15">
        <v>9042408340548</v>
      </c>
      <c r="E116" t="s">
        <v>18</v>
      </c>
      <c r="F116" t="s">
        <v>18</v>
      </c>
      <c r="G116" s="2" t="s">
        <v>1490</v>
      </c>
    </row>
    <row r="117" spans="1:7" x14ac:dyDescent="0.25">
      <c r="A117" s="73" t="s">
        <v>1575</v>
      </c>
      <c r="B117" s="66" t="e">
        <v>#N/A</v>
      </c>
      <c r="C117" s="73" t="s">
        <v>1490</v>
      </c>
      <c r="D117" s="15" t="e">
        <v>#N/A</v>
      </c>
      <c r="E117" t="e">
        <v>#N/A</v>
      </c>
      <c r="F117" t="e">
        <v>#N/A</v>
      </c>
      <c r="G117" s="2" t="e">
        <v>#N/A</v>
      </c>
    </row>
    <row r="118" spans="1:7" x14ac:dyDescent="0.25">
      <c r="A118" s="66" t="s">
        <v>183</v>
      </c>
      <c r="B118" s="66" t="s">
        <v>1576</v>
      </c>
      <c r="C118" s="66" t="s">
        <v>1490</v>
      </c>
      <c r="D118" s="15">
        <v>9042407024010</v>
      </c>
      <c r="E118" t="s">
        <v>18</v>
      </c>
      <c r="F118" t="s">
        <v>18</v>
      </c>
      <c r="G118" s="2" t="s">
        <v>1490</v>
      </c>
    </row>
    <row r="119" spans="1:7" x14ac:dyDescent="0.25">
      <c r="A119" s="66" t="s">
        <v>154</v>
      </c>
      <c r="B119" s="66" t="s">
        <v>1577</v>
      </c>
      <c r="C119" s="66" t="s">
        <v>1490</v>
      </c>
      <c r="D119" s="15">
        <v>9042408970476</v>
      </c>
      <c r="E119" t="s">
        <v>18</v>
      </c>
      <c r="F119" t="e">
        <v>#N/A</v>
      </c>
      <c r="G119" s="2" t="s">
        <v>1490</v>
      </c>
    </row>
    <row r="120" spans="1:7" x14ac:dyDescent="0.25">
      <c r="A120" s="66" t="s">
        <v>693</v>
      </c>
      <c r="B120" s="66" t="s">
        <v>694</v>
      </c>
      <c r="C120" s="66" t="s">
        <v>1490</v>
      </c>
      <c r="D120" s="15">
        <v>9042408970179</v>
      </c>
      <c r="E120" t="s">
        <v>18</v>
      </c>
      <c r="F120" t="e">
        <v>#N/A</v>
      </c>
      <c r="G120" s="2" t="s">
        <v>1490</v>
      </c>
    </row>
    <row r="121" spans="1:7" x14ac:dyDescent="0.25">
      <c r="A121" s="66" t="s">
        <v>237</v>
      </c>
      <c r="B121" s="66" t="s">
        <v>238</v>
      </c>
      <c r="C121" s="66" t="s">
        <v>1490</v>
      </c>
      <c r="D121" s="15">
        <v>9042407024119</v>
      </c>
      <c r="E121" t="s">
        <v>18</v>
      </c>
      <c r="F121" t="s">
        <v>18</v>
      </c>
      <c r="G121" s="2" t="s">
        <v>1490</v>
      </c>
    </row>
    <row r="122" spans="1:7" x14ac:dyDescent="0.25">
      <c r="A122" s="66" t="s">
        <v>505</v>
      </c>
      <c r="B122" s="66" t="s">
        <v>506</v>
      </c>
      <c r="C122" s="66" t="s">
        <v>1490</v>
      </c>
      <c r="D122" s="15">
        <v>9042408340472</v>
      </c>
      <c r="E122" t="s">
        <v>18</v>
      </c>
      <c r="F122" t="s">
        <v>18</v>
      </c>
      <c r="G122" s="2" t="s">
        <v>1490</v>
      </c>
    </row>
    <row r="123" spans="1:7" x14ac:dyDescent="0.25">
      <c r="A123" s="66" t="s">
        <v>600</v>
      </c>
      <c r="B123" s="66" t="s">
        <v>601</v>
      </c>
      <c r="C123" s="66" t="s">
        <v>1490</v>
      </c>
      <c r="D123" s="15">
        <v>9042407024036</v>
      </c>
      <c r="E123" t="s">
        <v>18</v>
      </c>
      <c r="F123" t="s">
        <v>18</v>
      </c>
      <c r="G123" s="2" t="s">
        <v>1490</v>
      </c>
    </row>
    <row r="124" spans="1:7" x14ac:dyDescent="0.25">
      <c r="A124" s="66" t="s">
        <v>394</v>
      </c>
      <c r="B124" s="66" t="s">
        <v>1578</v>
      </c>
      <c r="C124" s="66" t="s">
        <v>1490</v>
      </c>
      <c r="D124" s="15">
        <v>9042407552028</v>
      </c>
      <c r="E124" t="s">
        <v>18</v>
      </c>
      <c r="F124" t="s">
        <v>18</v>
      </c>
      <c r="G124" s="2" t="s">
        <v>1490</v>
      </c>
    </row>
    <row r="125" spans="1:7" x14ac:dyDescent="0.25">
      <c r="A125" s="66" t="s">
        <v>1058</v>
      </c>
      <c r="B125" s="66" t="s">
        <v>1579</v>
      </c>
      <c r="C125" s="66" t="s">
        <v>1490</v>
      </c>
      <c r="D125" s="15">
        <v>9076505447145</v>
      </c>
      <c r="E125" t="s">
        <v>18</v>
      </c>
      <c r="F125" t="s">
        <v>18</v>
      </c>
      <c r="G125" s="2" t="s">
        <v>1490</v>
      </c>
    </row>
    <row r="126" spans="1:7" x14ac:dyDescent="0.25">
      <c r="A126" s="66" t="s">
        <v>543</v>
      </c>
      <c r="B126" s="66" t="s">
        <v>544</v>
      </c>
      <c r="C126" s="66" t="s">
        <v>1490</v>
      </c>
      <c r="D126" s="15">
        <v>9042407983603</v>
      </c>
      <c r="E126" t="s">
        <v>18</v>
      </c>
      <c r="F126" t="s">
        <v>18</v>
      </c>
      <c r="G126" s="2" t="s">
        <v>1490</v>
      </c>
    </row>
    <row r="127" spans="1:7" x14ac:dyDescent="0.25">
      <c r="A127" s="66" t="s">
        <v>339</v>
      </c>
      <c r="B127" s="66" t="s">
        <v>1580</v>
      </c>
      <c r="C127" s="66" t="s">
        <v>1490</v>
      </c>
      <c r="D127" s="15">
        <v>9042407080517</v>
      </c>
      <c r="E127" t="s">
        <v>18</v>
      </c>
      <c r="F127" t="s">
        <v>18</v>
      </c>
      <c r="G127" s="2" t="s">
        <v>1490</v>
      </c>
    </row>
    <row r="128" spans="1:7" x14ac:dyDescent="0.25">
      <c r="A128" s="66" t="s">
        <v>545</v>
      </c>
      <c r="B128" s="66" t="s">
        <v>546</v>
      </c>
      <c r="C128" s="66" t="s">
        <v>1490</v>
      </c>
      <c r="D128" s="15">
        <v>9042408249251</v>
      </c>
      <c r="E128" t="s">
        <v>18</v>
      </c>
      <c r="F128" t="s">
        <v>18</v>
      </c>
      <c r="G128" s="2" t="s">
        <v>1490</v>
      </c>
    </row>
    <row r="129" spans="1:7" x14ac:dyDescent="0.25">
      <c r="A129" s="66" t="s">
        <v>1581</v>
      </c>
      <c r="B129" s="66" t="s">
        <v>1582</v>
      </c>
      <c r="C129" s="66" t="s">
        <v>1490</v>
      </c>
      <c r="D129" s="15">
        <v>9042407986853</v>
      </c>
      <c r="E129" t="s">
        <v>18</v>
      </c>
      <c r="F129" t="s">
        <v>18</v>
      </c>
      <c r="G129" s="2" t="s">
        <v>1490</v>
      </c>
    </row>
    <row r="130" spans="1:7" x14ac:dyDescent="0.25">
      <c r="A130" s="66" t="s">
        <v>488</v>
      </c>
      <c r="B130" s="66" t="s">
        <v>489</v>
      </c>
      <c r="C130" s="66" t="s">
        <v>1490</v>
      </c>
      <c r="D130" s="15">
        <v>9042408482993</v>
      </c>
      <c r="E130" t="s">
        <v>18</v>
      </c>
      <c r="F130" t="e">
        <v>#N/A</v>
      </c>
      <c r="G130" s="2" t="s">
        <v>1490</v>
      </c>
    </row>
    <row r="131" spans="1:7" x14ac:dyDescent="0.25">
      <c r="A131" s="66" t="s">
        <v>521</v>
      </c>
      <c r="B131" s="66" t="s">
        <v>522</v>
      </c>
      <c r="C131" s="66" t="s">
        <v>1490</v>
      </c>
      <c r="D131" s="15">
        <v>9042408249269</v>
      </c>
      <c r="E131" t="s">
        <v>18</v>
      </c>
      <c r="F131" t="s">
        <v>18</v>
      </c>
      <c r="G131" s="2" t="s">
        <v>1490</v>
      </c>
    </row>
    <row r="132" spans="1:7" x14ac:dyDescent="0.25">
      <c r="A132" s="66" t="s">
        <v>411</v>
      </c>
      <c r="B132" s="66" t="s">
        <v>412</v>
      </c>
      <c r="C132" s="66" t="s">
        <v>1490</v>
      </c>
      <c r="D132" s="15">
        <v>9042408803487</v>
      </c>
      <c r="E132" t="s">
        <v>18</v>
      </c>
      <c r="F132" t="s">
        <v>18</v>
      </c>
      <c r="G132" s="2" t="s">
        <v>1490</v>
      </c>
    </row>
    <row r="133" spans="1:7" x14ac:dyDescent="0.25">
      <c r="A133" s="66" t="s">
        <v>573</v>
      </c>
      <c r="B133" s="66" t="s">
        <v>574</v>
      </c>
      <c r="C133" s="66" t="s">
        <v>1490</v>
      </c>
      <c r="D133" s="15">
        <v>9076505447251</v>
      </c>
      <c r="E133" t="s">
        <v>18</v>
      </c>
      <c r="F133" t="s">
        <v>18</v>
      </c>
      <c r="G133" s="2" t="s">
        <v>1490</v>
      </c>
    </row>
    <row r="134" spans="1:7" x14ac:dyDescent="0.25">
      <c r="A134" s="66" t="s">
        <v>400</v>
      </c>
      <c r="B134" s="66" t="s">
        <v>401</v>
      </c>
      <c r="C134" s="66" t="s">
        <v>1490</v>
      </c>
      <c r="D134" s="15">
        <v>9042408340407</v>
      </c>
      <c r="E134" t="s">
        <v>18</v>
      </c>
      <c r="F134" t="e">
        <v>#N/A</v>
      </c>
      <c r="G134" s="2" t="s">
        <v>1490</v>
      </c>
    </row>
    <row r="135" spans="1:7" x14ac:dyDescent="0.25">
      <c r="A135" s="80" t="s">
        <v>92</v>
      </c>
      <c r="B135" s="66" t="s">
        <v>93</v>
      </c>
      <c r="C135" s="80" t="s">
        <v>1490</v>
      </c>
      <c r="D135" s="15">
        <v>9076509301694</v>
      </c>
      <c r="E135" t="s">
        <v>18</v>
      </c>
      <c r="F135" t="e">
        <v>#N/A</v>
      </c>
      <c r="G135" s="2" t="s">
        <v>1490</v>
      </c>
    </row>
    <row r="136" spans="1:7" x14ac:dyDescent="0.25">
      <c r="A136" s="66" t="s">
        <v>133</v>
      </c>
      <c r="B136" s="66" t="s">
        <v>1583</v>
      </c>
      <c r="C136" s="66" t="s">
        <v>1490</v>
      </c>
      <c r="D136" s="15">
        <v>9042407080558</v>
      </c>
      <c r="E136" t="s">
        <v>18</v>
      </c>
      <c r="F136" t="e">
        <v>#N/A</v>
      </c>
      <c r="G136" s="2" t="s">
        <v>1490</v>
      </c>
    </row>
    <row r="137" spans="1:7" x14ac:dyDescent="0.25">
      <c r="A137" s="66" t="s">
        <v>1584</v>
      </c>
      <c r="B137" s="66" t="s">
        <v>1585</v>
      </c>
      <c r="C137" s="66" t="s">
        <v>1490</v>
      </c>
      <c r="D137" s="15">
        <v>9042407986838</v>
      </c>
      <c r="E137" t="s">
        <v>18</v>
      </c>
      <c r="F137" t="e">
        <v>#N/A</v>
      </c>
      <c r="G137" s="2" t="s">
        <v>1490</v>
      </c>
    </row>
    <row r="138" spans="1:7" x14ac:dyDescent="0.25">
      <c r="A138" s="66" t="s">
        <v>165</v>
      </c>
      <c r="B138" s="66" t="s">
        <v>1586</v>
      </c>
      <c r="C138" s="66" t="s">
        <v>1490</v>
      </c>
      <c r="D138" s="15">
        <v>9042407552119</v>
      </c>
      <c r="E138" t="s">
        <v>18</v>
      </c>
      <c r="F138" t="e">
        <v>#N/A</v>
      </c>
      <c r="G138" s="2" t="s">
        <v>1490</v>
      </c>
    </row>
    <row r="139" spans="1:7" x14ac:dyDescent="0.25">
      <c r="A139" s="66" t="s">
        <v>242</v>
      </c>
      <c r="B139" s="66" t="s">
        <v>1587</v>
      </c>
      <c r="C139" s="66" t="s">
        <v>1490</v>
      </c>
      <c r="D139" s="15">
        <v>9042407399966</v>
      </c>
      <c r="E139" t="s">
        <v>18</v>
      </c>
      <c r="F139" t="s">
        <v>18</v>
      </c>
      <c r="G139" s="2" t="s">
        <v>1490</v>
      </c>
    </row>
    <row r="140" spans="1:7" x14ac:dyDescent="0.25">
      <c r="A140" s="66" t="s">
        <v>138</v>
      </c>
      <c r="B140" s="66" t="s">
        <v>1588</v>
      </c>
      <c r="C140" s="66" t="s">
        <v>1490</v>
      </c>
      <c r="D140" s="15">
        <v>9042408340522</v>
      </c>
      <c r="E140" t="s">
        <v>18</v>
      </c>
      <c r="F140" t="e">
        <v>#N/A</v>
      </c>
      <c r="G140" s="2" t="s">
        <v>1490</v>
      </c>
    </row>
    <row r="141" spans="1:7" x14ac:dyDescent="0.25">
      <c r="A141" s="66" t="s">
        <v>131</v>
      </c>
      <c r="B141" s="66" t="s">
        <v>1589</v>
      </c>
      <c r="C141" s="66" t="s">
        <v>1490</v>
      </c>
      <c r="D141" s="15">
        <v>9076509186632</v>
      </c>
      <c r="E141" t="s">
        <v>18</v>
      </c>
      <c r="F141" t="e">
        <v>#N/A</v>
      </c>
      <c r="G141" s="2" t="s">
        <v>1490</v>
      </c>
    </row>
    <row r="142" spans="1:7" x14ac:dyDescent="0.25">
      <c r="A142" s="66" t="s">
        <v>565</v>
      </c>
      <c r="B142" s="66" t="s">
        <v>566</v>
      </c>
      <c r="C142" s="66" t="s">
        <v>1490</v>
      </c>
      <c r="D142" s="15">
        <v>9042407351702</v>
      </c>
      <c r="E142" t="s">
        <v>18</v>
      </c>
      <c r="F142" t="e">
        <v>#N/A</v>
      </c>
      <c r="G142" s="2" t="s">
        <v>1490</v>
      </c>
    </row>
    <row r="143" spans="1:7" x14ac:dyDescent="0.25">
      <c r="A143" s="66" t="s">
        <v>763</v>
      </c>
      <c r="B143" s="66" t="s">
        <v>764</v>
      </c>
      <c r="C143" s="66" t="s">
        <v>1490</v>
      </c>
      <c r="D143" s="15">
        <v>9042408803743</v>
      </c>
      <c r="E143" t="s">
        <v>18</v>
      </c>
      <c r="F143" t="e">
        <v>#N/A</v>
      </c>
      <c r="G143" s="2" t="s">
        <v>1490</v>
      </c>
    </row>
    <row r="144" spans="1:7" x14ac:dyDescent="0.25">
      <c r="A144" s="66" t="s">
        <v>711</v>
      </c>
      <c r="B144" s="66" t="s">
        <v>712</v>
      </c>
      <c r="C144" s="66" t="s">
        <v>1490</v>
      </c>
      <c r="D144" s="15">
        <v>9076509186707</v>
      </c>
      <c r="E144" t="s">
        <v>18</v>
      </c>
      <c r="F144" t="e">
        <v>#N/A</v>
      </c>
      <c r="G144" s="2" t="s">
        <v>1490</v>
      </c>
    </row>
    <row r="145" spans="1:7" x14ac:dyDescent="0.25">
      <c r="A145" s="66" t="s">
        <v>292</v>
      </c>
      <c r="B145" s="66" t="s">
        <v>1590</v>
      </c>
      <c r="C145" s="66" t="s">
        <v>1490</v>
      </c>
      <c r="D145" s="15">
        <v>9042407552077</v>
      </c>
      <c r="E145" t="s">
        <v>18</v>
      </c>
      <c r="F145" t="e">
        <v>#N/A</v>
      </c>
      <c r="G145" s="2" t="s">
        <v>1490</v>
      </c>
    </row>
    <row r="146" spans="1:7" s="27" customFormat="1" x14ac:dyDescent="0.25">
      <c r="A146" s="77" t="s">
        <v>276</v>
      </c>
      <c r="B146" s="77" t="s">
        <v>1591</v>
      </c>
      <c r="C146" s="77" t="s">
        <v>1490</v>
      </c>
      <c r="D146" s="26" t="e">
        <v>#N/A</v>
      </c>
      <c r="E146" s="27" t="e">
        <v>#N/A</v>
      </c>
      <c r="F146" s="27" t="e">
        <v>#N/A</v>
      </c>
      <c r="G146" s="28" t="e">
        <v>#N/A</v>
      </c>
    </row>
    <row r="147" spans="1:7" x14ac:dyDescent="0.25">
      <c r="A147" s="66" t="s">
        <v>392</v>
      </c>
      <c r="B147" s="66" t="s">
        <v>1592</v>
      </c>
      <c r="C147" s="66" t="s">
        <v>1490</v>
      </c>
      <c r="D147" s="15">
        <v>9076509301777</v>
      </c>
      <c r="E147" t="s">
        <v>18</v>
      </c>
      <c r="F147" t="e">
        <v>#N/A</v>
      </c>
      <c r="G147" s="2" t="s">
        <v>1490</v>
      </c>
    </row>
    <row r="148" spans="1:7" x14ac:dyDescent="0.25">
      <c r="A148" s="66" t="s">
        <v>1593</v>
      </c>
      <c r="B148" s="66" t="s">
        <v>1594</v>
      </c>
      <c r="C148" s="66" t="s">
        <v>1490</v>
      </c>
      <c r="D148" s="15">
        <v>9042407986739</v>
      </c>
      <c r="E148" t="s">
        <v>18</v>
      </c>
      <c r="F148" t="e">
        <v>#N/A</v>
      </c>
      <c r="G148" s="2" t="s">
        <v>1490</v>
      </c>
    </row>
    <row r="149" spans="1:7" x14ac:dyDescent="0.25">
      <c r="A149" s="66" t="s">
        <v>1595</v>
      </c>
      <c r="B149" s="66" t="s">
        <v>1591</v>
      </c>
      <c r="C149" s="66" t="s">
        <v>1490</v>
      </c>
      <c r="D149" s="15" t="e">
        <v>#N/A</v>
      </c>
      <c r="E149" t="e">
        <v>#N/A</v>
      </c>
      <c r="F149" t="e">
        <v>#N/A</v>
      </c>
      <c r="G149" s="2" t="e">
        <v>#N/A</v>
      </c>
    </row>
    <row r="150" spans="1:7" x14ac:dyDescent="0.25">
      <c r="A150" s="66" t="s">
        <v>941</v>
      </c>
      <c r="B150" s="66" t="s">
        <v>1596</v>
      </c>
      <c r="C150" s="66" t="s">
        <v>1490</v>
      </c>
      <c r="D150" s="15">
        <v>9042408970377</v>
      </c>
      <c r="E150" t="s">
        <v>18</v>
      </c>
      <c r="F150" t="e">
        <v>#N/A</v>
      </c>
      <c r="G150" s="2" t="s">
        <v>1490</v>
      </c>
    </row>
    <row r="151" spans="1:7" x14ac:dyDescent="0.25">
      <c r="A151" s="66" t="s">
        <v>801</v>
      </c>
      <c r="B151" s="66" t="s">
        <v>802</v>
      </c>
      <c r="C151" s="66" t="s">
        <v>1490</v>
      </c>
      <c r="D151" s="15">
        <v>9042408483074</v>
      </c>
      <c r="E151" t="s">
        <v>18</v>
      </c>
      <c r="F151" t="e">
        <v>#N/A</v>
      </c>
      <c r="G151" s="2" t="s">
        <v>1490</v>
      </c>
    </row>
    <row r="152" spans="1:7" x14ac:dyDescent="0.25">
      <c r="A152" s="66" t="s">
        <v>293</v>
      </c>
      <c r="B152" s="66" t="s">
        <v>1597</v>
      </c>
      <c r="C152" s="66" t="s">
        <v>1490</v>
      </c>
      <c r="D152" s="15">
        <v>9042408599408</v>
      </c>
      <c r="E152" t="s">
        <v>18</v>
      </c>
      <c r="F152" t="e">
        <v>#N/A</v>
      </c>
      <c r="G152" s="2" t="s">
        <v>1490</v>
      </c>
    </row>
    <row r="153" spans="1:7" x14ac:dyDescent="0.25">
      <c r="A153" s="66" t="s">
        <v>274</v>
      </c>
      <c r="B153" s="66" t="s">
        <v>1598</v>
      </c>
      <c r="C153" s="66" t="s">
        <v>1490</v>
      </c>
      <c r="D153" s="15">
        <v>9042408599416</v>
      </c>
      <c r="E153" t="s">
        <v>18</v>
      </c>
      <c r="F153" t="e">
        <v>#N/A</v>
      </c>
      <c r="G153" s="2" t="s">
        <v>1490</v>
      </c>
    </row>
    <row r="154" spans="1:7" s="33" customFormat="1" x14ac:dyDescent="0.25">
      <c r="A154" s="81" t="s">
        <v>1599</v>
      </c>
      <c r="B154" s="81" t="s">
        <v>1534</v>
      </c>
      <c r="C154" s="81" t="s">
        <v>1490</v>
      </c>
      <c r="D154" s="32" t="e">
        <v>#N/A</v>
      </c>
      <c r="E154" s="33" t="e">
        <v>#N/A</v>
      </c>
      <c r="F154" s="33" t="e">
        <v>#N/A</v>
      </c>
      <c r="G154" s="34" t="e">
        <v>#N/A</v>
      </c>
    </row>
    <row r="155" spans="1:7" x14ac:dyDescent="0.25">
      <c r="A155" s="66" t="s">
        <v>351</v>
      </c>
      <c r="B155" s="66" t="s">
        <v>1600</v>
      </c>
      <c r="C155" s="66" t="s">
        <v>1490</v>
      </c>
      <c r="D155" s="15">
        <v>9076509301660</v>
      </c>
      <c r="E155" t="s">
        <v>18</v>
      </c>
      <c r="F155" t="e">
        <v>#N/A</v>
      </c>
      <c r="G155" s="2" t="s">
        <v>1490</v>
      </c>
    </row>
    <row r="156" spans="1:7" x14ac:dyDescent="0.25">
      <c r="A156" s="66" t="s">
        <v>1165</v>
      </c>
      <c r="B156" s="66" t="s">
        <v>1601</v>
      </c>
      <c r="C156" s="66" t="s">
        <v>1490</v>
      </c>
      <c r="D156" s="15">
        <v>9042407266629</v>
      </c>
      <c r="E156" t="s">
        <v>18</v>
      </c>
      <c r="F156" t="e">
        <v>#N/A</v>
      </c>
      <c r="G156" s="2" t="s">
        <v>1490</v>
      </c>
    </row>
    <row r="157" spans="1:7" x14ac:dyDescent="0.25">
      <c r="A157" s="66" t="s">
        <v>200</v>
      </c>
      <c r="B157" s="66" t="s">
        <v>201</v>
      </c>
      <c r="C157" s="66" t="s">
        <v>1490</v>
      </c>
      <c r="D157" s="15">
        <v>9042408970500</v>
      </c>
      <c r="E157" t="s">
        <v>18</v>
      </c>
      <c r="F157" t="e">
        <v>#N/A</v>
      </c>
      <c r="G157" s="2" t="s">
        <v>1490</v>
      </c>
    </row>
    <row r="158" spans="1:7" x14ac:dyDescent="0.25">
      <c r="A158" s="66" t="s">
        <v>303</v>
      </c>
      <c r="B158" s="66" t="s">
        <v>1602</v>
      </c>
      <c r="C158" s="66" t="s">
        <v>1490</v>
      </c>
      <c r="D158" s="15">
        <v>9042407552242</v>
      </c>
      <c r="E158" t="s">
        <v>18</v>
      </c>
      <c r="F158" t="e">
        <v>#N/A</v>
      </c>
      <c r="G158" s="2" t="s">
        <v>1490</v>
      </c>
    </row>
    <row r="159" spans="1:7" x14ac:dyDescent="0.25">
      <c r="A159" s="66" t="s">
        <v>719</v>
      </c>
      <c r="B159" s="66" t="s">
        <v>720</v>
      </c>
      <c r="C159" s="66" t="s">
        <v>1490</v>
      </c>
      <c r="D159" s="15">
        <v>9076505447285</v>
      </c>
      <c r="E159" t="s">
        <v>18</v>
      </c>
      <c r="F159" t="s">
        <v>18</v>
      </c>
      <c r="G159" s="2" t="s">
        <v>1490</v>
      </c>
    </row>
    <row r="160" spans="1:7" x14ac:dyDescent="0.25">
      <c r="A160" s="66" t="s">
        <v>338</v>
      </c>
      <c r="B160" s="66" t="s">
        <v>1603</v>
      </c>
      <c r="C160" s="66" t="s">
        <v>1490</v>
      </c>
      <c r="D160" s="15">
        <v>9042408970302</v>
      </c>
      <c r="E160" t="s">
        <v>18</v>
      </c>
      <c r="F160" t="e">
        <v>#N/A</v>
      </c>
      <c r="G160" s="2" t="s">
        <v>1490</v>
      </c>
    </row>
    <row r="161" spans="1:7" x14ac:dyDescent="0.25">
      <c r="A161" s="66" t="s">
        <v>123</v>
      </c>
      <c r="B161" s="66" t="s">
        <v>1604</v>
      </c>
      <c r="C161" s="66" t="s">
        <v>1490</v>
      </c>
      <c r="D161" s="15">
        <v>9042408803883</v>
      </c>
      <c r="E161" t="s">
        <v>18</v>
      </c>
      <c r="F161" t="e">
        <v>#N/A</v>
      </c>
      <c r="G161" s="2" t="s">
        <v>1490</v>
      </c>
    </row>
    <row r="162" spans="1:7" x14ac:dyDescent="0.25">
      <c r="A162" s="66" t="s">
        <v>235</v>
      </c>
      <c r="B162" s="66" t="s">
        <v>236</v>
      </c>
      <c r="C162" s="66" t="s">
        <v>1490</v>
      </c>
      <c r="D162" s="15">
        <v>9042406781941</v>
      </c>
      <c r="E162" t="s">
        <v>18</v>
      </c>
      <c r="F162" t="e">
        <v>#N/A</v>
      </c>
      <c r="G162" s="2" t="s">
        <v>1490</v>
      </c>
    </row>
    <row r="163" spans="1:7" x14ac:dyDescent="0.25">
      <c r="A163" s="66" t="s">
        <v>433</v>
      </c>
      <c r="B163" s="66" t="s">
        <v>434</v>
      </c>
      <c r="C163" s="66" t="s">
        <v>1490</v>
      </c>
      <c r="D163" s="15">
        <v>9076505613233</v>
      </c>
      <c r="E163" t="s">
        <v>18</v>
      </c>
      <c r="F163" t="e">
        <v>#N/A</v>
      </c>
      <c r="G163" s="2" t="s">
        <v>1490</v>
      </c>
    </row>
    <row r="164" spans="1:7" x14ac:dyDescent="0.25">
      <c r="A164" s="66" t="s">
        <v>697</v>
      </c>
      <c r="B164" s="66" t="s">
        <v>698</v>
      </c>
      <c r="C164" s="66" t="s">
        <v>1490</v>
      </c>
      <c r="D164" s="15">
        <v>9042408482985</v>
      </c>
      <c r="E164" t="s">
        <v>18</v>
      </c>
      <c r="F164" t="e">
        <v>#N/A</v>
      </c>
      <c r="G164" s="2" t="s">
        <v>1490</v>
      </c>
    </row>
    <row r="165" spans="1:7" x14ac:dyDescent="0.25">
      <c r="A165" s="66" t="s">
        <v>66</v>
      </c>
      <c r="B165" s="66" t="s">
        <v>1605</v>
      </c>
      <c r="C165" s="66" t="s">
        <v>1490</v>
      </c>
      <c r="D165" s="15">
        <v>9042408970286</v>
      </c>
      <c r="E165" t="s">
        <v>18</v>
      </c>
      <c r="F165" t="s">
        <v>18</v>
      </c>
      <c r="G165" s="2" t="s">
        <v>1490</v>
      </c>
    </row>
    <row r="166" spans="1:7" x14ac:dyDescent="0.25">
      <c r="A166" s="66" t="s">
        <v>271</v>
      </c>
      <c r="B166" s="66" t="s">
        <v>1606</v>
      </c>
      <c r="C166" s="66" t="s">
        <v>1490</v>
      </c>
      <c r="D166" s="15">
        <v>9042407986697</v>
      </c>
      <c r="E166" t="s">
        <v>18</v>
      </c>
      <c r="F166" t="e">
        <v>#N/A</v>
      </c>
      <c r="G166" s="2" t="s">
        <v>1490</v>
      </c>
    </row>
    <row r="167" spans="1:7" x14ac:dyDescent="0.25">
      <c r="A167" s="66" t="s">
        <v>1607</v>
      </c>
      <c r="B167" s="66" t="s">
        <v>1608</v>
      </c>
      <c r="C167" s="66" t="s">
        <v>1490</v>
      </c>
      <c r="D167" s="15">
        <v>9076505447533</v>
      </c>
      <c r="E167" t="s">
        <v>18</v>
      </c>
      <c r="F167" t="e">
        <v>#N/A</v>
      </c>
      <c r="G167" s="2" t="s">
        <v>1490</v>
      </c>
    </row>
    <row r="168" spans="1:7" x14ac:dyDescent="0.25">
      <c r="A168" s="66" t="s">
        <v>679</v>
      </c>
      <c r="B168" s="66" t="s">
        <v>680</v>
      </c>
      <c r="C168" s="66" t="s">
        <v>1490</v>
      </c>
      <c r="D168" s="15">
        <v>9042407024184</v>
      </c>
      <c r="E168" t="s">
        <v>18</v>
      </c>
      <c r="F168" t="e">
        <v>#N/A</v>
      </c>
      <c r="G168" s="2" t="s">
        <v>1490</v>
      </c>
    </row>
    <row r="169" spans="1:7" s="33" customFormat="1" x14ac:dyDescent="0.25">
      <c r="A169" s="81" t="s">
        <v>435</v>
      </c>
      <c r="B169" s="81" t="s">
        <v>1534</v>
      </c>
      <c r="C169" s="81" t="s">
        <v>1490</v>
      </c>
      <c r="D169" s="32" t="e">
        <v>#N/A</v>
      </c>
      <c r="E169" s="33" t="e">
        <v>#N/A</v>
      </c>
      <c r="F169" s="33" t="e">
        <v>#N/A</v>
      </c>
      <c r="G169" s="34" t="e">
        <v>#N/A</v>
      </c>
    </row>
    <row r="170" spans="1:7" x14ac:dyDescent="0.25">
      <c r="A170" s="66" t="s">
        <v>1172</v>
      </c>
      <c r="B170" s="66" t="s">
        <v>1609</v>
      </c>
      <c r="C170" s="66" t="s">
        <v>1490</v>
      </c>
      <c r="D170" s="15">
        <v>9042408803826</v>
      </c>
      <c r="E170" t="s">
        <v>18</v>
      </c>
      <c r="F170" t="e">
        <v>#N/A</v>
      </c>
      <c r="G170" s="2" t="s">
        <v>1490</v>
      </c>
    </row>
    <row r="171" spans="1:7" x14ac:dyDescent="0.25">
      <c r="A171" s="66" t="s">
        <v>908</v>
      </c>
      <c r="B171" s="66" t="s">
        <v>1610</v>
      </c>
      <c r="C171" s="66" t="s">
        <v>1490</v>
      </c>
      <c r="D171" s="15">
        <v>9076505613191</v>
      </c>
      <c r="E171" t="s">
        <v>18</v>
      </c>
      <c r="F171" t="s">
        <v>18</v>
      </c>
      <c r="G171" s="2" t="s">
        <v>1490</v>
      </c>
    </row>
    <row r="172" spans="1:7" x14ac:dyDescent="0.25">
      <c r="A172" s="82" t="s">
        <v>1611</v>
      </c>
      <c r="B172" s="66" t="e">
        <v>#N/A</v>
      </c>
      <c r="C172" s="73" t="s">
        <v>1490</v>
      </c>
      <c r="D172" s="15" t="e">
        <v>#N/A</v>
      </c>
      <c r="E172" t="e">
        <v>#N/A</v>
      </c>
      <c r="F172" t="e">
        <v>#N/A</v>
      </c>
      <c r="G172" s="2" t="e">
        <v>#N/A</v>
      </c>
    </row>
    <row r="173" spans="1:7" ht="18" customHeight="1" x14ac:dyDescent="0.25">
      <c r="A173" s="66" t="s">
        <v>117</v>
      </c>
      <c r="B173" s="66" t="s">
        <v>1612</v>
      </c>
      <c r="C173" s="66" t="s">
        <v>1490</v>
      </c>
      <c r="D173" s="15">
        <v>9076505875360</v>
      </c>
      <c r="E173" t="s">
        <v>18</v>
      </c>
      <c r="F173" t="e">
        <v>#N/A</v>
      </c>
      <c r="G173" s="2" t="s">
        <v>1490</v>
      </c>
    </row>
    <row r="174" spans="1:7" s="27" customFormat="1" x14ac:dyDescent="0.25">
      <c r="A174" s="77" t="s">
        <v>1613</v>
      </c>
      <c r="B174" s="77" t="s">
        <v>1591</v>
      </c>
      <c r="C174" s="77" t="s">
        <v>1490</v>
      </c>
      <c r="D174" s="26" t="e">
        <v>#N/A</v>
      </c>
      <c r="E174" s="27" t="e">
        <v>#N/A</v>
      </c>
      <c r="F174" s="27" t="e">
        <v>#N/A</v>
      </c>
      <c r="G174" s="28" t="e">
        <v>#N/A</v>
      </c>
    </row>
    <row r="175" spans="1:7" x14ac:dyDescent="0.25">
      <c r="A175" s="66" t="s">
        <v>879</v>
      </c>
      <c r="B175" s="66" t="s">
        <v>1614</v>
      </c>
      <c r="C175" s="66" t="s">
        <v>1490</v>
      </c>
      <c r="D175" s="15">
        <v>9076509186574</v>
      </c>
      <c r="E175" t="s">
        <v>18</v>
      </c>
      <c r="F175" t="e">
        <v>#N/A</v>
      </c>
      <c r="G175" s="2" t="s">
        <v>1490</v>
      </c>
    </row>
    <row r="176" spans="1:7" x14ac:dyDescent="0.25">
      <c r="A176" s="66" t="s">
        <v>612</v>
      </c>
      <c r="B176" s="66" t="s">
        <v>613</v>
      </c>
      <c r="C176" s="66" t="s">
        <v>1490</v>
      </c>
      <c r="D176" s="15">
        <v>9042408803453</v>
      </c>
      <c r="E176" t="s">
        <v>18</v>
      </c>
      <c r="F176" t="e">
        <v>#N/A</v>
      </c>
      <c r="G176" s="2" t="s">
        <v>1490</v>
      </c>
    </row>
    <row r="177" spans="1:7" x14ac:dyDescent="0.25">
      <c r="A177" s="66" t="s">
        <v>1258</v>
      </c>
      <c r="B177" s="66" t="s">
        <v>1615</v>
      </c>
      <c r="C177" s="66" t="s">
        <v>1490</v>
      </c>
      <c r="D177" s="15">
        <v>9042407080509</v>
      </c>
      <c r="E177" t="s">
        <v>18</v>
      </c>
      <c r="F177" t="e">
        <v>#N/A</v>
      </c>
      <c r="G177" s="2" t="s">
        <v>1490</v>
      </c>
    </row>
    <row r="178" spans="1:7" x14ac:dyDescent="0.25">
      <c r="A178" s="66" t="s">
        <v>278</v>
      </c>
      <c r="B178" s="66" t="s">
        <v>1616</v>
      </c>
      <c r="C178" s="66" t="s">
        <v>1490</v>
      </c>
      <c r="D178" s="15">
        <v>9042407351520</v>
      </c>
      <c r="E178" t="s">
        <v>18</v>
      </c>
      <c r="F178" t="e">
        <v>#N/A</v>
      </c>
      <c r="G178" s="2" t="s">
        <v>1490</v>
      </c>
    </row>
    <row r="179" spans="1:7" x14ac:dyDescent="0.25">
      <c r="A179" s="66" t="s">
        <v>529</v>
      </c>
      <c r="B179" s="66" t="s">
        <v>530</v>
      </c>
      <c r="C179" s="66" t="s">
        <v>1490</v>
      </c>
      <c r="D179" s="15">
        <v>9076509186673</v>
      </c>
      <c r="E179" t="s">
        <v>18</v>
      </c>
      <c r="F179" t="e">
        <v>#N/A</v>
      </c>
      <c r="G179" s="2" t="s">
        <v>1490</v>
      </c>
    </row>
    <row r="180" spans="1:7" x14ac:dyDescent="0.25">
      <c r="A180" s="66" t="s">
        <v>32</v>
      </c>
      <c r="B180" s="66" t="s">
        <v>1617</v>
      </c>
      <c r="C180" s="66" t="s">
        <v>1490</v>
      </c>
      <c r="D180" s="15">
        <v>9042406782212</v>
      </c>
      <c r="E180" t="s">
        <v>18</v>
      </c>
      <c r="F180" t="e">
        <v>#N/A</v>
      </c>
      <c r="G180" s="2" t="s">
        <v>1490</v>
      </c>
    </row>
    <row r="181" spans="1:7" x14ac:dyDescent="0.25">
      <c r="A181" s="66" t="s">
        <v>1284</v>
      </c>
      <c r="B181" s="66" t="s">
        <v>1618</v>
      </c>
      <c r="C181" s="66" t="s">
        <v>1490</v>
      </c>
      <c r="D181" s="15">
        <v>9076505873183</v>
      </c>
      <c r="E181" t="s">
        <v>18</v>
      </c>
      <c r="F181" t="e">
        <v>#N/A</v>
      </c>
      <c r="G181" s="2" t="s">
        <v>1490</v>
      </c>
    </row>
    <row r="182" spans="1:7" x14ac:dyDescent="0.25">
      <c r="A182" s="66" t="s">
        <v>379</v>
      </c>
      <c r="B182" s="66" t="s">
        <v>1619</v>
      </c>
      <c r="C182" s="66" t="s">
        <v>1490</v>
      </c>
      <c r="D182" s="15">
        <v>9042408803701</v>
      </c>
      <c r="E182" t="s">
        <v>18</v>
      </c>
      <c r="F182" t="e">
        <v>#N/A</v>
      </c>
      <c r="G182" s="2" t="s">
        <v>1490</v>
      </c>
    </row>
    <row r="183" spans="1:7" x14ac:dyDescent="0.25">
      <c r="A183" s="66" t="s">
        <v>416</v>
      </c>
      <c r="B183" s="66" t="s">
        <v>417</v>
      </c>
      <c r="C183" s="66" t="s">
        <v>1490</v>
      </c>
      <c r="D183" s="15">
        <v>9076509301652</v>
      </c>
      <c r="E183" t="s">
        <v>18</v>
      </c>
      <c r="F183" t="e">
        <v>#N/A</v>
      </c>
      <c r="G183" s="2" t="s">
        <v>1490</v>
      </c>
    </row>
    <row r="184" spans="1:7" x14ac:dyDescent="0.25">
      <c r="A184" s="66" t="s">
        <v>472</v>
      </c>
      <c r="B184" s="66" t="s">
        <v>473</v>
      </c>
      <c r="C184" s="66" t="s">
        <v>1490</v>
      </c>
      <c r="D184" s="15">
        <v>9076505447046</v>
      </c>
      <c r="E184" t="s">
        <v>18</v>
      </c>
      <c r="F184" t="e">
        <v>#N/A</v>
      </c>
      <c r="G184" s="2" t="s">
        <v>1490</v>
      </c>
    </row>
    <row r="185" spans="1:7" x14ac:dyDescent="0.25">
      <c r="A185" s="66" t="s">
        <v>497</v>
      </c>
      <c r="B185" s="66" t="s">
        <v>498</v>
      </c>
      <c r="C185" s="66" t="s">
        <v>1490</v>
      </c>
      <c r="D185" s="15">
        <v>9042408599424</v>
      </c>
      <c r="E185" t="s">
        <v>18</v>
      </c>
      <c r="F185" t="e">
        <v>#N/A</v>
      </c>
      <c r="G185" s="2" t="s">
        <v>1490</v>
      </c>
    </row>
    <row r="186" spans="1:7" x14ac:dyDescent="0.25">
      <c r="A186" s="66" t="s">
        <v>514</v>
      </c>
      <c r="B186" s="66" t="s">
        <v>515</v>
      </c>
      <c r="C186" s="66" t="s">
        <v>1490</v>
      </c>
      <c r="D186" s="15">
        <v>9042408803784</v>
      </c>
      <c r="E186" t="s">
        <v>18</v>
      </c>
      <c r="F186" t="e">
        <v>#N/A</v>
      </c>
      <c r="G186" s="2" t="s">
        <v>1490</v>
      </c>
    </row>
    <row r="187" spans="1:7" x14ac:dyDescent="0.25">
      <c r="A187" s="66" t="s">
        <v>314</v>
      </c>
      <c r="B187" s="66" t="s">
        <v>1620</v>
      </c>
      <c r="C187" s="66" t="s">
        <v>1490</v>
      </c>
      <c r="D187" s="15">
        <v>9042408803321</v>
      </c>
      <c r="E187" t="s">
        <v>18</v>
      </c>
      <c r="F187" t="e">
        <v>#N/A</v>
      </c>
      <c r="G187" s="2" t="s">
        <v>1490</v>
      </c>
    </row>
    <row r="188" spans="1:7" x14ac:dyDescent="0.25">
      <c r="A188" s="66" t="s">
        <v>344</v>
      </c>
      <c r="B188" s="66" t="s">
        <v>1621</v>
      </c>
      <c r="C188" s="66" t="s">
        <v>1490</v>
      </c>
      <c r="D188" s="15">
        <v>9042407023913</v>
      </c>
      <c r="E188" t="s">
        <v>18</v>
      </c>
      <c r="F188" t="s">
        <v>18</v>
      </c>
      <c r="G188" s="2" t="s">
        <v>1490</v>
      </c>
    </row>
    <row r="189" spans="1:7" x14ac:dyDescent="0.25">
      <c r="A189" s="66" t="s">
        <v>90</v>
      </c>
      <c r="B189" s="66" t="s">
        <v>1622</v>
      </c>
      <c r="C189" s="66" t="s">
        <v>1490</v>
      </c>
      <c r="D189" s="15">
        <v>9042408601246</v>
      </c>
      <c r="E189" t="s">
        <v>18</v>
      </c>
      <c r="F189" t="e">
        <v>#N/A</v>
      </c>
      <c r="G189" s="2" t="s">
        <v>1490</v>
      </c>
    </row>
    <row r="190" spans="1:7" s="27" customFormat="1" x14ac:dyDescent="0.25">
      <c r="A190" s="77" t="s">
        <v>1623</v>
      </c>
      <c r="B190" s="77" t="s">
        <v>1591</v>
      </c>
      <c r="C190" s="77" t="s">
        <v>1490</v>
      </c>
      <c r="D190" s="26" t="e">
        <v>#N/A</v>
      </c>
      <c r="E190" s="27" t="e">
        <v>#N/A</v>
      </c>
      <c r="F190" s="27" t="e">
        <v>#N/A</v>
      </c>
      <c r="G190" s="28" t="e">
        <v>#N/A</v>
      </c>
    </row>
    <row r="191" spans="1:7" x14ac:dyDescent="0.25">
      <c r="A191" s="66" t="s">
        <v>25</v>
      </c>
      <c r="B191" s="66" t="s">
        <v>1624</v>
      </c>
      <c r="C191" s="66" t="s">
        <v>1490</v>
      </c>
      <c r="D191" s="15">
        <v>9042408601428</v>
      </c>
      <c r="E191" t="s">
        <v>18</v>
      </c>
      <c r="F191" t="e">
        <v>#N/A</v>
      </c>
      <c r="G191" s="2" t="s">
        <v>1490</v>
      </c>
    </row>
    <row r="192" spans="1:7" x14ac:dyDescent="0.25">
      <c r="A192" s="66" t="s">
        <v>1391</v>
      </c>
      <c r="B192" s="66" t="s">
        <v>1625</v>
      </c>
      <c r="C192" s="66" t="s">
        <v>1490</v>
      </c>
      <c r="D192" s="15">
        <v>9042407400178</v>
      </c>
      <c r="E192" t="s">
        <v>18</v>
      </c>
      <c r="F192" t="e">
        <v>#N/A</v>
      </c>
      <c r="G192" s="2" t="s">
        <v>1490</v>
      </c>
    </row>
    <row r="193" spans="1:7" x14ac:dyDescent="0.25">
      <c r="A193" s="66" t="s">
        <v>94</v>
      </c>
      <c r="B193" s="66" t="s">
        <v>1626</v>
      </c>
      <c r="C193" s="66" t="s">
        <v>1490</v>
      </c>
      <c r="D193" s="15">
        <v>9076505447186</v>
      </c>
      <c r="E193" t="s">
        <v>18</v>
      </c>
      <c r="F193" t="s">
        <v>18</v>
      </c>
      <c r="G193" s="2" t="s">
        <v>1490</v>
      </c>
    </row>
    <row r="194" spans="1:7" x14ac:dyDescent="0.25">
      <c r="A194" s="66" t="s">
        <v>1034</v>
      </c>
      <c r="B194" s="66" t="s">
        <v>1627</v>
      </c>
      <c r="C194" s="66" t="s">
        <v>1490</v>
      </c>
      <c r="D194" s="15">
        <v>9076505447491</v>
      </c>
      <c r="E194" t="s">
        <v>18</v>
      </c>
      <c r="F194" t="s">
        <v>18</v>
      </c>
      <c r="G194" s="2" t="s">
        <v>1490</v>
      </c>
    </row>
    <row r="195" spans="1:7" x14ac:dyDescent="0.25">
      <c r="A195" s="66" t="s">
        <v>225</v>
      </c>
      <c r="B195" s="66" t="s">
        <v>1628</v>
      </c>
      <c r="C195" s="66" t="s">
        <v>1490</v>
      </c>
      <c r="D195" s="15">
        <v>9042408601287</v>
      </c>
      <c r="E195" t="s">
        <v>18</v>
      </c>
      <c r="F195" t="e">
        <v>#N/A</v>
      </c>
      <c r="G195" s="2" t="s">
        <v>1490</v>
      </c>
    </row>
    <row r="196" spans="1:7" x14ac:dyDescent="0.25">
      <c r="A196" s="66" t="s">
        <v>1478</v>
      </c>
      <c r="B196" s="66" t="s">
        <v>1629</v>
      </c>
      <c r="C196" s="66" t="s">
        <v>1490</v>
      </c>
      <c r="D196" s="15">
        <v>9042408601378</v>
      </c>
      <c r="E196" t="s">
        <v>18</v>
      </c>
      <c r="F196" t="e">
        <v>#N/A</v>
      </c>
      <c r="G196" s="2" t="s">
        <v>1490</v>
      </c>
    </row>
    <row r="197" spans="1:7" x14ac:dyDescent="0.25">
      <c r="A197" s="66" t="s">
        <v>1630</v>
      </c>
      <c r="B197" s="66" t="s">
        <v>1631</v>
      </c>
      <c r="C197" s="66" t="s">
        <v>1490</v>
      </c>
      <c r="D197" s="15">
        <v>9042406782329</v>
      </c>
      <c r="E197" t="s">
        <v>18</v>
      </c>
      <c r="F197" t="s">
        <v>18</v>
      </c>
      <c r="G197" s="2" t="s">
        <v>1490</v>
      </c>
    </row>
    <row r="198" spans="1:7" x14ac:dyDescent="0.25">
      <c r="A198" s="66" t="s">
        <v>356</v>
      </c>
      <c r="B198" s="66" t="s">
        <v>1632</v>
      </c>
      <c r="C198" s="66" t="s">
        <v>1490</v>
      </c>
      <c r="D198" s="15">
        <v>9042406782014</v>
      </c>
      <c r="E198" t="s">
        <v>18</v>
      </c>
      <c r="F198" t="e">
        <v>#N/A</v>
      </c>
      <c r="G198" s="2" t="s">
        <v>1490</v>
      </c>
    </row>
    <row r="199" spans="1:7" x14ac:dyDescent="0.25">
      <c r="A199" s="73" t="s">
        <v>1633</v>
      </c>
      <c r="B199" s="66" t="e">
        <v>#N/A</v>
      </c>
      <c r="C199" s="73" t="s">
        <v>1490</v>
      </c>
      <c r="D199" s="15" t="e">
        <v>#N/A</v>
      </c>
      <c r="E199" t="e">
        <v>#N/A</v>
      </c>
      <c r="F199" t="e">
        <v>#N/A</v>
      </c>
      <c r="G199" s="2" t="e">
        <v>#N/A</v>
      </c>
    </row>
    <row r="200" spans="1:7" x14ac:dyDescent="0.25">
      <c r="A200" s="66" t="s">
        <v>733</v>
      </c>
      <c r="B200" s="66" t="s">
        <v>734</v>
      </c>
      <c r="C200" s="66" t="s">
        <v>1490</v>
      </c>
      <c r="D200" s="15">
        <v>9076505875469</v>
      </c>
      <c r="E200" t="s">
        <v>18</v>
      </c>
      <c r="F200" t="s">
        <v>18</v>
      </c>
      <c r="G200" s="2" t="s">
        <v>1490</v>
      </c>
    </row>
    <row r="201" spans="1:7" x14ac:dyDescent="0.25">
      <c r="A201" s="70" t="s">
        <v>296</v>
      </c>
      <c r="B201" s="66" t="s">
        <v>1634</v>
      </c>
      <c r="C201" s="66" t="s">
        <v>1490</v>
      </c>
      <c r="D201" s="15">
        <v>9076505447483</v>
      </c>
      <c r="E201" t="s">
        <v>18</v>
      </c>
      <c r="F201" t="s">
        <v>18</v>
      </c>
      <c r="G201" s="2" t="s">
        <v>1490</v>
      </c>
    </row>
    <row r="202" spans="1:7" x14ac:dyDescent="0.25">
      <c r="A202" s="66" t="s">
        <v>221</v>
      </c>
      <c r="B202" s="66" t="s">
        <v>1635</v>
      </c>
      <c r="C202" s="66" t="s">
        <v>1490</v>
      </c>
      <c r="D202" s="15">
        <v>9042408970229</v>
      </c>
      <c r="E202" t="s">
        <v>18</v>
      </c>
      <c r="F202" t="s">
        <v>18</v>
      </c>
      <c r="G202" s="2" t="s">
        <v>1490</v>
      </c>
    </row>
    <row r="203" spans="1:7" x14ac:dyDescent="0.25">
      <c r="A203" s="66" t="s">
        <v>174</v>
      </c>
      <c r="B203" s="66" t="s">
        <v>175</v>
      </c>
      <c r="C203" s="66" t="s">
        <v>1490</v>
      </c>
      <c r="D203" s="15">
        <v>9042407986689</v>
      </c>
      <c r="E203" t="s">
        <v>18</v>
      </c>
      <c r="F203" t="s">
        <v>18</v>
      </c>
      <c r="G203" s="2" t="s">
        <v>1490</v>
      </c>
    </row>
    <row r="204" spans="1:7" x14ac:dyDescent="0.25">
      <c r="A204" s="66" t="s">
        <v>1353</v>
      </c>
      <c r="B204" s="66" t="s">
        <v>1636</v>
      </c>
      <c r="C204" s="66" t="s">
        <v>1490</v>
      </c>
      <c r="D204" s="15">
        <v>9042408599267</v>
      </c>
      <c r="E204" t="s">
        <v>18</v>
      </c>
      <c r="F204" t="s">
        <v>18</v>
      </c>
      <c r="G204" s="2" t="s">
        <v>1490</v>
      </c>
    </row>
    <row r="205" spans="1:7" x14ac:dyDescent="0.25">
      <c r="A205" s="66" t="s">
        <v>404</v>
      </c>
      <c r="B205" s="66" t="s">
        <v>405</v>
      </c>
      <c r="C205" s="66" t="s">
        <v>1490</v>
      </c>
      <c r="D205" s="15">
        <v>9042407266611</v>
      </c>
      <c r="E205" t="s">
        <v>18</v>
      </c>
      <c r="F205" t="s">
        <v>18</v>
      </c>
      <c r="G205" s="2" t="s">
        <v>1490</v>
      </c>
    </row>
    <row r="206" spans="1:7" x14ac:dyDescent="0.25">
      <c r="A206" s="66" t="s">
        <v>363</v>
      </c>
      <c r="B206" s="66" t="s">
        <v>1637</v>
      </c>
      <c r="C206" s="66" t="s">
        <v>1490</v>
      </c>
      <c r="D206" s="15">
        <v>9042408970351</v>
      </c>
      <c r="E206" t="s">
        <v>18</v>
      </c>
      <c r="F206" t="e">
        <v>#N/A</v>
      </c>
      <c r="G206" s="2" t="s">
        <v>1490</v>
      </c>
    </row>
    <row r="207" spans="1:7" x14ac:dyDescent="0.25">
      <c r="A207" s="66" t="s">
        <v>630</v>
      </c>
      <c r="B207" s="66" t="s">
        <v>631</v>
      </c>
      <c r="C207" s="66" t="s">
        <v>1490</v>
      </c>
      <c r="D207" s="15">
        <v>9042408970260</v>
      </c>
      <c r="E207" t="s">
        <v>18</v>
      </c>
      <c r="F207" t="e">
        <v>#N/A</v>
      </c>
      <c r="G207" s="2" t="s">
        <v>1490</v>
      </c>
    </row>
    <row r="208" spans="1:7" x14ac:dyDescent="0.25">
      <c r="A208" s="66" t="s">
        <v>1483</v>
      </c>
      <c r="B208" s="66" t="s">
        <v>1638</v>
      </c>
      <c r="C208" s="66" t="s">
        <v>1490</v>
      </c>
      <c r="D208" s="15">
        <v>9042407024135</v>
      </c>
      <c r="E208" t="s">
        <v>18</v>
      </c>
      <c r="F208" t="s">
        <v>18</v>
      </c>
      <c r="G208" s="2" t="s">
        <v>1490</v>
      </c>
    </row>
    <row r="209" spans="1:7" x14ac:dyDescent="0.25">
      <c r="A209" s="66" t="s">
        <v>327</v>
      </c>
      <c r="B209" s="66" t="s">
        <v>1639</v>
      </c>
      <c r="C209" s="66" t="s">
        <v>1490</v>
      </c>
      <c r="D209" s="15">
        <v>9042408804022</v>
      </c>
      <c r="E209" t="s">
        <v>18</v>
      </c>
      <c r="F209" t="e">
        <v>#N/A</v>
      </c>
      <c r="G209" s="2" t="s">
        <v>1490</v>
      </c>
    </row>
    <row r="210" spans="1:7" x14ac:dyDescent="0.25">
      <c r="A210" s="66" t="s">
        <v>1063</v>
      </c>
      <c r="B210" s="66" t="s">
        <v>1640</v>
      </c>
      <c r="C210" s="66" t="s">
        <v>1490</v>
      </c>
      <c r="D210" s="15">
        <v>9042408803495</v>
      </c>
      <c r="E210" t="s">
        <v>18</v>
      </c>
      <c r="F210" t="s">
        <v>18</v>
      </c>
      <c r="G210" s="2" t="s">
        <v>1490</v>
      </c>
    </row>
    <row r="211" spans="1:7" x14ac:dyDescent="0.25">
      <c r="A211" s="66" t="s">
        <v>1641</v>
      </c>
      <c r="B211" s="66" t="s">
        <v>1642</v>
      </c>
      <c r="C211" s="66" t="s">
        <v>1490</v>
      </c>
      <c r="D211" s="15">
        <v>9042408601253</v>
      </c>
      <c r="E211" t="e">
        <v>#N/A</v>
      </c>
      <c r="F211" t="e">
        <v>#N/A</v>
      </c>
      <c r="G211" s="2" t="s">
        <v>1490</v>
      </c>
    </row>
    <row r="212" spans="1:7" x14ac:dyDescent="0.25">
      <c r="A212" s="66" t="s">
        <v>396</v>
      </c>
      <c r="B212" s="66" t="s">
        <v>1643</v>
      </c>
      <c r="C212" s="66" t="s">
        <v>1490</v>
      </c>
      <c r="D212" s="15">
        <v>9076509186483</v>
      </c>
      <c r="E212" t="s">
        <v>18</v>
      </c>
      <c r="F212" t="e">
        <v>#N/A</v>
      </c>
      <c r="G212" s="2" t="s">
        <v>1490</v>
      </c>
    </row>
    <row r="213" spans="1:7" x14ac:dyDescent="0.25">
      <c r="A213" s="66" t="s">
        <v>95</v>
      </c>
      <c r="B213" s="66" t="s">
        <v>1644</v>
      </c>
      <c r="C213" s="66" t="s">
        <v>1490</v>
      </c>
      <c r="D213" s="15">
        <v>9042408970245</v>
      </c>
      <c r="E213" t="s">
        <v>18</v>
      </c>
      <c r="F213" t="s">
        <v>18</v>
      </c>
      <c r="G213" s="2" t="s">
        <v>1490</v>
      </c>
    </row>
    <row r="214" spans="1:7" x14ac:dyDescent="0.25">
      <c r="A214" s="66" t="s">
        <v>107</v>
      </c>
      <c r="B214" s="66" t="s">
        <v>1645</v>
      </c>
      <c r="C214" s="66" t="s">
        <v>1490</v>
      </c>
      <c r="D214" s="15">
        <v>9042407024085</v>
      </c>
      <c r="E214" t="s">
        <v>18</v>
      </c>
      <c r="F214" t="s">
        <v>18</v>
      </c>
      <c r="G214" s="2" t="s">
        <v>1490</v>
      </c>
    </row>
    <row r="215" spans="1:7" x14ac:dyDescent="0.25">
      <c r="A215" s="66" t="s">
        <v>48</v>
      </c>
      <c r="B215" s="66" t="s">
        <v>1646</v>
      </c>
      <c r="C215" s="66" t="s">
        <v>1490</v>
      </c>
      <c r="D215" s="15">
        <v>9042407752149</v>
      </c>
      <c r="E215" t="s">
        <v>18</v>
      </c>
      <c r="F215" t="e">
        <v>#N/A</v>
      </c>
      <c r="G215" s="2" t="s">
        <v>1490</v>
      </c>
    </row>
    <row r="216" spans="1:7" x14ac:dyDescent="0.25">
      <c r="A216" s="66" t="s">
        <v>441</v>
      </c>
      <c r="B216" s="66" t="s">
        <v>442</v>
      </c>
      <c r="C216" s="66" t="s">
        <v>1490</v>
      </c>
      <c r="D216" s="15">
        <v>9042407024143</v>
      </c>
      <c r="E216" t="s">
        <v>18</v>
      </c>
      <c r="F216" t="s">
        <v>18</v>
      </c>
      <c r="G216" s="2" t="s">
        <v>1490</v>
      </c>
    </row>
    <row r="217" spans="1:7" x14ac:dyDescent="0.25">
      <c r="A217" s="66" t="s">
        <v>490</v>
      </c>
      <c r="B217" s="66" t="s">
        <v>491</v>
      </c>
      <c r="C217" s="66" t="s">
        <v>1490</v>
      </c>
      <c r="D217" s="15">
        <v>9042408601436</v>
      </c>
      <c r="E217" t="s">
        <v>18</v>
      </c>
      <c r="F217" t="e">
        <v>#N/A</v>
      </c>
      <c r="G217" s="2" t="s">
        <v>1490</v>
      </c>
    </row>
    <row r="218" spans="1:7" x14ac:dyDescent="0.25">
      <c r="A218" s="70" t="s">
        <v>216</v>
      </c>
      <c r="B218" s="66" t="s">
        <v>1647</v>
      </c>
      <c r="C218" s="66" t="s">
        <v>1490</v>
      </c>
      <c r="D218" s="15">
        <v>9076505873258</v>
      </c>
      <c r="E218" t="s">
        <v>18</v>
      </c>
      <c r="F218" t="s">
        <v>18</v>
      </c>
      <c r="G218" s="2" t="s">
        <v>1490</v>
      </c>
    </row>
    <row r="219" spans="1:7" x14ac:dyDescent="0.25">
      <c r="A219" s="70" t="s">
        <v>1271</v>
      </c>
      <c r="B219" s="66" t="s">
        <v>1648</v>
      </c>
      <c r="C219" s="66" t="s">
        <v>1490</v>
      </c>
      <c r="D219" s="15">
        <v>9042407080111</v>
      </c>
      <c r="E219" t="s">
        <v>18</v>
      </c>
      <c r="F219" t="s">
        <v>18</v>
      </c>
      <c r="G219" s="2" t="s">
        <v>1490</v>
      </c>
    </row>
    <row r="220" spans="1:7" s="27" customFormat="1" x14ac:dyDescent="0.25">
      <c r="A220" s="77" t="s">
        <v>1649</v>
      </c>
      <c r="B220" s="77" t="s">
        <v>1591</v>
      </c>
      <c r="C220" s="77" t="s">
        <v>1490</v>
      </c>
      <c r="D220" s="26" t="e">
        <v>#N/A</v>
      </c>
      <c r="E220" s="27" t="e">
        <v>#N/A</v>
      </c>
      <c r="F220" s="27" t="e">
        <v>#N/A</v>
      </c>
      <c r="G220" s="28" t="e">
        <v>#N/A</v>
      </c>
    </row>
    <row r="221" spans="1:7" x14ac:dyDescent="0.25">
      <c r="A221" s="66" t="s">
        <v>456</v>
      </c>
      <c r="B221" s="66" t="s">
        <v>457</v>
      </c>
      <c r="C221" s="66" t="s">
        <v>1490</v>
      </c>
      <c r="D221" s="15">
        <v>9042406782337</v>
      </c>
      <c r="E221" t="s">
        <v>18</v>
      </c>
      <c r="F221" t="e">
        <v>#N/A</v>
      </c>
      <c r="G221" s="2" t="s">
        <v>1490</v>
      </c>
    </row>
    <row r="222" spans="1:7" x14ac:dyDescent="0.25">
      <c r="A222" s="66" t="s">
        <v>28</v>
      </c>
      <c r="B222" s="66" t="s">
        <v>1650</v>
      </c>
      <c r="C222" s="66" t="s">
        <v>1490</v>
      </c>
      <c r="D222" s="15">
        <v>9042408970237</v>
      </c>
      <c r="E222" t="s">
        <v>18</v>
      </c>
      <c r="F222" t="e">
        <v>#N/A</v>
      </c>
      <c r="G222" s="2" t="s">
        <v>1490</v>
      </c>
    </row>
    <row r="223" spans="1:7" x14ac:dyDescent="0.25">
      <c r="A223" s="66" t="s">
        <v>348</v>
      </c>
      <c r="B223" s="66" t="s">
        <v>1651</v>
      </c>
      <c r="C223" s="66" t="s">
        <v>1490</v>
      </c>
      <c r="D223" s="15">
        <v>9042406782154</v>
      </c>
      <c r="E223" t="s">
        <v>18</v>
      </c>
      <c r="F223" t="e">
        <v>#N/A</v>
      </c>
      <c r="G223" s="2" t="s">
        <v>1490</v>
      </c>
    </row>
    <row r="224" spans="1:7" x14ac:dyDescent="0.25">
      <c r="A224" s="66" t="s">
        <v>143</v>
      </c>
      <c r="B224" s="66" t="s">
        <v>1652</v>
      </c>
      <c r="C224" s="66" t="s">
        <v>1490</v>
      </c>
      <c r="D224" s="15">
        <v>9076505447434</v>
      </c>
      <c r="E224" t="s">
        <v>18</v>
      </c>
      <c r="F224" t="e">
        <v>#N/A</v>
      </c>
      <c r="G224" s="2" t="s">
        <v>1490</v>
      </c>
    </row>
    <row r="225" spans="1:7" x14ac:dyDescent="0.25">
      <c r="A225" s="66" t="s">
        <v>1356</v>
      </c>
      <c r="B225" s="66" t="s">
        <v>1653</v>
      </c>
      <c r="C225" s="66" t="s">
        <v>1490</v>
      </c>
      <c r="D225" s="15">
        <v>9076509301769</v>
      </c>
      <c r="E225" t="s">
        <v>18</v>
      </c>
      <c r="F225" t="s">
        <v>18</v>
      </c>
      <c r="G225" s="2" t="s">
        <v>1490</v>
      </c>
    </row>
    <row r="226" spans="1:7" x14ac:dyDescent="0.25">
      <c r="A226" s="70" t="s">
        <v>418</v>
      </c>
      <c r="B226" s="66" t="s">
        <v>419</v>
      </c>
      <c r="C226" s="66" t="s">
        <v>1490</v>
      </c>
      <c r="D226" s="15">
        <v>9042408970401</v>
      </c>
      <c r="E226" t="s">
        <v>18</v>
      </c>
      <c r="F226" t="e">
        <v>#N/A</v>
      </c>
      <c r="G226" s="2" t="s">
        <v>1490</v>
      </c>
    </row>
    <row r="227" spans="1:7" x14ac:dyDescent="0.25">
      <c r="A227" s="66" t="s">
        <v>240</v>
      </c>
      <c r="B227" s="66" t="s">
        <v>1654</v>
      </c>
      <c r="C227" s="66" t="s">
        <v>1490</v>
      </c>
      <c r="D227" s="15">
        <v>9076505447301</v>
      </c>
      <c r="E227" t="s">
        <v>18</v>
      </c>
      <c r="F227" t="s">
        <v>18</v>
      </c>
      <c r="G227" s="2" t="s">
        <v>1490</v>
      </c>
    </row>
    <row r="228" spans="1:7" x14ac:dyDescent="0.25">
      <c r="A228" s="66" t="s">
        <v>346</v>
      </c>
      <c r="B228" s="66" t="s">
        <v>1655</v>
      </c>
      <c r="C228" s="66" t="s">
        <v>1490</v>
      </c>
      <c r="D228" s="15">
        <v>9042408249053</v>
      </c>
      <c r="E228" t="s">
        <v>18</v>
      </c>
      <c r="F228" t="e">
        <v>#N/A</v>
      </c>
      <c r="G228" s="2" t="s">
        <v>1490</v>
      </c>
    </row>
    <row r="229" spans="1:7" x14ac:dyDescent="0.25">
      <c r="A229" s="66" t="s">
        <v>74</v>
      </c>
      <c r="B229" s="66" t="s">
        <v>1656</v>
      </c>
      <c r="C229" s="66" t="s">
        <v>1490</v>
      </c>
      <c r="D229" s="15">
        <v>9076509186681</v>
      </c>
      <c r="E229" t="s">
        <v>18</v>
      </c>
      <c r="F229" t="e">
        <v>#N/A</v>
      </c>
      <c r="G229" s="2" t="s">
        <v>1490</v>
      </c>
    </row>
    <row r="230" spans="1:7" x14ac:dyDescent="0.25">
      <c r="A230" s="66" t="s">
        <v>37</v>
      </c>
      <c r="B230" s="66" t="s">
        <v>1657</v>
      </c>
      <c r="C230" s="66" t="s">
        <v>1519</v>
      </c>
      <c r="D230" s="15">
        <v>0</v>
      </c>
      <c r="E230" t="s">
        <v>18</v>
      </c>
      <c r="F230" t="s">
        <v>18</v>
      </c>
      <c r="G230" s="2" t="s">
        <v>1519</v>
      </c>
    </row>
    <row r="231" spans="1:7" x14ac:dyDescent="0.25">
      <c r="A231" s="66" t="s">
        <v>42</v>
      </c>
      <c r="B231" s="66" t="s">
        <v>1658</v>
      </c>
      <c r="C231" s="66" t="s">
        <v>1519</v>
      </c>
      <c r="D231" s="15">
        <v>9076509186517</v>
      </c>
      <c r="E231" t="s">
        <v>18</v>
      </c>
      <c r="F231" t="e">
        <v>#N/A</v>
      </c>
      <c r="G231" s="2" t="s">
        <v>1519</v>
      </c>
    </row>
    <row r="232" spans="1:7" x14ac:dyDescent="0.25">
      <c r="A232" s="66" t="s">
        <v>58</v>
      </c>
      <c r="B232" s="66" t="s">
        <v>1659</v>
      </c>
      <c r="C232" s="66" t="s">
        <v>1519</v>
      </c>
      <c r="D232" s="15">
        <v>0</v>
      </c>
      <c r="E232" t="s">
        <v>18</v>
      </c>
      <c r="F232" t="e">
        <v>#N/A</v>
      </c>
      <c r="G232" s="2" t="s">
        <v>1519</v>
      </c>
    </row>
    <row r="233" spans="1:7" x14ac:dyDescent="0.25">
      <c r="A233" s="66" t="s">
        <v>60</v>
      </c>
      <c r="B233" s="66" t="s">
        <v>1660</v>
      </c>
      <c r="C233" s="66" t="s">
        <v>1519</v>
      </c>
      <c r="D233" s="15">
        <v>0</v>
      </c>
      <c r="E233" t="s">
        <v>18</v>
      </c>
      <c r="F233" t="e">
        <v>#N/A</v>
      </c>
      <c r="G233" s="2" t="s">
        <v>1519</v>
      </c>
    </row>
    <row r="234" spans="1:7" x14ac:dyDescent="0.25">
      <c r="A234" s="66" t="s">
        <v>63</v>
      </c>
      <c r="B234" s="66" t="s">
        <v>1661</v>
      </c>
      <c r="C234" s="66" t="s">
        <v>1519</v>
      </c>
      <c r="D234" s="15" t="s">
        <v>1498</v>
      </c>
      <c r="E234" t="s">
        <v>18</v>
      </c>
      <c r="F234" t="e">
        <v>#N/A</v>
      </c>
      <c r="G234" s="2" t="s">
        <v>1519</v>
      </c>
    </row>
    <row r="235" spans="1:7" x14ac:dyDescent="0.25">
      <c r="A235" s="66" t="s">
        <v>84</v>
      </c>
      <c r="B235" s="66" t="s">
        <v>1662</v>
      </c>
      <c r="C235" s="66" t="s">
        <v>1519</v>
      </c>
      <c r="D235" s="15">
        <v>0</v>
      </c>
      <c r="E235" t="s">
        <v>18</v>
      </c>
      <c r="F235" t="s">
        <v>18</v>
      </c>
      <c r="G235" s="2" t="s">
        <v>1519</v>
      </c>
    </row>
    <row r="236" spans="1:7" x14ac:dyDescent="0.25">
      <c r="A236" s="66" t="s">
        <v>88</v>
      </c>
      <c r="B236" s="66" t="s">
        <v>1663</v>
      </c>
      <c r="C236" s="66" t="s">
        <v>1519</v>
      </c>
      <c r="D236" s="15">
        <v>0</v>
      </c>
      <c r="E236" t="s">
        <v>18</v>
      </c>
      <c r="F236" t="e">
        <v>#N/A</v>
      </c>
      <c r="G236" s="2" t="s">
        <v>1519</v>
      </c>
    </row>
    <row r="237" spans="1:7" x14ac:dyDescent="0.25">
      <c r="A237" s="66" t="s">
        <v>102</v>
      </c>
      <c r="B237" s="66" t="s">
        <v>1664</v>
      </c>
      <c r="C237" s="66" t="s">
        <v>1519</v>
      </c>
      <c r="D237" s="15">
        <v>9042408601220</v>
      </c>
      <c r="E237" t="s">
        <v>18</v>
      </c>
      <c r="F237" t="e">
        <v>#N/A</v>
      </c>
      <c r="G237" s="2" t="s">
        <v>1519</v>
      </c>
    </row>
    <row r="238" spans="1:7" x14ac:dyDescent="0.25">
      <c r="A238" s="66" t="s">
        <v>1471</v>
      </c>
      <c r="B238" s="66" t="s">
        <v>1665</v>
      </c>
      <c r="C238" s="66" t="s">
        <v>1519</v>
      </c>
      <c r="D238" s="15">
        <v>0</v>
      </c>
      <c r="E238" t="s">
        <v>18</v>
      </c>
      <c r="F238" t="e">
        <v>#N/A</v>
      </c>
      <c r="G238" s="2" t="s">
        <v>1519</v>
      </c>
    </row>
    <row r="239" spans="1:7" x14ac:dyDescent="0.25">
      <c r="A239" s="66" t="s">
        <v>120</v>
      </c>
      <c r="B239" s="66" t="s">
        <v>1666</v>
      </c>
      <c r="C239" s="66" t="s">
        <v>1519</v>
      </c>
      <c r="D239" s="15">
        <v>0</v>
      </c>
      <c r="E239" t="s">
        <v>18</v>
      </c>
      <c r="F239" t="s">
        <v>18</v>
      </c>
      <c r="G239" s="2" t="s">
        <v>1519</v>
      </c>
    </row>
    <row r="240" spans="1:7" x14ac:dyDescent="0.25">
      <c r="A240" s="66" t="s">
        <v>125</v>
      </c>
      <c r="B240" s="66" t="s">
        <v>1667</v>
      </c>
      <c r="C240" s="66" t="s">
        <v>1519</v>
      </c>
      <c r="D240" s="15">
        <v>0</v>
      </c>
      <c r="E240" t="s">
        <v>18</v>
      </c>
      <c r="F240" t="s">
        <v>18</v>
      </c>
      <c r="G240" s="2" t="s">
        <v>1519</v>
      </c>
    </row>
    <row r="241" spans="1:7" x14ac:dyDescent="0.25">
      <c r="A241" s="14" t="s">
        <v>1668</v>
      </c>
      <c r="B241" s="66" t="e">
        <v>#N/A</v>
      </c>
      <c r="C241" s="14" t="s">
        <v>1519</v>
      </c>
      <c r="D241" s="15" t="e">
        <v>#N/A</v>
      </c>
      <c r="E241" t="e">
        <v>#N/A</v>
      </c>
      <c r="F241" t="e">
        <v>#N/A</v>
      </c>
      <c r="G241" s="2" t="e">
        <v>#N/A</v>
      </c>
    </row>
    <row r="242" spans="1:7" x14ac:dyDescent="0.25">
      <c r="A242" s="14" t="s">
        <v>1669</v>
      </c>
      <c r="B242" s="66" t="e">
        <v>#N/A</v>
      </c>
      <c r="C242" s="14" t="s">
        <v>1519</v>
      </c>
      <c r="D242" s="15" t="e">
        <v>#N/A</v>
      </c>
      <c r="E242" t="e">
        <v>#N/A</v>
      </c>
      <c r="F242" t="e">
        <v>#N/A</v>
      </c>
      <c r="G242" s="2" t="e">
        <v>#N/A</v>
      </c>
    </row>
    <row r="243" spans="1:7" x14ac:dyDescent="0.25">
      <c r="A243" s="66" t="s">
        <v>128</v>
      </c>
      <c r="B243" s="66" t="s">
        <v>1670</v>
      </c>
      <c r="C243" s="66" t="s">
        <v>1519</v>
      </c>
      <c r="D243" s="15" t="e">
        <v>#N/A</v>
      </c>
      <c r="E243" t="e">
        <v>#N/A</v>
      </c>
      <c r="F243" t="e">
        <v>#N/A</v>
      </c>
      <c r="G243" s="2" t="e">
        <v>#N/A</v>
      </c>
    </row>
    <row r="244" spans="1:7" x14ac:dyDescent="0.25">
      <c r="A244" s="66" t="s">
        <v>140</v>
      </c>
      <c r="B244" s="66" t="s">
        <v>1671</v>
      </c>
      <c r="C244" s="66" t="s">
        <v>1519</v>
      </c>
      <c r="D244" s="15">
        <v>9042406781966</v>
      </c>
      <c r="E244" t="s">
        <v>18</v>
      </c>
      <c r="F244" t="e">
        <v>#N/A</v>
      </c>
      <c r="G244" s="2" t="s">
        <v>1519</v>
      </c>
    </row>
    <row r="245" spans="1:7" x14ac:dyDescent="0.25">
      <c r="A245" s="66" t="s">
        <v>171</v>
      </c>
      <c r="B245" s="66" t="s">
        <v>1672</v>
      </c>
      <c r="C245" s="66" t="s">
        <v>1519</v>
      </c>
      <c r="D245" s="15">
        <v>0</v>
      </c>
      <c r="E245" t="s">
        <v>18</v>
      </c>
      <c r="F245" t="e">
        <v>#N/A</v>
      </c>
      <c r="G245" s="2" t="s">
        <v>1519</v>
      </c>
    </row>
    <row r="246" spans="1:7" x14ac:dyDescent="0.25">
      <c r="A246" s="66" t="s">
        <v>172</v>
      </c>
      <c r="B246" s="66" t="s">
        <v>1673</v>
      </c>
      <c r="C246" s="66" t="s">
        <v>1519</v>
      </c>
      <c r="D246" s="15" t="s">
        <v>1498</v>
      </c>
      <c r="E246" t="s">
        <v>18</v>
      </c>
      <c r="F246" t="e">
        <v>#N/A</v>
      </c>
      <c r="G246" s="2" t="s">
        <v>1519</v>
      </c>
    </row>
    <row r="247" spans="1:7" x14ac:dyDescent="0.25">
      <c r="A247" s="66" t="s">
        <v>173</v>
      </c>
      <c r="B247" s="66" t="s">
        <v>1674</v>
      </c>
      <c r="C247" s="66" t="s">
        <v>1519</v>
      </c>
      <c r="D247" s="15" t="s">
        <v>1498</v>
      </c>
      <c r="E247" t="s">
        <v>18</v>
      </c>
      <c r="F247" t="e">
        <v>#N/A</v>
      </c>
      <c r="G247" s="2" t="s">
        <v>1519</v>
      </c>
    </row>
    <row r="248" spans="1:7" x14ac:dyDescent="0.25">
      <c r="A248" s="66" t="s">
        <v>194</v>
      </c>
      <c r="B248" s="66" t="s">
        <v>1675</v>
      </c>
      <c r="C248" s="66" t="s">
        <v>1519</v>
      </c>
      <c r="D248" s="15" t="s">
        <v>1498</v>
      </c>
      <c r="E248" t="s">
        <v>18</v>
      </c>
      <c r="F248" t="e">
        <v>#N/A</v>
      </c>
      <c r="G248" s="2" t="s">
        <v>1519</v>
      </c>
    </row>
    <row r="249" spans="1:7" x14ac:dyDescent="0.25">
      <c r="A249" s="66" t="s">
        <v>198</v>
      </c>
      <c r="B249" s="66" t="s">
        <v>1676</v>
      </c>
      <c r="C249" s="66" t="s">
        <v>1519</v>
      </c>
      <c r="D249" s="15">
        <v>0</v>
      </c>
      <c r="E249" t="s">
        <v>18</v>
      </c>
      <c r="F249" t="s">
        <v>18</v>
      </c>
      <c r="G249" s="2" t="s">
        <v>1519</v>
      </c>
    </row>
    <row r="250" spans="1:7" x14ac:dyDescent="0.25">
      <c r="A250" s="66" t="s">
        <v>206</v>
      </c>
      <c r="B250" s="66" t="s">
        <v>1677</v>
      </c>
      <c r="C250" s="66" t="s">
        <v>1519</v>
      </c>
      <c r="D250" s="15">
        <v>9042408601188</v>
      </c>
      <c r="E250" t="s">
        <v>18</v>
      </c>
      <c r="F250" t="e">
        <v>#N/A</v>
      </c>
      <c r="G250" s="2" t="s">
        <v>1519</v>
      </c>
    </row>
    <row r="251" spans="1:7" x14ac:dyDescent="0.25">
      <c r="A251" s="66" t="s">
        <v>209</v>
      </c>
      <c r="B251" s="66" t="s">
        <v>1678</v>
      </c>
      <c r="C251" s="66" t="s">
        <v>1519</v>
      </c>
      <c r="D251" s="15">
        <v>0</v>
      </c>
      <c r="E251" t="s">
        <v>18</v>
      </c>
      <c r="F251" t="e">
        <v>#N/A</v>
      </c>
      <c r="G251" s="2" t="s">
        <v>1519</v>
      </c>
    </row>
    <row r="252" spans="1:7" x14ac:dyDescent="0.25">
      <c r="A252" s="66" t="s">
        <v>214</v>
      </c>
      <c r="B252" s="66" t="s">
        <v>1679</v>
      </c>
      <c r="C252" s="66" t="s">
        <v>1519</v>
      </c>
      <c r="D252" s="15">
        <v>0</v>
      </c>
      <c r="E252" t="s">
        <v>18</v>
      </c>
      <c r="F252" t="e">
        <v>#N/A</v>
      </c>
      <c r="G252" s="2" t="s">
        <v>1519</v>
      </c>
    </row>
    <row r="253" spans="1:7" x14ac:dyDescent="0.25">
      <c r="A253" s="66" t="s">
        <v>989</v>
      </c>
      <c r="B253" s="66" t="s">
        <v>1534</v>
      </c>
      <c r="C253" s="66" t="s">
        <v>1519</v>
      </c>
      <c r="D253" s="15" t="e">
        <v>#N/A</v>
      </c>
      <c r="E253" t="e">
        <v>#N/A</v>
      </c>
      <c r="F253" t="e">
        <v>#N/A</v>
      </c>
      <c r="G253" s="2" t="e">
        <v>#N/A</v>
      </c>
    </row>
    <row r="254" spans="1:7" x14ac:dyDescent="0.25">
      <c r="A254" s="66" t="s">
        <v>226</v>
      </c>
      <c r="B254" s="66" t="s">
        <v>1680</v>
      </c>
      <c r="C254" s="66" t="s">
        <v>1519</v>
      </c>
      <c r="D254" s="15">
        <v>0</v>
      </c>
      <c r="E254" t="s">
        <v>18</v>
      </c>
      <c r="F254" t="s">
        <v>18</v>
      </c>
      <c r="G254" s="2" t="s">
        <v>1519</v>
      </c>
    </row>
    <row r="255" spans="1:7" x14ac:dyDescent="0.25">
      <c r="A255" s="66" t="s">
        <v>257</v>
      </c>
      <c r="B255" s="66" t="s">
        <v>1681</v>
      </c>
      <c r="C255" s="66" t="s">
        <v>1519</v>
      </c>
      <c r="D255" s="15">
        <v>9042408803263</v>
      </c>
      <c r="E255" t="s">
        <v>18</v>
      </c>
      <c r="F255" t="e">
        <v>#N/A</v>
      </c>
      <c r="G255" s="2" t="s">
        <v>1519</v>
      </c>
    </row>
    <row r="256" spans="1:7" x14ac:dyDescent="0.25">
      <c r="A256" s="66" t="s">
        <v>270</v>
      </c>
      <c r="B256" s="66" t="s">
        <v>1682</v>
      </c>
      <c r="C256" s="66" t="s">
        <v>1519</v>
      </c>
      <c r="D256" s="15">
        <v>0</v>
      </c>
      <c r="E256" t="s">
        <v>18</v>
      </c>
      <c r="F256" t="e">
        <v>#N/A</v>
      </c>
      <c r="G256" s="2" t="s">
        <v>1519</v>
      </c>
    </row>
    <row r="257" spans="1:7" x14ac:dyDescent="0.25">
      <c r="A257" s="66" t="s">
        <v>283</v>
      </c>
      <c r="B257" s="66" t="s">
        <v>1683</v>
      </c>
      <c r="C257" s="66" t="s">
        <v>1519</v>
      </c>
      <c r="D257" s="15">
        <v>0</v>
      </c>
      <c r="E257" t="s">
        <v>18</v>
      </c>
      <c r="F257" t="e">
        <v>#N/A</v>
      </c>
      <c r="G257" s="2" t="s">
        <v>1519</v>
      </c>
    </row>
    <row r="258" spans="1:7" x14ac:dyDescent="0.25">
      <c r="A258" s="66" t="s">
        <v>308</v>
      </c>
      <c r="B258" s="66" t="s">
        <v>1684</v>
      </c>
      <c r="C258" s="66" t="s">
        <v>1519</v>
      </c>
      <c r="D258" s="15" t="s">
        <v>1498</v>
      </c>
      <c r="E258" t="s">
        <v>18</v>
      </c>
      <c r="F258" t="e">
        <v>#N/A</v>
      </c>
      <c r="G258" s="2" t="s">
        <v>1519</v>
      </c>
    </row>
    <row r="259" spans="1:7" x14ac:dyDescent="0.25">
      <c r="A259" s="66" t="s">
        <v>313</v>
      </c>
      <c r="B259" s="66" t="s">
        <v>1685</v>
      </c>
      <c r="C259" s="66" t="s">
        <v>1519</v>
      </c>
      <c r="D259" s="15">
        <v>0</v>
      </c>
      <c r="E259" t="s">
        <v>18</v>
      </c>
      <c r="F259" t="s">
        <v>18</v>
      </c>
      <c r="G259" s="2" t="s">
        <v>1519</v>
      </c>
    </row>
    <row r="260" spans="1:7" x14ac:dyDescent="0.25">
      <c r="A260" s="66" t="s">
        <v>1686</v>
      </c>
      <c r="B260" s="66" t="s">
        <v>1687</v>
      </c>
      <c r="C260" s="66" t="s">
        <v>1519</v>
      </c>
      <c r="D260" s="15" t="s">
        <v>1688</v>
      </c>
      <c r="E260" s="15" t="s">
        <v>1688</v>
      </c>
      <c r="F260" s="15" t="s">
        <v>1688</v>
      </c>
      <c r="G260" s="15" t="s">
        <v>1688</v>
      </c>
    </row>
    <row r="261" spans="1:7" x14ac:dyDescent="0.25">
      <c r="A261" s="66" t="s">
        <v>318</v>
      </c>
      <c r="B261" s="66" t="s">
        <v>319</v>
      </c>
      <c r="C261" s="66" t="s">
        <v>1519</v>
      </c>
      <c r="D261" s="15">
        <v>0</v>
      </c>
      <c r="E261" t="s">
        <v>18</v>
      </c>
      <c r="F261" t="e">
        <v>#N/A</v>
      </c>
      <c r="G261" s="2" t="s">
        <v>1519</v>
      </c>
    </row>
    <row r="262" spans="1:7" x14ac:dyDescent="0.25">
      <c r="A262" s="66" t="s">
        <v>1097</v>
      </c>
      <c r="B262" s="66" t="s">
        <v>1689</v>
      </c>
      <c r="C262" s="66" t="s">
        <v>1519</v>
      </c>
      <c r="D262" s="15">
        <v>0</v>
      </c>
      <c r="E262" t="s">
        <v>18</v>
      </c>
      <c r="F262" t="e">
        <v>#N/A</v>
      </c>
      <c r="G262" s="2" t="s">
        <v>1519</v>
      </c>
    </row>
    <row r="263" spans="1:7" x14ac:dyDescent="0.25">
      <c r="A263" s="66" t="s">
        <v>336</v>
      </c>
      <c r="B263" s="66" t="s">
        <v>1690</v>
      </c>
      <c r="C263" s="66" t="s">
        <v>1519</v>
      </c>
      <c r="D263" s="15" t="s">
        <v>1498</v>
      </c>
      <c r="E263" t="s">
        <v>18</v>
      </c>
      <c r="F263" t="e">
        <v>#N/A</v>
      </c>
      <c r="G263" s="2" t="s">
        <v>1519</v>
      </c>
    </row>
    <row r="264" spans="1:7" x14ac:dyDescent="0.25">
      <c r="A264" s="66" t="s">
        <v>341</v>
      </c>
      <c r="B264" s="66" t="s">
        <v>1691</v>
      </c>
      <c r="C264" s="66" t="s">
        <v>1519</v>
      </c>
      <c r="D264" s="15" t="s">
        <v>1498</v>
      </c>
      <c r="E264" t="s">
        <v>18</v>
      </c>
      <c r="F264" t="e">
        <v>#N/A</v>
      </c>
      <c r="G264" s="2" t="s">
        <v>1519</v>
      </c>
    </row>
    <row r="265" spans="1:7" x14ac:dyDescent="0.25">
      <c r="A265" s="83" t="s">
        <v>342</v>
      </c>
      <c r="B265" s="66" t="s">
        <v>1591</v>
      </c>
      <c r="C265" s="66" t="s">
        <v>1519</v>
      </c>
      <c r="D265" s="15" t="e">
        <v>#N/A</v>
      </c>
      <c r="E265" t="e">
        <v>#N/A</v>
      </c>
      <c r="F265" t="e">
        <v>#N/A</v>
      </c>
      <c r="G265" s="2" t="e">
        <v>#N/A</v>
      </c>
    </row>
    <row r="266" spans="1:7" x14ac:dyDescent="0.25">
      <c r="A266" s="66" t="s">
        <v>1692</v>
      </c>
      <c r="B266" s="66" t="s">
        <v>1591</v>
      </c>
      <c r="C266" s="66" t="s">
        <v>1519</v>
      </c>
      <c r="D266" s="15" t="e">
        <v>#N/A</v>
      </c>
      <c r="E266" t="e">
        <v>#N/A</v>
      </c>
      <c r="F266" t="e">
        <v>#N/A</v>
      </c>
      <c r="G266" s="2" t="e">
        <v>#N/A</v>
      </c>
    </row>
    <row r="267" spans="1:7" x14ac:dyDescent="0.25">
      <c r="A267" s="66" t="s">
        <v>1693</v>
      </c>
      <c r="B267" s="66" t="s">
        <v>1694</v>
      </c>
      <c r="C267" s="66" t="s">
        <v>1519</v>
      </c>
      <c r="D267" s="15">
        <v>0</v>
      </c>
      <c r="E267" t="s">
        <v>18</v>
      </c>
      <c r="F267" t="s">
        <v>18</v>
      </c>
      <c r="G267" s="2" t="s">
        <v>1519</v>
      </c>
    </row>
    <row r="268" spans="1:7" x14ac:dyDescent="0.25">
      <c r="A268" s="66" t="s">
        <v>372</v>
      </c>
      <c r="B268" s="66" t="s">
        <v>1695</v>
      </c>
      <c r="C268" s="66" t="s">
        <v>1519</v>
      </c>
      <c r="D268" s="15">
        <v>0</v>
      </c>
      <c r="E268" t="s">
        <v>18</v>
      </c>
      <c r="F268" t="e">
        <v>#N/A</v>
      </c>
      <c r="G268" s="2" t="s">
        <v>1519</v>
      </c>
    </row>
    <row r="269" spans="1:7" x14ac:dyDescent="0.25">
      <c r="A269" s="66" t="s">
        <v>374</v>
      </c>
      <c r="B269" s="66" t="s">
        <v>1696</v>
      </c>
      <c r="C269" s="66" t="s">
        <v>1519</v>
      </c>
      <c r="D269" s="15">
        <v>0</v>
      </c>
      <c r="E269" t="s">
        <v>18</v>
      </c>
      <c r="F269" t="e">
        <v>#N/A</v>
      </c>
      <c r="G269" s="2" t="s">
        <v>1519</v>
      </c>
    </row>
    <row r="270" spans="1:7" x14ac:dyDescent="0.25">
      <c r="A270" s="66" t="s">
        <v>377</v>
      </c>
      <c r="B270" s="66" t="s">
        <v>378</v>
      </c>
      <c r="C270" s="66" t="s">
        <v>1519</v>
      </c>
      <c r="D270" s="15" t="e">
        <v>#N/A</v>
      </c>
      <c r="E270" t="e">
        <v>#N/A</v>
      </c>
      <c r="F270" t="e">
        <v>#N/A</v>
      </c>
      <c r="G270" s="2" t="e">
        <v>#N/A</v>
      </c>
    </row>
    <row r="271" spans="1:7" x14ac:dyDescent="0.25">
      <c r="A271" s="66" t="s">
        <v>380</v>
      </c>
      <c r="B271" s="66" t="s">
        <v>1697</v>
      </c>
      <c r="C271" s="66" t="s">
        <v>1519</v>
      </c>
      <c r="D271" s="15" t="s">
        <v>1498</v>
      </c>
      <c r="E271" t="s">
        <v>18</v>
      </c>
      <c r="F271" t="e">
        <v>#N/A</v>
      </c>
      <c r="G271" s="2" t="s">
        <v>1519</v>
      </c>
    </row>
    <row r="272" spans="1:7" x14ac:dyDescent="0.25">
      <c r="A272" s="66" t="s">
        <v>382</v>
      </c>
      <c r="B272" s="66" t="s">
        <v>1698</v>
      </c>
      <c r="C272" s="66" t="s">
        <v>1519</v>
      </c>
      <c r="D272" s="15" t="s">
        <v>1498</v>
      </c>
      <c r="E272" t="s">
        <v>18</v>
      </c>
      <c r="F272" t="e">
        <v>#N/A</v>
      </c>
      <c r="G272" s="2" t="s">
        <v>1519</v>
      </c>
    </row>
    <row r="273" spans="1:7" x14ac:dyDescent="0.25">
      <c r="A273" s="66" t="s">
        <v>1481</v>
      </c>
      <c r="B273" s="66" t="s">
        <v>1699</v>
      </c>
      <c r="C273" s="66" t="s">
        <v>1519</v>
      </c>
      <c r="D273" s="15">
        <v>0</v>
      </c>
      <c r="E273" t="s">
        <v>18</v>
      </c>
      <c r="F273" t="e">
        <v>#N/A</v>
      </c>
      <c r="G273" s="2" t="s">
        <v>1519</v>
      </c>
    </row>
    <row r="274" spans="1:7" x14ac:dyDescent="0.25">
      <c r="A274" s="79" t="s">
        <v>398</v>
      </c>
      <c r="B274" s="66" t="s">
        <v>399</v>
      </c>
      <c r="C274" s="66" t="s">
        <v>1519</v>
      </c>
      <c r="D274" s="15">
        <v>9076509301561</v>
      </c>
      <c r="E274" t="s">
        <v>18</v>
      </c>
      <c r="F274" t="e">
        <v>#N/A</v>
      </c>
      <c r="G274" s="2" t="s">
        <v>1519</v>
      </c>
    </row>
    <row r="275" spans="1:7" x14ac:dyDescent="0.25">
      <c r="A275" s="66" t="s">
        <v>420</v>
      </c>
      <c r="B275" s="66" t="s">
        <v>421</v>
      </c>
      <c r="C275" s="66" t="s">
        <v>1519</v>
      </c>
      <c r="D275" s="15">
        <v>0</v>
      </c>
      <c r="E275" t="s">
        <v>18</v>
      </c>
      <c r="F275" t="e">
        <v>#N/A</v>
      </c>
      <c r="G275" s="2" t="s">
        <v>1519</v>
      </c>
    </row>
    <row r="276" spans="1:7" x14ac:dyDescent="0.25">
      <c r="A276" s="66" t="s">
        <v>1174</v>
      </c>
      <c r="B276" s="66" t="s">
        <v>1700</v>
      </c>
      <c r="C276" s="66" t="s">
        <v>1519</v>
      </c>
      <c r="D276" s="15" t="e">
        <v>#N/A</v>
      </c>
      <c r="E276" t="e">
        <v>#N/A</v>
      </c>
      <c r="F276" t="e">
        <v>#N/A</v>
      </c>
      <c r="G276" s="2" t="e">
        <v>#N/A</v>
      </c>
    </row>
    <row r="277" spans="1:7" x14ac:dyDescent="0.25">
      <c r="A277" s="66" t="s">
        <v>437</v>
      </c>
      <c r="B277" s="66" t="s">
        <v>438</v>
      </c>
      <c r="C277" s="66" t="s">
        <v>1519</v>
      </c>
      <c r="D277" s="15" t="s">
        <v>1498</v>
      </c>
      <c r="E277" t="s">
        <v>1701</v>
      </c>
      <c r="F277" t="e">
        <v>#N/A</v>
      </c>
      <c r="G277" s="2" t="s">
        <v>1519</v>
      </c>
    </row>
    <row r="278" spans="1:7" x14ac:dyDescent="0.25">
      <c r="A278" s="66" t="s">
        <v>448</v>
      </c>
      <c r="B278" s="66" t="s">
        <v>449</v>
      </c>
      <c r="C278" s="66" t="s">
        <v>1519</v>
      </c>
      <c r="D278" s="15">
        <v>0</v>
      </c>
      <c r="E278" t="s">
        <v>18</v>
      </c>
      <c r="F278" t="e">
        <v>#N/A</v>
      </c>
      <c r="G278" s="2" t="s">
        <v>1519</v>
      </c>
    </row>
    <row r="279" spans="1:7" x14ac:dyDescent="0.25">
      <c r="A279" s="66" t="s">
        <v>459</v>
      </c>
      <c r="B279" s="66" t="s">
        <v>460</v>
      </c>
      <c r="C279" s="66" t="s">
        <v>1519</v>
      </c>
      <c r="D279" s="15">
        <v>9042406782196</v>
      </c>
      <c r="E279" t="s">
        <v>18</v>
      </c>
      <c r="F279" t="e">
        <v>#N/A</v>
      </c>
      <c r="G279" s="2" t="s">
        <v>1519</v>
      </c>
    </row>
    <row r="280" spans="1:7" x14ac:dyDescent="0.25">
      <c r="A280" s="66" t="s">
        <v>481</v>
      </c>
      <c r="B280" s="66" t="s">
        <v>482</v>
      </c>
      <c r="C280" s="66" t="s">
        <v>1519</v>
      </c>
      <c r="D280" s="15">
        <v>0</v>
      </c>
      <c r="E280" t="s">
        <v>18</v>
      </c>
      <c r="F280" t="e">
        <v>#N/A</v>
      </c>
      <c r="G280" s="2" t="s">
        <v>1519</v>
      </c>
    </row>
    <row r="281" spans="1:7" x14ac:dyDescent="0.25">
      <c r="A281" s="66" t="s">
        <v>495</v>
      </c>
      <c r="B281" s="66" t="s">
        <v>496</v>
      </c>
      <c r="C281" s="66" t="s">
        <v>1519</v>
      </c>
      <c r="D281" s="15" t="e">
        <v>#N/A</v>
      </c>
      <c r="E281" t="e">
        <v>#N/A</v>
      </c>
      <c r="F281" t="e">
        <v>#N/A</v>
      </c>
      <c r="G281" s="2" t="e">
        <v>#N/A</v>
      </c>
    </row>
    <row r="282" spans="1:7" x14ac:dyDescent="0.25">
      <c r="A282" s="66" t="s">
        <v>501</v>
      </c>
      <c r="B282" s="66" t="s">
        <v>502</v>
      </c>
      <c r="C282" s="66" t="s">
        <v>1519</v>
      </c>
      <c r="D282" s="15">
        <v>0</v>
      </c>
      <c r="E282" t="s">
        <v>18</v>
      </c>
      <c r="F282" t="e">
        <v>#N/A</v>
      </c>
      <c r="G282" s="2" t="s">
        <v>1519</v>
      </c>
    </row>
    <row r="283" spans="1:7" x14ac:dyDescent="0.25">
      <c r="A283" s="66" t="s">
        <v>1241</v>
      </c>
      <c r="B283" s="66" t="s">
        <v>1702</v>
      </c>
      <c r="C283" s="66" t="s">
        <v>1519</v>
      </c>
      <c r="D283" s="15">
        <v>0</v>
      </c>
      <c r="E283" t="s">
        <v>18</v>
      </c>
      <c r="F283" t="e">
        <v>#N/A</v>
      </c>
      <c r="G283" s="2" t="s">
        <v>1519</v>
      </c>
    </row>
    <row r="284" spans="1:7" x14ac:dyDescent="0.25">
      <c r="A284" s="66" t="s">
        <v>516</v>
      </c>
      <c r="B284" s="66" t="s">
        <v>517</v>
      </c>
      <c r="C284" s="66" t="s">
        <v>1519</v>
      </c>
      <c r="D284" s="15" t="s">
        <v>1498</v>
      </c>
      <c r="E284" t="s">
        <v>18</v>
      </c>
      <c r="F284" t="e">
        <v>#N/A</v>
      </c>
      <c r="G284" s="2" t="s">
        <v>1519</v>
      </c>
    </row>
    <row r="285" spans="1:7" x14ac:dyDescent="0.25">
      <c r="A285" s="66" t="s">
        <v>559</v>
      </c>
      <c r="B285" s="66" t="s">
        <v>560</v>
      </c>
      <c r="C285" s="66" t="s">
        <v>1519</v>
      </c>
      <c r="D285" s="15">
        <v>9042408803560</v>
      </c>
      <c r="E285" t="s">
        <v>18</v>
      </c>
      <c r="F285" t="e">
        <v>#N/A</v>
      </c>
      <c r="G285" s="2" t="s">
        <v>1519</v>
      </c>
    </row>
    <row r="286" spans="1:7" x14ac:dyDescent="0.25">
      <c r="A286" s="66" t="s">
        <v>1703</v>
      </c>
      <c r="B286" s="66" t="s">
        <v>1704</v>
      </c>
      <c r="C286" s="66" t="s">
        <v>1519</v>
      </c>
      <c r="D286" s="15" t="s">
        <v>1498</v>
      </c>
      <c r="E286" t="s">
        <v>18</v>
      </c>
      <c r="F286" t="e">
        <v>#N/A</v>
      </c>
      <c r="G286" s="2" t="s">
        <v>1519</v>
      </c>
    </row>
    <row r="287" spans="1:7" x14ac:dyDescent="0.25">
      <c r="A287" s="66" t="s">
        <v>579</v>
      </c>
      <c r="B287" s="66" t="s">
        <v>580</v>
      </c>
      <c r="C287" s="66" t="s">
        <v>1519</v>
      </c>
      <c r="D287" s="15">
        <v>0</v>
      </c>
      <c r="E287" t="s">
        <v>18</v>
      </c>
      <c r="F287" t="e">
        <v>#N/A</v>
      </c>
      <c r="G287" s="2" t="s">
        <v>1519</v>
      </c>
    </row>
    <row r="288" spans="1:7" x14ac:dyDescent="0.25">
      <c r="A288" s="66" t="s">
        <v>596</v>
      </c>
      <c r="B288" s="66" t="s">
        <v>597</v>
      </c>
      <c r="C288" s="66" t="s">
        <v>1519</v>
      </c>
      <c r="D288" s="15">
        <v>0</v>
      </c>
      <c r="E288" t="s">
        <v>18</v>
      </c>
      <c r="F288" t="e">
        <v>#N/A</v>
      </c>
      <c r="G288" s="2" t="s">
        <v>1519</v>
      </c>
    </row>
    <row r="289" spans="1:7" x14ac:dyDescent="0.25">
      <c r="A289" s="66" t="s">
        <v>606</v>
      </c>
      <c r="B289" s="66" t="s">
        <v>607</v>
      </c>
      <c r="C289" s="66" t="s">
        <v>1519</v>
      </c>
      <c r="D289" s="15" t="s">
        <v>1498</v>
      </c>
      <c r="E289" t="s">
        <v>18</v>
      </c>
      <c r="F289" t="e">
        <v>#N/A</v>
      </c>
      <c r="G289" s="2" t="s">
        <v>1519</v>
      </c>
    </row>
    <row r="290" spans="1:7" x14ac:dyDescent="0.25">
      <c r="A290" s="66" t="s">
        <v>1326</v>
      </c>
      <c r="B290" s="66" t="s">
        <v>1705</v>
      </c>
      <c r="C290" s="66" t="s">
        <v>1519</v>
      </c>
      <c r="D290" s="15" t="e">
        <v>#N/A</v>
      </c>
      <c r="E290" t="e">
        <v>#N/A</v>
      </c>
      <c r="F290" t="e">
        <v>#N/A</v>
      </c>
      <c r="G290" s="2" t="e">
        <v>#N/A</v>
      </c>
    </row>
    <row r="291" spans="1:7" x14ac:dyDescent="0.25">
      <c r="A291" s="66" t="s">
        <v>617</v>
      </c>
      <c r="B291" s="66" t="s">
        <v>618</v>
      </c>
      <c r="C291" s="66" t="s">
        <v>1519</v>
      </c>
      <c r="D291" s="15">
        <v>9076505612821</v>
      </c>
      <c r="E291" t="s">
        <v>18</v>
      </c>
      <c r="F291" t="e">
        <v>#N/A</v>
      </c>
      <c r="G291" s="2" t="s">
        <v>1519</v>
      </c>
    </row>
    <row r="292" spans="1:7" x14ac:dyDescent="0.25">
      <c r="A292" s="66" t="s">
        <v>632</v>
      </c>
      <c r="B292" s="66" t="s">
        <v>633</v>
      </c>
      <c r="C292" s="66" t="s">
        <v>1519</v>
      </c>
      <c r="D292" s="15">
        <v>9042408599309</v>
      </c>
      <c r="E292" t="s">
        <v>18</v>
      </c>
      <c r="F292" t="e">
        <v>#N/A</v>
      </c>
      <c r="G292" s="2" t="s">
        <v>1519</v>
      </c>
    </row>
    <row r="293" spans="1:7" x14ac:dyDescent="0.25">
      <c r="A293" s="66" t="s">
        <v>635</v>
      </c>
      <c r="B293" s="66" t="s">
        <v>636</v>
      </c>
      <c r="C293" s="66" t="s">
        <v>1519</v>
      </c>
      <c r="D293" s="15" t="s">
        <v>1498</v>
      </c>
      <c r="E293" t="s">
        <v>18</v>
      </c>
      <c r="F293" t="e">
        <v>#N/A</v>
      </c>
      <c r="G293" s="2" t="s">
        <v>1519</v>
      </c>
    </row>
    <row r="294" spans="1:7" x14ac:dyDescent="0.25">
      <c r="A294" s="66" t="s">
        <v>653</v>
      </c>
      <c r="B294" s="66" t="s">
        <v>654</v>
      </c>
      <c r="C294" s="66" t="s">
        <v>1519</v>
      </c>
      <c r="D294" s="15">
        <v>0</v>
      </c>
      <c r="E294" t="s">
        <v>18</v>
      </c>
      <c r="F294" t="e">
        <v>#N/A</v>
      </c>
      <c r="G294" s="2" t="s">
        <v>1519</v>
      </c>
    </row>
    <row r="295" spans="1:7" x14ac:dyDescent="0.25">
      <c r="A295" s="66" t="s">
        <v>655</v>
      </c>
      <c r="B295" s="66" t="s">
        <v>656</v>
      </c>
      <c r="C295" s="66" t="s">
        <v>1519</v>
      </c>
      <c r="D295" s="15" t="s">
        <v>1498</v>
      </c>
      <c r="E295" t="s">
        <v>18</v>
      </c>
      <c r="F295" t="e">
        <v>#N/A</v>
      </c>
      <c r="G295" s="2" t="s">
        <v>1519</v>
      </c>
    </row>
    <row r="296" spans="1:7" x14ac:dyDescent="0.25">
      <c r="A296" s="70" t="s">
        <v>663</v>
      </c>
      <c r="B296" s="66" t="s">
        <v>664</v>
      </c>
      <c r="C296" s="66" t="s">
        <v>1519</v>
      </c>
      <c r="D296" s="15">
        <v>0</v>
      </c>
      <c r="E296" t="s">
        <v>18</v>
      </c>
      <c r="F296" t="e">
        <v>#N/A</v>
      </c>
      <c r="G296" s="2" t="s">
        <v>1519</v>
      </c>
    </row>
    <row r="297" spans="1:7" x14ac:dyDescent="0.25">
      <c r="A297" s="66" t="s">
        <v>666</v>
      </c>
      <c r="B297" s="66" t="s">
        <v>667</v>
      </c>
      <c r="C297" s="66" t="s">
        <v>1519</v>
      </c>
      <c r="D297" s="15">
        <v>0</v>
      </c>
      <c r="E297" t="s">
        <v>18</v>
      </c>
      <c r="F297" t="e">
        <v>#N/A</v>
      </c>
      <c r="G297" s="2" t="s">
        <v>1519</v>
      </c>
    </row>
    <row r="298" spans="1:7" x14ac:dyDescent="0.25">
      <c r="A298" s="66" t="s">
        <v>668</v>
      </c>
      <c r="B298" s="66" t="s">
        <v>669</v>
      </c>
      <c r="C298" s="66" t="s">
        <v>1519</v>
      </c>
      <c r="D298" s="15">
        <v>0</v>
      </c>
      <c r="E298" t="s">
        <v>18</v>
      </c>
      <c r="F298" t="e">
        <v>#N/A</v>
      </c>
      <c r="G298" s="2" t="s">
        <v>1519</v>
      </c>
    </row>
    <row r="299" spans="1:7" x14ac:dyDescent="0.25">
      <c r="A299" s="66" t="s">
        <v>671</v>
      </c>
      <c r="B299" s="66" t="s">
        <v>672</v>
      </c>
      <c r="C299" s="66" t="s">
        <v>1519</v>
      </c>
      <c r="D299" s="15">
        <v>0</v>
      </c>
      <c r="E299" t="s">
        <v>18</v>
      </c>
      <c r="F299" t="e">
        <v>#N/A</v>
      </c>
      <c r="G299" s="2" t="s">
        <v>1519</v>
      </c>
    </row>
    <row r="300" spans="1:7" x14ac:dyDescent="0.25">
      <c r="A300" s="66" t="s">
        <v>677</v>
      </c>
      <c r="B300" s="66" t="s">
        <v>678</v>
      </c>
      <c r="C300" s="66" t="s">
        <v>1519</v>
      </c>
      <c r="D300" s="15">
        <v>0</v>
      </c>
      <c r="E300" t="s">
        <v>18</v>
      </c>
      <c r="F300" t="e">
        <v>#N/A</v>
      </c>
      <c r="G300" s="2" t="s">
        <v>1519</v>
      </c>
    </row>
    <row r="301" spans="1:7" x14ac:dyDescent="0.25">
      <c r="A301" s="66" t="s">
        <v>684</v>
      </c>
      <c r="B301" s="66" t="s">
        <v>685</v>
      </c>
      <c r="C301" s="66" t="s">
        <v>1519</v>
      </c>
      <c r="D301" s="15">
        <v>0</v>
      </c>
      <c r="E301" t="s">
        <v>18</v>
      </c>
      <c r="F301" t="e">
        <v>#N/A</v>
      </c>
      <c r="G301" s="2" t="s">
        <v>1519</v>
      </c>
    </row>
    <row r="302" spans="1:7" x14ac:dyDescent="0.25">
      <c r="A302" s="66" t="s">
        <v>687</v>
      </c>
      <c r="B302" s="66" t="s">
        <v>688</v>
      </c>
      <c r="C302" s="66" t="s">
        <v>1519</v>
      </c>
      <c r="D302" s="15">
        <v>0</v>
      </c>
      <c r="E302" t="s">
        <v>18</v>
      </c>
      <c r="F302" t="e">
        <v>#N/A</v>
      </c>
      <c r="G302" s="2" t="s">
        <v>1519</v>
      </c>
    </row>
    <row r="303" spans="1:7" x14ac:dyDescent="0.25">
      <c r="A303" s="66" t="s">
        <v>702</v>
      </c>
      <c r="B303" s="66" t="s">
        <v>703</v>
      </c>
      <c r="C303" s="66" t="s">
        <v>1519</v>
      </c>
      <c r="D303" s="15" t="s">
        <v>1498</v>
      </c>
      <c r="E303" t="s">
        <v>18</v>
      </c>
      <c r="F303" t="e">
        <v>#N/A</v>
      </c>
      <c r="G303" s="2" t="s">
        <v>1519</v>
      </c>
    </row>
    <row r="304" spans="1:7" x14ac:dyDescent="0.25">
      <c r="A304" s="66" t="s">
        <v>707</v>
      </c>
      <c r="B304" s="66" t="s">
        <v>708</v>
      </c>
      <c r="C304" s="66" t="s">
        <v>1519</v>
      </c>
      <c r="D304" s="15">
        <v>9042406782113</v>
      </c>
      <c r="E304" t="s">
        <v>18</v>
      </c>
      <c r="F304" t="e">
        <v>#N/A</v>
      </c>
      <c r="G304" s="2" t="s">
        <v>1519</v>
      </c>
    </row>
    <row r="305" spans="1:7" x14ac:dyDescent="0.25">
      <c r="A305" s="70" t="s">
        <v>709</v>
      </c>
      <c r="B305" s="66" t="s">
        <v>710</v>
      </c>
      <c r="C305" s="66" t="s">
        <v>1519</v>
      </c>
      <c r="D305" s="15">
        <v>9042408803875</v>
      </c>
      <c r="E305" t="s">
        <v>18</v>
      </c>
      <c r="F305" t="e">
        <v>#N/A</v>
      </c>
      <c r="G305" s="2" t="s">
        <v>1519</v>
      </c>
    </row>
    <row r="306" spans="1:7" x14ac:dyDescent="0.25">
      <c r="A306" s="70" t="s">
        <v>1396</v>
      </c>
      <c r="B306" s="66" t="s">
        <v>1706</v>
      </c>
      <c r="C306" s="66" t="s">
        <v>1519</v>
      </c>
      <c r="D306" s="15">
        <v>0</v>
      </c>
      <c r="E306" t="s">
        <v>18</v>
      </c>
      <c r="F306" t="e">
        <v>#N/A</v>
      </c>
      <c r="G306" s="2" t="s">
        <v>1519</v>
      </c>
    </row>
    <row r="307" spans="1:7" x14ac:dyDescent="0.25">
      <c r="A307" s="70" t="s">
        <v>1398</v>
      </c>
      <c r="B307" s="66" t="s">
        <v>1707</v>
      </c>
      <c r="C307" s="66" t="s">
        <v>1519</v>
      </c>
      <c r="D307" s="15">
        <v>0</v>
      </c>
      <c r="E307" t="s">
        <v>18</v>
      </c>
      <c r="F307" t="e">
        <v>#N/A</v>
      </c>
      <c r="G307" s="2" t="s">
        <v>1519</v>
      </c>
    </row>
    <row r="308" spans="1:7" x14ac:dyDescent="0.25">
      <c r="A308" s="70" t="s">
        <v>715</v>
      </c>
      <c r="B308" s="66" t="s">
        <v>716</v>
      </c>
      <c r="C308" s="66" t="s">
        <v>1519</v>
      </c>
      <c r="D308" s="15">
        <v>0</v>
      </c>
      <c r="E308" t="s">
        <v>18</v>
      </c>
      <c r="F308" t="e">
        <v>#N/A</v>
      </c>
      <c r="G308" s="2" t="s">
        <v>1519</v>
      </c>
    </row>
    <row r="309" spans="1:7" x14ac:dyDescent="0.25">
      <c r="A309" s="70" t="s">
        <v>722</v>
      </c>
      <c r="B309" s="66" t="s">
        <v>723</v>
      </c>
      <c r="C309" s="66" t="s">
        <v>1519</v>
      </c>
      <c r="D309" s="15">
        <v>0</v>
      </c>
      <c r="E309" t="s">
        <v>18</v>
      </c>
      <c r="F309" t="e">
        <v>#N/A</v>
      </c>
      <c r="G309" s="2" t="s">
        <v>1519</v>
      </c>
    </row>
    <row r="310" spans="1:7" x14ac:dyDescent="0.25">
      <c r="A310" s="70" t="s">
        <v>748</v>
      </c>
      <c r="B310" s="66" t="s">
        <v>749</v>
      </c>
      <c r="C310" s="66" t="s">
        <v>1519</v>
      </c>
      <c r="D310" s="15">
        <v>0</v>
      </c>
      <c r="E310" t="s">
        <v>18</v>
      </c>
      <c r="F310" t="e">
        <v>#N/A</v>
      </c>
      <c r="G310" s="2" t="s">
        <v>1519</v>
      </c>
    </row>
    <row r="311" spans="1:7" x14ac:dyDescent="0.25">
      <c r="A311" s="70" t="s">
        <v>757</v>
      </c>
      <c r="B311" s="66" t="s">
        <v>758</v>
      </c>
      <c r="C311" s="66" t="s">
        <v>1519</v>
      </c>
      <c r="D311" s="15" t="s">
        <v>1498</v>
      </c>
      <c r="E311" t="s">
        <v>18</v>
      </c>
      <c r="F311" t="e">
        <v>#N/A</v>
      </c>
      <c r="G311" s="2" t="s">
        <v>1519</v>
      </c>
    </row>
    <row r="312" spans="1:7" x14ac:dyDescent="0.25">
      <c r="A312" s="70" t="s">
        <v>767</v>
      </c>
      <c r="B312" s="66" t="s">
        <v>768</v>
      </c>
      <c r="C312" s="66" t="s">
        <v>1519</v>
      </c>
      <c r="D312" s="15">
        <v>0</v>
      </c>
      <c r="E312" t="s">
        <v>18</v>
      </c>
      <c r="F312" t="e">
        <v>#N/A</v>
      </c>
      <c r="G312" s="2" t="s">
        <v>1519</v>
      </c>
    </row>
    <row r="313" spans="1:7" x14ac:dyDescent="0.25">
      <c r="A313" s="70" t="s">
        <v>786</v>
      </c>
      <c r="B313" s="66" t="s">
        <v>787</v>
      </c>
      <c r="C313" s="66" t="s">
        <v>1519</v>
      </c>
      <c r="D313" s="15">
        <v>0</v>
      </c>
      <c r="E313" t="s">
        <v>18</v>
      </c>
      <c r="F313" t="e">
        <v>#N/A</v>
      </c>
      <c r="G313" s="2" t="s">
        <v>1519</v>
      </c>
    </row>
    <row r="314" spans="1:7" x14ac:dyDescent="0.25">
      <c r="A314" s="66" t="s">
        <v>1708</v>
      </c>
      <c r="B314" s="66" t="s">
        <v>1709</v>
      </c>
      <c r="C314" s="66" t="s">
        <v>1519</v>
      </c>
      <c r="D314" s="15">
        <v>0</v>
      </c>
      <c r="E314" t="s">
        <v>18</v>
      </c>
      <c r="F314" t="e">
        <v>#N/A</v>
      </c>
      <c r="G314" s="2" t="s">
        <v>1519</v>
      </c>
    </row>
  </sheetData>
  <conditionalFormatting sqref="A47">
    <cfRule type="duplicateValues" dxfId="4" priority="3"/>
  </conditionalFormatting>
  <conditionalFormatting sqref="A230:A240 A243:A314">
    <cfRule type="duplicateValues" dxfId="3" priority="1"/>
  </conditionalFormatting>
  <conditionalFormatting sqref="A1:B1">
    <cfRule type="duplicateValues" dxfId="2" priority="2"/>
  </conditionalFormatting>
  <conditionalFormatting sqref="A2:B2 A181:A198 A44:A75 A33:A42 A200:A229 A116 A77:A114 A118:A171 A173:A179 A3:A31 B3:B314">
    <cfRule type="duplicateValues" dxfId="1" priority="4"/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2A9C8-96A4-4A72-9813-13F35D33F8B4}">
  <sheetPr codeName="Planilha1"/>
  <dimension ref="B2:I548"/>
  <sheetViews>
    <sheetView topLeftCell="A91" workbookViewId="0">
      <selection activeCell="C108" sqref="C108"/>
    </sheetView>
  </sheetViews>
  <sheetFormatPr defaultRowHeight="15.75" x14ac:dyDescent="0.25"/>
  <cols>
    <col min="2" max="2" width="14.75" customWidth="1"/>
  </cols>
  <sheetData>
    <row r="2" spans="2:9" x14ac:dyDescent="0.25">
      <c r="B2" s="98" t="s">
        <v>814</v>
      </c>
      <c r="C2" s="98" t="s">
        <v>815</v>
      </c>
      <c r="D2" s="98" t="s">
        <v>816</v>
      </c>
      <c r="E2" s="98" t="s">
        <v>817</v>
      </c>
      <c r="F2" s="98" t="s">
        <v>818</v>
      </c>
      <c r="G2" s="98" t="s">
        <v>819</v>
      </c>
      <c r="H2" s="98" t="s">
        <v>820</v>
      </c>
      <c r="I2" s="98" t="s">
        <v>821</v>
      </c>
    </row>
    <row r="3" spans="2:9" x14ac:dyDescent="0.25">
      <c r="B3" s="41"/>
      <c r="C3" s="84" t="s">
        <v>17</v>
      </c>
      <c r="D3" s="84" t="s">
        <v>822</v>
      </c>
      <c r="E3" s="84" t="s">
        <v>823</v>
      </c>
      <c r="F3" s="89" t="s">
        <v>22</v>
      </c>
      <c r="G3" s="84" t="s">
        <v>824</v>
      </c>
      <c r="H3" s="84" t="s">
        <v>825</v>
      </c>
      <c r="I3" s="85"/>
    </row>
    <row r="4" spans="2:9" x14ac:dyDescent="0.25">
      <c r="B4" s="41"/>
      <c r="C4" s="84" t="s">
        <v>23</v>
      </c>
      <c r="D4" s="84" t="s">
        <v>826</v>
      </c>
      <c r="E4" s="84" t="s">
        <v>823</v>
      </c>
      <c r="F4" s="89" t="s">
        <v>22</v>
      </c>
      <c r="G4" s="84" t="s">
        <v>824</v>
      </c>
      <c r="H4" s="84" t="s">
        <v>825</v>
      </c>
      <c r="I4" s="85"/>
    </row>
    <row r="5" spans="2:9" x14ac:dyDescent="0.25">
      <c r="B5" s="41"/>
      <c r="C5" s="84" t="s">
        <v>25</v>
      </c>
      <c r="D5" s="84" t="s">
        <v>827</v>
      </c>
      <c r="E5" s="84" t="s">
        <v>823</v>
      </c>
      <c r="F5" s="89" t="s">
        <v>22</v>
      </c>
      <c r="G5" s="84" t="s">
        <v>824</v>
      </c>
      <c r="H5" s="84" t="s">
        <v>825</v>
      </c>
      <c r="I5" s="85"/>
    </row>
    <row r="6" spans="2:9" x14ac:dyDescent="0.25">
      <c r="B6" s="41"/>
      <c r="C6" s="84" t="s">
        <v>28</v>
      </c>
      <c r="D6" s="84" t="s">
        <v>828</v>
      </c>
      <c r="E6" s="84" t="s">
        <v>823</v>
      </c>
      <c r="F6" s="89" t="s">
        <v>22</v>
      </c>
      <c r="G6" s="84" t="s">
        <v>824</v>
      </c>
      <c r="H6" s="84" t="s">
        <v>825</v>
      </c>
      <c r="I6" s="85"/>
    </row>
    <row r="7" spans="2:9" x14ac:dyDescent="0.25">
      <c r="B7" s="41"/>
      <c r="C7" s="84" t="s">
        <v>32</v>
      </c>
      <c r="D7" s="84" t="s">
        <v>829</v>
      </c>
      <c r="E7" s="84" t="s">
        <v>823</v>
      </c>
      <c r="F7" s="89" t="s">
        <v>22</v>
      </c>
      <c r="G7" s="84" t="s">
        <v>824</v>
      </c>
      <c r="H7" s="84" t="s">
        <v>825</v>
      </c>
      <c r="I7" s="84"/>
    </row>
    <row r="8" spans="2:9" x14ac:dyDescent="0.25">
      <c r="B8" s="41"/>
      <c r="C8" s="84" t="s">
        <v>35</v>
      </c>
      <c r="D8" s="84" t="s">
        <v>830</v>
      </c>
      <c r="E8" s="84" t="s">
        <v>831</v>
      </c>
      <c r="F8" s="90" t="s">
        <v>36</v>
      </c>
      <c r="G8" s="84" t="s">
        <v>824</v>
      </c>
      <c r="H8" s="84" t="s">
        <v>825</v>
      </c>
      <c r="I8" s="85"/>
    </row>
    <row r="9" spans="2:9" x14ac:dyDescent="0.25">
      <c r="B9" s="41"/>
      <c r="C9" s="84" t="s">
        <v>37</v>
      </c>
      <c r="D9" s="84" t="s">
        <v>832</v>
      </c>
      <c r="E9" s="84" t="s">
        <v>823</v>
      </c>
      <c r="F9" s="89" t="s">
        <v>22</v>
      </c>
      <c r="G9" s="84" t="s">
        <v>824</v>
      </c>
      <c r="H9" s="84" t="s">
        <v>825</v>
      </c>
      <c r="I9" s="85"/>
    </row>
    <row r="10" spans="2:9" x14ac:dyDescent="0.25">
      <c r="B10" s="41"/>
      <c r="C10" s="84" t="s">
        <v>40</v>
      </c>
      <c r="D10" s="84" t="s">
        <v>1710</v>
      </c>
      <c r="E10" s="84" t="s">
        <v>823</v>
      </c>
      <c r="F10" s="90" t="s">
        <v>36</v>
      </c>
      <c r="G10" s="84" t="s">
        <v>824</v>
      </c>
      <c r="H10" s="84" t="s">
        <v>825</v>
      </c>
      <c r="I10" s="85"/>
    </row>
    <row r="11" spans="2:9" x14ac:dyDescent="0.25">
      <c r="B11" s="41"/>
      <c r="C11" s="84" t="s">
        <v>42</v>
      </c>
      <c r="D11" s="84" t="s">
        <v>833</v>
      </c>
      <c r="E11" s="84" t="s">
        <v>823</v>
      </c>
      <c r="F11" s="89" t="s">
        <v>22</v>
      </c>
      <c r="G11" s="84" t="s">
        <v>824</v>
      </c>
      <c r="H11" s="84" t="s">
        <v>825</v>
      </c>
      <c r="I11" s="85"/>
    </row>
    <row r="12" spans="2:9" x14ac:dyDescent="0.25">
      <c r="B12" s="41"/>
      <c r="C12" s="84" t="s">
        <v>44</v>
      </c>
      <c r="D12" s="84" t="s">
        <v>834</v>
      </c>
      <c r="E12" s="84" t="s">
        <v>823</v>
      </c>
      <c r="F12" s="90" t="s">
        <v>36</v>
      </c>
      <c r="G12" s="84" t="s">
        <v>824</v>
      </c>
      <c r="H12" s="84" t="s">
        <v>825</v>
      </c>
      <c r="I12" s="85"/>
    </row>
    <row r="13" spans="2:9" x14ac:dyDescent="0.25">
      <c r="B13" s="41"/>
      <c r="C13" s="84" t="s">
        <v>45</v>
      </c>
      <c r="D13" s="84" t="s">
        <v>835</v>
      </c>
      <c r="E13" s="84" t="s">
        <v>823</v>
      </c>
      <c r="F13" s="91" t="s">
        <v>47</v>
      </c>
      <c r="G13" s="84" t="s">
        <v>824</v>
      </c>
      <c r="H13" s="84" t="s">
        <v>825</v>
      </c>
      <c r="I13" s="85"/>
    </row>
    <row r="14" spans="2:9" x14ac:dyDescent="0.25">
      <c r="B14" s="41"/>
      <c r="C14" s="84" t="s">
        <v>48</v>
      </c>
      <c r="D14" s="84" t="s">
        <v>836</v>
      </c>
      <c r="E14" s="84" t="s">
        <v>823</v>
      </c>
      <c r="F14" s="89" t="s">
        <v>22</v>
      </c>
      <c r="G14" s="84" t="s">
        <v>824</v>
      </c>
      <c r="H14" s="84" t="s">
        <v>825</v>
      </c>
      <c r="I14" s="85"/>
    </row>
    <row r="15" spans="2:9" x14ac:dyDescent="0.25">
      <c r="B15" s="41"/>
      <c r="C15" s="84" t="s">
        <v>50</v>
      </c>
      <c r="D15" s="84" t="s">
        <v>837</v>
      </c>
      <c r="E15" s="84" t="s">
        <v>823</v>
      </c>
      <c r="F15" s="89" t="s">
        <v>22</v>
      </c>
      <c r="G15" s="84" t="s">
        <v>824</v>
      </c>
      <c r="H15" s="84" t="s">
        <v>825</v>
      </c>
      <c r="I15" s="85"/>
    </row>
    <row r="16" spans="2:9" x14ac:dyDescent="0.25">
      <c r="B16" s="41"/>
      <c r="C16" s="84" t="s">
        <v>52</v>
      </c>
      <c r="D16" s="84" t="s">
        <v>1711</v>
      </c>
      <c r="E16" s="84" t="s">
        <v>823</v>
      </c>
      <c r="F16" s="90" t="s">
        <v>36</v>
      </c>
      <c r="G16" s="84" t="s">
        <v>824</v>
      </c>
      <c r="H16" s="84" t="s">
        <v>825</v>
      </c>
      <c r="I16" s="85"/>
    </row>
    <row r="17" spans="2:9" x14ac:dyDescent="0.25">
      <c r="B17" s="41"/>
      <c r="C17" s="84" t="s">
        <v>54</v>
      </c>
      <c r="D17" s="84" t="s">
        <v>838</v>
      </c>
      <c r="E17" s="84" t="s">
        <v>823</v>
      </c>
      <c r="F17" s="90" t="s">
        <v>36</v>
      </c>
      <c r="G17" s="84" t="s">
        <v>824</v>
      </c>
      <c r="H17" s="84" t="s">
        <v>825</v>
      </c>
      <c r="I17" s="85"/>
    </row>
    <row r="18" spans="2:9" x14ac:dyDescent="0.25">
      <c r="B18" s="41"/>
      <c r="C18" s="84" t="s">
        <v>56</v>
      </c>
      <c r="D18" s="84" t="s">
        <v>839</v>
      </c>
      <c r="E18" s="84" t="s">
        <v>823</v>
      </c>
      <c r="F18" s="89" t="s">
        <v>22</v>
      </c>
      <c r="G18" s="84" t="s">
        <v>824</v>
      </c>
      <c r="H18" s="84" t="s">
        <v>825</v>
      </c>
      <c r="I18" s="85"/>
    </row>
    <row r="19" spans="2:9" x14ac:dyDescent="0.25">
      <c r="B19" s="41"/>
      <c r="C19" s="84" t="s">
        <v>840</v>
      </c>
      <c r="D19" s="84" t="s">
        <v>841</v>
      </c>
      <c r="E19" s="84" t="s">
        <v>823</v>
      </c>
      <c r="F19" s="89" t="s">
        <v>22</v>
      </c>
      <c r="G19" s="84" t="s">
        <v>824</v>
      </c>
      <c r="H19" s="84" t="s">
        <v>825</v>
      </c>
      <c r="I19" s="85"/>
    </row>
    <row r="20" spans="2:9" x14ac:dyDescent="0.25">
      <c r="B20" s="41"/>
      <c r="C20" s="84" t="s">
        <v>57</v>
      </c>
      <c r="D20" s="84" t="s">
        <v>842</v>
      </c>
      <c r="E20" s="84" t="s">
        <v>823</v>
      </c>
      <c r="F20" s="91" t="s">
        <v>47</v>
      </c>
      <c r="G20" s="84" t="s">
        <v>824</v>
      </c>
      <c r="H20" s="84" t="s">
        <v>825</v>
      </c>
      <c r="I20" s="85"/>
    </row>
    <row r="21" spans="2:9" x14ac:dyDescent="0.25">
      <c r="B21" s="41"/>
      <c r="C21" s="84" t="s">
        <v>58</v>
      </c>
      <c r="D21" s="84" t="s">
        <v>843</v>
      </c>
      <c r="E21" s="84" t="s">
        <v>823</v>
      </c>
      <c r="F21" s="89" t="s">
        <v>22</v>
      </c>
      <c r="G21" s="84" t="s">
        <v>824</v>
      </c>
      <c r="H21" s="84" t="s">
        <v>825</v>
      </c>
      <c r="I21" s="85"/>
    </row>
    <row r="22" spans="2:9" x14ac:dyDescent="0.25">
      <c r="B22" s="41"/>
      <c r="C22" s="84" t="s">
        <v>844</v>
      </c>
      <c r="D22" s="84" t="s">
        <v>845</v>
      </c>
      <c r="E22" s="84" t="s">
        <v>823</v>
      </c>
      <c r="F22" s="90" t="s">
        <v>36</v>
      </c>
      <c r="G22" s="84" t="s">
        <v>824</v>
      </c>
      <c r="H22" s="84" t="s">
        <v>825</v>
      </c>
      <c r="I22" s="85"/>
    </row>
    <row r="23" spans="2:9" x14ac:dyDescent="0.25">
      <c r="B23" s="41"/>
      <c r="C23" s="84" t="s">
        <v>60</v>
      </c>
      <c r="D23" s="84" t="s">
        <v>846</v>
      </c>
      <c r="E23" s="84" t="s">
        <v>823</v>
      </c>
      <c r="F23" s="89" t="s">
        <v>22</v>
      </c>
      <c r="G23" s="84" t="s">
        <v>824</v>
      </c>
      <c r="H23" s="84" t="s">
        <v>825</v>
      </c>
      <c r="I23" s="85"/>
    </row>
    <row r="24" spans="2:9" x14ac:dyDescent="0.25">
      <c r="B24" s="41"/>
      <c r="C24" s="84" t="s">
        <v>62</v>
      </c>
      <c r="D24" s="84" t="s">
        <v>847</v>
      </c>
      <c r="E24" s="84" t="s">
        <v>823</v>
      </c>
      <c r="F24" s="90" t="s">
        <v>36</v>
      </c>
      <c r="G24" s="84" t="s">
        <v>824</v>
      </c>
      <c r="H24" s="84" t="s">
        <v>825</v>
      </c>
      <c r="I24" s="85"/>
    </row>
    <row r="25" spans="2:9" x14ac:dyDescent="0.25">
      <c r="B25" s="41"/>
      <c r="C25" s="84" t="s">
        <v>63</v>
      </c>
      <c r="D25" s="84" t="s">
        <v>848</v>
      </c>
      <c r="E25" s="84" t="s">
        <v>823</v>
      </c>
      <c r="F25" s="89" t="s">
        <v>22</v>
      </c>
      <c r="G25" s="84" t="s">
        <v>824</v>
      </c>
      <c r="H25" s="84" t="s">
        <v>825</v>
      </c>
      <c r="I25" s="85"/>
    </row>
    <row r="26" spans="2:9" x14ac:dyDescent="0.25">
      <c r="B26" s="41"/>
      <c r="C26" s="84" t="s">
        <v>66</v>
      </c>
      <c r="D26" s="84" t="s">
        <v>849</v>
      </c>
      <c r="E26" s="84" t="s">
        <v>823</v>
      </c>
      <c r="F26" s="89" t="s">
        <v>22</v>
      </c>
      <c r="G26" s="84" t="s">
        <v>824</v>
      </c>
      <c r="H26" s="84" t="s">
        <v>825</v>
      </c>
      <c r="I26" s="85"/>
    </row>
    <row r="27" spans="2:9" x14ac:dyDescent="0.25">
      <c r="B27" s="41"/>
      <c r="C27" s="84" t="s">
        <v>68</v>
      </c>
      <c r="D27" s="84" t="s">
        <v>850</v>
      </c>
      <c r="E27" s="84" t="s">
        <v>823</v>
      </c>
      <c r="F27" s="89" t="s">
        <v>22</v>
      </c>
      <c r="G27" s="84" t="s">
        <v>824</v>
      </c>
      <c r="H27" s="84" t="s">
        <v>825</v>
      </c>
      <c r="I27" s="85"/>
    </row>
    <row r="28" spans="2:9" x14ac:dyDescent="0.25">
      <c r="B28" s="41"/>
      <c r="C28" s="84" t="s">
        <v>70</v>
      </c>
      <c r="D28" s="84" t="s">
        <v>851</v>
      </c>
      <c r="E28" s="84" t="s">
        <v>823</v>
      </c>
      <c r="F28" s="89" t="s">
        <v>22</v>
      </c>
      <c r="G28" s="84" t="s">
        <v>824</v>
      </c>
      <c r="H28" s="84" t="s">
        <v>825</v>
      </c>
      <c r="I28" s="85"/>
    </row>
    <row r="29" spans="2:9" x14ac:dyDescent="0.25">
      <c r="B29" s="41"/>
      <c r="C29" s="84" t="s">
        <v>72</v>
      </c>
      <c r="D29" s="84" t="s">
        <v>852</v>
      </c>
      <c r="E29" s="84" t="s">
        <v>823</v>
      </c>
      <c r="F29" s="90" t="s">
        <v>36</v>
      </c>
      <c r="G29" s="84" t="s">
        <v>824</v>
      </c>
      <c r="H29" s="84" t="s">
        <v>825</v>
      </c>
      <c r="I29" s="85"/>
    </row>
    <row r="30" spans="2:9" x14ac:dyDescent="0.25">
      <c r="B30" s="41"/>
      <c r="C30" s="84" t="s">
        <v>74</v>
      </c>
      <c r="D30" s="84" t="s">
        <v>853</v>
      </c>
      <c r="E30" s="84" t="s">
        <v>831</v>
      </c>
      <c r="F30" s="89" t="s">
        <v>22</v>
      </c>
      <c r="G30" s="84" t="s">
        <v>824</v>
      </c>
      <c r="H30" s="84" t="s">
        <v>825</v>
      </c>
      <c r="I30" s="85"/>
    </row>
    <row r="31" spans="2:9" x14ac:dyDescent="0.25">
      <c r="B31" s="41"/>
      <c r="C31" s="84" t="s">
        <v>854</v>
      </c>
      <c r="D31" s="84" t="s">
        <v>855</v>
      </c>
      <c r="E31" s="84" t="s">
        <v>823</v>
      </c>
      <c r="F31" s="90" t="s">
        <v>36</v>
      </c>
      <c r="G31" s="84" t="s">
        <v>824</v>
      </c>
      <c r="H31" s="84" t="s">
        <v>825</v>
      </c>
      <c r="I31" s="85"/>
    </row>
    <row r="32" spans="2:9" x14ac:dyDescent="0.25">
      <c r="B32" s="41"/>
      <c r="C32" s="84" t="s">
        <v>1712</v>
      </c>
      <c r="D32" s="84" t="s">
        <v>1713</v>
      </c>
      <c r="E32" s="84" t="s">
        <v>823</v>
      </c>
      <c r="F32" s="90" t="s">
        <v>36</v>
      </c>
      <c r="G32" s="84" t="s">
        <v>824</v>
      </c>
      <c r="H32" s="84" t="s">
        <v>825</v>
      </c>
      <c r="I32" s="85"/>
    </row>
    <row r="33" spans="2:9" x14ac:dyDescent="0.25">
      <c r="B33" s="41"/>
      <c r="C33" s="84" t="s">
        <v>76</v>
      </c>
      <c r="D33" s="84" t="s">
        <v>1714</v>
      </c>
      <c r="E33" s="84" t="s">
        <v>823</v>
      </c>
      <c r="F33" s="91" t="s">
        <v>47</v>
      </c>
      <c r="G33" s="84" t="s">
        <v>824</v>
      </c>
      <c r="H33" s="84" t="s">
        <v>825</v>
      </c>
      <c r="I33" s="85"/>
    </row>
    <row r="34" spans="2:9" x14ac:dyDescent="0.25">
      <c r="B34" s="41"/>
      <c r="C34" s="84" t="s">
        <v>79</v>
      </c>
      <c r="D34" s="84" t="s">
        <v>856</v>
      </c>
      <c r="E34" s="84" t="s">
        <v>823</v>
      </c>
      <c r="F34" s="89" t="s">
        <v>22</v>
      </c>
      <c r="G34" s="84" t="s">
        <v>824</v>
      </c>
      <c r="H34" s="84" t="s">
        <v>825</v>
      </c>
      <c r="I34" s="85"/>
    </row>
    <row r="35" spans="2:9" x14ac:dyDescent="0.25">
      <c r="B35" s="41"/>
      <c r="C35" s="84" t="s">
        <v>80</v>
      </c>
      <c r="D35" s="84" t="s">
        <v>857</v>
      </c>
      <c r="E35" s="84" t="s">
        <v>823</v>
      </c>
      <c r="F35" s="89" t="s">
        <v>22</v>
      </c>
      <c r="G35" s="84" t="s">
        <v>824</v>
      </c>
      <c r="H35" s="84" t="s">
        <v>825</v>
      </c>
      <c r="I35" s="85"/>
    </row>
    <row r="36" spans="2:9" x14ac:dyDescent="0.25">
      <c r="B36" s="41"/>
      <c r="C36" s="84" t="s">
        <v>84</v>
      </c>
      <c r="D36" s="84" t="s">
        <v>858</v>
      </c>
      <c r="E36" s="84" t="s">
        <v>823</v>
      </c>
      <c r="F36" s="89" t="s">
        <v>22</v>
      </c>
      <c r="G36" s="84" t="s">
        <v>824</v>
      </c>
      <c r="H36" s="84" t="s">
        <v>825</v>
      </c>
      <c r="I36" s="85"/>
    </row>
    <row r="37" spans="2:9" x14ac:dyDescent="0.25">
      <c r="B37" s="41"/>
      <c r="C37" s="84" t="s">
        <v>85</v>
      </c>
      <c r="D37" s="84" t="s">
        <v>859</v>
      </c>
      <c r="E37" s="84" t="s">
        <v>823</v>
      </c>
      <c r="F37" s="89" t="s">
        <v>22</v>
      </c>
      <c r="G37" s="84" t="s">
        <v>824</v>
      </c>
      <c r="H37" s="84" t="s">
        <v>825</v>
      </c>
      <c r="I37" s="85"/>
    </row>
    <row r="38" spans="2:9" x14ac:dyDescent="0.25">
      <c r="B38" s="41"/>
      <c r="C38" s="84" t="s">
        <v>86</v>
      </c>
      <c r="D38" s="84" t="s">
        <v>860</v>
      </c>
      <c r="E38" s="84" t="s">
        <v>831</v>
      </c>
      <c r="F38" s="89" t="s">
        <v>22</v>
      </c>
      <c r="G38" s="84" t="s">
        <v>824</v>
      </c>
      <c r="H38" s="84" t="s">
        <v>861</v>
      </c>
      <c r="I38" s="85"/>
    </row>
    <row r="39" spans="2:9" x14ac:dyDescent="0.25">
      <c r="B39" s="41"/>
      <c r="C39" s="84" t="s">
        <v>862</v>
      </c>
      <c r="D39" s="84" t="s">
        <v>863</v>
      </c>
      <c r="E39" s="84" t="s">
        <v>823</v>
      </c>
      <c r="F39" s="89" t="s">
        <v>22</v>
      </c>
      <c r="G39" s="84" t="s">
        <v>824</v>
      </c>
      <c r="H39" s="84" t="s">
        <v>825</v>
      </c>
      <c r="I39" s="84"/>
    </row>
    <row r="40" spans="2:9" x14ac:dyDescent="0.25">
      <c r="B40" s="41"/>
      <c r="C40" s="84" t="s">
        <v>88</v>
      </c>
      <c r="D40" s="84" t="s">
        <v>864</v>
      </c>
      <c r="E40" s="84" t="s">
        <v>823</v>
      </c>
      <c r="F40" s="89" t="s">
        <v>22</v>
      </c>
      <c r="G40" s="84" t="s">
        <v>824</v>
      </c>
      <c r="H40" s="84" t="s">
        <v>825</v>
      </c>
      <c r="I40" s="84"/>
    </row>
    <row r="41" spans="2:9" x14ac:dyDescent="0.25">
      <c r="B41" s="41"/>
      <c r="C41" s="84" t="s">
        <v>1715</v>
      </c>
      <c r="D41" s="84" t="s">
        <v>1716</v>
      </c>
      <c r="E41" s="84" t="s">
        <v>823</v>
      </c>
      <c r="F41" s="90" t="s">
        <v>36</v>
      </c>
      <c r="G41" s="84" t="s">
        <v>824</v>
      </c>
      <c r="H41" s="84" t="s">
        <v>825</v>
      </c>
      <c r="I41" s="85"/>
    </row>
    <row r="42" spans="2:9" x14ac:dyDescent="0.25">
      <c r="B42" s="41"/>
      <c r="C42" s="84" t="s">
        <v>90</v>
      </c>
      <c r="D42" s="84" t="s">
        <v>865</v>
      </c>
      <c r="E42" s="84" t="s">
        <v>823</v>
      </c>
      <c r="F42" s="89" t="s">
        <v>22</v>
      </c>
      <c r="G42" s="84" t="s">
        <v>824</v>
      </c>
      <c r="H42" s="84" t="s">
        <v>825</v>
      </c>
      <c r="I42" s="85"/>
    </row>
    <row r="43" spans="2:9" x14ac:dyDescent="0.25">
      <c r="B43" s="41"/>
      <c r="C43" s="84" t="s">
        <v>91</v>
      </c>
      <c r="D43" s="84" t="s">
        <v>866</v>
      </c>
      <c r="E43" s="84" t="s">
        <v>823</v>
      </c>
      <c r="F43" s="90" t="s">
        <v>36</v>
      </c>
      <c r="G43" s="84" t="s">
        <v>824</v>
      </c>
      <c r="H43" s="84" t="s">
        <v>825</v>
      </c>
      <c r="I43" s="85"/>
    </row>
    <row r="44" spans="2:9" x14ac:dyDescent="0.25">
      <c r="B44" s="41"/>
      <c r="C44" s="84" t="s">
        <v>92</v>
      </c>
      <c r="D44" s="84" t="s">
        <v>867</v>
      </c>
      <c r="E44" s="84" t="s">
        <v>823</v>
      </c>
      <c r="F44" s="89" t="s">
        <v>22</v>
      </c>
      <c r="G44" s="84" t="s">
        <v>824</v>
      </c>
      <c r="H44" s="84" t="s">
        <v>825</v>
      </c>
      <c r="I44" s="85"/>
    </row>
    <row r="45" spans="2:9" x14ac:dyDescent="0.25">
      <c r="B45" s="41"/>
      <c r="C45" s="84" t="s">
        <v>94</v>
      </c>
      <c r="D45" s="84" t="s">
        <v>873</v>
      </c>
      <c r="E45" s="84" t="s">
        <v>823</v>
      </c>
      <c r="F45" s="89" t="s">
        <v>22</v>
      </c>
      <c r="G45" s="84" t="s">
        <v>824</v>
      </c>
      <c r="H45" s="84" t="s">
        <v>825</v>
      </c>
      <c r="I45" s="85"/>
    </row>
    <row r="46" spans="2:9" x14ac:dyDescent="0.25">
      <c r="B46" s="41"/>
      <c r="C46" s="84" t="s">
        <v>95</v>
      </c>
      <c r="D46" s="84" t="s">
        <v>874</v>
      </c>
      <c r="E46" s="84" t="s">
        <v>823</v>
      </c>
      <c r="F46" s="91" t="s">
        <v>47</v>
      </c>
      <c r="G46" s="84" t="s">
        <v>824</v>
      </c>
      <c r="H46" s="84" t="s">
        <v>825</v>
      </c>
      <c r="I46" s="85"/>
    </row>
    <row r="47" spans="2:9" x14ac:dyDescent="0.25">
      <c r="B47" s="41"/>
      <c r="C47" s="84" t="s">
        <v>875</v>
      </c>
      <c r="D47" s="84" t="s">
        <v>876</v>
      </c>
      <c r="E47" s="84" t="s">
        <v>823</v>
      </c>
      <c r="F47" s="89" t="s">
        <v>22</v>
      </c>
      <c r="G47" s="84" t="s">
        <v>824</v>
      </c>
      <c r="H47" s="84" t="s">
        <v>825</v>
      </c>
      <c r="I47" s="85"/>
    </row>
    <row r="48" spans="2:9" x14ac:dyDescent="0.25">
      <c r="B48" s="41"/>
      <c r="C48" s="84" t="s">
        <v>96</v>
      </c>
      <c r="D48" s="84" t="s">
        <v>877</v>
      </c>
      <c r="E48" s="84" t="s">
        <v>823</v>
      </c>
      <c r="F48" s="89" t="s">
        <v>22</v>
      </c>
      <c r="G48" s="84" t="s">
        <v>824</v>
      </c>
      <c r="H48" s="84" t="s">
        <v>825</v>
      </c>
      <c r="I48" s="85"/>
    </row>
    <row r="49" spans="2:9" x14ac:dyDescent="0.25">
      <c r="B49" s="41"/>
      <c r="C49" s="84" t="s">
        <v>98</v>
      </c>
      <c r="D49" s="84" t="s">
        <v>878</v>
      </c>
      <c r="E49" s="84" t="s">
        <v>823</v>
      </c>
      <c r="F49" s="89" t="s">
        <v>22</v>
      </c>
      <c r="G49" s="84" t="s">
        <v>824</v>
      </c>
      <c r="H49" s="84" t="s">
        <v>825</v>
      </c>
      <c r="I49" s="85"/>
    </row>
    <row r="50" spans="2:9" x14ac:dyDescent="0.25">
      <c r="B50" s="41"/>
      <c r="C50" s="84" t="s">
        <v>879</v>
      </c>
      <c r="D50" s="84" t="s">
        <v>880</v>
      </c>
      <c r="E50" s="84" t="s">
        <v>823</v>
      </c>
      <c r="F50" s="89" t="s">
        <v>22</v>
      </c>
      <c r="G50" s="84" t="s">
        <v>824</v>
      </c>
      <c r="H50" s="84" t="s">
        <v>825</v>
      </c>
      <c r="I50" s="85"/>
    </row>
    <row r="51" spans="2:9" x14ac:dyDescent="0.25">
      <c r="B51" s="41"/>
      <c r="C51" s="84" t="s">
        <v>99</v>
      </c>
      <c r="D51" s="84" t="s">
        <v>881</v>
      </c>
      <c r="E51" s="84" t="s">
        <v>823</v>
      </c>
      <c r="F51" s="90" t="s">
        <v>36</v>
      </c>
      <c r="G51" s="84" t="s">
        <v>824</v>
      </c>
      <c r="H51" s="84" t="s">
        <v>825</v>
      </c>
      <c r="I51" s="85"/>
    </row>
    <row r="52" spans="2:9" x14ac:dyDescent="0.25">
      <c r="B52" s="42"/>
      <c r="C52" s="86" t="s">
        <v>100</v>
      </c>
      <c r="D52" s="86" t="s">
        <v>882</v>
      </c>
      <c r="E52" s="86" t="s">
        <v>823</v>
      </c>
      <c r="F52" s="92" t="s">
        <v>22</v>
      </c>
      <c r="G52" s="86" t="s">
        <v>824</v>
      </c>
      <c r="H52" s="86" t="s">
        <v>825</v>
      </c>
      <c r="I52" s="87"/>
    </row>
    <row r="53" spans="2:9" x14ac:dyDescent="0.25">
      <c r="B53" s="41"/>
      <c r="C53" s="84" t="s">
        <v>102</v>
      </c>
      <c r="D53" s="84" t="s">
        <v>883</v>
      </c>
      <c r="E53" s="84" t="s">
        <v>823</v>
      </c>
      <c r="F53" s="89" t="s">
        <v>22</v>
      </c>
      <c r="G53" s="84" t="s">
        <v>824</v>
      </c>
      <c r="H53" s="84" t="s">
        <v>825</v>
      </c>
      <c r="I53" s="85"/>
    </row>
    <row r="54" spans="2:9" x14ac:dyDescent="0.25">
      <c r="B54" s="41"/>
      <c r="C54" s="84" t="s">
        <v>103</v>
      </c>
      <c r="D54" s="84" t="s">
        <v>884</v>
      </c>
      <c r="E54" s="84" t="s">
        <v>823</v>
      </c>
      <c r="F54" s="89" t="s">
        <v>22</v>
      </c>
      <c r="G54" s="84" t="s">
        <v>824</v>
      </c>
      <c r="H54" s="84" t="s">
        <v>825</v>
      </c>
      <c r="I54" s="85"/>
    </row>
    <row r="55" spans="2:9" x14ac:dyDescent="0.25">
      <c r="B55" s="41"/>
      <c r="C55" s="84" t="s">
        <v>104</v>
      </c>
      <c r="D55" s="84" t="s">
        <v>885</v>
      </c>
      <c r="E55" s="84" t="s">
        <v>823</v>
      </c>
      <c r="F55" s="89" t="s">
        <v>22</v>
      </c>
      <c r="G55" s="84" t="s">
        <v>824</v>
      </c>
      <c r="H55" s="84" t="s">
        <v>825</v>
      </c>
      <c r="I55" s="85"/>
    </row>
    <row r="56" spans="2:9" x14ac:dyDescent="0.25">
      <c r="B56" s="41"/>
      <c r="C56" s="84" t="s">
        <v>886</v>
      </c>
      <c r="D56" s="84" t="s">
        <v>887</v>
      </c>
      <c r="E56" s="84" t="s">
        <v>823</v>
      </c>
      <c r="F56" s="89" t="s">
        <v>22</v>
      </c>
      <c r="G56" s="84" t="s">
        <v>824</v>
      </c>
      <c r="H56" s="84" t="s">
        <v>825</v>
      </c>
      <c r="I56" s="85"/>
    </row>
    <row r="57" spans="2:9" x14ac:dyDescent="0.25">
      <c r="B57" s="41"/>
      <c r="C57" s="84" t="s">
        <v>888</v>
      </c>
      <c r="D57" s="84" t="s">
        <v>889</v>
      </c>
      <c r="E57" s="84" t="s">
        <v>872</v>
      </c>
      <c r="F57" s="90" t="s">
        <v>36</v>
      </c>
      <c r="G57" s="84" t="s">
        <v>824</v>
      </c>
      <c r="H57" s="84" t="s">
        <v>861</v>
      </c>
      <c r="I57" s="85"/>
    </row>
    <row r="58" spans="2:9" x14ac:dyDescent="0.25">
      <c r="B58" s="41"/>
      <c r="C58" s="84" t="s">
        <v>105</v>
      </c>
      <c r="D58" s="84" t="s">
        <v>890</v>
      </c>
      <c r="E58" s="84" t="s">
        <v>823</v>
      </c>
      <c r="F58" s="90" t="s">
        <v>36</v>
      </c>
      <c r="G58" s="84" t="s">
        <v>824</v>
      </c>
      <c r="H58" s="84" t="s">
        <v>825</v>
      </c>
      <c r="I58" s="85"/>
    </row>
    <row r="59" spans="2:9" x14ac:dyDescent="0.25">
      <c r="B59" s="41"/>
      <c r="C59" s="84" t="s">
        <v>891</v>
      </c>
      <c r="D59" s="84" t="s">
        <v>892</v>
      </c>
      <c r="E59" s="84" t="s">
        <v>823</v>
      </c>
      <c r="F59" s="89" t="s">
        <v>22</v>
      </c>
      <c r="G59" s="84" t="s">
        <v>824</v>
      </c>
      <c r="H59" s="84" t="s">
        <v>825</v>
      </c>
      <c r="I59" s="85"/>
    </row>
    <row r="60" spans="2:9" x14ac:dyDescent="0.25">
      <c r="B60" s="41"/>
      <c r="C60" s="84" t="s">
        <v>107</v>
      </c>
      <c r="D60" s="84" t="s">
        <v>893</v>
      </c>
      <c r="E60" s="84" t="s">
        <v>823</v>
      </c>
      <c r="F60" s="89" t="s">
        <v>22</v>
      </c>
      <c r="G60" s="84" t="s">
        <v>824</v>
      </c>
      <c r="H60" s="84" t="s">
        <v>825</v>
      </c>
      <c r="I60" s="85"/>
    </row>
    <row r="61" spans="2:9" x14ac:dyDescent="0.25">
      <c r="B61" s="41"/>
      <c r="C61" s="84" t="s">
        <v>109</v>
      </c>
      <c r="D61" s="84" t="s">
        <v>894</v>
      </c>
      <c r="E61" s="84" t="s">
        <v>823</v>
      </c>
      <c r="F61" s="89" t="s">
        <v>22</v>
      </c>
      <c r="G61" s="84" t="s">
        <v>824</v>
      </c>
      <c r="H61" s="84" t="s">
        <v>825</v>
      </c>
      <c r="I61" s="84"/>
    </row>
    <row r="62" spans="2:9" x14ac:dyDescent="0.25">
      <c r="B62" s="41"/>
      <c r="C62" s="84" t="s">
        <v>111</v>
      </c>
      <c r="D62" s="84" t="s">
        <v>895</v>
      </c>
      <c r="E62" s="84" t="s">
        <v>823</v>
      </c>
      <c r="F62" s="89" t="s">
        <v>22</v>
      </c>
      <c r="G62" s="84" t="s">
        <v>824</v>
      </c>
      <c r="H62" s="84" t="s">
        <v>825</v>
      </c>
      <c r="I62" s="85"/>
    </row>
    <row r="63" spans="2:9" x14ac:dyDescent="0.25">
      <c r="B63" s="41"/>
      <c r="C63" s="84" t="s">
        <v>112</v>
      </c>
      <c r="D63" s="84" t="s">
        <v>896</v>
      </c>
      <c r="E63" s="84" t="s">
        <v>823</v>
      </c>
      <c r="F63" s="89" t="s">
        <v>22</v>
      </c>
      <c r="G63" s="84" t="s">
        <v>824</v>
      </c>
      <c r="H63" s="84" t="s">
        <v>825</v>
      </c>
      <c r="I63" s="85"/>
    </row>
    <row r="64" spans="2:9" x14ac:dyDescent="0.25">
      <c r="B64" s="41"/>
      <c r="C64" s="84" t="s">
        <v>114</v>
      </c>
      <c r="D64" s="84" t="s">
        <v>1717</v>
      </c>
      <c r="E64" s="84" t="s">
        <v>823</v>
      </c>
      <c r="F64" s="90" t="s">
        <v>36</v>
      </c>
      <c r="G64" s="84" t="s">
        <v>824</v>
      </c>
      <c r="H64" s="84" t="s">
        <v>825</v>
      </c>
      <c r="I64" s="85"/>
    </row>
    <row r="65" spans="2:9" x14ac:dyDescent="0.25">
      <c r="B65" s="41"/>
      <c r="C65" s="84" t="s">
        <v>115</v>
      </c>
      <c r="D65" s="84" t="s">
        <v>897</v>
      </c>
      <c r="E65" s="84" t="s">
        <v>823</v>
      </c>
      <c r="F65" s="89" t="s">
        <v>22</v>
      </c>
      <c r="G65" s="84" t="s">
        <v>824</v>
      </c>
      <c r="H65" s="84" t="s">
        <v>825</v>
      </c>
      <c r="I65" s="85"/>
    </row>
    <row r="66" spans="2:9" x14ac:dyDescent="0.25">
      <c r="B66" s="41"/>
      <c r="C66" s="84" t="s">
        <v>117</v>
      </c>
      <c r="D66" s="84" t="s">
        <v>898</v>
      </c>
      <c r="E66" s="84" t="s">
        <v>823</v>
      </c>
      <c r="F66" s="89" t="s">
        <v>22</v>
      </c>
      <c r="G66" s="84" t="s">
        <v>824</v>
      </c>
      <c r="H66" s="84" t="s">
        <v>825</v>
      </c>
      <c r="I66" s="85"/>
    </row>
    <row r="67" spans="2:9" x14ac:dyDescent="0.25">
      <c r="B67" s="41"/>
      <c r="C67" s="84" t="s">
        <v>118</v>
      </c>
      <c r="D67" s="84" t="s">
        <v>1718</v>
      </c>
      <c r="E67" s="84" t="s">
        <v>823</v>
      </c>
      <c r="F67" s="89" t="s">
        <v>22</v>
      </c>
      <c r="G67" s="84" t="s">
        <v>824</v>
      </c>
      <c r="H67" s="84" t="s">
        <v>825</v>
      </c>
      <c r="I67" s="85"/>
    </row>
    <row r="68" spans="2:9" x14ac:dyDescent="0.25">
      <c r="B68" s="41"/>
      <c r="C68" s="84" t="s">
        <v>119</v>
      </c>
      <c r="D68" s="84" t="s">
        <v>1719</v>
      </c>
      <c r="E68" s="84" t="s">
        <v>823</v>
      </c>
      <c r="F68" s="89" t="s">
        <v>22</v>
      </c>
      <c r="G68" s="84" t="s">
        <v>824</v>
      </c>
      <c r="H68" s="84" t="s">
        <v>825</v>
      </c>
      <c r="I68" s="85"/>
    </row>
    <row r="69" spans="2:9" x14ac:dyDescent="0.25">
      <c r="B69" s="41"/>
      <c r="C69" s="84" t="s">
        <v>120</v>
      </c>
      <c r="D69" s="84" t="s">
        <v>899</v>
      </c>
      <c r="E69" s="84" t="s">
        <v>823</v>
      </c>
      <c r="F69" s="89" t="s">
        <v>22</v>
      </c>
      <c r="G69" s="84" t="s">
        <v>824</v>
      </c>
      <c r="H69" s="84" t="s">
        <v>825</v>
      </c>
      <c r="I69" s="85"/>
    </row>
    <row r="70" spans="2:9" x14ac:dyDescent="0.25">
      <c r="B70" s="41"/>
      <c r="C70" s="84" t="s">
        <v>121</v>
      </c>
      <c r="D70" s="84" t="s">
        <v>900</v>
      </c>
      <c r="E70" s="84" t="s">
        <v>823</v>
      </c>
      <c r="F70" s="90" t="s">
        <v>36</v>
      </c>
      <c r="G70" s="84" t="s">
        <v>824</v>
      </c>
      <c r="H70" s="84" t="s">
        <v>825</v>
      </c>
      <c r="I70" s="85"/>
    </row>
    <row r="71" spans="2:9" x14ac:dyDescent="0.25">
      <c r="B71" s="41"/>
      <c r="C71" s="84" t="s">
        <v>122</v>
      </c>
      <c r="D71" s="84" t="s">
        <v>903</v>
      </c>
      <c r="E71" s="84" t="s">
        <v>823</v>
      </c>
      <c r="F71" s="89" t="s">
        <v>22</v>
      </c>
      <c r="G71" s="84" t="s">
        <v>824</v>
      </c>
      <c r="H71" s="84" t="s">
        <v>825</v>
      </c>
      <c r="I71" s="85"/>
    </row>
    <row r="72" spans="2:9" x14ac:dyDescent="0.25">
      <c r="B72" s="41"/>
      <c r="C72" s="84" t="s">
        <v>123</v>
      </c>
      <c r="D72" s="84" t="s">
        <v>904</v>
      </c>
      <c r="E72" s="84" t="s">
        <v>823</v>
      </c>
      <c r="F72" s="89" t="s">
        <v>22</v>
      </c>
      <c r="G72" s="84" t="s">
        <v>824</v>
      </c>
      <c r="H72" s="84" t="s">
        <v>825</v>
      </c>
      <c r="I72" s="85"/>
    </row>
    <row r="73" spans="2:9" x14ac:dyDescent="0.25">
      <c r="B73" s="41"/>
      <c r="C73" s="84" t="s">
        <v>125</v>
      </c>
      <c r="D73" s="84" t="s">
        <v>905</v>
      </c>
      <c r="E73" s="84" t="s">
        <v>823</v>
      </c>
      <c r="F73" s="89" t="s">
        <v>22</v>
      </c>
      <c r="G73" s="84" t="s">
        <v>824</v>
      </c>
      <c r="H73" s="84" t="s">
        <v>825</v>
      </c>
      <c r="I73" s="85"/>
    </row>
    <row r="74" spans="2:9" x14ac:dyDescent="0.25">
      <c r="B74" s="41"/>
      <c r="C74" s="84" t="s">
        <v>906</v>
      </c>
      <c r="D74" s="84" t="s">
        <v>907</v>
      </c>
      <c r="E74" s="84" t="s">
        <v>823</v>
      </c>
      <c r="F74" s="89" t="s">
        <v>22</v>
      </c>
      <c r="G74" s="84" t="s">
        <v>824</v>
      </c>
      <c r="H74" s="84" t="s">
        <v>825</v>
      </c>
      <c r="I74" s="85"/>
    </row>
    <row r="75" spans="2:9" x14ac:dyDescent="0.25">
      <c r="B75" s="41"/>
      <c r="C75" s="84" t="s">
        <v>908</v>
      </c>
      <c r="D75" s="84" t="s">
        <v>909</v>
      </c>
      <c r="E75" s="84" t="s">
        <v>823</v>
      </c>
      <c r="F75" s="90" t="s">
        <v>36</v>
      </c>
      <c r="G75" s="84" t="s">
        <v>824</v>
      </c>
      <c r="H75" s="84" t="s">
        <v>825</v>
      </c>
      <c r="I75" s="85"/>
    </row>
    <row r="76" spans="2:9" x14ac:dyDescent="0.25">
      <c r="B76" s="41"/>
      <c r="C76" s="84" t="s">
        <v>128</v>
      </c>
      <c r="D76" s="84" t="s">
        <v>910</v>
      </c>
      <c r="E76" s="84" t="s">
        <v>831</v>
      </c>
      <c r="F76" s="89" t="s">
        <v>22</v>
      </c>
      <c r="G76" s="84" t="s">
        <v>824</v>
      </c>
      <c r="H76" s="84" t="s">
        <v>825</v>
      </c>
      <c r="I76" s="85"/>
    </row>
    <row r="77" spans="2:9" x14ac:dyDescent="0.25">
      <c r="B77" s="41"/>
      <c r="C77" s="84" t="s">
        <v>131</v>
      </c>
      <c r="D77" s="84" t="s">
        <v>911</v>
      </c>
      <c r="E77" s="84" t="s">
        <v>823</v>
      </c>
      <c r="F77" s="89" t="s">
        <v>22</v>
      </c>
      <c r="G77" s="84" t="s">
        <v>824</v>
      </c>
      <c r="H77" s="84" t="s">
        <v>825</v>
      </c>
      <c r="I77" s="85"/>
    </row>
    <row r="78" spans="2:9" x14ac:dyDescent="0.25">
      <c r="B78" s="41"/>
      <c r="C78" s="84" t="s">
        <v>133</v>
      </c>
      <c r="D78" s="84" t="s">
        <v>912</v>
      </c>
      <c r="E78" s="84" t="s">
        <v>831</v>
      </c>
      <c r="F78" s="89" t="s">
        <v>22</v>
      </c>
      <c r="G78" s="84" t="s">
        <v>824</v>
      </c>
      <c r="H78" s="84" t="s">
        <v>825</v>
      </c>
      <c r="I78" s="85"/>
    </row>
    <row r="79" spans="2:9" x14ac:dyDescent="0.25">
      <c r="B79" s="41"/>
      <c r="C79" s="84" t="s">
        <v>134</v>
      </c>
      <c r="D79" s="84" t="s">
        <v>913</v>
      </c>
      <c r="E79" s="84" t="s">
        <v>823</v>
      </c>
      <c r="F79" s="89" t="s">
        <v>22</v>
      </c>
      <c r="G79" s="84" t="s">
        <v>824</v>
      </c>
      <c r="H79" s="84" t="s">
        <v>825</v>
      </c>
      <c r="I79" s="85"/>
    </row>
    <row r="80" spans="2:9" x14ac:dyDescent="0.25">
      <c r="B80" s="41"/>
      <c r="C80" s="84" t="s">
        <v>138</v>
      </c>
      <c r="D80" s="84" t="s">
        <v>914</v>
      </c>
      <c r="E80" s="84" t="s">
        <v>823</v>
      </c>
      <c r="F80" s="89" t="s">
        <v>22</v>
      </c>
      <c r="G80" s="84" t="s">
        <v>824</v>
      </c>
      <c r="H80" s="84" t="s">
        <v>825</v>
      </c>
      <c r="I80" s="85"/>
    </row>
    <row r="81" spans="2:9" x14ac:dyDescent="0.25">
      <c r="B81" s="41"/>
      <c r="C81" s="84" t="s">
        <v>140</v>
      </c>
      <c r="D81" s="84" t="s">
        <v>915</v>
      </c>
      <c r="E81" s="84" t="s">
        <v>823</v>
      </c>
      <c r="F81" s="89" t="s">
        <v>22</v>
      </c>
      <c r="G81" s="84" t="s">
        <v>824</v>
      </c>
      <c r="H81" s="84" t="s">
        <v>825</v>
      </c>
      <c r="I81" s="85"/>
    </row>
    <row r="82" spans="2:9" x14ac:dyDescent="0.25">
      <c r="B82" s="41"/>
      <c r="C82" s="84" t="s">
        <v>141</v>
      </c>
      <c r="D82" s="84" t="s">
        <v>916</v>
      </c>
      <c r="E82" s="84" t="s">
        <v>823</v>
      </c>
      <c r="F82" s="89" t="s">
        <v>22</v>
      </c>
      <c r="G82" s="84" t="s">
        <v>824</v>
      </c>
      <c r="H82" s="84" t="s">
        <v>825</v>
      </c>
      <c r="I82" s="85"/>
    </row>
    <row r="83" spans="2:9" x14ac:dyDescent="0.25">
      <c r="B83" s="41"/>
      <c r="C83" s="84" t="s">
        <v>143</v>
      </c>
      <c r="D83" s="84" t="s">
        <v>917</v>
      </c>
      <c r="E83" s="84" t="s">
        <v>823</v>
      </c>
      <c r="F83" s="89" t="s">
        <v>22</v>
      </c>
      <c r="G83" s="84" t="s">
        <v>824</v>
      </c>
      <c r="H83" s="84" t="s">
        <v>825</v>
      </c>
      <c r="I83" s="85"/>
    </row>
    <row r="84" spans="2:9" x14ac:dyDescent="0.25">
      <c r="B84" s="41"/>
      <c r="C84" s="84" t="s">
        <v>145</v>
      </c>
      <c r="D84" s="84" t="s">
        <v>918</v>
      </c>
      <c r="E84" s="84" t="s">
        <v>823</v>
      </c>
      <c r="F84" s="89" t="s">
        <v>22</v>
      </c>
      <c r="G84" s="84" t="s">
        <v>824</v>
      </c>
      <c r="H84" s="84" t="s">
        <v>825</v>
      </c>
      <c r="I84" s="85"/>
    </row>
    <row r="85" spans="2:9" x14ac:dyDescent="0.25">
      <c r="B85" s="41"/>
      <c r="C85" s="84" t="s">
        <v>147</v>
      </c>
      <c r="D85" s="84" t="s">
        <v>919</v>
      </c>
      <c r="E85" s="84" t="s">
        <v>823</v>
      </c>
      <c r="F85" s="90" t="s">
        <v>36</v>
      </c>
      <c r="G85" s="84" t="s">
        <v>824</v>
      </c>
      <c r="H85" s="84" t="s">
        <v>825</v>
      </c>
      <c r="I85" s="85"/>
    </row>
    <row r="86" spans="2:9" x14ac:dyDescent="0.25">
      <c r="B86" s="41"/>
      <c r="C86" s="84" t="s">
        <v>149</v>
      </c>
      <c r="D86" s="84" t="s">
        <v>920</v>
      </c>
      <c r="E86" s="84" t="s">
        <v>823</v>
      </c>
      <c r="F86" s="89" t="s">
        <v>22</v>
      </c>
      <c r="G86" s="84" t="s">
        <v>824</v>
      </c>
      <c r="H86" s="84" t="s">
        <v>825</v>
      </c>
      <c r="I86" s="85"/>
    </row>
    <row r="87" spans="2:9" x14ac:dyDescent="0.25">
      <c r="B87" s="41"/>
      <c r="C87" s="84" t="s">
        <v>151</v>
      </c>
      <c r="D87" s="84" t="s">
        <v>921</v>
      </c>
      <c r="E87" s="84" t="s">
        <v>823</v>
      </c>
      <c r="F87" s="89" t="s">
        <v>22</v>
      </c>
      <c r="G87" s="84" t="s">
        <v>824</v>
      </c>
      <c r="H87" s="84" t="s">
        <v>825</v>
      </c>
      <c r="I87" s="85"/>
    </row>
    <row r="88" spans="2:9" x14ac:dyDescent="0.25">
      <c r="B88" s="41"/>
      <c r="C88" s="84" t="s">
        <v>152</v>
      </c>
      <c r="D88" s="84" t="s">
        <v>922</v>
      </c>
      <c r="E88" s="84" t="s">
        <v>823</v>
      </c>
      <c r="F88" s="89" t="s">
        <v>22</v>
      </c>
      <c r="G88" s="84" t="s">
        <v>824</v>
      </c>
      <c r="H88" s="84" t="s">
        <v>825</v>
      </c>
      <c r="I88" s="84"/>
    </row>
    <row r="89" spans="2:9" x14ac:dyDescent="0.25">
      <c r="B89" s="41"/>
      <c r="C89" s="84" t="s">
        <v>923</v>
      </c>
      <c r="D89" s="84" t="s">
        <v>924</v>
      </c>
      <c r="E89" s="84" t="s">
        <v>823</v>
      </c>
      <c r="F89" s="90" t="s">
        <v>36</v>
      </c>
      <c r="G89" s="84" t="s">
        <v>824</v>
      </c>
      <c r="H89" s="84" t="s">
        <v>825</v>
      </c>
      <c r="I89" s="85"/>
    </row>
    <row r="90" spans="2:9" x14ac:dyDescent="0.25">
      <c r="B90" s="41"/>
      <c r="C90" s="84" t="s">
        <v>153</v>
      </c>
      <c r="D90" s="84" t="s">
        <v>925</v>
      </c>
      <c r="E90" s="84" t="s">
        <v>823</v>
      </c>
      <c r="F90" s="89" t="s">
        <v>22</v>
      </c>
      <c r="G90" s="84" t="s">
        <v>824</v>
      </c>
      <c r="H90" s="84" t="s">
        <v>825</v>
      </c>
      <c r="I90" s="85"/>
    </row>
    <row r="91" spans="2:9" x14ac:dyDescent="0.25">
      <c r="B91" s="41"/>
      <c r="C91" s="84" t="s">
        <v>154</v>
      </c>
      <c r="D91" s="84" t="s">
        <v>926</v>
      </c>
      <c r="E91" s="84" t="s">
        <v>823</v>
      </c>
      <c r="F91" s="89" t="s">
        <v>22</v>
      </c>
      <c r="G91" s="84" t="s">
        <v>824</v>
      </c>
      <c r="H91" s="84" t="s">
        <v>825</v>
      </c>
      <c r="I91" s="85"/>
    </row>
    <row r="92" spans="2:9" x14ac:dyDescent="0.25">
      <c r="B92" s="41"/>
      <c r="C92" s="84" t="s">
        <v>156</v>
      </c>
      <c r="D92" s="84" t="s">
        <v>927</v>
      </c>
      <c r="E92" s="84" t="s">
        <v>823</v>
      </c>
      <c r="F92" s="89" t="s">
        <v>22</v>
      </c>
      <c r="G92" s="84" t="s">
        <v>824</v>
      </c>
      <c r="H92" s="84" t="s">
        <v>825</v>
      </c>
      <c r="I92" s="84"/>
    </row>
    <row r="93" spans="2:9" x14ac:dyDescent="0.25">
      <c r="B93" s="41"/>
      <c r="C93" s="84" t="s">
        <v>158</v>
      </c>
      <c r="D93" s="84" t="s">
        <v>928</v>
      </c>
      <c r="E93" s="84" t="s">
        <v>823</v>
      </c>
      <c r="F93" s="90" t="s">
        <v>36</v>
      </c>
      <c r="G93" s="84" t="s">
        <v>824</v>
      </c>
      <c r="H93" s="84" t="s">
        <v>825</v>
      </c>
      <c r="I93" s="85"/>
    </row>
    <row r="94" spans="2:9" x14ac:dyDescent="0.25">
      <c r="B94" s="41"/>
      <c r="C94" s="84" t="s">
        <v>929</v>
      </c>
      <c r="D94" s="84" t="s">
        <v>930</v>
      </c>
      <c r="E94" s="84" t="s">
        <v>823</v>
      </c>
      <c r="F94" s="90" t="s">
        <v>36</v>
      </c>
      <c r="G94" s="84" t="s">
        <v>824</v>
      </c>
      <c r="H94" s="84" t="s">
        <v>825</v>
      </c>
      <c r="I94" s="85"/>
    </row>
    <row r="95" spans="2:9" x14ac:dyDescent="0.25">
      <c r="B95" s="41"/>
      <c r="C95" s="84" t="s">
        <v>161</v>
      </c>
      <c r="D95" s="84" t="s">
        <v>1720</v>
      </c>
      <c r="E95" s="84" t="s">
        <v>823</v>
      </c>
      <c r="F95" s="91" t="s">
        <v>47</v>
      </c>
      <c r="G95" s="84" t="s">
        <v>824</v>
      </c>
      <c r="H95" s="84" t="s">
        <v>825</v>
      </c>
      <c r="I95" s="85"/>
    </row>
    <row r="96" spans="2:9" x14ac:dyDescent="0.25">
      <c r="B96" s="41"/>
      <c r="C96" s="84" t="s">
        <v>163</v>
      </c>
      <c r="D96" s="84" t="s">
        <v>1721</v>
      </c>
      <c r="E96" s="84" t="s">
        <v>823</v>
      </c>
      <c r="F96" s="90" t="s">
        <v>36</v>
      </c>
      <c r="G96" s="84" t="s">
        <v>824</v>
      </c>
      <c r="H96" s="84" t="s">
        <v>825</v>
      </c>
      <c r="I96" s="85"/>
    </row>
    <row r="97" spans="2:9" x14ac:dyDescent="0.25">
      <c r="B97" s="41"/>
      <c r="C97" s="84" t="s">
        <v>165</v>
      </c>
      <c r="D97" s="84" t="s">
        <v>931</v>
      </c>
      <c r="E97" s="84" t="s">
        <v>823</v>
      </c>
      <c r="F97" s="89" t="s">
        <v>22</v>
      </c>
      <c r="G97" s="84" t="s">
        <v>824</v>
      </c>
      <c r="H97" s="84" t="s">
        <v>825</v>
      </c>
      <c r="I97" s="85"/>
    </row>
    <row r="98" spans="2:9" x14ac:dyDescent="0.25">
      <c r="B98" s="41"/>
      <c r="C98" s="84" t="s">
        <v>1722</v>
      </c>
      <c r="D98" s="84" t="s">
        <v>1723</v>
      </c>
      <c r="E98" s="84" t="s">
        <v>823</v>
      </c>
      <c r="F98" s="90" t="s">
        <v>36</v>
      </c>
      <c r="G98" s="84" t="s">
        <v>824</v>
      </c>
      <c r="H98" s="84" t="s">
        <v>825</v>
      </c>
      <c r="I98" s="85"/>
    </row>
    <row r="99" spans="2:9" x14ac:dyDescent="0.25">
      <c r="B99" s="41"/>
      <c r="C99" s="84" t="s">
        <v>167</v>
      </c>
      <c r="D99" s="84" t="s">
        <v>932</v>
      </c>
      <c r="E99" s="84" t="s">
        <v>823</v>
      </c>
      <c r="F99" s="89" t="s">
        <v>22</v>
      </c>
      <c r="G99" s="84" t="s">
        <v>824</v>
      </c>
      <c r="H99" s="84" t="s">
        <v>825</v>
      </c>
      <c r="I99" s="85"/>
    </row>
    <row r="100" spans="2:9" x14ac:dyDescent="0.25">
      <c r="B100" s="41"/>
      <c r="C100" s="84" t="s">
        <v>169</v>
      </c>
      <c r="D100" s="84" t="s">
        <v>1724</v>
      </c>
      <c r="E100" s="84" t="s">
        <v>823</v>
      </c>
      <c r="F100" s="89" t="s">
        <v>22</v>
      </c>
      <c r="G100" s="84" t="s">
        <v>824</v>
      </c>
      <c r="H100" s="84" t="s">
        <v>825</v>
      </c>
      <c r="I100" s="85"/>
    </row>
    <row r="101" spans="2:9" x14ac:dyDescent="0.25">
      <c r="B101" s="42"/>
      <c r="C101" s="86" t="s">
        <v>170</v>
      </c>
      <c r="D101" s="86" t="s">
        <v>934</v>
      </c>
      <c r="E101" s="86" t="s">
        <v>823</v>
      </c>
      <c r="F101" s="92" t="s">
        <v>22</v>
      </c>
      <c r="G101" s="86" t="s">
        <v>824</v>
      </c>
      <c r="H101" s="86" t="s">
        <v>825</v>
      </c>
      <c r="I101" s="87"/>
    </row>
    <row r="102" spans="2:9" x14ac:dyDescent="0.25">
      <c r="B102" s="41"/>
      <c r="C102" s="84" t="s">
        <v>171</v>
      </c>
      <c r="D102" s="84" t="s">
        <v>935</v>
      </c>
      <c r="E102" s="84" t="s">
        <v>823</v>
      </c>
      <c r="F102" s="89" t="s">
        <v>22</v>
      </c>
      <c r="G102" s="84" t="s">
        <v>824</v>
      </c>
      <c r="H102" s="84" t="s">
        <v>825</v>
      </c>
      <c r="I102" s="85"/>
    </row>
    <row r="103" spans="2:9" x14ac:dyDescent="0.25">
      <c r="B103" s="41"/>
      <c r="C103" s="84" t="s">
        <v>172</v>
      </c>
      <c r="D103" s="84" t="s">
        <v>936</v>
      </c>
      <c r="E103" s="84" t="s">
        <v>823</v>
      </c>
      <c r="F103" s="89" t="s">
        <v>22</v>
      </c>
      <c r="G103" s="84" t="s">
        <v>824</v>
      </c>
      <c r="H103" s="84" t="s">
        <v>825</v>
      </c>
      <c r="I103" s="85"/>
    </row>
    <row r="104" spans="2:9" x14ac:dyDescent="0.25">
      <c r="B104" s="41"/>
      <c r="C104" s="84" t="s">
        <v>173</v>
      </c>
      <c r="D104" s="84" t="s">
        <v>939</v>
      </c>
      <c r="E104" s="84" t="s">
        <v>823</v>
      </c>
      <c r="F104" s="89" t="s">
        <v>22</v>
      </c>
      <c r="G104" s="84" t="s">
        <v>824</v>
      </c>
      <c r="H104" s="84" t="s">
        <v>825</v>
      </c>
      <c r="I104" s="85"/>
    </row>
    <row r="105" spans="2:9" x14ac:dyDescent="0.25">
      <c r="B105" s="41"/>
      <c r="C105" s="84" t="s">
        <v>174</v>
      </c>
      <c r="D105" s="84" t="s">
        <v>940</v>
      </c>
      <c r="E105" s="84" t="s">
        <v>823</v>
      </c>
      <c r="F105" s="89" t="s">
        <v>22</v>
      </c>
      <c r="G105" s="84" t="s">
        <v>824</v>
      </c>
      <c r="H105" s="84" t="s">
        <v>825</v>
      </c>
      <c r="I105" s="85"/>
    </row>
    <row r="106" spans="2:9" x14ac:dyDescent="0.25">
      <c r="B106" s="41"/>
      <c r="C106" s="84" t="s">
        <v>941</v>
      </c>
      <c r="D106" s="84" t="s">
        <v>942</v>
      </c>
      <c r="E106" s="84" t="s">
        <v>823</v>
      </c>
      <c r="F106" s="89" t="s">
        <v>22</v>
      </c>
      <c r="G106" s="84" t="s">
        <v>824</v>
      </c>
      <c r="H106" s="84" t="s">
        <v>825</v>
      </c>
      <c r="I106" s="85"/>
    </row>
    <row r="107" spans="2:9" x14ac:dyDescent="0.25">
      <c r="B107" s="41"/>
      <c r="C107" s="84" t="s">
        <v>176</v>
      </c>
      <c r="D107" s="84" t="s">
        <v>943</v>
      </c>
      <c r="E107" s="84" t="s">
        <v>823</v>
      </c>
      <c r="F107" s="89" t="s">
        <v>22</v>
      </c>
      <c r="G107" s="84" t="s">
        <v>824</v>
      </c>
      <c r="H107" s="84" t="s">
        <v>825</v>
      </c>
      <c r="I107" s="85"/>
    </row>
    <row r="108" spans="2:9" x14ac:dyDescent="0.25">
      <c r="B108" s="41"/>
      <c r="C108" s="84" t="s">
        <v>944</v>
      </c>
      <c r="D108" s="84" t="s">
        <v>945</v>
      </c>
      <c r="E108" s="84" t="s">
        <v>823</v>
      </c>
      <c r="F108" s="93" t="s">
        <v>222</v>
      </c>
      <c r="G108" s="84" t="s">
        <v>825</v>
      </c>
      <c r="H108" s="84" t="s">
        <v>825</v>
      </c>
      <c r="I108" s="85"/>
    </row>
    <row r="109" spans="2:9" x14ac:dyDescent="0.25">
      <c r="B109" s="41"/>
      <c r="C109" s="84" t="s">
        <v>177</v>
      </c>
      <c r="D109" s="84" t="s">
        <v>947</v>
      </c>
      <c r="E109" s="84" t="s">
        <v>823</v>
      </c>
      <c r="F109" s="89" t="s">
        <v>22</v>
      </c>
      <c r="G109" s="84" t="s">
        <v>824</v>
      </c>
      <c r="H109" s="84" t="s">
        <v>825</v>
      </c>
      <c r="I109" s="85"/>
    </row>
    <row r="110" spans="2:9" x14ac:dyDescent="0.25">
      <c r="B110" s="41"/>
      <c r="C110" s="84" t="s">
        <v>178</v>
      </c>
      <c r="D110" s="84" t="s">
        <v>948</v>
      </c>
      <c r="E110" s="84" t="s">
        <v>823</v>
      </c>
      <c r="F110" s="90" t="s">
        <v>36</v>
      </c>
      <c r="G110" s="84" t="s">
        <v>824</v>
      </c>
      <c r="H110" s="84" t="s">
        <v>825</v>
      </c>
      <c r="I110" s="85"/>
    </row>
    <row r="111" spans="2:9" x14ac:dyDescent="0.25">
      <c r="B111" s="41"/>
      <c r="C111" s="84" t="s">
        <v>180</v>
      </c>
      <c r="D111" s="84" t="s">
        <v>951</v>
      </c>
      <c r="E111" s="84" t="s">
        <v>823</v>
      </c>
      <c r="F111" s="89" t="s">
        <v>22</v>
      </c>
      <c r="G111" s="84" t="s">
        <v>824</v>
      </c>
      <c r="H111" s="84" t="s">
        <v>825</v>
      </c>
      <c r="I111" s="85"/>
    </row>
    <row r="112" spans="2:9" x14ac:dyDescent="0.25">
      <c r="B112" s="41"/>
      <c r="C112" s="84" t="s">
        <v>182</v>
      </c>
      <c r="D112" s="84" t="s">
        <v>952</v>
      </c>
      <c r="E112" s="84" t="s">
        <v>823</v>
      </c>
      <c r="F112" s="89" t="s">
        <v>22</v>
      </c>
      <c r="G112" s="84" t="s">
        <v>824</v>
      </c>
      <c r="H112" s="84" t="s">
        <v>825</v>
      </c>
      <c r="I112" s="85"/>
    </row>
    <row r="113" spans="2:9" x14ac:dyDescent="0.25">
      <c r="B113" s="41"/>
      <c r="C113" s="84" t="s">
        <v>183</v>
      </c>
      <c r="D113" s="84" t="s">
        <v>957</v>
      </c>
      <c r="E113" s="84" t="s">
        <v>823</v>
      </c>
      <c r="F113" s="89" t="s">
        <v>22</v>
      </c>
      <c r="G113" s="84" t="s">
        <v>824</v>
      </c>
      <c r="H113" s="84" t="s">
        <v>825</v>
      </c>
      <c r="I113" s="85"/>
    </row>
    <row r="114" spans="2:9" x14ac:dyDescent="0.25">
      <c r="B114" s="41"/>
      <c r="C114" s="84" t="s">
        <v>184</v>
      </c>
      <c r="D114" s="84" t="s">
        <v>958</v>
      </c>
      <c r="E114" s="84" t="s">
        <v>823</v>
      </c>
      <c r="F114" s="89" t="s">
        <v>22</v>
      </c>
      <c r="G114" s="84" t="s">
        <v>824</v>
      </c>
      <c r="H114" s="84" t="s">
        <v>825</v>
      </c>
      <c r="I114" s="85"/>
    </row>
    <row r="115" spans="2:9" x14ac:dyDescent="0.25">
      <c r="B115" s="41"/>
      <c r="C115" s="84" t="s">
        <v>959</v>
      </c>
      <c r="D115" s="84" t="s">
        <v>960</v>
      </c>
      <c r="E115" s="84" t="s">
        <v>823</v>
      </c>
      <c r="F115" s="89" t="s">
        <v>22</v>
      </c>
      <c r="G115" s="84" t="s">
        <v>824</v>
      </c>
      <c r="H115" s="84" t="s">
        <v>825</v>
      </c>
      <c r="I115" s="85"/>
    </row>
    <row r="116" spans="2:9" x14ac:dyDescent="0.25">
      <c r="B116" s="41"/>
      <c r="C116" s="84" t="s">
        <v>186</v>
      </c>
      <c r="D116" s="84" t="s">
        <v>1725</v>
      </c>
      <c r="E116" s="84" t="s">
        <v>823</v>
      </c>
      <c r="F116" s="89" t="s">
        <v>22</v>
      </c>
      <c r="G116" s="84" t="s">
        <v>824</v>
      </c>
      <c r="H116" s="84" t="s">
        <v>825</v>
      </c>
      <c r="I116" s="85"/>
    </row>
    <row r="117" spans="2:9" x14ac:dyDescent="0.25">
      <c r="B117" s="41"/>
      <c r="C117" s="84" t="s">
        <v>188</v>
      </c>
      <c r="D117" s="84" t="s">
        <v>962</v>
      </c>
      <c r="E117" s="84" t="s">
        <v>823</v>
      </c>
      <c r="F117" s="89" t="s">
        <v>22</v>
      </c>
      <c r="G117" s="84" t="s">
        <v>824</v>
      </c>
      <c r="H117" s="84" t="s">
        <v>825</v>
      </c>
      <c r="I117" s="85"/>
    </row>
    <row r="118" spans="2:9" x14ac:dyDescent="0.25">
      <c r="B118" s="41"/>
      <c r="C118" s="84" t="s">
        <v>963</v>
      </c>
      <c r="D118" s="84" t="s">
        <v>964</v>
      </c>
      <c r="E118" s="84" t="s">
        <v>823</v>
      </c>
      <c r="F118" s="89" t="s">
        <v>22</v>
      </c>
      <c r="G118" s="84" t="s">
        <v>824</v>
      </c>
      <c r="H118" s="84" t="s">
        <v>825</v>
      </c>
      <c r="I118" s="85"/>
    </row>
    <row r="119" spans="2:9" x14ac:dyDescent="0.25">
      <c r="B119" s="41"/>
      <c r="C119" s="84" t="s">
        <v>189</v>
      </c>
      <c r="D119" s="84" t="s">
        <v>965</v>
      </c>
      <c r="E119" s="84" t="s">
        <v>823</v>
      </c>
      <c r="F119" s="89" t="s">
        <v>22</v>
      </c>
      <c r="G119" s="84" t="s">
        <v>824</v>
      </c>
      <c r="H119" s="84" t="s">
        <v>825</v>
      </c>
      <c r="I119" s="85"/>
    </row>
    <row r="120" spans="2:9" x14ac:dyDescent="0.25">
      <c r="B120" s="41"/>
      <c r="C120" s="84" t="s">
        <v>191</v>
      </c>
      <c r="D120" s="84" t="s">
        <v>966</v>
      </c>
      <c r="E120" s="84" t="s">
        <v>831</v>
      </c>
      <c r="F120" s="90" t="s">
        <v>36</v>
      </c>
      <c r="G120" s="84" t="s">
        <v>824</v>
      </c>
      <c r="H120" s="84" t="s">
        <v>825</v>
      </c>
      <c r="I120" s="85"/>
    </row>
    <row r="121" spans="2:9" x14ac:dyDescent="0.25">
      <c r="B121" s="41"/>
      <c r="C121" s="84" t="s">
        <v>192</v>
      </c>
      <c r="D121" s="84" t="s">
        <v>967</v>
      </c>
      <c r="E121" s="84" t="s">
        <v>823</v>
      </c>
      <c r="F121" s="90" t="s">
        <v>36</v>
      </c>
      <c r="G121" s="84" t="s">
        <v>824</v>
      </c>
      <c r="H121" s="84" t="s">
        <v>825</v>
      </c>
      <c r="I121" s="85"/>
    </row>
    <row r="122" spans="2:9" x14ac:dyDescent="0.25">
      <c r="B122" s="41"/>
      <c r="C122" s="84" t="s">
        <v>193</v>
      </c>
      <c r="D122" s="84" t="s">
        <v>968</v>
      </c>
      <c r="E122" s="84" t="s">
        <v>823</v>
      </c>
      <c r="F122" s="89" t="s">
        <v>22</v>
      </c>
      <c r="G122" s="84" t="s">
        <v>824</v>
      </c>
      <c r="H122" s="84" t="s">
        <v>825</v>
      </c>
      <c r="I122" s="85"/>
    </row>
    <row r="123" spans="2:9" x14ac:dyDescent="0.25">
      <c r="B123" s="41"/>
      <c r="C123" s="84" t="s">
        <v>194</v>
      </c>
      <c r="D123" s="84" t="s">
        <v>969</v>
      </c>
      <c r="E123" s="84" t="s">
        <v>823</v>
      </c>
      <c r="F123" s="89" t="s">
        <v>22</v>
      </c>
      <c r="G123" s="84" t="s">
        <v>824</v>
      </c>
      <c r="H123" s="84" t="s">
        <v>825</v>
      </c>
      <c r="I123" s="85"/>
    </row>
    <row r="124" spans="2:9" x14ac:dyDescent="0.25">
      <c r="B124" s="41"/>
      <c r="C124" s="84" t="s">
        <v>196</v>
      </c>
      <c r="D124" s="84" t="s">
        <v>970</v>
      </c>
      <c r="E124" s="84" t="s">
        <v>823</v>
      </c>
      <c r="F124" s="89" t="s">
        <v>22</v>
      </c>
      <c r="G124" s="84" t="s">
        <v>824</v>
      </c>
      <c r="H124" s="84" t="s">
        <v>825</v>
      </c>
      <c r="I124" s="85"/>
    </row>
    <row r="125" spans="2:9" x14ac:dyDescent="0.25">
      <c r="B125" s="41"/>
      <c r="C125" s="84" t="s">
        <v>198</v>
      </c>
      <c r="D125" s="84" t="s">
        <v>971</v>
      </c>
      <c r="E125" s="84" t="s">
        <v>823</v>
      </c>
      <c r="F125" s="89" t="s">
        <v>22</v>
      </c>
      <c r="G125" s="84" t="s">
        <v>824</v>
      </c>
      <c r="H125" s="84" t="s">
        <v>825</v>
      </c>
      <c r="I125" s="85"/>
    </row>
    <row r="126" spans="2:9" x14ac:dyDescent="0.25">
      <c r="B126" s="41"/>
      <c r="C126" s="84" t="s">
        <v>972</v>
      </c>
      <c r="D126" s="84" t="s">
        <v>973</v>
      </c>
      <c r="E126" s="84" t="s">
        <v>823</v>
      </c>
      <c r="F126" s="89" t="s">
        <v>22</v>
      </c>
      <c r="G126" s="84" t="s">
        <v>824</v>
      </c>
      <c r="H126" s="84" t="s">
        <v>825</v>
      </c>
      <c r="I126" s="85"/>
    </row>
    <row r="127" spans="2:9" x14ac:dyDescent="0.25">
      <c r="B127" s="41"/>
      <c r="C127" s="84" t="s">
        <v>199</v>
      </c>
      <c r="D127" s="84" t="s">
        <v>974</v>
      </c>
      <c r="E127" s="84" t="s">
        <v>823</v>
      </c>
      <c r="F127" s="90" t="s">
        <v>36</v>
      </c>
      <c r="G127" s="84" t="s">
        <v>824</v>
      </c>
      <c r="H127" s="84" t="s">
        <v>825</v>
      </c>
      <c r="I127" s="85"/>
    </row>
    <row r="128" spans="2:9" x14ac:dyDescent="0.25">
      <c r="B128" s="41"/>
      <c r="C128" s="84" t="s">
        <v>200</v>
      </c>
      <c r="D128" s="84" t="s">
        <v>975</v>
      </c>
      <c r="E128" s="84" t="s">
        <v>823</v>
      </c>
      <c r="F128" s="89" t="s">
        <v>22</v>
      </c>
      <c r="G128" s="84" t="s">
        <v>824</v>
      </c>
      <c r="H128" s="84" t="s">
        <v>825</v>
      </c>
      <c r="I128" s="85"/>
    </row>
    <row r="129" spans="2:9" x14ac:dyDescent="0.25">
      <c r="B129" s="41"/>
      <c r="C129" s="84" t="s">
        <v>202</v>
      </c>
      <c r="D129" s="84" t="s">
        <v>1726</v>
      </c>
      <c r="E129" s="84" t="s">
        <v>823</v>
      </c>
      <c r="F129" s="89" t="s">
        <v>22</v>
      </c>
      <c r="G129" s="84" t="s">
        <v>824</v>
      </c>
      <c r="H129" s="84" t="s">
        <v>825</v>
      </c>
      <c r="I129" s="85"/>
    </row>
    <row r="130" spans="2:9" x14ac:dyDescent="0.25">
      <c r="B130" s="41"/>
      <c r="C130" s="84" t="s">
        <v>204</v>
      </c>
      <c r="D130" s="84" t="s">
        <v>1727</v>
      </c>
      <c r="E130" s="84" t="s">
        <v>823</v>
      </c>
      <c r="F130" s="89" t="s">
        <v>22</v>
      </c>
      <c r="G130" s="84" t="s">
        <v>824</v>
      </c>
      <c r="H130" s="84" t="s">
        <v>825</v>
      </c>
      <c r="I130" s="85"/>
    </row>
    <row r="131" spans="2:9" x14ac:dyDescent="0.25">
      <c r="B131" s="41"/>
      <c r="C131" s="84" t="s">
        <v>206</v>
      </c>
      <c r="D131" s="84" t="s">
        <v>976</v>
      </c>
      <c r="E131" s="84" t="s">
        <v>823</v>
      </c>
      <c r="F131" s="89" t="s">
        <v>22</v>
      </c>
      <c r="G131" s="84" t="s">
        <v>824</v>
      </c>
      <c r="H131" s="84" t="s">
        <v>825</v>
      </c>
      <c r="I131" s="85"/>
    </row>
    <row r="132" spans="2:9" x14ac:dyDescent="0.25">
      <c r="B132" s="41"/>
      <c r="C132" s="84" t="s">
        <v>208</v>
      </c>
      <c r="D132" s="84" t="s">
        <v>977</v>
      </c>
      <c r="E132" s="84" t="s">
        <v>823</v>
      </c>
      <c r="F132" s="89" t="s">
        <v>22</v>
      </c>
      <c r="G132" s="84" t="s">
        <v>824</v>
      </c>
      <c r="H132" s="84" t="s">
        <v>825</v>
      </c>
      <c r="I132" s="85"/>
    </row>
    <row r="133" spans="2:9" x14ac:dyDescent="0.25">
      <c r="B133" s="41"/>
      <c r="C133" s="84" t="s">
        <v>209</v>
      </c>
      <c r="D133" s="84" t="s">
        <v>978</v>
      </c>
      <c r="E133" s="84" t="s">
        <v>823</v>
      </c>
      <c r="F133" s="89" t="s">
        <v>22</v>
      </c>
      <c r="G133" s="84" t="s">
        <v>824</v>
      </c>
      <c r="H133" s="84" t="s">
        <v>825</v>
      </c>
      <c r="I133" s="85"/>
    </row>
    <row r="134" spans="2:9" x14ac:dyDescent="0.25">
      <c r="B134" s="41"/>
      <c r="C134" s="84" t="s">
        <v>210</v>
      </c>
      <c r="D134" s="84" t="s">
        <v>979</v>
      </c>
      <c r="E134" s="84" t="s">
        <v>823</v>
      </c>
      <c r="F134" s="89" t="s">
        <v>22</v>
      </c>
      <c r="G134" s="84" t="s">
        <v>824</v>
      </c>
      <c r="H134" s="84" t="s">
        <v>825</v>
      </c>
      <c r="I134" s="85"/>
    </row>
    <row r="135" spans="2:9" x14ac:dyDescent="0.25">
      <c r="B135" s="41"/>
      <c r="C135" s="84" t="s">
        <v>212</v>
      </c>
      <c r="D135" s="84" t="s">
        <v>980</v>
      </c>
      <c r="E135" s="84" t="s">
        <v>823</v>
      </c>
      <c r="F135" s="89" t="s">
        <v>22</v>
      </c>
      <c r="G135" s="84" t="s">
        <v>824</v>
      </c>
      <c r="H135" s="84" t="s">
        <v>825</v>
      </c>
      <c r="I135" s="85"/>
    </row>
    <row r="136" spans="2:9" x14ac:dyDescent="0.25">
      <c r="B136" s="41"/>
      <c r="C136" s="84" t="s">
        <v>213</v>
      </c>
      <c r="D136" s="84" t="s">
        <v>981</v>
      </c>
      <c r="E136" s="84" t="s">
        <v>823</v>
      </c>
      <c r="F136" s="89" t="s">
        <v>22</v>
      </c>
      <c r="G136" s="84" t="s">
        <v>824</v>
      </c>
      <c r="H136" s="84" t="s">
        <v>825</v>
      </c>
      <c r="I136" s="85"/>
    </row>
    <row r="137" spans="2:9" x14ac:dyDescent="0.25">
      <c r="B137" s="41"/>
      <c r="C137" s="84" t="s">
        <v>214</v>
      </c>
      <c r="D137" s="84" t="s">
        <v>982</v>
      </c>
      <c r="E137" s="84" t="s">
        <v>823</v>
      </c>
      <c r="F137" s="89" t="s">
        <v>22</v>
      </c>
      <c r="G137" s="84" t="s">
        <v>824</v>
      </c>
      <c r="H137" s="84" t="s">
        <v>825</v>
      </c>
      <c r="I137" s="85"/>
    </row>
    <row r="138" spans="2:9" x14ac:dyDescent="0.25">
      <c r="B138" s="41"/>
      <c r="C138" s="84" t="s">
        <v>216</v>
      </c>
      <c r="D138" s="84" t="s">
        <v>983</v>
      </c>
      <c r="E138" s="84" t="s">
        <v>823</v>
      </c>
      <c r="F138" s="89" t="s">
        <v>22</v>
      </c>
      <c r="G138" s="84" t="s">
        <v>824</v>
      </c>
      <c r="H138" s="84" t="s">
        <v>825</v>
      </c>
      <c r="I138" s="85"/>
    </row>
    <row r="139" spans="2:9" x14ac:dyDescent="0.25">
      <c r="B139" s="41"/>
      <c r="C139" s="84" t="s">
        <v>217</v>
      </c>
      <c r="D139" s="84" t="s">
        <v>984</v>
      </c>
      <c r="E139" s="84" t="s">
        <v>823</v>
      </c>
      <c r="F139" s="89" t="s">
        <v>22</v>
      </c>
      <c r="G139" s="84" t="s">
        <v>824</v>
      </c>
      <c r="H139" s="84" t="s">
        <v>825</v>
      </c>
      <c r="I139" s="85"/>
    </row>
    <row r="140" spans="2:9" x14ac:dyDescent="0.25">
      <c r="B140" s="41"/>
      <c r="C140" s="84" t="s">
        <v>218</v>
      </c>
      <c r="D140" s="84" t="s">
        <v>985</v>
      </c>
      <c r="E140" s="84" t="s">
        <v>823</v>
      </c>
      <c r="F140" s="89" t="s">
        <v>22</v>
      </c>
      <c r="G140" s="84" t="s">
        <v>824</v>
      </c>
      <c r="H140" s="84" t="s">
        <v>825</v>
      </c>
      <c r="I140" s="85"/>
    </row>
    <row r="141" spans="2:9" x14ac:dyDescent="0.25">
      <c r="B141" s="41"/>
      <c r="C141" s="84" t="s">
        <v>219</v>
      </c>
      <c r="D141" s="84" t="s">
        <v>1728</v>
      </c>
      <c r="E141" s="84" t="s">
        <v>823</v>
      </c>
      <c r="F141" s="89" t="s">
        <v>22</v>
      </c>
      <c r="G141" s="84" t="s">
        <v>824</v>
      </c>
      <c r="H141" s="84" t="s">
        <v>825</v>
      </c>
      <c r="I141" s="85"/>
    </row>
    <row r="142" spans="2:9" x14ac:dyDescent="0.25">
      <c r="B142" s="41"/>
      <c r="C142" s="84" t="s">
        <v>986</v>
      </c>
      <c r="D142" s="84" t="s">
        <v>987</v>
      </c>
      <c r="E142" s="84" t="s">
        <v>823</v>
      </c>
      <c r="F142" s="90" t="s">
        <v>36</v>
      </c>
      <c r="G142" s="84" t="s">
        <v>824</v>
      </c>
      <c r="H142" s="84" t="s">
        <v>825</v>
      </c>
      <c r="I142" s="85"/>
    </row>
    <row r="143" spans="2:9" x14ac:dyDescent="0.25">
      <c r="B143" s="41"/>
      <c r="C143" s="84" t="s">
        <v>220</v>
      </c>
      <c r="D143" s="84" t="s">
        <v>988</v>
      </c>
      <c r="E143" s="84" t="s">
        <v>823</v>
      </c>
      <c r="F143" s="89" t="s">
        <v>22</v>
      </c>
      <c r="G143" s="84" t="s">
        <v>824</v>
      </c>
      <c r="H143" s="84" t="s">
        <v>825</v>
      </c>
      <c r="I143" s="85"/>
    </row>
    <row r="144" spans="2:9" x14ac:dyDescent="0.25">
      <c r="B144" s="41"/>
      <c r="C144" s="84" t="s">
        <v>221</v>
      </c>
      <c r="D144" s="84" t="s">
        <v>1729</v>
      </c>
      <c r="E144" s="84" t="s">
        <v>823</v>
      </c>
      <c r="F144" s="93" t="s">
        <v>222</v>
      </c>
      <c r="G144" s="84" t="s">
        <v>825</v>
      </c>
      <c r="H144" s="84" t="s">
        <v>825</v>
      </c>
      <c r="I144" s="85"/>
    </row>
    <row r="145" spans="2:9" x14ac:dyDescent="0.25">
      <c r="B145" s="41"/>
      <c r="C145" s="84" t="s">
        <v>989</v>
      </c>
      <c r="D145" s="84" t="s">
        <v>990</v>
      </c>
      <c r="E145" s="84" t="s">
        <v>823</v>
      </c>
      <c r="F145" s="89" t="s">
        <v>22</v>
      </c>
      <c r="G145" s="84" t="s">
        <v>824</v>
      </c>
      <c r="H145" s="84" t="s">
        <v>825</v>
      </c>
      <c r="I145" s="85"/>
    </row>
    <row r="146" spans="2:9" x14ac:dyDescent="0.25">
      <c r="B146" s="41"/>
      <c r="C146" s="84" t="s">
        <v>223</v>
      </c>
      <c r="D146" s="84" t="s">
        <v>991</v>
      </c>
      <c r="E146" s="84" t="s">
        <v>823</v>
      </c>
      <c r="F146" s="89" t="s">
        <v>22</v>
      </c>
      <c r="G146" s="84" t="s">
        <v>824</v>
      </c>
      <c r="H146" s="84" t="s">
        <v>825</v>
      </c>
      <c r="I146" s="85"/>
    </row>
    <row r="147" spans="2:9" x14ac:dyDescent="0.25">
      <c r="B147" s="41"/>
      <c r="C147" s="84" t="s">
        <v>225</v>
      </c>
      <c r="D147" s="84" t="s">
        <v>992</v>
      </c>
      <c r="E147" s="84" t="s">
        <v>823</v>
      </c>
      <c r="F147" s="89" t="s">
        <v>22</v>
      </c>
      <c r="G147" s="84" t="s">
        <v>824</v>
      </c>
      <c r="H147" s="84" t="s">
        <v>825</v>
      </c>
      <c r="I147" s="85"/>
    </row>
    <row r="148" spans="2:9" x14ac:dyDescent="0.25">
      <c r="B148" s="41"/>
      <c r="C148" s="84" t="s">
        <v>226</v>
      </c>
      <c r="D148" s="84" t="s">
        <v>993</v>
      </c>
      <c r="E148" s="84" t="s">
        <v>823</v>
      </c>
      <c r="F148" s="89" t="s">
        <v>22</v>
      </c>
      <c r="G148" s="84" t="s">
        <v>824</v>
      </c>
      <c r="H148" s="84" t="s">
        <v>825</v>
      </c>
      <c r="I148" s="85"/>
    </row>
    <row r="149" spans="2:9" x14ac:dyDescent="0.25">
      <c r="B149" s="41"/>
      <c r="C149" s="84" t="s">
        <v>227</v>
      </c>
      <c r="D149" s="84" t="s">
        <v>994</v>
      </c>
      <c r="E149" s="84" t="s">
        <v>823</v>
      </c>
      <c r="F149" s="89" t="s">
        <v>22</v>
      </c>
      <c r="G149" s="84" t="s">
        <v>824</v>
      </c>
      <c r="H149" s="84" t="s">
        <v>825</v>
      </c>
      <c r="I149" s="85"/>
    </row>
    <row r="150" spans="2:9" x14ac:dyDescent="0.25">
      <c r="B150" s="41"/>
      <c r="C150" s="84" t="s">
        <v>229</v>
      </c>
      <c r="D150" s="84" t="s">
        <v>997</v>
      </c>
      <c r="E150" s="84" t="s">
        <v>823</v>
      </c>
      <c r="F150" s="89" t="s">
        <v>22</v>
      </c>
      <c r="G150" s="84" t="s">
        <v>824</v>
      </c>
      <c r="H150" s="84" t="s">
        <v>825</v>
      </c>
      <c r="I150" s="85"/>
    </row>
    <row r="151" spans="2:9" x14ac:dyDescent="0.25">
      <c r="B151" s="42"/>
      <c r="C151" s="86" t="s">
        <v>231</v>
      </c>
      <c r="D151" s="86" t="s">
        <v>998</v>
      </c>
      <c r="E151" s="86" t="s">
        <v>823</v>
      </c>
      <c r="F151" s="92" t="s">
        <v>22</v>
      </c>
      <c r="G151" s="86" t="s">
        <v>824</v>
      </c>
      <c r="H151" s="86" t="s">
        <v>825</v>
      </c>
      <c r="I151" s="87"/>
    </row>
    <row r="152" spans="2:9" x14ac:dyDescent="0.25">
      <c r="B152" s="41"/>
      <c r="C152" s="84" t="s">
        <v>232</v>
      </c>
      <c r="D152" s="84" t="s">
        <v>999</v>
      </c>
      <c r="E152" s="84" t="s">
        <v>823</v>
      </c>
      <c r="F152" s="90" t="s">
        <v>36</v>
      </c>
      <c r="G152" s="84" t="s">
        <v>824</v>
      </c>
      <c r="H152" s="84" t="s">
        <v>825</v>
      </c>
      <c r="I152" s="85"/>
    </row>
    <row r="153" spans="2:9" x14ac:dyDescent="0.25">
      <c r="B153" s="41"/>
      <c r="C153" s="84" t="s">
        <v>233</v>
      </c>
      <c r="D153" s="84" t="s">
        <v>1000</v>
      </c>
      <c r="E153" s="84" t="s">
        <v>823</v>
      </c>
      <c r="F153" s="89" t="s">
        <v>22</v>
      </c>
      <c r="G153" s="84" t="s">
        <v>824</v>
      </c>
      <c r="H153" s="84" t="s">
        <v>825</v>
      </c>
      <c r="I153" s="85"/>
    </row>
    <row r="154" spans="2:9" x14ac:dyDescent="0.25">
      <c r="B154" s="41"/>
      <c r="C154" s="84" t="s">
        <v>1001</v>
      </c>
      <c r="D154" s="84" t="s">
        <v>1002</v>
      </c>
      <c r="E154" s="84" t="s">
        <v>823</v>
      </c>
      <c r="F154" s="89" t="s">
        <v>22</v>
      </c>
      <c r="G154" s="84" t="s">
        <v>824</v>
      </c>
      <c r="H154" s="84" t="s">
        <v>825</v>
      </c>
      <c r="I154" s="85"/>
    </row>
    <row r="155" spans="2:9" x14ac:dyDescent="0.25">
      <c r="B155" s="41"/>
      <c r="C155" s="84" t="s">
        <v>235</v>
      </c>
      <c r="D155" s="84" t="s">
        <v>1003</v>
      </c>
      <c r="E155" s="84" t="s">
        <v>823</v>
      </c>
      <c r="F155" s="89" t="s">
        <v>22</v>
      </c>
      <c r="G155" s="84" t="s">
        <v>824</v>
      </c>
      <c r="H155" s="84" t="s">
        <v>825</v>
      </c>
      <c r="I155" s="85"/>
    </row>
    <row r="156" spans="2:9" x14ac:dyDescent="0.25">
      <c r="B156" s="41"/>
      <c r="C156" s="84" t="s">
        <v>237</v>
      </c>
      <c r="D156" s="84" t="s">
        <v>1004</v>
      </c>
      <c r="E156" s="84" t="s">
        <v>823</v>
      </c>
      <c r="F156" s="89" t="s">
        <v>22</v>
      </c>
      <c r="G156" s="84" t="s">
        <v>824</v>
      </c>
      <c r="H156" s="84" t="s">
        <v>825</v>
      </c>
      <c r="I156" s="85"/>
    </row>
    <row r="157" spans="2:9" x14ac:dyDescent="0.25">
      <c r="B157" s="41"/>
      <c r="C157" s="84" t="s">
        <v>239</v>
      </c>
      <c r="D157" s="84" t="s">
        <v>1730</v>
      </c>
      <c r="E157" s="84" t="s">
        <v>823</v>
      </c>
      <c r="F157" s="89" t="s">
        <v>22</v>
      </c>
      <c r="G157" s="84" t="s">
        <v>824</v>
      </c>
      <c r="H157" s="84" t="s">
        <v>825</v>
      </c>
      <c r="I157" s="85"/>
    </row>
    <row r="158" spans="2:9" x14ac:dyDescent="0.25">
      <c r="B158" s="41"/>
      <c r="C158" s="84" t="s">
        <v>240</v>
      </c>
      <c r="D158" s="84" t="s">
        <v>1005</v>
      </c>
      <c r="E158" s="84" t="s">
        <v>823</v>
      </c>
      <c r="F158" s="89" t="s">
        <v>22</v>
      </c>
      <c r="G158" s="84" t="s">
        <v>824</v>
      </c>
      <c r="H158" s="84" t="s">
        <v>825</v>
      </c>
      <c r="I158" s="85"/>
    </row>
    <row r="159" spans="2:9" x14ac:dyDescent="0.25">
      <c r="B159" s="41"/>
      <c r="C159" s="84" t="s">
        <v>241</v>
      </c>
      <c r="D159" s="84" t="s">
        <v>1006</v>
      </c>
      <c r="E159" s="84" t="s">
        <v>823</v>
      </c>
      <c r="F159" s="89" t="s">
        <v>22</v>
      </c>
      <c r="G159" s="84" t="s">
        <v>824</v>
      </c>
      <c r="H159" s="84" t="s">
        <v>825</v>
      </c>
      <c r="I159" s="85"/>
    </row>
    <row r="160" spans="2:9" x14ac:dyDescent="0.25">
      <c r="B160" s="41"/>
      <c r="C160" s="84" t="s">
        <v>242</v>
      </c>
      <c r="D160" s="84" t="s">
        <v>1007</v>
      </c>
      <c r="E160" s="84" t="s">
        <v>823</v>
      </c>
      <c r="F160" s="89" t="s">
        <v>22</v>
      </c>
      <c r="G160" s="84" t="s">
        <v>824</v>
      </c>
      <c r="H160" s="84" t="s">
        <v>825</v>
      </c>
      <c r="I160" s="85"/>
    </row>
    <row r="161" spans="2:9" x14ac:dyDescent="0.25">
      <c r="B161" s="41"/>
      <c r="C161" s="84" t="s">
        <v>244</v>
      </c>
      <c r="D161" s="84" t="s">
        <v>1008</v>
      </c>
      <c r="E161" s="84" t="s">
        <v>823</v>
      </c>
      <c r="F161" s="89" t="s">
        <v>22</v>
      </c>
      <c r="G161" s="84" t="s">
        <v>824</v>
      </c>
      <c r="H161" s="84" t="s">
        <v>825</v>
      </c>
      <c r="I161" s="85"/>
    </row>
    <row r="162" spans="2:9" x14ac:dyDescent="0.25">
      <c r="B162" s="41"/>
      <c r="C162" s="84" t="s">
        <v>246</v>
      </c>
      <c r="D162" s="84" t="s">
        <v>1009</v>
      </c>
      <c r="E162" s="84" t="s">
        <v>823</v>
      </c>
      <c r="F162" s="89" t="s">
        <v>22</v>
      </c>
      <c r="G162" s="84" t="s">
        <v>824</v>
      </c>
      <c r="H162" s="84" t="s">
        <v>825</v>
      </c>
      <c r="I162" s="85"/>
    </row>
    <row r="163" spans="2:9" x14ac:dyDescent="0.25">
      <c r="B163" s="41"/>
      <c r="C163" s="84" t="s">
        <v>247</v>
      </c>
      <c r="D163" s="84" t="s">
        <v>1012</v>
      </c>
      <c r="E163" s="84" t="s">
        <v>823</v>
      </c>
      <c r="F163" s="89" t="s">
        <v>22</v>
      </c>
      <c r="G163" s="84" t="s">
        <v>824</v>
      </c>
      <c r="H163" s="84" t="s">
        <v>825</v>
      </c>
      <c r="I163" s="85"/>
    </row>
    <row r="164" spans="2:9" x14ac:dyDescent="0.25">
      <c r="B164" s="41"/>
      <c r="C164" s="84" t="s">
        <v>248</v>
      </c>
      <c r="D164" s="84" t="s">
        <v>1013</v>
      </c>
      <c r="E164" s="84" t="s">
        <v>823</v>
      </c>
      <c r="F164" s="89" t="s">
        <v>22</v>
      </c>
      <c r="G164" s="84" t="s">
        <v>824</v>
      </c>
      <c r="H164" s="84" t="s">
        <v>825</v>
      </c>
      <c r="I164" s="85"/>
    </row>
    <row r="165" spans="2:9" x14ac:dyDescent="0.25">
      <c r="B165" s="41"/>
      <c r="C165" s="84" t="s">
        <v>249</v>
      </c>
      <c r="D165" s="84" t="s">
        <v>1014</v>
      </c>
      <c r="E165" s="84" t="s">
        <v>823</v>
      </c>
      <c r="F165" s="89" t="s">
        <v>22</v>
      </c>
      <c r="G165" s="84" t="s">
        <v>824</v>
      </c>
      <c r="H165" s="84" t="s">
        <v>825</v>
      </c>
      <c r="I165" s="85"/>
    </row>
    <row r="166" spans="2:9" x14ac:dyDescent="0.25">
      <c r="B166" s="41"/>
      <c r="C166" s="84" t="s">
        <v>251</v>
      </c>
      <c r="D166" s="84" t="s">
        <v>1015</v>
      </c>
      <c r="E166" s="84" t="s">
        <v>831</v>
      </c>
      <c r="F166" s="89" t="s">
        <v>22</v>
      </c>
      <c r="G166" s="84" t="s">
        <v>824</v>
      </c>
      <c r="H166" s="84" t="s">
        <v>825</v>
      </c>
      <c r="I166" s="85"/>
    </row>
    <row r="167" spans="2:9" x14ac:dyDescent="0.25">
      <c r="B167" s="41"/>
      <c r="C167" s="84" t="s">
        <v>252</v>
      </c>
      <c r="D167" s="84" t="s">
        <v>1016</v>
      </c>
      <c r="E167" s="84" t="s">
        <v>823</v>
      </c>
      <c r="F167" s="90" t="s">
        <v>36</v>
      </c>
      <c r="G167" s="84" t="s">
        <v>824</v>
      </c>
      <c r="H167" s="84" t="s">
        <v>825</v>
      </c>
      <c r="I167" s="85"/>
    </row>
    <row r="168" spans="2:9" x14ac:dyDescent="0.25">
      <c r="B168" s="41"/>
      <c r="C168" s="84" t="s">
        <v>253</v>
      </c>
      <c r="D168" s="84" t="s">
        <v>1017</v>
      </c>
      <c r="E168" s="84" t="s">
        <v>831</v>
      </c>
      <c r="F168" s="90" t="s">
        <v>36</v>
      </c>
      <c r="G168" s="84" t="s">
        <v>824</v>
      </c>
      <c r="H168" s="84" t="s">
        <v>825</v>
      </c>
      <c r="I168" s="85"/>
    </row>
    <row r="169" spans="2:9" x14ac:dyDescent="0.25">
      <c r="B169" s="41"/>
      <c r="C169" s="84" t="s">
        <v>254</v>
      </c>
      <c r="D169" s="84" t="s">
        <v>1018</v>
      </c>
      <c r="E169" s="84" t="s">
        <v>823</v>
      </c>
      <c r="F169" s="89" t="s">
        <v>22</v>
      </c>
      <c r="G169" s="84" t="s">
        <v>824</v>
      </c>
      <c r="H169" s="84" t="s">
        <v>825</v>
      </c>
      <c r="I169" s="85"/>
    </row>
    <row r="170" spans="2:9" x14ac:dyDescent="0.25">
      <c r="B170" s="41"/>
      <c r="C170" s="84" t="s">
        <v>255</v>
      </c>
      <c r="D170" s="84" t="s">
        <v>1019</v>
      </c>
      <c r="E170" s="84" t="s">
        <v>823</v>
      </c>
      <c r="F170" s="90" t="s">
        <v>36</v>
      </c>
      <c r="G170" s="84" t="s">
        <v>824</v>
      </c>
      <c r="H170" s="84" t="s">
        <v>825</v>
      </c>
      <c r="I170" s="85"/>
    </row>
    <row r="171" spans="2:9" x14ac:dyDescent="0.25">
      <c r="B171" s="41"/>
      <c r="C171" s="84" t="s">
        <v>1020</v>
      </c>
      <c r="D171" s="84" t="s">
        <v>1021</v>
      </c>
      <c r="E171" s="84" t="s">
        <v>823</v>
      </c>
      <c r="F171" s="89" t="s">
        <v>22</v>
      </c>
      <c r="G171" s="84" t="s">
        <v>824</v>
      </c>
      <c r="H171" s="84" t="s">
        <v>825</v>
      </c>
      <c r="I171" s="85"/>
    </row>
    <row r="172" spans="2:9" x14ac:dyDescent="0.25">
      <c r="B172" s="41"/>
      <c r="C172" s="84" t="s">
        <v>256</v>
      </c>
      <c r="D172" s="84" t="s">
        <v>1022</v>
      </c>
      <c r="E172" s="84" t="s">
        <v>823</v>
      </c>
      <c r="F172" s="89" t="s">
        <v>22</v>
      </c>
      <c r="G172" s="84" t="s">
        <v>824</v>
      </c>
      <c r="H172" s="84" t="s">
        <v>825</v>
      </c>
      <c r="I172" s="85"/>
    </row>
    <row r="173" spans="2:9" x14ac:dyDescent="0.25">
      <c r="B173" s="41"/>
      <c r="C173" s="84" t="s">
        <v>257</v>
      </c>
      <c r="D173" s="84" t="s">
        <v>1023</v>
      </c>
      <c r="E173" s="84" t="s">
        <v>823</v>
      </c>
      <c r="F173" s="89" t="s">
        <v>22</v>
      </c>
      <c r="G173" s="84" t="s">
        <v>824</v>
      </c>
      <c r="H173" s="84" t="s">
        <v>825</v>
      </c>
      <c r="I173" s="85"/>
    </row>
    <row r="174" spans="2:9" x14ac:dyDescent="0.25">
      <c r="B174" s="41"/>
      <c r="C174" s="84" t="s">
        <v>259</v>
      </c>
      <c r="D174" s="84" t="s">
        <v>1024</v>
      </c>
      <c r="E174" s="84" t="s">
        <v>823</v>
      </c>
      <c r="F174" s="89" t="s">
        <v>22</v>
      </c>
      <c r="G174" s="84" t="s">
        <v>824</v>
      </c>
      <c r="H174" s="84" t="s">
        <v>825</v>
      </c>
      <c r="I174" s="85"/>
    </row>
    <row r="175" spans="2:9" x14ac:dyDescent="0.25">
      <c r="B175" s="41"/>
      <c r="C175" s="84" t="s">
        <v>260</v>
      </c>
      <c r="D175" s="84" t="s">
        <v>1025</v>
      </c>
      <c r="E175" s="84" t="s">
        <v>823</v>
      </c>
      <c r="F175" s="89" t="s">
        <v>22</v>
      </c>
      <c r="G175" s="84" t="s">
        <v>824</v>
      </c>
      <c r="H175" s="84" t="s">
        <v>825</v>
      </c>
      <c r="I175" s="85"/>
    </row>
    <row r="176" spans="2:9" x14ac:dyDescent="0.25">
      <c r="B176" s="41"/>
      <c r="C176" s="84" t="s">
        <v>261</v>
      </c>
      <c r="D176" s="84" t="s">
        <v>1026</v>
      </c>
      <c r="E176" s="84" t="s">
        <v>823</v>
      </c>
      <c r="F176" s="89" t="s">
        <v>22</v>
      </c>
      <c r="G176" s="84" t="s">
        <v>824</v>
      </c>
      <c r="H176" s="84" t="s">
        <v>825</v>
      </c>
      <c r="I176" s="85"/>
    </row>
    <row r="177" spans="2:9" x14ac:dyDescent="0.25">
      <c r="B177" s="41"/>
      <c r="C177" s="84" t="s">
        <v>262</v>
      </c>
      <c r="D177" s="84" t="s">
        <v>1027</v>
      </c>
      <c r="E177" s="84" t="s">
        <v>823</v>
      </c>
      <c r="F177" s="94" t="s">
        <v>263</v>
      </c>
      <c r="G177" s="84" t="s">
        <v>824</v>
      </c>
      <c r="H177" s="84" t="s">
        <v>825</v>
      </c>
      <c r="I177" s="85"/>
    </row>
    <row r="178" spans="2:9" x14ac:dyDescent="0.25">
      <c r="B178" s="41"/>
      <c r="C178" s="84" t="s">
        <v>162</v>
      </c>
      <c r="D178" s="84" t="s">
        <v>1028</v>
      </c>
      <c r="E178" s="84" t="s">
        <v>831</v>
      </c>
      <c r="F178" s="93" t="s">
        <v>222</v>
      </c>
      <c r="G178" s="84" t="s">
        <v>825</v>
      </c>
      <c r="H178" s="84" t="s">
        <v>825</v>
      </c>
      <c r="I178" s="85"/>
    </row>
    <row r="179" spans="2:9" x14ac:dyDescent="0.25">
      <c r="B179" s="41"/>
      <c r="C179" s="84" t="s">
        <v>264</v>
      </c>
      <c r="D179" s="84" t="s">
        <v>1029</v>
      </c>
      <c r="E179" s="84" t="s">
        <v>823</v>
      </c>
      <c r="F179" s="91" t="s">
        <v>47</v>
      </c>
      <c r="G179" s="84" t="s">
        <v>824</v>
      </c>
      <c r="H179" s="84" t="s">
        <v>825</v>
      </c>
      <c r="I179" s="85"/>
    </row>
    <row r="180" spans="2:9" x14ac:dyDescent="0.25">
      <c r="B180" s="41"/>
      <c r="C180" s="84" t="s">
        <v>265</v>
      </c>
      <c r="D180" s="84" t="s">
        <v>1030</v>
      </c>
      <c r="E180" s="84" t="s">
        <v>831</v>
      </c>
      <c r="F180" s="90" t="s">
        <v>36</v>
      </c>
      <c r="G180" s="84" t="s">
        <v>824</v>
      </c>
      <c r="H180" s="84" t="s">
        <v>825</v>
      </c>
      <c r="I180" s="85"/>
    </row>
    <row r="181" spans="2:9" x14ac:dyDescent="0.25">
      <c r="B181" s="41"/>
      <c r="C181" s="84" t="s">
        <v>266</v>
      </c>
      <c r="D181" s="84" t="s">
        <v>1033</v>
      </c>
      <c r="E181" s="84" t="s">
        <v>823</v>
      </c>
      <c r="F181" s="89" t="s">
        <v>22</v>
      </c>
      <c r="G181" s="84" t="s">
        <v>824</v>
      </c>
      <c r="H181" s="84" t="s">
        <v>825</v>
      </c>
      <c r="I181" s="85"/>
    </row>
    <row r="182" spans="2:9" x14ac:dyDescent="0.25">
      <c r="B182" s="41"/>
      <c r="C182" s="84" t="s">
        <v>1034</v>
      </c>
      <c r="D182" s="84" t="s">
        <v>1035</v>
      </c>
      <c r="E182" s="84" t="s">
        <v>823</v>
      </c>
      <c r="F182" s="89" t="s">
        <v>22</v>
      </c>
      <c r="G182" s="84" t="s">
        <v>824</v>
      </c>
      <c r="H182" s="84" t="s">
        <v>825</v>
      </c>
      <c r="I182" s="85"/>
    </row>
    <row r="183" spans="2:9" x14ac:dyDescent="0.25">
      <c r="B183" s="41"/>
      <c r="C183" s="84" t="s">
        <v>268</v>
      </c>
      <c r="D183" s="84" t="s">
        <v>1036</v>
      </c>
      <c r="E183" s="84" t="s">
        <v>823</v>
      </c>
      <c r="F183" s="89" t="s">
        <v>22</v>
      </c>
      <c r="G183" s="84" t="s">
        <v>824</v>
      </c>
      <c r="H183" s="84" t="s">
        <v>825</v>
      </c>
      <c r="I183" s="85"/>
    </row>
    <row r="184" spans="2:9" x14ac:dyDescent="0.25">
      <c r="B184" s="41"/>
      <c r="C184" s="84" t="s">
        <v>269</v>
      </c>
      <c r="D184" s="84" t="s">
        <v>1037</v>
      </c>
      <c r="E184" s="84" t="s">
        <v>823</v>
      </c>
      <c r="F184" s="91" t="s">
        <v>47</v>
      </c>
      <c r="G184" s="84" t="s">
        <v>824</v>
      </c>
      <c r="H184" s="84" t="s">
        <v>825</v>
      </c>
      <c r="I184" s="85"/>
    </row>
    <row r="185" spans="2:9" x14ac:dyDescent="0.25">
      <c r="B185" s="41"/>
      <c r="C185" s="84" t="s">
        <v>270</v>
      </c>
      <c r="D185" s="84" t="s">
        <v>1038</v>
      </c>
      <c r="E185" s="84" t="s">
        <v>823</v>
      </c>
      <c r="F185" s="89" t="s">
        <v>22</v>
      </c>
      <c r="G185" s="84" t="s">
        <v>824</v>
      </c>
      <c r="H185" s="84" t="s">
        <v>825</v>
      </c>
      <c r="I185" s="85"/>
    </row>
    <row r="186" spans="2:9" x14ac:dyDescent="0.25">
      <c r="B186" s="41"/>
      <c r="C186" s="84" t="s">
        <v>271</v>
      </c>
      <c r="D186" s="84" t="s">
        <v>1039</v>
      </c>
      <c r="E186" s="84" t="s">
        <v>823</v>
      </c>
      <c r="F186" s="89" t="s">
        <v>22</v>
      </c>
      <c r="G186" s="84" t="s">
        <v>824</v>
      </c>
      <c r="H186" s="84" t="s">
        <v>825</v>
      </c>
      <c r="I186" s="85"/>
    </row>
    <row r="187" spans="2:9" x14ac:dyDescent="0.25">
      <c r="B187" s="41"/>
      <c r="C187" s="84" t="s">
        <v>272</v>
      </c>
      <c r="D187" s="84" t="s">
        <v>1040</v>
      </c>
      <c r="E187" s="84" t="s">
        <v>823</v>
      </c>
      <c r="F187" s="89" t="s">
        <v>22</v>
      </c>
      <c r="G187" s="84" t="s">
        <v>824</v>
      </c>
      <c r="H187" s="84" t="s">
        <v>825</v>
      </c>
      <c r="I187" s="85"/>
    </row>
    <row r="188" spans="2:9" x14ac:dyDescent="0.25">
      <c r="B188" s="41"/>
      <c r="C188" s="84" t="s">
        <v>1731</v>
      </c>
      <c r="D188" s="84" t="s">
        <v>1732</v>
      </c>
      <c r="E188" s="84" t="s">
        <v>872</v>
      </c>
      <c r="F188" s="90" t="s">
        <v>36</v>
      </c>
      <c r="G188" s="84" t="s">
        <v>824</v>
      </c>
      <c r="H188" s="84" t="s">
        <v>861</v>
      </c>
      <c r="I188" s="85"/>
    </row>
    <row r="189" spans="2:9" x14ac:dyDescent="0.25">
      <c r="B189" s="41"/>
      <c r="C189" s="84" t="s">
        <v>273</v>
      </c>
      <c r="D189" s="84" t="s">
        <v>1041</v>
      </c>
      <c r="E189" s="84" t="s">
        <v>823</v>
      </c>
      <c r="F189" s="91" t="s">
        <v>47</v>
      </c>
      <c r="G189" s="84" t="s">
        <v>824</v>
      </c>
      <c r="H189" s="84" t="s">
        <v>825</v>
      </c>
      <c r="I189" s="85"/>
    </row>
    <row r="190" spans="2:9" x14ac:dyDescent="0.25">
      <c r="B190" s="41"/>
      <c r="C190" s="84" t="s">
        <v>274</v>
      </c>
      <c r="D190" s="84" t="s">
        <v>1042</v>
      </c>
      <c r="E190" s="84" t="s">
        <v>823</v>
      </c>
      <c r="F190" s="89" t="s">
        <v>22</v>
      </c>
      <c r="G190" s="84" t="s">
        <v>824</v>
      </c>
      <c r="H190" s="84" t="s">
        <v>825</v>
      </c>
      <c r="I190" s="85"/>
    </row>
    <row r="191" spans="2:9" x14ac:dyDescent="0.25">
      <c r="B191" s="41"/>
      <c r="C191" s="84" t="s">
        <v>276</v>
      </c>
      <c r="D191" s="84" t="s">
        <v>1043</v>
      </c>
      <c r="E191" s="84" t="s">
        <v>823</v>
      </c>
      <c r="F191" s="89" t="s">
        <v>22</v>
      </c>
      <c r="G191" s="84" t="s">
        <v>824</v>
      </c>
      <c r="H191" s="84" t="s">
        <v>825</v>
      </c>
      <c r="I191" s="85"/>
    </row>
    <row r="192" spans="2:9" x14ac:dyDescent="0.25">
      <c r="B192" s="41"/>
      <c r="C192" s="84" t="s">
        <v>1044</v>
      </c>
      <c r="D192" s="84" t="s">
        <v>1045</v>
      </c>
      <c r="E192" s="84" t="s">
        <v>823</v>
      </c>
      <c r="F192" s="89" t="s">
        <v>22</v>
      </c>
      <c r="G192" s="84" t="s">
        <v>824</v>
      </c>
      <c r="H192" s="84" t="s">
        <v>825</v>
      </c>
      <c r="I192" s="85"/>
    </row>
    <row r="193" spans="2:9" x14ac:dyDescent="0.25">
      <c r="B193" s="41"/>
      <c r="C193" s="84" t="s">
        <v>277</v>
      </c>
      <c r="D193" s="84" t="s">
        <v>1046</v>
      </c>
      <c r="E193" s="84" t="s">
        <v>823</v>
      </c>
      <c r="F193" s="91" t="s">
        <v>47</v>
      </c>
      <c r="G193" s="84" t="s">
        <v>824</v>
      </c>
      <c r="H193" s="84" t="s">
        <v>825</v>
      </c>
      <c r="I193" s="85"/>
    </row>
    <row r="194" spans="2:9" x14ac:dyDescent="0.25">
      <c r="B194" s="41"/>
      <c r="C194" s="84" t="s">
        <v>278</v>
      </c>
      <c r="D194" s="84" t="s">
        <v>1047</v>
      </c>
      <c r="E194" s="84" t="s">
        <v>823</v>
      </c>
      <c r="F194" s="89" t="s">
        <v>22</v>
      </c>
      <c r="G194" s="84" t="s">
        <v>824</v>
      </c>
      <c r="H194" s="84" t="s">
        <v>825</v>
      </c>
      <c r="I194" s="85"/>
    </row>
    <row r="195" spans="2:9" x14ac:dyDescent="0.25">
      <c r="B195" s="41"/>
      <c r="C195" s="84" t="s">
        <v>279</v>
      </c>
      <c r="D195" s="84" t="s">
        <v>1048</v>
      </c>
      <c r="E195" s="84" t="s">
        <v>823</v>
      </c>
      <c r="F195" s="89" t="s">
        <v>22</v>
      </c>
      <c r="G195" s="84" t="s">
        <v>824</v>
      </c>
      <c r="H195" s="84" t="s">
        <v>825</v>
      </c>
      <c r="I195" s="85"/>
    </row>
    <row r="196" spans="2:9" x14ac:dyDescent="0.25">
      <c r="B196" s="41"/>
      <c r="C196" s="84" t="s">
        <v>281</v>
      </c>
      <c r="D196" s="84" t="s">
        <v>1049</v>
      </c>
      <c r="E196" s="84" t="s">
        <v>823</v>
      </c>
      <c r="F196" s="89" t="s">
        <v>22</v>
      </c>
      <c r="G196" s="84" t="s">
        <v>824</v>
      </c>
      <c r="H196" s="84" t="s">
        <v>825</v>
      </c>
      <c r="I196" s="85"/>
    </row>
    <row r="197" spans="2:9" x14ac:dyDescent="0.25">
      <c r="B197" s="41"/>
      <c r="C197" s="84" t="s">
        <v>1050</v>
      </c>
      <c r="D197" s="84" t="s">
        <v>1051</v>
      </c>
      <c r="E197" s="84" t="s">
        <v>823</v>
      </c>
      <c r="F197" s="90" t="s">
        <v>36</v>
      </c>
      <c r="G197" s="84" t="s">
        <v>824</v>
      </c>
      <c r="H197" s="84" t="s">
        <v>825</v>
      </c>
      <c r="I197" s="85"/>
    </row>
    <row r="198" spans="2:9" x14ac:dyDescent="0.25">
      <c r="B198" s="41"/>
      <c r="C198" s="84" t="s">
        <v>282</v>
      </c>
      <c r="D198" s="84" t="s">
        <v>1052</v>
      </c>
      <c r="E198" s="84" t="s">
        <v>823</v>
      </c>
      <c r="F198" s="89" t="s">
        <v>22</v>
      </c>
      <c r="G198" s="84" t="s">
        <v>824</v>
      </c>
      <c r="H198" s="84" t="s">
        <v>825</v>
      </c>
      <c r="I198" s="85"/>
    </row>
    <row r="199" spans="2:9" x14ac:dyDescent="0.25">
      <c r="B199" s="41"/>
      <c r="C199" s="84" t="s">
        <v>1053</v>
      </c>
      <c r="D199" s="84" t="s">
        <v>1054</v>
      </c>
      <c r="E199" s="84" t="s">
        <v>823</v>
      </c>
      <c r="F199" s="94" t="s">
        <v>263</v>
      </c>
      <c r="G199" s="84" t="s">
        <v>824</v>
      </c>
      <c r="H199" s="84" t="s">
        <v>825</v>
      </c>
      <c r="I199" s="85"/>
    </row>
    <row r="200" spans="2:9" x14ac:dyDescent="0.25">
      <c r="B200" s="42"/>
      <c r="C200" s="86" t="s">
        <v>283</v>
      </c>
      <c r="D200" s="86" t="s">
        <v>1055</v>
      </c>
      <c r="E200" s="86" t="s">
        <v>823</v>
      </c>
      <c r="F200" s="92" t="s">
        <v>22</v>
      </c>
      <c r="G200" s="86" t="s">
        <v>824</v>
      </c>
      <c r="H200" s="86" t="s">
        <v>825</v>
      </c>
      <c r="I200" s="87"/>
    </row>
    <row r="201" spans="2:9" x14ac:dyDescent="0.25">
      <c r="B201" s="41"/>
      <c r="C201" s="84" t="s">
        <v>285</v>
      </c>
      <c r="D201" s="84" t="s">
        <v>1056</v>
      </c>
      <c r="E201" s="84" t="s">
        <v>823</v>
      </c>
      <c r="F201" s="90" t="s">
        <v>36</v>
      </c>
      <c r="G201" s="84" t="s">
        <v>824</v>
      </c>
      <c r="H201" s="84" t="s">
        <v>825</v>
      </c>
      <c r="I201" s="85"/>
    </row>
    <row r="202" spans="2:9" x14ac:dyDescent="0.25">
      <c r="B202" s="41"/>
      <c r="C202" s="84" t="s">
        <v>286</v>
      </c>
      <c r="D202" s="84" t="s">
        <v>1057</v>
      </c>
      <c r="E202" s="84" t="s">
        <v>823</v>
      </c>
      <c r="F202" s="91" t="s">
        <v>47</v>
      </c>
      <c r="G202" s="84" t="s">
        <v>824</v>
      </c>
      <c r="H202" s="84" t="s">
        <v>825</v>
      </c>
      <c r="I202" s="85"/>
    </row>
    <row r="203" spans="2:9" x14ac:dyDescent="0.25">
      <c r="B203" s="41"/>
      <c r="C203" s="84" t="s">
        <v>1058</v>
      </c>
      <c r="D203" s="84" t="s">
        <v>1059</v>
      </c>
      <c r="E203" s="84" t="s">
        <v>823</v>
      </c>
      <c r="F203" s="89" t="s">
        <v>22</v>
      </c>
      <c r="G203" s="84" t="s">
        <v>824</v>
      </c>
      <c r="H203" s="84" t="s">
        <v>825</v>
      </c>
      <c r="I203" s="85"/>
    </row>
    <row r="204" spans="2:9" x14ac:dyDescent="0.25">
      <c r="B204" s="41"/>
      <c r="C204" s="84" t="s">
        <v>287</v>
      </c>
      <c r="D204" s="84" t="s">
        <v>1060</v>
      </c>
      <c r="E204" s="84" t="s">
        <v>823</v>
      </c>
      <c r="F204" s="89" t="s">
        <v>22</v>
      </c>
      <c r="G204" s="84" t="s">
        <v>824</v>
      </c>
      <c r="H204" s="84" t="s">
        <v>825</v>
      </c>
      <c r="I204" s="85"/>
    </row>
    <row r="205" spans="2:9" x14ac:dyDescent="0.25">
      <c r="B205" s="41"/>
      <c r="C205" s="84" t="s">
        <v>288</v>
      </c>
      <c r="D205" s="84" t="s">
        <v>1061</v>
      </c>
      <c r="E205" s="84" t="s">
        <v>831</v>
      </c>
      <c r="F205" s="90" t="s">
        <v>36</v>
      </c>
      <c r="G205" s="84" t="s">
        <v>824</v>
      </c>
      <c r="H205" s="84" t="s">
        <v>825</v>
      </c>
      <c r="I205" s="85"/>
    </row>
    <row r="206" spans="2:9" x14ac:dyDescent="0.25">
      <c r="B206" s="41"/>
      <c r="C206" s="84" t="s">
        <v>289</v>
      </c>
      <c r="D206" s="84" t="s">
        <v>1062</v>
      </c>
      <c r="E206" s="84" t="s">
        <v>823</v>
      </c>
      <c r="F206" s="89" t="s">
        <v>22</v>
      </c>
      <c r="G206" s="84" t="s">
        <v>824</v>
      </c>
      <c r="H206" s="84" t="s">
        <v>825</v>
      </c>
      <c r="I206" s="85"/>
    </row>
    <row r="207" spans="2:9" x14ac:dyDescent="0.25">
      <c r="B207" s="41"/>
      <c r="C207" s="84" t="s">
        <v>1063</v>
      </c>
      <c r="D207" s="84" t="s">
        <v>1064</v>
      </c>
      <c r="E207" s="84" t="s">
        <v>823</v>
      </c>
      <c r="F207" s="89" t="s">
        <v>22</v>
      </c>
      <c r="G207" s="84" t="s">
        <v>824</v>
      </c>
      <c r="H207" s="84" t="s">
        <v>825</v>
      </c>
      <c r="I207" s="85"/>
    </row>
    <row r="208" spans="2:9" x14ac:dyDescent="0.25">
      <c r="B208" s="41"/>
      <c r="C208" s="84" t="s">
        <v>291</v>
      </c>
      <c r="D208" s="84" t="s">
        <v>1065</v>
      </c>
      <c r="E208" s="84" t="s">
        <v>831</v>
      </c>
      <c r="F208" s="90" t="s">
        <v>36</v>
      </c>
      <c r="G208" s="84" t="s">
        <v>824</v>
      </c>
      <c r="H208" s="84" t="s">
        <v>1066</v>
      </c>
      <c r="I208" s="85"/>
    </row>
    <row r="209" spans="2:9" x14ac:dyDescent="0.25">
      <c r="B209" s="41"/>
      <c r="C209" s="84" t="s">
        <v>1067</v>
      </c>
      <c r="D209" s="84" t="s">
        <v>1068</v>
      </c>
      <c r="E209" s="84" t="s">
        <v>823</v>
      </c>
      <c r="F209" s="93" t="s">
        <v>222</v>
      </c>
      <c r="G209" s="84" t="s">
        <v>825</v>
      </c>
      <c r="H209" s="84" t="s">
        <v>825</v>
      </c>
      <c r="I209" s="85"/>
    </row>
    <row r="210" spans="2:9" x14ac:dyDescent="0.25">
      <c r="B210" s="41"/>
      <c r="C210" s="84" t="s">
        <v>292</v>
      </c>
      <c r="D210" s="84" t="s">
        <v>1069</v>
      </c>
      <c r="E210" s="84" t="s">
        <v>823</v>
      </c>
      <c r="F210" s="89" t="s">
        <v>22</v>
      </c>
      <c r="G210" s="84" t="s">
        <v>824</v>
      </c>
      <c r="H210" s="84" t="s">
        <v>825</v>
      </c>
      <c r="I210" s="85"/>
    </row>
    <row r="211" spans="2:9" x14ac:dyDescent="0.25">
      <c r="B211" s="41"/>
      <c r="C211" s="84" t="s">
        <v>293</v>
      </c>
      <c r="D211" s="84" t="s">
        <v>1070</v>
      </c>
      <c r="E211" s="84" t="s">
        <v>823</v>
      </c>
      <c r="F211" s="89" t="s">
        <v>22</v>
      </c>
      <c r="G211" s="84" t="s">
        <v>824</v>
      </c>
      <c r="H211" s="84" t="s">
        <v>825</v>
      </c>
      <c r="I211" s="85"/>
    </row>
    <row r="212" spans="2:9" x14ac:dyDescent="0.25">
      <c r="B212" s="41"/>
      <c r="C212" s="84" t="s">
        <v>294</v>
      </c>
      <c r="D212" s="84" t="s">
        <v>1071</v>
      </c>
      <c r="E212" s="84" t="s">
        <v>823</v>
      </c>
      <c r="F212" s="89" t="s">
        <v>22</v>
      </c>
      <c r="G212" s="84" t="s">
        <v>824</v>
      </c>
      <c r="H212" s="84" t="s">
        <v>825</v>
      </c>
      <c r="I212" s="85"/>
    </row>
    <row r="213" spans="2:9" x14ac:dyDescent="0.25">
      <c r="B213" s="41"/>
      <c r="C213" s="84" t="s">
        <v>296</v>
      </c>
      <c r="D213" s="84" t="s">
        <v>1072</v>
      </c>
      <c r="E213" s="84" t="s">
        <v>823</v>
      </c>
      <c r="F213" s="89" t="s">
        <v>22</v>
      </c>
      <c r="G213" s="84" t="s">
        <v>824</v>
      </c>
      <c r="H213" s="84" t="s">
        <v>825</v>
      </c>
      <c r="I213" s="85"/>
    </row>
    <row r="214" spans="2:9" x14ac:dyDescent="0.25">
      <c r="B214" s="41"/>
      <c r="C214" s="84" t="s">
        <v>297</v>
      </c>
      <c r="D214" s="84" t="s">
        <v>1073</v>
      </c>
      <c r="E214" s="84" t="s">
        <v>823</v>
      </c>
      <c r="F214" s="90" t="s">
        <v>36</v>
      </c>
      <c r="G214" s="84" t="s">
        <v>824</v>
      </c>
      <c r="H214" s="84" t="s">
        <v>825</v>
      </c>
      <c r="I214" s="85"/>
    </row>
    <row r="215" spans="2:9" x14ac:dyDescent="0.25">
      <c r="B215" s="41"/>
      <c r="C215" s="84" t="s">
        <v>298</v>
      </c>
      <c r="D215" s="84" t="s">
        <v>1733</v>
      </c>
      <c r="E215" s="84" t="s">
        <v>823</v>
      </c>
      <c r="F215" s="93" t="s">
        <v>222</v>
      </c>
      <c r="G215" s="84" t="s">
        <v>825</v>
      </c>
      <c r="H215" s="84" t="s">
        <v>825</v>
      </c>
      <c r="I215" s="85"/>
    </row>
    <row r="216" spans="2:9" x14ac:dyDescent="0.25">
      <c r="B216" s="41"/>
      <c r="C216" s="84" t="s">
        <v>300</v>
      </c>
      <c r="D216" s="84" t="s">
        <v>1074</v>
      </c>
      <c r="E216" s="84" t="s">
        <v>823</v>
      </c>
      <c r="F216" s="89" t="s">
        <v>22</v>
      </c>
      <c r="G216" s="84" t="s">
        <v>824</v>
      </c>
      <c r="H216" s="84" t="s">
        <v>825</v>
      </c>
      <c r="I216" s="85"/>
    </row>
    <row r="217" spans="2:9" x14ac:dyDescent="0.25">
      <c r="B217" s="41"/>
      <c r="C217" s="84" t="s">
        <v>301</v>
      </c>
      <c r="D217" s="84" t="s">
        <v>1075</v>
      </c>
      <c r="E217" s="84" t="s">
        <v>823</v>
      </c>
      <c r="F217" s="90" t="s">
        <v>36</v>
      </c>
      <c r="G217" s="84" t="s">
        <v>824</v>
      </c>
      <c r="H217" s="84" t="s">
        <v>825</v>
      </c>
      <c r="I217" s="85"/>
    </row>
    <row r="218" spans="2:9" x14ac:dyDescent="0.25">
      <c r="B218" s="41"/>
      <c r="C218" s="84" t="s">
        <v>302</v>
      </c>
      <c r="D218" s="84" t="s">
        <v>1076</v>
      </c>
      <c r="E218" s="84" t="s">
        <v>823</v>
      </c>
      <c r="F218" s="89" t="s">
        <v>22</v>
      </c>
      <c r="G218" s="84" t="s">
        <v>824</v>
      </c>
      <c r="H218" s="84" t="s">
        <v>825</v>
      </c>
      <c r="I218" s="85"/>
    </row>
    <row r="219" spans="2:9" x14ac:dyDescent="0.25">
      <c r="B219" s="41"/>
      <c r="C219" s="84" t="s">
        <v>303</v>
      </c>
      <c r="D219" s="84" t="s">
        <v>1077</v>
      </c>
      <c r="E219" s="84" t="s">
        <v>823</v>
      </c>
      <c r="F219" s="89" t="s">
        <v>22</v>
      </c>
      <c r="G219" s="84" t="s">
        <v>824</v>
      </c>
      <c r="H219" s="84" t="s">
        <v>825</v>
      </c>
      <c r="I219" s="85"/>
    </row>
    <row r="220" spans="2:9" x14ac:dyDescent="0.25">
      <c r="B220" s="41"/>
      <c r="C220" s="84" t="s">
        <v>304</v>
      </c>
      <c r="D220" s="84" t="s">
        <v>1078</v>
      </c>
      <c r="E220" s="84" t="s">
        <v>823</v>
      </c>
      <c r="F220" s="89" t="s">
        <v>22</v>
      </c>
      <c r="G220" s="84" t="s">
        <v>824</v>
      </c>
      <c r="H220" s="84" t="s">
        <v>825</v>
      </c>
      <c r="I220" s="85"/>
    </row>
    <row r="221" spans="2:9" x14ac:dyDescent="0.25">
      <c r="B221" s="41"/>
      <c r="C221" s="84" t="s">
        <v>305</v>
      </c>
      <c r="D221" s="84" t="s">
        <v>1081</v>
      </c>
      <c r="E221" s="84" t="s">
        <v>823</v>
      </c>
      <c r="F221" s="90" t="s">
        <v>36</v>
      </c>
      <c r="G221" s="84" t="s">
        <v>824</v>
      </c>
      <c r="H221" s="84" t="s">
        <v>825</v>
      </c>
      <c r="I221" s="85"/>
    </row>
    <row r="222" spans="2:9" x14ac:dyDescent="0.25">
      <c r="B222" s="41"/>
      <c r="C222" s="84" t="s">
        <v>1082</v>
      </c>
      <c r="D222" s="84" t="s">
        <v>1083</v>
      </c>
      <c r="E222" s="84" t="s">
        <v>823</v>
      </c>
      <c r="F222" s="89" t="s">
        <v>22</v>
      </c>
      <c r="G222" s="84" t="s">
        <v>824</v>
      </c>
      <c r="H222" s="84" t="s">
        <v>825</v>
      </c>
      <c r="I222" s="85"/>
    </row>
    <row r="223" spans="2:9" x14ac:dyDescent="0.25">
      <c r="B223" s="41"/>
      <c r="C223" s="84" t="s">
        <v>306</v>
      </c>
      <c r="D223" s="84" t="s">
        <v>1084</v>
      </c>
      <c r="E223" s="84" t="s">
        <v>823</v>
      </c>
      <c r="F223" s="89" t="s">
        <v>22</v>
      </c>
      <c r="G223" s="84" t="s">
        <v>824</v>
      </c>
      <c r="H223" s="84" t="s">
        <v>825</v>
      </c>
      <c r="I223" s="85"/>
    </row>
    <row r="224" spans="2:9" x14ac:dyDescent="0.25">
      <c r="B224" s="41"/>
      <c r="C224" s="84" t="s">
        <v>307</v>
      </c>
      <c r="D224" s="84" t="s">
        <v>1085</v>
      </c>
      <c r="E224" s="84" t="s">
        <v>823</v>
      </c>
      <c r="F224" s="89" t="s">
        <v>22</v>
      </c>
      <c r="G224" s="84" t="s">
        <v>824</v>
      </c>
      <c r="H224" s="84" t="s">
        <v>825</v>
      </c>
      <c r="I224" s="85"/>
    </row>
    <row r="225" spans="2:9" x14ac:dyDescent="0.25">
      <c r="B225" s="41"/>
      <c r="C225" s="84" t="s">
        <v>308</v>
      </c>
      <c r="D225" s="84" t="s">
        <v>1086</v>
      </c>
      <c r="E225" s="84" t="s">
        <v>823</v>
      </c>
      <c r="F225" s="89" t="s">
        <v>22</v>
      </c>
      <c r="G225" s="84" t="s">
        <v>824</v>
      </c>
      <c r="H225" s="84" t="s">
        <v>825</v>
      </c>
      <c r="I225" s="85"/>
    </row>
    <row r="226" spans="2:9" x14ac:dyDescent="0.25">
      <c r="B226" s="41"/>
      <c r="C226" s="84" t="s">
        <v>310</v>
      </c>
      <c r="D226" s="84" t="s">
        <v>1087</v>
      </c>
      <c r="E226" s="84" t="s">
        <v>823</v>
      </c>
      <c r="F226" s="89" t="s">
        <v>22</v>
      </c>
      <c r="G226" s="84" t="s">
        <v>824</v>
      </c>
      <c r="H226" s="84" t="s">
        <v>825</v>
      </c>
      <c r="I226" s="85"/>
    </row>
    <row r="227" spans="2:9" x14ac:dyDescent="0.25">
      <c r="B227" s="41"/>
      <c r="C227" s="84" t="s">
        <v>311</v>
      </c>
      <c r="D227" s="84" t="s">
        <v>1734</v>
      </c>
      <c r="E227" s="84" t="s">
        <v>823</v>
      </c>
      <c r="F227" s="89" t="s">
        <v>22</v>
      </c>
      <c r="G227" s="84" t="s">
        <v>824</v>
      </c>
      <c r="H227" s="84" t="s">
        <v>825</v>
      </c>
      <c r="I227" s="85"/>
    </row>
    <row r="228" spans="2:9" x14ac:dyDescent="0.25">
      <c r="B228" s="41"/>
      <c r="C228" s="84" t="s">
        <v>312</v>
      </c>
      <c r="D228" s="84" t="s">
        <v>1735</v>
      </c>
      <c r="E228" s="84" t="s">
        <v>823</v>
      </c>
      <c r="F228" s="89" t="s">
        <v>22</v>
      </c>
      <c r="G228" s="84" t="s">
        <v>824</v>
      </c>
      <c r="H228" s="84" t="s">
        <v>825</v>
      </c>
      <c r="I228" s="85"/>
    </row>
    <row r="229" spans="2:9" x14ac:dyDescent="0.25">
      <c r="B229" s="41"/>
      <c r="C229" s="84" t="s">
        <v>313</v>
      </c>
      <c r="D229" s="84" t="s">
        <v>1089</v>
      </c>
      <c r="E229" s="84" t="s">
        <v>823</v>
      </c>
      <c r="F229" s="89" t="s">
        <v>22</v>
      </c>
      <c r="G229" s="84" t="s">
        <v>824</v>
      </c>
      <c r="H229" s="84" t="s">
        <v>825</v>
      </c>
      <c r="I229" s="85"/>
    </row>
    <row r="230" spans="2:9" x14ac:dyDescent="0.25">
      <c r="B230" s="41"/>
      <c r="C230" s="84" t="s">
        <v>314</v>
      </c>
      <c r="D230" s="84" t="s">
        <v>1090</v>
      </c>
      <c r="E230" s="84" t="s">
        <v>823</v>
      </c>
      <c r="F230" s="89" t="s">
        <v>22</v>
      </c>
      <c r="G230" s="84" t="s">
        <v>824</v>
      </c>
      <c r="H230" s="84" t="s">
        <v>825</v>
      </c>
      <c r="I230" s="85"/>
    </row>
    <row r="231" spans="2:9" x14ac:dyDescent="0.25">
      <c r="B231" s="41"/>
      <c r="C231" s="84" t="s">
        <v>316</v>
      </c>
      <c r="D231" s="84" t="s">
        <v>1091</v>
      </c>
      <c r="E231" s="84" t="s">
        <v>823</v>
      </c>
      <c r="F231" s="89" t="s">
        <v>22</v>
      </c>
      <c r="G231" s="84" t="s">
        <v>824</v>
      </c>
      <c r="H231" s="84" t="s">
        <v>825</v>
      </c>
      <c r="I231" s="85"/>
    </row>
    <row r="232" spans="2:9" x14ac:dyDescent="0.25">
      <c r="B232" s="41"/>
      <c r="C232" s="84" t="s">
        <v>318</v>
      </c>
      <c r="D232" s="84" t="s">
        <v>1092</v>
      </c>
      <c r="E232" s="84" t="s">
        <v>823</v>
      </c>
      <c r="F232" s="89" t="s">
        <v>22</v>
      </c>
      <c r="G232" s="84" t="s">
        <v>824</v>
      </c>
      <c r="H232" s="84" t="s">
        <v>825</v>
      </c>
      <c r="I232" s="85"/>
    </row>
    <row r="233" spans="2:9" x14ac:dyDescent="0.25">
      <c r="B233" s="41"/>
      <c r="C233" s="84" t="s">
        <v>325</v>
      </c>
      <c r="D233" s="84" t="s">
        <v>1093</v>
      </c>
      <c r="E233" s="84" t="s">
        <v>823</v>
      </c>
      <c r="F233" s="89" t="s">
        <v>22</v>
      </c>
      <c r="G233" s="84" t="s">
        <v>824</v>
      </c>
      <c r="H233" s="84" t="s">
        <v>825</v>
      </c>
      <c r="I233" s="85"/>
    </row>
    <row r="234" spans="2:9" x14ac:dyDescent="0.25">
      <c r="B234" s="41"/>
      <c r="C234" s="84" t="s">
        <v>326</v>
      </c>
      <c r="D234" s="84" t="s">
        <v>1736</v>
      </c>
      <c r="E234" s="84" t="s">
        <v>823</v>
      </c>
      <c r="F234" s="89" t="s">
        <v>22</v>
      </c>
      <c r="G234" s="84" t="s">
        <v>824</v>
      </c>
      <c r="H234" s="84" t="s">
        <v>825</v>
      </c>
      <c r="I234" s="85"/>
    </row>
    <row r="235" spans="2:9" x14ac:dyDescent="0.25">
      <c r="B235" s="41"/>
      <c r="C235" s="84" t="s">
        <v>327</v>
      </c>
      <c r="D235" s="84" t="s">
        <v>1094</v>
      </c>
      <c r="E235" s="84" t="s">
        <v>823</v>
      </c>
      <c r="F235" s="89" t="s">
        <v>22</v>
      </c>
      <c r="G235" s="84" t="s">
        <v>824</v>
      </c>
      <c r="H235" s="84" t="s">
        <v>825</v>
      </c>
      <c r="I235" s="85"/>
    </row>
    <row r="236" spans="2:9" x14ac:dyDescent="0.25">
      <c r="B236" s="41"/>
      <c r="C236" s="84" t="s">
        <v>328</v>
      </c>
      <c r="D236" s="84" t="s">
        <v>1737</v>
      </c>
      <c r="E236" s="84" t="s">
        <v>823</v>
      </c>
      <c r="F236" s="90" t="s">
        <v>36</v>
      </c>
      <c r="G236" s="84" t="s">
        <v>824</v>
      </c>
      <c r="H236" s="84" t="s">
        <v>825</v>
      </c>
      <c r="I236" s="85"/>
    </row>
    <row r="237" spans="2:9" x14ac:dyDescent="0.25">
      <c r="B237" s="41"/>
      <c r="C237" s="84" t="s">
        <v>330</v>
      </c>
      <c r="D237" s="84" t="s">
        <v>1095</v>
      </c>
      <c r="E237" s="84" t="s">
        <v>823</v>
      </c>
      <c r="F237" s="89" t="s">
        <v>22</v>
      </c>
      <c r="G237" s="84" t="s">
        <v>824</v>
      </c>
      <c r="H237" s="84" t="s">
        <v>825</v>
      </c>
      <c r="I237" s="85"/>
    </row>
    <row r="238" spans="2:9" x14ac:dyDescent="0.25">
      <c r="B238" s="41"/>
      <c r="C238" s="84" t="s">
        <v>331</v>
      </c>
      <c r="D238" s="84" t="s">
        <v>1096</v>
      </c>
      <c r="E238" s="84" t="s">
        <v>823</v>
      </c>
      <c r="F238" s="90" t="s">
        <v>36</v>
      </c>
      <c r="G238" s="84" t="s">
        <v>824</v>
      </c>
      <c r="H238" s="84" t="s">
        <v>825</v>
      </c>
      <c r="I238" s="85"/>
    </row>
    <row r="239" spans="2:9" x14ac:dyDescent="0.25">
      <c r="B239" s="41"/>
      <c r="C239" s="84" t="s">
        <v>1097</v>
      </c>
      <c r="D239" s="84" t="s">
        <v>1098</v>
      </c>
      <c r="E239" s="84" t="s">
        <v>831</v>
      </c>
      <c r="F239" s="89" t="s">
        <v>22</v>
      </c>
      <c r="G239" s="84" t="s">
        <v>824</v>
      </c>
      <c r="H239" s="84" t="s">
        <v>825</v>
      </c>
      <c r="I239" s="85"/>
    </row>
    <row r="240" spans="2:9" x14ac:dyDescent="0.25">
      <c r="B240" s="41"/>
      <c r="C240" s="84" t="s">
        <v>332</v>
      </c>
      <c r="D240" s="84" t="s">
        <v>1101</v>
      </c>
      <c r="E240" s="84" t="s">
        <v>823</v>
      </c>
      <c r="F240" s="89" t="s">
        <v>22</v>
      </c>
      <c r="G240" s="84" t="s">
        <v>824</v>
      </c>
      <c r="H240" s="84" t="s">
        <v>825</v>
      </c>
      <c r="I240" s="85"/>
    </row>
    <row r="241" spans="2:9" x14ac:dyDescent="0.25">
      <c r="B241" s="41"/>
      <c r="C241" s="84" t="s">
        <v>333</v>
      </c>
      <c r="D241" s="84" t="s">
        <v>1102</v>
      </c>
      <c r="E241" s="84" t="s">
        <v>823</v>
      </c>
      <c r="F241" s="89" t="s">
        <v>22</v>
      </c>
      <c r="G241" s="84" t="s">
        <v>824</v>
      </c>
      <c r="H241" s="84" t="s">
        <v>825</v>
      </c>
      <c r="I241" s="85"/>
    </row>
    <row r="242" spans="2:9" x14ac:dyDescent="0.25">
      <c r="B242" s="41"/>
      <c r="C242" s="84" t="s">
        <v>335</v>
      </c>
      <c r="D242" s="84" t="s">
        <v>1103</v>
      </c>
      <c r="E242" s="84" t="s">
        <v>823</v>
      </c>
      <c r="F242" s="90" t="s">
        <v>36</v>
      </c>
      <c r="G242" s="84" t="s">
        <v>824</v>
      </c>
      <c r="H242" s="84" t="s">
        <v>825</v>
      </c>
      <c r="I242" s="85"/>
    </row>
    <row r="243" spans="2:9" x14ac:dyDescent="0.25">
      <c r="B243" s="41"/>
      <c r="C243" s="84" t="s">
        <v>336</v>
      </c>
      <c r="D243" s="84" t="s">
        <v>1104</v>
      </c>
      <c r="E243" s="84" t="s">
        <v>823</v>
      </c>
      <c r="F243" s="89" t="s">
        <v>22</v>
      </c>
      <c r="G243" s="84" t="s">
        <v>824</v>
      </c>
      <c r="H243" s="84" t="s">
        <v>825</v>
      </c>
      <c r="I243" s="85"/>
    </row>
    <row r="244" spans="2:9" x14ac:dyDescent="0.25">
      <c r="B244" s="41"/>
      <c r="C244" s="84" t="s">
        <v>337</v>
      </c>
      <c r="D244" s="84" t="s">
        <v>1105</v>
      </c>
      <c r="E244" s="84" t="s">
        <v>823</v>
      </c>
      <c r="F244" s="89" t="s">
        <v>22</v>
      </c>
      <c r="G244" s="84" t="s">
        <v>824</v>
      </c>
      <c r="H244" s="84" t="s">
        <v>825</v>
      </c>
      <c r="I244" s="85"/>
    </row>
    <row r="245" spans="2:9" x14ac:dyDescent="0.25">
      <c r="B245" s="41"/>
      <c r="C245" s="84" t="s">
        <v>338</v>
      </c>
      <c r="D245" s="84" t="s">
        <v>1106</v>
      </c>
      <c r="E245" s="84" t="s">
        <v>823</v>
      </c>
      <c r="F245" s="89" t="s">
        <v>22</v>
      </c>
      <c r="G245" s="84" t="s">
        <v>824</v>
      </c>
      <c r="H245" s="84" t="s">
        <v>825</v>
      </c>
      <c r="I245" s="85"/>
    </row>
    <row r="246" spans="2:9" x14ac:dyDescent="0.25">
      <c r="B246" s="41"/>
      <c r="C246" s="84" t="s">
        <v>339</v>
      </c>
      <c r="D246" s="84" t="s">
        <v>1107</v>
      </c>
      <c r="E246" s="84" t="s">
        <v>823</v>
      </c>
      <c r="F246" s="89" t="s">
        <v>22</v>
      </c>
      <c r="G246" s="84" t="s">
        <v>824</v>
      </c>
      <c r="H246" s="84" t="s">
        <v>825</v>
      </c>
      <c r="I246" s="85"/>
    </row>
    <row r="247" spans="2:9" x14ac:dyDescent="0.25">
      <c r="B247" s="41"/>
      <c r="C247" s="84" t="s">
        <v>340</v>
      </c>
      <c r="D247" s="84" t="s">
        <v>1108</v>
      </c>
      <c r="E247" s="84" t="s">
        <v>823</v>
      </c>
      <c r="F247" s="89" t="s">
        <v>22</v>
      </c>
      <c r="G247" s="84" t="s">
        <v>824</v>
      </c>
      <c r="H247" s="84" t="s">
        <v>825</v>
      </c>
      <c r="I247" s="85"/>
    </row>
    <row r="248" spans="2:9" x14ac:dyDescent="0.25">
      <c r="B248" s="41"/>
      <c r="C248" s="84" t="s">
        <v>1738</v>
      </c>
      <c r="D248" s="84" t="s">
        <v>1739</v>
      </c>
      <c r="E248" s="84" t="s">
        <v>823</v>
      </c>
      <c r="F248" s="89" t="s">
        <v>22</v>
      </c>
      <c r="G248" s="84" t="s">
        <v>824</v>
      </c>
      <c r="H248" s="84" t="s">
        <v>825</v>
      </c>
      <c r="I248" s="85"/>
    </row>
    <row r="249" spans="2:9" x14ac:dyDescent="0.25">
      <c r="B249" s="41"/>
      <c r="C249" s="84" t="s">
        <v>341</v>
      </c>
      <c r="D249" s="84" t="s">
        <v>1109</v>
      </c>
      <c r="E249" s="84" t="s">
        <v>823</v>
      </c>
      <c r="F249" s="89" t="s">
        <v>22</v>
      </c>
      <c r="G249" s="84" t="s">
        <v>824</v>
      </c>
      <c r="H249" s="84" t="s">
        <v>825</v>
      </c>
      <c r="I249" s="85"/>
    </row>
    <row r="250" spans="2:9" x14ac:dyDescent="0.25">
      <c r="B250" s="41"/>
      <c r="C250" s="84" t="s">
        <v>342</v>
      </c>
      <c r="D250" s="84" t="s">
        <v>1110</v>
      </c>
      <c r="E250" s="84" t="s">
        <v>823</v>
      </c>
      <c r="F250" s="89" t="s">
        <v>22</v>
      </c>
      <c r="G250" s="84" t="s">
        <v>824</v>
      </c>
      <c r="H250" s="84" t="s">
        <v>825</v>
      </c>
      <c r="I250" s="85"/>
    </row>
    <row r="251" spans="2:9" x14ac:dyDescent="0.25">
      <c r="B251" s="42"/>
      <c r="C251" s="86" t="s">
        <v>343</v>
      </c>
      <c r="D251" s="86" t="s">
        <v>1111</v>
      </c>
      <c r="E251" s="86" t="s">
        <v>823</v>
      </c>
      <c r="F251" s="95" t="s">
        <v>47</v>
      </c>
      <c r="G251" s="86" t="s">
        <v>824</v>
      </c>
      <c r="H251" s="86" t="s">
        <v>825</v>
      </c>
      <c r="I251" s="87"/>
    </row>
    <row r="252" spans="2:9" x14ac:dyDescent="0.25">
      <c r="B252" s="41"/>
      <c r="C252" s="84" t="s">
        <v>344</v>
      </c>
      <c r="D252" s="84" t="s">
        <v>1112</v>
      </c>
      <c r="E252" s="84" t="s">
        <v>823</v>
      </c>
      <c r="F252" s="89" t="s">
        <v>22</v>
      </c>
      <c r="G252" s="84" t="s">
        <v>824</v>
      </c>
      <c r="H252" s="84" t="s">
        <v>825</v>
      </c>
      <c r="I252" s="85"/>
    </row>
    <row r="253" spans="2:9" x14ac:dyDescent="0.25">
      <c r="B253" s="41"/>
      <c r="C253" s="84" t="s">
        <v>345</v>
      </c>
      <c r="D253" s="84" t="s">
        <v>1740</v>
      </c>
      <c r="E253" s="84" t="s">
        <v>823</v>
      </c>
      <c r="F253" s="89" t="s">
        <v>22</v>
      </c>
      <c r="G253" s="84" t="s">
        <v>824</v>
      </c>
      <c r="H253" s="84" t="s">
        <v>825</v>
      </c>
      <c r="I253" s="85"/>
    </row>
    <row r="254" spans="2:9" x14ac:dyDescent="0.25">
      <c r="B254" s="41"/>
      <c r="C254" s="84" t="s">
        <v>346</v>
      </c>
      <c r="D254" s="84" t="s">
        <v>1113</v>
      </c>
      <c r="E254" s="84" t="s">
        <v>823</v>
      </c>
      <c r="F254" s="89" t="s">
        <v>22</v>
      </c>
      <c r="G254" s="84" t="s">
        <v>824</v>
      </c>
      <c r="H254" s="84" t="s">
        <v>825</v>
      </c>
      <c r="I254" s="85"/>
    </row>
    <row r="255" spans="2:9" x14ac:dyDescent="0.25">
      <c r="B255" s="41"/>
      <c r="C255" s="84" t="s">
        <v>348</v>
      </c>
      <c r="D255" s="84" t="s">
        <v>1114</v>
      </c>
      <c r="E255" s="84" t="s">
        <v>823</v>
      </c>
      <c r="F255" s="89" t="s">
        <v>22</v>
      </c>
      <c r="G255" s="84" t="s">
        <v>824</v>
      </c>
      <c r="H255" s="84" t="s">
        <v>825</v>
      </c>
      <c r="I255" s="85"/>
    </row>
    <row r="256" spans="2:9" x14ac:dyDescent="0.25">
      <c r="B256" s="41"/>
      <c r="C256" s="84" t="s">
        <v>1115</v>
      </c>
      <c r="D256" s="84" t="s">
        <v>1116</v>
      </c>
      <c r="E256" s="84" t="s">
        <v>823</v>
      </c>
      <c r="F256" s="89" t="s">
        <v>22</v>
      </c>
      <c r="G256" s="84" t="s">
        <v>824</v>
      </c>
      <c r="H256" s="84" t="s">
        <v>825</v>
      </c>
      <c r="I256" s="85"/>
    </row>
    <row r="257" spans="2:9" x14ac:dyDescent="0.25">
      <c r="B257" s="41"/>
      <c r="C257" s="84" t="s">
        <v>350</v>
      </c>
      <c r="D257" s="84" t="s">
        <v>1117</v>
      </c>
      <c r="E257" s="84" t="s">
        <v>823</v>
      </c>
      <c r="F257" s="89" t="s">
        <v>22</v>
      </c>
      <c r="G257" s="84" t="s">
        <v>824</v>
      </c>
      <c r="H257" s="84" t="s">
        <v>825</v>
      </c>
      <c r="I257" s="85"/>
    </row>
    <row r="258" spans="2:9" x14ac:dyDescent="0.25">
      <c r="B258" s="41"/>
      <c r="C258" s="84" t="s">
        <v>351</v>
      </c>
      <c r="D258" s="84" t="s">
        <v>1118</v>
      </c>
      <c r="E258" s="84" t="s">
        <v>823</v>
      </c>
      <c r="F258" s="89" t="s">
        <v>22</v>
      </c>
      <c r="G258" s="84" t="s">
        <v>824</v>
      </c>
      <c r="H258" s="84" t="s">
        <v>825</v>
      </c>
      <c r="I258" s="85"/>
    </row>
    <row r="259" spans="2:9" x14ac:dyDescent="0.25">
      <c r="B259" s="41"/>
      <c r="C259" s="84" t="s">
        <v>352</v>
      </c>
      <c r="D259" s="84" t="s">
        <v>1119</v>
      </c>
      <c r="E259" s="84" t="s">
        <v>823</v>
      </c>
      <c r="F259" s="91" t="s">
        <v>47</v>
      </c>
      <c r="G259" s="84" t="s">
        <v>824</v>
      </c>
      <c r="H259" s="84" t="s">
        <v>825</v>
      </c>
      <c r="I259" s="85"/>
    </row>
    <row r="260" spans="2:9" x14ac:dyDescent="0.25">
      <c r="B260" s="41"/>
      <c r="C260" s="84" t="s">
        <v>353</v>
      </c>
      <c r="D260" s="84" t="s">
        <v>1120</v>
      </c>
      <c r="E260" s="84" t="s">
        <v>823</v>
      </c>
      <c r="F260" s="89" t="s">
        <v>22</v>
      </c>
      <c r="G260" s="84" t="s">
        <v>824</v>
      </c>
      <c r="H260" s="84" t="s">
        <v>825</v>
      </c>
      <c r="I260" s="85"/>
    </row>
    <row r="261" spans="2:9" x14ac:dyDescent="0.25">
      <c r="B261" s="41"/>
      <c r="C261" s="84" t="s">
        <v>354</v>
      </c>
      <c r="D261" s="84" t="s">
        <v>1121</v>
      </c>
      <c r="E261" s="84" t="s">
        <v>823</v>
      </c>
      <c r="F261" s="89" t="s">
        <v>22</v>
      </c>
      <c r="G261" s="84" t="s">
        <v>824</v>
      </c>
      <c r="H261" s="84" t="s">
        <v>825</v>
      </c>
      <c r="I261" s="85"/>
    </row>
    <row r="262" spans="2:9" x14ac:dyDescent="0.25">
      <c r="B262" s="41"/>
      <c r="C262" s="84" t="s">
        <v>355</v>
      </c>
      <c r="D262" s="84" t="s">
        <v>1122</v>
      </c>
      <c r="E262" s="84" t="s">
        <v>823</v>
      </c>
      <c r="F262" s="89" t="s">
        <v>22</v>
      </c>
      <c r="G262" s="84" t="s">
        <v>824</v>
      </c>
      <c r="H262" s="84" t="s">
        <v>825</v>
      </c>
      <c r="I262" s="85"/>
    </row>
    <row r="263" spans="2:9" x14ac:dyDescent="0.25">
      <c r="B263" s="41"/>
      <c r="C263" s="84" t="s">
        <v>356</v>
      </c>
      <c r="D263" s="84" t="s">
        <v>1123</v>
      </c>
      <c r="E263" s="84" t="s">
        <v>823</v>
      </c>
      <c r="F263" s="89" t="s">
        <v>22</v>
      </c>
      <c r="G263" s="84" t="s">
        <v>824</v>
      </c>
      <c r="H263" s="84" t="s">
        <v>825</v>
      </c>
      <c r="I263" s="85"/>
    </row>
    <row r="264" spans="2:9" x14ac:dyDescent="0.25">
      <c r="B264" s="41"/>
      <c r="C264" s="84" t="s">
        <v>357</v>
      </c>
      <c r="D264" s="84" t="s">
        <v>1124</v>
      </c>
      <c r="E264" s="84" t="s">
        <v>823</v>
      </c>
      <c r="F264" s="89" t="s">
        <v>22</v>
      </c>
      <c r="G264" s="84" t="s">
        <v>824</v>
      </c>
      <c r="H264" s="84" t="s">
        <v>825</v>
      </c>
      <c r="I264" s="85"/>
    </row>
    <row r="265" spans="2:9" x14ac:dyDescent="0.25">
      <c r="B265" s="41"/>
      <c r="C265" s="84" t="s">
        <v>1125</v>
      </c>
      <c r="D265" s="84" t="s">
        <v>1126</v>
      </c>
      <c r="E265" s="84" t="s">
        <v>872</v>
      </c>
      <c r="F265" s="93" t="s">
        <v>222</v>
      </c>
      <c r="G265" s="84" t="s">
        <v>825</v>
      </c>
      <c r="H265" s="84" t="s">
        <v>825</v>
      </c>
      <c r="I265" s="85"/>
    </row>
    <row r="266" spans="2:9" x14ac:dyDescent="0.25">
      <c r="B266" s="41"/>
      <c r="C266" s="84" t="s">
        <v>358</v>
      </c>
      <c r="D266" s="84" t="s">
        <v>1127</v>
      </c>
      <c r="E266" s="84" t="s">
        <v>823</v>
      </c>
      <c r="F266" s="89" t="s">
        <v>22</v>
      </c>
      <c r="G266" s="84" t="s">
        <v>824</v>
      </c>
      <c r="H266" s="84" t="s">
        <v>825</v>
      </c>
      <c r="I266" s="85"/>
    </row>
    <row r="267" spans="2:9" x14ac:dyDescent="0.25">
      <c r="B267" s="41"/>
      <c r="C267" s="84" t="s">
        <v>359</v>
      </c>
      <c r="D267" s="84" t="s">
        <v>1741</v>
      </c>
      <c r="E267" s="84" t="s">
        <v>823</v>
      </c>
      <c r="F267" s="90" t="s">
        <v>36</v>
      </c>
      <c r="G267" s="84" t="s">
        <v>824</v>
      </c>
      <c r="H267" s="84" t="s">
        <v>825</v>
      </c>
      <c r="I267" s="85"/>
    </row>
    <row r="268" spans="2:9" x14ac:dyDescent="0.25">
      <c r="B268" s="41"/>
      <c r="C268" s="84" t="s">
        <v>361</v>
      </c>
      <c r="D268" s="84" t="s">
        <v>1742</v>
      </c>
      <c r="E268" s="84" t="s">
        <v>823</v>
      </c>
      <c r="F268" s="89" t="s">
        <v>22</v>
      </c>
      <c r="G268" s="84" t="s">
        <v>824</v>
      </c>
      <c r="H268" s="84" t="s">
        <v>825</v>
      </c>
      <c r="I268" s="85"/>
    </row>
    <row r="269" spans="2:9" x14ac:dyDescent="0.25">
      <c r="B269" s="41"/>
      <c r="C269" s="84" t="s">
        <v>362</v>
      </c>
      <c r="D269" s="84" t="s">
        <v>1128</v>
      </c>
      <c r="E269" s="84" t="s">
        <v>823</v>
      </c>
      <c r="F269" s="89" t="s">
        <v>22</v>
      </c>
      <c r="G269" s="84" t="s">
        <v>824</v>
      </c>
      <c r="H269" s="84" t="s">
        <v>825</v>
      </c>
      <c r="I269" s="85"/>
    </row>
    <row r="270" spans="2:9" x14ac:dyDescent="0.25">
      <c r="B270" s="41"/>
      <c r="C270" s="84" t="s">
        <v>363</v>
      </c>
      <c r="D270" s="84" t="s">
        <v>1129</v>
      </c>
      <c r="E270" s="84" t="s">
        <v>823</v>
      </c>
      <c r="F270" s="89" t="s">
        <v>22</v>
      </c>
      <c r="G270" s="84" t="s">
        <v>824</v>
      </c>
      <c r="H270" s="84" t="s">
        <v>825</v>
      </c>
      <c r="I270" s="85"/>
    </row>
    <row r="271" spans="2:9" x14ac:dyDescent="0.25">
      <c r="B271" s="41"/>
      <c r="C271" s="84" t="s">
        <v>364</v>
      </c>
      <c r="D271" s="84" t="s">
        <v>1130</v>
      </c>
      <c r="E271" s="84" t="s">
        <v>823</v>
      </c>
      <c r="F271" s="89" t="s">
        <v>22</v>
      </c>
      <c r="G271" s="84" t="s">
        <v>824</v>
      </c>
      <c r="H271" s="84" t="s">
        <v>825</v>
      </c>
      <c r="I271" s="85"/>
    </row>
    <row r="272" spans="2:9" x14ac:dyDescent="0.25">
      <c r="B272" s="41"/>
      <c r="C272" s="84" t="s">
        <v>365</v>
      </c>
      <c r="D272" s="84" t="s">
        <v>1131</v>
      </c>
      <c r="E272" s="84" t="s">
        <v>823</v>
      </c>
      <c r="F272" s="89" t="s">
        <v>22</v>
      </c>
      <c r="G272" s="84" t="s">
        <v>824</v>
      </c>
      <c r="H272" s="84" t="s">
        <v>825</v>
      </c>
      <c r="I272" s="85"/>
    </row>
    <row r="273" spans="2:9" x14ac:dyDescent="0.25">
      <c r="B273" s="41"/>
      <c r="C273" s="84" t="s">
        <v>367</v>
      </c>
      <c r="D273" s="84" t="s">
        <v>1132</v>
      </c>
      <c r="E273" s="84" t="s">
        <v>823</v>
      </c>
      <c r="F273" s="89" t="s">
        <v>22</v>
      </c>
      <c r="G273" s="84" t="s">
        <v>824</v>
      </c>
      <c r="H273" s="84" t="s">
        <v>825</v>
      </c>
      <c r="I273" s="85"/>
    </row>
    <row r="274" spans="2:9" x14ac:dyDescent="0.25">
      <c r="B274" s="41"/>
      <c r="C274" s="84" t="s">
        <v>368</v>
      </c>
      <c r="D274" s="84" t="s">
        <v>1743</v>
      </c>
      <c r="E274" s="84" t="s">
        <v>823</v>
      </c>
      <c r="F274" s="89" t="s">
        <v>22</v>
      </c>
      <c r="G274" s="84" t="s">
        <v>824</v>
      </c>
      <c r="H274" s="84" t="s">
        <v>825</v>
      </c>
      <c r="I274" s="85"/>
    </row>
    <row r="275" spans="2:9" x14ac:dyDescent="0.25">
      <c r="B275" s="41"/>
      <c r="C275" s="84" t="s">
        <v>370</v>
      </c>
      <c r="D275" s="84" t="s">
        <v>1133</v>
      </c>
      <c r="E275" s="84" t="s">
        <v>823</v>
      </c>
      <c r="F275" s="89" t="s">
        <v>22</v>
      </c>
      <c r="G275" s="84" t="s">
        <v>824</v>
      </c>
      <c r="H275" s="84" t="s">
        <v>825</v>
      </c>
      <c r="I275" s="85"/>
    </row>
    <row r="276" spans="2:9" x14ac:dyDescent="0.25">
      <c r="B276" s="41"/>
      <c r="C276" s="84" t="s">
        <v>372</v>
      </c>
      <c r="D276" s="84" t="s">
        <v>1134</v>
      </c>
      <c r="E276" s="84" t="s">
        <v>823</v>
      </c>
      <c r="F276" s="89" t="s">
        <v>22</v>
      </c>
      <c r="G276" s="84" t="s">
        <v>824</v>
      </c>
      <c r="H276" s="84" t="s">
        <v>825</v>
      </c>
      <c r="I276" s="85"/>
    </row>
    <row r="277" spans="2:9" x14ac:dyDescent="0.25">
      <c r="B277" s="41"/>
      <c r="C277" s="84" t="s">
        <v>374</v>
      </c>
      <c r="D277" s="84" t="s">
        <v>1135</v>
      </c>
      <c r="E277" s="84" t="s">
        <v>823</v>
      </c>
      <c r="F277" s="89" t="s">
        <v>22</v>
      </c>
      <c r="G277" s="84" t="s">
        <v>824</v>
      </c>
      <c r="H277" s="84" t="s">
        <v>825</v>
      </c>
      <c r="I277" s="85"/>
    </row>
    <row r="278" spans="2:9" x14ac:dyDescent="0.25">
      <c r="B278" s="41"/>
      <c r="C278" s="84" t="s">
        <v>375</v>
      </c>
      <c r="D278" s="84" t="s">
        <v>1744</v>
      </c>
      <c r="E278" s="84" t="s">
        <v>823</v>
      </c>
      <c r="F278" s="89" t="s">
        <v>22</v>
      </c>
      <c r="G278" s="84" t="s">
        <v>824</v>
      </c>
      <c r="H278" s="84" t="s">
        <v>825</v>
      </c>
      <c r="I278" s="85"/>
    </row>
    <row r="279" spans="2:9" x14ac:dyDescent="0.25">
      <c r="B279" s="41"/>
      <c r="C279" s="84" t="s">
        <v>376</v>
      </c>
      <c r="D279" s="84" t="s">
        <v>1138</v>
      </c>
      <c r="E279" s="84" t="s">
        <v>823</v>
      </c>
      <c r="F279" s="89" t="s">
        <v>22</v>
      </c>
      <c r="G279" s="84" t="s">
        <v>824</v>
      </c>
      <c r="H279" s="84" t="s">
        <v>825</v>
      </c>
      <c r="I279" s="85"/>
    </row>
    <row r="280" spans="2:9" x14ac:dyDescent="0.25">
      <c r="B280" s="41"/>
      <c r="C280" s="84" t="s">
        <v>377</v>
      </c>
      <c r="D280" s="84" t="s">
        <v>1139</v>
      </c>
      <c r="E280" s="84" t="s">
        <v>823</v>
      </c>
      <c r="F280" s="89" t="s">
        <v>22</v>
      </c>
      <c r="G280" s="84" t="s">
        <v>824</v>
      </c>
      <c r="H280" s="84" t="s">
        <v>825</v>
      </c>
      <c r="I280" s="85"/>
    </row>
    <row r="281" spans="2:9" x14ac:dyDescent="0.25">
      <c r="B281" s="41"/>
      <c r="C281" s="84" t="s">
        <v>379</v>
      </c>
      <c r="D281" s="84" t="s">
        <v>1140</v>
      </c>
      <c r="E281" s="84" t="s">
        <v>823</v>
      </c>
      <c r="F281" s="89" t="s">
        <v>22</v>
      </c>
      <c r="G281" s="84" t="s">
        <v>824</v>
      </c>
      <c r="H281" s="84" t="s">
        <v>825</v>
      </c>
      <c r="I281" s="85"/>
    </row>
    <row r="282" spans="2:9" x14ac:dyDescent="0.25">
      <c r="B282" s="41"/>
      <c r="C282" s="84" t="s">
        <v>380</v>
      </c>
      <c r="D282" s="84" t="s">
        <v>1141</v>
      </c>
      <c r="E282" s="84" t="s">
        <v>823</v>
      </c>
      <c r="F282" s="89" t="s">
        <v>22</v>
      </c>
      <c r="G282" s="84" t="s">
        <v>824</v>
      </c>
      <c r="H282" s="84" t="s">
        <v>825</v>
      </c>
      <c r="I282" s="85"/>
    </row>
    <row r="283" spans="2:9" x14ac:dyDescent="0.25">
      <c r="B283" s="41"/>
      <c r="C283" s="84" t="s">
        <v>382</v>
      </c>
      <c r="D283" s="84" t="s">
        <v>1142</v>
      </c>
      <c r="E283" s="84" t="s">
        <v>823</v>
      </c>
      <c r="F283" s="89" t="s">
        <v>22</v>
      </c>
      <c r="G283" s="84" t="s">
        <v>824</v>
      </c>
      <c r="H283" s="84" t="s">
        <v>825</v>
      </c>
      <c r="I283" s="85"/>
    </row>
    <row r="284" spans="2:9" x14ac:dyDescent="0.25">
      <c r="B284" s="41"/>
      <c r="C284" s="84" t="s">
        <v>383</v>
      </c>
      <c r="D284" s="84" t="s">
        <v>1143</v>
      </c>
      <c r="E284" s="84" t="s">
        <v>823</v>
      </c>
      <c r="F284" s="89" t="s">
        <v>22</v>
      </c>
      <c r="G284" s="84" t="s">
        <v>824</v>
      </c>
      <c r="H284" s="84" t="s">
        <v>825</v>
      </c>
      <c r="I284" s="85"/>
    </row>
    <row r="285" spans="2:9" x14ac:dyDescent="0.25">
      <c r="B285" s="41"/>
      <c r="C285" s="84" t="s">
        <v>384</v>
      </c>
      <c r="D285" s="84" t="s">
        <v>1144</v>
      </c>
      <c r="E285" s="84" t="s">
        <v>823</v>
      </c>
      <c r="F285" s="89" t="s">
        <v>22</v>
      </c>
      <c r="G285" s="84" t="s">
        <v>824</v>
      </c>
      <c r="H285" s="84" t="s">
        <v>825</v>
      </c>
      <c r="I285" s="85"/>
    </row>
    <row r="286" spans="2:9" x14ac:dyDescent="0.25">
      <c r="B286" s="41"/>
      <c r="C286" s="84" t="s">
        <v>385</v>
      </c>
      <c r="D286" s="84" t="s">
        <v>1145</v>
      </c>
      <c r="E286" s="84" t="s">
        <v>823</v>
      </c>
      <c r="F286" s="90" t="s">
        <v>36</v>
      </c>
      <c r="G286" s="84" t="s">
        <v>824</v>
      </c>
      <c r="H286" s="84" t="s">
        <v>825</v>
      </c>
      <c r="I286" s="85"/>
    </row>
    <row r="287" spans="2:9" x14ac:dyDescent="0.25">
      <c r="B287" s="41"/>
      <c r="C287" s="84" t="s">
        <v>386</v>
      </c>
      <c r="D287" s="84" t="s">
        <v>1146</v>
      </c>
      <c r="E287" s="84" t="s">
        <v>823</v>
      </c>
      <c r="F287" s="89" t="s">
        <v>22</v>
      </c>
      <c r="G287" s="84" t="s">
        <v>824</v>
      </c>
      <c r="H287" s="84" t="s">
        <v>825</v>
      </c>
      <c r="I287" s="85"/>
    </row>
    <row r="288" spans="2:9" x14ac:dyDescent="0.25">
      <c r="B288" s="41"/>
      <c r="C288" s="84" t="s">
        <v>387</v>
      </c>
      <c r="D288" s="84" t="s">
        <v>1149</v>
      </c>
      <c r="E288" s="84" t="s">
        <v>823</v>
      </c>
      <c r="F288" s="91" t="s">
        <v>47</v>
      </c>
      <c r="G288" s="84" t="s">
        <v>824</v>
      </c>
      <c r="H288" s="84" t="s">
        <v>825</v>
      </c>
      <c r="I288" s="85"/>
    </row>
    <row r="289" spans="2:9" x14ac:dyDescent="0.25">
      <c r="B289" s="41"/>
      <c r="C289" s="84" t="s">
        <v>388</v>
      </c>
      <c r="D289" s="84" t="s">
        <v>1150</v>
      </c>
      <c r="E289" s="84" t="s">
        <v>823</v>
      </c>
      <c r="F289" s="89" t="s">
        <v>22</v>
      </c>
      <c r="G289" s="84" t="s">
        <v>824</v>
      </c>
      <c r="H289" s="84" t="s">
        <v>825</v>
      </c>
      <c r="I289" s="85"/>
    </row>
    <row r="290" spans="2:9" x14ac:dyDescent="0.25">
      <c r="B290" s="41"/>
      <c r="C290" s="84" t="s">
        <v>390</v>
      </c>
      <c r="D290" s="84" t="s">
        <v>1151</v>
      </c>
      <c r="E290" s="84" t="s">
        <v>823</v>
      </c>
      <c r="F290" s="89" t="s">
        <v>22</v>
      </c>
      <c r="G290" s="84" t="s">
        <v>824</v>
      </c>
      <c r="H290" s="84" t="s">
        <v>825</v>
      </c>
      <c r="I290" s="85"/>
    </row>
    <row r="291" spans="2:9" x14ac:dyDescent="0.25">
      <c r="B291" s="41"/>
      <c r="C291" s="84" t="s">
        <v>392</v>
      </c>
      <c r="D291" s="84" t="s">
        <v>1152</v>
      </c>
      <c r="E291" s="84" t="s">
        <v>823</v>
      </c>
      <c r="F291" s="89" t="s">
        <v>22</v>
      </c>
      <c r="G291" s="84" t="s">
        <v>824</v>
      </c>
      <c r="H291" s="84" t="s">
        <v>825</v>
      </c>
      <c r="I291" s="85"/>
    </row>
    <row r="292" spans="2:9" x14ac:dyDescent="0.25">
      <c r="B292" s="41"/>
      <c r="C292" s="84" t="s">
        <v>394</v>
      </c>
      <c r="D292" s="84" t="s">
        <v>1153</v>
      </c>
      <c r="E292" s="84" t="s">
        <v>823</v>
      </c>
      <c r="F292" s="91" t="s">
        <v>47</v>
      </c>
      <c r="G292" s="84" t="s">
        <v>824</v>
      </c>
      <c r="H292" s="84" t="s">
        <v>825</v>
      </c>
      <c r="I292" s="85"/>
    </row>
    <row r="293" spans="2:9" x14ac:dyDescent="0.25">
      <c r="B293" s="41"/>
      <c r="C293" s="84" t="s">
        <v>395</v>
      </c>
      <c r="D293" s="84" t="s">
        <v>1154</v>
      </c>
      <c r="E293" s="84" t="s">
        <v>823</v>
      </c>
      <c r="F293" s="94" t="s">
        <v>263</v>
      </c>
      <c r="G293" s="84" t="s">
        <v>824</v>
      </c>
      <c r="H293" s="84" t="s">
        <v>825</v>
      </c>
      <c r="I293" s="85"/>
    </row>
    <row r="294" spans="2:9" x14ac:dyDescent="0.25">
      <c r="B294" s="41"/>
      <c r="C294" s="84" t="s">
        <v>396</v>
      </c>
      <c r="D294" s="84" t="s">
        <v>1155</v>
      </c>
      <c r="E294" s="84" t="s">
        <v>823</v>
      </c>
      <c r="F294" s="89" t="s">
        <v>22</v>
      </c>
      <c r="G294" s="84" t="s">
        <v>824</v>
      </c>
      <c r="H294" s="84" t="s">
        <v>825</v>
      </c>
      <c r="I294" s="85"/>
    </row>
    <row r="295" spans="2:9" x14ac:dyDescent="0.25">
      <c r="B295" s="41"/>
      <c r="C295" s="84" t="s">
        <v>397</v>
      </c>
      <c r="D295" s="84" t="s">
        <v>1156</v>
      </c>
      <c r="E295" s="84" t="s">
        <v>823</v>
      </c>
      <c r="F295" s="89" t="s">
        <v>22</v>
      </c>
      <c r="G295" s="84" t="s">
        <v>824</v>
      </c>
      <c r="H295" s="84" t="s">
        <v>825</v>
      </c>
      <c r="I295" s="85"/>
    </row>
    <row r="296" spans="2:9" x14ac:dyDescent="0.25">
      <c r="B296" s="41"/>
      <c r="C296" s="84" t="s">
        <v>398</v>
      </c>
      <c r="D296" s="84" t="s">
        <v>1157</v>
      </c>
      <c r="E296" s="84" t="s">
        <v>823</v>
      </c>
      <c r="F296" s="89" t="s">
        <v>22</v>
      </c>
      <c r="G296" s="84" t="s">
        <v>824</v>
      </c>
      <c r="H296" s="84" t="s">
        <v>825</v>
      </c>
      <c r="I296" s="85"/>
    </row>
    <row r="297" spans="2:9" x14ac:dyDescent="0.25">
      <c r="B297" s="41"/>
      <c r="C297" s="84" t="s">
        <v>400</v>
      </c>
      <c r="D297" s="84" t="s">
        <v>1158</v>
      </c>
      <c r="E297" s="84" t="s">
        <v>823</v>
      </c>
      <c r="F297" s="89" t="s">
        <v>22</v>
      </c>
      <c r="G297" s="84" t="s">
        <v>824</v>
      </c>
      <c r="H297" s="84" t="s">
        <v>825</v>
      </c>
      <c r="I297" s="85"/>
    </row>
    <row r="298" spans="2:9" x14ac:dyDescent="0.25">
      <c r="B298" s="41"/>
      <c r="C298" s="84" t="s">
        <v>402</v>
      </c>
      <c r="D298" s="84" t="s">
        <v>1159</v>
      </c>
      <c r="E298" s="84" t="s">
        <v>823</v>
      </c>
      <c r="F298" s="89" t="s">
        <v>22</v>
      </c>
      <c r="G298" s="84" t="s">
        <v>824</v>
      </c>
      <c r="H298" s="84" t="s">
        <v>825</v>
      </c>
      <c r="I298" s="85"/>
    </row>
    <row r="299" spans="2:9" x14ac:dyDescent="0.25">
      <c r="B299" s="42"/>
      <c r="C299" s="86" t="s">
        <v>404</v>
      </c>
      <c r="D299" s="86" t="s">
        <v>1160</v>
      </c>
      <c r="E299" s="86" t="s">
        <v>823</v>
      </c>
      <c r="F299" s="92" t="s">
        <v>22</v>
      </c>
      <c r="G299" s="86" t="s">
        <v>824</v>
      </c>
      <c r="H299" s="86" t="s">
        <v>825</v>
      </c>
      <c r="I299" s="87"/>
    </row>
    <row r="300" spans="2:9" x14ac:dyDescent="0.25">
      <c r="B300" s="41"/>
      <c r="C300" s="84" t="s">
        <v>408</v>
      </c>
      <c r="D300" s="84" t="s">
        <v>1161</v>
      </c>
      <c r="E300" s="84" t="s">
        <v>823</v>
      </c>
      <c r="F300" s="89" t="s">
        <v>22</v>
      </c>
      <c r="G300" s="84" t="s">
        <v>824</v>
      </c>
      <c r="H300" s="84" t="s">
        <v>825</v>
      </c>
      <c r="I300" s="85"/>
    </row>
    <row r="301" spans="2:9" x14ac:dyDescent="0.25">
      <c r="B301" s="41"/>
      <c r="C301" s="84" t="s">
        <v>410</v>
      </c>
      <c r="D301" s="84" t="s">
        <v>1162</v>
      </c>
      <c r="E301" s="84" t="s">
        <v>823</v>
      </c>
      <c r="F301" s="89" t="s">
        <v>22</v>
      </c>
      <c r="G301" s="84" t="s">
        <v>824</v>
      </c>
      <c r="H301" s="84" t="s">
        <v>825</v>
      </c>
      <c r="I301" s="85"/>
    </row>
    <row r="302" spans="2:9" x14ac:dyDescent="0.25">
      <c r="B302" s="41"/>
      <c r="C302" s="84" t="s">
        <v>411</v>
      </c>
      <c r="D302" s="84" t="s">
        <v>1163</v>
      </c>
      <c r="E302" s="84" t="s">
        <v>823</v>
      </c>
      <c r="F302" s="89" t="s">
        <v>22</v>
      </c>
      <c r="G302" s="84" t="s">
        <v>824</v>
      </c>
      <c r="H302" s="84" t="s">
        <v>825</v>
      </c>
      <c r="I302" s="85"/>
    </row>
    <row r="303" spans="2:9" x14ac:dyDescent="0.25">
      <c r="B303" s="41"/>
      <c r="C303" s="84" t="s">
        <v>413</v>
      </c>
      <c r="D303" s="84" t="s">
        <v>1164</v>
      </c>
      <c r="E303" s="84" t="s">
        <v>823</v>
      </c>
      <c r="F303" s="89" t="s">
        <v>22</v>
      </c>
      <c r="G303" s="84" t="s">
        <v>824</v>
      </c>
      <c r="H303" s="84" t="s">
        <v>825</v>
      </c>
      <c r="I303" s="85"/>
    </row>
    <row r="304" spans="2:9" x14ac:dyDescent="0.25">
      <c r="B304" s="41"/>
      <c r="C304" s="84" t="s">
        <v>1165</v>
      </c>
      <c r="D304" s="84" t="s">
        <v>1166</v>
      </c>
      <c r="E304" s="84" t="s">
        <v>823</v>
      </c>
      <c r="F304" s="89" t="s">
        <v>22</v>
      </c>
      <c r="G304" s="84" t="s">
        <v>824</v>
      </c>
      <c r="H304" s="84" t="s">
        <v>825</v>
      </c>
      <c r="I304" s="85"/>
    </row>
    <row r="305" spans="2:9" x14ac:dyDescent="0.25">
      <c r="B305" s="41"/>
      <c r="C305" s="84" t="s">
        <v>415</v>
      </c>
      <c r="D305" s="84" t="s">
        <v>1167</v>
      </c>
      <c r="E305" s="84" t="s">
        <v>823</v>
      </c>
      <c r="F305" s="90" t="s">
        <v>36</v>
      </c>
      <c r="G305" s="84" t="s">
        <v>824</v>
      </c>
      <c r="H305" s="84" t="s">
        <v>825</v>
      </c>
      <c r="I305" s="85"/>
    </row>
    <row r="306" spans="2:9" x14ac:dyDescent="0.25">
      <c r="B306" s="41"/>
      <c r="C306" s="84" t="s">
        <v>416</v>
      </c>
      <c r="D306" s="84" t="s">
        <v>1168</v>
      </c>
      <c r="E306" s="84" t="s">
        <v>823</v>
      </c>
      <c r="F306" s="89" t="s">
        <v>22</v>
      </c>
      <c r="G306" s="84" t="s">
        <v>824</v>
      </c>
      <c r="H306" s="84" t="s">
        <v>825</v>
      </c>
      <c r="I306" s="85"/>
    </row>
    <row r="307" spans="2:9" x14ac:dyDescent="0.25">
      <c r="B307" s="41"/>
      <c r="C307" s="84" t="s">
        <v>418</v>
      </c>
      <c r="D307" s="84" t="s">
        <v>1169</v>
      </c>
      <c r="E307" s="84" t="s">
        <v>823</v>
      </c>
      <c r="F307" s="89" t="s">
        <v>22</v>
      </c>
      <c r="G307" s="84" t="s">
        <v>824</v>
      </c>
      <c r="H307" s="84" t="s">
        <v>825</v>
      </c>
      <c r="I307" s="85"/>
    </row>
    <row r="308" spans="2:9" x14ac:dyDescent="0.25">
      <c r="B308" s="41"/>
      <c r="C308" s="84" t="s">
        <v>420</v>
      </c>
      <c r="D308" s="84" t="s">
        <v>1170</v>
      </c>
      <c r="E308" s="84" t="s">
        <v>823</v>
      </c>
      <c r="F308" s="89" t="s">
        <v>22</v>
      </c>
      <c r="G308" s="84" t="s">
        <v>824</v>
      </c>
      <c r="H308" s="84" t="s">
        <v>825</v>
      </c>
      <c r="I308" s="85"/>
    </row>
    <row r="309" spans="2:9" x14ac:dyDescent="0.25">
      <c r="B309" s="41"/>
      <c r="C309" s="84" t="s">
        <v>422</v>
      </c>
      <c r="D309" s="84" t="s">
        <v>1171</v>
      </c>
      <c r="E309" s="84" t="s">
        <v>823</v>
      </c>
      <c r="F309" s="89" t="s">
        <v>22</v>
      </c>
      <c r="G309" s="84" t="s">
        <v>824</v>
      </c>
      <c r="H309" s="84" t="s">
        <v>825</v>
      </c>
      <c r="I309" s="85"/>
    </row>
    <row r="310" spans="2:9" x14ac:dyDescent="0.25">
      <c r="B310" s="41"/>
      <c r="C310" s="84" t="s">
        <v>1745</v>
      </c>
      <c r="D310" s="84" t="s">
        <v>1746</v>
      </c>
      <c r="E310" s="84" t="s">
        <v>872</v>
      </c>
      <c r="F310" s="90" t="s">
        <v>36</v>
      </c>
      <c r="G310" s="84" t="s">
        <v>824</v>
      </c>
      <c r="H310" s="84" t="s">
        <v>861</v>
      </c>
      <c r="I310" s="85"/>
    </row>
    <row r="311" spans="2:9" x14ac:dyDescent="0.25">
      <c r="B311" s="41"/>
      <c r="C311" s="84" t="s">
        <v>424</v>
      </c>
      <c r="D311" s="84" t="s">
        <v>1176</v>
      </c>
      <c r="E311" s="84" t="s">
        <v>823</v>
      </c>
      <c r="F311" s="89" t="s">
        <v>22</v>
      </c>
      <c r="G311" s="84" t="s">
        <v>824</v>
      </c>
      <c r="H311" s="84" t="s">
        <v>825</v>
      </c>
      <c r="I311" s="85"/>
    </row>
    <row r="312" spans="2:9" x14ac:dyDescent="0.25">
      <c r="B312" s="41"/>
      <c r="C312" s="84" t="s">
        <v>425</v>
      </c>
      <c r="D312" s="84" t="s">
        <v>1177</v>
      </c>
      <c r="E312" s="84" t="s">
        <v>823</v>
      </c>
      <c r="F312" s="89" t="s">
        <v>22</v>
      </c>
      <c r="G312" s="84" t="s">
        <v>824</v>
      </c>
      <c r="H312" s="84" t="s">
        <v>825</v>
      </c>
      <c r="I312" s="85"/>
    </row>
    <row r="313" spans="2:9" x14ac:dyDescent="0.25">
      <c r="B313" s="41"/>
      <c r="C313" s="84" t="s">
        <v>1178</v>
      </c>
      <c r="D313" s="84" t="s">
        <v>1179</v>
      </c>
      <c r="E313" s="84" t="s">
        <v>823</v>
      </c>
      <c r="F313" s="89" t="s">
        <v>22</v>
      </c>
      <c r="G313" s="84" t="s">
        <v>824</v>
      </c>
      <c r="H313" s="84" t="s">
        <v>825</v>
      </c>
      <c r="I313" s="85"/>
    </row>
    <row r="314" spans="2:9" x14ac:dyDescent="0.25">
      <c r="B314" s="41"/>
      <c r="C314" s="84" t="s">
        <v>426</v>
      </c>
      <c r="D314" s="84" t="s">
        <v>1180</v>
      </c>
      <c r="E314" s="84" t="s">
        <v>823</v>
      </c>
      <c r="F314" s="89" t="s">
        <v>22</v>
      </c>
      <c r="G314" s="84" t="s">
        <v>824</v>
      </c>
      <c r="H314" s="84" t="s">
        <v>825</v>
      </c>
      <c r="I314" s="85"/>
    </row>
    <row r="315" spans="2:9" x14ac:dyDescent="0.25">
      <c r="B315" s="41"/>
      <c r="C315" s="84" t="s">
        <v>428</v>
      </c>
      <c r="D315" s="84" t="s">
        <v>1181</v>
      </c>
      <c r="E315" s="84" t="s">
        <v>823</v>
      </c>
      <c r="F315" s="90" t="s">
        <v>36</v>
      </c>
      <c r="G315" s="84" t="s">
        <v>824</v>
      </c>
      <c r="H315" s="84" t="s">
        <v>825</v>
      </c>
      <c r="I315" s="85"/>
    </row>
    <row r="316" spans="2:9" x14ac:dyDescent="0.25">
      <c r="B316" s="41"/>
      <c r="C316" s="84" t="s">
        <v>429</v>
      </c>
      <c r="D316" s="84" t="s">
        <v>1182</v>
      </c>
      <c r="E316" s="84" t="s">
        <v>823</v>
      </c>
      <c r="F316" s="89" t="s">
        <v>22</v>
      </c>
      <c r="G316" s="84" t="s">
        <v>824</v>
      </c>
      <c r="H316" s="84" t="s">
        <v>825</v>
      </c>
      <c r="I316" s="85"/>
    </row>
    <row r="317" spans="2:9" x14ac:dyDescent="0.25">
      <c r="B317" s="41"/>
      <c r="C317" s="84" t="s">
        <v>431</v>
      </c>
      <c r="D317" s="84" t="s">
        <v>1747</v>
      </c>
      <c r="E317" s="84" t="s">
        <v>823</v>
      </c>
      <c r="F317" s="89" t="s">
        <v>22</v>
      </c>
      <c r="G317" s="84" t="s">
        <v>824</v>
      </c>
      <c r="H317" s="84" t="s">
        <v>825</v>
      </c>
      <c r="I317" s="85"/>
    </row>
    <row r="318" spans="2:9" x14ac:dyDescent="0.25">
      <c r="B318" s="41"/>
      <c r="C318" s="84" t="s">
        <v>433</v>
      </c>
      <c r="D318" s="84" t="s">
        <v>1183</v>
      </c>
      <c r="E318" s="84" t="s">
        <v>823</v>
      </c>
      <c r="F318" s="89" t="s">
        <v>22</v>
      </c>
      <c r="G318" s="84" t="s">
        <v>824</v>
      </c>
      <c r="H318" s="84" t="s">
        <v>825</v>
      </c>
      <c r="I318" s="85"/>
    </row>
    <row r="319" spans="2:9" x14ac:dyDescent="0.25">
      <c r="B319" s="41"/>
      <c r="C319" s="84" t="s">
        <v>435</v>
      </c>
      <c r="D319" s="84" t="s">
        <v>1184</v>
      </c>
      <c r="E319" s="84" t="s">
        <v>823</v>
      </c>
      <c r="F319" s="89" t="s">
        <v>22</v>
      </c>
      <c r="G319" s="84" t="s">
        <v>824</v>
      </c>
      <c r="H319" s="84" t="s">
        <v>825</v>
      </c>
      <c r="I319" s="85"/>
    </row>
    <row r="320" spans="2:9" x14ac:dyDescent="0.25">
      <c r="B320" s="41"/>
      <c r="C320" s="84" t="s">
        <v>436</v>
      </c>
      <c r="D320" s="84" t="s">
        <v>1185</v>
      </c>
      <c r="E320" s="84" t="s">
        <v>823</v>
      </c>
      <c r="F320" s="90" t="s">
        <v>36</v>
      </c>
      <c r="G320" s="84" t="s">
        <v>824</v>
      </c>
      <c r="H320" s="84" t="s">
        <v>825</v>
      </c>
      <c r="I320" s="85"/>
    </row>
    <row r="321" spans="2:9" x14ac:dyDescent="0.25">
      <c r="B321" s="41"/>
      <c r="C321" s="84" t="s">
        <v>437</v>
      </c>
      <c r="D321" s="84" t="s">
        <v>1186</v>
      </c>
      <c r="E321" s="84" t="s">
        <v>823</v>
      </c>
      <c r="F321" s="89" t="s">
        <v>22</v>
      </c>
      <c r="G321" s="84" t="s">
        <v>824</v>
      </c>
      <c r="H321" s="84" t="s">
        <v>825</v>
      </c>
      <c r="I321" s="85"/>
    </row>
    <row r="322" spans="2:9" x14ac:dyDescent="0.25">
      <c r="B322" s="41"/>
      <c r="C322" s="84" t="s">
        <v>440</v>
      </c>
      <c r="D322" s="84" t="s">
        <v>1189</v>
      </c>
      <c r="E322" s="84" t="s">
        <v>823</v>
      </c>
      <c r="F322" s="90" t="s">
        <v>36</v>
      </c>
      <c r="G322" s="84" t="s">
        <v>824</v>
      </c>
      <c r="H322" s="84" t="s">
        <v>825</v>
      </c>
      <c r="I322" s="85"/>
    </row>
    <row r="323" spans="2:9" x14ac:dyDescent="0.25">
      <c r="B323" s="41"/>
      <c r="C323" s="84" t="s">
        <v>441</v>
      </c>
      <c r="D323" s="84" t="s">
        <v>1190</v>
      </c>
      <c r="E323" s="84" t="s">
        <v>823</v>
      </c>
      <c r="F323" s="89" t="s">
        <v>22</v>
      </c>
      <c r="G323" s="84" t="s">
        <v>824</v>
      </c>
      <c r="H323" s="84" t="s">
        <v>825</v>
      </c>
      <c r="I323" s="85"/>
    </row>
    <row r="324" spans="2:9" x14ac:dyDescent="0.25">
      <c r="B324" s="41"/>
      <c r="C324" s="84" t="s">
        <v>443</v>
      </c>
      <c r="D324" s="84" t="s">
        <v>1191</v>
      </c>
      <c r="E324" s="84" t="s">
        <v>823</v>
      </c>
      <c r="F324" s="89" t="s">
        <v>22</v>
      </c>
      <c r="G324" s="84" t="s">
        <v>824</v>
      </c>
      <c r="H324" s="84" t="s">
        <v>825</v>
      </c>
      <c r="I324" s="85"/>
    </row>
    <row r="325" spans="2:9" x14ac:dyDescent="0.25">
      <c r="B325" s="41"/>
      <c r="C325" s="84" t="s">
        <v>445</v>
      </c>
      <c r="D325" s="84" t="s">
        <v>1192</v>
      </c>
      <c r="E325" s="84" t="s">
        <v>823</v>
      </c>
      <c r="F325" s="89" t="s">
        <v>22</v>
      </c>
      <c r="G325" s="84" t="s">
        <v>824</v>
      </c>
      <c r="H325" s="84" t="s">
        <v>825</v>
      </c>
      <c r="I325" s="85"/>
    </row>
    <row r="326" spans="2:9" x14ac:dyDescent="0.25">
      <c r="B326" s="41"/>
      <c r="C326" s="84" t="s">
        <v>446</v>
      </c>
      <c r="D326" s="84" t="s">
        <v>1193</v>
      </c>
      <c r="E326" s="84" t="s">
        <v>823</v>
      </c>
      <c r="F326" s="89" t="s">
        <v>22</v>
      </c>
      <c r="G326" s="84" t="s">
        <v>824</v>
      </c>
      <c r="H326" s="84" t="s">
        <v>825</v>
      </c>
      <c r="I326" s="85"/>
    </row>
    <row r="327" spans="2:9" x14ac:dyDescent="0.25">
      <c r="B327" s="41"/>
      <c r="C327" s="84" t="s">
        <v>448</v>
      </c>
      <c r="D327" s="84" t="s">
        <v>1196</v>
      </c>
      <c r="E327" s="84" t="s">
        <v>823</v>
      </c>
      <c r="F327" s="89" t="s">
        <v>22</v>
      </c>
      <c r="G327" s="84" t="s">
        <v>824</v>
      </c>
      <c r="H327" s="84" t="s">
        <v>825</v>
      </c>
      <c r="I327" s="85"/>
    </row>
    <row r="328" spans="2:9" x14ac:dyDescent="0.25">
      <c r="B328" s="41"/>
      <c r="C328" s="84" t="s">
        <v>450</v>
      </c>
      <c r="D328" s="84" t="s">
        <v>1197</v>
      </c>
      <c r="E328" s="84" t="s">
        <v>823</v>
      </c>
      <c r="F328" s="91" t="s">
        <v>47</v>
      </c>
      <c r="G328" s="84" t="s">
        <v>824</v>
      </c>
      <c r="H328" s="84" t="s">
        <v>825</v>
      </c>
      <c r="I328" s="85"/>
    </row>
    <row r="329" spans="2:9" x14ac:dyDescent="0.25">
      <c r="B329" s="41"/>
      <c r="C329" s="84" t="s">
        <v>451</v>
      </c>
      <c r="D329" s="84" t="s">
        <v>1198</v>
      </c>
      <c r="E329" s="84" t="s">
        <v>823</v>
      </c>
      <c r="F329" s="89" t="s">
        <v>22</v>
      </c>
      <c r="G329" s="84" t="s">
        <v>824</v>
      </c>
      <c r="H329" s="84" t="s">
        <v>825</v>
      </c>
      <c r="I329" s="85"/>
    </row>
    <row r="330" spans="2:9" x14ac:dyDescent="0.25">
      <c r="B330" s="41"/>
      <c r="C330" s="84" t="s">
        <v>454</v>
      </c>
      <c r="D330" s="84" t="s">
        <v>1200</v>
      </c>
      <c r="E330" s="84" t="s">
        <v>823</v>
      </c>
      <c r="F330" s="89" t="s">
        <v>22</v>
      </c>
      <c r="G330" s="84" t="s">
        <v>824</v>
      </c>
      <c r="H330" s="84" t="s">
        <v>825</v>
      </c>
      <c r="I330" s="85"/>
    </row>
    <row r="331" spans="2:9" x14ac:dyDescent="0.25">
      <c r="B331" s="41"/>
      <c r="C331" s="84" t="s">
        <v>456</v>
      </c>
      <c r="D331" s="84" t="s">
        <v>1201</v>
      </c>
      <c r="E331" s="84" t="s">
        <v>831</v>
      </c>
      <c r="F331" s="89" t="s">
        <v>22</v>
      </c>
      <c r="G331" s="84" t="s">
        <v>824</v>
      </c>
      <c r="H331" s="84" t="s">
        <v>825</v>
      </c>
      <c r="I331" s="85"/>
    </row>
    <row r="332" spans="2:9" x14ac:dyDescent="0.25">
      <c r="B332" s="41"/>
      <c r="C332" s="84" t="s">
        <v>459</v>
      </c>
      <c r="D332" s="84" t="s">
        <v>1202</v>
      </c>
      <c r="E332" s="84" t="s">
        <v>831</v>
      </c>
      <c r="F332" s="89" t="s">
        <v>22</v>
      </c>
      <c r="G332" s="84" t="s">
        <v>824</v>
      </c>
      <c r="H332" s="84" t="s">
        <v>825</v>
      </c>
      <c r="I332" s="85"/>
    </row>
    <row r="333" spans="2:9" x14ac:dyDescent="0.25">
      <c r="B333" s="41"/>
      <c r="C333" s="84" t="s">
        <v>461</v>
      </c>
      <c r="D333" s="84" t="s">
        <v>1203</v>
      </c>
      <c r="E333" s="84" t="s">
        <v>823</v>
      </c>
      <c r="F333" s="90" t="s">
        <v>36</v>
      </c>
      <c r="G333" s="84" t="s">
        <v>824</v>
      </c>
      <c r="H333" s="84" t="s">
        <v>825</v>
      </c>
      <c r="I333" s="85"/>
    </row>
    <row r="334" spans="2:9" x14ac:dyDescent="0.25">
      <c r="B334" s="41"/>
      <c r="C334" s="84" t="s">
        <v>462</v>
      </c>
      <c r="D334" s="84" t="s">
        <v>1204</v>
      </c>
      <c r="E334" s="84" t="s">
        <v>823</v>
      </c>
      <c r="F334" s="90" t="s">
        <v>36</v>
      </c>
      <c r="G334" s="84" t="s">
        <v>824</v>
      </c>
      <c r="H334" s="84" t="s">
        <v>825</v>
      </c>
      <c r="I334" s="85"/>
    </row>
    <row r="335" spans="2:9" x14ac:dyDescent="0.25">
      <c r="B335" s="41"/>
      <c r="C335" s="84" t="s">
        <v>466</v>
      </c>
      <c r="D335" s="84" t="s">
        <v>1209</v>
      </c>
      <c r="E335" s="84" t="s">
        <v>823</v>
      </c>
      <c r="F335" s="89" t="s">
        <v>22</v>
      </c>
      <c r="G335" s="84" t="s">
        <v>824</v>
      </c>
      <c r="H335" s="84" t="s">
        <v>825</v>
      </c>
      <c r="I335" s="85"/>
    </row>
    <row r="336" spans="2:9" x14ac:dyDescent="0.25">
      <c r="B336" s="41"/>
      <c r="C336" s="84" t="s">
        <v>468</v>
      </c>
      <c r="D336" s="84" t="s">
        <v>1210</v>
      </c>
      <c r="E336" s="84" t="s">
        <v>823</v>
      </c>
      <c r="F336" s="89" t="s">
        <v>22</v>
      </c>
      <c r="G336" s="84" t="s">
        <v>824</v>
      </c>
      <c r="H336" s="84" t="s">
        <v>825</v>
      </c>
      <c r="I336" s="85"/>
    </row>
    <row r="337" spans="2:9" x14ac:dyDescent="0.25">
      <c r="B337" s="41"/>
      <c r="C337" s="84" t="s">
        <v>469</v>
      </c>
      <c r="D337" s="84" t="s">
        <v>1211</v>
      </c>
      <c r="E337" s="84" t="s">
        <v>872</v>
      </c>
      <c r="F337" s="89" t="s">
        <v>22</v>
      </c>
      <c r="G337" s="84" t="s">
        <v>824</v>
      </c>
      <c r="H337" s="84" t="s">
        <v>861</v>
      </c>
      <c r="I337" s="85"/>
    </row>
    <row r="338" spans="2:9" x14ac:dyDescent="0.25">
      <c r="B338" s="41"/>
      <c r="C338" s="84" t="s">
        <v>1212</v>
      </c>
      <c r="D338" s="84" t="s">
        <v>1213</v>
      </c>
      <c r="E338" s="84" t="s">
        <v>823</v>
      </c>
      <c r="F338" s="89" t="s">
        <v>22</v>
      </c>
      <c r="G338" s="84" t="s">
        <v>824</v>
      </c>
      <c r="H338" s="84" t="s">
        <v>825</v>
      </c>
      <c r="I338" s="85"/>
    </row>
    <row r="339" spans="2:9" x14ac:dyDescent="0.25">
      <c r="B339" s="41"/>
      <c r="C339" s="84" t="s">
        <v>470</v>
      </c>
      <c r="D339" s="84" t="s">
        <v>1214</v>
      </c>
      <c r="E339" s="84" t="s">
        <v>823</v>
      </c>
      <c r="F339" s="90" t="s">
        <v>36</v>
      </c>
      <c r="G339" s="84" t="s">
        <v>824</v>
      </c>
      <c r="H339" s="84" t="s">
        <v>825</v>
      </c>
      <c r="I339" s="85"/>
    </row>
    <row r="340" spans="2:9" x14ac:dyDescent="0.25">
      <c r="B340" s="41"/>
      <c r="C340" s="84" t="s">
        <v>471</v>
      </c>
      <c r="D340" s="84" t="s">
        <v>1215</v>
      </c>
      <c r="E340" s="84" t="s">
        <v>823</v>
      </c>
      <c r="F340" s="89" t="s">
        <v>22</v>
      </c>
      <c r="G340" s="84" t="s">
        <v>824</v>
      </c>
      <c r="H340" s="84" t="s">
        <v>825</v>
      </c>
      <c r="I340" s="85"/>
    </row>
    <row r="341" spans="2:9" x14ac:dyDescent="0.25">
      <c r="B341" s="41"/>
      <c r="C341" s="84" t="s">
        <v>472</v>
      </c>
      <c r="D341" s="84" t="s">
        <v>1216</v>
      </c>
      <c r="E341" s="84" t="s">
        <v>823</v>
      </c>
      <c r="F341" s="89" t="s">
        <v>22</v>
      </c>
      <c r="G341" s="84" t="s">
        <v>824</v>
      </c>
      <c r="H341" s="84" t="s">
        <v>825</v>
      </c>
      <c r="I341" s="85"/>
    </row>
    <row r="342" spans="2:9" x14ac:dyDescent="0.25">
      <c r="B342" s="41"/>
      <c r="C342" s="84" t="s">
        <v>474</v>
      </c>
      <c r="D342" s="84" t="s">
        <v>1748</v>
      </c>
      <c r="E342" s="84" t="s">
        <v>823</v>
      </c>
      <c r="F342" s="89" t="s">
        <v>22</v>
      </c>
      <c r="G342" s="84" t="s">
        <v>824</v>
      </c>
      <c r="H342" s="84" t="s">
        <v>825</v>
      </c>
      <c r="I342" s="85"/>
    </row>
    <row r="343" spans="2:9" x14ac:dyDescent="0.25">
      <c r="B343" s="41"/>
      <c r="C343" s="84" t="s">
        <v>476</v>
      </c>
      <c r="D343" s="84" t="s">
        <v>1217</v>
      </c>
      <c r="E343" s="84" t="s">
        <v>823</v>
      </c>
      <c r="F343" s="89" t="s">
        <v>22</v>
      </c>
      <c r="G343" s="84" t="s">
        <v>824</v>
      </c>
      <c r="H343" s="84" t="s">
        <v>825</v>
      </c>
      <c r="I343" s="85"/>
    </row>
    <row r="344" spans="2:9" x14ac:dyDescent="0.25">
      <c r="B344" s="41"/>
      <c r="C344" s="84" t="s">
        <v>478</v>
      </c>
      <c r="D344" s="84" t="s">
        <v>1218</v>
      </c>
      <c r="E344" s="84" t="s">
        <v>823</v>
      </c>
      <c r="F344" s="90" t="s">
        <v>36</v>
      </c>
      <c r="G344" s="84" t="s">
        <v>824</v>
      </c>
      <c r="H344" s="84" t="s">
        <v>825</v>
      </c>
      <c r="I344" s="85"/>
    </row>
    <row r="345" spans="2:9" x14ac:dyDescent="0.25">
      <c r="B345" s="41"/>
      <c r="C345" s="84" t="s">
        <v>481</v>
      </c>
      <c r="D345" s="84" t="s">
        <v>1219</v>
      </c>
      <c r="E345" s="84" t="s">
        <v>823</v>
      </c>
      <c r="F345" s="89" t="s">
        <v>22</v>
      </c>
      <c r="G345" s="84" t="s">
        <v>824</v>
      </c>
      <c r="H345" s="84" t="s">
        <v>825</v>
      </c>
      <c r="I345" s="85"/>
    </row>
    <row r="346" spans="2:9" x14ac:dyDescent="0.25">
      <c r="B346" s="41"/>
      <c r="C346" s="84" t="s">
        <v>483</v>
      </c>
      <c r="D346" s="84" t="s">
        <v>1220</v>
      </c>
      <c r="E346" s="84" t="s">
        <v>823</v>
      </c>
      <c r="F346" s="89" t="s">
        <v>22</v>
      </c>
      <c r="G346" s="84" t="s">
        <v>824</v>
      </c>
      <c r="H346" s="84" t="s">
        <v>825</v>
      </c>
      <c r="I346" s="85"/>
    </row>
    <row r="347" spans="2:9" x14ac:dyDescent="0.25">
      <c r="B347" s="41"/>
      <c r="C347" s="84" t="s">
        <v>488</v>
      </c>
      <c r="D347" s="84" t="s">
        <v>1221</v>
      </c>
      <c r="E347" s="84" t="s">
        <v>823</v>
      </c>
      <c r="F347" s="89" t="s">
        <v>22</v>
      </c>
      <c r="G347" s="84" t="s">
        <v>824</v>
      </c>
      <c r="H347" s="84" t="s">
        <v>825</v>
      </c>
      <c r="I347" s="85"/>
    </row>
    <row r="348" spans="2:9" x14ac:dyDescent="0.25">
      <c r="B348" s="42"/>
      <c r="C348" s="86" t="s">
        <v>490</v>
      </c>
      <c r="D348" s="86" t="s">
        <v>1222</v>
      </c>
      <c r="E348" s="86" t="s">
        <v>823</v>
      </c>
      <c r="F348" s="92" t="s">
        <v>22</v>
      </c>
      <c r="G348" s="86" t="s">
        <v>824</v>
      </c>
      <c r="H348" s="86" t="s">
        <v>825</v>
      </c>
      <c r="I348" s="87"/>
    </row>
    <row r="349" spans="2:9" x14ac:dyDescent="0.25">
      <c r="B349" s="41"/>
      <c r="C349" s="84" t="s">
        <v>492</v>
      </c>
      <c r="D349" s="84" t="s">
        <v>1223</v>
      </c>
      <c r="E349" s="84" t="s">
        <v>823</v>
      </c>
      <c r="F349" s="90" t="s">
        <v>36</v>
      </c>
      <c r="G349" s="84" t="s">
        <v>824</v>
      </c>
      <c r="H349" s="84" t="s">
        <v>825</v>
      </c>
      <c r="I349" s="85"/>
    </row>
    <row r="350" spans="2:9" x14ac:dyDescent="0.25">
      <c r="B350" s="41"/>
      <c r="C350" s="84" t="s">
        <v>493</v>
      </c>
      <c r="D350" s="84" t="s">
        <v>1224</v>
      </c>
      <c r="E350" s="84" t="s">
        <v>823</v>
      </c>
      <c r="F350" s="89" t="s">
        <v>22</v>
      </c>
      <c r="G350" s="84" t="s">
        <v>824</v>
      </c>
      <c r="H350" s="84" t="s">
        <v>825</v>
      </c>
      <c r="I350" s="85"/>
    </row>
    <row r="351" spans="2:9" x14ac:dyDescent="0.25">
      <c r="B351" s="41"/>
      <c r="C351" s="84" t="s">
        <v>495</v>
      </c>
      <c r="D351" s="84" t="s">
        <v>1225</v>
      </c>
      <c r="E351" s="84" t="s">
        <v>823</v>
      </c>
      <c r="F351" s="89" t="s">
        <v>22</v>
      </c>
      <c r="G351" s="84" t="s">
        <v>824</v>
      </c>
      <c r="H351" s="84" t="s">
        <v>825</v>
      </c>
      <c r="I351" s="85"/>
    </row>
    <row r="352" spans="2:9" x14ac:dyDescent="0.25">
      <c r="B352" s="41"/>
      <c r="C352" s="84" t="s">
        <v>497</v>
      </c>
      <c r="D352" s="84" t="s">
        <v>1226</v>
      </c>
      <c r="E352" s="84" t="s">
        <v>823</v>
      </c>
      <c r="F352" s="89" t="s">
        <v>22</v>
      </c>
      <c r="G352" s="84" t="s">
        <v>824</v>
      </c>
      <c r="H352" s="84" t="s">
        <v>825</v>
      </c>
      <c r="I352" s="85"/>
    </row>
    <row r="353" spans="2:9" x14ac:dyDescent="0.25">
      <c r="B353" s="41"/>
      <c r="C353" s="84" t="s">
        <v>499</v>
      </c>
      <c r="D353" s="84" t="s">
        <v>1227</v>
      </c>
      <c r="E353" s="84" t="s">
        <v>823</v>
      </c>
      <c r="F353" s="89" t="s">
        <v>22</v>
      </c>
      <c r="G353" s="84" t="s">
        <v>824</v>
      </c>
      <c r="H353" s="84" t="s">
        <v>825</v>
      </c>
      <c r="I353" s="85"/>
    </row>
    <row r="354" spans="2:9" x14ac:dyDescent="0.25">
      <c r="B354" s="41"/>
      <c r="C354" s="84" t="s">
        <v>501</v>
      </c>
      <c r="D354" s="84" t="s">
        <v>1228</v>
      </c>
      <c r="E354" s="84" t="s">
        <v>823</v>
      </c>
      <c r="F354" s="89" t="s">
        <v>22</v>
      </c>
      <c r="G354" s="84" t="s">
        <v>824</v>
      </c>
      <c r="H354" s="84" t="s">
        <v>825</v>
      </c>
      <c r="I354" s="85"/>
    </row>
    <row r="355" spans="2:9" x14ac:dyDescent="0.25">
      <c r="B355" s="41"/>
      <c r="C355" s="84" t="s">
        <v>503</v>
      </c>
      <c r="D355" s="84" t="s">
        <v>1229</v>
      </c>
      <c r="E355" s="84" t="s">
        <v>823</v>
      </c>
      <c r="F355" s="89" t="s">
        <v>22</v>
      </c>
      <c r="G355" s="84" t="s">
        <v>824</v>
      </c>
      <c r="H355" s="84" t="s">
        <v>825</v>
      </c>
      <c r="I355" s="85"/>
    </row>
    <row r="356" spans="2:9" x14ac:dyDescent="0.25">
      <c r="B356" s="41"/>
      <c r="C356" s="84" t="s">
        <v>504</v>
      </c>
      <c r="D356" s="84" t="s">
        <v>1749</v>
      </c>
      <c r="E356" s="84" t="s">
        <v>823</v>
      </c>
      <c r="F356" s="90" t="s">
        <v>36</v>
      </c>
      <c r="G356" s="84" t="s">
        <v>824</v>
      </c>
      <c r="H356" s="84" t="s">
        <v>825</v>
      </c>
      <c r="I356" s="85"/>
    </row>
    <row r="357" spans="2:9" x14ac:dyDescent="0.25">
      <c r="B357" s="41"/>
      <c r="C357" s="84" t="s">
        <v>505</v>
      </c>
      <c r="D357" s="84" t="s">
        <v>1230</v>
      </c>
      <c r="E357" s="84" t="s">
        <v>823</v>
      </c>
      <c r="F357" s="89" t="s">
        <v>22</v>
      </c>
      <c r="G357" s="84" t="s">
        <v>824</v>
      </c>
      <c r="H357" s="84" t="s">
        <v>825</v>
      </c>
      <c r="I357" s="85"/>
    </row>
    <row r="358" spans="2:9" x14ac:dyDescent="0.25">
      <c r="B358" s="41"/>
      <c r="C358" s="84" t="s">
        <v>507</v>
      </c>
      <c r="D358" s="84" t="s">
        <v>1231</v>
      </c>
      <c r="E358" s="84" t="s">
        <v>823</v>
      </c>
      <c r="F358" s="89" t="s">
        <v>22</v>
      </c>
      <c r="G358" s="84" t="s">
        <v>824</v>
      </c>
      <c r="H358" s="84" t="s">
        <v>825</v>
      </c>
      <c r="I358" s="85"/>
    </row>
    <row r="359" spans="2:9" x14ac:dyDescent="0.25">
      <c r="B359" s="41"/>
      <c r="C359" s="84" t="s">
        <v>1232</v>
      </c>
      <c r="D359" s="84" t="s">
        <v>1233</v>
      </c>
      <c r="E359" s="84" t="s">
        <v>823</v>
      </c>
      <c r="F359" s="89" t="s">
        <v>22</v>
      </c>
      <c r="G359" s="84" t="s">
        <v>824</v>
      </c>
      <c r="H359" s="84" t="s">
        <v>825</v>
      </c>
      <c r="I359" s="85"/>
    </row>
    <row r="360" spans="2:9" x14ac:dyDescent="0.25">
      <c r="B360" s="41"/>
      <c r="C360" s="84" t="s">
        <v>508</v>
      </c>
      <c r="D360" s="84" t="s">
        <v>1234</v>
      </c>
      <c r="E360" s="84" t="s">
        <v>823</v>
      </c>
      <c r="F360" s="89" t="s">
        <v>22</v>
      </c>
      <c r="G360" s="84" t="s">
        <v>824</v>
      </c>
      <c r="H360" s="84" t="s">
        <v>825</v>
      </c>
      <c r="I360" s="85"/>
    </row>
    <row r="361" spans="2:9" x14ac:dyDescent="0.25">
      <c r="B361" s="41"/>
      <c r="C361" s="84" t="s">
        <v>509</v>
      </c>
      <c r="D361" s="84" t="s">
        <v>1235</v>
      </c>
      <c r="E361" s="84" t="s">
        <v>823</v>
      </c>
      <c r="F361" s="89" t="s">
        <v>22</v>
      </c>
      <c r="G361" s="84" t="s">
        <v>824</v>
      </c>
      <c r="H361" s="84" t="s">
        <v>825</v>
      </c>
      <c r="I361" s="85"/>
    </row>
    <row r="362" spans="2:9" x14ac:dyDescent="0.25">
      <c r="B362" s="41"/>
      <c r="C362" s="84" t="s">
        <v>511</v>
      </c>
      <c r="D362" s="84" t="s">
        <v>1236</v>
      </c>
      <c r="E362" s="84" t="s">
        <v>823</v>
      </c>
      <c r="F362" s="89" t="s">
        <v>22</v>
      </c>
      <c r="G362" s="84" t="s">
        <v>824</v>
      </c>
      <c r="H362" s="84" t="s">
        <v>825</v>
      </c>
      <c r="I362" s="85"/>
    </row>
    <row r="363" spans="2:9" x14ac:dyDescent="0.25">
      <c r="B363" s="41"/>
      <c r="C363" s="84" t="s">
        <v>513</v>
      </c>
      <c r="D363" s="84" t="s">
        <v>1237</v>
      </c>
      <c r="E363" s="84" t="s">
        <v>823</v>
      </c>
      <c r="F363" s="90" t="s">
        <v>36</v>
      </c>
      <c r="G363" s="84" t="s">
        <v>824</v>
      </c>
      <c r="H363" s="84" t="s">
        <v>825</v>
      </c>
      <c r="I363" s="85"/>
    </row>
    <row r="364" spans="2:9" x14ac:dyDescent="0.25">
      <c r="B364" s="41"/>
      <c r="C364" s="84" t="s">
        <v>514</v>
      </c>
      <c r="D364" s="84" t="s">
        <v>1238</v>
      </c>
      <c r="E364" s="84" t="s">
        <v>823</v>
      </c>
      <c r="F364" s="89" t="s">
        <v>22</v>
      </c>
      <c r="G364" s="84" t="s">
        <v>824</v>
      </c>
      <c r="H364" s="84" t="s">
        <v>825</v>
      </c>
      <c r="I364" s="85"/>
    </row>
    <row r="365" spans="2:9" x14ac:dyDescent="0.25">
      <c r="B365" s="41"/>
      <c r="C365" s="84" t="s">
        <v>1241</v>
      </c>
      <c r="D365" s="84" t="s">
        <v>1242</v>
      </c>
      <c r="E365" s="84" t="s">
        <v>823</v>
      </c>
      <c r="F365" s="89" t="s">
        <v>22</v>
      </c>
      <c r="G365" s="84" t="s">
        <v>824</v>
      </c>
      <c r="H365" s="84" t="s">
        <v>825</v>
      </c>
      <c r="I365" s="85"/>
    </row>
    <row r="366" spans="2:9" x14ac:dyDescent="0.25">
      <c r="B366" s="41"/>
      <c r="C366" s="84" t="s">
        <v>516</v>
      </c>
      <c r="D366" s="84" t="s">
        <v>1243</v>
      </c>
      <c r="E366" s="84" t="s">
        <v>823</v>
      </c>
      <c r="F366" s="89" t="s">
        <v>22</v>
      </c>
      <c r="G366" s="84" t="s">
        <v>824</v>
      </c>
      <c r="H366" s="84" t="s">
        <v>825</v>
      </c>
      <c r="I366" s="85"/>
    </row>
    <row r="367" spans="2:9" x14ac:dyDescent="0.25">
      <c r="B367" s="41"/>
      <c r="C367" s="84" t="s">
        <v>519</v>
      </c>
      <c r="D367" s="84" t="s">
        <v>1244</v>
      </c>
      <c r="E367" s="84" t="s">
        <v>823</v>
      </c>
      <c r="F367" s="89" t="s">
        <v>22</v>
      </c>
      <c r="G367" s="84" t="s">
        <v>824</v>
      </c>
      <c r="H367" s="84" t="s">
        <v>825</v>
      </c>
      <c r="I367" s="85"/>
    </row>
    <row r="368" spans="2:9" x14ac:dyDescent="0.25">
      <c r="B368" s="41"/>
      <c r="C368" s="84" t="s">
        <v>521</v>
      </c>
      <c r="D368" s="84" t="s">
        <v>1750</v>
      </c>
      <c r="E368" s="84" t="s">
        <v>823</v>
      </c>
      <c r="F368" s="89" t="s">
        <v>22</v>
      </c>
      <c r="G368" s="84" t="s">
        <v>824</v>
      </c>
      <c r="H368" s="84" t="s">
        <v>825</v>
      </c>
      <c r="I368" s="85"/>
    </row>
    <row r="369" spans="2:9" x14ac:dyDescent="0.25">
      <c r="B369" s="41"/>
      <c r="C369" s="84" t="s">
        <v>1246</v>
      </c>
      <c r="D369" s="84" t="s">
        <v>1247</v>
      </c>
      <c r="E369" s="84" t="s">
        <v>823</v>
      </c>
      <c r="F369" s="91" t="s">
        <v>47</v>
      </c>
      <c r="G369" s="84" t="s">
        <v>824</v>
      </c>
      <c r="H369" s="84" t="s">
        <v>825</v>
      </c>
      <c r="I369" s="85"/>
    </row>
    <row r="370" spans="2:9" x14ac:dyDescent="0.25">
      <c r="B370" s="41"/>
      <c r="C370" s="84" t="s">
        <v>523</v>
      </c>
      <c r="D370" s="84" t="s">
        <v>1248</v>
      </c>
      <c r="E370" s="84" t="s">
        <v>823</v>
      </c>
      <c r="F370" s="93" t="s">
        <v>222</v>
      </c>
      <c r="G370" s="84" t="s">
        <v>825</v>
      </c>
      <c r="H370" s="84" t="s">
        <v>825</v>
      </c>
      <c r="I370" s="85"/>
    </row>
    <row r="371" spans="2:9" x14ac:dyDescent="0.25">
      <c r="B371" s="41"/>
      <c r="C371" s="84" t="s">
        <v>524</v>
      </c>
      <c r="D371" s="84" t="s">
        <v>1249</v>
      </c>
      <c r="E371" s="84" t="s">
        <v>823</v>
      </c>
      <c r="F371" s="89" t="s">
        <v>22</v>
      </c>
      <c r="G371" s="84" t="s">
        <v>824</v>
      </c>
      <c r="H371" s="84" t="s">
        <v>825</v>
      </c>
      <c r="I371" s="85"/>
    </row>
    <row r="372" spans="2:9" x14ac:dyDescent="0.25">
      <c r="B372" s="41"/>
      <c r="C372" s="84" t="s">
        <v>525</v>
      </c>
      <c r="D372" s="84" t="s">
        <v>1250</v>
      </c>
      <c r="E372" s="84" t="s">
        <v>823</v>
      </c>
      <c r="F372" s="89" t="s">
        <v>22</v>
      </c>
      <c r="G372" s="84" t="s">
        <v>824</v>
      </c>
      <c r="H372" s="84" t="s">
        <v>825</v>
      </c>
      <c r="I372" s="85"/>
    </row>
    <row r="373" spans="2:9" x14ac:dyDescent="0.25">
      <c r="B373" s="41"/>
      <c r="C373" s="84" t="s">
        <v>527</v>
      </c>
      <c r="D373" s="84" t="s">
        <v>1251</v>
      </c>
      <c r="E373" s="84" t="s">
        <v>823</v>
      </c>
      <c r="F373" s="89" t="s">
        <v>22</v>
      </c>
      <c r="G373" s="84" t="s">
        <v>824</v>
      </c>
      <c r="H373" s="84" t="s">
        <v>825</v>
      </c>
      <c r="I373" s="85"/>
    </row>
    <row r="374" spans="2:9" x14ac:dyDescent="0.25">
      <c r="B374" s="41"/>
      <c r="C374" s="84" t="s">
        <v>1252</v>
      </c>
      <c r="D374" s="84" t="s">
        <v>1253</v>
      </c>
      <c r="E374" s="84" t="s">
        <v>823</v>
      </c>
      <c r="F374" s="89" t="s">
        <v>22</v>
      </c>
      <c r="G374" s="84" t="s">
        <v>824</v>
      </c>
      <c r="H374" s="84" t="s">
        <v>825</v>
      </c>
      <c r="I374" s="85"/>
    </row>
    <row r="375" spans="2:9" x14ac:dyDescent="0.25">
      <c r="B375" s="41"/>
      <c r="C375" s="84" t="s">
        <v>529</v>
      </c>
      <c r="D375" s="84" t="s">
        <v>1254</v>
      </c>
      <c r="E375" s="84" t="s">
        <v>823</v>
      </c>
      <c r="F375" s="89" t="s">
        <v>22</v>
      </c>
      <c r="G375" s="84" t="s">
        <v>824</v>
      </c>
      <c r="H375" s="84" t="s">
        <v>825</v>
      </c>
      <c r="I375" s="85"/>
    </row>
    <row r="376" spans="2:9" x14ac:dyDescent="0.25">
      <c r="B376" s="41"/>
      <c r="C376" s="84" t="s">
        <v>532</v>
      </c>
      <c r="D376" s="84" t="s">
        <v>1255</v>
      </c>
      <c r="E376" s="84" t="s">
        <v>823</v>
      </c>
      <c r="F376" s="90" t="s">
        <v>36</v>
      </c>
      <c r="G376" s="84" t="s">
        <v>824</v>
      </c>
      <c r="H376" s="84" t="s">
        <v>825</v>
      </c>
      <c r="I376" s="85"/>
    </row>
    <row r="377" spans="2:9" x14ac:dyDescent="0.25">
      <c r="B377" s="41"/>
      <c r="C377" s="84" t="s">
        <v>533</v>
      </c>
      <c r="D377" s="84" t="s">
        <v>1256</v>
      </c>
      <c r="E377" s="84" t="s">
        <v>831</v>
      </c>
      <c r="F377" s="90" t="s">
        <v>36</v>
      </c>
      <c r="G377" s="84" t="s">
        <v>824</v>
      </c>
      <c r="H377" s="84" t="s">
        <v>825</v>
      </c>
      <c r="I377" s="85"/>
    </row>
    <row r="378" spans="2:9" x14ac:dyDescent="0.25">
      <c r="B378" s="41"/>
      <c r="C378" s="84" t="s">
        <v>534</v>
      </c>
      <c r="D378" s="84" t="s">
        <v>1257</v>
      </c>
      <c r="E378" s="84" t="s">
        <v>823</v>
      </c>
      <c r="F378" s="89" t="s">
        <v>22</v>
      </c>
      <c r="G378" s="84" t="s">
        <v>824</v>
      </c>
      <c r="H378" s="84" t="s">
        <v>825</v>
      </c>
      <c r="I378" s="85"/>
    </row>
    <row r="379" spans="2:9" x14ac:dyDescent="0.25">
      <c r="B379" s="41"/>
      <c r="C379" s="84" t="s">
        <v>1258</v>
      </c>
      <c r="D379" s="84" t="s">
        <v>1259</v>
      </c>
      <c r="E379" s="84" t="s">
        <v>823</v>
      </c>
      <c r="F379" s="89" t="s">
        <v>22</v>
      </c>
      <c r="G379" s="84" t="s">
        <v>824</v>
      </c>
      <c r="H379" s="84" t="s">
        <v>825</v>
      </c>
      <c r="I379" s="85"/>
    </row>
    <row r="380" spans="2:9" x14ac:dyDescent="0.25">
      <c r="B380" s="41"/>
      <c r="C380" s="84" t="s">
        <v>537</v>
      </c>
      <c r="D380" s="84" t="s">
        <v>1260</v>
      </c>
      <c r="E380" s="84" t="s">
        <v>831</v>
      </c>
      <c r="F380" s="90" t="s">
        <v>36</v>
      </c>
      <c r="G380" s="84" t="s">
        <v>824</v>
      </c>
      <c r="H380" s="84" t="s">
        <v>825</v>
      </c>
      <c r="I380" s="85"/>
    </row>
    <row r="381" spans="2:9" x14ac:dyDescent="0.25">
      <c r="B381" s="41"/>
      <c r="C381" s="84" t="s">
        <v>539</v>
      </c>
      <c r="D381" s="84" t="s">
        <v>1261</v>
      </c>
      <c r="E381" s="84" t="s">
        <v>823</v>
      </c>
      <c r="F381" s="89" t="s">
        <v>22</v>
      </c>
      <c r="G381" s="84" t="s">
        <v>824</v>
      </c>
      <c r="H381" s="84" t="s">
        <v>825</v>
      </c>
      <c r="I381" s="85"/>
    </row>
    <row r="382" spans="2:9" x14ac:dyDescent="0.25">
      <c r="B382" s="41"/>
      <c r="C382" s="84" t="s">
        <v>542</v>
      </c>
      <c r="D382" s="84" t="s">
        <v>1262</v>
      </c>
      <c r="E382" s="84" t="s">
        <v>831</v>
      </c>
      <c r="F382" s="89" t="s">
        <v>22</v>
      </c>
      <c r="G382" s="84" t="s">
        <v>824</v>
      </c>
      <c r="H382" s="84" t="s">
        <v>825</v>
      </c>
      <c r="I382" s="85"/>
    </row>
    <row r="383" spans="2:9" x14ac:dyDescent="0.25">
      <c r="B383" s="41"/>
      <c r="C383" s="84" t="s">
        <v>543</v>
      </c>
      <c r="D383" s="84" t="s">
        <v>1263</v>
      </c>
      <c r="E383" s="84" t="s">
        <v>823</v>
      </c>
      <c r="F383" s="89" t="s">
        <v>22</v>
      </c>
      <c r="G383" s="84" t="s">
        <v>824</v>
      </c>
      <c r="H383" s="84" t="s">
        <v>825</v>
      </c>
      <c r="I383" s="85"/>
    </row>
    <row r="384" spans="2:9" x14ac:dyDescent="0.25">
      <c r="B384" s="41"/>
      <c r="C384" s="84" t="s">
        <v>545</v>
      </c>
      <c r="D384" s="84" t="s">
        <v>1264</v>
      </c>
      <c r="E384" s="84" t="s">
        <v>823</v>
      </c>
      <c r="F384" s="89" t="s">
        <v>22</v>
      </c>
      <c r="G384" s="84" t="s">
        <v>824</v>
      </c>
      <c r="H384" s="84" t="s">
        <v>825</v>
      </c>
      <c r="I384" s="85"/>
    </row>
    <row r="385" spans="2:9" x14ac:dyDescent="0.25">
      <c r="B385" s="41"/>
      <c r="C385" s="84" t="s">
        <v>548</v>
      </c>
      <c r="D385" s="84" t="s">
        <v>1265</v>
      </c>
      <c r="E385" s="84" t="s">
        <v>823</v>
      </c>
      <c r="F385" s="90" t="s">
        <v>36</v>
      </c>
      <c r="G385" s="84" t="s">
        <v>824</v>
      </c>
      <c r="H385" s="84" t="s">
        <v>825</v>
      </c>
      <c r="I385" s="85"/>
    </row>
    <row r="386" spans="2:9" x14ac:dyDescent="0.25">
      <c r="B386" s="41"/>
      <c r="C386" s="84" t="s">
        <v>549</v>
      </c>
      <c r="D386" s="84" t="s">
        <v>1266</v>
      </c>
      <c r="E386" s="84" t="s">
        <v>823</v>
      </c>
      <c r="F386" s="89" t="s">
        <v>22</v>
      </c>
      <c r="G386" s="84" t="s">
        <v>824</v>
      </c>
      <c r="H386" s="84" t="s">
        <v>825</v>
      </c>
      <c r="I386" s="85"/>
    </row>
    <row r="387" spans="2:9" x14ac:dyDescent="0.25">
      <c r="B387" s="41"/>
      <c r="C387" s="84" t="s">
        <v>550</v>
      </c>
      <c r="D387" s="84" t="s">
        <v>1751</v>
      </c>
      <c r="E387" s="84" t="s">
        <v>823</v>
      </c>
      <c r="F387" s="90" t="s">
        <v>36</v>
      </c>
      <c r="G387" s="84" t="s">
        <v>824</v>
      </c>
      <c r="H387" s="84" t="s">
        <v>825</v>
      </c>
      <c r="I387" s="85"/>
    </row>
    <row r="388" spans="2:9" x14ac:dyDescent="0.25">
      <c r="B388" s="41"/>
      <c r="C388" s="84" t="s">
        <v>552</v>
      </c>
      <c r="D388" s="84" t="s">
        <v>1267</v>
      </c>
      <c r="E388" s="84" t="s">
        <v>823</v>
      </c>
      <c r="F388" s="89" t="s">
        <v>22</v>
      </c>
      <c r="G388" s="84" t="s">
        <v>824</v>
      </c>
      <c r="H388" s="84" t="s">
        <v>825</v>
      </c>
      <c r="I388" s="85"/>
    </row>
    <row r="389" spans="2:9" x14ac:dyDescent="0.25">
      <c r="B389" s="41"/>
      <c r="C389" s="84" t="s">
        <v>1268</v>
      </c>
      <c r="D389" s="84" t="s">
        <v>1269</v>
      </c>
      <c r="E389" s="84" t="s">
        <v>823</v>
      </c>
      <c r="F389" s="90" t="s">
        <v>36</v>
      </c>
      <c r="G389" s="84" t="s">
        <v>824</v>
      </c>
      <c r="H389" s="84" t="s">
        <v>825</v>
      </c>
      <c r="I389" s="85"/>
    </row>
    <row r="390" spans="2:9" x14ac:dyDescent="0.25">
      <c r="B390" s="41"/>
      <c r="C390" s="84" t="s">
        <v>555</v>
      </c>
      <c r="D390" s="84" t="s">
        <v>1270</v>
      </c>
      <c r="E390" s="84" t="s">
        <v>823</v>
      </c>
      <c r="F390" s="89" t="s">
        <v>22</v>
      </c>
      <c r="G390" s="84" t="s">
        <v>824</v>
      </c>
      <c r="H390" s="84" t="s">
        <v>825</v>
      </c>
      <c r="I390" s="85"/>
    </row>
    <row r="391" spans="2:9" x14ac:dyDescent="0.25">
      <c r="B391" s="41"/>
      <c r="C391" s="84" t="s">
        <v>1271</v>
      </c>
      <c r="D391" s="84" t="s">
        <v>1272</v>
      </c>
      <c r="E391" s="84" t="s">
        <v>823</v>
      </c>
      <c r="F391" s="89" t="s">
        <v>22</v>
      </c>
      <c r="G391" s="84" t="s">
        <v>824</v>
      </c>
      <c r="H391" s="84" t="s">
        <v>825</v>
      </c>
      <c r="I391" s="85"/>
    </row>
    <row r="392" spans="2:9" x14ac:dyDescent="0.25">
      <c r="B392" s="41"/>
      <c r="C392" s="84" t="s">
        <v>556</v>
      </c>
      <c r="D392" s="84" t="s">
        <v>1273</v>
      </c>
      <c r="E392" s="84" t="s">
        <v>823</v>
      </c>
      <c r="F392" s="89" t="s">
        <v>22</v>
      </c>
      <c r="G392" s="84" t="s">
        <v>824</v>
      </c>
      <c r="H392" s="84" t="s">
        <v>825</v>
      </c>
      <c r="I392" s="85"/>
    </row>
    <row r="393" spans="2:9" x14ac:dyDescent="0.25">
      <c r="B393" s="41"/>
      <c r="C393" s="84" t="s">
        <v>558</v>
      </c>
      <c r="D393" s="84" t="s">
        <v>1274</v>
      </c>
      <c r="E393" s="84" t="s">
        <v>823</v>
      </c>
      <c r="F393" s="89" t="s">
        <v>22</v>
      </c>
      <c r="G393" s="84" t="s">
        <v>824</v>
      </c>
      <c r="H393" s="84" t="s">
        <v>825</v>
      </c>
      <c r="I393" s="85"/>
    </row>
    <row r="394" spans="2:9" x14ac:dyDescent="0.25">
      <c r="B394" s="41"/>
      <c r="C394" s="84" t="s">
        <v>559</v>
      </c>
      <c r="D394" s="84" t="s">
        <v>1275</v>
      </c>
      <c r="E394" s="84" t="s">
        <v>823</v>
      </c>
      <c r="F394" s="89" t="s">
        <v>22</v>
      </c>
      <c r="G394" s="84" t="s">
        <v>824</v>
      </c>
      <c r="H394" s="84" t="s">
        <v>825</v>
      </c>
      <c r="I394" s="85"/>
    </row>
    <row r="395" spans="2:9" x14ac:dyDescent="0.25">
      <c r="B395" s="41"/>
      <c r="C395" s="84" t="s">
        <v>562</v>
      </c>
      <c r="D395" s="84" t="s">
        <v>1752</v>
      </c>
      <c r="E395" s="84" t="s">
        <v>823</v>
      </c>
      <c r="F395" s="89" t="s">
        <v>22</v>
      </c>
      <c r="G395" s="84" t="s">
        <v>824</v>
      </c>
      <c r="H395" s="84" t="s">
        <v>825</v>
      </c>
      <c r="I395" s="85"/>
    </row>
    <row r="396" spans="2:9" x14ac:dyDescent="0.25">
      <c r="B396" s="41"/>
      <c r="C396" s="84" t="s">
        <v>1278</v>
      </c>
      <c r="D396" s="84" t="s">
        <v>1279</v>
      </c>
      <c r="E396" s="84" t="s">
        <v>872</v>
      </c>
      <c r="F396" s="90" t="s">
        <v>36</v>
      </c>
      <c r="G396" s="84" t="s">
        <v>824</v>
      </c>
      <c r="H396" s="84" t="s">
        <v>861</v>
      </c>
      <c r="I396" s="85"/>
    </row>
    <row r="397" spans="2:9" x14ac:dyDescent="0.25">
      <c r="B397" s="42"/>
      <c r="C397" s="86" t="s">
        <v>563</v>
      </c>
      <c r="D397" s="86" t="s">
        <v>1280</v>
      </c>
      <c r="E397" s="86" t="s">
        <v>823</v>
      </c>
      <c r="F397" s="92" t="s">
        <v>22</v>
      </c>
      <c r="G397" s="86" t="s">
        <v>824</v>
      </c>
      <c r="H397" s="86" t="s">
        <v>825</v>
      </c>
      <c r="I397" s="87"/>
    </row>
    <row r="398" spans="2:9" x14ac:dyDescent="0.25">
      <c r="B398" s="41"/>
      <c r="C398" s="84" t="s">
        <v>1703</v>
      </c>
      <c r="D398" s="84" t="s">
        <v>1753</v>
      </c>
      <c r="E398" s="84" t="s">
        <v>823</v>
      </c>
      <c r="F398" s="89" t="s">
        <v>22</v>
      </c>
      <c r="G398" s="84" t="s">
        <v>824</v>
      </c>
      <c r="H398" s="84" t="s">
        <v>825</v>
      </c>
      <c r="I398" s="85"/>
    </row>
    <row r="399" spans="2:9" x14ac:dyDescent="0.25">
      <c r="B399" s="41"/>
      <c r="C399" s="84" t="s">
        <v>565</v>
      </c>
      <c r="D399" s="84" t="s">
        <v>1281</v>
      </c>
      <c r="E399" s="84" t="s">
        <v>823</v>
      </c>
      <c r="F399" s="89" t="s">
        <v>22</v>
      </c>
      <c r="G399" s="84" t="s">
        <v>824</v>
      </c>
      <c r="H399" s="84" t="s">
        <v>825</v>
      </c>
      <c r="I399" s="85"/>
    </row>
    <row r="400" spans="2:9" x14ac:dyDescent="0.25">
      <c r="B400" s="41"/>
      <c r="C400" s="84" t="s">
        <v>567</v>
      </c>
      <c r="D400" s="84" t="s">
        <v>1754</v>
      </c>
      <c r="E400" s="84" t="s">
        <v>823</v>
      </c>
      <c r="F400" s="89" t="s">
        <v>22</v>
      </c>
      <c r="G400" s="84" t="s">
        <v>824</v>
      </c>
      <c r="H400" s="84" t="s">
        <v>825</v>
      </c>
      <c r="I400" s="85"/>
    </row>
    <row r="401" spans="2:9" x14ac:dyDescent="0.25">
      <c r="B401" s="41"/>
      <c r="C401" s="84" t="s">
        <v>570</v>
      </c>
      <c r="D401" s="84" t="s">
        <v>1287</v>
      </c>
      <c r="E401" s="84" t="s">
        <v>823</v>
      </c>
      <c r="F401" s="89" t="s">
        <v>22</v>
      </c>
      <c r="G401" s="84" t="s">
        <v>824</v>
      </c>
      <c r="H401" s="84" t="s">
        <v>825</v>
      </c>
      <c r="I401" s="85"/>
    </row>
    <row r="402" spans="2:9" x14ac:dyDescent="0.25">
      <c r="B402" s="41"/>
      <c r="C402" s="84" t="s">
        <v>572</v>
      </c>
      <c r="D402" s="84" t="s">
        <v>1288</v>
      </c>
      <c r="E402" s="84" t="s">
        <v>823</v>
      </c>
      <c r="F402" s="90" t="s">
        <v>36</v>
      </c>
      <c r="G402" s="84" t="s">
        <v>824</v>
      </c>
      <c r="H402" s="84" t="s">
        <v>825</v>
      </c>
      <c r="I402" s="85"/>
    </row>
    <row r="403" spans="2:9" x14ac:dyDescent="0.25">
      <c r="B403" s="41"/>
      <c r="C403" s="84" t="s">
        <v>573</v>
      </c>
      <c r="D403" s="84" t="s">
        <v>1289</v>
      </c>
      <c r="E403" s="84" t="s">
        <v>823</v>
      </c>
      <c r="F403" s="89" t="s">
        <v>22</v>
      </c>
      <c r="G403" s="84" t="s">
        <v>824</v>
      </c>
      <c r="H403" s="84" t="s">
        <v>825</v>
      </c>
      <c r="I403" s="85"/>
    </row>
    <row r="404" spans="2:9" x14ac:dyDescent="0.25">
      <c r="B404" s="41"/>
      <c r="C404" s="84" t="s">
        <v>575</v>
      </c>
      <c r="D404" s="84" t="s">
        <v>1755</v>
      </c>
      <c r="E404" s="84" t="s">
        <v>823</v>
      </c>
      <c r="F404" s="89" t="s">
        <v>22</v>
      </c>
      <c r="G404" s="84" t="s">
        <v>824</v>
      </c>
      <c r="H404" s="84" t="s">
        <v>825</v>
      </c>
      <c r="I404" s="85"/>
    </row>
    <row r="405" spans="2:9" x14ac:dyDescent="0.25">
      <c r="B405" s="41"/>
      <c r="C405" s="84" t="s">
        <v>576</v>
      </c>
      <c r="D405" s="84" t="s">
        <v>1290</v>
      </c>
      <c r="E405" s="84" t="s">
        <v>823</v>
      </c>
      <c r="F405" s="89" t="s">
        <v>22</v>
      </c>
      <c r="G405" s="84" t="s">
        <v>824</v>
      </c>
      <c r="H405" s="84" t="s">
        <v>825</v>
      </c>
      <c r="I405" s="85"/>
    </row>
    <row r="406" spans="2:9" x14ac:dyDescent="0.25">
      <c r="B406" s="41"/>
      <c r="C406" s="84" t="s">
        <v>577</v>
      </c>
      <c r="D406" s="84" t="s">
        <v>1293</v>
      </c>
      <c r="E406" s="84" t="s">
        <v>823</v>
      </c>
      <c r="F406" s="89" t="s">
        <v>22</v>
      </c>
      <c r="G406" s="84" t="s">
        <v>824</v>
      </c>
      <c r="H406" s="84" t="s">
        <v>825</v>
      </c>
      <c r="I406" s="85"/>
    </row>
    <row r="407" spans="2:9" x14ac:dyDescent="0.25">
      <c r="B407" s="41"/>
      <c r="C407" s="84" t="s">
        <v>579</v>
      </c>
      <c r="D407" s="84" t="s">
        <v>1294</v>
      </c>
      <c r="E407" s="84" t="s">
        <v>823</v>
      </c>
      <c r="F407" s="89" t="s">
        <v>22</v>
      </c>
      <c r="G407" s="84" t="s">
        <v>824</v>
      </c>
      <c r="H407" s="84" t="s">
        <v>825</v>
      </c>
      <c r="I407" s="85"/>
    </row>
    <row r="408" spans="2:9" x14ac:dyDescent="0.25">
      <c r="B408" s="41"/>
      <c r="C408" s="84" t="s">
        <v>1295</v>
      </c>
      <c r="D408" s="84" t="s">
        <v>1296</v>
      </c>
      <c r="E408" s="84" t="s">
        <v>823</v>
      </c>
      <c r="F408" s="89" t="s">
        <v>22</v>
      </c>
      <c r="G408" s="84" t="s">
        <v>824</v>
      </c>
      <c r="H408" s="84" t="s">
        <v>825</v>
      </c>
      <c r="I408" s="85"/>
    </row>
    <row r="409" spans="2:9" x14ac:dyDescent="0.25">
      <c r="B409" s="41"/>
      <c r="C409" s="84" t="s">
        <v>581</v>
      </c>
      <c r="D409" s="84" t="s">
        <v>1297</v>
      </c>
      <c r="E409" s="84" t="s">
        <v>823</v>
      </c>
      <c r="F409" s="89" t="s">
        <v>22</v>
      </c>
      <c r="G409" s="84" t="s">
        <v>824</v>
      </c>
      <c r="H409" s="84" t="s">
        <v>825</v>
      </c>
      <c r="I409" s="85"/>
    </row>
    <row r="410" spans="2:9" x14ac:dyDescent="0.25">
      <c r="B410" s="41"/>
      <c r="C410" s="84" t="s">
        <v>583</v>
      </c>
      <c r="D410" s="84" t="s">
        <v>1298</v>
      </c>
      <c r="E410" s="84" t="s">
        <v>823</v>
      </c>
      <c r="F410" s="89" t="s">
        <v>22</v>
      </c>
      <c r="G410" s="84" t="s">
        <v>824</v>
      </c>
      <c r="H410" s="84" t="s">
        <v>825</v>
      </c>
      <c r="I410" s="85"/>
    </row>
    <row r="411" spans="2:9" x14ac:dyDescent="0.25">
      <c r="B411" s="41"/>
      <c r="C411" s="84" t="s">
        <v>587</v>
      </c>
      <c r="D411" s="84" t="s">
        <v>1299</v>
      </c>
      <c r="E411" s="84" t="s">
        <v>823</v>
      </c>
      <c r="F411" s="89" t="s">
        <v>22</v>
      </c>
      <c r="G411" s="84" t="s">
        <v>824</v>
      </c>
      <c r="H411" s="84" t="s">
        <v>825</v>
      </c>
      <c r="I411" s="85"/>
    </row>
    <row r="412" spans="2:9" x14ac:dyDescent="0.25">
      <c r="B412" s="41"/>
      <c r="C412" s="84" t="s">
        <v>588</v>
      </c>
      <c r="D412" s="84" t="s">
        <v>1300</v>
      </c>
      <c r="E412" s="84" t="s">
        <v>823</v>
      </c>
      <c r="F412" s="89" t="s">
        <v>22</v>
      </c>
      <c r="G412" s="84" t="s">
        <v>824</v>
      </c>
      <c r="H412" s="84" t="s">
        <v>825</v>
      </c>
      <c r="I412" s="85"/>
    </row>
    <row r="413" spans="2:9" x14ac:dyDescent="0.25">
      <c r="B413" s="41"/>
      <c r="C413" s="84" t="s">
        <v>1301</v>
      </c>
      <c r="D413" s="84" t="s">
        <v>1302</v>
      </c>
      <c r="E413" s="84" t="s">
        <v>823</v>
      </c>
      <c r="F413" s="89" t="s">
        <v>22</v>
      </c>
      <c r="G413" s="84" t="s">
        <v>824</v>
      </c>
      <c r="H413" s="84" t="s">
        <v>825</v>
      </c>
      <c r="I413" s="85"/>
    </row>
    <row r="414" spans="2:9" x14ac:dyDescent="0.25">
      <c r="B414" s="41"/>
      <c r="C414" s="84" t="s">
        <v>590</v>
      </c>
      <c r="D414" s="84" t="s">
        <v>1303</v>
      </c>
      <c r="E414" s="84" t="s">
        <v>823</v>
      </c>
      <c r="F414" s="89" t="s">
        <v>22</v>
      </c>
      <c r="G414" s="84" t="s">
        <v>824</v>
      </c>
      <c r="H414" s="84" t="s">
        <v>825</v>
      </c>
      <c r="I414" s="85"/>
    </row>
    <row r="415" spans="2:9" x14ac:dyDescent="0.25">
      <c r="B415" s="41"/>
      <c r="C415" s="84" t="s">
        <v>593</v>
      </c>
      <c r="D415" s="84" t="s">
        <v>1304</v>
      </c>
      <c r="E415" s="84" t="s">
        <v>823</v>
      </c>
      <c r="F415" s="89" t="s">
        <v>22</v>
      </c>
      <c r="G415" s="84" t="s">
        <v>824</v>
      </c>
      <c r="H415" s="84" t="s">
        <v>825</v>
      </c>
      <c r="I415" s="85"/>
    </row>
    <row r="416" spans="2:9" x14ac:dyDescent="0.25">
      <c r="B416" s="41"/>
      <c r="C416" s="84" t="s">
        <v>595</v>
      </c>
      <c r="D416" s="84" t="s">
        <v>1307</v>
      </c>
      <c r="E416" s="84" t="s">
        <v>823</v>
      </c>
      <c r="F416" s="89" t="s">
        <v>22</v>
      </c>
      <c r="G416" s="84" t="s">
        <v>824</v>
      </c>
      <c r="H416" s="84" t="s">
        <v>825</v>
      </c>
      <c r="I416" s="85"/>
    </row>
    <row r="417" spans="2:9" x14ac:dyDescent="0.25">
      <c r="B417" s="41"/>
      <c r="C417" s="84" t="s">
        <v>596</v>
      </c>
      <c r="D417" s="84" t="s">
        <v>1308</v>
      </c>
      <c r="E417" s="84" t="s">
        <v>823</v>
      </c>
      <c r="F417" s="89" t="s">
        <v>22</v>
      </c>
      <c r="G417" s="84" t="s">
        <v>824</v>
      </c>
      <c r="H417" s="84" t="s">
        <v>825</v>
      </c>
      <c r="I417" s="85"/>
    </row>
    <row r="418" spans="2:9" x14ac:dyDescent="0.25">
      <c r="B418" s="41"/>
      <c r="C418" s="84" t="s">
        <v>598</v>
      </c>
      <c r="D418" s="84" t="s">
        <v>1311</v>
      </c>
      <c r="E418" s="84" t="s">
        <v>823</v>
      </c>
      <c r="F418" s="89" t="s">
        <v>22</v>
      </c>
      <c r="G418" s="84" t="s">
        <v>824</v>
      </c>
      <c r="H418" s="84" t="s">
        <v>825</v>
      </c>
      <c r="I418" s="85"/>
    </row>
    <row r="419" spans="2:9" x14ac:dyDescent="0.25">
      <c r="B419" s="41"/>
      <c r="C419" s="84" t="s">
        <v>599</v>
      </c>
      <c r="D419" s="84" t="s">
        <v>1312</v>
      </c>
      <c r="E419" s="84" t="s">
        <v>823</v>
      </c>
      <c r="F419" s="89" t="s">
        <v>22</v>
      </c>
      <c r="G419" s="84" t="s">
        <v>824</v>
      </c>
      <c r="H419" s="84" t="s">
        <v>825</v>
      </c>
      <c r="I419" s="85"/>
    </row>
    <row r="420" spans="2:9" x14ac:dyDescent="0.25">
      <c r="B420" s="41"/>
      <c r="C420" s="84" t="s">
        <v>600</v>
      </c>
      <c r="D420" s="84" t="s">
        <v>1313</v>
      </c>
      <c r="E420" s="84" t="s">
        <v>823</v>
      </c>
      <c r="F420" s="89" t="s">
        <v>22</v>
      </c>
      <c r="G420" s="84" t="s">
        <v>824</v>
      </c>
      <c r="H420" s="84" t="s">
        <v>825</v>
      </c>
      <c r="I420" s="85"/>
    </row>
    <row r="421" spans="2:9" x14ac:dyDescent="0.25">
      <c r="B421" s="41"/>
      <c r="C421" s="84" t="s">
        <v>602</v>
      </c>
      <c r="D421" s="84" t="s">
        <v>1314</v>
      </c>
      <c r="E421" s="84" t="s">
        <v>823</v>
      </c>
      <c r="F421" s="89" t="s">
        <v>22</v>
      </c>
      <c r="G421" s="84" t="s">
        <v>824</v>
      </c>
      <c r="H421" s="84" t="s">
        <v>825</v>
      </c>
      <c r="I421" s="85"/>
    </row>
    <row r="422" spans="2:9" x14ac:dyDescent="0.25">
      <c r="B422" s="41"/>
      <c r="C422" s="84" t="s">
        <v>604</v>
      </c>
      <c r="D422" s="84" t="s">
        <v>1315</v>
      </c>
      <c r="E422" s="84" t="s">
        <v>823</v>
      </c>
      <c r="F422" s="89" t="s">
        <v>22</v>
      </c>
      <c r="G422" s="84" t="s">
        <v>824</v>
      </c>
      <c r="H422" s="84" t="s">
        <v>825</v>
      </c>
      <c r="I422" s="85"/>
    </row>
    <row r="423" spans="2:9" x14ac:dyDescent="0.25">
      <c r="B423" s="41"/>
      <c r="C423" s="84" t="s">
        <v>606</v>
      </c>
      <c r="D423" s="84" t="s">
        <v>1316</v>
      </c>
      <c r="E423" s="84" t="s">
        <v>823</v>
      </c>
      <c r="F423" s="89" t="s">
        <v>22</v>
      </c>
      <c r="G423" s="84" t="s">
        <v>824</v>
      </c>
      <c r="H423" s="84" t="s">
        <v>825</v>
      </c>
      <c r="I423" s="85"/>
    </row>
    <row r="424" spans="2:9" x14ac:dyDescent="0.25">
      <c r="B424" s="41"/>
      <c r="C424" s="84" t="s">
        <v>608</v>
      </c>
      <c r="D424" s="84" t="s">
        <v>1317</v>
      </c>
      <c r="E424" s="84" t="s">
        <v>823</v>
      </c>
      <c r="F424" s="89" t="s">
        <v>22</v>
      </c>
      <c r="G424" s="84" t="s">
        <v>824</v>
      </c>
      <c r="H424" s="84" t="s">
        <v>825</v>
      </c>
      <c r="I424" s="85"/>
    </row>
    <row r="425" spans="2:9" x14ac:dyDescent="0.25">
      <c r="B425" s="41"/>
      <c r="C425" s="84" t="s">
        <v>610</v>
      </c>
      <c r="D425" s="84" t="s">
        <v>1318</v>
      </c>
      <c r="E425" s="84" t="s">
        <v>823</v>
      </c>
      <c r="F425" s="90" t="s">
        <v>36</v>
      </c>
      <c r="G425" s="84" t="s">
        <v>824</v>
      </c>
      <c r="H425" s="84" t="s">
        <v>825</v>
      </c>
      <c r="I425" s="85"/>
    </row>
    <row r="426" spans="2:9" x14ac:dyDescent="0.25">
      <c r="B426" s="41"/>
      <c r="C426" s="84" t="s">
        <v>1319</v>
      </c>
      <c r="D426" s="84" t="s">
        <v>1320</v>
      </c>
      <c r="E426" s="84" t="s">
        <v>823</v>
      </c>
      <c r="F426" s="89" t="s">
        <v>22</v>
      </c>
      <c r="G426" s="84" t="s">
        <v>824</v>
      </c>
      <c r="H426" s="84" t="s">
        <v>825</v>
      </c>
      <c r="I426" s="85"/>
    </row>
    <row r="427" spans="2:9" x14ac:dyDescent="0.25">
      <c r="B427" s="41"/>
      <c r="C427" s="84" t="s">
        <v>611</v>
      </c>
      <c r="D427" s="84" t="s">
        <v>1321</v>
      </c>
      <c r="E427" s="84" t="s">
        <v>823</v>
      </c>
      <c r="F427" s="89" t="s">
        <v>22</v>
      </c>
      <c r="G427" s="84" t="s">
        <v>824</v>
      </c>
      <c r="H427" s="84" t="s">
        <v>825</v>
      </c>
      <c r="I427" s="85"/>
    </row>
    <row r="428" spans="2:9" x14ac:dyDescent="0.25">
      <c r="B428" s="41"/>
      <c r="C428" s="84" t="s">
        <v>612</v>
      </c>
      <c r="D428" s="84" t="s">
        <v>1322</v>
      </c>
      <c r="E428" s="84" t="s">
        <v>823</v>
      </c>
      <c r="F428" s="89" t="s">
        <v>22</v>
      </c>
      <c r="G428" s="84" t="s">
        <v>824</v>
      </c>
      <c r="H428" s="84" t="s">
        <v>825</v>
      </c>
      <c r="I428" s="85"/>
    </row>
    <row r="429" spans="2:9" x14ac:dyDescent="0.25">
      <c r="B429" s="41"/>
      <c r="C429" s="84" t="s">
        <v>615</v>
      </c>
      <c r="D429" s="84" t="s">
        <v>1323</v>
      </c>
      <c r="E429" s="84" t="s">
        <v>823</v>
      </c>
      <c r="F429" s="89" t="s">
        <v>22</v>
      </c>
      <c r="G429" s="84" t="s">
        <v>824</v>
      </c>
      <c r="H429" s="84" t="s">
        <v>825</v>
      </c>
      <c r="I429" s="85"/>
    </row>
    <row r="430" spans="2:9" x14ac:dyDescent="0.25">
      <c r="B430" s="41"/>
      <c r="C430" s="84" t="s">
        <v>1324</v>
      </c>
      <c r="D430" s="84" t="s">
        <v>1325</v>
      </c>
      <c r="E430" s="84" t="s">
        <v>823</v>
      </c>
      <c r="F430" s="93" t="s">
        <v>222</v>
      </c>
      <c r="G430" s="84" t="s">
        <v>825</v>
      </c>
      <c r="H430" s="84" t="s">
        <v>825</v>
      </c>
      <c r="I430" s="85"/>
    </row>
    <row r="431" spans="2:9" x14ac:dyDescent="0.25">
      <c r="B431" s="41"/>
      <c r="C431" s="84" t="s">
        <v>1326</v>
      </c>
      <c r="D431" s="84" t="s">
        <v>1327</v>
      </c>
      <c r="E431" s="84" t="s">
        <v>823</v>
      </c>
      <c r="F431" s="89" t="s">
        <v>22</v>
      </c>
      <c r="G431" s="84" t="s">
        <v>824</v>
      </c>
      <c r="H431" s="84" t="s">
        <v>825</v>
      </c>
      <c r="I431" s="85"/>
    </row>
    <row r="432" spans="2:9" x14ac:dyDescent="0.25">
      <c r="B432" s="41"/>
      <c r="C432" s="84" t="s">
        <v>617</v>
      </c>
      <c r="D432" s="84" t="s">
        <v>1328</v>
      </c>
      <c r="E432" s="84" t="s">
        <v>823</v>
      </c>
      <c r="F432" s="89" t="s">
        <v>22</v>
      </c>
      <c r="G432" s="84" t="s">
        <v>824</v>
      </c>
      <c r="H432" s="84" t="s">
        <v>825</v>
      </c>
      <c r="I432" s="85"/>
    </row>
    <row r="433" spans="2:9" x14ac:dyDescent="0.25">
      <c r="B433" s="41"/>
      <c r="C433" s="84" t="s">
        <v>619</v>
      </c>
      <c r="D433" s="84" t="s">
        <v>1756</v>
      </c>
      <c r="E433" s="84" t="s">
        <v>823</v>
      </c>
      <c r="F433" s="89" t="s">
        <v>22</v>
      </c>
      <c r="G433" s="84" t="s">
        <v>824</v>
      </c>
      <c r="H433" s="84" t="s">
        <v>825</v>
      </c>
      <c r="I433" s="85"/>
    </row>
    <row r="434" spans="2:9" x14ac:dyDescent="0.25">
      <c r="B434" s="41"/>
      <c r="C434" s="84" t="s">
        <v>621</v>
      </c>
      <c r="D434" s="84" t="s">
        <v>1329</v>
      </c>
      <c r="E434" s="84" t="s">
        <v>823</v>
      </c>
      <c r="F434" s="89" t="s">
        <v>22</v>
      </c>
      <c r="G434" s="84" t="s">
        <v>824</v>
      </c>
      <c r="H434" s="84" t="s">
        <v>825</v>
      </c>
      <c r="I434" s="85"/>
    </row>
    <row r="435" spans="2:9" x14ac:dyDescent="0.25">
      <c r="B435" s="41"/>
      <c r="C435" s="84" t="s">
        <v>624</v>
      </c>
      <c r="D435" s="84" t="s">
        <v>1330</v>
      </c>
      <c r="E435" s="84" t="s">
        <v>823</v>
      </c>
      <c r="F435" s="89" t="s">
        <v>22</v>
      </c>
      <c r="G435" s="84" t="s">
        <v>824</v>
      </c>
      <c r="H435" s="84" t="s">
        <v>825</v>
      </c>
      <c r="I435" s="85"/>
    </row>
    <row r="436" spans="2:9" x14ac:dyDescent="0.25">
      <c r="B436" s="41"/>
      <c r="C436" s="84" t="s">
        <v>625</v>
      </c>
      <c r="D436" s="84" t="s">
        <v>1331</v>
      </c>
      <c r="E436" s="84" t="s">
        <v>823</v>
      </c>
      <c r="F436" s="89" t="s">
        <v>22</v>
      </c>
      <c r="G436" s="84" t="s">
        <v>824</v>
      </c>
      <c r="H436" s="84" t="s">
        <v>825</v>
      </c>
      <c r="I436" s="85"/>
    </row>
    <row r="437" spans="2:9" x14ac:dyDescent="0.25">
      <c r="B437" s="41"/>
      <c r="C437" s="84" t="s">
        <v>1332</v>
      </c>
      <c r="D437" s="84" t="s">
        <v>1333</v>
      </c>
      <c r="E437" s="84" t="s">
        <v>823</v>
      </c>
      <c r="F437" s="89" t="s">
        <v>22</v>
      </c>
      <c r="G437" s="84" t="s">
        <v>824</v>
      </c>
      <c r="H437" s="84" t="s">
        <v>825</v>
      </c>
      <c r="I437" s="85"/>
    </row>
    <row r="438" spans="2:9" x14ac:dyDescent="0.25">
      <c r="B438" s="41"/>
      <c r="C438" s="84" t="s">
        <v>627</v>
      </c>
      <c r="D438" s="84" t="s">
        <v>1334</v>
      </c>
      <c r="E438" s="84" t="s">
        <v>823</v>
      </c>
      <c r="F438" s="89" t="s">
        <v>22</v>
      </c>
      <c r="G438" s="84" t="s">
        <v>824</v>
      </c>
      <c r="H438" s="84" t="s">
        <v>825</v>
      </c>
      <c r="I438" s="85"/>
    </row>
    <row r="439" spans="2:9" x14ac:dyDescent="0.25">
      <c r="B439" s="41"/>
      <c r="C439" s="84" t="s">
        <v>1335</v>
      </c>
      <c r="D439" s="84" t="s">
        <v>1336</v>
      </c>
      <c r="E439" s="84" t="s">
        <v>872</v>
      </c>
      <c r="F439" s="90" t="s">
        <v>36</v>
      </c>
      <c r="G439" s="84" t="s">
        <v>824</v>
      </c>
      <c r="H439" s="84" t="s">
        <v>861</v>
      </c>
      <c r="I439" s="85"/>
    </row>
    <row r="440" spans="2:9" x14ac:dyDescent="0.25">
      <c r="B440" s="41"/>
      <c r="C440" s="84" t="s">
        <v>628</v>
      </c>
      <c r="D440" s="84" t="s">
        <v>1337</v>
      </c>
      <c r="E440" s="84" t="s">
        <v>823</v>
      </c>
      <c r="F440" s="89" t="s">
        <v>22</v>
      </c>
      <c r="G440" s="84" t="s">
        <v>824</v>
      </c>
      <c r="H440" s="84" t="s">
        <v>825</v>
      </c>
      <c r="I440" s="85"/>
    </row>
    <row r="441" spans="2:9" x14ac:dyDescent="0.25">
      <c r="B441" s="41"/>
      <c r="C441" s="84" t="s">
        <v>630</v>
      </c>
      <c r="D441" s="84" t="s">
        <v>1338</v>
      </c>
      <c r="E441" s="84" t="s">
        <v>823</v>
      </c>
      <c r="F441" s="89" t="s">
        <v>22</v>
      </c>
      <c r="G441" s="84" t="s">
        <v>824</v>
      </c>
      <c r="H441" s="84" t="s">
        <v>825</v>
      </c>
      <c r="I441" s="85"/>
    </row>
    <row r="442" spans="2:9" x14ac:dyDescent="0.25">
      <c r="B442" s="41"/>
      <c r="C442" s="84" t="s">
        <v>632</v>
      </c>
      <c r="D442" s="84" t="s">
        <v>1339</v>
      </c>
      <c r="E442" s="84" t="s">
        <v>823</v>
      </c>
      <c r="F442" s="89" t="s">
        <v>22</v>
      </c>
      <c r="G442" s="84" t="s">
        <v>824</v>
      </c>
      <c r="H442" s="84" t="s">
        <v>825</v>
      </c>
      <c r="I442" s="85"/>
    </row>
    <row r="443" spans="2:9" x14ac:dyDescent="0.25">
      <c r="B443" s="41"/>
      <c r="C443" s="84" t="s">
        <v>635</v>
      </c>
      <c r="D443" s="84" t="s">
        <v>1340</v>
      </c>
      <c r="E443" s="84" t="s">
        <v>823</v>
      </c>
      <c r="F443" s="89" t="s">
        <v>22</v>
      </c>
      <c r="G443" s="84" t="s">
        <v>824</v>
      </c>
      <c r="H443" s="84" t="s">
        <v>825</v>
      </c>
      <c r="I443" s="85"/>
    </row>
    <row r="444" spans="2:9" x14ac:dyDescent="0.25">
      <c r="B444" s="41"/>
      <c r="C444" s="84" t="s">
        <v>637</v>
      </c>
      <c r="D444" s="84" t="s">
        <v>1341</v>
      </c>
      <c r="E444" s="84" t="s">
        <v>823</v>
      </c>
      <c r="F444" s="90" t="s">
        <v>36</v>
      </c>
      <c r="G444" s="84" t="s">
        <v>824</v>
      </c>
      <c r="H444" s="84" t="s">
        <v>825</v>
      </c>
      <c r="I444" s="85"/>
    </row>
    <row r="445" spans="2:9" x14ac:dyDescent="0.25">
      <c r="B445" s="41"/>
      <c r="C445" s="84" t="s">
        <v>638</v>
      </c>
      <c r="D445" s="84" t="s">
        <v>1342</v>
      </c>
      <c r="E445" s="84" t="s">
        <v>823</v>
      </c>
      <c r="F445" s="89" t="s">
        <v>22</v>
      </c>
      <c r="G445" s="84" t="s">
        <v>824</v>
      </c>
      <c r="H445" s="84" t="s">
        <v>825</v>
      </c>
      <c r="I445" s="85"/>
    </row>
    <row r="446" spans="2:9" x14ac:dyDescent="0.25">
      <c r="B446" s="41"/>
      <c r="C446" s="84" t="s">
        <v>1343</v>
      </c>
      <c r="D446" s="84" t="s">
        <v>1344</v>
      </c>
      <c r="E446" s="84" t="s">
        <v>823</v>
      </c>
      <c r="F446" s="89" t="s">
        <v>22</v>
      </c>
      <c r="G446" s="84" t="s">
        <v>824</v>
      </c>
      <c r="H446" s="84" t="s">
        <v>825</v>
      </c>
      <c r="I446" s="85"/>
    </row>
    <row r="447" spans="2:9" x14ac:dyDescent="0.25">
      <c r="B447" s="42"/>
      <c r="C447" s="86" t="s">
        <v>640</v>
      </c>
      <c r="D447" s="86" t="s">
        <v>1345</v>
      </c>
      <c r="E447" s="86" t="s">
        <v>823</v>
      </c>
      <c r="F447" s="92" t="s">
        <v>22</v>
      </c>
      <c r="G447" s="86" t="s">
        <v>824</v>
      </c>
      <c r="H447" s="86" t="s">
        <v>825</v>
      </c>
      <c r="I447" s="86"/>
    </row>
    <row r="448" spans="2:9" x14ac:dyDescent="0.25">
      <c r="B448" s="41"/>
      <c r="C448" s="84" t="s">
        <v>642</v>
      </c>
      <c r="D448" s="84" t="s">
        <v>1346</v>
      </c>
      <c r="E448" s="84" t="s">
        <v>823</v>
      </c>
      <c r="F448" s="89" t="s">
        <v>22</v>
      </c>
      <c r="G448" s="84" t="s">
        <v>824</v>
      </c>
      <c r="H448" s="84" t="s">
        <v>825</v>
      </c>
      <c r="I448" s="85"/>
    </row>
    <row r="449" spans="2:9" x14ac:dyDescent="0.25">
      <c r="B449" s="41"/>
      <c r="C449" s="84" t="s">
        <v>1347</v>
      </c>
      <c r="D449" s="84" t="s">
        <v>1348</v>
      </c>
      <c r="E449" s="84" t="s">
        <v>823</v>
      </c>
      <c r="F449" s="89" t="s">
        <v>22</v>
      </c>
      <c r="G449" s="84" t="s">
        <v>824</v>
      </c>
      <c r="H449" s="84" t="s">
        <v>825</v>
      </c>
      <c r="I449" s="85"/>
    </row>
    <row r="450" spans="2:9" x14ac:dyDescent="0.25">
      <c r="B450" s="41"/>
      <c r="C450" s="84" t="s">
        <v>644</v>
      </c>
      <c r="D450" s="84" t="s">
        <v>1757</v>
      </c>
      <c r="E450" s="84" t="s">
        <v>823</v>
      </c>
      <c r="F450" s="89" t="s">
        <v>22</v>
      </c>
      <c r="G450" s="84" t="s">
        <v>824</v>
      </c>
      <c r="H450" s="84" t="s">
        <v>825</v>
      </c>
      <c r="I450" s="85"/>
    </row>
    <row r="451" spans="2:9" x14ac:dyDescent="0.25">
      <c r="B451" s="41"/>
      <c r="C451" s="84" t="s">
        <v>646</v>
      </c>
      <c r="D451" s="84" t="s">
        <v>1350</v>
      </c>
      <c r="E451" s="84" t="s">
        <v>823</v>
      </c>
      <c r="F451" s="91" t="s">
        <v>47</v>
      </c>
      <c r="G451" s="84" t="s">
        <v>824</v>
      </c>
      <c r="H451" s="84" t="s">
        <v>825</v>
      </c>
      <c r="I451" s="85"/>
    </row>
    <row r="452" spans="2:9" x14ac:dyDescent="0.25">
      <c r="B452" s="41"/>
      <c r="C452" s="84" t="s">
        <v>647</v>
      </c>
      <c r="D452" s="84" t="s">
        <v>1351</v>
      </c>
      <c r="E452" s="84" t="s">
        <v>823</v>
      </c>
      <c r="F452" s="89" t="s">
        <v>22</v>
      </c>
      <c r="G452" s="84" t="s">
        <v>824</v>
      </c>
      <c r="H452" s="84" t="s">
        <v>825</v>
      </c>
      <c r="I452" s="85"/>
    </row>
    <row r="453" spans="2:9" x14ac:dyDescent="0.25">
      <c r="B453" s="41"/>
      <c r="C453" s="84" t="s">
        <v>649</v>
      </c>
      <c r="D453" s="84" t="s">
        <v>1352</v>
      </c>
      <c r="E453" s="84" t="s">
        <v>823</v>
      </c>
      <c r="F453" s="89" t="s">
        <v>22</v>
      </c>
      <c r="G453" s="84" t="s">
        <v>824</v>
      </c>
      <c r="H453" s="84" t="s">
        <v>825</v>
      </c>
      <c r="I453" s="85"/>
    </row>
    <row r="454" spans="2:9" x14ac:dyDescent="0.25">
      <c r="B454" s="41"/>
      <c r="C454" s="84" t="s">
        <v>651</v>
      </c>
      <c r="D454" s="84" t="s">
        <v>1355</v>
      </c>
      <c r="E454" s="84" t="s">
        <v>823</v>
      </c>
      <c r="F454" s="89" t="s">
        <v>22</v>
      </c>
      <c r="G454" s="84" t="s">
        <v>824</v>
      </c>
      <c r="H454" s="84" t="s">
        <v>825</v>
      </c>
      <c r="I454" s="85"/>
    </row>
    <row r="455" spans="2:9" x14ac:dyDescent="0.25">
      <c r="B455" s="41"/>
      <c r="C455" s="84" t="s">
        <v>653</v>
      </c>
      <c r="D455" s="84" t="s">
        <v>1358</v>
      </c>
      <c r="E455" s="84" t="s">
        <v>823</v>
      </c>
      <c r="F455" s="89" t="s">
        <v>22</v>
      </c>
      <c r="G455" s="84" t="s">
        <v>824</v>
      </c>
      <c r="H455" s="84" t="s">
        <v>825</v>
      </c>
      <c r="I455" s="85"/>
    </row>
    <row r="456" spans="2:9" x14ac:dyDescent="0.25">
      <c r="B456" s="41"/>
      <c r="C456" s="84" t="s">
        <v>655</v>
      </c>
      <c r="D456" s="84" t="s">
        <v>1359</v>
      </c>
      <c r="E456" s="84" t="s">
        <v>823</v>
      </c>
      <c r="F456" s="89" t="s">
        <v>22</v>
      </c>
      <c r="G456" s="84" t="s">
        <v>824</v>
      </c>
      <c r="H456" s="84" t="s">
        <v>825</v>
      </c>
      <c r="I456" s="85"/>
    </row>
    <row r="457" spans="2:9" x14ac:dyDescent="0.25">
      <c r="B457" s="41"/>
      <c r="C457" s="84" t="s">
        <v>657</v>
      </c>
      <c r="D457" s="84" t="s">
        <v>1360</v>
      </c>
      <c r="E457" s="84" t="s">
        <v>823</v>
      </c>
      <c r="F457" s="90" t="s">
        <v>36</v>
      </c>
      <c r="G457" s="84" t="s">
        <v>824</v>
      </c>
      <c r="H457" s="84" t="s">
        <v>825</v>
      </c>
      <c r="I457" s="85"/>
    </row>
    <row r="458" spans="2:9" x14ac:dyDescent="0.25">
      <c r="B458" s="41"/>
      <c r="C458" s="84" t="s">
        <v>658</v>
      </c>
      <c r="D458" s="84" t="s">
        <v>1361</v>
      </c>
      <c r="E458" s="84" t="s">
        <v>823</v>
      </c>
      <c r="F458" s="89" t="s">
        <v>22</v>
      </c>
      <c r="G458" s="84" t="s">
        <v>824</v>
      </c>
      <c r="H458" s="84" t="s">
        <v>825</v>
      </c>
      <c r="I458" s="85"/>
    </row>
    <row r="459" spans="2:9" x14ac:dyDescent="0.25">
      <c r="B459" s="41"/>
      <c r="C459" s="84" t="s">
        <v>661</v>
      </c>
      <c r="D459" s="84" t="s">
        <v>1362</v>
      </c>
      <c r="E459" s="84" t="s">
        <v>823</v>
      </c>
      <c r="F459" s="89" t="s">
        <v>22</v>
      </c>
      <c r="G459" s="84" t="s">
        <v>824</v>
      </c>
      <c r="H459" s="84" t="s">
        <v>825</v>
      </c>
      <c r="I459" s="85"/>
    </row>
    <row r="460" spans="2:9" x14ac:dyDescent="0.25">
      <c r="B460" s="41"/>
      <c r="C460" s="84" t="s">
        <v>662</v>
      </c>
      <c r="D460" s="84" t="s">
        <v>1363</v>
      </c>
      <c r="E460" s="84" t="s">
        <v>823</v>
      </c>
      <c r="F460" s="89" t="s">
        <v>22</v>
      </c>
      <c r="G460" s="84" t="s">
        <v>824</v>
      </c>
      <c r="H460" s="84" t="s">
        <v>825</v>
      </c>
      <c r="I460" s="85"/>
    </row>
    <row r="461" spans="2:9" x14ac:dyDescent="0.25">
      <c r="B461" s="41"/>
      <c r="C461" s="84" t="s">
        <v>663</v>
      </c>
      <c r="D461" s="84" t="s">
        <v>1364</v>
      </c>
      <c r="E461" s="84" t="s">
        <v>823</v>
      </c>
      <c r="F461" s="89" t="s">
        <v>22</v>
      </c>
      <c r="G461" s="84" t="s">
        <v>824</v>
      </c>
      <c r="H461" s="84" t="s">
        <v>825</v>
      </c>
      <c r="I461" s="85"/>
    </row>
    <row r="462" spans="2:9" x14ac:dyDescent="0.25">
      <c r="B462" s="41"/>
      <c r="C462" s="84" t="s">
        <v>665</v>
      </c>
      <c r="D462" s="84" t="s">
        <v>1365</v>
      </c>
      <c r="E462" s="84" t="s">
        <v>823</v>
      </c>
      <c r="F462" s="89" t="s">
        <v>22</v>
      </c>
      <c r="G462" s="84" t="s">
        <v>824</v>
      </c>
      <c r="H462" s="84" t="s">
        <v>825</v>
      </c>
      <c r="I462" s="85"/>
    </row>
    <row r="463" spans="2:9" x14ac:dyDescent="0.25">
      <c r="B463" s="41"/>
      <c r="C463" s="84" t="s">
        <v>666</v>
      </c>
      <c r="D463" s="84" t="s">
        <v>1366</v>
      </c>
      <c r="E463" s="84" t="s">
        <v>823</v>
      </c>
      <c r="F463" s="89" t="s">
        <v>22</v>
      </c>
      <c r="G463" s="84" t="s">
        <v>824</v>
      </c>
      <c r="H463" s="84" t="s">
        <v>825</v>
      </c>
      <c r="I463" s="85"/>
    </row>
    <row r="464" spans="2:9" x14ac:dyDescent="0.25">
      <c r="B464" s="41"/>
      <c r="C464" s="84" t="s">
        <v>668</v>
      </c>
      <c r="D464" s="84" t="s">
        <v>1367</v>
      </c>
      <c r="E464" s="84" t="s">
        <v>823</v>
      </c>
      <c r="F464" s="89" t="s">
        <v>22</v>
      </c>
      <c r="G464" s="84" t="s">
        <v>824</v>
      </c>
      <c r="H464" s="84" t="s">
        <v>825</v>
      </c>
      <c r="I464" s="85"/>
    </row>
    <row r="465" spans="2:9" x14ac:dyDescent="0.25">
      <c r="B465" s="41"/>
      <c r="C465" s="84" t="s">
        <v>671</v>
      </c>
      <c r="D465" s="84" t="s">
        <v>1368</v>
      </c>
      <c r="E465" s="84" t="s">
        <v>823</v>
      </c>
      <c r="F465" s="89" t="s">
        <v>22</v>
      </c>
      <c r="G465" s="84" t="s">
        <v>824</v>
      </c>
      <c r="H465" s="84" t="s">
        <v>825</v>
      </c>
      <c r="I465" s="85"/>
    </row>
    <row r="466" spans="2:9" x14ac:dyDescent="0.25">
      <c r="B466" s="41"/>
      <c r="C466" s="84" t="s">
        <v>673</v>
      </c>
      <c r="D466" s="84" t="s">
        <v>1369</v>
      </c>
      <c r="E466" s="84" t="s">
        <v>823</v>
      </c>
      <c r="F466" s="89" t="s">
        <v>22</v>
      </c>
      <c r="G466" s="84" t="s">
        <v>824</v>
      </c>
      <c r="H466" s="84" t="s">
        <v>825</v>
      </c>
      <c r="I466" s="85"/>
    </row>
    <row r="467" spans="2:9" x14ac:dyDescent="0.25">
      <c r="B467" s="41"/>
      <c r="C467" s="84" t="s">
        <v>675</v>
      </c>
      <c r="D467" s="84" t="s">
        <v>1372</v>
      </c>
      <c r="E467" s="84" t="s">
        <v>823</v>
      </c>
      <c r="F467" s="89" t="s">
        <v>22</v>
      </c>
      <c r="G467" s="84" t="s">
        <v>824</v>
      </c>
      <c r="H467" s="84" t="s">
        <v>825</v>
      </c>
      <c r="I467" s="85"/>
    </row>
    <row r="468" spans="2:9" x14ac:dyDescent="0.25">
      <c r="B468" s="41"/>
      <c r="C468" s="84" t="s">
        <v>677</v>
      </c>
      <c r="D468" s="84" t="s">
        <v>1373</v>
      </c>
      <c r="E468" s="84" t="s">
        <v>823</v>
      </c>
      <c r="F468" s="89" t="s">
        <v>22</v>
      </c>
      <c r="G468" s="84" t="s">
        <v>824</v>
      </c>
      <c r="H468" s="84" t="s">
        <v>825</v>
      </c>
      <c r="I468" s="85"/>
    </row>
    <row r="469" spans="2:9" x14ac:dyDescent="0.25">
      <c r="B469" s="41"/>
      <c r="C469" s="84" t="s">
        <v>679</v>
      </c>
      <c r="D469" s="84" t="s">
        <v>1374</v>
      </c>
      <c r="E469" s="84" t="s">
        <v>823</v>
      </c>
      <c r="F469" s="89" t="s">
        <v>22</v>
      </c>
      <c r="G469" s="84" t="s">
        <v>824</v>
      </c>
      <c r="H469" s="84" t="s">
        <v>825</v>
      </c>
      <c r="I469" s="85"/>
    </row>
    <row r="470" spans="2:9" x14ac:dyDescent="0.25">
      <c r="B470" s="41"/>
      <c r="C470" s="84" t="s">
        <v>681</v>
      </c>
      <c r="D470" s="84" t="s">
        <v>1375</v>
      </c>
      <c r="E470" s="84" t="s">
        <v>823</v>
      </c>
      <c r="F470" s="89" t="s">
        <v>22</v>
      </c>
      <c r="G470" s="84" t="s">
        <v>824</v>
      </c>
      <c r="H470" s="84" t="s">
        <v>825</v>
      </c>
      <c r="I470" s="85"/>
    </row>
    <row r="471" spans="2:9" x14ac:dyDescent="0.25">
      <c r="B471" s="41"/>
      <c r="C471" s="84" t="s">
        <v>1376</v>
      </c>
      <c r="D471" s="84" t="s">
        <v>1377</v>
      </c>
      <c r="E471" s="84" t="s">
        <v>823</v>
      </c>
      <c r="F471" s="89" t="s">
        <v>22</v>
      </c>
      <c r="G471" s="84" t="s">
        <v>824</v>
      </c>
      <c r="H471" s="84" t="s">
        <v>825</v>
      </c>
      <c r="I471" s="85"/>
    </row>
    <row r="472" spans="2:9" x14ac:dyDescent="0.25">
      <c r="B472" s="41"/>
      <c r="C472" s="84" t="s">
        <v>683</v>
      </c>
      <c r="D472" s="84" t="s">
        <v>1378</v>
      </c>
      <c r="E472" s="84" t="s">
        <v>823</v>
      </c>
      <c r="F472" s="90" t="s">
        <v>36</v>
      </c>
      <c r="G472" s="84" t="s">
        <v>824</v>
      </c>
      <c r="H472" s="84" t="s">
        <v>825</v>
      </c>
      <c r="I472" s="85"/>
    </row>
    <row r="473" spans="2:9" x14ac:dyDescent="0.25">
      <c r="B473" s="41"/>
      <c r="C473" s="84" t="s">
        <v>684</v>
      </c>
      <c r="D473" s="84" t="s">
        <v>1379</v>
      </c>
      <c r="E473" s="84" t="s">
        <v>823</v>
      </c>
      <c r="F473" s="89" t="s">
        <v>22</v>
      </c>
      <c r="G473" s="84" t="s">
        <v>824</v>
      </c>
      <c r="H473" s="84" t="s">
        <v>825</v>
      </c>
      <c r="I473" s="85"/>
    </row>
    <row r="474" spans="2:9" x14ac:dyDescent="0.25">
      <c r="B474" s="41"/>
      <c r="C474" s="84" t="s">
        <v>687</v>
      </c>
      <c r="D474" s="84" t="s">
        <v>1380</v>
      </c>
      <c r="E474" s="84" t="s">
        <v>823</v>
      </c>
      <c r="F474" s="89" t="s">
        <v>22</v>
      </c>
      <c r="G474" s="84" t="s">
        <v>824</v>
      </c>
      <c r="H474" s="84" t="s">
        <v>825</v>
      </c>
      <c r="I474" s="85"/>
    </row>
    <row r="475" spans="2:9" x14ac:dyDescent="0.25">
      <c r="B475" s="41"/>
      <c r="C475" s="84" t="s">
        <v>690</v>
      </c>
      <c r="D475" s="84" t="s">
        <v>1381</v>
      </c>
      <c r="E475" s="84" t="s">
        <v>823</v>
      </c>
      <c r="F475" s="89" t="s">
        <v>22</v>
      </c>
      <c r="G475" s="84" t="s">
        <v>824</v>
      </c>
      <c r="H475" s="84" t="s">
        <v>825</v>
      </c>
      <c r="I475" s="85"/>
    </row>
    <row r="476" spans="2:9" x14ac:dyDescent="0.25">
      <c r="B476" s="41"/>
      <c r="C476" s="84" t="s">
        <v>693</v>
      </c>
      <c r="D476" s="84" t="s">
        <v>1382</v>
      </c>
      <c r="E476" s="84" t="s">
        <v>823</v>
      </c>
      <c r="F476" s="89" t="s">
        <v>22</v>
      </c>
      <c r="G476" s="84" t="s">
        <v>824</v>
      </c>
      <c r="H476" s="84" t="s">
        <v>825</v>
      </c>
      <c r="I476" s="85"/>
    </row>
    <row r="477" spans="2:9" x14ac:dyDescent="0.25">
      <c r="B477" s="41"/>
      <c r="C477" s="84" t="s">
        <v>697</v>
      </c>
      <c r="D477" s="84" t="s">
        <v>1383</v>
      </c>
      <c r="E477" s="84" t="s">
        <v>823</v>
      </c>
      <c r="F477" s="89" t="s">
        <v>22</v>
      </c>
      <c r="G477" s="84" t="s">
        <v>824</v>
      </c>
      <c r="H477" s="84" t="s">
        <v>825</v>
      </c>
      <c r="I477" s="85"/>
    </row>
    <row r="478" spans="2:9" x14ac:dyDescent="0.25">
      <c r="B478" s="41"/>
      <c r="C478" s="84" t="s">
        <v>21</v>
      </c>
      <c r="D478" s="84" t="s">
        <v>1384</v>
      </c>
      <c r="E478" s="84" t="s">
        <v>823</v>
      </c>
      <c r="F478" s="90" t="s">
        <v>36</v>
      </c>
      <c r="G478" s="84" t="s">
        <v>824</v>
      </c>
      <c r="H478" s="84" t="s">
        <v>825</v>
      </c>
      <c r="I478" s="85"/>
    </row>
    <row r="479" spans="2:9" x14ac:dyDescent="0.25">
      <c r="B479" s="41"/>
      <c r="C479" s="84" t="s">
        <v>699</v>
      </c>
      <c r="D479" s="84" t="s">
        <v>1385</v>
      </c>
      <c r="E479" s="84" t="s">
        <v>823</v>
      </c>
      <c r="F479" s="89" t="s">
        <v>22</v>
      </c>
      <c r="G479" s="84" t="s">
        <v>824</v>
      </c>
      <c r="H479" s="84" t="s">
        <v>861</v>
      </c>
      <c r="I479" s="85"/>
    </row>
    <row r="480" spans="2:9" x14ac:dyDescent="0.25">
      <c r="B480" s="41"/>
      <c r="C480" s="84" t="s">
        <v>700</v>
      </c>
      <c r="D480" s="84" t="s">
        <v>1386</v>
      </c>
      <c r="E480" s="84" t="s">
        <v>823</v>
      </c>
      <c r="F480" s="89" t="s">
        <v>22</v>
      </c>
      <c r="G480" s="84" t="s">
        <v>824</v>
      </c>
      <c r="H480" s="84" t="s">
        <v>825</v>
      </c>
      <c r="I480" s="85"/>
    </row>
    <row r="481" spans="2:9" x14ac:dyDescent="0.25">
      <c r="B481" s="41"/>
      <c r="C481" s="84" t="s">
        <v>702</v>
      </c>
      <c r="D481" s="84" t="s">
        <v>1389</v>
      </c>
      <c r="E481" s="84" t="s">
        <v>823</v>
      </c>
      <c r="F481" s="89" t="s">
        <v>22</v>
      </c>
      <c r="G481" s="84" t="s">
        <v>824</v>
      </c>
      <c r="H481" s="84" t="s">
        <v>825</v>
      </c>
      <c r="I481" s="85"/>
    </row>
    <row r="482" spans="2:9" x14ac:dyDescent="0.25">
      <c r="B482" s="41"/>
      <c r="C482" s="84" t="s">
        <v>704</v>
      </c>
      <c r="D482" s="84" t="s">
        <v>1390</v>
      </c>
      <c r="E482" s="84" t="s">
        <v>823</v>
      </c>
      <c r="F482" s="90" t="s">
        <v>36</v>
      </c>
      <c r="G482" s="84" t="s">
        <v>824</v>
      </c>
      <c r="H482" s="84" t="s">
        <v>825</v>
      </c>
      <c r="I482" s="85"/>
    </row>
    <row r="483" spans="2:9" x14ac:dyDescent="0.25">
      <c r="B483" s="41"/>
      <c r="C483" s="84" t="s">
        <v>1391</v>
      </c>
      <c r="D483" s="84" t="s">
        <v>1392</v>
      </c>
      <c r="E483" s="84" t="s">
        <v>823</v>
      </c>
      <c r="F483" s="89" t="s">
        <v>22</v>
      </c>
      <c r="G483" s="84" t="s">
        <v>824</v>
      </c>
      <c r="H483" s="84" t="s">
        <v>825</v>
      </c>
      <c r="I483" s="85"/>
    </row>
    <row r="484" spans="2:9" x14ac:dyDescent="0.25">
      <c r="B484" s="41"/>
      <c r="C484" s="84" t="s">
        <v>705</v>
      </c>
      <c r="D484" s="84" t="s">
        <v>1393</v>
      </c>
      <c r="E484" s="84" t="s">
        <v>823</v>
      </c>
      <c r="F484" s="89" t="s">
        <v>22</v>
      </c>
      <c r="G484" s="84" t="s">
        <v>824</v>
      </c>
      <c r="H484" s="84" t="s">
        <v>825</v>
      </c>
      <c r="I484" s="85"/>
    </row>
    <row r="485" spans="2:9" x14ac:dyDescent="0.25">
      <c r="B485" s="41"/>
      <c r="C485" s="84" t="s">
        <v>707</v>
      </c>
      <c r="D485" s="84" t="s">
        <v>1394</v>
      </c>
      <c r="E485" s="84" t="s">
        <v>823</v>
      </c>
      <c r="F485" s="89" t="s">
        <v>22</v>
      </c>
      <c r="G485" s="84" t="s">
        <v>824</v>
      </c>
      <c r="H485" s="84" t="s">
        <v>825</v>
      </c>
      <c r="I485" s="85"/>
    </row>
    <row r="486" spans="2:9" x14ac:dyDescent="0.25">
      <c r="B486" s="41"/>
      <c r="C486" s="84" t="s">
        <v>709</v>
      </c>
      <c r="D486" s="84" t="s">
        <v>1395</v>
      </c>
      <c r="E486" s="84" t="s">
        <v>823</v>
      </c>
      <c r="F486" s="89" t="s">
        <v>22</v>
      </c>
      <c r="G486" s="84" t="s">
        <v>824</v>
      </c>
      <c r="H486" s="84" t="s">
        <v>825</v>
      </c>
      <c r="I486" s="85"/>
    </row>
    <row r="487" spans="2:9" x14ac:dyDescent="0.25">
      <c r="B487" s="41"/>
      <c r="C487" s="84" t="s">
        <v>1398</v>
      </c>
      <c r="D487" s="84" t="s">
        <v>1399</v>
      </c>
      <c r="E487" s="84" t="s">
        <v>823</v>
      </c>
      <c r="F487" s="90" t="s">
        <v>36</v>
      </c>
      <c r="G487" s="84" t="s">
        <v>824</v>
      </c>
      <c r="H487" s="84" t="s">
        <v>825</v>
      </c>
      <c r="I487" s="85"/>
    </row>
    <row r="488" spans="2:9" x14ac:dyDescent="0.25">
      <c r="B488" s="41"/>
      <c r="C488" s="84" t="s">
        <v>711</v>
      </c>
      <c r="D488" s="84" t="s">
        <v>1400</v>
      </c>
      <c r="E488" s="84" t="s">
        <v>823</v>
      </c>
      <c r="F488" s="89" t="s">
        <v>22</v>
      </c>
      <c r="G488" s="84" t="s">
        <v>824</v>
      </c>
      <c r="H488" s="84" t="s">
        <v>825</v>
      </c>
      <c r="I488" s="85"/>
    </row>
    <row r="489" spans="2:9" x14ac:dyDescent="0.25">
      <c r="B489" s="41"/>
      <c r="C489" s="84" t="s">
        <v>713</v>
      </c>
      <c r="D489" s="84" t="s">
        <v>1401</v>
      </c>
      <c r="E489" s="84" t="s">
        <v>823</v>
      </c>
      <c r="F489" s="89" t="s">
        <v>22</v>
      </c>
      <c r="G489" s="84" t="s">
        <v>824</v>
      </c>
      <c r="H489" s="84" t="s">
        <v>825</v>
      </c>
      <c r="I489" s="85"/>
    </row>
    <row r="490" spans="2:9" x14ac:dyDescent="0.25">
      <c r="B490" s="41"/>
      <c r="C490" s="84" t="s">
        <v>715</v>
      </c>
      <c r="D490" s="84" t="s">
        <v>1402</v>
      </c>
      <c r="E490" s="84" t="s">
        <v>823</v>
      </c>
      <c r="F490" s="89" t="s">
        <v>22</v>
      </c>
      <c r="G490" s="84" t="s">
        <v>824</v>
      </c>
      <c r="H490" s="84" t="s">
        <v>825</v>
      </c>
      <c r="I490" s="85"/>
    </row>
    <row r="491" spans="2:9" x14ac:dyDescent="0.25">
      <c r="B491" s="41"/>
      <c r="C491" s="84" t="s">
        <v>1403</v>
      </c>
      <c r="D491" s="84" t="s">
        <v>1404</v>
      </c>
      <c r="E491" s="84" t="s">
        <v>823</v>
      </c>
      <c r="F491" s="94" t="s">
        <v>263</v>
      </c>
      <c r="G491" s="84" t="s">
        <v>824</v>
      </c>
      <c r="H491" s="84" t="s">
        <v>825</v>
      </c>
      <c r="I491" s="85"/>
    </row>
    <row r="492" spans="2:9" x14ac:dyDescent="0.25">
      <c r="B492" s="41"/>
      <c r="C492" s="84" t="s">
        <v>717</v>
      </c>
      <c r="D492" s="84" t="s">
        <v>1405</v>
      </c>
      <c r="E492" s="84" t="s">
        <v>823</v>
      </c>
      <c r="F492" s="89" t="s">
        <v>22</v>
      </c>
      <c r="G492" s="84" t="s">
        <v>824</v>
      </c>
      <c r="H492" s="84" t="s">
        <v>825</v>
      </c>
      <c r="I492" s="85"/>
    </row>
    <row r="493" spans="2:9" x14ac:dyDescent="0.25">
      <c r="B493" s="41"/>
      <c r="C493" s="84" t="s">
        <v>719</v>
      </c>
      <c r="D493" s="84" t="s">
        <v>1406</v>
      </c>
      <c r="E493" s="84" t="s">
        <v>823</v>
      </c>
      <c r="F493" s="89" t="s">
        <v>22</v>
      </c>
      <c r="G493" s="84" t="s">
        <v>824</v>
      </c>
      <c r="H493" s="84" t="s">
        <v>825</v>
      </c>
      <c r="I493" s="85"/>
    </row>
    <row r="494" spans="2:9" x14ac:dyDescent="0.25">
      <c r="B494" s="41"/>
      <c r="C494" s="84" t="s">
        <v>1407</v>
      </c>
      <c r="D494" s="84" t="s">
        <v>1408</v>
      </c>
      <c r="E494" s="84" t="s">
        <v>823</v>
      </c>
      <c r="F494" s="89" t="s">
        <v>22</v>
      </c>
      <c r="G494" s="84" t="s">
        <v>824</v>
      </c>
      <c r="H494" s="84" t="s">
        <v>825</v>
      </c>
      <c r="I494" s="85"/>
    </row>
    <row r="495" spans="2:9" x14ac:dyDescent="0.25">
      <c r="B495" s="41"/>
      <c r="C495" s="84" t="s">
        <v>722</v>
      </c>
      <c r="D495" s="84" t="s">
        <v>1409</v>
      </c>
      <c r="E495" s="84" t="s">
        <v>823</v>
      </c>
      <c r="F495" s="89" t="s">
        <v>22</v>
      </c>
      <c r="G495" s="84" t="s">
        <v>824</v>
      </c>
      <c r="H495" s="84" t="s">
        <v>825</v>
      </c>
      <c r="I495" s="85"/>
    </row>
    <row r="496" spans="2:9" x14ac:dyDescent="0.25">
      <c r="B496" s="41"/>
      <c r="C496" s="84" t="s">
        <v>724</v>
      </c>
      <c r="D496" s="84" t="s">
        <v>1410</v>
      </c>
      <c r="E496" s="84" t="s">
        <v>823</v>
      </c>
      <c r="F496" s="89" t="s">
        <v>22</v>
      </c>
      <c r="G496" s="84" t="s">
        <v>824</v>
      </c>
      <c r="H496" s="84" t="s">
        <v>825</v>
      </c>
      <c r="I496" s="85"/>
    </row>
    <row r="497" spans="2:9" x14ac:dyDescent="0.25">
      <c r="B497" s="41"/>
      <c r="C497" s="84" t="s">
        <v>1411</v>
      </c>
      <c r="D497" s="84" t="s">
        <v>1412</v>
      </c>
      <c r="E497" s="84" t="s">
        <v>823</v>
      </c>
      <c r="F497" s="89" t="s">
        <v>22</v>
      </c>
      <c r="G497" s="84" t="s">
        <v>824</v>
      </c>
      <c r="H497" s="84" t="s">
        <v>825</v>
      </c>
      <c r="I497" s="85"/>
    </row>
    <row r="498" spans="2:9" x14ac:dyDescent="0.25">
      <c r="B498" s="41"/>
      <c r="C498" s="84" t="s">
        <v>728</v>
      </c>
      <c r="D498" s="84" t="s">
        <v>1413</v>
      </c>
      <c r="E498" s="84" t="s">
        <v>823</v>
      </c>
      <c r="F498" s="89" t="s">
        <v>22</v>
      </c>
      <c r="G498" s="84" t="s">
        <v>824</v>
      </c>
      <c r="H498" s="84" t="s">
        <v>825</v>
      </c>
      <c r="I498" s="85"/>
    </row>
    <row r="499" spans="2:9" x14ac:dyDescent="0.25">
      <c r="B499" s="42"/>
      <c r="C499" s="86" t="s">
        <v>730</v>
      </c>
      <c r="D499" s="86" t="s">
        <v>1416</v>
      </c>
      <c r="E499" s="86" t="s">
        <v>823</v>
      </c>
      <c r="F499" s="92" t="s">
        <v>22</v>
      </c>
      <c r="G499" s="86" t="s">
        <v>824</v>
      </c>
      <c r="H499" s="86" t="s">
        <v>825</v>
      </c>
      <c r="I499" s="87"/>
    </row>
    <row r="500" spans="2:9" x14ac:dyDescent="0.25">
      <c r="B500" s="41"/>
      <c r="C500" s="84" t="s">
        <v>732</v>
      </c>
      <c r="D500" s="84" t="s">
        <v>1417</v>
      </c>
      <c r="E500" s="84" t="s">
        <v>823</v>
      </c>
      <c r="F500" s="90" t="s">
        <v>36</v>
      </c>
      <c r="G500" s="84" t="s">
        <v>824</v>
      </c>
      <c r="H500" s="84" t="s">
        <v>825</v>
      </c>
      <c r="I500" s="85"/>
    </row>
    <row r="501" spans="2:9" x14ac:dyDescent="0.25">
      <c r="B501" s="41"/>
      <c r="C501" s="84" t="s">
        <v>733</v>
      </c>
      <c r="D501" s="84" t="s">
        <v>1418</v>
      </c>
      <c r="E501" s="84" t="s">
        <v>823</v>
      </c>
      <c r="F501" s="89" t="s">
        <v>22</v>
      </c>
      <c r="G501" s="84" t="s">
        <v>824</v>
      </c>
      <c r="H501" s="84" t="s">
        <v>825</v>
      </c>
      <c r="I501" s="85"/>
    </row>
    <row r="502" spans="2:9" x14ac:dyDescent="0.25">
      <c r="B502" s="41"/>
      <c r="C502" s="84" t="s">
        <v>735</v>
      </c>
      <c r="D502" s="84" t="s">
        <v>1419</v>
      </c>
      <c r="E502" s="84" t="s">
        <v>831</v>
      </c>
      <c r="F502" s="90" t="s">
        <v>36</v>
      </c>
      <c r="G502" s="84" t="s">
        <v>824</v>
      </c>
      <c r="H502" s="84" t="s">
        <v>825</v>
      </c>
      <c r="I502" s="85"/>
    </row>
    <row r="503" spans="2:9" x14ac:dyDescent="0.25">
      <c r="B503" s="41"/>
      <c r="C503" s="84" t="s">
        <v>736</v>
      </c>
      <c r="D503" s="84" t="s">
        <v>1420</v>
      </c>
      <c r="E503" s="84" t="s">
        <v>823</v>
      </c>
      <c r="F503" s="89" t="s">
        <v>22</v>
      </c>
      <c r="G503" s="84" t="s">
        <v>824</v>
      </c>
      <c r="H503" s="84" t="s">
        <v>825</v>
      </c>
      <c r="I503" s="85"/>
    </row>
    <row r="504" spans="2:9" x14ac:dyDescent="0.25">
      <c r="B504" s="41"/>
      <c r="C504" s="84" t="s">
        <v>738</v>
      </c>
      <c r="D504" s="84" t="s">
        <v>1421</v>
      </c>
      <c r="E504" s="84" t="s">
        <v>823</v>
      </c>
      <c r="F504" s="89" t="s">
        <v>22</v>
      </c>
      <c r="G504" s="84" t="s">
        <v>824</v>
      </c>
      <c r="H504" s="84" t="s">
        <v>825</v>
      </c>
      <c r="I504" s="85"/>
    </row>
    <row r="505" spans="2:9" x14ac:dyDescent="0.25">
      <c r="B505" s="41"/>
      <c r="C505" s="84" t="s">
        <v>740</v>
      </c>
      <c r="D505" s="84" t="s">
        <v>1422</v>
      </c>
      <c r="E505" s="84" t="s">
        <v>823</v>
      </c>
      <c r="F505" s="89" t="s">
        <v>22</v>
      </c>
      <c r="G505" s="84" t="s">
        <v>824</v>
      </c>
      <c r="H505" s="84" t="s">
        <v>825</v>
      </c>
      <c r="I505" s="85"/>
    </row>
    <row r="506" spans="2:9" x14ac:dyDescent="0.25">
      <c r="B506" s="41"/>
      <c r="C506" s="84" t="s">
        <v>741</v>
      </c>
      <c r="D506" s="84" t="s">
        <v>1423</v>
      </c>
      <c r="E506" s="84" t="s">
        <v>823</v>
      </c>
      <c r="F506" s="89" t="s">
        <v>22</v>
      </c>
      <c r="G506" s="84" t="s">
        <v>824</v>
      </c>
      <c r="H506" s="84" t="s">
        <v>825</v>
      </c>
      <c r="I506" s="85"/>
    </row>
    <row r="507" spans="2:9" x14ac:dyDescent="0.25">
      <c r="B507" s="41"/>
      <c r="C507" s="84" t="s">
        <v>742</v>
      </c>
      <c r="D507" s="84" t="s">
        <v>1424</v>
      </c>
      <c r="E507" s="84" t="s">
        <v>823</v>
      </c>
      <c r="F507" s="89" t="s">
        <v>22</v>
      </c>
      <c r="G507" s="84" t="s">
        <v>824</v>
      </c>
      <c r="H507" s="84" t="s">
        <v>825</v>
      </c>
      <c r="I507" s="85"/>
    </row>
    <row r="508" spans="2:9" x14ac:dyDescent="0.25">
      <c r="B508" s="41"/>
      <c r="C508" s="84" t="s">
        <v>743</v>
      </c>
      <c r="D508" s="84" t="s">
        <v>1425</v>
      </c>
      <c r="E508" s="84" t="s">
        <v>823</v>
      </c>
      <c r="F508" s="89" t="s">
        <v>22</v>
      </c>
      <c r="G508" s="84" t="s">
        <v>824</v>
      </c>
      <c r="H508" s="84" t="s">
        <v>825</v>
      </c>
      <c r="I508" s="85"/>
    </row>
    <row r="509" spans="2:9" x14ac:dyDescent="0.25">
      <c r="B509" s="41"/>
      <c r="C509" s="84" t="s">
        <v>745</v>
      </c>
      <c r="D509" s="84" t="s">
        <v>1426</v>
      </c>
      <c r="E509" s="84" t="s">
        <v>823</v>
      </c>
      <c r="F509" s="89" t="s">
        <v>22</v>
      </c>
      <c r="G509" s="84" t="s">
        <v>824</v>
      </c>
      <c r="H509" s="84" t="s">
        <v>825</v>
      </c>
      <c r="I509" s="85"/>
    </row>
    <row r="510" spans="2:9" x14ac:dyDescent="0.25">
      <c r="B510" s="41"/>
      <c r="C510" s="84" t="s">
        <v>748</v>
      </c>
      <c r="D510" s="84" t="s">
        <v>1427</v>
      </c>
      <c r="E510" s="84" t="s">
        <v>823</v>
      </c>
      <c r="F510" s="89" t="s">
        <v>22</v>
      </c>
      <c r="G510" s="84" t="s">
        <v>824</v>
      </c>
      <c r="H510" s="84" t="s">
        <v>825</v>
      </c>
      <c r="I510" s="85"/>
    </row>
    <row r="511" spans="2:9" x14ac:dyDescent="0.25">
      <c r="B511" s="41"/>
      <c r="C511" s="84" t="s">
        <v>751</v>
      </c>
      <c r="D511" s="84" t="s">
        <v>1428</v>
      </c>
      <c r="E511" s="84" t="s">
        <v>823</v>
      </c>
      <c r="F511" s="89" t="s">
        <v>22</v>
      </c>
      <c r="G511" s="84" t="s">
        <v>824</v>
      </c>
      <c r="H511" s="84" t="s">
        <v>825</v>
      </c>
      <c r="I511" s="85"/>
    </row>
    <row r="512" spans="2:9" x14ac:dyDescent="0.25">
      <c r="B512" s="41"/>
      <c r="C512" s="84" t="s">
        <v>1758</v>
      </c>
      <c r="D512" s="84" t="s">
        <v>1759</v>
      </c>
      <c r="E512" s="84" t="s">
        <v>823</v>
      </c>
      <c r="F512" s="89" t="s">
        <v>22</v>
      </c>
      <c r="G512" s="84" t="s">
        <v>824</v>
      </c>
      <c r="H512" s="84" t="s">
        <v>825</v>
      </c>
      <c r="I512" s="85"/>
    </row>
    <row r="513" spans="2:9" x14ac:dyDescent="0.25">
      <c r="B513" s="41"/>
      <c r="C513" s="84" t="s">
        <v>752</v>
      </c>
      <c r="D513" s="84" t="s">
        <v>1429</v>
      </c>
      <c r="E513" s="84" t="s">
        <v>823</v>
      </c>
      <c r="F513" s="89" t="s">
        <v>22</v>
      </c>
      <c r="G513" s="84" t="s">
        <v>824</v>
      </c>
      <c r="H513" s="84" t="s">
        <v>825</v>
      </c>
      <c r="I513" s="85"/>
    </row>
    <row r="514" spans="2:9" x14ac:dyDescent="0.25">
      <c r="B514" s="41"/>
      <c r="C514" s="84" t="s">
        <v>753</v>
      </c>
      <c r="D514" s="84" t="s">
        <v>1430</v>
      </c>
      <c r="E514" s="84" t="s">
        <v>823</v>
      </c>
      <c r="F514" s="90" t="s">
        <v>36</v>
      </c>
      <c r="G514" s="84" t="s">
        <v>824</v>
      </c>
      <c r="H514" s="84" t="s">
        <v>825</v>
      </c>
      <c r="I514" s="85"/>
    </row>
    <row r="515" spans="2:9" x14ac:dyDescent="0.25">
      <c r="B515" s="41"/>
      <c r="C515" s="84" t="s">
        <v>754</v>
      </c>
      <c r="D515" s="84" t="s">
        <v>1431</v>
      </c>
      <c r="E515" s="84" t="s">
        <v>823</v>
      </c>
      <c r="F515" s="89" t="s">
        <v>22</v>
      </c>
      <c r="G515" s="84" t="s">
        <v>824</v>
      </c>
      <c r="H515" s="84" t="s">
        <v>825</v>
      </c>
      <c r="I515" s="85"/>
    </row>
    <row r="516" spans="2:9" x14ac:dyDescent="0.25">
      <c r="B516" s="41"/>
      <c r="C516" s="84" t="s">
        <v>757</v>
      </c>
      <c r="D516" s="84" t="s">
        <v>1432</v>
      </c>
      <c r="E516" s="84" t="s">
        <v>823</v>
      </c>
      <c r="F516" s="89" t="s">
        <v>22</v>
      </c>
      <c r="G516" s="84" t="s">
        <v>824</v>
      </c>
      <c r="H516" s="84" t="s">
        <v>825</v>
      </c>
      <c r="I516" s="85"/>
    </row>
    <row r="517" spans="2:9" x14ac:dyDescent="0.25">
      <c r="B517" s="41"/>
      <c r="C517" s="84" t="s">
        <v>759</v>
      </c>
      <c r="D517" s="84" t="s">
        <v>1760</v>
      </c>
      <c r="E517" s="84" t="s">
        <v>823</v>
      </c>
      <c r="F517" s="89" t="s">
        <v>22</v>
      </c>
      <c r="G517" s="84" t="s">
        <v>824</v>
      </c>
      <c r="H517" s="84" t="s">
        <v>825</v>
      </c>
      <c r="I517" s="85"/>
    </row>
    <row r="518" spans="2:9" x14ac:dyDescent="0.25">
      <c r="B518" s="41"/>
      <c r="C518" s="84" t="s">
        <v>763</v>
      </c>
      <c r="D518" s="84" t="s">
        <v>1433</v>
      </c>
      <c r="E518" s="84" t="s">
        <v>823</v>
      </c>
      <c r="F518" s="89" t="s">
        <v>22</v>
      </c>
      <c r="G518" s="84" t="s">
        <v>824</v>
      </c>
      <c r="H518" s="84" t="s">
        <v>825</v>
      </c>
      <c r="I518" s="85"/>
    </row>
    <row r="519" spans="2:9" x14ac:dyDescent="0.25">
      <c r="B519" s="41"/>
      <c r="C519" s="84" t="s">
        <v>765</v>
      </c>
      <c r="D519" s="84" t="s">
        <v>1434</v>
      </c>
      <c r="E519" s="84" t="s">
        <v>823</v>
      </c>
      <c r="F519" s="90" t="s">
        <v>36</v>
      </c>
      <c r="G519" s="84" t="s">
        <v>824</v>
      </c>
      <c r="H519" s="84" t="s">
        <v>825</v>
      </c>
      <c r="I519" s="85"/>
    </row>
    <row r="520" spans="2:9" x14ac:dyDescent="0.25">
      <c r="B520" s="41"/>
      <c r="C520" s="84" t="s">
        <v>766</v>
      </c>
      <c r="D520" s="84" t="s">
        <v>1437</v>
      </c>
      <c r="E520" s="84" t="s">
        <v>823</v>
      </c>
      <c r="F520" s="90" t="s">
        <v>36</v>
      </c>
      <c r="G520" s="84" t="s">
        <v>824</v>
      </c>
      <c r="H520" s="84" t="s">
        <v>825</v>
      </c>
      <c r="I520" s="85"/>
    </row>
    <row r="521" spans="2:9" x14ac:dyDescent="0.25">
      <c r="B521" s="41"/>
      <c r="C521" s="84" t="s">
        <v>767</v>
      </c>
      <c r="D521" s="84" t="s">
        <v>1438</v>
      </c>
      <c r="E521" s="84" t="s">
        <v>823</v>
      </c>
      <c r="F521" s="89" t="s">
        <v>22</v>
      </c>
      <c r="G521" s="84" t="s">
        <v>824</v>
      </c>
      <c r="H521" s="84" t="s">
        <v>825</v>
      </c>
      <c r="I521" s="85"/>
    </row>
    <row r="522" spans="2:9" x14ac:dyDescent="0.25">
      <c r="B522" s="41"/>
      <c r="C522" s="84" t="s">
        <v>769</v>
      </c>
      <c r="D522" s="84" t="s">
        <v>1761</v>
      </c>
      <c r="E522" s="84" t="s">
        <v>823</v>
      </c>
      <c r="F522" s="89" t="s">
        <v>22</v>
      </c>
      <c r="G522" s="84" t="s">
        <v>824</v>
      </c>
      <c r="H522" s="84" t="s">
        <v>825</v>
      </c>
      <c r="I522" s="85"/>
    </row>
    <row r="523" spans="2:9" x14ac:dyDescent="0.25">
      <c r="B523" s="41"/>
      <c r="C523" s="84" t="s">
        <v>771</v>
      </c>
      <c r="D523" s="84" t="s">
        <v>1439</v>
      </c>
      <c r="E523" s="84" t="s">
        <v>823</v>
      </c>
      <c r="F523" s="89" t="s">
        <v>22</v>
      </c>
      <c r="G523" s="84" t="s">
        <v>824</v>
      </c>
      <c r="H523" s="84" t="s">
        <v>825</v>
      </c>
      <c r="I523" s="85"/>
    </row>
    <row r="524" spans="2:9" x14ac:dyDescent="0.25">
      <c r="B524" s="41"/>
      <c r="C524" s="84" t="s">
        <v>773</v>
      </c>
      <c r="D524" s="84" t="s">
        <v>1762</v>
      </c>
      <c r="E524" s="84" t="s">
        <v>823</v>
      </c>
      <c r="F524" s="90" t="s">
        <v>36</v>
      </c>
      <c r="G524" s="84" t="s">
        <v>824</v>
      </c>
      <c r="H524" s="84" t="s">
        <v>825</v>
      </c>
      <c r="I524" s="85"/>
    </row>
    <row r="525" spans="2:9" x14ac:dyDescent="0.25">
      <c r="B525" s="41"/>
      <c r="C525" s="84" t="s">
        <v>774</v>
      </c>
      <c r="D525" s="84" t="s">
        <v>1440</v>
      </c>
      <c r="E525" s="84" t="s">
        <v>823</v>
      </c>
      <c r="F525" s="90" t="s">
        <v>36</v>
      </c>
      <c r="G525" s="84" t="s">
        <v>824</v>
      </c>
      <c r="H525" s="84" t="s">
        <v>825</v>
      </c>
      <c r="I525" s="85"/>
    </row>
    <row r="526" spans="2:9" x14ac:dyDescent="0.25">
      <c r="B526" s="41"/>
      <c r="C526" s="84" t="s">
        <v>775</v>
      </c>
      <c r="D526" s="84" t="s">
        <v>1441</v>
      </c>
      <c r="E526" s="84" t="s">
        <v>823</v>
      </c>
      <c r="F526" s="89" t="s">
        <v>22</v>
      </c>
      <c r="G526" s="84" t="s">
        <v>824</v>
      </c>
      <c r="H526" s="84" t="s">
        <v>825</v>
      </c>
      <c r="I526" s="85"/>
    </row>
    <row r="527" spans="2:9" x14ac:dyDescent="0.25">
      <c r="B527" s="41"/>
      <c r="C527" s="84" t="s">
        <v>777</v>
      </c>
      <c r="D527" s="84" t="s">
        <v>1442</v>
      </c>
      <c r="E527" s="84" t="s">
        <v>823</v>
      </c>
      <c r="F527" s="89" t="s">
        <v>22</v>
      </c>
      <c r="G527" s="84" t="s">
        <v>824</v>
      </c>
      <c r="H527" s="84" t="s">
        <v>825</v>
      </c>
      <c r="I527" s="85"/>
    </row>
    <row r="528" spans="2:9" x14ac:dyDescent="0.25">
      <c r="B528" s="41"/>
      <c r="C528" s="84" t="s">
        <v>779</v>
      </c>
      <c r="D528" s="84" t="s">
        <v>1763</v>
      </c>
      <c r="E528" s="84" t="s">
        <v>823</v>
      </c>
      <c r="F528" s="90" t="s">
        <v>36</v>
      </c>
      <c r="G528" s="84" t="s">
        <v>824</v>
      </c>
      <c r="H528" s="84" t="s">
        <v>825</v>
      </c>
      <c r="I528" s="85"/>
    </row>
    <row r="529" spans="2:9" x14ac:dyDescent="0.25">
      <c r="B529" s="41"/>
      <c r="C529" s="84" t="s">
        <v>1443</v>
      </c>
      <c r="D529" s="84" t="s">
        <v>1444</v>
      </c>
      <c r="E529" s="84" t="s">
        <v>831</v>
      </c>
      <c r="F529" s="91" t="s">
        <v>47</v>
      </c>
      <c r="G529" s="84" t="s">
        <v>824</v>
      </c>
      <c r="H529" s="84" t="s">
        <v>825</v>
      </c>
      <c r="I529" s="85"/>
    </row>
    <row r="530" spans="2:9" x14ac:dyDescent="0.25">
      <c r="B530" s="41"/>
      <c r="C530" s="84" t="s">
        <v>780</v>
      </c>
      <c r="D530" s="84" t="s">
        <v>1445</v>
      </c>
      <c r="E530" s="84" t="s">
        <v>823</v>
      </c>
      <c r="F530" s="89" t="s">
        <v>22</v>
      </c>
      <c r="G530" s="84" t="s">
        <v>824</v>
      </c>
      <c r="H530" s="84" t="s">
        <v>825</v>
      </c>
      <c r="I530" s="85"/>
    </row>
    <row r="531" spans="2:9" x14ac:dyDescent="0.25">
      <c r="B531" s="41"/>
      <c r="C531" s="84" t="s">
        <v>1448</v>
      </c>
      <c r="D531" s="84" t="s">
        <v>1449</v>
      </c>
      <c r="E531" s="84" t="s">
        <v>823</v>
      </c>
      <c r="F531" s="89" t="s">
        <v>22</v>
      </c>
      <c r="G531" s="84" t="s">
        <v>824</v>
      </c>
      <c r="H531" s="84" t="s">
        <v>825</v>
      </c>
      <c r="I531" s="85"/>
    </row>
    <row r="532" spans="2:9" x14ac:dyDescent="0.25">
      <c r="B532" s="41"/>
      <c r="C532" s="84" t="s">
        <v>783</v>
      </c>
      <c r="D532" s="84" t="s">
        <v>1450</v>
      </c>
      <c r="E532" s="84" t="s">
        <v>823</v>
      </c>
      <c r="F532" s="89" t="s">
        <v>22</v>
      </c>
      <c r="G532" s="84" t="s">
        <v>824</v>
      </c>
      <c r="H532" s="84" t="s">
        <v>825</v>
      </c>
      <c r="I532" s="85"/>
    </row>
    <row r="533" spans="2:9" x14ac:dyDescent="0.25">
      <c r="B533" s="41"/>
      <c r="C533" s="84" t="s">
        <v>786</v>
      </c>
      <c r="D533" s="84" t="s">
        <v>1451</v>
      </c>
      <c r="E533" s="84" t="s">
        <v>823</v>
      </c>
      <c r="F533" s="91" t="s">
        <v>47</v>
      </c>
      <c r="G533" s="84" t="s">
        <v>824</v>
      </c>
      <c r="H533" s="84" t="s">
        <v>825</v>
      </c>
      <c r="I533" s="85"/>
    </row>
    <row r="534" spans="2:9" x14ac:dyDescent="0.25">
      <c r="B534" s="41"/>
      <c r="C534" s="84" t="s">
        <v>788</v>
      </c>
      <c r="D534" s="84" t="s">
        <v>1452</v>
      </c>
      <c r="E534" s="84" t="s">
        <v>823</v>
      </c>
      <c r="F534" s="89" t="s">
        <v>22</v>
      </c>
      <c r="G534" s="84" t="s">
        <v>824</v>
      </c>
      <c r="H534" s="84" t="s">
        <v>825</v>
      </c>
      <c r="I534" s="85"/>
    </row>
    <row r="535" spans="2:9" x14ac:dyDescent="0.25">
      <c r="B535" s="41"/>
      <c r="C535" s="84" t="s">
        <v>790</v>
      </c>
      <c r="D535" s="84" t="s">
        <v>1453</v>
      </c>
      <c r="E535" s="84" t="s">
        <v>823</v>
      </c>
      <c r="F535" s="89" t="s">
        <v>22</v>
      </c>
      <c r="G535" s="84" t="s">
        <v>824</v>
      </c>
      <c r="H535" s="84" t="s">
        <v>825</v>
      </c>
      <c r="I535" s="85"/>
    </row>
    <row r="536" spans="2:9" x14ac:dyDescent="0.25">
      <c r="B536" s="41"/>
      <c r="C536" s="84" t="s">
        <v>792</v>
      </c>
      <c r="D536" s="84" t="s">
        <v>1454</v>
      </c>
      <c r="E536" s="84" t="s">
        <v>823</v>
      </c>
      <c r="F536" s="90" t="s">
        <v>36</v>
      </c>
      <c r="G536" s="84" t="s">
        <v>824</v>
      </c>
      <c r="H536" s="84" t="s">
        <v>825</v>
      </c>
      <c r="I536" s="85"/>
    </row>
    <row r="537" spans="2:9" x14ac:dyDescent="0.25">
      <c r="B537" s="41"/>
      <c r="C537" s="84" t="s">
        <v>793</v>
      </c>
      <c r="D537" s="84" t="s">
        <v>1455</v>
      </c>
      <c r="E537" s="84" t="s">
        <v>823</v>
      </c>
      <c r="F537" s="89" t="s">
        <v>22</v>
      </c>
      <c r="G537" s="84" t="s">
        <v>824</v>
      </c>
      <c r="H537" s="84" t="s">
        <v>825</v>
      </c>
      <c r="I537" s="85"/>
    </row>
    <row r="538" spans="2:9" x14ac:dyDescent="0.25">
      <c r="B538" s="41"/>
      <c r="C538" s="84" t="s">
        <v>795</v>
      </c>
      <c r="D538" s="84" t="s">
        <v>1458</v>
      </c>
      <c r="E538" s="84" t="s">
        <v>823</v>
      </c>
      <c r="F538" s="89" t="s">
        <v>22</v>
      </c>
      <c r="G538" s="84" t="s">
        <v>824</v>
      </c>
      <c r="H538" s="84" t="s">
        <v>825</v>
      </c>
      <c r="I538" s="85"/>
    </row>
    <row r="539" spans="2:9" x14ac:dyDescent="0.25">
      <c r="B539" s="41"/>
      <c r="C539" s="84" t="s">
        <v>797</v>
      </c>
      <c r="D539" s="84" t="s">
        <v>1459</v>
      </c>
      <c r="E539" s="84" t="s">
        <v>823</v>
      </c>
      <c r="F539" s="89" t="s">
        <v>22</v>
      </c>
      <c r="G539" s="84" t="s">
        <v>824</v>
      </c>
      <c r="H539" s="84" t="s">
        <v>825</v>
      </c>
      <c r="I539" s="85"/>
    </row>
    <row r="540" spans="2:9" x14ac:dyDescent="0.25">
      <c r="B540" s="41"/>
      <c r="C540" s="84" t="s">
        <v>798</v>
      </c>
      <c r="D540" s="84" t="s">
        <v>1460</v>
      </c>
      <c r="E540" s="84" t="s">
        <v>823</v>
      </c>
      <c r="F540" s="89" t="s">
        <v>22</v>
      </c>
      <c r="G540" s="84" t="s">
        <v>824</v>
      </c>
      <c r="H540" s="84" t="s">
        <v>825</v>
      </c>
      <c r="I540" s="85"/>
    </row>
    <row r="541" spans="2:9" x14ac:dyDescent="0.25">
      <c r="B541" s="41"/>
      <c r="C541" s="84" t="s">
        <v>800</v>
      </c>
      <c r="D541" s="84" t="s">
        <v>1764</v>
      </c>
      <c r="E541" s="84" t="s">
        <v>823</v>
      </c>
      <c r="F541" s="89" t="s">
        <v>22</v>
      </c>
      <c r="G541" s="84" t="s">
        <v>824</v>
      </c>
      <c r="H541" s="84" t="s">
        <v>825</v>
      </c>
      <c r="I541" s="85"/>
    </row>
    <row r="542" spans="2:9" x14ac:dyDescent="0.25">
      <c r="B542" s="41"/>
      <c r="C542" s="84" t="s">
        <v>801</v>
      </c>
      <c r="D542" s="84" t="s">
        <v>1462</v>
      </c>
      <c r="E542" s="84" t="s">
        <v>823</v>
      </c>
      <c r="F542" s="89" t="s">
        <v>22</v>
      </c>
      <c r="G542" s="84" t="s">
        <v>824</v>
      </c>
      <c r="H542" s="84" t="s">
        <v>825</v>
      </c>
      <c r="I542" s="85"/>
    </row>
    <row r="543" spans="2:9" x14ac:dyDescent="0.25">
      <c r="B543" s="41"/>
      <c r="C543" s="84" t="s">
        <v>804</v>
      </c>
      <c r="D543" s="84" t="s">
        <v>1463</v>
      </c>
      <c r="E543" s="84" t="s">
        <v>823</v>
      </c>
      <c r="F543" s="89" t="s">
        <v>22</v>
      </c>
      <c r="G543" s="84" t="s">
        <v>824</v>
      </c>
      <c r="H543" s="84" t="s">
        <v>825</v>
      </c>
      <c r="I543" s="85"/>
    </row>
    <row r="544" spans="2:9" x14ac:dyDescent="0.25">
      <c r="B544" s="41"/>
      <c r="C544" s="84" t="s">
        <v>805</v>
      </c>
      <c r="D544" s="84" t="s">
        <v>1464</v>
      </c>
      <c r="E544" s="84" t="s">
        <v>823</v>
      </c>
      <c r="F544" s="89" t="s">
        <v>22</v>
      </c>
      <c r="G544" s="84" t="s">
        <v>824</v>
      </c>
      <c r="H544" s="84" t="s">
        <v>825</v>
      </c>
      <c r="I544" s="85"/>
    </row>
    <row r="545" spans="2:9" x14ac:dyDescent="0.25">
      <c r="B545" s="41"/>
      <c r="C545" s="84" t="s">
        <v>806</v>
      </c>
      <c r="D545" s="84" t="s">
        <v>1465</v>
      </c>
      <c r="E545" s="84" t="s">
        <v>823</v>
      </c>
      <c r="F545" s="89" t="s">
        <v>22</v>
      </c>
      <c r="G545" s="84" t="s">
        <v>824</v>
      </c>
      <c r="H545" s="84" t="s">
        <v>825</v>
      </c>
      <c r="I545" s="85"/>
    </row>
    <row r="546" spans="2:9" x14ac:dyDescent="0.25">
      <c r="B546" s="41"/>
      <c r="C546" s="84" t="s">
        <v>808</v>
      </c>
      <c r="D546" s="84" t="s">
        <v>1466</v>
      </c>
      <c r="E546" s="84" t="s">
        <v>823</v>
      </c>
      <c r="F546" s="89" t="s">
        <v>22</v>
      </c>
      <c r="G546" s="84" t="s">
        <v>824</v>
      </c>
      <c r="H546" s="84" t="s">
        <v>825</v>
      </c>
      <c r="I546" s="85"/>
    </row>
    <row r="547" spans="2:9" x14ac:dyDescent="0.25">
      <c r="B547" s="42"/>
      <c r="C547" s="86" t="s">
        <v>810</v>
      </c>
      <c r="D547" s="86" t="s">
        <v>1467</v>
      </c>
      <c r="E547" s="86" t="s">
        <v>823</v>
      </c>
      <c r="F547" s="92" t="s">
        <v>22</v>
      </c>
      <c r="G547" s="86" t="s">
        <v>824</v>
      </c>
      <c r="H547" s="86" t="s">
        <v>825</v>
      </c>
      <c r="I547" s="87"/>
    </row>
    <row r="548" spans="2:9" x14ac:dyDescent="0.25">
      <c r="B548" s="41"/>
      <c r="C548" s="84" t="s">
        <v>811</v>
      </c>
      <c r="D548" s="84" t="s">
        <v>1468</v>
      </c>
      <c r="E548" s="84" t="s">
        <v>823</v>
      </c>
      <c r="F548" s="89" t="s">
        <v>22</v>
      </c>
      <c r="G548" s="84" t="s">
        <v>824</v>
      </c>
      <c r="H548" s="84" t="s">
        <v>825</v>
      </c>
      <c r="I548" s="85"/>
    </row>
  </sheetData>
  <hyperlinks>
    <hyperlink ref="B3" r:id="rId1" display="https://amp.vexpenses.com/settings/membros-de-equipe/895944" xr:uid="{1FAD1262-273A-42D9-A677-4992E8E42493}"/>
    <hyperlink ref="B4" r:id="rId2" display="https://amp.vexpenses.com/settings/membros-de-equipe/923558" xr:uid="{A025747E-34A5-4B41-9ECB-8E960671EA54}"/>
    <hyperlink ref="B5" r:id="rId3" display="https://amp.vexpenses.com/settings/membros-de-equipe/895945" xr:uid="{7A8E15FF-CB2A-4B74-9719-3D14E97BAE6C}"/>
    <hyperlink ref="B6" r:id="rId4" display="https://amp.vexpenses.com/settings/membros-de-equipe/895946" xr:uid="{D4056419-52C6-4AF5-A7EF-DFD6981FFF89}"/>
    <hyperlink ref="B7" r:id="rId5" display="https://amp.vexpenses.com/settings/membros-de-equipe/895947" xr:uid="{1FACEDA6-7520-4C30-9A53-557E6CBCB99E}"/>
    <hyperlink ref="B8" r:id="rId6" display="https://amp.vexpenses.com/settings/membros-de-equipe/895948" xr:uid="{EB623199-752F-4235-A5DF-F2E3A2AA1043}"/>
    <hyperlink ref="B9" r:id="rId7" display="https://amp.vexpenses.com/settings/membros-de-equipe/895949" xr:uid="{036724FB-8545-4078-8857-CDFE1BAC6894}"/>
    <hyperlink ref="B10" r:id="rId8" display="https://amp.vexpenses.com/settings/membros-de-equipe/978182" xr:uid="{159D8435-F6A8-43AB-A462-6808EA715806}"/>
    <hyperlink ref="B11" r:id="rId9" display="https://amp.vexpenses.com/settings/membros-de-equipe/895950" xr:uid="{FC3CCC83-C706-47F3-9F74-7491126672E0}"/>
    <hyperlink ref="B12" r:id="rId10" display="https://amp.vexpenses.com/settings/membros-de-equipe/895952" xr:uid="{D053C418-4C1C-4F35-9B6C-55201A083BBF}"/>
    <hyperlink ref="B13" r:id="rId11" display="https://amp.vexpenses.com/settings/membros-de-equipe/895954" xr:uid="{76219336-269E-4C59-B123-E6D1DC1E2EBD}"/>
    <hyperlink ref="B14" r:id="rId12" display="https://amp.vexpenses.com/settings/membros-de-equipe/895955" xr:uid="{20222555-958F-46D9-B9F2-819A0743D838}"/>
    <hyperlink ref="B15" r:id="rId13" display="https://amp.vexpenses.com/settings/membros-de-equipe/895956" xr:uid="{E7A6D7A3-3D9F-405E-A406-DAD5E722FE6D}"/>
    <hyperlink ref="B16" r:id="rId14" display="https://amp.vexpenses.com/settings/membros-de-equipe/985870" xr:uid="{20849663-D087-434A-A331-378C6CC5FD46}"/>
    <hyperlink ref="B17" r:id="rId15" display="https://amp.vexpenses.com/settings/membros-de-equipe/916910" xr:uid="{1B1CDD80-A651-4703-B8CF-7F47C9567EA2}"/>
    <hyperlink ref="B18" r:id="rId16" display="https://amp.vexpenses.com/settings/membros-de-equipe/895957" xr:uid="{FBC89636-FE52-4B9D-AD65-CB464DD3057C}"/>
    <hyperlink ref="B19" r:id="rId17" display="https://amp.vexpenses.com/settings/membros-de-equipe/895958" xr:uid="{83B28684-5B56-4AFA-9BDF-C9D853D68FA9}"/>
    <hyperlink ref="B20" r:id="rId18" display="https://amp.vexpenses.com/settings/membros-de-equipe/929763" xr:uid="{F4420738-1F40-4B3A-81FD-5058A7453D6F}"/>
    <hyperlink ref="B21" r:id="rId19" display="https://amp.vexpenses.com/settings/membros-de-equipe/895959" xr:uid="{99B099E4-59F1-431D-8A55-37A8CA7DD800}"/>
    <hyperlink ref="B22" r:id="rId20" display="https://amp.vexpenses.com/settings/membros-de-equipe/950625" xr:uid="{A82386DE-B191-4C23-AF16-68D5171857EA}"/>
    <hyperlink ref="B23" r:id="rId21" display="https://amp.vexpenses.com/settings/membros-de-equipe/895961" xr:uid="{3C5009B5-8825-427D-99A7-BA2BC996FCCE}"/>
    <hyperlink ref="B24" r:id="rId22" display="https://amp.vexpenses.com/settings/membros-de-equipe/895962" xr:uid="{5F2BCA58-3C38-4296-BF37-65E6E1B0B4E7}"/>
    <hyperlink ref="B25" r:id="rId23" display="https://amp.vexpenses.com/settings/membros-de-equipe/895963" xr:uid="{4F8E3B9E-C63E-48D0-B614-795E8105DFF1}"/>
    <hyperlink ref="B26" r:id="rId24" display="https://amp.vexpenses.com/settings/membros-de-equipe/895964" xr:uid="{95CBB814-A688-44DC-BB3A-B700A8EFECD9}"/>
    <hyperlink ref="B27" r:id="rId25" display="https://amp.vexpenses.com/settings/membros-de-equipe/895965" xr:uid="{2A6CE6AA-345E-4442-8AA2-12A7C9C87D5A}"/>
    <hyperlink ref="B28" r:id="rId26" display="https://amp.vexpenses.com/settings/membros-de-equipe/917314" xr:uid="{D8189D5C-0A45-4BA5-BE01-8756A5BEB410}"/>
    <hyperlink ref="B29" r:id="rId27" display="https://amp.vexpenses.com/settings/membros-de-equipe/895966" xr:uid="{5F5608EC-E066-4BF6-A9A0-D01FADF1F5F9}"/>
    <hyperlink ref="B30" r:id="rId28" display="https://amp.vexpenses.com/settings/membros-de-equipe/895967" xr:uid="{086F42FD-F496-4998-86EF-4A3BC3ACCA27}"/>
    <hyperlink ref="B31" r:id="rId29" display="https://amp.vexpenses.com/settings/membros-de-equipe/916897" xr:uid="{A69D8C07-7FC5-46BE-B921-634A2AC7E514}"/>
    <hyperlink ref="B32" r:id="rId30" display="https://amp.vexpenses.com/settings/membros-de-equipe/994742" xr:uid="{A692139E-4397-4A82-8D36-3EA24692CAA9}"/>
    <hyperlink ref="B33" r:id="rId31" display="https://amp.vexpenses.com/settings/membros-de-equipe/971287" xr:uid="{5DC39568-4E87-43A3-8289-3BA2AE4AD392}"/>
    <hyperlink ref="B34" r:id="rId32" display="https://amp.vexpenses.com/settings/membros-de-equipe/895968" xr:uid="{E6C562CC-3A56-4CB5-AD58-92D6BC64F11D}"/>
    <hyperlink ref="B35" r:id="rId33" display="https://amp.vexpenses.com/settings/membros-de-equipe/917318" xr:uid="{9657E774-1BFD-4506-B825-5B6EFEB65E5E}"/>
    <hyperlink ref="B36" r:id="rId34" display="https://amp.vexpenses.com/settings/membros-de-equipe/895969" xr:uid="{026E1451-E209-4EEF-B7DE-D25E508A29EB}"/>
    <hyperlink ref="B37" r:id="rId35" display="https://amp.vexpenses.com/settings/membros-de-equipe/918852" xr:uid="{9A18D0C7-F3C4-4CBF-8F45-5DC8835DF5A3}"/>
    <hyperlink ref="B38" r:id="rId36" display="https://amp.vexpenses.com/settings/membros-de-equipe/895970" xr:uid="{1F4147EC-BACB-4C6D-B832-F30ABC13832B}"/>
    <hyperlink ref="B39" r:id="rId37" display="https://amp.vexpenses.com/settings/membros-de-equipe/895971" xr:uid="{0979D328-BC26-442D-87CE-41264F61CF24}"/>
    <hyperlink ref="B40" r:id="rId38" display="https://amp.vexpenses.com/settings/membros-de-equipe/895972" xr:uid="{A02C03A3-F144-4496-A522-AE5A68C5FEB1}"/>
    <hyperlink ref="B41" r:id="rId39" display="https://amp.vexpenses.com/settings/membros-de-equipe/966263" xr:uid="{BFE87478-92F8-47A7-96F6-A1F8EBCCA8F9}"/>
    <hyperlink ref="B42" r:id="rId40" display="https://amp.vexpenses.com/settings/membros-de-equipe/895974" xr:uid="{17875C52-AFBB-4F50-B4CF-FDB5FF5F76BE}"/>
    <hyperlink ref="B43" r:id="rId41" display="https://amp.vexpenses.com/settings/membros-de-equipe/929757" xr:uid="{40DCBD81-83EF-4AF2-B5F5-B0C8D2186921}"/>
    <hyperlink ref="B44" r:id="rId42" display="https://amp.vexpenses.com/settings/membros-de-equipe/895975" xr:uid="{0E11CD5F-3405-434C-9B79-209F9993DAA5}"/>
    <hyperlink ref="B45" r:id="rId43" display="https://amp.vexpenses.com/settings/membros-de-equipe/895977" xr:uid="{4D55A64F-E9C4-4D54-9F6D-72CCDE39AD4A}"/>
    <hyperlink ref="B46" r:id="rId44" display="https://amp.vexpenses.com/settings/membros-de-equipe/895978" xr:uid="{BD6229FA-A256-4138-9439-C4E04AE6CB1A}"/>
    <hyperlink ref="B47" r:id="rId45" display="https://amp.vexpenses.com/settings/membros-de-equipe/952448" xr:uid="{BC05AB41-69C3-423A-9F00-CF708325E6A3}"/>
    <hyperlink ref="B48" r:id="rId46" display="https://amp.vexpenses.com/settings/membros-de-equipe/934784" xr:uid="{9B45FA39-B975-4214-A87C-1FC90FA2C529}"/>
    <hyperlink ref="B49" r:id="rId47" display="https://amp.vexpenses.com/settings/membros-de-equipe/917324" xr:uid="{BDAC3390-5404-4C28-A0E1-409D32749601}"/>
    <hyperlink ref="B50" r:id="rId48" display="https://amp.vexpenses.com/settings/membros-de-equipe/895981" xr:uid="{2B66DE5C-A3DB-4C28-88A5-545C87DA406E}"/>
    <hyperlink ref="B51" r:id="rId49" display="https://amp.vexpenses.com/settings/membros-de-equipe/895982" xr:uid="{A46994DB-5559-4469-8430-F47B2E62510B}"/>
    <hyperlink ref="B52" r:id="rId50" display="https://amp.vexpenses.com/settings/membros-de-equipe/895983" xr:uid="{6983D68F-E8FF-48F1-8E1A-90E1A4203618}"/>
    <hyperlink ref="B53" r:id="rId51" display="https://amp.vexpenses.com/settings/membros-de-equipe/895984" xr:uid="{34678BBF-66D9-44E1-A116-A5ADCFF3DF7E}"/>
    <hyperlink ref="B54" r:id="rId52" display="https://amp.vexpenses.com/settings/membros-de-equipe/895985" xr:uid="{64CD46A8-FA8B-46A0-A54F-0890547A51B3}"/>
    <hyperlink ref="B55" r:id="rId53" display="https://amp.vexpenses.com/settings/membros-de-equipe/916889" xr:uid="{21D7F3BA-30B4-40C2-A971-09144376D87C}"/>
    <hyperlink ref="B56" r:id="rId54" display="https://amp.vexpenses.com/settings/membros-de-equipe/895986" xr:uid="{4DD1A5E8-0E7D-4377-93B2-31F2B7F1A891}"/>
    <hyperlink ref="B57" r:id="rId55" display="https://amp.vexpenses.com/settings/membros-de-equipe/891977" xr:uid="{269C87AA-ED8E-4C03-A549-F2812182529D}"/>
    <hyperlink ref="B58" r:id="rId56" display="https://amp.vexpenses.com/settings/membros-de-equipe/895988" xr:uid="{869BAB67-3A39-45BD-B6E6-3E0CC48E3E2C}"/>
    <hyperlink ref="B59" r:id="rId57" display="https://amp.vexpenses.com/settings/membros-de-equipe/895989" xr:uid="{013868E1-134B-4A7C-AEE7-9CF0C9FF5559}"/>
    <hyperlink ref="B60" r:id="rId58" display="https://amp.vexpenses.com/settings/membros-de-equipe/895991" xr:uid="{D93E8CF5-04CB-4019-B3E9-B7FBC5BFF99A}"/>
    <hyperlink ref="B61" r:id="rId59" display="https://amp.vexpenses.com/settings/membros-de-equipe/895992" xr:uid="{142B43F6-8FF7-4E3B-B809-4B02F97FF99B}"/>
    <hyperlink ref="B62" r:id="rId60" display="https://amp.vexpenses.com/settings/membros-de-equipe/895993" xr:uid="{553B505D-4FA3-4182-A02A-929D84F6F14B}"/>
    <hyperlink ref="B63" r:id="rId61" display="https://amp.vexpenses.com/settings/membros-de-equipe/895994" xr:uid="{16CC8007-AF34-4CE3-90E1-983E04900975}"/>
    <hyperlink ref="B64" r:id="rId62" display="https://amp.vexpenses.com/settings/membros-de-equipe/982780" xr:uid="{94D01980-52D6-43A4-9320-41643E27083E}"/>
    <hyperlink ref="B65" r:id="rId63" display="https://amp.vexpenses.com/settings/membros-de-equipe/920071" xr:uid="{96AC2943-048F-467C-BB1A-B26B588B8682}"/>
    <hyperlink ref="B66" r:id="rId64" display="https://amp.vexpenses.com/settings/membros-de-equipe/895996" xr:uid="{F6F8A414-DCFD-48B5-A8CB-740AC59E4393}"/>
    <hyperlink ref="B67" r:id="rId65" display="https://amp.vexpenses.com/settings/membros-de-equipe/973987" xr:uid="{08B39F1B-0AA1-4399-B14F-348A2F8772E3}"/>
    <hyperlink ref="B68" r:id="rId66" display="https://amp.vexpenses.com/settings/membros-de-equipe/985829" xr:uid="{5BEEB302-645D-41E1-83CF-751E6522FB58}"/>
    <hyperlink ref="B69" r:id="rId67" display="https://amp.vexpenses.com/settings/membros-de-equipe/895997" xr:uid="{DAF626AD-C242-4CFF-AB87-BE5ABAFF1EB4}"/>
    <hyperlink ref="B70" r:id="rId68" display="https://amp.vexpenses.com/settings/membros-de-equipe/917085" xr:uid="{48BCBBA7-3D02-4723-9277-A9C13096E955}"/>
    <hyperlink ref="B71" r:id="rId69" display="https://amp.vexpenses.com/settings/membros-de-equipe/930416" xr:uid="{AD0D5589-7273-4D2D-8249-92EC27EC3917}"/>
    <hyperlink ref="B72" r:id="rId70" display="https://amp.vexpenses.com/settings/membros-de-equipe/895999" xr:uid="{D411568D-AA49-4F4B-AECC-F160E8E2FF25}"/>
    <hyperlink ref="B73" r:id="rId71" display="https://amp.vexpenses.com/settings/membros-de-equipe/896000" xr:uid="{1A492ED5-3E7F-4EA7-9F63-324AE406181C}"/>
    <hyperlink ref="B74" r:id="rId72" display="https://amp.vexpenses.com/settings/membros-de-equipe/896001" xr:uid="{86C8D2C8-C4A3-47FB-9B09-FA02DC53EE45}"/>
    <hyperlink ref="B75" r:id="rId73" display="https://amp.vexpenses.com/settings/membros-de-equipe/896002" xr:uid="{89C01550-3542-4989-8B35-3896D8F66CB2}"/>
    <hyperlink ref="B76" r:id="rId74" display="https://amp.vexpenses.com/settings/membros-de-equipe/896003" xr:uid="{FBE738F0-AB30-49EC-BB9A-960ECCDFF356}"/>
    <hyperlink ref="B77" r:id="rId75" display="https://amp.vexpenses.com/settings/membros-de-equipe/896004" xr:uid="{C476CE1E-6ED5-41EF-9F2B-5B1674EB274E}"/>
    <hyperlink ref="B78" r:id="rId76" display="https://amp.vexpenses.com/settings/membros-de-equipe/896005" xr:uid="{0142DB04-5789-4A20-A0EE-34DAC36289B5}"/>
    <hyperlink ref="B79" r:id="rId77" display="https://amp.vexpenses.com/settings/membros-de-equipe/896006" xr:uid="{66A5C44E-BE56-4008-9AB6-DE82F2D44862}"/>
    <hyperlink ref="B80" r:id="rId78" display="https://amp.vexpenses.com/settings/membros-de-equipe/896007" xr:uid="{7426EEEF-915B-4B1E-9F17-4D1C7C59C29B}"/>
    <hyperlink ref="B81" r:id="rId79" display="https://amp.vexpenses.com/settings/membros-de-equipe/896008" xr:uid="{F5DDD9E7-775A-4EC7-A3AD-797690507089}"/>
    <hyperlink ref="B82" r:id="rId80" display="https://amp.vexpenses.com/settings/membros-de-equipe/896009" xr:uid="{2E087EF6-48A2-4B07-A211-AEDD2894873F}"/>
    <hyperlink ref="B83" r:id="rId81" display="https://amp.vexpenses.com/settings/membros-de-equipe/896011" xr:uid="{AF460B16-9629-46FB-A18B-0B986EB527DD}"/>
    <hyperlink ref="B84" r:id="rId82" display="https://amp.vexpenses.com/settings/membros-de-equipe/896012" xr:uid="{C7F4992F-1FE2-43CC-B2A8-CF5540D67D4B}"/>
    <hyperlink ref="B85" r:id="rId83" display="https://amp.vexpenses.com/settings/membros-de-equipe/896014" xr:uid="{CE818106-FA6D-46C3-90C9-933B24B08345}"/>
    <hyperlink ref="B86" r:id="rId84" display="https://amp.vexpenses.com/settings/membros-de-equipe/896015" xr:uid="{6C47FC03-CDC9-4C98-AA38-BBF9561201CB}"/>
    <hyperlink ref="B87" r:id="rId85" display="https://amp.vexpenses.com/settings/membros-de-equipe/930924" xr:uid="{41C1B2D0-6D65-48FA-A32B-73E73AB74B6D}"/>
    <hyperlink ref="B88" r:id="rId86" display="https://amp.vexpenses.com/settings/membros-de-equipe/896017" xr:uid="{58D4DE4B-AD73-4477-8309-A838CEF2C0F3}"/>
    <hyperlink ref="B89" r:id="rId87" display="https://amp.vexpenses.com/settings/membros-de-equipe/917342" xr:uid="{08A6B71B-67FD-458D-9B59-C9D8A8CEA337}"/>
    <hyperlink ref="B90" r:id="rId88" display="https://amp.vexpenses.com/settings/membros-de-equipe/896018" xr:uid="{8F2345EB-D41D-458F-A6B2-15626BC8907E}"/>
    <hyperlink ref="B91" r:id="rId89" display="https://amp.vexpenses.com/settings/membros-de-equipe/896019" xr:uid="{19C80780-FAF4-445D-A485-53337EE8D3AB}"/>
    <hyperlink ref="B92" r:id="rId90" display="https://amp.vexpenses.com/settings/membros-de-equipe/952397" xr:uid="{F3C92BA2-8307-4A55-BAA5-F98878FA0E76}"/>
    <hyperlink ref="B93" r:id="rId91" display="https://amp.vexpenses.com/settings/membros-de-equipe/896020" xr:uid="{986146FF-877E-40F8-BD7D-DDAF3D656575}"/>
    <hyperlink ref="B94" r:id="rId92" display="https://amp.vexpenses.com/settings/membros-de-equipe/896021" xr:uid="{E46D6F60-9D64-4650-9447-5ED97CACEA58}"/>
    <hyperlink ref="B95" r:id="rId93" display="https://amp.vexpenses.com/settings/membros-de-equipe/999640" xr:uid="{C640DE89-B8FE-4815-88C2-D730C4ABCBF0}"/>
    <hyperlink ref="B96" r:id="rId94" display="https://amp.vexpenses.com/settings/membros-de-equipe/999490" xr:uid="{3324F286-D272-4D7B-ADB0-F1E78B266019}"/>
    <hyperlink ref="B97" r:id="rId95" display="https://amp.vexpenses.com/settings/membros-de-equipe/896023" xr:uid="{76CFC301-BFCC-4172-971B-B8DB84D961AA}"/>
    <hyperlink ref="B98" r:id="rId96" display="https://amp.vexpenses.com/settings/membros-de-equipe/1001897" xr:uid="{1D53A148-2369-4C1B-BB3A-75B2975B41E7}"/>
    <hyperlink ref="B99" r:id="rId97" display="https://amp.vexpenses.com/settings/membros-de-equipe/896024" xr:uid="{CDCD2E59-9832-4971-837E-A39F943FC92D}"/>
    <hyperlink ref="B100" r:id="rId98" display="https://amp.vexpenses.com/settings/membros-de-equipe/896025" xr:uid="{9365B9EC-0715-4970-893F-5A4523EF589C}"/>
    <hyperlink ref="B101" r:id="rId99" display="https://amp.vexpenses.com/settings/membros-de-equipe/896026" xr:uid="{28ED167F-D028-4FC9-9437-2E4A524273A6}"/>
    <hyperlink ref="B102" r:id="rId100" display="https://amp.vexpenses.com/settings/membros-de-equipe/896027" xr:uid="{6C57548A-62BB-4EF1-89E7-226944F4077E}"/>
    <hyperlink ref="B103" r:id="rId101" display="https://amp.vexpenses.com/settings/membros-de-equipe/896028" xr:uid="{AF70E786-1EE4-4D8F-8682-80B41299B7DA}"/>
    <hyperlink ref="B104" r:id="rId102" display="https://amp.vexpenses.com/settings/membros-de-equipe/896030" xr:uid="{FCEA0F42-D94E-4F25-A689-5629D7DCEC6A}"/>
    <hyperlink ref="B105" r:id="rId103" display="https://amp.vexpenses.com/settings/membros-de-equipe/896031" xr:uid="{FD88FDA5-7E9F-4C73-B21F-1CC1E5EDCABC}"/>
    <hyperlink ref="B106" r:id="rId104" display="https://amp.vexpenses.com/settings/membros-de-equipe/896032" xr:uid="{E7DF0D71-2E39-4056-819D-58636B446491}"/>
    <hyperlink ref="B107" r:id="rId105" display="https://amp.vexpenses.com/settings/membros-de-equipe/896033" xr:uid="{143C3496-3109-4DCC-82F7-310155601498}"/>
    <hyperlink ref="B108" r:id="rId106" display="https://amp.vexpenses.com/settings/membros-de-equipe/930403" xr:uid="{9789FFEE-B063-4F47-9BAB-58DDADDEF7A4}"/>
    <hyperlink ref="B109" r:id="rId107" display="https://amp.vexpenses.com/settings/membros-de-equipe/935041" xr:uid="{DF70A995-93FD-495D-AB44-1F9C6048521E}"/>
    <hyperlink ref="B110" r:id="rId108" display="https://amp.vexpenses.com/settings/membros-de-equipe/896034" xr:uid="{DBB827D2-88B9-4955-B440-9050041E0F13}"/>
    <hyperlink ref="B111" r:id="rId109" display="https://amp.vexpenses.com/settings/membros-de-equipe/896035" xr:uid="{133AF849-F269-423A-9936-D3D40ADFFFE2}"/>
    <hyperlink ref="B112" r:id="rId110" display="https://amp.vexpenses.com/settings/membros-de-equipe/896036" xr:uid="{22E4ED59-2F50-40E8-A4DC-91B6D9DEBAEA}"/>
    <hyperlink ref="B113" r:id="rId111" display="https://amp.vexpenses.com/settings/membros-de-equipe/896037" xr:uid="{B879EFA3-1F4D-42A9-93CE-ECC7234CEE5D}"/>
    <hyperlink ref="B114" r:id="rId112" display="https://amp.vexpenses.com/settings/membros-de-equipe/917376" xr:uid="{407458E8-2C45-432A-8AC4-FA3EEBC038BC}"/>
    <hyperlink ref="B115" r:id="rId113" display="https://amp.vexpenses.com/settings/membros-de-equipe/930913" xr:uid="{74D37D4A-A470-42EB-BA88-DEC74A72F148}"/>
    <hyperlink ref="B116" r:id="rId114" display="https://amp.vexpenses.com/settings/membros-de-equipe/916919" xr:uid="{A93E1C10-C637-4858-A940-1BE43CA10901}"/>
    <hyperlink ref="B117" r:id="rId115" display="https://amp.vexpenses.com/settings/membros-de-equipe/896040" xr:uid="{FB54BFEA-E8A5-4EFA-BA1B-BEB8D2FFA31F}"/>
    <hyperlink ref="B118" r:id="rId116" display="https://amp.vexpenses.com/settings/membros-de-equipe/923635" xr:uid="{0A877103-E734-4D69-AF9B-9C22D95F1A0C}"/>
    <hyperlink ref="B119" r:id="rId117" display="https://amp.vexpenses.com/settings/membros-de-equipe/896419" xr:uid="{C6367283-CA2B-4D66-80E3-096FDAF02742}"/>
    <hyperlink ref="B120" r:id="rId118" display="https://amp.vexpenses.com/settings/membros-de-equipe/896041" xr:uid="{4FAE95E5-E729-46DC-A720-0A54EAE3D61F}"/>
    <hyperlink ref="B121" r:id="rId119" display="https://amp.vexpenses.com/settings/membros-de-equipe/917060" xr:uid="{2C497337-AEFF-416C-8200-D1D80A16B424}"/>
    <hyperlink ref="B122" r:id="rId120" display="https://amp.vexpenses.com/settings/membros-de-equipe/896043" xr:uid="{18DE552B-E32E-43E6-A439-9244E96B8EA8}"/>
    <hyperlink ref="B123" r:id="rId121" display="https://amp.vexpenses.com/settings/membros-de-equipe/896044" xr:uid="{5BA1ECEC-EB4C-4FF7-9AD5-917B7437F20F}"/>
    <hyperlink ref="B124" r:id="rId122" display="https://amp.vexpenses.com/settings/membros-de-equipe/917345" xr:uid="{0286182B-AD00-48C9-B524-DE922AB516EC}"/>
    <hyperlink ref="B125" r:id="rId123" display="https://amp.vexpenses.com/settings/membros-de-equipe/896045" xr:uid="{98872F56-F1ED-4F69-85F7-507F23393FF0}"/>
    <hyperlink ref="B126" r:id="rId124" display="https://amp.vexpenses.com/settings/membros-de-equipe/896046" xr:uid="{0513AE79-F07B-4A44-81E7-5C286E6FE0DF}"/>
    <hyperlink ref="B127" r:id="rId125" display="https://amp.vexpenses.com/settings/membros-de-equipe/896047" xr:uid="{A7438DF0-116B-4764-8749-06C902FCB4CF}"/>
    <hyperlink ref="B128" r:id="rId126" display="https://amp.vexpenses.com/settings/membros-de-equipe/896048" xr:uid="{FEE64BB0-4465-4936-A8F8-98B64C8FE6AB}"/>
    <hyperlink ref="B129" r:id="rId127" display="https://amp.vexpenses.com/settings/membros-de-equipe/966214" xr:uid="{9627B76F-406C-4484-B04B-D45D3D3BFC46}"/>
    <hyperlink ref="B130" r:id="rId128" display="https://amp.vexpenses.com/settings/membros-de-equipe/985850" xr:uid="{539F4B38-8743-4753-B74F-3EEB361386D3}"/>
    <hyperlink ref="B131" r:id="rId129" display="https://amp.vexpenses.com/settings/membros-de-equipe/896049" xr:uid="{3F3C5496-245A-4004-97EC-AD3B157B35D3}"/>
    <hyperlink ref="B132" r:id="rId130" display="https://amp.vexpenses.com/settings/membros-de-equipe/896050" xr:uid="{43F4E3D9-B1D9-4A9A-AC10-E0CCAE79A6D2}"/>
    <hyperlink ref="B133" r:id="rId131" display="https://amp.vexpenses.com/settings/membros-de-equipe/896051" xr:uid="{7003E8B2-8127-49C4-BA16-55EEEC1181BF}"/>
    <hyperlink ref="B134" r:id="rId132" display="https://amp.vexpenses.com/settings/membros-de-equipe/896052" xr:uid="{4323897B-832A-4114-A4DC-83C37235367E}"/>
    <hyperlink ref="B135" r:id="rId133" display="https://amp.vexpenses.com/settings/membros-de-equipe/896053" xr:uid="{0E4B57A9-36C4-49F6-B54F-1EE5DB41AD73}"/>
    <hyperlink ref="B136" r:id="rId134" display="https://amp.vexpenses.com/settings/membros-de-equipe/896054" xr:uid="{A72AF133-B88E-4CDC-889B-09598E874397}"/>
    <hyperlink ref="B137" r:id="rId135" display="https://amp.vexpenses.com/settings/membros-de-equipe/896055" xr:uid="{784A9E58-F1D5-4385-B952-4D1216E70B34}"/>
    <hyperlink ref="B138" r:id="rId136" display="https://amp.vexpenses.com/settings/membros-de-equipe/896057" xr:uid="{1C900793-739D-494B-8FDB-6B362D4A8B5D}"/>
    <hyperlink ref="B139" r:id="rId137" display="https://amp.vexpenses.com/settings/membros-de-equipe/896058" xr:uid="{631B2726-A016-4428-BAE9-A7336DF16F7E}"/>
    <hyperlink ref="B140" r:id="rId138" display="https://amp.vexpenses.com/settings/membros-de-equipe/896059" xr:uid="{9A824141-5061-45D3-A93E-51C58BAE9B66}"/>
    <hyperlink ref="B141" r:id="rId139" display="https://amp.vexpenses.com/settings/membros-de-equipe/994751" xr:uid="{FE128477-70B8-43F8-A828-04C8089655AE}"/>
    <hyperlink ref="B142" r:id="rId140" display="https://amp.vexpenses.com/settings/membros-de-equipe/896060" xr:uid="{8EB47E67-0F25-4A8C-90CC-BF3F3D05C411}"/>
    <hyperlink ref="B143" r:id="rId141" display="https://amp.vexpenses.com/settings/membros-de-equipe/896061" xr:uid="{3AF44B0C-FEDF-467F-AD87-5C2F51092FC1}"/>
    <hyperlink ref="B144" r:id="rId142" display="https://amp.vexpenses.com/settings/membros-de-equipe/974110" xr:uid="{F949E247-30AD-49F4-ACFD-6F3F9D045127}"/>
    <hyperlink ref="B145" r:id="rId143" display="https://amp.vexpenses.com/settings/membros-de-equipe/896062" xr:uid="{D54BC85C-A3ED-4424-8E57-E26454F536F6}"/>
    <hyperlink ref="B146" r:id="rId144" display="https://amp.vexpenses.com/settings/membros-de-equipe/927175" xr:uid="{C238A433-0346-4D4D-9A88-AE2A2C89B852}"/>
    <hyperlink ref="B147" r:id="rId145" display="https://amp.vexpenses.com/settings/membros-de-equipe/896063" xr:uid="{AE9F49CD-3085-411E-8FAC-27569B05E2A9}"/>
    <hyperlink ref="B148" r:id="rId146" display="https://amp.vexpenses.com/settings/membros-de-equipe/896064" xr:uid="{B8CDE495-E57D-4B59-A347-2A3C54A010EC}"/>
    <hyperlink ref="B149" r:id="rId147" display="https://amp.vexpenses.com/settings/membros-de-equipe/920852" xr:uid="{640A9B8B-0699-4903-8A16-D9D115BA7FF3}"/>
    <hyperlink ref="B150" r:id="rId148" display="https://amp.vexpenses.com/settings/membros-de-equipe/896066" xr:uid="{642045D3-6ADF-4093-9891-BDE50FF2CAA6}"/>
    <hyperlink ref="B151" r:id="rId149" display="https://amp.vexpenses.com/settings/membros-de-equipe/896067" xr:uid="{41A078FF-925A-4046-897D-8FBEC95CA4FF}"/>
    <hyperlink ref="B152" r:id="rId150" display="https://amp.vexpenses.com/settings/membros-de-equipe/896068" xr:uid="{9672C236-44EB-47B3-92C1-695FCE87A52D}"/>
    <hyperlink ref="B153" r:id="rId151" display="https://amp.vexpenses.com/settings/membros-de-equipe/896069" xr:uid="{DC158239-F777-4228-8347-26C043F85BA8}"/>
    <hyperlink ref="B154" r:id="rId152" display="https://amp.vexpenses.com/settings/membros-de-equipe/930406" xr:uid="{8FAD0612-4CF5-492C-9B9D-BF7338D1E900}"/>
    <hyperlink ref="B155" r:id="rId153" display="https://amp.vexpenses.com/settings/membros-de-equipe/896070" xr:uid="{2DE73928-69E9-493B-A04A-94C01FBBE8A1}"/>
    <hyperlink ref="B156" r:id="rId154" display="https://amp.vexpenses.com/settings/membros-de-equipe/896071" xr:uid="{34823B47-049E-4DAD-8F86-D43D0EC65DF8}"/>
    <hyperlink ref="B157" r:id="rId155" display="https://amp.vexpenses.com/settings/membros-de-equipe/972167" xr:uid="{183135EF-BEC7-44F1-BEC2-5DF3822CAF0B}"/>
    <hyperlink ref="B158" r:id="rId156" display="https://amp.vexpenses.com/settings/membros-de-equipe/896072" xr:uid="{7ED5B3A8-C153-4470-B30B-4799C054132A}"/>
    <hyperlink ref="B159" r:id="rId157" display="https://amp.vexpenses.com/settings/membros-de-equipe/896073" xr:uid="{7D7E4BAD-36DA-414D-B2F0-8B341404B273}"/>
    <hyperlink ref="B160" r:id="rId158" display="https://amp.vexpenses.com/settings/membros-de-equipe/896074" xr:uid="{048B228E-42C4-498C-9230-D14D73AEE94E}"/>
    <hyperlink ref="B161" r:id="rId159" display="https://amp.vexpenses.com/settings/membros-de-equipe/896075" xr:uid="{E03C0221-7FCE-4F31-A109-4CCCF3FCA8CC}"/>
    <hyperlink ref="B162" r:id="rId160" display="https://amp.vexpenses.com/settings/membros-de-equipe/915374" xr:uid="{29FE88EE-FAD2-40AA-9E52-0AC736F011DE}"/>
    <hyperlink ref="B163" r:id="rId161" display="https://amp.vexpenses.com/settings/membros-de-equipe/920845" xr:uid="{3F9EE388-FBC4-45A8-BA75-AFC1515A53B5}"/>
    <hyperlink ref="B164" r:id="rId162" display="https://amp.vexpenses.com/settings/membros-de-equipe/896077" xr:uid="{B83514E0-2395-41C8-8244-BD1FADBE701E}"/>
    <hyperlink ref="B165" r:id="rId163" display="https://amp.vexpenses.com/settings/membros-de-equipe/946535" xr:uid="{3E16EE6B-512B-499E-B03C-E31610DA7D28}"/>
    <hyperlink ref="B166" r:id="rId164" display="https://amp.vexpenses.com/settings/membros-de-equipe/896079" xr:uid="{A8F94189-96DB-4C1B-B7D6-79E1CBA02309}"/>
    <hyperlink ref="B167" r:id="rId165" display="https://amp.vexpenses.com/settings/membros-de-equipe/922738" xr:uid="{D02E0C47-7C08-49FC-B9AA-889AE2508FD4}"/>
    <hyperlink ref="B168" r:id="rId166" display="https://amp.vexpenses.com/settings/membros-de-equipe/896080" xr:uid="{0FA3B34C-8FB2-4113-A07A-2F5B47553DFA}"/>
    <hyperlink ref="B169" r:id="rId167" display="https://amp.vexpenses.com/settings/membros-de-equipe/961468" xr:uid="{F3D65439-D2D4-4C7F-8C4E-95874702A8A1}"/>
    <hyperlink ref="B170" r:id="rId168" display="https://amp.vexpenses.com/settings/membros-de-equipe/896081" xr:uid="{88054516-1B20-49EE-9244-6E6229C1BF4D}"/>
    <hyperlink ref="B171" r:id="rId169" display="https://amp.vexpenses.com/settings/membros-de-equipe/920872" xr:uid="{68193956-A319-4735-9D29-AD81055D795B}"/>
    <hyperlink ref="B172" r:id="rId170" display="https://amp.vexpenses.com/settings/membros-de-equipe/896082" xr:uid="{D22EB3D3-44FC-4D2E-9E50-7C31D2EA397C}"/>
    <hyperlink ref="B173" r:id="rId171" display="https://amp.vexpenses.com/settings/membros-de-equipe/896083" xr:uid="{718B9F63-6677-4C87-9944-2075B05CB556}"/>
    <hyperlink ref="B174" r:id="rId172" display="https://amp.vexpenses.com/settings/membros-de-equipe/930420" xr:uid="{A05E0539-27FC-491B-AC92-CCD24DA7EC68}"/>
    <hyperlink ref="B175" r:id="rId173" display="https://amp.vexpenses.com/settings/membros-de-equipe/896084" xr:uid="{489227C8-E59B-4F5F-BF7E-5C82C25113E3}"/>
    <hyperlink ref="B176" r:id="rId174" display="https://amp.vexpenses.com/settings/membros-de-equipe/896085" xr:uid="{ED201809-A31A-4DDA-9F19-AF6E8FCF8554}"/>
    <hyperlink ref="B177" r:id="rId175" display="https://amp.vexpenses.com/settings/membros-de-equipe/896086" xr:uid="{F93A20BE-4A45-4465-8796-DBEFB499FE1E}"/>
    <hyperlink ref="B178" r:id="rId176" display="https://amp.vexpenses.com/settings/membros-de-equipe/946138" xr:uid="{43AD4E50-0518-41B7-874B-A0BA483D1A51}"/>
    <hyperlink ref="B179" r:id="rId177" display="https://amp.vexpenses.com/settings/membros-de-equipe/896087" xr:uid="{CB66FECE-8CFA-4473-AF2B-7D39B31C93FE}"/>
    <hyperlink ref="B180" r:id="rId178" display="https://amp.vexpenses.com/settings/membros-de-equipe/896088" xr:uid="{6FA60FBA-D606-4282-BBB1-88AFF1330E63}"/>
    <hyperlink ref="B181" r:id="rId179" display="https://amp.vexpenses.com/settings/membros-de-equipe/896090" xr:uid="{E4F8A488-164F-4990-B6CE-BA3BEA1E4FD4}"/>
    <hyperlink ref="B182" r:id="rId180" display="https://amp.vexpenses.com/settings/membros-de-equipe/896420" xr:uid="{CC01DDEA-0E86-4C07-922D-98DDA042A05E}"/>
    <hyperlink ref="B183" r:id="rId181" display="https://amp.vexpenses.com/settings/membros-de-equipe/944251" xr:uid="{9D7930F2-8861-45BF-91E0-CAA18D5A9C33}"/>
    <hyperlink ref="B184" r:id="rId182" display="https://amp.vexpenses.com/settings/membros-de-equipe/917078" xr:uid="{D52A9086-18CC-45E1-A4CF-A2EEA844AB5D}"/>
    <hyperlink ref="B185" r:id="rId183" display="https://amp.vexpenses.com/settings/membros-de-equipe/896091" xr:uid="{C5F6668D-342A-42B7-BC41-4A03BB0B58DA}"/>
    <hyperlink ref="B186" r:id="rId184" display="https://amp.vexpenses.com/settings/membros-de-equipe/896092" xr:uid="{BAFFEB82-EBD2-44C5-BFAB-BD32874C680E}"/>
    <hyperlink ref="B187" r:id="rId185" display="https://amp.vexpenses.com/settings/membros-de-equipe/896093" xr:uid="{59D33598-4F30-41F2-B386-8F958FAB4FF9}"/>
    <hyperlink ref="B188" r:id="rId186" display="https://amp.vexpenses.com/settings/membros-de-equipe/891979" xr:uid="{81649BDD-9F60-4D0D-90DC-C77BDF7B8E50}"/>
    <hyperlink ref="B189" r:id="rId187" display="https://amp.vexpenses.com/settings/membros-de-equipe/896094" xr:uid="{72BF7DD8-860A-48ED-8B4A-85A87C695723}"/>
    <hyperlink ref="B190" r:id="rId188" display="https://amp.vexpenses.com/settings/membros-de-equipe/896095" xr:uid="{7857CD97-8976-423C-8076-37A3B66A6DAD}"/>
    <hyperlink ref="B191" r:id="rId189" display="https://amp.vexpenses.com/settings/membros-de-equipe/896096" xr:uid="{755ACA73-469F-4663-B6A5-15228374BA9D}"/>
    <hyperlink ref="B192" r:id="rId190" display="https://amp.vexpenses.com/settings/membros-de-equipe/940437" xr:uid="{3D5DE482-0DF0-4CCF-B5E1-8B79230970F7}"/>
    <hyperlink ref="B193" r:id="rId191" display="https://amp.vexpenses.com/settings/membros-de-equipe/896099" xr:uid="{8D164666-E218-42BA-BDD3-7912DA6935DD}"/>
    <hyperlink ref="B194" r:id="rId192" display="https://amp.vexpenses.com/settings/membros-de-equipe/896101" xr:uid="{F444E535-8820-4A5B-8A65-99ADEF526F87}"/>
    <hyperlink ref="B195" r:id="rId193" display="https://amp.vexpenses.com/settings/membros-de-equipe/961342" xr:uid="{A41880F0-4943-4AC3-AF6D-5F4A1269F8C7}"/>
    <hyperlink ref="B196" r:id="rId194" display="https://amp.vexpenses.com/settings/membros-de-equipe/896102" xr:uid="{22931683-8774-447C-A9BF-B8410D420B99}"/>
    <hyperlink ref="B197" r:id="rId195" display="https://amp.vexpenses.com/settings/membros-de-equipe/896103" xr:uid="{1457E60F-1954-42CA-B548-3B76A3D51FFE}"/>
    <hyperlink ref="B198" r:id="rId196" display="https://amp.vexpenses.com/settings/membros-de-equipe/896104" xr:uid="{37F9DD4D-5F5C-4EC0-8A73-9269B60DBE6F}"/>
    <hyperlink ref="B199" r:id="rId197" display="https://amp.vexpenses.com/settings/membros-de-equipe/896105" xr:uid="{06059D82-8F70-4BC3-811A-EBEB98B6811F}"/>
    <hyperlink ref="B200" r:id="rId198" display="https://amp.vexpenses.com/settings/membros-de-equipe/896106" xr:uid="{736C728C-ED5C-4128-AB53-642A7C662451}"/>
    <hyperlink ref="B201" r:id="rId199" display="https://amp.vexpenses.com/settings/membros-de-equipe/896107" xr:uid="{7AD512A3-ECC2-4956-B519-FE6D326C7149}"/>
    <hyperlink ref="B202" r:id="rId200" display="https://amp.vexpenses.com/settings/membros-de-equipe/917075" xr:uid="{28961469-B124-48A2-B511-5DF5CF4946E8}"/>
    <hyperlink ref="B203" r:id="rId201" display="https://amp.vexpenses.com/settings/membros-de-equipe/896109" xr:uid="{538A5B08-FF5E-4861-A8FC-1132EDD28761}"/>
    <hyperlink ref="B204" r:id="rId202" display="https://amp.vexpenses.com/settings/membros-de-equipe/917058" xr:uid="{B527C1EF-5210-41A9-A954-58C15AD52261}"/>
    <hyperlink ref="B205" r:id="rId203" display="https://amp.vexpenses.com/settings/membros-de-equipe/896111" xr:uid="{B8493C41-66D5-43B0-8F96-868B1B068146}"/>
    <hyperlink ref="B206" r:id="rId204" display="https://amp.vexpenses.com/settings/membros-de-equipe/927567" xr:uid="{2DCFB253-C501-46CF-AC98-3C451188B8B5}"/>
    <hyperlink ref="B207" r:id="rId205" display="https://amp.vexpenses.com/settings/membros-de-equipe/896112" xr:uid="{90EC5159-7C80-4A1E-9700-9AF2E0080979}"/>
    <hyperlink ref="B208" r:id="rId206" display="https://amp.vexpenses.com/settings/membros-de-equipe/896113" xr:uid="{559AAB3A-7F6A-462A-8E0E-4EAAEEDFC3FB}"/>
    <hyperlink ref="B209" r:id="rId207" display="https://amp.vexpenses.com/settings/membros-de-equipe/930400" xr:uid="{276639D8-4523-45F1-ABF2-C4CC759B90DD}"/>
    <hyperlink ref="B210" r:id="rId208" display="https://amp.vexpenses.com/settings/membros-de-equipe/896115" xr:uid="{F1E8FC16-CACE-40CC-B51C-0AEA90425169}"/>
    <hyperlink ref="B211" r:id="rId209" display="https://amp.vexpenses.com/settings/membros-de-equipe/896116" xr:uid="{6C755D4D-771E-4430-91ED-B08A8551513C}"/>
    <hyperlink ref="B212" r:id="rId210" display="https://amp.vexpenses.com/settings/membros-de-equipe/896117" xr:uid="{4CF22CD5-049A-4161-9B69-2918902BF394}"/>
    <hyperlink ref="B213" r:id="rId211" display="https://amp.vexpenses.com/settings/membros-de-equipe/896421" xr:uid="{57F3034D-7F76-4A9C-B35E-4295CFFD55E1}"/>
    <hyperlink ref="B214" r:id="rId212" display="https://amp.vexpenses.com/settings/membros-de-equipe/896118" xr:uid="{24821818-B173-4F24-9FD7-96990CECD57E}"/>
    <hyperlink ref="B215" r:id="rId213" display="https://amp.vexpenses.com/settings/membros-de-equipe/1001575" xr:uid="{2C299E1E-77C7-4EC6-852C-ECA84708BA97}"/>
    <hyperlink ref="B216" r:id="rId214" display="https://amp.vexpenses.com/settings/membros-de-equipe/896119" xr:uid="{4A3DC1F8-7D12-47C6-86C5-5924F94576C8}"/>
    <hyperlink ref="B217" r:id="rId215" display="https://amp.vexpenses.com/settings/membros-de-equipe/929756" xr:uid="{DEC419A0-38A3-4117-AD02-A2F1EECD7E22}"/>
    <hyperlink ref="B218" r:id="rId216" display="https://amp.vexpenses.com/settings/membros-de-equipe/896120" xr:uid="{AFE69F4C-AD13-4CE1-8899-ED7744FD3F21}"/>
    <hyperlink ref="B219" r:id="rId217" display="https://amp.vexpenses.com/settings/membros-de-equipe/896121" xr:uid="{BD425D40-2B22-453F-9946-9529706A24FB}"/>
    <hyperlink ref="B220" r:id="rId218" display="https://amp.vexpenses.com/settings/membros-de-equipe/916905" xr:uid="{F723AC23-942B-444E-B42D-06F27E94F59E}"/>
    <hyperlink ref="B221" r:id="rId219" display="https://amp.vexpenses.com/settings/membros-de-equipe/929761" xr:uid="{C70BD065-78DE-4E05-8B8E-0FD08CCED257}"/>
    <hyperlink ref="B222" r:id="rId220" display="https://amp.vexpenses.com/settings/membros-de-equipe/951179" xr:uid="{5D21ADF4-0A3D-496A-B8DC-0BA59D787488}"/>
    <hyperlink ref="B223" r:id="rId221" display="https://amp.vexpenses.com/settings/membros-de-equipe/896123" xr:uid="{89391E3E-8E50-4226-A825-773BA3F31895}"/>
    <hyperlink ref="B224" r:id="rId222" display="https://amp.vexpenses.com/settings/membros-de-equipe/896124" xr:uid="{EB84B466-D490-4739-B9DB-F0D27EDA32C5}"/>
    <hyperlink ref="B225" r:id="rId223" display="https://amp.vexpenses.com/settings/membros-de-equipe/896125" xr:uid="{EA289F84-139F-4438-9754-185848AA7DCD}"/>
    <hyperlink ref="B226" r:id="rId224" display="https://amp.vexpenses.com/settings/membros-de-equipe/916374" xr:uid="{14172372-8A69-4BE6-ABAD-F916D4546CA9}"/>
    <hyperlink ref="B227" r:id="rId225" display="https://amp.vexpenses.com/settings/membros-de-equipe/978280" xr:uid="{AD46B2FF-9417-437B-A67C-48FC56929DF2}"/>
    <hyperlink ref="B228" r:id="rId226" display="https://amp.vexpenses.com/settings/membros-de-equipe/896127" xr:uid="{C917762C-77AF-4D30-9595-277563580E97}"/>
    <hyperlink ref="B229" r:id="rId227" display="https://amp.vexpenses.com/settings/membros-de-equipe/896128" xr:uid="{EFE8288D-7300-4A18-BFB8-D2E803665468}"/>
    <hyperlink ref="B230" r:id="rId228" display="https://amp.vexpenses.com/settings/membros-de-equipe/896129" xr:uid="{C50DEBCE-D91F-4AED-B940-F55E308C9AAE}"/>
    <hyperlink ref="B231" r:id="rId229" display="https://amp.vexpenses.com/settings/membros-de-equipe/896131" xr:uid="{5F63032D-B32A-45A1-B9E2-1DA33E24669B}"/>
    <hyperlink ref="B232" r:id="rId230" display="https://amp.vexpenses.com/settings/membros-de-equipe/896132" xr:uid="{669F027C-E1F3-44BA-B932-7B72CCC065DF}"/>
    <hyperlink ref="B233" r:id="rId231" display="https://amp.vexpenses.com/settings/membros-de-equipe/917353" xr:uid="{1E88EB42-9938-457F-B4D4-68D124EA34A4}"/>
    <hyperlink ref="B234" r:id="rId232" display="https://amp.vexpenses.com/settings/membros-de-equipe/967142" xr:uid="{03D12995-4468-437F-B054-A1E68CCD9E54}"/>
    <hyperlink ref="B235" r:id="rId233" display="https://amp.vexpenses.com/settings/membros-de-equipe/896133" xr:uid="{20E439BF-3E6D-4980-8DAB-B2AE1E936BF0}"/>
    <hyperlink ref="B236" r:id="rId234" display="https://amp.vexpenses.com/settings/membros-de-equipe/997009" xr:uid="{30FAC771-D9C7-4A49-9C18-412F72FDECD0}"/>
    <hyperlink ref="B237" r:id="rId235" display="https://amp.vexpenses.com/settings/membros-de-equipe/922784" xr:uid="{595FC659-38EE-4760-940A-20382A30A822}"/>
    <hyperlink ref="B238" r:id="rId236" display="https://amp.vexpenses.com/settings/membros-de-equipe/916921" xr:uid="{91CF710F-A3BA-4DD7-93AE-ABCD6C3D3F6C}"/>
    <hyperlink ref="B239" r:id="rId237" display="https://amp.vexpenses.com/settings/membros-de-equipe/896135" xr:uid="{6F9914D9-C9DD-49AE-B820-BFD023A2414C}"/>
    <hyperlink ref="B240" r:id="rId238" display="https://amp.vexpenses.com/settings/membros-de-equipe/896137" xr:uid="{169AA577-3C3B-422C-9DBB-F93A26427599}"/>
    <hyperlink ref="B241" r:id="rId239" display="https://amp.vexpenses.com/settings/membros-de-equipe/954733" xr:uid="{644C2888-8BB8-4DAC-B9CA-47E643FEFBC8}"/>
    <hyperlink ref="B242" r:id="rId240" display="https://amp.vexpenses.com/settings/membros-de-equipe/896138" xr:uid="{452E241D-1218-4B80-8287-48562B773A90}"/>
    <hyperlink ref="B243" r:id="rId241" display="https://amp.vexpenses.com/settings/membros-de-equipe/896140" xr:uid="{3058E212-1BB4-417E-9546-C66ACD76DDAA}"/>
    <hyperlink ref="B244" r:id="rId242" display="https://amp.vexpenses.com/settings/membros-de-equipe/896141" xr:uid="{1BA3828E-6E1A-47A1-BA03-0109979E5B67}"/>
    <hyperlink ref="B245" r:id="rId243" display="https://amp.vexpenses.com/settings/membros-de-equipe/896142" xr:uid="{16D6411C-426B-4C3A-9A28-4434876EC19D}"/>
    <hyperlink ref="B246" r:id="rId244" display="https://amp.vexpenses.com/settings/membros-de-equipe/896143" xr:uid="{6D8C3B7C-B75E-47D3-8681-B21D31609CE9}"/>
    <hyperlink ref="B247" r:id="rId245" display="https://amp.vexpenses.com/settings/membros-de-equipe/923893" xr:uid="{FBA4AEE6-D357-4771-AA60-455F4CED3CFD}"/>
    <hyperlink ref="B248" r:id="rId246" display="https://amp.vexpenses.com/settings/membros-de-equipe/996991" xr:uid="{9673448C-0FD7-4E8A-BB2E-ABB1901A4D54}"/>
    <hyperlink ref="B249" r:id="rId247" display="https://amp.vexpenses.com/settings/membros-de-equipe/896144" xr:uid="{FB4F5BB9-9CC1-4591-B7CA-73E0AC9E02C6}"/>
    <hyperlink ref="B250" r:id="rId248" display="https://amp.vexpenses.com/settings/membros-de-equipe/896145" xr:uid="{669F10BF-6998-4042-AACF-34542C484AC6}"/>
    <hyperlink ref="B251" r:id="rId249" display="https://amp.vexpenses.com/settings/membros-de-equipe/958951" xr:uid="{96949EC3-89EA-44F1-8479-65C937CCA6E4}"/>
    <hyperlink ref="B252" r:id="rId250" display="https://amp.vexpenses.com/settings/membros-de-equipe/896147" xr:uid="{2CDCADAB-D26B-4BB0-BCF4-FC1187003D2A}"/>
    <hyperlink ref="B253" r:id="rId251" display="https://amp.vexpenses.com/settings/membros-de-equipe/969231" xr:uid="{458692B1-2FB2-4F84-9D44-4E4ADBFC7194}"/>
    <hyperlink ref="B254" r:id="rId252" display="https://amp.vexpenses.com/settings/membros-de-equipe/896148" xr:uid="{C5049312-44A2-418B-85FE-02CCC5728C98}"/>
    <hyperlink ref="B255" r:id="rId253" display="https://amp.vexpenses.com/settings/membros-de-equipe/896149" xr:uid="{3814E1D2-FF6A-437C-AB4B-6C91CF03447A}"/>
    <hyperlink ref="B256" r:id="rId254" display="https://amp.vexpenses.com/settings/membros-de-equipe/896150" xr:uid="{2193F2BC-073A-4D84-B322-D5493442ED17}"/>
    <hyperlink ref="B257" r:id="rId255" display="https://amp.vexpenses.com/settings/membros-de-equipe/923651" xr:uid="{8208593D-A110-4ECE-BCF6-E61F6DBABCEE}"/>
    <hyperlink ref="B258" r:id="rId256" display="https://amp.vexpenses.com/settings/membros-de-equipe/896151" xr:uid="{D0475F47-1AED-4CF7-9FDD-558EB355DEC4}"/>
    <hyperlink ref="B259" r:id="rId257" display="https://amp.vexpenses.com/settings/membros-de-equipe/896152" xr:uid="{491FF9F0-310A-4DD7-9371-E55F9C5325D6}"/>
    <hyperlink ref="B260" r:id="rId258" display="https://amp.vexpenses.com/settings/membros-de-equipe/896153" xr:uid="{06AD826F-6409-44B1-BE2F-F54E080263CF}"/>
    <hyperlink ref="B261" r:id="rId259" display="https://amp.vexpenses.com/settings/membros-de-equipe/896154" xr:uid="{F09C77AF-3346-4403-B399-78E458FEF2A8}"/>
    <hyperlink ref="B262" r:id="rId260" display="https://amp.vexpenses.com/settings/membros-de-equipe/896156" xr:uid="{9B545400-48E2-40EC-8EFE-0E8FF9D508BB}"/>
    <hyperlink ref="B263" r:id="rId261" display="https://amp.vexpenses.com/settings/membros-de-equipe/896157" xr:uid="{390F0239-A8D2-4582-BFFC-8B4E5F44892C}"/>
    <hyperlink ref="B264" r:id="rId262" display="https://amp.vexpenses.com/settings/membros-de-equipe/896158" xr:uid="{5761F570-69EE-4ED6-BAAA-79EB264798F0}"/>
    <hyperlink ref="B265" r:id="rId263" display="https://amp.vexpenses.com/settings/membros-de-equipe/931414" xr:uid="{B372D0F9-1BBD-42A2-8772-217C8F6BDFA0}"/>
    <hyperlink ref="B266" r:id="rId264" display="https://amp.vexpenses.com/settings/membros-de-equipe/896159" xr:uid="{8DE5D6AC-C8A2-400C-BC00-8DF79547D4D9}"/>
    <hyperlink ref="B267" r:id="rId265" display="https://amp.vexpenses.com/settings/membros-de-equipe/978440" xr:uid="{D9F2C099-7538-4DA1-A589-76E8DDC86D93}"/>
    <hyperlink ref="B268" r:id="rId266" display="https://amp.vexpenses.com/settings/membros-de-equipe/978694" xr:uid="{414BABAC-AEC0-4535-9570-FF26389458A8}"/>
    <hyperlink ref="B269" r:id="rId267" display="https://amp.vexpenses.com/settings/membros-de-equipe/930413" xr:uid="{326FC9E1-ACD0-4496-8E8F-014367A91813}"/>
    <hyperlink ref="B270" r:id="rId268" display="https://amp.vexpenses.com/settings/membros-de-equipe/896161" xr:uid="{D602E345-84E0-41F5-ADFB-35777704AE3C}"/>
    <hyperlink ref="B271" r:id="rId269" display="https://amp.vexpenses.com/settings/membros-de-equipe/896162" xr:uid="{4C435D44-D111-4E3B-9D98-9F8784C3DEE1}"/>
    <hyperlink ref="B272" r:id="rId270" display="https://amp.vexpenses.com/settings/membros-de-equipe/896163" xr:uid="{4222F552-C776-483E-9CB8-BE717C0DBF6E}"/>
    <hyperlink ref="B273" r:id="rId271" display="https://amp.vexpenses.com/settings/membros-de-equipe/916884" xr:uid="{1104D7E4-FE1D-4FA1-B62E-4C61F0C3385E}"/>
    <hyperlink ref="B274" r:id="rId272" display="https://amp.vexpenses.com/settings/membros-de-equipe/986346" xr:uid="{EEBF2266-BC03-4F49-B281-78042A5F0911}"/>
    <hyperlink ref="B275" r:id="rId273" display="https://amp.vexpenses.com/settings/membros-de-equipe/896164" xr:uid="{40311BB1-E42E-4982-BC25-82F2D2FC5EA2}"/>
    <hyperlink ref="B276" r:id="rId274" display="https://amp.vexpenses.com/settings/membros-de-equipe/896165" xr:uid="{BAEEF16F-3C1E-452F-9B28-693E53BC914D}"/>
    <hyperlink ref="B277" r:id="rId275" display="https://amp.vexpenses.com/settings/membros-de-equipe/896166" xr:uid="{A37681E2-6E0E-4B39-8DCE-847455849928}"/>
    <hyperlink ref="B278" r:id="rId276" display="https://amp.vexpenses.com/settings/membros-de-equipe/999216" xr:uid="{A8FD0E94-FB2E-43AE-82EF-F25A71864443}"/>
    <hyperlink ref="B279" r:id="rId277" display="https://amp.vexpenses.com/settings/membros-de-equipe/896168" xr:uid="{5048798D-D7EF-438D-A760-636D8C1B5CBE}"/>
    <hyperlink ref="B280" r:id="rId278" display="https://amp.vexpenses.com/settings/membros-de-equipe/896170" xr:uid="{3066ADEA-1E11-41DB-BF6B-A8BA1DDFBC9D}"/>
    <hyperlink ref="B281" r:id="rId279" display="https://amp.vexpenses.com/settings/membros-de-equipe/896171" xr:uid="{C3BD5C6E-AF0C-42E2-B35B-6D220E488F93}"/>
    <hyperlink ref="B282" r:id="rId280" display="https://amp.vexpenses.com/settings/membros-de-equipe/896172" xr:uid="{706E3E33-CC9A-46D3-8D04-C593ED03C840}"/>
    <hyperlink ref="B283" r:id="rId281" display="https://amp.vexpenses.com/settings/membros-de-equipe/896173" xr:uid="{5852E13F-AB47-4320-B753-635BDB920635}"/>
    <hyperlink ref="B284" r:id="rId282" display="https://amp.vexpenses.com/settings/membros-de-equipe/896174" xr:uid="{2A134367-F31D-4278-A9B1-AFE1D5F5AF30}"/>
    <hyperlink ref="B285" r:id="rId283" display="https://amp.vexpenses.com/settings/membros-de-equipe/957803" xr:uid="{7E3548FA-D647-4267-AAD4-BE695234D58D}"/>
    <hyperlink ref="B286" r:id="rId284" display="https://amp.vexpenses.com/settings/membros-de-equipe/916893" xr:uid="{85220F1C-C30E-4A3F-9524-574DFCB68CE5}"/>
    <hyperlink ref="B287" r:id="rId285" display="https://amp.vexpenses.com/settings/membros-de-equipe/896175" xr:uid="{1B814F30-0F79-434F-B7F6-921A6AFECEC8}"/>
    <hyperlink ref="B288" r:id="rId286" display="https://amp.vexpenses.com/settings/membros-de-equipe/896177" xr:uid="{C8B84068-6CEC-4FC5-B514-F37A5F7B6C27}"/>
    <hyperlink ref="B289" r:id="rId287" display="https://amp.vexpenses.com/settings/membros-de-equipe/896178" xr:uid="{2FF2E0FF-C733-441E-B9A3-A0263A2CEEF4}"/>
    <hyperlink ref="B290" r:id="rId288" display="https://amp.vexpenses.com/settings/membros-de-equipe/896179" xr:uid="{5A7790F9-481B-44D2-BCA1-C539B2C4294B}"/>
    <hyperlink ref="B291" r:id="rId289" display="https://amp.vexpenses.com/settings/membros-de-equipe/896180" xr:uid="{1E3881BD-9D1C-4948-AFEA-BD22C0CD5DFA}"/>
    <hyperlink ref="B292" r:id="rId290" display="https://amp.vexpenses.com/settings/membros-de-equipe/896181" xr:uid="{DFB0D229-1EC5-447D-B6DE-9B855B540E53}"/>
    <hyperlink ref="B293" r:id="rId291" display="https://amp.vexpenses.com/settings/membros-de-equipe/896183" xr:uid="{1BED7B5C-A1BF-443B-A10A-47C01A02C1C4}"/>
    <hyperlink ref="B294" r:id="rId292" display="https://amp.vexpenses.com/settings/membros-de-equipe/896184" xr:uid="{7311F9B8-A55B-49F9-9C13-B3D45169DBA1}"/>
    <hyperlink ref="B295" r:id="rId293" display="https://amp.vexpenses.com/settings/membros-de-equipe/921535" xr:uid="{572AFE6A-4577-4067-91CA-5AFC3DFF84F0}"/>
    <hyperlink ref="B296" r:id="rId294" display="https://amp.vexpenses.com/settings/membros-de-equipe/896185" xr:uid="{7E96E618-A741-448F-816C-89405EE9E2C7}"/>
    <hyperlink ref="B297" r:id="rId295" display="https://amp.vexpenses.com/settings/membros-de-equipe/896186" xr:uid="{9144AD7A-5639-4AE1-932D-56181E11F998}"/>
    <hyperlink ref="B298" r:id="rId296" display="https://amp.vexpenses.com/settings/membros-de-equipe/896188" xr:uid="{46BF97D2-0DCF-40C7-A93A-EC983E91BB0F}"/>
    <hyperlink ref="B299" r:id="rId297" display="https://amp.vexpenses.com/settings/membros-de-equipe/896189" xr:uid="{D777FF2A-FC08-4A77-A492-6A4CEA2A66B8}"/>
    <hyperlink ref="B300" r:id="rId298" display="https://amp.vexpenses.com/settings/membros-de-equipe/958523" xr:uid="{3218D98D-44B1-4066-A45A-5E79403CF6CB}"/>
    <hyperlink ref="B301" r:id="rId299" display="https://amp.vexpenses.com/settings/membros-de-equipe/896191" xr:uid="{BC5E06E2-3833-4C6D-AFDA-088441C16B42}"/>
    <hyperlink ref="B302" r:id="rId300" display="https://amp.vexpenses.com/settings/membros-de-equipe/896192" xr:uid="{0BAE0BBC-CE0E-4DB2-B53E-B82EB4BB4C61}"/>
    <hyperlink ref="B303" r:id="rId301" display="https://amp.vexpenses.com/settings/membros-de-equipe/896193" xr:uid="{5A21C197-F70F-49D2-BAAD-DB78DDE4DDA4}"/>
    <hyperlink ref="B304" r:id="rId302" display="https://amp.vexpenses.com/settings/membros-de-equipe/896195" xr:uid="{C06A3075-E4D5-45E9-8D18-2EF21D89A58F}"/>
    <hyperlink ref="B305" r:id="rId303" display="https://amp.vexpenses.com/settings/membros-de-equipe/896196" xr:uid="{8E0C6E91-815C-4F04-AFE0-7E31DF013797}"/>
    <hyperlink ref="B306" r:id="rId304" display="https://amp.vexpenses.com/settings/membros-de-equipe/896197" xr:uid="{324EC12F-D346-4FCF-A694-EE12F7FB29AA}"/>
    <hyperlink ref="B307" r:id="rId305" display="https://amp.vexpenses.com/settings/membros-de-equipe/896198" xr:uid="{C174D6F0-1621-42D2-B5AC-ACD15C1C6F8E}"/>
    <hyperlink ref="B308" r:id="rId306" display="https://amp.vexpenses.com/settings/membros-de-equipe/896199" xr:uid="{897E392B-705D-424E-BC25-E54315DA351E}"/>
    <hyperlink ref="B309" r:id="rId307" display="https://amp.vexpenses.com/settings/membros-de-equipe/896200" xr:uid="{E6EE757E-DCE0-43AA-8A5B-B56C4381D9EE}"/>
    <hyperlink ref="B310" r:id="rId308" display="https://amp.vexpenses.com/settings/membros-de-equipe/946419" xr:uid="{6BD84F75-6C8C-4275-A010-61D27B1167B6}"/>
    <hyperlink ref="B311" r:id="rId309" display="https://amp.vexpenses.com/settings/membros-de-equipe/896203" xr:uid="{F96D8D74-7451-4811-8A61-8CB7737E16C9}"/>
    <hyperlink ref="B312" r:id="rId310" display="https://amp.vexpenses.com/settings/membros-de-equipe/896204" xr:uid="{5B1CE214-0843-44D9-86F0-31F25BC47179}"/>
    <hyperlink ref="B313" r:id="rId311" display="https://amp.vexpenses.com/settings/membros-de-equipe/896422" xr:uid="{B6874D28-828F-4D01-A924-5D36E8949637}"/>
    <hyperlink ref="B314" r:id="rId312" display="https://amp.vexpenses.com/settings/membros-de-equipe/923628" xr:uid="{AE3C7F27-65C1-47D1-9402-C5318AFAC6F0}"/>
    <hyperlink ref="B315" r:id="rId313" display="https://amp.vexpenses.com/settings/membros-de-equipe/896205" xr:uid="{02BF56DA-3F5A-463D-82B2-342D22912DEF}"/>
    <hyperlink ref="B316" r:id="rId314" display="https://amp.vexpenses.com/settings/membros-de-equipe/921952" xr:uid="{508AFB5E-4E94-4422-AA1B-5E21E5D9D8F8}"/>
    <hyperlink ref="B317" r:id="rId315" display="https://amp.vexpenses.com/settings/membros-de-equipe/998959" xr:uid="{EDE17395-A529-4101-A28C-97E9A89B6D53}"/>
    <hyperlink ref="B318" r:id="rId316" display="https://amp.vexpenses.com/settings/membros-de-equipe/896206" xr:uid="{7F9ECA31-7085-42FB-BDC3-1002D2BC27CF}"/>
    <hyperlink ref="B319" r:id="rId317" display="https://amp.vexpenses.com/settings/membros-de-equipe/896207" xr:uid="{55AB936F-7CDE-415D-B455-1A5EA63953F0}"/>
    <hyperlink ref="B320" r:id="rId318" display="https://amp.vexpenses.com/settings/membros-de-equipe/916936" xr:uid="{024208A0-66F1-49AE-A0D8-D43EF7B97D90}"/>
    <hyperlink ref="B321" r:id="rId319" display="https://amp.vexpenses.com/settings/membros-de-equipe/896208" xr:uid="{CFCE35FE-9BCB-4B4E-9BBA-03B8520D9A51}"/>
    <hyperlink ref="B322" r:id="rId320" display="https://amp.vexpenses.com/settings/membros-de-equipe/896210" xr:uid="{0A76C245-F9E4-4EF0-BE57-875AC7759CFD}"/>
    <hyperlink ref="B323" r:id="rId321" display="https://amp.vexpenses.com/settings/membros-de-equipe/896211" xr:uid="{0E7EE610-61F7-4D04-95A3-8629B38FA12D}"/>
    <hyperlink ref="B324" r:id="rId322" display="https://amp.vexpenses.com/settings/membros-de-equipe/922276" xr:uid="{AD08C879-236F-4970-9165-FD53E5D7725C}"/>
    <hyperlink ref="B325" r:id="rId323" display="https://amp.vexpenses.com/settings/membros-de-equipe/896212" xr:uid="{DEC3E7CE-AF00-42F3-BF6A-5638E2DCF488}"/>
    <hyperlink ref="B326" r:id="rId324" display="https://amp.vexpenses.com/settings/membros-de-equipe/896213" xr:uid="{1E430848-FF64-401C-83E4-E03B35FFE0FB}"/>
    <hyperlink ref="B327" r:id="rId325" display="https://amp.vexpenses.com/settings/membros-de-equipe/896214" xr:uid="{308DEE34-9C25-473F-A178-8517D4135D1A}"/>
    <hyperlink ref="B328" r:id="rId326" display="https://amp.vexpenses.com/settings/membros-de-equipe/917049" xr:uid="{ADE9B3D1-C57C-4AF2-A814-316510ACD58C}"/>
    <hyperlink ref="B329" r:id="rId327" display="https://amp.vexpenses.com/settings/membros-de-equipe/896215" xr:uid="{BF7CDCF3-8E81-488E-B0E1-4D18F0201BDF}"/>
    <hyperlink ref="B330" r:id="rId328" display="https://amp.vexpenses.com/settings/membros-de-equipe/961469" xr:uid="{A3DDF8DE-13FC-47D0-99A7-CAA1BF8B7DF7}"/>
    <hyperlink ref="B331" r:id="rId329" display="https://amp.vexpenses.com/settings/membros-de-equipe/896216" xr:uid="{B9CCFF72-F78B-45AD-B566-6AC018A27615}"/>
    <hyperlink ref="B332" r:id="rId330" display="https://amp.vexpenses.com/settings/membros-de-equipe/896217" xr:uid="{48DBBE69-0E4F-4494-B4A1-4E9498A8B907}"/>
    <hyperlink ref="B333" r:id="rId331" display="https://amp.vexpenses.com/settings/membros-de-equipe/896218" xr:uid="{00F8A66D-69EF-4844-9317-1515D5807508}"/>
    <hyperlink ref="B334" r:id="rId332" display="https://amp.vexpenses.com/settings/membros-de-equipe/916906" xr:uid="{C7AFCFC6-C2B3-45DE-AAB2-46FAA992D0B7}"/>
    <hyperlink ref="B335" r:id="rId333" display="https://amp.vexpenses.com/settings/membros-de-equipe/896219" xr:uid="{4DE384CC-81E5-4B69-8C38-34E7ED56E729}"/>
    <hyperlink ref="B336" r:id="rId334" display="https://amp.vexpenses.com/settings/membros-de-equipe/896220" xr:uid="{D6D6F179-A864-4FE5-AE5B-5AE60EDD8CFE}"/>
    <hyperlink ref="B337" r:id="rId335" display="https://amp.vexpenses.com/settings/membros-de-equipe/891904" xr:uid="{009CE19B-8B88-4040-91E5-FBCF717BD391}"/>
    <hyperlink ref="B338" r:id="rId336" display="https://amp.vexpenses.com/settings/membros-de-equipe/940725" xr:uid="{7C4D3161-78E6-4E2F-B2D5-52979C4B0DA8}"/>
    <hyperlink ref="B339" r:id="rId337" display="https://amp.vexpenses.com/settings/membros-de-equipe/896221" xr:uid="{EC7B80C5-F0F3-4E83-865E-ACF7CCF6B296}"/>
    <hyperlink ref="B340" r:id="rId338" display="https://amp.vexpenses.com/settings/membros-de-equipe/923895" xr:uid="{061967A3-8A63-490D-892C-AEA7814AC794}"/>
    <hyperlink ref="B341" r:id="rId339" display="https://amp.vexpenses.com/settings/membros-de-equipe/896222" xr:uid="{2267F4C1-0774-4601-B835-DA1F272A4021}"/>
    <hyperlink ref="B342" r:id="rId340" display="https://amp.vexpenses.com/settings/membros-de-equipe/979939" xr:uid="{A6826E9A-E8CE-492E-A12B-1E86115D435B}"/>
    <hyperlink ref="B343" r:id="rId341" display="https://amp.vexpenses.com/settings/membros-de-equipe/896423" xr:uid="{73D16173-1DD3-475B-A3A3-E4F75AB6114A}"/>
    <hyperlink ref="B344" r:id="rId342" display="https://amp.vexpenses.com/settings/membros-de-equipe/917361" xr:uid="{11D76FE8-5E3B-41DF-B4EA-1A4643B3D826}"/>
    <hyperlink ref="B345" r:id="rId343" display="https://amp.vexpenses.com/settings/membros-de-equipe/896223" xr:uid="{B925F91E-C667-4662-8D1C-9982AA23E111}"/>
    <hyperlink ref="B346" r:id="rId344" display="https://amp.vexpenses.com/settings/membros-de-equipe/896224" xr:uid="{C0F267D8-1845-449E-945A-3DED5C8A2D8C}"/>
    <hyperlink ref="B347" r:id="rId345" display="https://amp.vexpenses.com/settings/membros-de-equipe/896225" xr:uid="{520F56A6-836B-4588-9872-C57377CEA654}"/>
    <hyperlink ref="B348" r:id="rId346" display="https://amp.vexpenses.com/settings/membros-de-equipe/896226" xr:uid="{40CC7A2A-ABF7-4C0E-A160-322341918643}"/>
    <hyperlink ref="B349" r:id="rId347" display="https://amp.vexpenses.com/settings/membros-de-equipe/925993" xr:uid="{390DD389-2519-4F8E-AB59-4C84ACDB82FD}"/>
    <hyperlink ref="B350" r:id="rId348" display="https://amp.vexpenses.com/settings/membros-de-equipe/896227" xr:uid="{F4A15198-8FF1-4EE5-A2E4-4E1ECDCD7B51}"/>
    <hyperlink ref="B351" r:id="rId349" display="https://amp.vexpenses.com/settings/membros-de-equipe/896228" xr:uid="{D8FCCD48-5AD7-440D-A754-8E4560348ED5}"/>
    <hyperlink ref="B352" r:id="rId350" display="https://amp.vexpenses.com/settings/membros-de-equipe/896229" xr:uid="{8FD8D621-BA45-4676-B971-00057D446C33}"/>
    <hyperlink ref="B353" r:id="rId351" display="https://amp.vexpenses.com/settings/membros-de-equipe/896230" xr:uid="{41FF77F0-3724-4FC6-B718-EEE05BD32592}"/>
    <hyperlink ref="B354" r:id="rId352" display="https://amp.vexpenses.com/settings/membros-de-equipe/896231" xr:uid="{562F14D6-37C5-4874-B46B-713FA0D0FA5C}"/>
    <hyperlink ref="B355" r:id="rId353" display="https://amp.vexpenses.com/settings/membros-de-equipe/916932" xr:uid="{2B417290-E00E-4058-BF1D-A0B04C007DEB}"/>
    <hyperlink ref="B356" r:id="rId354" display="https://amp.vexpenses.com/settings/membros-de-equipe/970758" xr:uid="{4D76F659-3E5C-4621-8C42-0C9231CEFFC5}"/>
    <hyperlink ref="B357" r:id="rId355" display="https://amp.vexpenses.com/settings/membros-de-equipe/896232" xr:uid="{12E6D2CE-5B7C-4B65-8E3C-E225EE7F6B4F}"/>
    <hyperlink ref="B358" r:id="rId356" display="https://amp.vexpenses.com/settings/membros-de-equipe/896233" xr:uid="{782BFC96-AB05-4917-AC67-6B5393E790B7}"/>
    <hyperlink ref="B359" r:id="rId357" display="https://amp.vexpenses.com/settings/membros-de-equipe/896234" xr:uid="{46827E65-8043-49AB-A299-E0FA213B5A16}"/>
    <hyperlink ref="B360" r:id="rId358" display="https://amp.vexpenses.com/settings/membros-de-equipe/896235" xr:uid="{594B8876-BC91-4115-B461-4E6873E5FDF3}"/>
    <hyperlink ref="B361" r:id="rId359" display="https://amp.vexpenses.com/settings/membros-de-equipe/896236" xr:uid="{10F8FD7D-E642-4FBA-BB5C-AB9DFAF04E8F}"/>
    <hyperlink ref="B362" r:id="rId360" display="https://amp.vexpenses.com/settings/membros-de-equipe/896237" xr:uid="{113602FD-98DB-427B-B533-7000A8334D4D}"/>
    <hyperlink ref="B363" r:id="rId361" display="https://amp.vexpenses.com/settings/membros-de-equipe/916912" xr:uid="{C310DF65-58C6-4296-876E-255A1B9472CC}"/>
    <hyperlink ref="B364" r:id="rId362" display="https://amp.vexpenses.com/settings/membros-de-equipe/896238" xr:uid="{98CD6F9A-016E-4A07-853C-9868CD74588A}"/>
    <hyperlink ref="B365" r:id="rId363" display="https://amp.vexpenses.com/settings/membros-de-equipe/896240" xr:uid="{468FE9FF-62EF-4DBA-894C-7756AA61F23D}"/>
    <hyperlink ref="B366" r:id="rId364" display="https://amp.vexpenses.com/settings/membros-de-equipe/896241" xr:uid="{DE8AADE6-3658-49F6-96DC-96C54D23A088}"/>
    <hyperlink ref="B367" r:id="rId365" display="https://amp.vexpenses.com/settings/membros-de-equipe/896242" xr:uid="{21E0CA16-2B84-4E72-B114-53A924E6F7B5}"/>
    <hyperlink ref="B368" r:id="rId366" display="https://amp.vexpenses.com/settings/membros-de-equipe/896243" xr:uid="{11A4AFEA-4A65-4AFF-BE7B-84650BCD7A12}"/>
    <hyperlink ref="B369" r:id="rId367" display="https://amp.vexpenses.com/settings/membros-de-equipe/933048" xr:uid="{4195AB1E-9F03-4A45-85CB-4ADDDAA5AF55}"/>
    <hyperlink ref="B370" r:id="rId368" display="https://amp.vexpenses.com/settings/membros-de-equipe/928767" xr:uid="{CFD17C6C-AA07-4AD6-9D11-0C62F944903F}"/>
    <hyperlink ref="B371" r:id="rId369" display="https://amp.vexpenses.com/settings/membros-de-equipe/917057" xr:uid="{876BF8A4-E759-466C-A1CC-71B6747C2987}"/>
    <hyperlink ref="B372" r:id="rId370" display="https://amp.vexpenses.com/settings/membros-de-equipe/917365" xr:uid="{097DBA98-22E7-4692-B7AB-CDE7331D632E}"/>
    <hyperlink ref="B373" r:id="rId371" display="https://amp.vexpenses.com/settings/membros-de-equipe/896244" xr:uid="{E7DF3932-E113-43DD-8F52-C68BC8B4C235}"/>
    <hyperlink ref="B374" r:id="rId372" display="https://amp.vexpenses.com/settings/membros-de-equipe/935493" xr:uid="{7A8D0669-17D2-4D71-8F9D-F42DDC6A6D1E}"/>
    <hyperlink ref="B375" r:id="rId373" display="https://amp.vexpenses.com/settings/membros-de-equipe/896245" xr:uid="{203D98BA-F779-4FB6-A0B8-4444912AEB9C}"/>
    <hyperlink ref="B376" r:id="rId374" display="https://amp.vexpenses.com/settings/membros-de-equipe/948926" xr:uid="{F5B7EEE3-43DF-46C6-ABC3-059DC0B2482D}"/>
    <hyperlink ref="B377" r:id="rId375" display="https://amp.vexpenses.com/settings/membros-de-equipe/929759" xr:uid="{5B7842A6-1E5E-4A67-B55C-C51DB869B2D7}"/>
    <hyperlink ref="B378" r:id="rId376" display="https://amp.vexpenses.com/settings/membros-de-equipe/896246" xr:uid="{FCD5015D-A7E1-4E36-B20E-491D09073E38}"/>
    <hyperlink ref="B379" r:id="rId377" display="https://amp.vexpenses.com/settings/membros-de-equipe/896248" xr:uid="{F2ED3E26-DF2B-41DA-A56F-D8E59F8CACFC}"/>
    <hyperlink ref="B380" r:id="rId378" display="https://amp.vexpenses.com/settings/membros-de-equipe/896249" xr:uid="{14F6AEF1-1EA3-4A20-A008-22E2F58236ED}"/>
    <hyperlink ref="B381" r:id="rId379" display="https://amp.vexpenses.com/settings/membros-de-equipe/896250" xr:uid="{15A04B2C-92F1-4C2E-A414-A4A006EF15B1}"/>
    <hyperlink ref="B382" r:id="rId380" display="https://amp.vexpenses.com/settings/membros-de-equipe/913936" xr:uid="{71332773-375A-4630-B9AB-8209A678C8FF}"/>
    <hyperlink ref="B383" r:id="rId381" display="https://amp.vexpenses.com/settings/membros-de-equipe/896251" xr:uid="{04288817-A0E2-41C1-AA9F-515406F7B009}"/>
    <hyperlink ref="B384" r:id="rId382" display="https://amp.vexpenses.com/settings/membros-de-equipe/896425" xr:uid="{EBA42B72-D463-426D-A3DA-28A20A08B8E5}"/>
    <hyperlink ref="B385" r:id="rId383" display="https://amp.vexpenses.com/settings/membros-de-equipe/896252" xr:uid="{1E17ECAA-DF5D-4FB7-BB98-F043EFAF1592}"/>
    <hyperlink ref="B386" r:id="rId384" display="https://amp.vexpenses.com/settings/membros-de-equipe/896253" xr:uid="{225592BF-91F8-430C-8B29-A2B2DB6F6C7D}"/>
    <hyperlink ref="B387" r:id="rId385" display="https://amp.vexpenses.com/settings/membros-de-equipe/1001913" xr:uid="{C897B171-8D7E-4627-9903-A1FBB413D4A0}"/>
    <hyperlink ref="B388" r:id="rId386" display="https://amp.vexpenses.com/settings/membros-de-equipe/896254" xr:uid="{6A4CF974-F3FB-499F-886C-2901FEBD001C}"/>
    <hyperlink ref="B389" r:id="rId387" display="https://amp.vexpenses.com/settings/membros-de-equipe/896333" xr:uid="{6AD575A1-F1E6-401A-B9CE-9E48C547E3EC}"/>
    <hyperlink ref="B390" r:id="rId388" display="https://amp.vexpenses.com/settings/membros-de-equipe/896255" xr:uid="{9D7EDBA3-6144-4B86-9C95-0C6B2B533BF5}"/>
    <hyperlink ref="B391" r:id="rId389" display="https://amp.vexpenses.com/settings/membros-de-equipe/896256" xr:uid="{6B925037-3828-4395-A4FC-FBF41BDBFE50}"/>
    <hyperlink ref="B392" r:id="rId390" display="https://amp.vexpenses.com/settings/membros-de-equipe/896257" xr:uid="{2F975477-15BD-4F57-8C4C-E258820E4CD5}"/>
    <hyperlink ref="B393" r:id="rId391" display="https://amp.vexpenses.com/settings/membros-de-equipe/896258" xr:uid="{B557CCBD-A9A9-46DE-806A-88C38363B2A7}"/>
    <hyperlink ref="B394" r:id="rId392" display="https://amp.vexpenses.com/settings/membros-de-equipe/896259" xr:uid="{91E7F382-7D92-4B2E-91B9-5BE4E56D88BE}"/>
    <hyperlink ref="B395" r:id="rId393" display="https://amp.vexpenses.com/settings/membros-de-equipe/985835" xr:uid="{7EC61954-A453-40F7-BCC2-90D962B6CA07}"/>
    <hyperlink ref="B396" r:id="rId394" display="https://amp.vexpenses.com/settings/membros-de-equipe/891980" xr:uid="{805149C1-896C-44E1-90E8-E0CA70946992}"/>
    <hyperlink ref="B397" r:id="rId395" display="https://amp.vexpenses.com/settings/membros-de-equipe/896262" xr:uid="{76985E86-F210-4178-9ADE-BFF258087920}"/>
    <hyperlink ref="B398" r:id="rId396" display="https://amp.vexpenses.com/settings/membros-de-equipe/896263" xr:uid="{52B448C7-21CF-49F4-AEEB-7279AF8938AD}"/>
    <hyperlink ref="B399" r:id="rId397" display="https://amp.vexpenses.com/settings/membros-de-equipe/896264" xr:uid="{475C48CF-BA81-4FBD-98DE-4E923A3559BB}"/>
    <hyperlink ref="B400" r:id="rId398" display="https://amp.vexpenses.com/settings/membros-de-equipe/924050" xr:uid="{EFFC57FD-C51B-4AA6-ABAB-48C27A169609}"/>
    <hyperlink ref="B401" r:id="rId399" display="https://amp.vexpenses.com/settings/membros-de-equipe/917363" xr:uid="{24DF7657-4AD3-494E-9BC9-4C275B61F3D3}"/>
    <hyperlink ref="B402" r:id="rId400" display="https://amp.vexpenses.com/settings/membros-de-equipe/896267" xr:uid="{7E6EA853-24A8-4219-9334-DAEEE234A27D}"/>
    <hyperlink ref="B403" r:id="rId401" display="https://amp.vexpenses.com/settings/membros-de-equipe/896269" xr:uid="{79EA9CC3-EDEC-4D53-B6A8-033AD408C85C}"/>
    <hyperlink ref="B404" r:id="rId402" display="https://amp.vexpenses.com/settings/membros-de-equipe/967438" xr:uid="{A547070B-7616-4E16-8FF1-9D8E57897EEE}"/>
    <hyperlink ref="B405" r:id="rId403" display="https://amp.vexpenses.com/settings/membros-de-equipe/896270" xr:uid="{4D89DDB6-52CA-47A3-90CE-E6737DDE35D3}"/>
    <hyperlink ref="B406" r:id="rId404" display="https://amp.vexpenses.com/settings/membros-de-equipe/896271" xr:uid="{D0FE2B46-57EF-46CF-BAB8-D328BBACFCD4}"/>
    <hyperlink ref="B407" r:id="rId405" display="https://amp.vexpenses.com/settings/membros-de-equipe/896272" xr:uid="{CD9B8C78-B1BB-4555-B56B-2A2172B64A39}"/>
    <hyperlink ref="B408" r:id="rId406" display="https://amp.vexpenses.com/settings/membros-de-equipe/896273" xr:uid="{5099C8FC-A509-4900-83A1-31F9238E99C6}"/>
    <hyperlink ref="B409" r:id="rId407" display="https://amp.vexpenses.com/settings/membros-de-equipe/896274" xr:uid="{64872C35-457B-415C-ACA2-1C8AEFEC1DDF}"/>
    <hyperlink ref="B410" r:id="rId408" display="https://amp.vexpenses.com/settings/membros-de-equipe/896275" xr:uid="{66775939-F6F8-42C3-995E-238B790EE570}"/>
    <hyperlink ref="B411" r:id="rId409" display="https://amp.vexpenses.com/settings/membros-de-equipe/896276" xr:uid="{FACAD91E-7410-414D-B3BB-B94C333E1386}"/>
    <hyperlink ref="B412" r:id="rId410" display="https://amp.vexpenses.com/settings/membros-de-equipe/896277" xr:uid="{764703B4-53FD-4D5B-9A5B-1694DFDCE081}"/>
    <hyperlink ref="B413" r:id="rId411" display="https://amp.vexpenses.com/settings/membros-de-equipe/896278" xr:uid="{67C050E6-49F0-4CED-8887-754667D0C951}"/>
    <hyperlink ref="B414" r:id="rId412" display="https://amp.vexpenses.com/settings/membros-de-equipe/896279" xr:uid="{4C7E026C-4A61-4D0E-B821-C87447327168}"/>
    <hyperlink ref="B415" r:id="rId413" display="https://amp.vexpenses.com/settings/membros-de-equipe/896280" xr:uid="{BF49A0A7-5C9B-4F35-A47D-7F90423E526F}"/>
    <hyperlink ref="B416" r:id="rId414" display="https://amp.vexpenses.com/settings/membros-de-equipe/896281" xr:uid="{B640C097-7BF9-4467-BF17-FAB0A2D3FC22}"/>
    <hyperlink ref="B417" r:id="rId415" display="https://amp.vexpenses.com/settings/membros-de-equipe/896282" xr:uid="{20361339-C95B-4F0C-A548-E923CE1012EA}"/>
    <hyperlink ref="B418" r:id="rId416" display="https://amp.vexpenses.com/settings/membros-de-equipe/896284" xr:uid="{8F6BED1F-7068-417B-8EC6-37A1D6DF8FCD}"/>
    <hyperlink ref="B419" r:id="rId417" display="https://amp.vexpenses.com/settings/membros-de-equipe/896285" xr:uid="{C916521D-4E86-498B-B38F-D01CD3A9DFEF}"/>
    <hyperlink ref="B420" r:id="rId418" display="https://amp.vexpenses.com/settings/membros-de-equipe/896286" xr:uid="{7BD16726-6C28-437E-A55B-C130A7279F35}"/>
    <hyperlink ref="B421" r:id="rId419" display="https://amp.vexpenses.com/settings/membros-de-equipe/921927" xr:uid="{E6A7E80C-362B-4F43-A1F3-3FFC5C1884EB}"/>
    <hyperlink ref="B422" r:id="rId420" display="https://amp.vexpenses.com/settings/membros-de-equipe/896287" xr:uid="{2095A58C-C6DA-43D8-BC01-BDE7AE6DC6C5}"/>
    <hyperlink ref="B423" r:id="rId421" display="https://amp.vexpenses.com/settings/membros-de-equipe/896288" xr:uid="{41156F35-9AA6-45A1-9DC0-BB0E782895A0}"/>
    <hyperlink ref="B424" r:id="rId422" display="https://amp.vexpenses.com/settings/membros-de-equipe/896289" xr:uid="{DAA662CA-D5EB-4F5A-9B56-0E794C1267FB}"/>
    <hyperlink ref="B425" r:id="rId423" display="https://amp.vexpenses.com/settings/membros-de-equipe/896290" xr:uid="{8CB31270-9AC7-4B90-890F-C461FE2CD415}"/>
    <hyperlink ref="B426" r:id="rId424" display="https://amp.vexpenses.com/settings/membros-de-equipe/954642" xr:uid="{65712A57-D0F2-40FC-9547-206EA102E3B6}"/>
    <hyperlink ref="B427" r:id="rId425" display="https://amp.vexpenses.com/settings/membros-de-equipe/896291" xr:uid="{AE1B990A-5D44-4BD3-ACBE-2A6E0831F84B}"/>
    <hyperlink ref="B428" r:id="rId426" display="https://amp.vexpenses.com/settings/membros-de-equipe/896292" xr:uid="{4D96760B-8E92-4F6F-BA97-4FC6DA3B76E4}"/>
    <hyperlink ref="B429" r:id="rId427" display="https://amp.vexpenses.com/settings/membros-de-equipe/896293" xr:uid="{3A93B56B-002B-41FF-AB21-B945E66BBD3C}"/>
    <hyperlink ref="B430" r:id="rId428" display="https://amp.vexpenses.com/settings/membros-de-equipe/950243" xr:uid="{4A2B81B6-8CF5-4E03-952B-00F2C537B4DD}"/>
    <hyperlink ref="B431" r:id="rId429" display="https://amp.vexpenses.com/settings/membros-de-equipe/896294" xr:uid="{E0F3695F-FF0F-481D-914A-9A7C9912EF00}"/>
    <hyperlink ref="B432" r:id="rId430" display="https://amp.vexpenses.com/settings/membros-de-equipe/896295" xr:uid="{C5D28583-F815-4765-A12D-55A496289E3E}"/>
    <hyperlink ref="B433" r:id="rId431" display="https://amp.vexpenses.com/settings/membros-de-equipe/973950" xr:uid="{D8297F98-1BAF-4884-8AA7-2856368A5290}"/>
    <hyperlink ref="B434" r:id="rId432" display="https://amp.vexpenses.com/settings/membros-de-equipe/920825" xr:uid="{7F8D9836-C180-4D35-8F0B-9FE406CC090B}"/>
    <hyperlink ref="B435" r:id="rId433" display="https://amp.vexpenses.com/settings/membros-de-equipe/896296" xr:uid="{ABAE3B83-C685-4336-9B7D-D2CB5C42C10B}"/>
    <hyperlink ref="B436" r:id="rId434" display="https://amp.vexpenses.com/settings/membros-de-equipe/896297" xr:uid="{244BEC1F-C069-427E-8A1B-BABC327A91BB}"/>
    <hyperlink ref="B437" r:id="rId435" display="https://amp.vexpenses.com/settings/membros-de-equipe/920083" xr:uid="{584BC1AE-C1DF-47E5-B681-61AF956277B3}"/>
    <hyperlink ref="B438" r:id="rId436" display="https://amp.vexpenses.com/settings/membros-de-equipe/896298" xr:uid="{CB77185C-46F9-4D11-A29F-AA348645ABDB}"/>
    <hyperlink ref="B439" r:id="rId437" display="https://amp.vexpenses.com/settings/membros-de-equipe/891978" xr:uid="{8FF9B65A-E079-43C3-9932-CFD0D46D443A}"/>
    <hyperlink ref="B440" r:id="rId438" display="https://amp.vexpenses.com/settings/membros-de-equipe/918849" xr:uid="{044D7C02-DACD-4301-9E9F-07022B5FA7F9}"/>
    <hyperlink ref="B441" r:id="rId439" display="https://amp.vexpenses.com/settings/membros-de-equipe/896299" xr:uid="{61E24398-4C26-4D7A-B1D1-18B186C58F59}"/>
    <hyperlink ref="B442" r:id="rId440" display="https://amp.vexpenses.com/settings/membros-de-equipe/896300" xr:uid="{E1A05C75-A292-4056-B8FB-D4FEE8288429}"/>
    <hyperlink ref="B443" r:id="rId441" display="https://amp.vexpenses.com/settings/membros-de-equipe/896301" xr:uid="{E504C360-DBCC-4215-95BA-1A660F48F2E4}"/>
    <hyperlink ref="B444" r:id="rId442" display="https://amp.vexpenses.com/settings/membros-de-equipe/896302" xr:uid="{B26C12F6-A751-424C-A54B-E29A536CE7C7}"/>
    <hyperlink ref="B445" r:id="rId443" display="https://amp.vexpenses.com/settings/membros-de-equipe/896303" xr:uid="{7392F07B-F5A9-42A2-81DD-64BF29824475}"/>
    <hyperlink ref="B446" r:id="rId444" display="https://amp.vexpenses.com/settings/membros-de-equipe/923649" xr:uid="{920DF833-5481-4486-BC63-99E48BCB6309}"/>
    <hyperlink ref="B447" r:id="rId445" display="https://amp.vexpenses.com/settings/membros-de-equipe/896304" xr:uid="{624AC6F8-67A0-4A1C-A2A0-074810EC1800}"/>
    <hyperlink ref="B448" r:id="rId446" display="https://amp.vexpenses.com/settings/membros-de-equipe/921795" xr:uid="{D9B18F00-FB6B-4C47-A6AD-3982A0572289}"/>
    <hyperlink ref="B449" r:id="rId447" display="https://amp.vexpenses.com/settings/membros-de-equipe/896305" xr:uid="{76969577-1C13-428B-A50A-561D9D7D2959}"/>
    <hyperlink ref="B450" r:id="rId448" display="https://amp.vexpenses.com/settings/membros-de-equipe/996627" xr:uid="{5A0536FF-ECBE-460B-9F45-2540D28966E9}"/>
    <hyperlink ref="B451" r:id="rId449" display="https://amp.vexpenses.com/settings/membros-de-equipe/928994" xr:uid="{6791142D-5C59-43E2-9CA9-845503B391EF}"/>
    <hyperlink ref="B452" r:id="rId450" display="https://amp.vexpenses.com/settings/membros-de-equipe/896306" xr:uid="{B18196B3-298E-48F3-AA1A-7BBD982C8A84}"/>
    <hyperlink ref="B453" r:id="rId451" display="https://amp.vexpenses.com/settings/membros-de-equipe/896308" xr:uid="{A9D1D3C6-DC47-4ADA-B412-3E06E9DEF68C}"/>
    <hyperlink ref="B454" r:id="rId452" display="https://amp.vexpenses.com/settings/membros-de-equipe/896311" xr:uid="{0409912E-1B11-4B68-B0FE-6B28BD868E37}"/>
    <hyperlink ref="B455" r:id="rId453" display="https://amp.vexpenses.com/settings/membros-de-equipe/896313" xr:uid="{7FC166BB-D548-4413-A55C-5CEAC45FD7CC}"/>
    <hyperlink ref="B456" r:id="rId454" display="https://amp.vexpenses.com/settings/membros-de-equipe/896314" xr:uid="{708544DD-7167-42EE-B442-1C1223DFE2A7}"/>
    <hyperlink ref="B457" r:id="rId455" display="https://amp.vexpenses.com/settings/membros-de-equipe/917081" xr:uid="{38C07824-9B64-45AD-A210-66269728A80D}"/>
    <hyperlink ref="B458" r:id="rId456" display="https://amp.vexpenses.com/settings/membros-de-equipe/896315" xr:uid="{3B98D4F8-B6FF-4F08-AD38-04BE4788E1F2}"/>
    <hyperlink ref="B459" r:id="rId457" display="https://amp.vexpenses.com/settings/membros-de-equipe/922275" xr:uid="{5BE910E6-37A4-4480-8666-D4CFB2FFEF96}"/>
    <hyperlink ref="B460" r:id="rId458" display="https://amp.vexpenses.com/settings/membros-de-equipe/950558" xr:uid="{DA041F72-0A46-4745-8827-921E0B13A7A7}"/>
    <hyperlink ref="B461" r:id="rId459" display="https://amp.vexpenses.com/settings/membros-de-equipe/896316" xr:uid="{28A8D691-EBCF-449C-9E23-96E579F1D39C}"/>
    <hyperlink ref="B462" r:id="rId460" display="https://amp.vexpenses.com/settings/membros-de-equipe/896317" xr:uid="{4D4E4AF3-0AEB-4AB2-9ED8-83B53C116CF0}"/>
    <hyperlink ref="B463" r:id="rId461" display="https://amp.vexpenses.com/settings/membros-de-equipe/896318" xr:uid="{415991DD-35DF-4ACB-8DEF-9E2AD4077B46}"/>
    <hyperlink ref="B464" r:id="rId462" display="https://amp.vexpenses.com/settings/membros-de-equipe/896319" xr:uid="{A13DED7F-8BD7-4F13-9695-A63B7C8AAD66}"/>
    <hyperlink ref="B465" r:id="rId463" display="https://amp.vexpenses.com/settings/membros-de-equipe/896321" xr:uid="{59C46E9D-8863-4FF1-AA68-354FCFFE9FA0}"/>
    <hyperlink ref="B466" r:id="rId464" display="https://amp.vexpenses.com/settings/membros-de-equipe/896322" xr:uid="{C3540294-DB84-440B-9E8F-C5C2B15E0EE9}"/>
    <hyperlink ref="B467" r:id="rId465" display="https://amp.vexpenses.com/settings/membros-de-equipe/896324" xr:uid="{60E5B04C-DF23-4B28-B21D-9A3745EF8CF8}"/>
    <hyperlink ref="B468" r:id="rId466" display="https://amp.vexpenses.com/settings/membros-de-equipe/896325" xr:uid="{BF3EEFE7-96AE-45EA-A3E5-C7DFEDB9A363}"/>
    <hyperlink ref="B469" r:id="rId467" display="https://amp.vexpenses.com/settings/membros-de-equipe/896326" xr:uid="{57BD9C84-5B09-45EA-8497-3B3512A0813F}"/>
    <hyperlink ref="B470" r:id="rId468" display="https://amp.vexpenses.com/settings/membros-de-equipe/896327" xr:uid="{E6D87533-80B7-44E8-B177-6AD938DA62F1}"/>
    <hyperlink ref="B471" r:id="rId469" display="https://amp.vexpenses.com/settings/membros-de-equipe/896328" xr:uid="{72C27170-1AC3-481C-8D34-B17B2E57A9D2}"/>
    <hyperlink ref="B472" r:id="rId470" display="https://amp.vexpenses.com/settings/membros-de-equipe/917069" xr:uid="{C5B87891-4721-4BF9-8490-997D6BE28986}"/>
    <hyperlink ref="B473" r:id="rId471" display="https://amp.vexpenses.com/settings/membros-de-equipe/896329" xr:uid="{52C4611C-6254-4F32-9171-FAE009C77C3A}"/>
    <hyperlink ref="B474" r:id="rId472" display="https://amp.vexpenses.com/settings/membros-de-equipe/896330" xr:uid="{BE265D1A-8170-4D63-8409-4A8022E1F854}"/>
    <hyperlink ref="B475" r:id="rId473" display="https://amp.vexpenses.com/settings/membros-de-equipe/963612" xr:uid="{18FBE3C8-8906-4F0C-BD40-CFCC5BF2F123}"/>
    <hyperlink ref="B476" r:id="rId474" display="https://amp.vexpenses.com/settings/membros-de-equipe/896331" xr:uid="{4246A454-8B9C-498E-88CE-739DFB6D0B20}"/>
    <hyperlink ref="B477" r:id="rId475" display="https://amp.vexpenses.com/settings/membros-de-equipe/896332" xr:uid="{DA70C01D-03E2-4A93-B227-DCF4CDC0B4FC}"/>
    <hyperlink ref="B478" r:id="rId476" display="https://amp.vexpenses.com/settings/membros-de-equipe/896357" xr:uid="{53581D4B-3CAB-4832-9470-C79C7D9760D5}"/>
    <hyperlink ref="B479" r:id="rId477" display="https://amp.vexpenses.com/settings/membros-de-equipe/896335" xr:uid="{710698ED-72BF-444C-B3AE-ED9078A74475}"/>
    <hyperlink ref="B480" r:id="rId478" display="https://amp.vexpenses.com/settings/membros-de-equipe/928097" xr:uid="{CC7FCB7E-211F-4741-95E6-C99E0C615CFA}"/>
    <hyperlink ref="B481" r:id="rId479" display="https://amp.vexpenses.com/settings/membros-de-equipe/896336" xr:uid="{841CCE90-742D-4A70-A113-C68AB15A769B}"/>
    <hyperlink ref="B482" r:id="rId480" display="https://amp.vexpenses.com/settings/membros-de-equipe/917059" xr:uid="{598C7EE6-E736-4713-A90B-A66104725920}"/>
    <hyperlink ref="B483" r:id="rId481" display="https://amp.vexpenses.com/settings/membros-de-equipe/896338" xr:uid="{E2AC82D4-0814-4DB0-A287-8F37ABB2F2A3}"/>
    <hyperlink ref="B484" r:id="rId482" display="https://amp.vexpenses.com/settings/membros-de-equipe/917364" xr:uid="{737E5820-3472-4655-962F-DA6872786251}"/>
    <hyperlink ref="B485" r:id="rId483" display="https://amp.vexpenses.com/settings/membros-de-equipe/896339" xr:uid="{6318B11F-145A-498E-B51F-2721327E0A3F}"/>
    <hyperlink ref="B486" r:id="rId484" display="https://amp.vexpenses.com/settings/membros-de-equipe/896340" xr:uid="{03FD1BC8-BE41-4A63-B842-449B74F23A30}"/>
    <hyperlink ref="B487" r:id="rId485" display="https://amp.vexpenses.com/settings/membros-de-equipe/896342" xr:uid="{D76C4277-0092-41A7-817A-D3DA781BA267}"/>
    <hyperlink ref="B488" r:id="rId486" display="https://amp.vexpenses.com/settings/membros-de-equipe/896343" xr:uid="{EC8F457D-3287-47CF-9D62-46799FC8991A}"/>
    <hyperlink ref="B489" r:id="rId487" display="https://amp.vexpenses.com/settings/membros-de-equipe/896344" xr:uid="{2299DC81-3C5B-4497-830F-8999078A3E24}"/>
    <hyperlink ref="B490" r:id="rId488" display="https://amp.vexpenses.com/settings/membros-de-equipe/896346" xr:uid="{3DF56AA4-32B1-492D-B949-BE260B3E14A3}"/>
    <hyperlink ref="B491" r:id="rId489" display="https://amp.vexpenses.com/settings/membros-de-equipe/896347" xr:uid="{D9048BFF-7762-4646-A213-34F1186C8B11}"/>
    <hyperlink ref="B492" r:id="rId490" display="https://amp.vexpenses.com/settings/membros-de-equipe/896348" xr:uid="{36788104-47D8-4CF4-9133-A7FDA00B79BC}"/>
    <hyperlink ref="B493" r:id="rId491" display="https://amp.vexpenses.com/settings/membros-de-equipe/896349" xr:uid="{18ECF94B-7276-482B-B85F-B6486B80A171}"/>
    <hyperlink ref="B494" r:id="rId492" display="https://amp.vexpenses.com/settings/membros-de-equipe/896350" xr:uid="{68464B97-AA05-48B0-904B-AE4411726DA0}"/>
    <hyperlink ref="B495" r:id="rId493" display="https://amp.vexpenses.com/settings/membros-de-equipe/896351" xr:uid="{D1264DDB-F2EB-45C5-AF0B-0705BFC3680D}"/>
    <hyperlink ref="B496" r:id="rId494" display="https://amp.vexpenses.com/settings/membros-de-equipe/896352" xr:uid="{63FDF219-0345-4B84-9711-73C10C966054}"/>
    <hyperlink ref="B497" r:id="rId495" display="https://amp.vexpenses.com/settings/membros-de-equipe/896353" xr:uid="{4064F859-E254-432E-9AC6-632596744A6B}"/>
    <hyperlink ref="B498" r:id="rId496" display="https://amp.vexpenses.com/settings/membros-de-equipe/920862" xr:uid="{79A12B54-92EE-4672-BAED-7890390F1A2E}"/>
    <hyperlink ref="B499" r:id="rId497" display="https://amp.vexpenses.com/settings/membros-de-equipe/896355" xr:uid="{60784B79-B47A-4CE0-A15A-99011CD15050}"/>
    <hyperlink ref="B500" r:id="rId498" display="https://amp.vexpenses.com/settings/membros-de-equipe/917051" xr:uid="{FD5652D6-90BD-4AD6-BDA9-F67F07E52730}"/>
    <hyperlink ref="B501" r:id="rId499" display="https://amp.vexpenses.com/settings/membros-de-equipe/896356" xr:uid="{CC721A18-32C7-4056-9B27-2E4442E037E5}"/>
    <hyperlink ref="B502" r:id="rId500" display="https://amp.vexpenses.com/settings/membros-de-equipe/896397" xr:uid="{E6C4B5D9-405F-4FA8-B6FF-50B4C35B3882}"/>
    <hyperlink ref="B503" r:id="rId501" display="https://amp.vexpenses.com/settings/membros-de-equipe/896358" xr:uid="{77F6E139-BF7C-4DBF-8591-514DD1269CD5}"/>
    <hyperlink ref="B504" r:id="rId502" display="https://amp.vexpenses.com/settings/membros-de-equipe/930440" xr:uid="{58B66191-E1B2-4D3D-ABAE-DE28B7FFC792}"/>
    <hyperlink ref="B505" r:id="rId503" display="https://amp.vexpenses.com/settings/membros-de-equipe/896359" xr:uid="{9A92AEF8-C89B-4245-BB4B-B96086D15E06}"/>
    <hyperlink ref="B506" r:id="rId504" display="https://amp.vexpenses.com/settings/membros-de-equipe/896360" xr:uid="{52DF8338-066C-4628-9B67-A75774A1C716}"/>
    <hyperlink ref="B507" r:id="rId505" display="https://amp.vexpenses.com/settings/membros-de-equipe/896361" xr:uid="{DD84D56A-0870-48CF-AD2F-17362BBCABAD}"/>
    <hyperlink ref="B508" r:id="rId506" display="https://amp.vexpenses.com/settings/membros-de-equipe/920855" xr:uid="{56F2AE2A-50E2-44B3-ABC3-3024E964B941}"/>
    <hyperlink ref="B509" r:id="rId507" display="https://amp.vexpenses.com/settings/membros-de-equipe/896362" xr:uid="{B3E45A6A-22B6-41AF-94D2-B54F187B6C4D}"/>
    <hyperlink ref="B510" r:id="rId508" display="https://amp.vexpenses.com/settings/membros-de-equipe/896363" xr:uid="{384668AF-C613-404F-92EC-5B3CFE28C479}"/>
    <hyperlink ref="B511" r:id="rId509" display="https://amp.vexpenses.com/settings/membros-de-equipe/896364" xr:uid="{FCABF0B1-6A6F-4A23-A3A3-62D7613DE6E5}"/>
    <hyperlink ref="B512" r:id="rId510" display="https://amp.vexpenses.com/settings/membros-de-equipe/984799" xr:uid="{9D2391F7-9D4E-4A53-AD89-43799DF05AF9}"/>
    <hyperlink ref="B513" r:id="rId511" display="https://amp.vexpenses.com/settings/membros-de-equipe/896365" xr:uid="{310D0FDF-3462-4A19-8152-15FC97FD1C58}"/>
    <hyperlink ref="B514" r:id="rId512" display="https://amp.vexpenses.com/settings/membros-de-equipe/917052" xr:uid="{194C57F9-C614-446C-A988-1A5D8460AB97}"/>
    <hyperlink ref="B515" r:id="rId513" display="https://amp.vexpenses.com/settings/membros-de-equipe/896366" xr:uid="{2885442B-7AF2-4A3F-ADCD-9DAD29E4D4EB}"/>
    <hyperlink ref="B516" r:id="rId514" display="https://amp.vexpenses.com/settings/membros-de-equipe/896367" xr:uid="{048E69C3-2468-40F7-8A2B-083D01EB1FC3}"/>
    <hyperlink ref="B517" r:id="rId515" display="https://amp.vexpenses.com/settings/membros-de-equipe/968562" xr:uid="{68285EB2-73B9-4CCE-BAF6-55B6A63B11AA}"/>
    <hyperlink ref="B518" r:id="rId516" display="https://amp.vexpenses.com/settings/membros-de-equipe/896369" xr:uid="{61B199B3-3751-4F6B-9DBE-A6031F7B5B74}"/>
    <hyperlink ref="B519" r:id="rId517" display="https://amp.vexpenses.com/settings/membros-de-equipe/931255" xr:uid="{A4B837FE-75AF-4B45-B9F6-142698D64C13}"/>
    <hyperlink ref="B520" r:id="rId518" display="https://amp.vexpenses.com/settings/membros-de-equipe/896372" xr:uid="{1079E71F-F055-4280-8060-9FE79C7C73F0}"/>
    <hyperlink ref="B521" r:id="rId519" display="https://amp.vexpenses.com/settings/membros-de-equipe/896373" xr:uid="{BBA3E5EB-52C4-46DF-9A58-A7B9A4981D46}"/>
    <hyperlink ref="B522" r:id="rId520" display="https://amp.vexpenses.com/settings/membros-de-equipe/985826" xr:uid="{C166DC08-75C3-486E-8D77-A2DC232B799D}"/>
    <hyperlink ref="B523" r:id="rId521" display="https://amp.vexpenses.com/settings/membros-de-equipe/920868" xr:uid="{B8C3E514-4405-4C78-AB88-CA79EF7C462D}"/>
    <hyperlink ref="B524" r:id="rId522" display="https://amp.vexpenses.com/settings/membros-de-equipe/985833" xr:uid="{1B3217BD-F5F6-4692-9B69-7D6A6DF26E7B}"/>
    <hyperlink ref="B525" r:id="rId523" display="https://amp.vexpenses.com/settings/membros-de-equipe/917368" xr:uid="{4D5F5365-AF78-4075-91EC-B3473437336E}"/>
    <hyperlink ref="B526" r:id="rId524" display="https://amp.vexpenses.com/settings/membros-de-equipe/896424" xr:uid="{E8D127E3-6CF0-4F4F-9B5C-1C3B4CBED66F}"/>
    <hyperlink ref="B527" r:id="rId525" display="https://amp.vexpenses.com/settings/membros-de-equipe/896376" xr:uid="{809ED136-F29B-4682-8A6D-DB266A7DF654}"/>
    <hyperlink ref="B528" r:id="rId526" display="https://amp.vexpenses.com/settings/membros-de-equipe/999480" xr:uid="{93B259AF-7A9A-4F75-B4E8-0574EBF227D0}"/>
    <hyperlink ref="B529" r:id="rId527" display="https://amp.vexpenses.com/settings/membros-de-equipe/896377" xr:uid="{6DCBF76A-555C-40EB-814A-90C7B10A5B4B}"/>
    <hyperlink ref="B530" r:id="rId528" display="https://amp.vexpenses.com/settings/membros-de-equipe/896378" xr:uid="{3CE10930-6075-432D-BA9C-FFC1CB44E103}"/>
    <hyperlink ref="B531" r:id="rId529" display="https://amp.vexpenses.com/settings/membros-de-equipe/957806" xr:uid="{64FD80EE-8AFD-48B7-A94F-3D7C9A2E60A2}"/>
    <hyperlink ref="B532" r:id="rId530" display="https://amp.vexpenses.com/settings/membros-de-equipe/923842" xr:uid="{694068F5-F421-4C26-ADB3-647E9C1B087D}"/>
    <hyperlink ref="B533" r:id="rId531" display="https://amp.vexpenses.com/settings/membros-de-equipe/896380" xr:uid="{A115E2C5-8B2A-4562-9ED0-315A8AD0F3C3}"/>
    <hyperlink ref="B534" r:id="rId532" display="https://amp.vexpenses.com/settings/membros-de-equipe/896381" xr:uid="{46366C86-825F-4989-8975-CA0E5274EC93}"/>
    <hyperlink ref="B535" r:id="rId533" display="https://amp.vexpenses.com/settings/membros-de-equipe/896383" xr:uid="{18DC531C-8055-4520-BA43-B93D80FAE3F0}"/>
    <hyperlink ref="B536" r:id="rId534" display="https://amp.vexpenses.com/settings/membros-de-equipe/896384" xr:uid="{CC7E4F3B-4DC0-437B-A3A0-D5ED05067BF3}"/>
    <hyperlink ref="B537" r:id="rId535" display="https://amp.vexpenses.com/settings/membros-de-equipe/896385" xr:uid="{3AE955F9-D915-4CC3-9D31-1A39401849D0}"/>
    <hyperlink ref="B538" r:id="rId536" display="https://amp.vexpenses.com/settings/membros-de-equipe/896387" xr:uid="{67A46A85-4CCF-4885-836A-DA35F3DFDC3D}"/>
    <hyperlink ref="B539" r:id="rId537" display="https://amp.vexpenses.com/settings/membros-de-equipe/896388" xr:uid="{4A1A944B-C382-48BE-A689-76F9AF27B67F}"/>
    <hyperlink ref="B540" r:id="rId538" display="https://amp.vexpenses.com/settings/membros-de-equipe/896389" xr:uid="{366214D3-E881-4552-8614-F1BD05E78C50}"/>
    <hyperlink ref="B541" r:id="rId539" display="https://amp.vexpenses.com/settings/membros-de-equipe/896390" xr:uid="{1CA9E425-19C7-4A8E-A31F-975CEBC6D1D0}"/>
    <hyperlink ref="B542" r:id="rId540" display="https://amp.vexpenses.com/settings/membros-de-equipe/896391" xr:uid="{F86A696B-1894-42EB-8DFE-D86EAA037091}"/>
    <hyperlink ref="B543" r:id="rId541" display="https://amp.vexpenses.com/settings/membros-de-equipe/896392" xr:uid="{12B598C3-D483-4270-B553-C48C84C41A10}"/>
    <hyperlink ref="B544" r:id="rId542" display="https://amp.vexpenses.com/settings/membros-de-equipe/896393" xr:uid="{883F5230-D82F-412D-AD53-B2D8DAF8AE74}"/>
    <hyperlink ref="B545" r:id="rId543" display="https://amp.vexpenses.com/settings/membros-de-equipe/896394" xr:uid="{164E69E3-05AC-4A84-9871-93B0C25B537D}"/>
    <hyperlink ref="B546" r:id="rId544" display="https://amp.vexpenses.com/settings/membros-de-equipe/916366" xr:uid="{31CD476C-06F6-4852-846D-86A0BC4AD360}"/>
    <hyperlink ref="B547" r:id="rId545" display="https://amp.vexpenses.com/settings/membros-de-equipe/921921" xr:uid="{72E91181-8BDB-4DFA-84C5-10D91C60B53D}"/>
    <hyperlink ref="B548" r:id="rId546" display="https://amp.vexpenses.com/settings/membros-de-equipe/896395" xr:uid="{E3F0E291-323A-4AB6-88A0-7BFCE2ED7811}"/>
  </hyperlinks>
  <pageMargins left="0.511811024" right="0.511811024" top="0.78740157499999996" bottom="0.78740157499999996" header="0.31496062000000002" footer="0.31496062000000002"/>
  <drawing r:id="rId547"/>
  <legacyDrawing r:id="rId548"/>
  <controls>
    <mc:AlternateContent xmlns:mc="http://schemas.openxmlformats.org/markup-compatibility/2006">
      <mc:Choice Requires="x14">
        <control shapeId="6145" r:id="rId549" name="Control 1">
          <controlPr defaultSize="0" r:id="rId550">
            <anchor moveWithCells="1">
              <from>
                <xdr:col>1</xdr:col>
                <xdr:colOff>0</xdr:colOff>
                <xdr:row>32</xdr:row>
                <xdr:rowOff>0</xdr:rowOff>
              </from>
              <to>
                <xdr:col>1</xdr:col>
                <xdr:colOff>914400</xdr:colOff>
                <xdr:row>33</xdr:row>
                <xdr:rowOff>28575</xdr:rowOff>
              </to>
            </anchor>
          </controlPr>
        </control>
      </mc:Choice>
      <mc:Fallback>
        <control shapeId="6145" r:id="rId549" name="Control 1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medoColaborador xmlns="b1d6eb27-c974-4ca9-9eb5-035131d2e23b" xsi:nil="true"/>
    <Cart_x00e3_o xmlns="b1d6eb27-c974-4ca9-9eb5-035131d2e23b" xsi:nil="true"/>
    <CPF xmlns="b1d6eb27-c974-4ca9-9eb5-035131d2e23b" xsi:nil="true"/>
    <lcf76f155ced4ddcb4097134ff3c332f xmlns="b1d6eb27-c974-4ca9-9eb5-035131d2e23b">
      <Terms xmlns="http://schemas.microsoft.com/office/infopath/2007/PartnerControls"/>
    </lcf76f155ced4ddcb4097134ff3c332f>
    <_Flow_SignoffStatus xmlns="b1d6eb27-c974-4ca9-9eb5-035131d2e23b" xsi:nil="true"/>
    <TaxCatchAll xmlns="32ecf995-73db-46f9-a681-4562d1c02515" xsi:nil="true"/>
    <IDdochamado xmlns="b1d6eb27-c974-4ca9-9eb5-035131d2e23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1C013056DBEB44B841F0D8CC3FAF52D" ma:contentTypeVersion="23" ma:contentTypeDescription="Crie um novo documento." ma:contentTypeScope="" ma:versionID="78a095c9dad9364c32232caad5e98509">
  <xsd:schema xmlns:xsd="http://www.w3.org/2001/XMLSchema" xmlns:xs="http://www.w3.org/2001/XMLSchema" xmlns:p="http://schemas.microsoft.com/office/2006/metadata/properties" xmlns:ns2="403907c6-2b54-4b58-a47d-941b221e6233" xmlns:ns3="b1d6eb27-c974-4ca9-9eb5-035131d2e23b" xmlns:ns4="32ecf995-73db-46f9-a681-4562d1c02515" targetNamespace="http://schemas.microsoft.com/office/2006/metadata/properties" ma:root="true" ma:fieldsID="358baa02182544e6cde4c0140ce3dda7" ns2:_="" ns3:_="" ns4:_="">
    <xsd:import namespace="403907c6-2b54-4b58-a47d-941b221e6233"/>
    <xsd:import namespace="b1d6eb27-c974-4ca9-9eb5-035131d2e23b"/>
    <xsd:import namespace="32ecf995-73db-46f9-a681-4562d1c0251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4:TaxCatchAll" minOccurs="0"/>
                <xsd:element ref="ns3:_Flow_SignoffStatus" minOccurs="0"/>
                <xsd:element ref="ns3:Cart_x00e3_o" minOccurs="0"/>
                <xsd:element ref="ns3:NomedoColaborador" minOccurs="0"/>
                <xsd:element ref="ns3:CPF" minOccurs="0"/>
                <xsd:element ref="ns3:IDdochamado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3907c6-2b54-4b58-a47d-941b221e623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Hash de Dica de Compartilhamento" ma:internalName="SharingHintHash" ma:readOnly="true">
      <xsd:simpleType>
        <xsd:restriction base="dms:Text"/>
      </xsd:simpleType>
    </xsd:element>
    <xsd:element name="SharedWithDetails" ma:index="1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d6eb27-c974-4ca9-9eb5-035131d2e2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6c13fd9-4e76-4e02-ae30-ace2a04b9b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tatus de liberação" ma:internalName="Status_x0020_de_x0020_libera_x00e7__x00e3_o">
      <xsd:simpleType>
        <xsd:restriction base="dms:Text"/>
      </xsd:simpleType>
    </xsd:element>
    <xsd:element name="Cart_x00e3_o" ma:index="24" nillable="true" ma:displayName="Cartão" ma:format="Dropdown" ma:internalName="Cart_x00e3_o">
      <xsd:simpleType>
        <xsd:restriction base="dms:Text">
          <xsd:maxLength value="255"/>
        </xsd:restriction>
      </xsd:simpleType>
    </xsd:element>
    <xsd:element name="NomedoColaborador" ma:index="25" nillable="true" ma:displayName="Nome do Colaborador" ma:format="Dropdown" ma:internalName="NomedoColaborador">
      <xsd:simpleType>
        <xsd:restriction base="dms:Text">
          <xsd:maxLength value="255"/>
        </xsd:restriction>
      </xsd:simpleType>
    </xsd:element>
    <xsd:element name="CPF" ma:index="26" nillable="true" ma:displayName="CPF" ma:format="Dropdown" ma:internalName="CPF">
      <xsd:simpleType>
        <xsd:restriction base="dms:Text">
          <xsd:maxLength value="255"/>
        </xsd:restriction>
      </xsd:simpleType>
    </xsd:element>
    <xsd:element name="IDdochamado" ma:index="27" nillable="true" ma:displayName="ID do chamado" ma:format="Dropdown" ma:internalName="IDdochamado">
      <xsd:simpleType>
        <xsd:restriction base="dms:Text">
          <xsd:maxLength value="255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ecf995-73db-46f9-a681-4562d1c02515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ed28a3c-4af3-4f9e-a8a1-221510fda1dd}" ma:internalName="TaxCatchAll" ma:showField="CatchAllData" ma:web="32ecf995-73db-46f9-a681-4562d1c025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DDCDE9-3C5C-4E2A-BD36-8F3A374F1536}">
  <ds:schemaRefs>
    <ds:schemaRef ds:uri="http://schemas.microsoft.com/office/2006/metadata/properties"/>
    <ds:schemaRef ds:uri="http://schemas.microsoft.com/office/infopath/2007/PartnerControls"/>
    <ds:schemaRef ds:uri="b1d6eb27-c974-4ca9-9eb5-035131d2e23b"/>
    <ds:schemaRef ds:uri="32ecf995-73db-46f9-a681-4562d1c02515"/>
  </ds:schemaRefs>
</ds:datastoreItem>
</file>

<file path=customXml/itemProps2.xml><?xml version="1.0" encoding="utf-8"?>
<ds:datastoreItem xmlns:ds="http://schemas.openxmlformats.org/officeDocument/2006/customXml" ds:itemID="{415E4FA0-603A-4597-9F2E-547814802C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3907c6-2b54-4b58-a47d-941b221e6233"/>
    <ds:schemaRef ds:uri="b1d6eb27-c974-4ca9-9eb5-035131d2e23b"/>
    <ds:schemaRef ds:uri="32ecf995-73db-46f9-a681-4562d1c025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4F7026-41B6-4CB3-ABAB-88A42406A54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 QZ VEXPENSES 02_2026</vt:lpstr>
      <vt:lpstr>Planilha2</vt:lpstr>
      <vt:lpstr>RATEIO</vt:lpstr>
      <vt:lpstr>Planilha4</vt:lpstr>
      <vt:lpstr>Planilha1</vt:lpstr>
      <vt:lpstr>VALIDAÇÃO AGILLITAS</vt:lpstr>
      <vt:lpstr>Planilha3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Priscila Moraes</dc:creator>
  <cp:keywords/>
  <dc:description/>
  <cp:lastModifiedBy>Andrey Cardoso Reginaldo</cp:lastModifiedBy>
  <cp:revision/>
  <dcterms:created xsi:type="dcterms:W3CDTF">2025-03-31T19:21:44Z</dcterms:created>
  <dcterms:modified xsi:type="dcterms:W3CDTF">2026-02-26T13:33:09Z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0x010100B1C013056DBEB44B841F0D8CC3FAF52D</vt:lpwstr>
  </property>
  <property fmtid="{D5CDD505-2E9C-101B-9397-08002B2CF9AE}" pid="3" name="MediaServiceImageTags">
    <vt:lpwstr/>
  </property>
</Properties>
</file>