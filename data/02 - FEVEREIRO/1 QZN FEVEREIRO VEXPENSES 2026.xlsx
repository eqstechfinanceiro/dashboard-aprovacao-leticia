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6" documentId="13_ncr:1_{C5B83D30-39A2-40EA-B6A0-95209FFE264B}" xr6:coauthVersionLast="47" xr6:coauthVersionMax="47" xr10:uidLastSave="{281CC442-0B20-42FD-8C9F-DDD0884F3C29}"/>
  <bookViews>
    <workbookView xWindow="-120" yWindow="-120" windowWidth="20730" windowHeight="11160" xr2:uid="{B415707E-9EE4-43CD-BA1B-813FD7849FD9}"/>
  </bookViews>
  <sheets>
    <sheet name="1 QZN FEV 2026" sheetId="1" r:id="rId1"/>
    <sheet name="RATEIO" sheetId="2" r:id="rId2"/>
  </sheets>
  <definedNames>
    <definedName name="SegmentaçãodeDados_GESTOR">#N/A</definedName>
  </definedNames>
  <calcPr calcId="191028"/>
  <pivotCaches>
    <pivotCache cacheId="926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192" i="1"/>
  <c r="N306" i="1"/>
  <c r="N14" i="1"/>
  <c r="N121" i="1"/>
  <c r="N360" i="1"/>
  <c r="N336" i="1"/>
  <c r="N361" i="1"/>
  <c r="N29" i="1"/>
  <c r="N362" i="1"/>
  <c r="N36" i="1"/>
  <c r="N364" i="1"/>
  <c r="N320" i="1"/>
  <c r="N38" i="1"/>
  <c r="N41" i="1"/>
  <c r="N365" i="1"/>
  <c r="N148" i="1"/>
  <c r="N366" i="1"/>
  <c r="N53" i="1"/>
  <c r="N172" i="1"/>
  <c r="N57" i="1"/>
  <c r="N368" i="1"/>
  <c r="N26" i="1"/>
  <c r="N24" i="1"/>
  <c r="N258" i="1"/>
  <c r="N329" i="1"/>
  <c r="N369" i="1"/>
  <c r="N308" i="1"/>
  <c r="N370" i="1"/>
  <c r="N239" i="1"/>
  <c r="N371" i="1"/>
  <c r="N127" i="1"/>
  <c r="N203" i="1"/>
  <c r="N356" i="1"/>
  <c r="N309" i="1"/>
  <c r="N372" i="1"/>
  <c r="N59" i="1"/>
  <c r="N158" i="1"/>
  <c r="N373" i="1"/>
  <c r="N18" i="1"/>
  <c r="N330" i="1"/>
  <c r="N165" i="1"/>
  <c r="N65" i="1"/>
  <c r="N375" i="1"/>
  <c r="N50" i="1"/>
  <c r="N376" i="1"/>
  <c r="N377" i="1"/>
  <c r="N378" i="1"/>
  <c r="N19" i="1"/>
  <c r="N95" i="1"/>
  <c r="N180" i="1"/>
  <c r="N379" i="1"/>
  <c r="N100" i="1"/>
  <c r="N380" i="1"/>
  <c r="N381" i="1"/>
  <c r="N324" i="1"/>
  <c r="N262" i="1"/>
  <c r="N43" i="1"/>
  <c r="N61" i="1"/>
  <c r="N104" i="1"/>
  <c r="N42" i="1"/>
  <c r="N177" i="1"/>
  <c r="N159" i="1"/>
  <c r="N217" i="1"/>
  <c r="N69" i="1"/>
  <c r="N62" i="1"/>
  <c r="N275" i="1"/>
  <c r="N341" i="1"/>
  <c r="N170" i="1"/>
  <c r="N181" i="1"/>
  <c r="N132" i="1"/>
  <c r="N9" i="1"/>
  <c r="N259" i="1"/>
  <c r="N66" i="1"/>
  <c r="N37" i="1"/>
  <c r="N331" i="1"/>
  <c r="N216" i="1"/>
  <c r="N54" i="1"/>
  <c r="N384" i="1"/>
  <c r="N385" i="1"/>
  <c r="N340" i="1"/>
  <c r="N386" i="1"/>
  <c r="N234" i="1"/>
  <c r="N27" i="1"/>
  <c r="N273" i="1"/>
  <c r="N295" i="1"/>
  <c r="N387" i="1"/>
  <c r="N179" i="1"/>
  <c r="N243" i="1"/>
  <c r="N388" i="1"/>
  <c r="N12" i="1"/>
  <c r="N68" i="1"/>
  <c r="N79" i="1"/>
  <c r="N81" i="1"/>
  <c r="N213" i="1"/>
  <c r="N82" i="1"/>
  <c r="N84" i="1"/>
  <c r="N211" i="1"/>
  <c r="N86" i="1"/>
  <c r="N326" i="1"/>
  <c r="N389" i="1"/>
  <c r="N87" i="1"/>
  <c r="N209" i="1"/>
  <c r="N219" i="1"/>
  <c r="N111" i="1"/>
  <c r="N136" i="1"/>
  <c r="N11" i="1"/>
  <c r="N310" i="1"/>
  <c r="N139" i="1"/>
  <c r="N390" i="1"/>
  <c r="N391" i="1"/>
  <c r="N48" i="1"/>
  <c r="N332" i="1"/>
  <c r="N206" i="1"/>
  <c r="N392" i="1"/>
  <c r="N393" i="1"/>
  <c r="N88" i="1"/>
  <c r="P88" i="1" s="1"/>
  <c r="N115" i="1"/>
  <c r="N140" i="1"/>
  <c r="N176" i="1"/>
  <c r="N394" i="1"/>
  <c r="N187" i="1"/>
  <c r="N322" i="1"/>
  <c r="N118" i="1"/>
  <c r="N150" i="1"/>
  <c r="N311" i="1"/>
  <c r="N218" i="1"/>
  <c r="N40" i="1"/>
  <c r="N395" i="1"/>
  <c r="N149" i="1"/>
  <c r="N89" i="1"/>
  <c r="N397" i="1"/>
  <c r="N156" i="1"/>
  <c r="N312" i="1"/>
  <c r="N342" i="1"/>
  <c r="N205" i="1"/>
  <c r="N90" i="1"/>
  <c r="N160" i="1"/>
  <c r="N91" i="1"/>
  <c r="N281" i="1"/>
  <c r="N348" i="1"/>
  <c r="N174" i="1"/>
  <c r="N163" i="1"/>
  <c r="N251" i="1"/>
  <c r="N92" i="1"/>
  <c r="N255" i="1"/>
  <c r="N400" i="1"/>
  <c r="N77" i="1"/>
  <c r="N401" i="1"/>
  <c r="N402" i="1"/>
  <c r="N85" i="1"/>
  <c r="N253" i="1"/>
  <c r="N403" i="1"/>
  <c r="N404" i="1"/>
  <c r="N22" i="1"/>
  <c r="N405" i="1"/>
  <c r="N10" i="1"/>
  <c r="N189" i="1"/>
  <c r="P189" i="1" s="1"/>
  <c r="N93" i="1"/>
  <c r="N20" i="1"/>
  <c r="N94" i="1"/>
  <c r="N406" i="1"/>
  <c r="N407" i="1"/>
  <c r="N408" i="1"/>
  <c r="N101" i="1"/>
  <c r="N97" i="1"/>
  <c r="N409" i="1"/>
  <c r="N337" i="1"/>
  <c r="N215" i="1"/>
  <c r="N410" i="1"/>
  <c r="N411" i="1"/>
  <c r="N276" i="1"/>
  <c r="N31" i="1"/>
  <c r="N131" i="1"/>
  <c r="N412" i="1"/>
  <c r="N96" i="1"/>
  <c r="N282" i="1"/>
  <c r="N152" i="1"/>
  <c r="N105" i="1"/>
  <c r="N197" i="1"/>
  <c r="N106" i="1"/>
  <c r="N414" i="1"/>
  <c r="N143" i="1"/>
  <c r="N415" i="1"/>
  <c r="N274" i="1"/>
  <c r="N74" i="1"/>
  <c r="N416" i="1"/>
  <c r="N30" i="1"/>
  <c r="N343" i="1"/>
  <c r="N229" i="1"/>
  <c r="N418" i="1"/>
  <c r="N419" i="1"/>
  <c r="N182" i="1"/>
  <c r="N222" i="1"/>
  <c r="N107" i="1"/>
  <c r="N421" i="1"/>
  <c r="N422" i="1"/>
  <c r="N423" i="1"/>
  <c r="N424" i="1"/>
  <c r="N210" i="1"/>
  <c r="N425" i="1"/>
  <c r="N426" i="1"/>
  <c r="N235" i="1"/>
  <c r="N344" i="1"/>
  <c r="N108" i="1"/>
  <c r="N44" i="1"/>
  <c r="N257" i="1"/>
  <c r="N327" i="1"/>
  <c r="N264" i="1"/>
  <c r="N428" i="1"/>
  <c r="N429" i="1"/>
  <c r="N430" i="1"/>
  <c r="N313" i="1"/>
  <c r="N314" i="1"/>
  <c r="N431" i="1"/>
  <c r="N432" i="1"/>
  <c r="N129" i="1"/>
  <c r="N433" i="1"/>
  <c r="N47" i="1"/>
  <c r="N434" i="1"/>
  <c r="N72" i="1"/>
  <c r="N435" i="1"/>
  <c r="N109" i="1"/>
  <c r="N349" i="1"/>
  <c r="N147" i="1"/>
  <c r="N171" i="1"/>
  <c r="N436" i="1"/>
  <c r="N437" i="1"/>
  <c r="N438" i="1"/>
  <c r="N236" i="1"/>
  <c r="N315" i="1"/>
  <c r="N233" i="1"/>
  <c r="N294" i="1"/>
  <c r="N338" i="1"/>
  <c r="N223" i="1"/>
  <c r="N439" i="1"/>
  <c r="N440" i="1"/>
  <c r="N244" i="1"/>
  <c r="N316" i="1"/>
  <c r="N110" i="1"/>
  <c r="N247" i="1"/>
  <c r="N441" i="1"/>
  <c r="N442" i="1"/>
  <c r="N252" i="1"/>
  <c r="N117" i="1"/>
  <c r="N119" i="1"/>
  <c r="N443" i="1"/>
  <c r="N16" i="1"/>
  <c r="N58" i="1"/>
  <c r="N280" i="1"/>
  <c r="N241" i="1"/>
  <c r="N285" i="1"/>
  <c r="N64" i="1"/>
  <c r="N245" i="1"/>
  <c r="N120" i="1"/>
  <c r="N123" i="1"/>
  <c r="N49" i="1"/>
  <c r="N21" i="1"/>
  <c r="N124" i="1"/>
  <c r="N242" i="1"/>
  <c r="N133" i="1"/>
  <c r="N444" i="1"/>
  <c r="N350" i="1"/>
  <c r="N445" i="1"/>
  <c r="N52" i="1"/>
  <c r="N137" i="1"/>
  <c r="N33" i="1"/>
  <c r="N351" i="1"/>
  <c r="N446" i="1"/>
  <c r="N447" i="1"/>
  <c r="N116" i="1"/>
  <c r="N164" i="1"/>
  <c r="N56" i="1"/>
  <c r="N260" i="1"/>
  <c r="N231" i="1"/>
  <c r="N352" i="1"/>
  <c r="N283" i="1"/>
  <c r="N144" i="1"/>
  <c r="N248" i="1"/>
  <c r="N357" i="1"/>
  <c r="N204" i="1"/>
  <c r="N448" i="1"/>
  <c r="N291" i="1"/>
  <c r="N317" i="1"/>
  <c r="N250" i="1"/>
  <c r="N263" i="1"/>
  <c r="N55" i="1"/>
  <c r="N246" i="1"/>
  <c r="N353" i="1"/>
  <c r="N449" i="1"/>
  <c r="N146" i="1"/>
  <c r="N254" i="1"/>
  <c r="N168" i="1"/>
  <c r="N151" i="1"/>
  <c r="N451" i="1"/>
  <c r="N237" i="1"/>
  <c r="N265" i="1"/>
  <c r="N188" i="1"/>
  <c r="N453" i="1"/>
  <c r="N354" i="1"/>
  <c r="N298" i="1"/>
  <c r="N454" i="1"/>
  <c r="N102" i="1"/>
  <c r="N287" i="1"/>
  <c r="N455" i="1"/>
  <c r="N266" i="1"/>
  <c r="N70" i="1"/>
  <c r="N318" i="1"/>
  <c r="N321" i="1"/>
  <c r="N456" i="1"/>
  <c r="N230" i="1"/>
  <c r="N45" i="1"/>
  <c r="N290" i="1"/>
  <c r="N457" i="1"/>
  <c r="N458" i="1"/>
  <c r="N134" i="1"/>
  <c r="N459" i="1"/>
  <c r="N460" i="1"/>
  <c r="N367" i="1"/>
  <c r="N461" i="1"/>
  <c r="N155" i="1"/>
  <c r="N462" i="1"/>
  <c r="N166" i="1"/>
  <c r="N463" i="1"/>
  <c r="N135" i="1"/>
  <c r="N114" i="1"/>
  <c r="N207" i="1"/>
  <c r="N261" i="1"/>
  <c r="N284" i="1"/>
  <c r="N272" i="1"/>
  <c r="N464" i="1"/>
  <c r="N221" i="1"/>
  <c r="N358" i="1"/>
  <c r="N76" i="1"/>
  <c r="N173" i="1"/>
  <c r="N325" i="1"/>
  <c r="N466" i="1"/>
  <c r="N202" i="1"/>
  <c r="N467" i="1"/>
  <c r="N178" i="1"/>
  <c r="N191" i="1"/>
  <c r="N292" i="1"/>
  <c r="N469" i="1"/>
  <c r="N196" i="1"/>
  <c r="N153" i="1"/>
  <c r="N175" i="1"/>
  <c r="N470" i="1"/>
  <c r="N60" i="1"/>
  <c r="N169" i="1"/>
  <c r="N39" i="1"/>
  <c r="N471" i="1"/>
  <c r="N328" i="1"/>
  <c r="N162" i="1"/>
  <c r="N473" i="1"/>
  <c r="N474" i="1"/>
  <c r="N126" i="1"/>
  <c r="N475" i="1"/>
  <c r="N193" i="1"/>
  <c r="N198" i="1"/>
  <c r="N383" i="1"/>
  <c r="N167" i="1"/>
  <c r="N32" i="1"/>
  <c r="N34" i="1"/>
  <c r="N122" i="1"/>
  <c r="N199" i="1"/>
  <c r="N238" i="1"/>
  <c r="N363" i="1"/>
  <c r="N420" i="1"/>
  <c r="N293" i="1"/>
  <c r="N157" i="1"/>
  <c r="N220" i="1"/>
  <c r="N333" i="1"/>
  <c r="N477" i="1"/>
  <c r="N334" i="1"/>
  <c r="N478" i="1"/>
  <c r="N479" i="1"/>
  <c r="N355" i="1"/>
  <c r="N480" i="1"/>
  <c r="N481" i="1"/>
  <c r="N113" i="1"/>
  <c r="N201" i="1"/>
  <c r="N228" i="1"/>
  <c r="N482" i="1"/>
  <c r="N78" i="1"/>
  <c r="N483" i="1"/>
  <c r="N161" i="1"/>
  <c r="N226" i="1"/>
  <c r="N278" i="1"/>
  <c r="N484" i="1"/>
  <c r="N452" i="1"/>
  <c r="N345" i="1"/>
  <c r="N485" i="1"/>
  <c r="N486" i="1"/>
  <c r="N487" i="1"/>
  <c r="N359" i="1"/>
  <c r="N227" i="1"/>
  <c r="N232" i="1"/>
  <c r="N17" i="1"/>
  <c r="N240" i="1"/>
  <c r="N488" i="1"/>
  <c r="N256" i="1"/>
  <c r="N268" i="1"/>
  <c r="N269" i="1"/>
  <c r="N374" i="1"/>
  <c r="N190" i="1"/>
  <c r="N339" i="1"/>
  <c r="N382" i="1"/>
  <c r="N28" i="1"/>
  <c r="N489" i="1"/>
  <c r="N490" i="1"/>
  <c r="N396" i="1"/>
  <c r="N212" i="1"/>
  <c r="N398" i="1"/>
  <c r="N492" i="1"/>
  <c r="N7" i="1"/>
  <c r="N270" i="1"/>
  <c r="N399" i="1"/>
  <c r="N417" i="1"/>
  <c r="N277" i="1"/>
  <c r="N299" i="1"/>
  <c r="N495" i="1"/>
  <c r="N186" i="1"/>
  <c r="N496" i="1"/>
  <c r="N67" i="1"/>
  <c r="N286" i="1"/>
  <c r="N497" i="1"/>
  <c r="N498" i="1"/>
  <c r="N103" i="1"/>
  <c r="N346" i="1"/>
  <c r="N51" i="1"/>
  <c r="N499" i="1"/>
  <c r="N23" i="1"/>
  <c r="N500" i="1"/>
  <c r="N112" i="1"/>
  <c r="N427" i="1"/>
  <c r="N501" i="1"/>
  <c r="N185" i="1"/>
  <c r="N347" i="1"/>
  <c r="N502" i="1"/>
  <c r="N184" i="1"/>
  <c r="N288" i="1"/>
  <c r="N305" i="1"/>
  <c r="N450" i="1"/>
  <c r="N296" i="1"/>
  <c r="N183" i="1"/>
  <c r="N504" i="1"/>
  <c r="N465" i="1"/>
  <c r="N472" i="1"/>
  <c r="N279" i="1"/>
  <c r="N25" i="1"/>
  <c r="N271" i="1"/>
  <c r="N301" i="1"/>
  <c r="N505" i="1"/>
  <c r="N249" i="1"/>
  <c r="N208" i="1"/>
  <c r="N13" i="1"/>
  <c r="N506" i="1"/>
  <c r="N73" i="1"/>
  <c r="N491" i="1"/>
  <c r="N267" i="1"/>
  <c r="N83" i="1"/>
  <c r="N35" i="1"/>
  <c r="N507" i="1"/>
  <c r="N214" i="1"/>
  <c r="N297" i="1"/>
  <c r="N300" i="1"/>
  <c r="N195" i="1"/>
  <c r="N508" i="1"/>
  <c r="N128" i="1"/>
  <c r="N130" i="1"/>
  <c r="N63" i="1"/>
  <c r="N302" i="1"/>
  <c r="N141" i="1"/>
  <c r="N493" i="1"/>
  <c r="N224" i="1"/>
  <c r="N510" i="1"/>
  <c r="N476" i="1"/>
  <c r="N75" i="1"/>
  <c r="N511" i="1"/>
  <c r="N512" i="1"/>
  <c r="N513" i="1"/>
  <c r="N494" i="1"/>
  <c r="N514" i="1"/>
  <c r="N303" i="1"/>
  <c r="N98" i="1"/>
  <c r="N145" i="1"/>
  <c r="N515" i="1"/>
  <c r="N516" i="1"/>
  <c r="N517" i="1"/>
  <c r="N80" i="1"/>
  <c r="N307" i="1"/>
  <c r="N200" i="1"/>
  <c r="N154" i="1"/>
  <c r="N289" i="1"/>
  <c r="N503" i="1"/>
  <c r="N71" i="1"/>
  <c r="N304" i="1"/>
  <c r="N519" i="1"/>
  <c r="N520" i="1"/>
  <c r="N319" i="1"/>
  <c r="N125" i="1"/>
  <c r="N509" i="1"/>
  <c r="N323" i="1"/>
  <c r="N335" i="1"/>
  <c r="N15" i="1"/>
  <c r="N142" i="1"/>
  <c r="N521" i="1"/>
  <c r="N46" i="1"/>
  <c r="N413" i="1"/>
  <c r="N522" i="1"/>
  <c r="N468" i="1"/>
  <c r="P468" i="1" s="1"/>
  <c r="N523" i="1"/>
  <c r="N524" i="1"/>
  <c r="N99" i="1"/>
  <c r="N525" i="1"/>
  <c r="N518" i="1"/>
  <c r="N225" i="1"/>
  <c r="N138" i="1"/>
  <c r="N526" i="1"/>
  <c r="N527" i="1"/>
  <c r="N528" i="1"/>
  <c r="N194" i="1"/>
  <c r="P419" i="1" l="1"/>
  <c r="P97" i="1"/>
  <c r="P206" i="1"/>
  <c r="P37" i="1"/>
  <c r="P170" i="1"/>
  <c r="P194" i="1" l="1"/>
  <c r="P518" i="1"/>
  <c r="P225" i="1"/>
  <c r="P138" i="1"/>
  <c r="P526" i="1"/>
  <c r="P527" i="1"/>
  <c r="P528" i="1"/>
  <c r="P525" i="1"/>
  <c r="P413" i="1"/>
  <c r="P522" i="1"/>
  <c r="P523" i="1"/>
  <c r="P524" i="1"/>
  <c r="P99" i="1"/>
  <c r="P521" i="1"/>
  <c r="P46" i="1"/>
  <c r="P142" i="1" l="1"/>
  <c r="P15" i="1"/>
  <c r="P335" i="1"/>
  <c r="P323" i="1"/>
  <c r="P509" i="1"/>
  <c r="P125" i="1"/>
  <c r="P319" i="1"/>
  <c r="P520" i="1"/>
  <c r="P519" i="1"/>
  <c r="P304" i="1"/>
  <c r="P71" i="1"/>
  <c r="P503" i="1"/>
  <c r="P289" i="1"/>
  <c r="P154" i="1"/>
  <c r="P200" i="1"/>
  <c r="P307" i="1"/>
  <c r="P80" i="1"/>
  <c r="P517" i="1"/>
  <c r="P516" i="1"/>
  <c r="P515" i="1"/>
  <c r="P145" i="1"/>
  <c r="P98" i="1"/>
  <c r="P303" i="1"/>
  <c r="P514" i="1"/>
  <c r="P494" i="1"/>
  <c r="P513" i="1"/>
  <c r="P512" i="1"/>
  <c r="P511" i="1"/>
  <c r="P75" i="1"/>
  <c r="P476" i="1"/>
  <c r="P510" i="1"/>
  <c r="P224" i="1"/>
  <c r="P493" i="1"/>
  <c r="P141" i="1"/>
  <c r="P302" i="1"/>
  <c r="P63" i="1"/>
  <c r="P130" i="1"/>
  <c r="P128" i="1"/>
  <c r="P508" i="1"/>
  <c r="P195" i="1"/>
  <c r="P300" i="1"/>
  <c r="P297" i="1"/>
  <c r="P214" i="1"/>
  <c r="P507" i="1"/>
  <c r="P35" i="1"/>
  <c r="P83" i="1"/>
  <c r="P267" i="1"/>
  <c r="P491" i="1"/>
  <c r="P73" i="1"/>
  <c r="P506" i="1"/>
  <c r="P13" i="1"/>
  <c r="P208" i="1"/>
  <c r="P249" i="1"/>
  <c r="P505" i="1"/>
  <c r="P301" i="1"/>
  <c r="P271" i="1"/>
  <c r="P25" i="1"/>
  <c r="P279" i="1"/>
  <c r="P472" i="1"/>
  <c r="P465" i="1"/>
  <c r="P504" i="1"/>
  <c r="P183" i="1"/>
  <c r="P296" i="1"/>
  <c r="P450" i="1"/>
  <c r="P305" i="1"/>
  <c r="P288" i="1"/>
  <c r="P184" i="1"/>
  <c r="P502" i="1"/>
  <c r="P347" i="1"/>
  <c r="P185" i="1"/>
  <c r="P501" i="1"/>
  <c r="P427" i="1"/>
  <c r="P112" i="1"/>
  <c r="P500" i="1"/>
  <c r="P23" i="1"/>
  <c r="P499" i="1"/>
  <c r="P51" i="1"/>
  <c r="P346" i="1"/>
  <c r="P103" i="1"/>
  <c r="P498" i="1"/>
  <c r="P497" i="1"/>
  <c r="P286" i="1"/>
  <c r="P67" i="1"/>
  <c r="P496" i="1"/>
  <c r="P186" i="1"/>
  <c r="P495" i="1"/>
  <c r="P299" i="1"/>
  <c r="P277" i="1"/>
  <c r="P417" i="1"/>
  <c r="P399" i="1"/>
  <c r="P270" i="1"/>
  <c r="P7" i="1"/>
  <c r="P492" i="1"/>
  <c r="P398" i="1"/>
  <c r="P212" i="1"/>
  <c r="P396" i="1"/>
  <c r="P490" i="1"/>
  <c r="P489" i="1"/>
  <c r="P28" i="1"/>
  <c r="P382" i="1"/>
  <c r="P339" i="1"/>
  <c r="P190" i="1"/>
  <c r="P374" i="1"/>
  <c r="P269" i="1"/>
  <c r="P268" i="1"/>
  <c r="P256" i="1"/>
  <c r="P488" i="1"/>
  <c r="P240" i="1"/>
  <c r="P17" i="1"/>
  <c r="P232" i="1"/>
  <c r="P227" i="1"/>
  <c r="P359" i="1"/>
  <c r="P487" i="1"/>
  <c r="P486" i="1"/>
  <c r="P485" i="1"/>
  <c r="P345" i="1"/>
  <c r="P452" i="1"/>
  <c r="P484" i="1"/>
  <c r="P278" i="1"/>
  <c r="P226" i="1"/>
  <c r="P161" i="1"/>
  <c r="P483" i="1"/>
  <c r="P78" i="1"/>
  <c r="P482" i="1"/>
  <c r="P228" i="1"/>
  <c r="P201" i="1"/>
  <c r="P113" i="1"/>
  <c r="P481" i="1"/>
  <c r="P480" i="1"/>
  <c r="P355" i="1"/>
  <c r="P479" i="1"/>
  <c r="P478" i="1"/>
  <c r="P334" i="1"/>
  <c r="P477" i="1"/>
  <c r="P333" i="1"/>
  <c r="P220" i="1"/>
  <c r="P157" i="1"/>
  <c r="P293" i="1"/>
  <c r="P420" i="1"/>
  <c r="P363" i="1"/>
  <c r="P238" i="1"/>
  <c r="P199" i="1"/>
  <c r="P122" i="1"/>
  <c r="P34" i="1"/>
  <c r="P32" i="1"/>
  <c r="P167" i="1"/>
  <c r="P383" i="1"/>
  <c r="P198" i="1"/>
  <c r="P193" i="1"/>
  <c r="P475" i="1"/>
  <c r="P126" i="1"/>
  <c r="P474" i="1"/>
  <c r="P473" i="1"/>
  <c r="P162" i="1"/>
  <c r="P328" i="1"/>
  <c r="P471" i="1"/>
  <c r="P39" i="1"/>
  <c r="P169" i="1"/>
  <c r="P60" i="1"/>
  <c r="P470" i="1"/>
  <c r="P175" i="1"/>
  <c r="P153" i="1"/>
  <c r="P196" i="1"/>
  <c r="P469" i="1"/>
  <c r="P292" i="1"/>
  <c r="P191" i="1"/>
  <c r="P178" i="1"/>
  <c r="P467" i="1"/>
  <c r="P202" i="1"/>
  <c r="P466" i="1"/>
  <c r="P325" i="1"/>
  <c r="P173" i="1"/>
  <c r="P76" i="1"/>
  <c r="P358" i="1"/>
  <c r="P221" i="1"/>
  <c r="P464" i="1"/>
  <c r="P272" i="1"/>
  <c r="P284" i="1"/>
  <c r="P261" i="1"/>
  <c r="P207" i="1"/>
  <c r="P114" i="1"/>
  <c r="P135" i="1"/>
  <c r="P463" i="1"/>
  <c r="P166" i="1"/>
  <c r="P462" i="1"/>
  <c r="P155" i="1"/>
  <c r="P461" i="1"/>
  <c r="P367" i="1"/>
  <c r="P460" i="1"/>
  <c r="P459" i="1"/>
  <c r="P134" i="1"/>
  <c r="P458" i="1"/>
  <c r="P457" i="1"/>
  <c r="P290" i="1"/>
  <c r="P45" i="1"/>
  <c r="P230" i="1"/>
  <c r="P456" i="1"/>
  <c r="P321" i="1"/>
  <c r="P318" i="1"/>
  <c r="P70" i="1"/>
  <c r="P266" i="1"/>
  <c r="P455" i="1"/>
  <c r="P287" i="1"/>
  <c r="P102" i="1"/>
  <c r="P454" i="1"/>
  <c r="P298" i="1"/>
  <c r="P354" i="1"/>
  <c r="P453" i="1"/>
  <c r="P188" i="1"/>
  <c r="P265" i="1"/>
  <c r="P237" i="1"/>
  <c r="P451" i="1"/>
  <c r="P151" i="1"/>
  <c r="P168" i="1"/>
  <c r="P254" i="1"/>
  <c r="P146" i="1"/>
  <c r="P449" i="1"/>
  <c r="P353" i="1"/>
  <c r="P246" i="1"/>
  <c r="P55" i="1"/>
  <c r="P263" i="1"/>
  <c r="P250" i="1"/>
  <c r="P317" i="1"/>
  <c r="P291" i="1"/>
  <c r="P448" i="1"/>
  <c r="P204" i="1"/>
  <c r="P357" i="1"/>
  <c r="P248" i="1"/>
  <c r="P144" i="1"/>
  <c r="P283" i="1"/>
  <c r="P352" i="1"/>
  <c r="P231" i="1"/>
  <c r="P260" i="1"/>
  <c r="P56" i="1"/>
  <c r="P164" i="1"/>
  <c r="P116" i="1"/>
  <c r="P447" i="1"/>
  <c r="P446" i="1"/>
  <c r="P351" i="1"/>
  <c r="P33" i="1"/>
  <c r="P137" i="1"/>
  <c r="P52" i="1"/>
  <c r="P445" i="1"/>
  <c r="P350" i="1"/>
  <c r="P444" i="1"/>
  <c r="P133" i="1"/>
  <c r="P242" i="1"/>
  <c r="P124" i="1"/>
  <c r="P21" i="1"/>
  <c r="P49" i="1"/>
  <c r="P123" i="1"/>
  <c r="P120" i="1"/>
  <c r="P245" i="1"/>
  <c r="P64" i="1"/>
  <c r="P285" i="1"/>
  <c r="P241" i="1"/>
  <c r="P280" i="1"/>
  <c r="P58" i="1"/>
  <c r="P16" i="1"/>
  <c r="P443" i="1"/>
  <c r="P119" i="1"/>
  <c r="P117" i="1"/>
  <c r="P252" i="1"/>
  <c r="P442" i="1"/>
  <c r="P441" i="1"/>
  <c r="P247" i="1"/>
  <c r="P110" i="1"/>
  <c r="P316" i="1"/>
  <c r="P244" i="1"/>
  <c r="P440" i="1"/>
  <c r="P439" i="1"/>
  <c r="P223" i="1"/>
  <c r="P338" i="1"/>
  <c r="P294" i="1"/>
  <c r="P233" i="1"/>
  <c r="P315" i="1"/>
  <c r="P236" i="1"/>
  <c r="P438" i="1"/>
  <c r="P437" i="1"/>
  <c r="P436" i="1"/>
  <c r="P171" i="1"/>
  <c r="P147" i="1"/>
  <c r="P349" i="1"/>
  <c r="P109" i="1"/>
  <c r="P435" i="1"/>
  <c r="P72" i="1"/>
  <c r="P434" i="1"/>
  <c r="P47" i="1"/>
  <c r="P433" i="1"/>
  <c r="P129" i="1"/>
  <c r="P432" i="1"/>
  <c r="P431" i="1"/>
  <c r="P314" i="1"/>
  <c r="P313" i="1"/>
  <c r="P430" i="1"/>
  <c r="P429" i="1"/>
  <c r="P428" i="1"/>
  <c r="P264" i="1"/>
  <c r="P327" i="1"/>
  <c r="P257" i="1"/>
  <c r="P44" i="1"/>
  <c r="P108" i="1"/>
  <c r="P344" i="1"/>
  <c r="P235" i="1"/>
  <c r="P426" i="1"/>
  <c r="P425" i="1"/>
  <c r="P210" i="1"/>
  <c r="P424" i="1"/>
  <c r="P423" i="1"/>
  <c r="P422" i="1"/>
  <c r="P421" i="1"/>
  <c r="P107" i="1"/>
  <c r="P222" i="1"/>
  <c r="P182" i="1"/>
  <c r="P418" i="1"/>
  <c r="P229" i="1"/>
  <c r="P343" i="1"/>
  <c r="P30" i="1"/>
  <c r="P416" i="1"/>
  <c r="P74" i="1"/>
  <c r="P274" i="1"/>
  <c r="P415" i="1"/>
  <c r="P143" i="1"/>
  <c r="P414" i="1"/>
  <c r="P106" i="1"/>
  <c r="P197" i="1"/>
  <c r="P105" i="1"/>
  <c r="P152" i="1"/>
  <c r="P282" i="1"/>
  <c r="P96" i="1"/>
  <c r="P412" i="1"/>
  <c r="P131" i="1"/>
  <c r="P31" i="1"/>
  <c r="P276" i="1"/>
  <c r="P411" i="1"/>
  <c r="P410" i="1"/>
  <c r="P215" i="1"/>
  <c r="P337" i="1"/>
  <c r="P409" i="1"/>
  <c r="P101" i="1"/>
  <c r="P408" i="1"/>
  <c r="P407" i="1"/>
  <c r="P406" i="1"/>
  <c r="P94" i="1"/>
  <c r="P20" i="1"/>
  <c r="P93" i="1"/>
  <c r="P10" i="1"/>
  <c r="P405" i="1"/>
  <c r="P22" i="1"/>
  <c r="P404" i="1"/>
  <c r="P403" i="1"/>
  <c r="P253" i="1"/>
  <c r="P85" i="1"/>
  <c r="P402" i="1"/>
  <c r="P401" i="1"/>
  <c r="P77" i="1"/>
  <c r="P400" i="1"/>
  <c r="P255" i="1"/>
  <c r="P92" i="1"/>
  <c r="P251" i="1"/>
  <c r="P163" i="1"/>
  <c r="P174" i="1"/>
  <c r="P348" i="1"/>
  <c r="P281" i="1"/>
  <c r="P91" i="1"/>
  <c r="P160" i="1"/>
  <c r="P90" i="1"/>
  <c r="P205" i="1"/>
  <c r="P342" i="1"/>
  <c r="P312" i="1"/>
  <c r="P156" i="1"/>
  <c r="P397" i="1"/>
  <c r="P89" i="1"/>
  <c r="P149" i="1"/>
  <c r="P395" i="1"/>
  <c r="P40" i="1"/>
  <c r="P218" i="1"/>
  <c r="P311" i="1"/>
  <c r="P150" i="1"/>
  <c r="P118" i="1"/>
  <c r="P322" i="1"/>
  <c r="P187" i="1"/>
  <c r="P394" i="1"/>
  <c r="P176" i="1"/>
  <c r="P140" i="1"/>
  <c r="P115" i="1"/>
  <c r="P393" i="1"/>
  <c r="P392" i="1"/>
  <c r="P332" i="1"/>
  <c r="P48" i="1"/>
  <c r="P391" i="1"/>
  <c r="P390" i="1"/>
  <c r="P139" i="1"/>
  <c r="P310" i="1"/>
  <c r="P11" i="1"/>
  <c r="P136" i="1"/>
  <c r="P111" i="1"/>
  <c r="P219" i="1"/>
  <c r="P209" i="1"/>
  <c r="P87" i="1"/>
  <c r="P389" i="1"/>
  <c r="P326" i="1"/>
  <c r="P86" i="1"/>
  <c r="P211" i="1"/>
  <c r="P84" i="1"/>
  <c r="P82" i="1"/>
  <c r="P213" i="1"/>
  <c r="P81" i="1"/>
  <c r="P79" i="1"/>
  <c r="P68" i="1"/>
  <c r="P12" i="1"/>
  <c r="P388" i="1"/>
  <c r="P243" i="1"/>
  <c r="P179" i="1"/>
  <c r="P387" i="1"/>
  <c r="P295" i="1"/>
  <c r="P273" i="1"/>
  <c r="P27" i="1"/>
  <c r="P234" i="1"/>
  <c r="P386" i="1"/>
  <c r="P340" i="1"/>
  <c r="P385" i="1"/>
  <c r="P384" i="1"/>
  <c r="P54" i="1"/>
  <c r="P216" i="1"/>
  <c r="P331" i="1"/>
  <c r="P66" i="1"/>
  <c r="P259" i="1"/>
  <c r="P9" i="1"/>
  <c r="P132" i="1"/>
  <c r="P181" i="1"/>
  <c r="P341" i="1"/>
  <c r="P275" i="1"/>
  <c r="P62" i="1"/>
  <c r="P69" i="1"/>
  <c r="P217" i="1"/>
  <c r="P159" i="1"/>
  <c r="P177" i="1"/>
  <c r="P42" i="1"/>
  <c r="P104" i="1"/>
  <c r="P61" i="1"/>
  <c r="P43" i="1"/>
  <c r="P262" i="1"/>
  <c r="P324" i="1"/>
  <c r="P381" i="1"/>
  <c r="P380" i="1"/>
  <c r="P100" i="1"/>
  <c r="P379" i="1"/>
  <c r="P180" i="1"/>
  <c r="P95" i="1"/>
  <c r="P19" i="1"/>
  <c r="P378" i="1"/>
  <c r="P377" i="1"/>
  <c r="P376" i="1"/>
  <c r="P50" i="1"/>
  <c r="P375" i="1"/>
  <c r="P65" i="1"/>
  <c r="P165" i="1"/>
  <c r="P330" i="1"/>
  <c r="P18" i="1"/>
  <c r="P373" i="1"/>
  <c r="P158" i="1"/>
  <c r="P59" i="1"/>
  <c r="P372" i="1"/>
  <c r="P309" i="1"/>
  <c r="P356" i="1"/>
  <c r="P203" i="1"/>
  <c r="P127" i="1"/>
  <c r="P371" i="1"/>
  <c r="P239" i="1"/>
  <c r="P370" i="1"/>
  <c r="P308" i="1"/>
  <c r="P369" i="1"/>
  <c r="P329" i="1"/>
  <c r="P258" i="1"/>
  <c r="P24" i="1"/>
  <c r="P26" i="1"/>
  <c r="P368" i="1"/>
  <c r="P57" i="1"/>
  <c r="P172" i="1"/>
  <c r="P53" i="1"/>
  <c r="P366" i="1"/>
  <c r="P148" i="1"/>
  <c r="P365" i="1"/>
  <c r="P41" i="1"/>
  <c r="P38" i="1"/>
  <c r="P320" i="1"/>
  <c r="P364" i="1"/>
  <c r="P36" i="1"/>
  <c r="P362" i="1"/>
  <c r="P29" i="1"/>
  <c r="P361" i="1"/>
  <c r="P336" i="1"/>
  <c r="P360" i="1"/>
  <c r="P121" i="1"/>
  <c r="P14" i="1"/>
  <c r="P306" i="1"/>
  <c r="P192" i="1"/>
  <c r="P8" i="1"/>
  <c r="O5" i="1"/>
  <c r="M5" i="1"/>
  <c r="L5" i="1"/>
  <c r="K5" i="1"/>
  <c r="J5" i="1"/>
  <c r="I5" i="1"/>
  <c r="Q4" i="1"/>
  <c r="P5" i="1" l="1"/>
  <c r="N5" i="1"/>
</calcChain>
</file>

<file path=xl/sharedStrings.xml><?xml version="1.0" encoding="utf-8"?>
<sst xmlns="http://schemas.openxmlformats.org/spreadsheetml/2006/main" count="4789" uniqueCount="1275">
  <si>
    <t>VALOR NÃO FEITO</t>
  </si>
  <si>
    <t>TESOURARIA</t>
  </si>
  <si>
    <t xml:space="preserve">CARGA FINAL </t>
  </si>
  <si>
    <t>D</t>
  </si>
  <si>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</si>
  <si>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</si>
  <si>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</si>
  <si>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</si>
  <si>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</si>
  <si>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</si>
  <si>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</si>
  <si>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</si>
  <si>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PENDENTE</t>
  </si>
  <si>
    <t>1QZ DE FEV 26</t>
  </si>
  <si>
    <t>SALDO CARTAO</t>
  </si>
  <si>
    <t>ADIANTAMENTO</t>
  </si>
  <si>
    <t>CARGA PARCIAL</t>
  </si>
  <si>
    <t>REEMBOLSO</t>
  </si>
  <si>
    <t>CARGA FINAL</t>
  </si>
  <si>
    <t>STATUS DO CARTAO</t>
  </si>
  <si>
    <t xml:space="preserve">OBS </t>
  </si>
  <si>
    <t>RAFAEL AMORIM VELLO</t>
  </si>
  <si>
    <t>01677920599</t>
  </si>
  <si>
    <t>ATIVO</t>
  </si>
  <si>
    <t>CEF NORTE OESTE BA</t>
  </si>
  <si>
    <t>GERSON OLIVEIRA</t>
  </si>
  <si>
    <t>ROGERIO SCATAMBULO</t>
  </si>
  <si>
    <t>Cartão ativo</t>
  </si>
  <si>
    <t>ABNER ANDRADE CAVALCANTE</t>
  </si>
  <si>
    <t>02027745203</t>
  </si>
  <si>
    <t>CEF AM AC RR</t>
  </si>
  <si>
    <t>ANGELICA SOARES</t>
  </si>
  <si>
    <t>BRUNO FERREIRA DE SOUZA RODRIGUES</t>
  </si>
  <si>
    <t>16306431730</t>
  </si>
  <si>
    <t>TELEFONICA RJ</t>
  </si>
  <si>
    <t>ALLAN JEFFERSON</t>
  </si>
  <si>
    <t>EDSON VEIGA SILVEIRA</t>
  </si>
  <si>
    <t>62063774072</t>
  </si>
  <si>
    <t>CLARO CO</t>
  </si>
  <si>
    <t>CRISTIANO ANESIO GOMES DO NASCIMENTO</t>
  </si>
  <si>
    <t>02862032786</t>
  </si>
  <si>
    <t>CEF INTERIOR RJ</t>
  </si>
  <si>
    <t>CHARLES NEVES MATTIUZZI</t>
  </si>
  <si>
    <t>12547938790</t>
  </si>
  <si>
    <t>TELEFONICA ES</t>
  </si>
  <si>
    <t>VINICIUS LOCATELLY</t>
  </si>
  <si>
    <t>MARCOS CARIAS</t>
  </si>
  <si>
    <t>RONALDO RUFINO SANTANA</t>
  </si>
  <si>
    <t>29758827855</t>
  </si>
  <si>
    <t>CEF PIRACICABA SP</t>
  </si>
  <si>
    <t>LEANDRO NUNES</t>
  </si>
  <si>
    <t>EVERSON GAIDSTIECHI</t>
  </si>
  <si>
    <t>ADEMARCIO DUARTE LOPES</t>
  </si>
  <si>
    <t>06223031980</t>
  </si>
  <si>
    <t>CEF FACILITIES CURITIBA PR</t>
  </si>
  <si>
    <t>BRUNO LINHARES</t>
  </si>
  <si>
    <t>WALTER DE CAMPOS NUNES NETO</t>
  </si>
  <si>
    <t>99114160030</t>
  </si>
  <si>
    <t>CLARO INFRA RS</t>
  </si>
  <si>
    <t>BRUNO EDUARDO</t>
  </si>
  <si>
    <t>JAEDER RODRIGUES JUNIOR</t>
  </si>
  <si>
    <t>07505987607</t>
  </si>
  <si>
    <t>CEF NORDESTE MG</t>
  </si>
  <si>
    <t>HUGO ALEXANDRE</t>
  </si>
  <si>
    <t>ORESTE BARBOSA DA SILVA JUNIOR</t>
  </si>
  <si>
    <t>25075562850</t>
  </si>
  <si>
    <t>ANA CRISTINA FREIRE HOLANDA</t>
  </si>
  <si>
    <t>60023937220</t>
  </si>
  <si>
    <t>ANDRE LUIZ SANTANA</t>
  </si>
  <si>
    <t>11897381638</t>
  </si>
  <si>
    <t>CEF SERRA GAUCHA RS</t>
  </si>
  <si>
    <t>ALEXANDRE GROSS</t>
  </si>
  <si>
    <t>EDUARDO SANTOS</t>
  </si>
  <si>
    <t>91270529072</t>
  </si>
  <si>
    <t>NET APOIO RS</t>
  </si>
  <si>
    <t>JESSICA DE MIRANDA MEDEIROS FELICIANO</t>
  </si>
  <si>
    <t>10137575483</t>
  </si>
  <si>
    <t>EDSON CALIXTO THOMAZ</t>
  </si>
  <si>
    <t>05765681719</t>
  </si>
  <si>
    <t>RICARDO ZORZETTO</t>
  </si>
  <si>
    <t>00539580040</t>
  </si>
  <si>
    <t>CEF QUERENCIA RS</t>
  </si>
  <si>
    <t>ALESSANDRO RODRIGO PASTRELLI</t>
  </si>
  <si>
    <t>02474960902</t>
  </si>
  <si>
    <t>NET APOIO PR</t>
  </si>
  <si>
    <t>RODRIGO VANZETTA</t>
  </si>
  <si>
    <t>99532344004</t>
  </si>
  <si>
    <t>CEF NORTE GAUCHO RS</t>
  </si>
  <si>
    <t>ALESSANDRO DE OLIVEIRA AZEVEDO</t>
  </si>
  <si>
    <t>27494577858</t>
  </si>
  <si>
    <t>CEF BAURU SP</t>
  </si>
  <si>
    <t>CARLOS NASCIMENTO NONATO JUNIOR</t>
  </si>
  <si>
    <t>65973500225</t>
  </si>
  <si>
    <t>PAULO NILTON COSTA MOREIRA</t>
  </si>
  <si>
    <t>45159599053</t>
  </si>
  <si>
    <t>CEF EXTREMO SUL RS</t>
  </si>
  <si>
    <t>ADMILSON DOS SANTOS GALAN</t>
  </si>
  <si>
    <t>04769973993</t>
  </si>
  <si>
    <t>CEF NORTE SC</t>
  </si>
  <si>
    <t>FLAVIO FERNANDES DOS REIS LIMA</t>
  </si>
  <si>
    <t>01767960107</t>
  </si>
  <si>
    <t>TELEFONICA CO</t>
  </si>
  <si>
    <t>EVERTON CAMARGO DE LOURETO</t>
  </si>
  <si>
    <t>91688205004</t>
  </si>
  <si>
    <t>CEF VALE SINOS RS</t>
  </si>
  <si>
    <t>MARCO AURELIO DE ANDRADE MORAES</t>
  </si>
  <si>
    <t>72756284220</t>
  </si>
  <si>
    <t>CEF NORTE PA</t>
  </si>
  <si>
    <t>JONAS CAVALCANTI DE OLIVEIRA</t>
  </si>
  <si>
    <t>01696239478</t>
  </si>
  <si>
    <t>3R PETROLEUM NE</t>
  </si>
  <si>
    <t>MARCO AURELIO DE LIMA</t>
  </si>
  <si>
    <t>01356318665</t>
  </si>
  <si>
    <t>TELEFONICA MG</t>
  </si>
  <si>
    <t>SAULO ARAUJO DE PAULA</t>
  </si>
  <si>
    <t>31040091806</t>
  </si>
  <si>
    <t>CEF SP SUL</t>
  </si>
  <si>
    <t>ADRIANE CARON</t>
  </si>
  <si>
    <t>02801403989</t>
  </si>
  <si>
    <t>NET VIDEIRA SC</t>
  </si>
  <si>
    <t>CAIOS VINICIUS NUNES BROERING</t>
  </si>
  <si>
    <t>07053418952</t>
  </si>
  <si>
    <t>CLARO INFRA SC</t>
  </si>
  <si>
    <t>ADSON ARAUJO DA SILVA</t>
  </si>
  <si>
    <t>94551804304</t>
  </si>
  <si>
    <t>CLARO INFRA NORDESTE</t>
  </si>
  <si>
    <t>FELIPE JOSE</t>
  </si>
  <si>
    <t>MARCELO GIMENEZ ARGEMON</t>
  </si>
  <si>
    <t>95073272153</t>
  </si>
  <si>
    <t>CEF FACILITIES CAMPINAS SP</t>
  </si>
  <si>
    <t>DIEGO JOSE DE PAULO</t>
  </si>
  <si>
    <t>01553544692</t>
  </si>
  <si>
    <t>CLARO INFRA MG</t>
  </si>
  <si>
    <t>ADSON SANTOS DA SILVA</t>
  </si>
  <si>
    <t>83058133553</t>
  </si>
  <si>
    <t>TELEFONICA BA</t>
  </si>
  <si>
    <t>ARLEY HENRIQUE DE SOUZA LUZ</t>
  </si>
  <si>
    <t>01170402232</t>
  </si>
  <si>
    <t>CEF GOIANIA CO</t>
  </si>
  <si>
    <t>ANTONIO JOSE PEREIRA DA SILVA</t>
  </si>
  <si>
    <t>08326260401</t>
  </si>
  <si>
    <t>TELEFONICA NE</t>
  </si>
  <si>
    <t>GABRIELA DALLA VECHIA MONTEIRO</t>
  </si>
  <si>
    <t>09073743958</t>
  </si>
  <si>
    <t>PTB EDISE RJ</t>
  </si>
  <si>
    <t>Cartão não vinculado</t>
  </si>
  <si>
    <t>LEONARDO MURATORI ATHAYDE</t>
  </si>
  <si>
    <t>03374811647</t>
  </si>
  <si>
    <t>CEF FACILITIES CE</t>
  </si>
  <si>
    <t>WELERSON PUFF RODRIGUES</t>
  </si>
  <si>
    <t>04352219657</t>
  </si>
  <si>
    <t>GUILHERME FERREIRA DA SILVA</t>
  </si>
  <si>
    <t>41997553813</t>
  </si>
  <si>
    <t>CEF RECIFE PE</t>
  </si>
  <si>
    <t>DANIEL SANTOS DE ASSUNCAO</t>
  </si>
  <si>
    <t>97592439549</t>
  </si>
  <si>
    <t>BANCO ITAU BA</t>
  </si>
  <si>
    <t>JEFFERSON NAZARENO SILVA FREITAS</t>
  </si>
  <si>
    <t>08103183776</t>
  </si>
  <si>
    <t>ANDERSON RICARDO VIEIRA</t>
  </si>
  <si>
    <t>07822591975</t>
  </si>
  <si>
    <t>BB NORTE OESTE PR</t>
  </si>
  <si>
    <t>RICARDO MURCIA GARCIA FILHO</t>
  </si>
  <si>
    <t>27668763830</t>
  </si>
  <si>
    <t>JOELSON FERREIRA DOS SANTOS</t>
  </si>
  <si>
    <t>07690263623</t>
  </si>
  <si>
    <t>CEF SUDESTE MG</t>
  </si>
  <si>
    <t>ALAERTE JACINTO JUNIOR</t>
  </si>
  <si>
    <t>03071605994</t>
  </si>
  <si>
    <t>PTB AREAS VERDES SC</t>
  </si>
  <si>
    <t>CARLOS EDUARDO SCATAMBULO</t>
  </si>
  <si>
    <t>22730778829</t>
  </si>
  <si>
    <t>CEF LESTE SP</t>
  </si>
  <si>
    <t>JULIA SCHURHAUS PERETTI</t>
  </si>
  <si>
    <t>09428255947</t>
  </si>
  <si>
    <t>GESTAO DE PESSOAS</t>
  </si>
  <si>
    <t>CAROLINE SILVA</t>
  </si>
  <si>
    <t>THIAGO NEVES</t>
  </si>
  <si>
    <t>AÇÃO GP</t>
  </si>
  <si>
    <t>JORGE NEGRI NETO</t>
  </si>
  <si>
    <t>44997574600</t>
  </si>
  <si>
    <t>PTB TIC NORDESTE</t>
  </si>
  <si>
    <t>ALAN WAGNER MEDEIROS DE SOUZA</t>
  </si>
  <si>
    <t>94567050487</t>
  </si>
  <si>
    <t>Cadastro pendente</t>
  </si>
  <si>
    <t>JAFER DA FONTOURA AHMAD</t>
  </si>
  <si>
    <t>00041171071</t>
  </si>
  <si>
    <t>CEF PORTO ALEGRE RS</t>
  </si>
  <si>
    <t>ALTAIR BERTOL</t>
  </si>
  <si>
    <t>01969938900</t>
  </si>
  <si>
    <t>ENGIE FLORIANOPOLIS SC</t>
  </si>
  <si>
    <t>MARCELO DE ANDRADE CALVETTI</t>
  </si>
  <si>
    <t>02587708052</t>
  </si>
  <si>
    <t>NET PORTO ALEGRE RS</t>
  </si>
  <si>
    <t>ANTONIO MARCOS CAMARGO</t>
  </si>
  <si>
    <t>04836584990</t>
  </si>
  <si>
    <t>TRIBUNAL DE JUSTICA PR</t>
  </si>
  <si>
    <t>AURO MOREIRA PEDROSO</t>
  </si>
  <si>
    <t>32060157900</t>
  </si>
  <si>
    <t>TERCILA DA SILVA LOPES</t>
  </si>
  <si>
    <t>67752721387</t>
  </si>
  <si>
    <t>CEF CEARA</t>
  </si>
  <si>
    <t>JAZEMIR DE SANTANA MARQUES</t>
  </si>
  <si>
    <t>44012861549</t>
  </si>
  <si>
    <t>PTB TRANSMISSAO BA</t>
  </si>
  <si>
    <t>ANDERSON GOMES</t>
  </si>
  <si>
    <t>06534220911</t>
  </si>
  <si>
    <t>CAIO FRANCESCONI RIBEIRO</t>
  </si>
  <si>
    <t>08924586904</t>
  </si>
  <si>
    <t>TJ APOIO PR</t>
  </si>
  <si>
    <t>RAQUEL PANTOJA SANTOS</t>
  </si>
  <si>
    <t>89395140259</t>
  </si>
  <si>
    <t>CEF BELEM FACILITIES PA</t>
  </si>
  <si>
    <t>CLAUDEMIR GREGOSKI RODRIGUES</t>
  </si>
  <si>
    <t>05144026958</t>
  </si>
  <si>
    <t>BB APOIO PR</t>
  </si>
  <si>
    <t>ATILA LOPES DE MOURA</t>
  </si>
  <si>
    <t>03975647400</t>
  </si>
  <si>
    <t>LEANDRO GUSMAO MUNIZ</t>
  </si>
  <si>
    <t>13126691790</t>
  </si>
  <si>
    <t>VALDIR LEONARDO VOIGT</t>
  </si>
  <si>
    <t>48089869904</t>
  </si>
  <si>
    <t>CELESC NORTE SC</t>
  </si>
  <si>
    <t>GUILHERME MOTTA RIBEIRO SILVA</t>
  </si>
  <si>
    <t>11178519740</t>
  </si>
  <si>
    <t>CEF ES</t>
  </si>
  <si>
    <t>SANDRA CRISTINA ALVES MACHADO</t>
  </si>
  <si>
    <t>69456313034</t>
  </si>
  <si>
    <t>FERNANDO RODRIGUES DUARTE</t>
  </si>
  <si>
    <t>03377983112</t>
  </si>
  <si>
    <t>THIEGO LEANDRO ALVES DE OLIVEIRA</t>
  </si>
  <si>
    <t>07198282440</t>
  </si>
  <si>
    <t>LUCIANO JOSE DO AMARAL PEREIRA</t>
  </si>
  <si>
    <t>04434355708</t>
  </si>
  <si>
    <t>CEF CENTRO NORTE SUL RJ</t>
  </si>
  <si>
    <t>EDIPO SANTOS BARRETO</t>
  </si>
  <si>
    <t>37896893860</t>
  </si>
  <si>
    <t>TRIBUNAL DE JUSTICA SP</t>
  </si>
  <si>
    <t>MILTON FERREIRA DAS NEVES JUNIOR</t>
  </si>
  <si>
    <t>05100355581</t>
  </si>
  <si>
    <t>ACELEN AR</t>
  </si>
  <si>
    <t>CLAUDEMIR MOREIRA</t>
  </si>
  <si>
    <t>75609444004</t>
  </si>
  <si>
    <t>TULIO VELOSO HONORATO</t>
  </si>
  <si>
    <t>12609931670</t>
  </si>
  <si>
    <t>BB SUDESTE MG</t>
  </si>
  <si>
    <t>CLAUDINEI AMARAL</t>
  </si>
  <si>
    <t>10433881844</t>
  </si>
  <si>
    <t>CLAUDIO DONIZETE DA SILVA</t>
  </si>
  <si>
    <t>93457235953</t>
  </si>
  <si>
    <t>SARA ARAGAO DA SILVA BARBOSA</t>
  </si>
  <si>
    <t>49637513809</t>
  </si>
  <si>
    <t>BANCO ITAU SP</t>
  </si>
  <si>
    <t>CLAUDIO RENALDI NUNES</t>
  </si>
  <si>
    <t>02705722955</t>
  </si>
  <si>
    <t>EDMAR FERREIRA CARDOSO</t>
  </si>
  <si>
    <t>06311884607</t>
  </si>
  <si>
    <t>NET METROPOLITANA MG</t>
  </si>
  <si>
    <t>CLEBERSON APARECIDO BORGES DOS SANTOS</t>
  </si>
  <si>
    <t>05864921947</t>
  </si>
  <si>
    <t>CLERITON BACILA DOS SANTOS</t>
  </si>
  <si>
    <t>05456615959</t>
  </si>
  <si>
    <t>NET CTA PR</t>
  </si>
  <si>
    <t>DAVID DE OLIVEIRA FRIGERIO</t>
  </si>
  <si>
    <t>04817177900</t>
  </si>
  <si>
    <t>CEF NORTE PR</t>
  </si>
  <si>
    <t>DIVAN ALVES DE AMORIM</t>
  </si>
  <si>
    <t>11422891844</t>
  </si>
  <si>
    <t>DOUGLAS TIAGO DE OLIVEIRA</t>
  </si>
  <si>
    <t>08492402989</t>
  </si>
  <si>
    <t>DOUGLAS WESLEN CARDOSO DOS SANTOS</t>
  </si>
  <si>
    <t>08784554932</t>
  </si>
  <si>
    <t>EDEVALDO DUTRA GONCALVES</t>
  </si>
  <si>
    <t>00312735057</t>
  </si>
  <si>
    <t>NET LITORAL PR</t>
  </si>
  <si>
    <t>EDUARDO HENRIQUE BONIN</t>
  </si>
  <si>
    <t>07283564900</t>
  </si>
  <si>
    <t>ELIANDRO BRUNING</t>
  </si>
  <si>
    <t>00461757923</t>
  </si>
  <si>
    <t>ANDRE PINHEIRO BALOTIN</t>
  </si>
  <si>
    <t>98603566020</t>
  </si>
  <si>
    <t>FABIO APARECIDO DE SOUSA PEREIRA</t>
  </si>
  <si>
    <t>02679643909</t>
  </si>
  <si>
    <t xml:space="preserve">ENZIO CARVALHO DA MOTA </t>
  </si>
  <si>
    <t>38548259515</t>
  </si>
  <si>
    <t>TIAGO DE OLIVEIRA PAIVA</t>
  </si>
  <si>
    <t>10491624719</t>
  </si>
  <si>
    <t>PTB REVAP REVITALIZACAO</t>
  </si>
  <si>
    <t>WESLLEY GABRIEL DA SILVA CARDOSO</t>
  </si>
  <si>
    <t>87813416015</t>
  </si>
  <si>
    <t>TELEFONICA RS</t>
  </si>
  <si>
    <t>ANDRESA INDIRA SANTANA AGGIO</t>
  </si>
  <si>
    <t>33162718805</t>
  </si>
  <si>
    <t>ADM FILIAL SC</t>
  </si>
  <si>
    <t>EMERSON LEITE DE BARROS</t>
  </si>
  <si>
    <t>34168918807</t>
  </si>
  <si>
    <t>PTB INFRA SUDESTE</t>
  </si>
  <si>
    <t>LEANDRO DE MENEZES ASSUNCAO</t>
  </si>
  <si>
    <t>09072032640</t>
  </si>
  <si>
    <t>RENATO PARREIRAS</t>
  </si>
  <si>
    <t>97162485634</t>
  </si>
  <si>
    <t>ANTONIO MARCOS DE SOUZA</t>
  </si>
  <si>
    <t>01419182927</t>
  </si>
  <si>
    <t>FABIO MARTINS BORGES</t>
  </si>
  <si>
    <t>05492458981</t>
  </si>
  <si>
    <t>FABIO RODRIGUES JUREVICZ</t>
  </si>
  <si>
    <t>06311481910</t>
  </si>
  <si>
    <t>NET SUDOESTE PR</t>
  </si>
  <si>
    <t>FRANCIONE DE SOUZA LUCENA</t>
  </si>
  <si>
    <t>47331178253</t>
  </si>
  <si>
    <t>GABRIEL MONTANI FERREIRA</t>
  </si>
  <si>
    <t>09871329970</t>
  </si>
  <si>
    <t>GUSTAVO RODRIGUES FARIA</t>
  </si>
  <si>
    <t>10531222926</t>
  </si>
  <si>
    <t>ISAIAS DA SILVA</t>
  </si>
  <si>
    <t>04083479965</t>
  </si>
  <si>
    <t>CRISTIAN MARCELO DE OLIVEIRA DOS SANTOS</t>
  </si>
  <si>
    <t>92931901091</t>
  </si>
  <si>
    <t>BB POA RS</t>
  </si>
  <si>
    <t>ROBERTO ALIAGA</t>
  </si>
  <si>
    <t>26953703857</t>
  </si>
  <si>
    <t>DETRONICS</t>
  </si>
  <si>
    <t>MICHAEL RODRIGUES SANTOS</t>
  </si>
  <si>
    <t>37425574837</t>
  </si>
  <si>
    <t>LUCAS HENRIQUE CORREA DOS SANTOS</t>
  </si>
  <si>
    <t>10652119964</t>
  </si>
  <si>
    <t>DEBORA ARAUJO FIGUEIREDO</t>
  </si>
  <si>
    <t>85225720030</t>
  </si>
  <si>
    <t>DRF NOVO HAMBURGO RS</t>
  </si>
  <si>
    <t>JORGE ANTONIO VARGAS DA SILVA</t>
  </si>
  <si>
    <t>01063690080</t>
  </si>
  <si>
    <t>NET CENTRO RS</t>
  </si>
  <si>
    <t>JACKSON NATAN RODRIGUES DA SILVA</t>
  </si>
  <si>
    <t>01456786288</t>
  </si>
  <si>
    <t>DHIEGO RIBEIRO DINIZ</t>
  </si>
  <si>
    <t>00049250256</t>
  </si>
  <si>
    <t>JACSSON MAYLON CASTRO CORREA</t>
  </si>
  <si>
    <t>10206563957</t>
  </si>
  <si>
    <t>JEFERSON ADRIANO WERNER</t>
  </si>
  <si>
    <t>08935547905</t>
  </si>
  <si>
    <t>ADILSON MELLO DE CAMARGO</t>
  </si>
  <si>
    <t>67324398049</t>
  </si>
  <si>
    <t>BB SERET RS</t>
  </si>
  <si>
    <t>MARCOS LUIZ SCHULTZ</t>
  </si>
  <si>
    <t>97607240063</t>
  </si>
  <si>
    <t>JEFERSON ZAMPRONIO DA SILVA</t>
  </si>
  <si>
    <t>07060404902</t>
  </si>
  <si>
    <t>JHEFERSON DIASSIS</t>
  </si>
  <si>
    <t>07972796955</t>
  </si>
  <si>
    <t>VICTOR SIGOLO PINHEIRO PIMENTA</t>
  </si>
  <si>
    <t>12237490619</t>
  </si>
  <si>
    <t>INSS SP</t>
  </si>
  <si>
    <t>MARCIO BOUZAS FERREIRA</t>
  </si>
  <si>
    <t>07318362780</t>
  </si>
  <si>
    <t>VTAL CYBER RJ</t>
  </si>
  <si>
    <t>ALIRIO THOMAZ VALENTIM</t>
  </si>
  <si>
    <t>99335220000</t>
  </si>
  <si>
    <t>NET LITORAL RS</t>
  </si>
  <si>
    <t>STEPHANIE THAINARA DE OLIVEIRA ROCHA DA COSTA</t>
  </si>
  <si>
    <t>14084321613</t>
  </si>
  <si>
    <t>ADM FILIAL MG</t>
  </si>
  <si>
    <t>GLEIDE CONCEICAO NASCIMENTO ALVES</t>
  </si>
  <si>
    <t>00799913510</t>
  </si>
  <si>
    <t>ADM FILIAL NE</t>
  </si>
  <si>
    <t>TANDARA MARIA DO VALES PEREIRA ALVES</t>
  </si>
  <si>
    <t>17074849707</t>
  </si>
  <si>
    <t>ADM FILIAL RJ</t>
  </si>
  <si>
    <t>FABIANA CAMILA BARBOSA DE MORAES LIMA</t>
  </si>
  <si>
    <t>38880279858</t>
  </si>
  <si>
    <t>ADM FILIAL SP</t>
  </si>
  <si>
    <t>BRUNO EDUARDO DE SOUZA</t>
  </si>
  <si>
    <t>82341478972</t>
  </si>
  <si>
    <t>JOAO ALEXANDRE LIMA</t>
  </si>
  <si>
    <t>10588522996</t>
  </si>
  <si>
    <t>LILIAN SANTOS DA SILVA</t>
  </si>
  <si>
    <t>86415689053</t>
  </si>
  <si>
    <t>ADM FILIAL RS</t>
  </si>
  <si>
    <t>LUCAS HENRIQUE ALVES DE OLIVEIRA</t>
  </si>
  <si>
    <t>10977673618</t>
  </si>
  <si>
    <t>NET LESTE MG</t>
  </si>
  <si>
    <t>CRISTIANE PEREIRA DE MELO</t>
  </si>
  <si>
    <t>70022036148</t>
  </si>
  <si>
    <t>JOELSON JUNIOR MARTINS DE GOES</t>
  </si>
  <si>
    <t>03528389907</t>
  </si>
  <si>
    <t>UFPR PR</t>
  </si>
  <si>
    <t>WILLIAM SANTANA NUNES</t>
  </si>
  <si>
    <t>95417400068</t>
  </si>
  <si>
    <t>GHC ARCON RS</t>
  </si>
  <si>
    <t>DANIEL DA SILVA LOPES</t>
  </si>
  <si>
    <t>94288259053</t>
  </si>
  <si>
    <t>NET APOIO SC</t>
  </si>
  <si>
    <t>DEISE SOARES DE CAMPOS</t>
  </si>
  <si>
    <t>69116709004</t>
  </si>
  <si>
    <t>THIAGO DE MEDEIROS VANZELER</t>
  </si>
  <si>
    <t>11590627733</t>
  </si>
  <si>
    <t>WALTER LUIZ DE OLIVEIRA BRAGA</t>
  </si>
  <si>
    <t>04042182291</t>
  </si>
  <si>
    <t>FELIPE JOSE DE ALBUQUERQUE OLIVEIRA</t>
  </si>
  <si>
    <t>73574031491</t>
  </si>
  <si>
    <t>JOSE JONAS FURLANETTO</t>
  </si>
  <si>
    <t>55889913115</t>
  </si>
  <si>
    <t>TIAGO FERNANDES SANTOS DE OLIVEIRA</t>
  </si>
  <si>
    <t>00849381533</t>
  </si>
  <si>
    <t>CARMO ENERGY</t>
  </si>
  <si>
    <t>JULIO CESAR ALVES DA ROCHA</t>
  </si>
  <si>
    <t>02265549967</t>
  </si>
  <si>
    <t>HEITOR MAURMANN LEITAO</t>
  </si>
  <si>
    <t>00448960001</t>
  </si>
  <si>
    <t>AGNO CHRISTIAN DE LIMA TELES</t>
  </si>
  <si>
    <t>06911519624</t>
  </si>
  <si>
    <t>DIONIKSON MACARIO AGUIAR</t>
  </si>
  <si>
    <t>04590667908</t>
  </si>
  <si>
    <t>DIEGO DE ALCANTARA MOTA MENDES</t>
  </si>
  <si>
    <t>09407167631</t>
  </si>
  <si>
    <t>CEF FACILITIES BH</t>
  </si>
  <si>
    <t>JUSTINO NOGUEIRA PEIXOTO JUNIOR</t>
  </si>
  <si>
    <t>09246793790</t>
  </si>
  <si>
    <t>CLARO INFRA PR</t>
  </si>
  <si>
    <t>FABIO DIOGO BITTENCOURT</t>
  </si>
  <si>
    <t>00526143959</t>
  </si>
  <si>
    <t>CEF CENTRO GAUCHO RS</t>
  </si>
  <si>
    <t>MARCEL DA HORA CARVALHO</t>
  </si>
  <si>
    <t>01730674500</t>
  </si>
  <si>
    <t>POLICIA FEDERAL BA</t>
  </si>
  <si>
    <t>UELITON SANTANA SANTOS</t>
  </si>
  <si>
    <t>03686605597</t>
  </si>
  <si>
    <t>TRANSPETRO BA</t>
  </si>
  <si>
    <t>LUCAS CARVALHO DE SOUZA</t>
  </si>
  <si>
    <t>08781221924</t>
  </si>
  <si>
    <t>DJONATAN JULIO GORGES VENTURI</t>
  </si>
  <si>
    <t>08196835906</t>
  </si>
  <si>
    <t>TELEFONICA SC</t>
  </si>
  <si>
    <t>MATEUS FLOR GUESSER</t>
  </si>
  <si>
    <t>09675608960</t>
  </si>
  <si>
    <t>FROTA</t>
  </si>
  <si>
    <t>GUILHERME FORTKAMP</t>
  </si>
  <si>
    <t>AMANDA CRISTINA DA SILVA</t>
  </si>
  <si>
    <t>07809466690</t>
  </si>
  <si>
    <t>ARTHUR SANTOS DE OLIVEIRA</t>
  </si>
  <si>
    <t>13921847621</t>
  </si>
  <si>
    <t>DOUGLAS VENTURA SILVEIRA</t>
  </si>
  <si>
    <t>08072851969</t>
  </si>
  <si>
    <t>MOISES DOS SANTOS CABRAL</t>
  </si>
  <si>
    <t>68746458204</t>
  </si>
  <si>
    <t>CEF FAC RO</t>
  </si>
  <si>
    <t>MARCELO PEREIRA LIMA</t>
  </si>
  <si>
    <t>10254434894</t>
  </si>
  <si>
    <t>BB CAMPINAS SP</t>
  </si>
  <si>
    <t>EDERSON LUIS BARROS DA ROSA</t>
  </si>
  <si>
    <t>04614285988</t>
  </si>
  <si>
    <t>JORGE LUIZ MOREIRA CARDOSO</t>
  </si>
  <si>
    <t>08247635992</t>
  </si>
  <si>
    <t>ANDERSON FERNANDES DE ALMEIDA</t>
  </si>
  <si>
    <t>02553373961</t>
  </si>
  <si>
    <t>LUCAS DE PAULA SILVA</t>
  </si>
  <si>
    <t>08204909977</t>
  </si>
  <si>
    <t>MARCIO ROBERTO DA SILVA</t>
  </si>
  <si>
    <t>96212993068</t>
  </si>
  <si>
    <t>JUNIO VICENTE BARBOSA</t>
  </si>
  <si>
    <t>10054353670</t>
  </si>
  <si>
    <t>MARCELO DE SOUZA DALA VEDOVA</t>
  </si>
  <si>
    <t>05375810654</t>
  </si>
  <si>
    <t>BRUNA LAIS AZEVEDO CUNHA</t>
  </si>
  <si>
    <t>07747008406</t>
  </si>
  <si>
    <t>HELDER ARCHANJO FERREIRA</t>
  </si>
  <si>
    <t>06439531670</t>
  </si>
  <si>
    <t>ALAN RODRIGO SILVA ANDRADE</t>
  </si>
  <si>
    <t>07722232469</t>
  </si>
  <si>
    <t>BB ALAGOAS</t>
  </si>
  <si>
    <t>LUDGERO HORACIO DE OLIVEIRA</t>
  </si>
  <si>
    <t>06576198922</t>
  </si>
  <si>
    <t>EDERSON GUIZOLFI PEREIRA</t>
  </si>
  <si>
    <t>92057900010</t>
  </si>
  <si>
    <t>NET CRICIUMA SC</t>
  </si>
  <si>
    <t>MARCEL GOMES DE OLIVEIRA</t>
  </si>
  <si>
    <t>29011288823</t>
  </si>
  <si>
    <t>DELVANO AILTON DA SILVA</t>
  </si>
  <si>
    <t>05289382666</t>
  </si>
  <si>
    <t>ARTHUR GOMES DE PAULO</t>
  </si>
  <si>
    <t>12877857603</t>
  </si>
  <si>
    <t>LUIZ CLAUDIO DOS SANTOS</t>
  </si>
  <si>
    <t>34100118899</t>
  </si>
  <si>
    <t>NET MGA PR</t>
  </si>
  <si>
    <t>CELIO GONCALVES DE OLIVEIRA JUNIOR</t>
  </si>
  <si>
    <t>12712136640</t>
  </si>
  <si>
    <t>ANDRE VALERIO DE PAIVA</t>
  </si>
  <si>
    <t>12682517633</t>
  </si>
  <si>
    <t>BRUNA LAIS DOS SANTOS PESSOA</t>
  </si>
  <si>
    <t>13459423625</t>
  </si>
  <si>
    <t>ASSEMBLEIA LEGISLATIVA MG</t>
  </si>
  <si>
    <t>FRANCIMARIO BEZERRA DA SILVA</t>
  </si>
  <si>
    <t>10206025467</t>
  </si>
  <si>
    <t>RODRIGO JOSE DE PAULA</t>
  </si>
  <si>
    <t>03348917956</t>
  </si>
  <si>
    <t>RODRIGO BALESTRIN</t>
  </si>
  <si>
    <t>02845828918</t>
  </si>
  <si>
    <t>ROBSON DOS SANTOS GUEDES</t>
  </si>
  <si>
    <t>08418392983</t>
  </si>
  <si>
    <t>RAMON GOMES TEIXEIRA</t>
  </si>
  <si>
    <t>83978054515</t>
  </si>
  <si>
    <t>BB EDIFICIOS SP</t>
  </si>
  <si>
    <t>DENILSO DIDONE</t>
  </si>
  <si>
    <t>04859818903</t>
  </si>
  <si>
    <t>LARISSA SANTOS DA SILVA</t>
  </si>
  <si>
    <t>45120065830</t>
  </si>
  <si>
    <t>EDUARDO ANDREY VENSON SILVA</t>
  </si>
  <si>
    <t>02960685946</t>
  </si>
  <si>
    <t>CEF OESTE SC</t>
  </si>
  <si>
    <t>PAULO DE FREITAS PEREIRA</t>
  </si>
  <si>
    <t>11634696611</t>
  </si>
  <si>
    <t>LUIZ FERNANDO CAVALHEIRO</t>
  </si>
  <si>
    <t>03898579980</t>
  </si>
  <si>
    <t>ADAN LEONARDO SOUZA BATISTA</t>
  </si>
  <si>
    <t>01932662537</t>
  </si>
  <si>
    <t>UFBA BA</t>
  </si>
  <si>
    <t>MARCIO CORREA DA SILVA</t>
  </si>
  <si>
    <t>98717251087</t>
  </si>
  <si>
    <t>WINDER DE SOUZA PIRES</t>
  </si>
  <si>
    <t>04028795621</t>
  </si>
  <si>
    <t>SILVIO ODELI FILHO</t>
  </si>
  <si>
    <t>07634898910</t>
  </si>
  <si>
    <t>LUIZ PAULO SILVA SOUSA JUNIOR</t>
  </si>
  <si>
    <t>02678045129</t>
  </si>
  <si>
    <t>FABIO PROVESI</t>
  </si>
  <si>
    <t>05731312958</t>
  </si>
  <si>
    <t>BB SERET SC</t>
  </si>
  <si>
    <t>MARCIO DA COSTA JOAO</t>
  </si>
  <si>
    <t>02524841936</t>
  </si>
  <si>
    <t>BB CENOP CURITIBA PR</t>
  </si>
  <si>
    <t>MARCOS SEGER</t>
  </si>
  <si>
    <t>97135631900</t>
  </si>
  <si>
    <t>UELITON CANDIDO</t>
  </si>
  <si>
    <t>10354623621</t>
  </si>
  <si>
    <t>NET SUL MG</t>
  </si>
  <si>
    <t>Cartão bloqueado</t>
  </si>
  <si>
    <t>PERDA DE CARTÃO</t>
  </si>
  <si>
    <t>MICHEL DOS SANTOS VENANCIO</t>
  </si>
  <si>
    <t>06271222994</t>
  </si>
  <si>
    <t>LUIS FELIPE RAYMUNDO GARCIA</t>
  </si>
  <si>
    <t>06837861999</t>
  </si>
  <si>
    <t>ALISSON RODRIGO RAMBO</t>
  </si>
  <si>
    <t>07338782962</t>
  </si>
  <si>
    <t>JOSE NILDA DA CUNHA</t>
  </si>
  <si>
    <t>69808112900</t>
  </si>
  <si>
    <t>DOUGLAS BRUCK MACHADO</t>
  </si>
  <si>
    <t>03241621030</t>
  </si>
  <si>
    <t>DANILO ZANATTA LUCIANO</t>
  </si>
  <si>
    <t>06285125970</t>
  </si>
  <si>
    <t>LUCAS HENRIQUE PINHO</t>
  </si>
  <si>
    <t>45211709861</t>
  </si>
  <si>
    <t>RONALDO DE MATOS LELIS</t>
  </si>
  <si>
    <t>47502843604</t>
  </si>
  <si>
    <t>CLEVERSON PAULOUSKI</t>
  </si>
  <si>
    <t>08609699919</t>
  </si>
  <si>
    <t>FRANCISCO VALDENIR DE SOUSA</t>
  </si>
  <si>
    <t>79248160387</t>
  </si>
  <si>
    <t>CLAYTON DE OLIVEIRA</t>
  </si>
  <si>
    <t>02928835954</t>
  </si>
  <si>
    <t>PITER ROBSON DA SILVA</t>
  </si>
  <si>
    <t>91388686953</t>
  </si>
  <si>
    <t>CLAUDINEI VICENTE DE LIMA</t>
  </si>
  <si>
    <t>91920795987</t>
  </si>
  <si>
    <t>SERGIO ESTEVAM DEBIAZI</t>
  </si>
  <si>
    <t>02063139342</t>
  </si>
  <si>
    <t>ERICSON PINHEIRO DOS SANTOS</t>
  </si>
  <si>
    <t>29157549850</t>
  </si>
  <si>
    <t>CEF FACILITIES SP</t>
  </si>
  <si>
    <t>CARLOS ALEXANDRE GIGI</t>
  </si>
  <si>
    <t>20005473896</t>
  </si>
  <si>
    <t>BB SP</t>
  </si>
  <si>
    <t>ARTUR JACO PAGANI DE SOUZA</t>
  </si>
  <si>
    <t>07105914971</t>
  </si>
  <si>
    <t>DIEGO GRIME DE MELO</t>
  </si>
  <si>
    <t>05597823906</t>
  </si>
  <si>
    <t>CREOL APARECIDO DOS SANTOS</t>
  </si>
  <si>
    <t>03363725906</t>
  </si>
  <si>
    <t>MATHEUS FERNANDES GUIMARAES</t>
  </si>
  <si>
    <t>17996820724</t>
  </si>
  <si>
    <t>LUCIANO DA SILVA DE PAULA</t>
  </si>
  <si>
    <t>11489828923</t>
  </si>
  <si>
    <t>FRANCINILDO JACKSON DE ALMEIDA ARAUJO</t>
  </si>
  <si>
    <t>07021071400</t>
  </si>
  <si>
    <t>ICARO MEDEIROS SILVA</t>
  </si>
  <si>
    <t>01565661338</t>
  </si>
  <si>
    <t>THIAGO LEANDRO DOS SANTOS</t>
  </si>
  <si>
    <t>33927651800</t>
  </si>
  <si>
    <t>PROSEGUR SP</t>
  </si>
  <si>
    <t>WILLIAM NORONHA TEIXEIRA</t>
  </si>
  <si>
    <t>02013700008</t>
  </si>
  <si>
    <t>MURILO DE ALMEIDA</t>
  </si>
  <si>
    <t>10521167957</t>
  </si>
  <si>
    <t>BB LESTE PR</t>
  </si>
  <si>
    <t>NORMAN CRANI PORTELLA</t>
  </si>
  <si>
    <t>79794157953</t>
  </si>
  <si>
    <t>MICHEL VINHORTE DE SOUZA</t>
  </si>
  <si>
    <t>70457883200</t>
  </si>
  <si>
    <t>BB MANAUS FACILITIES AM</t>
  </si>
  <si>
    <t>FLAVIO PATRICIO DA LUZ</t>
  </si>
  <si>
    <t>02057950999</t>
  </si>
  <si>
    <t>LEONARDO ALVES JACINTO</t>
  </si>
  <si>
    <t>09594992700</t>
  </si>
  <si>
    <t>JOSE CLAUDIO RIBEIRO</t>
  </si>
  <si>
    <t>61158852649</t>
  </si>
  <si>
    <t>ODAIR CIRCO SOARES</t>
  </si>
  <si>
    <t>84219122915</t>
  </si>
  <si>
    <t>HUGO ALEXANDRE DE SOUSA</t>
  </si>
  <si>
    <t>07646535630</t>
  </si>
  <si>
    <t>CARLOS HENRIQUE VARGAS DOS SANTOS</t>
  </si>
  <si>
    <t>96018682087</t>
  </si>
  <si>
    <t>GABRIEL EGGER</t>
  </si>
  <si>
    <t>07961072977</t>
  </si>
  <si>
    <t>OI PREDIAL E LIMPEZA SC</t>
  </si>
  <si>
    <t>HIGOR KELVYN SILVA AMORIM</t>
  </si>
  <si>
    <t>09199781930</t>
  </si>
  <si>
    <t>KLEITON DE ALMEIDA TORRES</t>
  </si>
  <si>
    <t>05259206410</t>
  </si>
  <si>
    <t>MARIA CRISTINA DE OLIVEIRA NEVES</t>
  </si>
  <si>
    <t>02519880155</t>
  </si>
  <si>
    <t>ALEXANDRE PIRES DE JESUS</t>
  </si>
  <si>
    <t>92079008072</t>
  </si>
  <si>
    <t>OSCAR DOMINGO PALARO</t>
  </si>
  <si>
    <t>03067535960</t>
  </si>
  <si>
    <t>JAIR ASSIS DA SILVA</t>
  </si>
  <si>
    <t>60377348953</t>
  </si>
  <si>
    <t>JOAO AGOSTINHO DA COSTA REIS</t>
  </si>
  <si>
    <t>11764705661</t>
  </si>
  <si>
    <t>CELSO ROGERIO DE OLIVEIRA</t>
  </si>
  <si>
    <t>25946255827</t>
  </si>
  <si>
    <t>COMERCIAL</t>
  </si>
  <si>
    <t>ELIO PEREIRA NETO</t>
  </si>
  <si>
    <t>FELIPE FONTAN</t>
  </si>
  <si>
    <t>INEBAM RODRIGUES PORTO NETO</t>
  </si>
  <si>
    <t>80632955015</t>
  </si>
  <si>
    <t>JEAN FABIO OLIVERIO</t>
  </si>
  <si>
    <t>00645883948</t>
  </si>
  <si>
    <t>JULIANA RIBEIRO RAMOS</t>
  </si>
  <si>
    <t>03910036902</t>
  </si>
  <si>
    <t>QSMS OPERACAO</t>
  </si>
  <si>
    <t>RAFAEL MOURA</t>
  </si>
  <si>
    <t>ISAQUE HENRIQUE BARPP TITONI</t>
  </si>
  <si>
    <t>00432546081</t>
  </si>
  <si>
    <t>JOSE MARCOS PEREIRA VAZ</t>
  </si>
  <si>
    <t>69071934004</t>
  </si>
  <si>
    <t>RONALDO DE CARVALHO</t>
  </si>
  <si>
    <t>05762523950</t>
  </si>
  <si>
    <t>FINANCEIRO</t>
  </si>
  <si>
    <t>RONALDO</t>
  </si>
  <si>
    <t>DANIEL DUARTE</t>
  </si>
  <si>
    <t>JOSEANE DA SILVA SOUZA</t>
  </si>
  <si>
    <t>71944885234</t>
  </si>
  <si>
    <t>EDERSON STRELOW</t>
  </si>
  <si>
    <t>01777100046</t>
  </si>
  <si>
    <t>IVO LUCIANO DA SILVA WAGNER JUNIOR</t>
  </si>
  <si>
    <t>12068745976</t>
  </si>
  <si>
    <t>PATRIMONIO</t>
  </si>
  <si>
    <t>EDMAR RODRIGUES MOTA</t>
  </si>
  <si>
    <t>06559830900</t>
  </si>
  <si>
    <t>TI</t>
  </si>
  <si>
    <t>JULIO CESAR DE SOUZA</t>
  </si>
  <si>
    <t>05430536954</t>
  </si>
  <si>
    <t>EDIBERTO GEORGE RELIQUIAS</t>
  </si>
  <si>
    <t>34596010862</t>
  </si>
  <si>
    <t>PALOMA CARLOS SPINOLA</t>
  </si>
  <si>
    <t>11340265796</t>
  </si>
  <si>
    <t>GEFERSON FLORIANO PRICHULA</t>
  </si>
  <si>
    <t>96795115020</t>
  </si>
  <si>
    <t>ALEX DOS SANTOS</t>
  </si>
  <si>
    <t>97237400010</t>
  </si>
  <si>
    <t>BRUNO OLIVEIRA DIAS</t>
  </si>
  <si>
    <t>11992259755</t>
  </si>
  <si>
    <t>PTB TIC INFRA</t>
  </si>
  <si>
    <t>JOSE CARLOS BATISTA</t>
  </si>
  <si>
    <t>26652452804</t>
  </si>
  <si>
    <t>LUCAS MARTINS MACAN</t>
  </si>
  <si>
    <t>00975748998</t>
  </si>
  <si>
    <t>ANTONIO FERREIRA DE MENDONCA NETO</t>
  </si>
  <si>
    <t>05766838760</t>
  </si>
  <si>
    <t>TRIBUNAL DE JUSTICA RJ</t>
  </si>
  <si>
    <t>JUAN CARLOS PANTOJA AMANAJAS</t>
  </si>
  <si>
    <t>51027941249</t>
  </si>
  <si>
    <t>GEORGE LUIS ROCHA FIGUEIREDO</t>
  </si>
  <si>
    <t>06792773310</t>
  </si>
  <si>
    <t>BB MARANHAO MA</t>
  </si>
  <si>
    <t>LAERCIO SOARES CANABARRO</t>
  </si>
  <si>
    <t>58763376091</t>
  </si>
  <si>
    <t>LEANDRO FIGUEREDO BELCHIOR</t>
  </si>
  <si>
    <t>26513583802</t>
  </si>
  <si>
    <t>SANDRO CAPISTRANO</t>
  </si>
  <si>
    <t>16996346886</t>
  </si>
  <si>
    <t>PAOLA CAROLINI BARBOSA</t>
  </si>
  <si>
    <t>03445951969</t>
  </si>
  <si>
    <t>PTB PREDIAL REPAR PR</t>
  </si>
  <si>
    <t>PATRICK ANTONIEVICZ ALVES</t>
  </si>
  <si>
    <t>06456801923</t>
  </si>
  <si>
    <t>RAFAEL CARNIEL DA SILVA</t>
  </si>
  <si>
    <t>05337927973</t>
  </si>
  <si>
    <t>ROGERIO COSTA PRADO</t>
  </si>
  <si>
    <t>92160344320</t>
  </si>
  <si>
    <t>LUCAS RODRIGUES DE MOURA GALVAO</t>
  </si>
  <si>
    <t>04013986175</t>
  </si>
  <si>
    <t>CARLOS RENATO PACHECO DA SILVA</t>
  </si>
  <si>
    <t>90443306087</t>
  </si>
  <si>
    <t>CEF LESTE GAUCHO RS</t>
  </si>
  <si>
    <t>FELIPE MORAES COSTA DE BRITTO</t>
  </si>
  <si>
    <t>04347084102</t>
  </si>
  <si>
    <t>INSS MT</t>
  </si>
  <si>
    <t>BEATRIZ SILVA DE SIQUEIRA</t>
  </si>
  <si>
    <t>35575473880</t>
  </si>
  <si>
    <t>EVERSON ESTEVES DOS SANTOS</t>
  </si>
  <si>
    <t>01755089090</t>
  </si>
  <si>
    <t>PTB REDUC RJ</t>
  </si>
  <si>
    <t>RAFAEL NATAL LACHI</t>
  </si>
  <si>
    <t>03710085900</t>
  </si>
  <si>
    <t>NEDSON LUIZ DURAES VELOSO</t>
  </si>
  <si>
    <t>11498112692</t>
  </si>
  <si>
    <t>RODRIGO SANTOS DA SILVA</t>
  </si>
  <si>
    <t>05504962706</t>
  </si>
  <si>
    <t>BANCO ITAU RJ</t>
  </si>
  <si>
    <t>JAIME ALVES DE ABREU SILVA</t>
  </si>
  <si>
    <t>00965306186</t>
  </si>
  <si>
    <t>EDER AUGUSTO DE ARAUJO CARVALHO</t>
  </si>
  <si>
    <t>03985382638</t>
  </si>
  <si>
    <t>FABIO DA CONCEICAO LIMA</t>
  </si>
  <si>
    <t>31275798888</t>
  </si>
  <si>
    <t>PTB UTGCA SP</t>
  </si>
  <si>
    <t>JOSE EUSTAQUIO DE SOUZA</t>
  </si>
  <si>
    <t>27335364191</t>
  </si>
  <si>
    <t>LUCAS PEREIRA GONCALVES</t>
  </si>
  <si>
    <t>11128978601</t>
  </si>
  <si>
    <t>JAQUELINE LEVATI PEREIRA</t>
  </si>
  <si>
    <t>01310014264</t>
  </si>
  <si>
    <t>CEF MANAUS AM</t>
  </si>
  <si>
    <t>RAUL ADRIANO DOS SANTOS</t>
  </si>
  <si>
    <t>03288831902</t>
  </si>
  <si>
    <t>LEANDRO DE QUADROS</t>
  </si>
  <si>
    <t>03461295914</t>
  </si>
  <si>
    <t>RODRIGO BOLDO</t>
  </si>
  <si>
    <t>27104988807</t>
  </si>
  <si>
    <t>ULISSES FERREIRA DE OLIVEIRA</t>
  </si>
  <si>
    <t>01595939644</t>
  </si>
  <si>
    <t>LEONARDO ORESTES SOARES</t>
  </si>
  <si>
    <t>05892698440</t>
  </si>
  <si>
    <t>JOSE VICTOR ARAUJO FELIX</t>
  </si>
  <si>
    <t>06323566346</t>
  </si>
  <si>
    <t>LUIZ GUSTAVO DI GIORGIO</t>
  </si>
  <si>
    <t>29856268893</t>
  </si>
  <si>
    <t>MATEUS DE CARVALHO BERTOL</t>
  </si>
  <si>
    <t>01304856674</t>
  </si>
  <si>
    <t>HUGO DELLA JUSTINA</t>
  </si>
  <si>
    <t>03031202902</t>
  </si>
  <si>
    <t>CARLOS ROBERTO DE CARVALHO PERES</t>
  </si>
  <si>
    <t>09867858816</t>
  </si>
  <si>
    <t>RODRIGO FRANCISCO CORREA</t>
  </si>
  <si>
    <t>03059202940</t>
  </si>
  <si>
    <t>SIDNEI MACHADO</t>
  </si>
  <si>
    <t>02710155940</t>
  </si>
  <si>
    <t>LEANDRO APARECIDO PEREIRA DA SILVA STEFANINI</t>
  </si>
  <si>
    <t>36020922839</t>
  </si>
  <si>
    <t>RAFAEL PORTO ALVES DA CRUZ</t>
  </si>
  <si>
    <t>11914988671</t>
  </si>
  <si>
    <t>SILMARA CHAVES</t>
  </si>
  <si>
    <t>02706762950</t>
  </si>
  <si>
    <t>BB TIRADENTES PR</t>
  </si>
  <si>
    <t>ROGERIO GOMES DE OLIVEIRA</t>
  </si>
  <si>
    <t>89591640030</t>
  </si>
  <si>
    <t>THALITA MANCILIO DIAS GONDIM</t>
  </si>
  <si>
    <t>30941372880</t>
  </si>
  <si>
    <t>TIAGO DE JESUS ARAUJO</t>
  </si>
  <si>
    <t>04661413199</t>
  </si>
  <si>
    <t>VANDERLEI DE SOUZA NORONHA JUNIOR</t>
  </si>
  <si>
    <t>37695259810</t>
  </si>
  <si>
    <t>RODRIGO CESAR DOS SANTOS</t>
  </si>
  <si>
    <t>07024923610</t>
  </si>
  <si>
    <t>ADAUTO JOSE PEREIRA</t>
  </si>
  <si>
    <t>85087572634</t>
  </si>
  <si>
    <t>UBIRAJARA DE ARAUJO TEIXEIRA</t>
  </si>
  <si>
    <t>74548565949</t>
  </si>
  <si>
    <t>ALEXANDRE DA SILVEIRA GROSS</t>
  </si>
  <si>
    <t>63194252020</t>
  </si>
  <si>
    <t>ALLAN JEFFERSON BRANCO RODRIGUES</t>
  </si>
  <si>
    <t>09688866717</t>
  </si>
  <si>
    <t>CRISTIANO DA SILVA VALADARES</t>
  </si>
  <si>
    <t>99062208649</t>
  </si>
  <si>
    <t>CCBB BH MINAS</t>
  </si>
  <si>
    <t>DIEGO DOS SANTOS DE JESUS</t>
  </si>
  <si>
    <t>05769658550</t>
  </si>
  <si>
    <t>PTB MARAGOGIPE BA</t>
  </si>
  <si>
    <t>DMITRI MORAIS DA SILVA</t>
  </si>
  <si>
    <t>11454991631</t>
  </si>
  <si>
    <t>BB TAMOIOS MG</t>
  </si>
  <si>
    <t>GILMAR DUARTE LACERDA</t>
  </si>
  <si>
    <t>05290622675</t>
  </si>
  <si>
    <t>BB RUA BAHIA MG</t>
  </si>
  <si>
    <t>GIOVANI DONNANTUONI</t>
  </si>
  <si>
    <t>15226997833</t>
  </si>
  <si>
    <t>HIGOR LUIZ CERQUEIRA</t>
  </si>
  <si>
    <t>33832720871</t>
  </si>
  <si>
    <t>BANCO CENTRAL PREDIAL SP</t>
  </si>
  <si>
    <t>ISABELE CRISTINE OLIVEIRA DA SILVA</t>
  </si>
  <si>
    <t>05986947576</t>
  </si>
  <si>
    <t>IMPLANTACAO</t>
  </si>
  <si>
    <t>JOSE WILKESON OLIVEIRA SILVA</t>
  </si>
  <si>
    <t>03393455354</t>
  </si>
  <si>
    <t>PTB LUBNOR CE</t>
  </si>
  <si>
    <t>LEANDRO PINTO NUNES</t>
  </si>
  <si>
    <t>08325368730</t>
  </si>
  <si>
    <t>VICTOR MIGUEL PALARO</t>
  </si>
  <si>
    <t>09265596996</t>
  </si>
  <si>
    <t>ADRIANO FRANCISCO DE PAULA</t>
  </si>
  <si>
    <t>08813588607</t>
  </si>
  <si>
    <t>LEANDRO SOUSA</t>
  </si>
  <si>
    <t>00584427905</t>
  </si>
  <si>
    <t>DENIS FERREIRA DA SILVA</t>
  </si>
  <si>
    <t>06637541435</t>
  </si>
  <si>
    <t>ORIGEM ENERGIA AL</t>
  </si>
  <si>
    <t>WAGNER DOS SANTOS PEREIRA</t>
  </si>
  <si>
    <t>94512043004</t>
  </si>
  <si>
    <t>BB SHOPPING ESTACAO PR</t>
  </si>
  <si>
    <t>ANTONIO DE PADUA LEITE</t>
  </si>
  <si>
    <t>26992280600</t>
  </si>
  <si>
    <t>VTAL CYBER MG</t>
  </si>
  <si>
    <t>LUIS CARLOS BROERING</t>
  </si>
  <si>
    <t>68187483920</t>
  </si>
  <si>
    <t>CLEITON DA SILVA MONTALVAO</t>
  </si>
  <si>
    <t>01929647638</t>
  </si>
  <si>
    <t>GENISSON DE PAIVA FERREIRA</t>
  </si>
  <si>
    <t>00714806501</t>
  </si>
  <si>
    <t>BB ARACAJU SE</t>
  </si>
  <si>
    <t>MARCELO MARCHI DURIGON JUNIOR</t>
  </si>
  <si>
    <t>40191128864</t>
  </si>
  <si>
    <t>NET FLORIANOPOLIS SC</t>
  </si>
  <si>
    <t>ALEX SANDRO PEREIRA MARQUES</t>
  </si>
  <si>
    <t>82877904091</t>
  </si>
  <si>
    <t>ANDERSON BICA PEREZ</t>
  </si>
  <si>
    <t>00053957040</t>
  </si>
  <si>
    <t>CAMILA DE OLIVEIRA VELOSO</t>
  </si>
  <si>
    <t>85076538553</t>
  </si>
  <si>
    <t>BANCO CENTRAL SALVADOR BA</t>
  </si>
  <si>
    <t>DANIELA CARVALHO STAHLER</t>
  </si>
  <si>
    <t>01066881030</t>
  </si>
  <si>
    <t>MAURICIO JOSE CARDOSO</t>
  </si>
  <si>
    <t>98394282091</t>
  </si>
  <si>
    <t>MAURICIO TRINDADE DE CAMARGO</t>
  </si>
  <si>
    <t>01816236098</t>
  </si>
  <si>
    <t>WAGNER RAFAEL GERHARDT</t>
  </si>
  <si>
    <t>00413687031</t>
  </si>
  <si>
    <t>ADIVAR ANTONIO DA SILVA JUNIOR</t>
  </si>
  <si>
    <t>28604876898</t>
  </si>
  <si>
    <t>ERICO BRUNO DA SILVA MATOS</t>
  </si>
  <si>
    <t>00011945265</t>
  </si>
  <si>
    <t>HUGO NUNES DA SILVA</t>
  </si>
  <si>
    <t>04370282918</t>
  </si>
  <si>
    <t>PAULO EDUARDO AUGUSTO DE BRITO</t>
  </si>
  <si>
    <t>12890409821</t>
  </si>
  <si>
    <t>CCBB SP</t>
  </si>
  <si>
    <t>CARLOS FRANCISCO GODOY</t>
  </si>
  <si>
    <t>82741980004</t>
  </si>
  <si>
    <t>BEN HUR MENDES OLIVEIRA</t>
  </si>
  <si>
    <t>00046347054</t>
  </si>
  <si>
    <t>DOMINIQUE SILVA DE SOUZA</t>
  </si>
  <si>
    <t>00851999077</t>
  </si>
  <si>
    <t>FLAVIO HENRIQUE ALVES ROMERO</t>
  </si>
  <si>
    <t>82871396000</t>
  </si>
  <si>
    <t>GABRIEL HENRIQUE DALL AGNOL</t>
  </si>
  <si>
    <t>09983432935</t>
  </si>
  <si>
    <t>NEUDO SAMPIETRO</t>
  </si>
  <si>
    <t>04885659957</t>
  </si>
  <si>
    <t>RICARDO DORNELES NEITZKE</t>
  </si>
  <si>
    <t>09353381959</t>
  </si>
  <si>
    <t>ROBSON FURTADO</t>
  </si>
  <si>
    <t>05236669936</t>
  </si>
  <si>
    <t>EDER MEDICI</t>
  </si>
  <si>
    <t>03040370952</t>
  </si>
  <si>
    <t>HEDER SILVA CAMPODONICO</t>
  </si>
  <si>
    <t>03066906086</t>
  </si>
  <si>
    <t>JOAO DA SILVA VIANA</t>
  </si>
  <si>
    <t>88367550978</t>
  </si>
  <si>
    <t>JONAS PAULO DE MATOS</t>
  </si>
  <si>
    <t>69010544915</t>
  </si>
  <si>
    <t>JOSE DO PRADO ROSA</t>
  </si>
  <si>
    <t>78296277972</t>
  </si>
  <si>
    <t>JULIANO MESSIAS MOREIRA DE LIMA</t>
  </si>
  <si>
    <t>10649064941</t>
  </si>
  <si>
    <t>LEANDRO APARECIDO JAQUES</t>
  </si>
  <si>
    <t>02586212908</t>
  </si>
  <si>
    <t>MAURO PEDRO SAUGO</t>
  </si>
  <si>
    <t>90573625972</t>
  </si>
  <si>
    <t>ALLAN CRISTIAN DA CUNHA</t>
  </si>
  <si>
    <t>10132301911</t>
  </si>
  <si>
    <t>JOSE NEI DOS SANTOS DUTRA</t>
  </si>
  <si>
    <t>55278612053</t>
  </si>
  <si>
    <t>LUCIANO JOSE DA CUNHA</t>
  </si>
  <si>
    <t>03443300952</t>
  </si>
  <si>
    <t>NIVALDO THIAGO DA CRUZ SANTOS</t>
  </si>
  <si>
    <t>04442316929</t>
  </si>
  <si>
    <t>ADILSON RODRIGUES FERREIRA</t>
  </si>
  <si>
    <t>02730895795</t>
  </si>
  <si>
    <t>DIRETORIA TECNICA</t>
  </si>
  <si>
    <t>DIRETORIA</t>
  </si>
  <si>
    <t>FERNANDA ARAGÃO</t>
  </si>
  <si>
    <t>ADMILSON DA SILVA FARIAS</t>
  </si>
  <si>
    <t>02410875467</t>
  </si>
  <si>
    <t>ADRIANA DA CONCEICAO PEREIRA DE MELO</t>
  </si>
  <si>
    <t>10279969490</t>
  </si>
  <si>
    <t>MARIA EDUARDA ARAGAO</t>
  </si>
  <si>
    <t>10363402950</t>
  </si>
  <si>
    <t>CEF SUL SC</t>
  </si>
  <si>
    <t>ADRIANO BORGES TEIXEIRA</t>
  </si>
  <si>
    <t>65085825004</t>
  </si>
  <si>
    <t>AFONSO FIORELLO CARVALHO</t>
  </si>
  <si>
    <t>04982917906</t>
  </si>
  <si>
    <t>AILTON MENDES AGUILAR</t>
  </si>
  <si>
    <t>06304071698</t>
  </si>
  <si>
    <t>LUAN THIAGO DA SILVA</t>
  </si>
  <si>
    <t>08030478437</t>
  </si>
  <si>
    <t>ALEKSANDER GONCALVES DE ALMEIDA</t>
  </si>
  <si>
    <t>02299450076</t>
  </si>
  <si>
    <t>DEFENSORIA PUBLICA RS</t>
  </si>
  <si>
    <t>ALEX SANDRO RAMBO</t>
  </si>
  <si>
    <t>10021879907</t>
  </si>
  <si>
    <t>ALEXANDRE MACHADO DA CONCEICAO</t>
  </si>
  <si>
    <t>00383390729</t>
  </si>
  <si>
    <t>ALEXSANDRO SANTOS DA CONCEICAO</t>
  </si>
  <si>
    <t>80888984049</t>
  </si>
  <si>
    <t>ALMIR DA SILVA SOARES</t>
  </si>
  <si>
    <t>49991787020</t>
  </si>
  <si>
    <t>AMARAL RODRIGUES NUNES</t>
  </si>
  <si>
    <t>01783625651</t>
  </si>
  <si>
    <t>BB TEOFILO OTONI MG</t>
  </si>
  <si>
    <t>PAULO ALEXANDRE DE AMORIM</t>
  </si>
  <si>
    <t>04179369907</t>
  </si>
  <si>
    <t>ANDERSON MARTINS ELIZEU</t>
  </si>
  <si>
    <t>04935033665</t>
  </si>
  <si>
    <t>ANDRE ARANHA MEISTER</t>
  </si>
  <si>
    <t>03032275326</t>
  </si>
  <si>
    <t>ANDRE DE MOURA ESCOBAR</t>
  </si>
  <si>
    <t>01783593008</t>
  </si>
  <si>
    <t>NET SERRA RS</t>
  </si>
  <si>
    <t>ANDRE LUIZ DOS SANTOS OLIVEIRA</t>
  </si>
  <si>
    <t>98603434034</t>
  </si>
  <si>
    <t>ANDREA ANTUNES GOMES</t>
  </si>
  <si>
    <t>06931043765</t>
  </si>
  <si>
    <t>ANELISE MENDONCA DE AVILA</t>
  </si>
  <si>
    <t>02873491019</t>
  </si>
  <si>
    <t>ADMINISTRATIVO</t>
  </si>
  <si>
    <t>ANGELICA SOARES AMARANTE SILVA</t>
  </si>
  <si>
    <t>07643300712</t>
  </si>
  <si>
    <t>ADM FILIAL CO</t>
  </si>
  <si>
    <t>PAULO MARQUES TAVARES</t>
  </si>
  <si>
    <t>00147552621</t>
  </si>
  <si>
    <t>MARCIO FERNANDES DE ARAUJO</t>
  </si>
  <si>
    <t>00549705392</t>
  </si>
  <si>
    <t>CARLOS FERNANDO ATAIDES NOGUEIRA</t>
  </si>
  <si>
    <t>94080739087</t>
  </si>
  <si>
    <t>CARLOS FERNANDO PAINES SILVA</t>
  </si>
  <si>
    <t>00598396004</t>
  </si>
  <si>
    <t>CARLOS GONZAGA ARAGAO</t>
  </si>
  <si>
    <t>30336341920</t>
  </si>
  <si>
    <t>DIRETOR PRESIDENTE</t>
  </si>
  <si>
    <t>CAROLINE DA SILVA</t>
  </si>
  <si>
    <t>07258477942</t>
  </si>
  <si>
    <t>CHARLES MACIEL CAVALHEIRO</t>
  </si>
  <si>
    <t>94742740297</t>
  </si>
  <si>
    <t>CLEITON TAVARES JARDIM</t>
  </si>
  <si>
    <t>01065504039</t>
  </si>
  <si>
    <t>DANIEL DUARTE ALVES</t>
  </si>
  <si>
    <t>30116167874</t>
  </si>
  <si>
    <t>DIRETORIA FINANCEIRA</t>
  </si>
  <si>
    <t>DANIEL PORFIRIO DE SOUSA</t>
  </si>
  <si>
    <t>05036681681</t>
  </si>
  <si>
    <t>DARLAN SPIER PAZ</t>
  </si>
  <si>
    <t>02288889055</t>
  </si>
  <si>
    <t>DAVID DA SILVA PEREIRA</t>
  </si>
  <si>
    <t>02344854002</t>
  </si>
  <si>
    <t>OI PREDIAL E LIMPEZA RS</t>
  </si>
  <si>
    <t>DEMETRIUS LOPES GIANGROSSI</t>
  </si>
  <si>
    <t>63818302049</t>
  </si>
  <si>
    <t>DIONATAN PATRICK SOUZA DIAS</t>
  </si>
  <si>
    <t>02034144031</t>
  </si>
  <si>
    <t>PEDRO ALBERTO AMBROSIO ROCHA</t>
  </si>
  <si>
    <t>61328323358</t>
  </si>
  <si>
    <t>DIVANIA RITA DE SOUSA ASSIS FREITAS</t>
  </si>
  <si>
    <t>00508936616</t>
  </si>
  <si>
    <t>PRISCILA GOTARDO PEREIRA</t>
  </si>
  <si>
    <t>05168980945</t>
  </si>
  <si>
    <t>RAFAEL DORNELLES</t>
  </si>
  <si>
    <t>08214541964</t>
  </si>
  <si>
    <t>NET CHAPECO SC</t>
  </si>
  <si>
    <t>EDILENE CRISTIANA DA SILVA ZIMMERMANN</t>
  </si>
  <si>
    <t>70741247453</t>
  </si>
  <si>
    <t>EDISON FERREIRA GONCALVES</t>
  </si>
  <si>
    <t>77522532000</t>
  </si>
  <si>
    <t>EDJUNIO FERNANDES DE SANTANA</t>
  </si>
  <si>
    <t>31118068807</t>
  </si>
  <si>
    <t>EDNALDO DE ALMEIDA SANTOS</t>
  </si>
  <si>
    <t>48353639491</t>
  </si>
  <si>
    <t>BB ARAPIRACA MACEIO AL</t>
  </si>
  <si>
    <t>EDNEI SANTOS SANTANA</t>
  </si>
  <si>
    <t>29022227855</t>
  </si>
  <si>
    <t>EDNEI SANTANA</t>
  </si>
  <si>
    <t>EDSON DA SILVA DELLINGHAUSEN</t>
  </si>
  <si>
    <t>92958028020</t>
  </si>
  <si>
    <t>04538502944</t>
  </si>
  <si>
    <t>ELISA SILVA SCHNEIDER</t>
  </si>
  <si>
    <t>36656091865</t>
  </si>
  <si>
    <t>ELOI JOSE DE FIGUEIREDO NETO</t>
  </si>
  <si>
    <t>65681053920</t>
  </si>
  <si>
    <t>DIRETORIA DE GESTAO DE CONTRATOS</t>
  </si>
  <si>
    <t>ERASMO PEREIRA MONTEIRO</t>
  </si>
  <si>
    <t>01773622781</t>
  </si>
  <si>
    <t>CEF CAMPOS RJ</t>
  </si>
  <si>
    <t>ERIVAN RODRIGUES GOMES</t>
  </si>
  <si>
    <t>73661724215</t>
  </si>
  <si>
    <t>EVERSON CESAR GAIDSTIECHI</t>
  </si>
  <si>
    <t>02817685954</t>
  </si>
  <si>
    <t>ADILSON RODRIGUES</t>
  </si>
  <si>
    <t>FABIANO LITTER</t>
  </si>
  <si>
    <t>00295085096</t>
  </si>
  <si>
    <t>WELLINGTON ARION TAVARES</t>
  </si>
  <si>
    <t>04747951954</t>
  </si>
  <si>
    <t>FABRICIO SANTOS DA COSTA</t>
  </si>
  <si>
    <t>09410182700</t>
  </si>
  <si>
    <t>FELIPE MELILLO FONTAN</t>
  </si>
  <si>
    <t>03724780931</t>
  </si>
  <si>
    <t>DIRETORIA COMERCIAL</t>
  </si>
  <si>
    <t>FILIPE MENEZES KLING</t>
  </si>
  <si>
    <t>10664298710</t>
  </si>
  <si>
    <t>PTB CENPES RJ</t>
  </si>
  <si>
    <t>RAFAEL MENESES</t>
  </si>
  <si>
    <t>92949428053</t>
  </si>
  <si>
    <t>FLAVIO PEREIRA DE SOUZA</t>
  </si>
  <si>
    <t>06109625663</t>
  </si>
  <si>
    <t>FRANCIELLY FELIX CAVALCANTE DE ANDRADE</t>
  </si>
  <si>
    <t>09276240446</t>
  </si>
  <si>
    <t>MARIO SERGIO DE MENEZES MARQUES BORGES</t>
  </si>
  <si>
    <t>02644012473</t>
  </si>
  <si>
    <t>FRANCISCA VALERIA LIMA PORTELA</t>
  </si>
  <si>
    <t>04163355359</t>
  </si>
  <si>
    <t>FRANCISCO CARLOS GULLO DI MARCO</t>
  </si>
  <si>
    <t>05197099771</t>
  </si>
  <si>
    <t>FRANCISCO MICHAEL CASTRO FERNANDES</t>
  </si>
  <si>
    <t>04280602344</t>
  </si>
  <si>
    <t>FRANCISCO RICARDO DOS SANTOS</t>
  </si>
  <si>
    <t>00058507035</t>
  </si>
  <si>
    <t>FREDERICO PEDROSO FERNANDES</t>
  </si>
  <si>
    <t>97290076087</t>
  </si>
  <si>
    <t>GABRIEL CABRAL DA SILVA</t>
  </si>
  <si>
    <t>01222428903</t>
  </si>
  <si>
    <t>ROBERTO DOMINGUES PEREIRA</t>
  </si>
  <si>
    <t>81480261068</t>
  </si>
  <si>
    <t>GERSON OLIVEIRA DE CARVALHO</t>
  </si>
  <si>
    <t>78003652553</t>
  </si>
  <si>
    <t>GERSON PEREIRA</t>
  </si>
  <si>
    <t>38950693291</t>
  </si>
  <si>
    <t>GILBERTO DE ALMEIDA</t>
  </si>
  <si>
    <t>43089240068</t>
  </si>
  <si>
    <t>GISELE CRISTINE DE SOUZA</t>
  </si>
  <si>
    <t>93227965968</t>
  </si>
  <si>
    <t>GLAUBERTY CANDIDO COELHO</t>
  </si>
  <si>
    <t>96357193615</t>
  </si>
  <si>
    <t>BB DIVINOPOLIS MG</t>
  </si>
  <si>
    <t>GUILHERME FELIPPE DE MEDEIROS</t>
  </si>
  <si>
    <t>04879971901</t>
  </si>
  <si>
    <t>GUILHERME FORTKAMP PROENCA</t>
  </si>
  <si>
    <t>07568146936</t>
  </si>
  <si>
    <t>GUSTAVO GONCALVES DA SILVA</t>
  </si>
  <si>
    <t>05113856096</t>
  </si>
  <si>
    <t>HELDER USTULIN</t>
  </si>
  <si>
    <t>37562230862</t>
  </si>
  <si>
    <t>HENRIQUE ALMEIDA LAIGNIER</t>
  </si>
  <si>
    <t>10420741607</t>
  </si>
  <si>
    <t>HERLANDSON BRUNO CARNEIRO MATIAS</t>
  </si>
  <si>
    <t>67192793353</t>
  </si>
  <si>
    <t>IGOR LOPES VARGAS</t>
  </si>
  <si>
    <t>85389161068</t>
  </si>
  <si>
    <t>ILMAR FONTES VIEIRA</t>
  </si>
  <si>
    <t>22136444972</t>
  </si>
  <si>
    <t>ISMAEL WEBER</t>
  </si>
  <si>
    <t>84002867072</t>
  </si>
  <si>
    <t>ITAMAR SOUZA LOPES</t>
  </si>
  <si>
    <t>01561326569</t>
  </si>
  <si>
    <t>JADERSON ARAUJO FERREIRA</t>
  </si>
  <si>
    <t>09176097609</t>
  </si>
  <si>
    <t>BB MONTES CLAROS MG</t>
  </si>
  <si>
    <t>JOAO COSTA DE LIMA FILHO</t>
  </si>
  <si>
    <t>03096905363</t>
  </si>
  <si>
    <t>JOAO MARCELO MARTINS DA SILVA BARBOSA</t>
  </si>
  <si>
    <t>09796227789</t>
  </si>
  <si>
    <t>JONATA OLIVEIRA DA SILVA</t>
  </si>
  <si>
    <t>84736305053</t>
  </si>
  <si>
    <t>JORDAN DA SILVA ROCHA VIDAL</t>
  </si>
  <si>
    <t>02344139214</t>
  </si>
  <si>
    <t>JOSE VALDOIR LEITE</t>
  </si>
  <si>
    <t>31179509072</t>
  </si>
  <si>
    <t>JULIANO SALBEGO ROSBACK</t>
  </si>
  <si>
    <t>96760265068</t>
  </si>
  <si>
    <t>RODRIGO DE SOUZA ROSA</t>
  </si>
  <si>
    <t>03583938925</t>
  </si>
  <si>
    <t>KEVIN WILLIAMS COUTINHO BEZERRA PENA</t>
  </si>
  <si>
    <t>02061809260</t>
  </si>
  <si>
    <t>NERTAN DE CASTRO MAIA</t>
  </si>
  <si>
    <t>31668267349</t>
  </si>
  <si>
    <t>LAURO FURTADO NETO</t>
  </si>
  <si>
    <t>05672070728</t>
  </si>
  <si>
    <t>LEANDRO AUGUSTO KOHL</t>
  </si>
  <si>
    <t>92841147053</t>
  </si>
  <si>
    <t>LEANDRO EGAS</t>
  </si>
  <si>
    <t>28997488821</t>
  </si>
  <si>
    <t>LEANDRO TONANI</t>
  </si>
  <si>
    <t>13975476770</t>
  </si>
  <si>
    <t>LEONARDO SCHNEIDER AVILA</t>
  </si>
  <si>
    <t>99322765020</t>
  </si>
  <si>
    <t>LETICIA ANGENITA SCHEIMANN BAUER</t>
  </si>
  <si>
    <t>10053877969</t>
  </si>
  <si>
    <t>LISANDRO DA SILVA LOURENCO</t>
  </si>
  <si>
    <t>00752874047</t>
  </si>
  <si>
    <t>LOI BATISTA ANTUNES SARAIVA</t>
  </si>
  <si>
    <t>71249702020</t>
  </si>
  <si>
    <t>LUCAS ALECSANDER RIBEIRO</t>
  </si>
  <si>
    <t>07461612980</t>
  </si>
  <si>
    <t>LUCAS DANIEL DE SOUSA ARAUJO</t>
  </si>
  <si>
    <t>06972029252</t>
  </si>
  <si>
    <t>LUCAS DIOVANI CASTRO BERNARDO</t>
  </si>
  <si>
    <t>03520117002</t>
  </si>
  <si>
    <t>LUCIANA APARECIDA SIMAO DA SILVA</t>
  </si>
  <si>
    <t>05188228939</t>
  </si>
  <si>
    <t>RODRIGO ROBERTO DE SOUZA</t>
  </si>
  <si>
    <t>05664820969</t>
  </si>
  <si>
    <t>BB GRANDE FLORIANOPOLIS SC</t>
  </si>
  <si>
    <t>LUIS CARLOS GARCIA SANTOS</t>
  </si>
  <si>
    <t>00845117530</t>
  </si>
  <si>
    <t>LUIS HENRIQUE DA SILVA BUHL</t>
  </si>
  <si>
    <t>02728013055</t>
  </si>
  <si>
    <t>WELTON GERALDO WROBLEWSKI</t>
  </si>
  <si>
    <t>91443130982</t>
  </si>
  <si>
    <t>LUIZ HUMBERTO LEMES</t>
  </si>
  <si>
    <t>59228830620</t>
  </si>
  <si>
    <t>MARCELA CARVALHO LEITAO</t>
  </si>
  <si>
    <t>00827902212</t>
  </si>
  <si>
    <t>OI PREDIAL E LIMPEZA CO</t>
  </si>
  <si>
    <t>MARCELO JUNIOR DE AZEVEDO TEIXEIRA</t>
  </si>
  <si>
    <t>11082292710</t>
  </si>
  <si>
    <t>CEF VOLTA REDONDA RJ</t>
  </si>
  <si>
    <t>RODRIGO ROQUE</t>
  </si>
  <si>
    <t>02062513941</t>
  </si>
  <si>
    <t>CORREIOS SAO JOSE SC</t>
  </si>
  <si>
    <t>MARCELO WELTER</t>
  </si>
  <si>
    <t>48577596087</t>
  </si>
  <si>
    <t>NET CAXIAS RS</t>
  </si>
  <si>
    <t>MARCIA CRISTINA DA CUNHA SCATAMBULO</t>
  </si>
  <si>
    <t>27375810877</t>
  </si>
  <si>
    <t>DEPARTAMENTO PESSOAL</t>
  </si>
  <si>
    <t>MARCIA SCATAMBULO</t>
  </si>
  <si>
    <t>MARCIO CAMPOS RIBEIRO</t>
  </si>
  <si>
    <t>17427326822</t>
  </si>
  <si>
    <t>THIAGO PEREIRA DE LIMA</t>
  </si>
  <si>
    <t>06478105490</t>
  </si>
  <si>
    <t>MAURICIO SIMOES FARIAS JUNIOR</t>
  </si>
  <si>
    <t>03021129013</t>
  </si>
  <si>
    <t>BB CONJUNTO ANCHIETA RS</t>
  </si>
  <si>
    <t>MAURO DE OLIVEIRA CERINO</t>
  </si>
  <si>
    <t>89317599672</t>
  </si>
  <si>
    <t>MAURO FERREIRA DIAS</t>
  </si>
  <si>
    <t>07559357725</t>
  </si>
  <si>
    <t>Cartão não habilitado</t>
  </si>
  <si>
    <t>MAYKON JEAN RIBEIRO FERREIRA</t>
  </si>
  <si>
    <t>00103505199</t>
  </si>
  <si>
    <t>MELSO CEZAR DA SILVA NETO</t>
  </si>
  <si>
    <t>02079878077</t>
  </si>
  <si>
    <t>MIGUEL JOAO DINIS MOTA</t>
  </si>
  <si>
    <t>95053719004</t>
  </si>
  <si>
    <t>MILTON FLECK PITROWSKI</t>
  </si>
  <si>
    <t>00819451088</t>
  </si>
  <si>
    <t>CEITEC RS</t>
  </si>
  <si>
    <t>NELSON FILIPE MARTINS DA SILVA</t>
  </si>
  <si>
    <t>02653570041</t>
  </si>
  <si>
    <t>NICOLAS BAIRROS VIDA</t>
  </si>
  <si>
    <t>01987370090</t>
  </si>
  <si>
    <t>NILTON FARIAS JUNIOR</t>
  </si>
  <si>
    <t>02834447977</t>
  </si>
  <si>
    <t>NILTON SANTOS DA SILVA</t>
  </si>
  <si>
    <t>63424770000</t>
  </si>
  <si>
    <t>OSMAN DOS SANTOS MORAIS JUNIOR</t>
  </si>
  <si>
    <t>00846379945</t>
  </si>
  <si>
    <t>ARENANET</t>
  </si>
  <si>
    <t>PAULO OLDAIR CUNHA PINTO</t>
  </si>
  <si>
    <t>72747072053</t>
  </si>
  <si>
    <t>PAULO TIAGO SANTOS DA SILVA</t>
  </si>
  <si>
    <t>85769185015</t>
  </si>
  <si>
    <t>SANDRO BARRETO DE SOUZA</t>
  </si>
  <si>
    <t>78021324953</t>
  </si>
  <si>
    <t>PRISCILA MORAES</t>
  </si>
  <si>
    <t>03738994912</t>
  </si>
  <si>
    <t>CUSTOS</t>
  </si>
  <si>
    <t>THIAGO DUARTE VARGAS</t>
  </si>
  <si>
    <t>03159859096</t>
  </si>
  <si>
    <t>TIAGO BRANCO DE BARROS</t>
  </si>
  <si>
    <t>02777503001</t>
  </si>
  <si>
    <t>RAFAEL ROCHA MOURA</t>
  </si>
  <si>
    <t>35160538879</t>
  </si>
  <si>
    <t>PTB REVAP SP</t>
  </si>
  <si>
    <t>RAMONY AVYSSON GOMES DA SILVA</t>
  </si>
  <si>
    <t>06092178443</t>
  </si>
  <si>
    <t>RAYMUNDO FABIO PINHEIRO DE SOUZA</t>
  </si>
  <si>
    <t>77348443249</t>
  </si>
  <si>
    <t>RENAN VICTORIO DE LIMA</t>
  </si>
  <si>
    <t>36447007888</t>
  </si>
  <si>
    <t>RICARDO NASCIMENTO LUIZ</t>
  </si>
  <si>
    <t>08997474774</t>
  </si>
  <si>
    <t>ROBERT RUFINO DE SOUZA CAETANO</t>
  </si>
  <si>
    <t>03937438106</t>
  </si>
  <si>
    <t>ROBSON DA LUZ DA SILVA</t>
  </si>
  <si>
    <t>99489520063</t>
  </si>
  <si>
    <t>RODRIGO ALFAMA FURTADO</t>
  </si>
  <si>
    <t>02481128052</t>
  </si>
  <si>
    <t>VALDEMIR ANTONIO CORREA JUNIOR</t>
  </si>
  <si>
    <t>00753788926</t>
  </si>
  <si>
    <t>RODRIGO RIOS VELOSO</t>
  </si>
  <si>
    <t>65590015391</t>
  </si>
  <si>
    <t>PTB LUBNOR CE PACOTES</t>
  </si>
  <si>
    <t>27000085886</t>
  </si>
  <si>
    <t>RONIO JOSE ROSA</t>
  </si>
  <si>
    <t>83649603691</t>
  </si>
  <si>
    <t>SERGIO ADOLFO SOARES</t>
  </si>
  <si>
    <t>28707818068</t>
  </si>
  <si>
    <t>SILVIO VINICIUS PINHEIRO GOES</t>
  </si>
  <si>
    <t>51182084168</t>
  </si>
  <si>
    <t>VINICIUS PEIXOTO BONETTI</t>
  </si>
  <si>
    <t>09785002969</t>
  </si>
  <si>
    <t>ARTERIS LITORAL SUL SC</t>
  </si>
  <si>
    <t>THIAGO NEVES DE FREITAS</t>
  </si>
  <si>
    <t>01017484937</t>
  </si>
  <si>
    <t>DIRETORIA ADMINISTRATIVA</t>
  </si>
  <si>
    <t>THUANE DE OLIVEIRA MILSONI</t>
  </si>
  <si>
    <t>02864195054</t>
  </si>
  <si>
    <t>TIAGO ALVES PINTO</t>
  </si>
  <si>
    <t>00937761958</t>
  </si>
  <si>
    <t>TIAGO BEZERRA CAMARGO</t>
  </si>
  <si>
    <t>01599752042</t>
  </si>
  <si>
    <t>TIAGO DE FREITAS KAISER</t>
  </si>
  <si>
    <t>00738724076</t>
  </si>
  <si>
    <t>TIAGO LUIZ MARTINS</t>
  </si>
  <si>
    <t>03207571026</t>
  </si>
  <si>
    <t>TOBIAS DA CRUZ</t>
  </si>
  <si>
    <t>01253419035</t>
  </si>
  <si>
    <t>TONY RAMOS VENANCIO</t>
  </si>
  <si>
    <t>09175419602</t>
  </si>
  <si>
    <t>WILLIAM ANTONIO MARTELET STEFANO</t>
  </si>
  <si>
    <t>87451433072</t>
  </si>
  <si>
    <t>NET NORTE SC</t>
  </si>
  <si>
    <t>VICTOR HUGO MONTEIRO FREIRE</t>
  </si>
  <si>
    <t>06496973407</t>
  </si>
  <si>
    <t>VICTOR LEONARDO LIMA DA CRUZ</t>
  </si>
  <si>
    <t>01512027022</t>
  </si>
  <si>
    <t>WANDEILSON EMIDIO MARTINS PEREIRA</t>
  </si>
  <si>
    <t>10820966444</t>
  </si>
  <si>
    <t>WELLINGTON SILVA DE AGUIAR</t>
  </si>
  <si>
    <t>04403012035</t>
  </si>
  <si>
    <t>WERYKSON ISRAEL DE BEM PIRES</t>
  </si>
  <si>
    <t>02055553143</t>
  </si>
  <si>
    <t>WESLEY CARLOS AUGUSTO</t>
  </si>
  <si>
    <t>05676820640</t>
  </si>
  <si>
    <t>WILKINSON KECIO SILVA BARBOSA</t>
  </si>
  <si>
    <t>09080606456</t>
  </si>
  <si>
    <t>WILLIAN CARLOS RODRIGUES VIEIRA</t>
  </si>
  <si>
    <t>06665220907</t>
  </si>
  <si>
    <t>TELEFONICA PR</t>
  </si>
  <si>
    <t>WILSON JOAQUIM CAMPOS</t>
  </si>
  <si>
    <t>06274547983</t>
  </si>
  <si>
    <t>WILSON LUIZ CABRAL</t>
  </si>
  <si>
    <t>46736328187</t>
  </si>
  <si>
    <t>BB GOIANIA GO</t>
  </si>
  <si>
    <t>Rótulos de Linha</t>
  </si>
  <si>
    <t xml:space="preserve">Soma de CARGA FINAL 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</si>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</sst>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836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/>
    <xf numFmtId="4" fontId="0" fillId="0" borderId="0" xfId="0" applyNumberFormat="1" applyAlignment="1">
      <alignment horizontal="center"/>
    </xf>
    <xf numFmtId="43" fontId="3" fillId="0" borderId="1" xfId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2" fontId="0" fillId="0" borderId="0" xfId="1" applyNumberFormat="1" applyFont="1"/>
    <xf numFmtId="43" fontId="3" fillId="0" borderId="3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4" fontId="3" fillId="3" borderId="0" xfId="1" applyNumberFormat="1" applyFont="1" applyFill="1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" fontId="8" fillId="0" borderId="8" xfId="0" applyNumberFormat="1" applyFont="1" applyBorder="1" applyAlignment="1">
      <alignment horizontal="center"/>
    </xf>
    <xf numFmtId="43" fontId="8" fillId="0" borderId="8" xfId="1" applyFont="1" applyFill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 vertical="center"/>
    </xf>
    <xf numFmtId="0" fontId="9" fillId="0" borderId="0" xfId="0" applyFont="1"/>
    <xf numFmtId="0" fontId="9" fillId="2" borderId="0" xfId="0" applyFont="1" applyFill="1"/>
    <xf numFmtId="43" fontId="0" fillId="2" borderId="0" xfId="1" applyFont="1" applyFill="1"/>
    <xf numFmtId="1" fontId="8" fillId="0" borderId="9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43" fontId="8" fillId="0" borderId="11" xfId="1" applyFont="1" applyFill="1" applyBorder="1" applyAlignment="1">
      <alignment horizontal="center"/>
    </xf>
    <xf numFmtId="44" fontId="8" fillId="0" borderId="8" xfId="1" applyNumberFormat="1" applyFont="1" applyFill="1" applyBorder="1" applyAlignment="1">
      <alignment horizontal="center"/>
    </xf>
    <xf numFmtId="44" fontId="8" fillId="0" borderId="11" xfId="1" applyNumberFormat="1" applyFont="1" applyFill="1" applyBorder="1" applyAlignment="1">
      <alignment horizontal="center"/>
    </xf>
    <xf numFmtId="4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44" fontId="5" fillId="5" borderId="7" xfId="0" applyNumberFormat="1" applyFont="1" applyFill="1" applyBorder="1" applyAlignment="1">
      <alignment horizontal="center" vertical="center"/>
    </xf>
    <xf numFmtId="44" fontId="8" fillId="0" borderId="9" xfId="1" applyNumberFormat="1" applyFont="1" applyFill="1" applyBorder="1" applyAlignment="1">
      <alignment horizontal="center"/>
    </xf>
    <xf numFmtId="44" fontId="8" fillId="2" borderId="8" xfId="2" applyFont="1" applyFill="1" applyBorder="1" applyAlignment="1">
      <alignment horizontal="center"/>
    </xf>
    <xf numFmtId="43" fontId="8" fillId="0" borderId="10" xfId="1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3" borderId="8" xfId="0" applyNumberFormat="1" applyFont="1" applyFill="1" applyBorder="1" applyAlignment="1">
      <alignment horizontal="center" vertical="center"/>
    </xf>
    <xf numFmtId="43" fontId="8" fillId="0" borderId="12" xfId="1" applyFont="1" applyFill="1" applyBorder="1" applyAlignment="1">
      <alignment horizontal="center"/>
    </xf>
    <xf numFmtId="44" fontId="8" fillId="0" borderId="8" xfId="2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4" fontId="8" fillId="0" borderId="11" xfId="2" applyFont="1" applyFill="1" applyBorder="1" applyAlignment="1">
      <alignment horizontal="center"/>
    </xf>
    <xf numFmtId="44" fontId="8" fillId="0" borderId="13" xfId="1" applyNumberFormat="1" applyFont="1" applyFill="1" applyBorder="1" applyAlignment="1">
      <alignment horizontal="center"/>
    </xf>
    <xf numFmtId="44" fontId="8" fillId="2" borderId="11" xfId="2" applyFont="1" applyFill="1" applyBorder="1" applyAlignment="1">
      <alignment horizontal="center"/>
    </xf>
    <xf numFmtId="1" fontId="8" fillId="0" borderId="11" xfId="0" applyNumberFormat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1" fontId="6" fillId="7" borderId="8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43" fontId="6" fillId="7" borderId="8" xfId="1" applyFont="1" applyFill="1" applyBorder="1" applyAlignment="1">
      <alignment horizontal="center"/>
    </xf>
    <xf numFmtId="43" fontId="6" fillId="9" borderId="8" xfId="1" applyFont="1" applyFill="1" applyBorder="1" applyAlignment="1">
      <alignment horizontal="center"/>
    </xf>
    <xf numFmtId="43" fontId="7" fillId="5" borderId="8" xfId="1" applyFont="1" applyFill="1" applyBorder="1" applyAlignment="1">
      <alignment horizontal="center"/>
    </xf>
    <xf numFmtId="43" fontId="6" fillId="10" borderId="8" xfId="1" applyFont="1" applyFill="1" applyBorder="1" applyAlignment="1">
      <alignment horizontal="center"/>
    </xf>
    <xf numFmtId="44" fontId="7" fillId="11" borderId="8" xfId="1" applyNumberFormat="1" applyFont="1" applyFill="1" applyBorder="1" applyAlignment="1">
      <alignment horizontal="center"/>
    </xf>
    <xf numFmtId="43" fontId="6" fillId="3" borderId="8" xfId="1" applyFont="1" applyFill="1" applyBorder="1" applyAlignment="1">
      <alignment horizontal="center"/>
    </xf>
    <xf numFmtId="43" fontId="6" fillId="12" borderId="8" xfId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43" fontId="7" fillId="13" borderId="8" xfId="1" applyFont="1" applyFill="1" applyBorder="1" applyAlignment="1">
      <alignment horizontal="center"/>
    </xf>
    <xf numFmtId="43" fontId="8" fillId="0" borderId="8" xfId="1" applyFont="1" applyFill="1" applyBorder="1" applyAlignment="1"/>
    <xf numFmtId="44" fontId="8" fillId="3" borderId="8" xfId="1" applyNumberFormat="1" applyFont="1" applyFill="1" applyBorder="1" applyAlignment="1">
      <alignment horizontal="center"/>
    </xf>
    <xf numFmtId="0" fontId="0" fillId="0" borderId="0" xfId="0" pivotButton="1"/>
    <xf numFmtId="1" fontId="0" fillId="0" borderId="0" xfId="0" applyNumberFormat="1" applyAlignment="1">
      <alignment horizontal="left"/>
    </xf>
    <xf numFmtId="44" fontId="0" fillId="0" borderId="0" xfId="0" applyNumberFormat="1"/>
    <xf numFmtId="43" fontId="3" fillId="4" borderId="5" xfId="1" applyFont="1" applyFill="1" applyBorder="1" applyAlignment="1">
      <alignment vertical="center"/>
    </xf>
    <xf numFmtId="43" fontId="3" fillId="4" borderId="6" xfId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95248</xdr:colOff>
      <xdr:row>0</xdr:row>
      <xdr:rowOff>95251</xdr:rowOff>
    </xdr:from>
    <xdr:to>
      <xdr:col>9</xdr:col>
      <xdr:colOff>1200150</xdr:colOff>
      <xdr:row>3</xdr:row>
      <xdr:rowOff>304800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GESTOR">
              <a:extLst>
                <a:ext uri="{FF2B5EF4-FFF2-40B4-BE49-F238E27FC236}">
                  <a16:creationId xmlns:a16="http://schemas.microsoft.com/office/drawing/2014/main" id="{9EEAD6EC-F878-49EC-A91A-666F188D41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3" y="95251"/>
              <a:ext cx="2581277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667915393518" createdVersion="8" refreshedVersion="8" minRefreshableVersion="3" recordCount="219" xr:uid="{3A978615-7BEB-48FE-B2CF-18167B760BBB}">
  <cacheSource type="worksheet">
    <worksheetSource name="Tabela13"/>
  </cacheSource>
  <cacheFields count="7">
    <cacheField name="PORTADOR" numFmtId="0">
      <sharedItems/>
    </cacheField>
    <cacheField name="CPF" numFmtId="0">
      <sharedItems/>
    </cacheField>
    <cacheField name="CENTRO CUSTO" numFmtId="1">
      <sharedItems/>
    </cacheField>
    <cacheField name="COD CENTRO CUSTO" numFmtId="1">
      <sharedItems containsSemiMixedTypes="0" containsString="0" containsNumber="1" containsInteger="1" minValue="1201005" maxValue="12010580001" count="103">
        <n v="11030260001"/>
        <n v="11030290001"/>
        <n v="11061860001"/>
        <n v="11040040001"/>
        <n v="11030870001"/>
        <n v="11061870001"/>
        <n v="11030830001"/>
        <n v="11030860001"/>
        <n v="1104150001"/>
        <n v="11030660001"/>
        <n v="11030610001"/>
        <n v="11061770001"/>
        <n v="11030650001"/>
        <n v="11030620001"/>
        <n v="11030840001"/>
        <n v="11030590001"/>
        <n v="11030690001"/>
        <n v="11061430001"/>
        <n v="11030600001"/>
        <n v="11030880001"/>
        <n v="11062350001"/>
        <n v="11061880001"/>
        <n v="11030750001"/>
        <n v="11040130001"/>
        <n v="11040170001"/>
        <n v="11030780001"/>
        <n v="11040160001"/>
        <n v="11061480001"/>
        <n v="11030850001"/>
        <n v="11061490001"/>
        <n v="11080370001"/>
        <n v="11030900001"/>
        <n v="11030770001"/>
        <n v="11062270001"/>
        <n v="11010370001"/>
        <n v="11060700001"/>
        <n v="11080440001"/>
        <n v="11030640001"/>
        <n v="1201020"/>
        <n v="11080150001"/>
        <n v="11030570001"/>
        <n v="11061820001"/>
        <n v="11061720001"/>
        <n v="11030890001"/>
        <n v="11080230001"/>
        <n v="11030730001"/>
        <n v="11062050001"/>
        <n v="11030820001"/>
        <n v="11060710001"/>
        <n v="11062670001"/>
        <n v="11062830001"/>
        <n v="11010170001"/>
        <n v="11062280001"/>
        <n v="11062760001"/>
        <n v="11062020001"/>
        <n v="11030790001"/>
        <n v="11080400001"/>
        <n v="11061390001"/>
        <n v="1201071"/>
        <n v="11080170001"/>
        <n v="11010110001"/>
        <n v="12010580001"/>
        <n v="11062660001"/>
        <n v="11061810001"/>
        <n v="11010140001"/>
        <n v="11062640001"/>
        <n v="11110340001"/>
        <n v="11061830001"/>
        <n v="1201017"/>
        <n v="1201044"/>
        <n v="1201007"/>
        <n v="1201008"/>
        <n v="1201005"/>
        <n v="11062450001"/>
        <n v="11062630001"/>
        <n v="11061980001"/>
        <n v="11061200001"/>
        <n v="11062160001"/>
        <n v="11030800001"/>
        <n v="11030630001"/>
        <n v="11062650001"/>
        <n v="11080500001"/>
        <n v="1201014"/>
        <n v="11030810001"/>
        <n v="11010330001"/>
        <n v="11040140001"/>
        <n v="11010060001"/>
        <n v="11062850001"/>
        <n v="11010420001"/>
        <n v="11030710001"/>
        <n v="11062600001"/>
        <n v="11010180001"/>
        <n v="11010270001"/>
        <n v="11062770001"/>
        <n v="11030760001"/>
        <n v="11010090001"/>
        <n v="11062940001"/>
        <n v="11010080001"/>
        <n v="11061400001"/>
        <n v="11010150001"/>
        <n v="11030700001"/>
        <n v="11010300001"/>
        <n v="11060800001"/>
      </sharedItems>
    </cacheField>
    <cacheField name="GESTOR" numFmtId="0">
      <sharedItems/>
    </cacheField>
    <cacheField name="DIREÇÃO" numFmtId="1">
      <sharedItems/>
    </cacheField>
    <cacheField name="CARGA FINAL " numFmtId="44">
      <sharedItems containsSemiMixedTypes="0" containsString="0" containsNumber="1" minValue="5.1000000000008185" maxValue="15837.22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RAFAEL AMORIM VELLO"/>
    <s v="01677920599"/>
    <s v="CEF NORTE OESTE BA"/>
    <x v="0"/>
    <s v="GERSON OLIVEIRA"/>
    <s v="ROGERIO SCATAMBULO"/>
    <n v="15837.22000000003"/>
  </r>
  <r>
    <s v="ABNER ANDRADE CAVALCANTE"/>
    <s v="02027745203"/>
    <s v="CEF AM AC RR"/>
    <x v="1"/>
    <s v="ANGELICA SOARES"/>
    <s v="ROGERIO SCATAMBULO"/>
    <n v="9480.5900000000493"/>
  </r>
  <r>
    <s v="BRUNO FERREIRA DE SOUZA RODRIGUES"/>
    <s v="16306431730"/>
    <s v="TELEFONICA RJ"/>
    <x v="2"/>
    <s v="ALLAN JEFFERSON"/>
    <s v="ROGERIO SCATAMBULO"/>
    <n v="4993"/>
  </r>
  <r>
    <s v="EDSON VEIGA SILVEIRA"/>
    <s v="62063774072"/>
    <s v="CLARO CO"/>
    <x v="3"/>
    <s v="ANGELICA SOARES"/>
    <s v="ROGERIO SCATAMBULO"/>
    <n v="5448.11"/>
  </r>
  <r>
    <s v="CRISTIANO ANESIO GOMES DO NASCIMENTO"/>
    <s v="02862032786"/>
    <s v="CEF INTERIOR RJ"/>
    <x v="4"/>
    <s v="ALLAN JEFFERSON"/>
    <s v="ROGERIO SCATAMBULO"/>
    <n v="924.06999999999869"/>
  </r>
  <r>
    <s v="CHARLES NEVES MATTIUZZI"/>
    <s v="12547938790"/>
    <s v="TELEFONICA ES"/>
    <x v="5"/>
    <s v="VINICIUS LOCATELLY"/>
    <s v="MARCOS CARIAS"/>
    <n v="4963.6099999999997"/>
  </r>
  <r>
    <s v="RONALDO RUFINO SANTANA"/>
    <s v="29758827855"/>
    <s v="CEF PIRACICABA SP"/>
    <x v="6"/>
    <s v="LEANDRO NUNES"/>
    <s v="EVERSON GAIDSTIECHI"/>
    <n v="4952.8899999999994"/>
  </r>
  <r>
    <s v="ADEMARCIO DUARTE LOPES"/>
    <s v="06223031980"/>
    <s v="CEF FACILITIES CURITIBA PR"/>
    <x v="7"/>
    <s v="BRUNO LINHARES"/>
    <s v="EVERSON GAIDSTIECHI"/>
    <n v="677.06999999999994"/>
  </r>
  <r>
    <s v="WALTER DE CAMPOS NUNES NETO"/>
    <s v="99114160030"/>
    <s v="CLARO INFRA RS"/>
    <x v="8"/>
    <s v="BRUNO EDUARDO"/>
    <s v="EVERSON GAIDSTIECHI"/>
    <n v="4635.9399999999996"/>
  </r>
  <r>
    <s v="JAEDER RODRIGUES JUNIOR"/>
    <s v="07505987607"/>
    <s v="CEF NORDESTE MG"/>
    <x v="9"/>
    <s v="HUGO ALEXANDRE"/>
    <s v="ROGERIO SCATAMBULO"/>
    <n v="4060.9899999999761"/>
  </r>
  <r>
    <s v="ORESTE BARBOSA DA SILVA JUNIOR"/>
    <s v="25075562850"/>
    <s v="CEF PIRACICABA SP"/>
    <x v="6"/>
    <s v="LEANDRO NUNES"/>
    <s v="EVERSON GAIDSTIECHI"/>
    <n v="3999.24"/>
  </r>
  <r>
    <s v="ANA CRISTINA FREIRE HOLANDA"/>
    <s v="60023937220"/>
    <s v="CEF AM AC RR"/>
    <x v="1"/>
    <s v="ANGELICA SOARES"/>
    <s v="ROGERIO SCATAMBULO"/>
    <n v="3958.7000000000189"/>
  </r>
  <r>
    <s v="ANDRE LUIZ SANTANA"/>
    <s v="11897381638"/>
    <s v="CEF SERRA GAUCHA RS"/>
    <x v="10"/>
    <s v="ALEXANDRE GROSS"/>
    <s v="EVERSON GAIDSTIECHI"/>
    <n v="3668.13"/>
  </r>
  <r>
    <s v="EDUARDO SANTOS"/>
    <s v="91270529072"/>
    <s v="NET APOIO RS"/>
    <x v="11"/>
    <s v="ALEXANDRE GROSS"/>
    <s v="EVERSON GAIDSTIECHI"/>
    <n v="3628.96"/>
  </r>
  <r>
    <s v="JESSICA DE MIRANDA MEDEIROS FELICIANO"/>
    <s v="10137575483"/>
    <s v="CEF PIRACICABA SP"/>
    <x v="6"/>
    <s v="LEANDRO NUNES"/>
    <s v="EVERSON GAIDSTIECHI"/>
    <n v="3527.23"/>
  </r>
  <r>
    <s v="EDSON CALIXTO THOMAZ"/>
    <s v="05765681719"/>
    <s v="CEF INTERIOR RJ"/>
    <x v="4"/>
    <s v="ALLAN JEFFERSON"/>
    <s v="ROGERIO SCATAMBULO"/>
    <n v="1942.92"/>
  </r>
  <r>
    <s v="RICARDO ZORZETTO"/>
    <s v="00539580040"/>
    <s v="CEF QUERENCIA RS"/>
    <x v="12"/>
    <s v="ALEXANDRE GROSS"/>
    <s v="EVERSON GAIDSTIECHI"/>
    <n v="3223.98"/>
  </r>
  <r>
    <s v="RODRIGO VANZETTA"/>
    <s v="99532344004"/>
    <s v="CEF NORTE GAUCHO RS"/>
    <x v="13"/>
    <s v="ALEXANDRE GROSS"/>
    <s v="EVERSON GAIDSTIECHI"/>
    <n v="3042.55"/>
  </r>
  <r>
    <s v="ALESSANDRO DE OLIVEIRA AZEVEDO"/>
    <s v="27494577858"/>
    <s v="CEF BAURU SP"/>
    <x v="14"/>
    <s v="LEANDRO NUNES"/>
    <s v="EVERSON GAIDSTIECHI"/>
    <n v="2990.99"/>
  </r>
  <r>
    <s v="CARLOS NASCIMENTO NONATO JUNIOR"/>
    <s v="65973500225"/>
    <s v="CEF AM AC RR"/>
    <x v="1"/>
    <s v="ANGELICA SOARES"/>
    <s v="ROGERIO SCATAMBULO"/>
    <n v="2915.6100000000006"/>
  </r>
  <r>
    <s v="PAULO NILTON COSTA MOREIRA"/>
    <s v="45159599053"/>
    <s v="CEF EXTREMO SUL RS"/>
    <x v="15"/>
    <s v="ALEXANDRE GROSS"/>
    <s v="EVERSON GAIDSTIECHI"/>
    <n v="2682.9299999999898"/>
  </r>
  <r>
    <s v="ADMILSON DOS SANTOS GALAN"/>
    <s v="04769973993"/>
    <s v="CEF NORTE SC"/>
    <x v="16"/>
    <s v="BRUNO LINHARES"/>
    <s v="EVERSON GAIDSTIECHI"/>
    <n v="2622.75"/>
  </r>
  <r>
    <s v="FLAVIO FERNANDES DOS REIS LIMA"/>
    <s v="01767960107"/>
    <s v="TELEFONICA CO"/>
    <x v="17"/>
    <s v="ANGELICA SOARES"/>
    <s v="ROGERIO SCATAMBULO"/>
    <n v="2620.4400000000201"/>
  </r>
  <r>
    <s v="EVERTON CAMARGO DE LOURETO"/>
    <s v="91688205004"/>
    <s v="CEF VALE SINOS RS"/>
    <x v="18"/>
    <s v="ALEXANDRE GROSS"/>
    <s v="EVERSON GAIDSTIECHI"/>
    <n v="2469.5200000000477"/>
  </r>
  <r>
    <s v="MARCO AURELIO DE ANDRADE MORAES"/>
    <s v="72756284220"/>
    <s v="CEF NORTE PA"/>
    <x v="19"/>
    <s v="ANGELICA SOARES"/>
    <s v="ROGERIO SCATAMBULO"/>
    <n v="2361.6299999999974"/>
  </r>
  <r>
    <s v="JONAS CAVALCANTI DE OLIVEIRA"/>
    <s v="01696239478"/>
    <s v="3R PETROLEUM NE"/>
    <x v="20"/>
    <s v="GERSON OLIVEIRA"/>
    <s v="ROGERIO SCATAMBULO"/>
    <n v="2337.17"/>
  </r>
  <r>
    <s v="MARCO AURELIO DE LIMA"/>
    <s v="01356318665"/>
    <s v="TELEFONICA MG"/>
    <x v="21"/>
    <s v="HUGO ALEXANDRE"/>
    <s v="ROGERIO SCATAMBULO"/>
    <n v="2325.86"/>
  </r>
  <r>
    <s v="SAULO ARAUJO DE PAULA"/>
    <s v="31040091806"/>
    <s v="CEF SP SUL"/>
    <x v="22"/>
    <s v="LEANDRO NUNES"/>
    <s v="EVERSON GAIDSTIECHI"/>
    <n v="2319.0600000000086"/>
  </r>
  <r>
    <s v="CAIOS VINICIUS NUNES BROERING"/>
    <s v="07053418952"/>
    <s v="CLARO INFRA SC"/>
    <x v="23"/>
    <s v="BRUNO EDUARDO"/>
    <s v="EVERSON GAIDSTIECHI"/>
    <n v="2214.3000000000002"/>
  </r>
  <r>
    <s v="ADSON ARAUJO DA SILVA"/>
    <s v="94551804304"/>
    <s v="CLARO INFRA NORDESTE"/>
    <x v="24"/>
    <s v="FELIPE JOSE"/>
    <s v="ROGERIO SCATAMBULO"/>
    <n v="1429.5599999999977"/>
  </r>
  <r>
    <s v="MARCELO GIMENEZ ARGEMON"/>
    <s v="95073272153"/>
    <s v="CEF FACILITIES CAMPINAS SP"/>
    <x v="25"/>
    <s v="LEANDRO NUNES"/>
    <s v="EVERSON GAIDSTIECHI"/>
    <n v="2206.4899999999998"/>
  </r>
  <r>
    <s v="DIEGO JOSE DE PAULO"/>
    <s v="01553544692"/>
    <s v="CLARO INFRA MG"/>
    <x v="26"/>
    <s v="HUGO ALEXANDRE"/>
    <s v="ROGERIO SCATAMBULO"/>
    <n v="2110.63"/>
  </r>
  <r>
    <s v="ADSON SANTOS DA SILVA"/>
    <s v="83058133553"/>
    <s v="TELEFONICA BA"/>
    <x v="27"/>
    <s v="GERSON OLIVEIRA"/>
    <s v="ROGERIO SCATAMBULO"/>
    <n v="1997.25"/>
  </r>
  <r>
    <s v="ARLEY HENRIQUE DE SOUZA LUZ"/>
    <s v="01170402232"/>
    <s v="CEF GOIANIA CO"/>
    <x v="28"/>
    <s v="ANGELICA SOARES"/>
    <s v="ROGERIO SCATAMBULO"/>
    <n v="1995.8"/>
  </r>
  <r>
    <s v="ANTONIO JOSE PEREIRA DA SILVA"/>
    <s v="08326260401"/>
    <s v="TELEFONICA NE"/>
    <x v="29"/>
    <s v="GERSON OLIVEIRA"/>
    <s v="ROGERIO SCATAMBULO"/>
    <n v="1992.75"/>
  </r>
  <r>
    <s v="GABRIELA DALLA VECHIA MONTEIRO"/>
    <s v="09073743958"/>
    <s v="PTB EDISE RJ"/>
    <x v="30"/>
    <s v="ALLAN JEFFERSON"/>
    <s v="ROGERIO SCATAMBULO"/>
    <n v="3320.45"/>
  </r>
  <r>
    <s v="LEONARDO MURATORI ATHAYDE"/>
    <s v="03374811647"/>
    <s v="CEF FACILITIES CE"/>
    <x v="31"/>
    <s v="GERSON OLIVEIRA"/>
    <s v="ROGERIO SCATAMBULO"/>
    <n v="1937.6399999999999"/>
  </r>
  <r>
    <s v="WELERSON PUFF RODRIGUES"/>
    <s v="04352219657"/>
    <s v="TELEFONICA MG"/>
    <x v="21"/>
    <s v="HUGO ALEXANDRE"/>
    <s v="ROGERIO SCATAMBULO"/>
    <n v="1928.1"/>
  </r>
  <r>
    <s v="GUILHERME FERREIRA DA SILVA"/>
    <s v="41997553813"/>
    <s v="CEF RECIFE PE"/>
    <x v="32"/>
    <s v="GERSON OLIVEIRA"/>
    <s v="ROGERIO SCATAMBULO"/>
    <n v="1914"/>
  </r>
  <r>
    <s v="DANIEL SANTOS DE ASSUNCAO"/>
    <s v="97592439549"/>
    <s v="BANCO ITAU BA"/>
    <x v="33"/>
    <s v="GERSON OLIVEIRA"/>
    <s v="ROGERIO SCATAMBULO"/>
    <n v="1898.53"/>
  </r>
  <r>
    <s v="JEFFERSON NAZARENO SILVA FREITAS"/>
    <s v="08103183776"/>
    <s v="CEF INTERIOR RJ"/>
    <x v="4"/>
    <s v="ALLAN JEFFERSON"/>
    <s v="ROGERIO SCATAMBULO"/>
    <n v="994"/>
  </r>
  <r>
    <s v="ANDERSON RICARDO VIEIRA"/>
    <s v="07822591975"/>
    <s v="BB NORTE OESTE PR"/>
    <x v="34"/>
    <s v="BRUNO LINHARES"/>
    <s v="EVERSON GAIDSTIECHI"/>
    <n v="18.999999999999545"/>
  </r>
  <r>
    <s v="RICARDO MURCIA GARCIA FILHO"/>
    <s v="27668763830"/>
    <s v="CEF BAURU SP"/>
    <x v="14"/>
    <s v="LEANDRO NUNES"/>
    <s v="EVERSON GAIDSTIECHI"/>
    <n v="1756.18"/>
  </r>
  <r>
    <s v="JOELSON FERREIRA DOS SANTOS"/>
    <s v="07690263623"/>
    <s v="CEF SUDESTE MG"/>
    <x v="35"/>
    <s v="HUGO ALEXANDRE"/>
    <s v="ROGERIO SCATAMBULO"/>
    <n v="1655.3800000000267"/>
  </r>
  <r>
    <s v="ALAERTE JACINTO JUNIOR"/>
    <s v="03071605994"/>
    <s v="PTB AREAS VERDES SC"/>
    <x v="36"/>
    <s v="BRUNO LINHARES"/>
    <s v="EVERSON GAIDSTIECHI"/>
    <n v="290.88999999999987"/>
  </r>
  <r>
    <s v="CARLOS EDUARDO SCATAMBULO"/>
    <s v="22730778829"/>
    <s v="CEF LESTE SP"/>
    <x v="37"/>
    <s v="LEANDRO NUNES"/>
    <s v="EVERSON GAIDSTIECHI"/>
    <n v="1613.9000000000669"/>
  </r>
  <r>
    <s v="JULIA SCHURHAUS PERETTI"/>
    <s v="09428255947"/>
    <s v="GESTAO DE PESSOAS"/>
    <x v="38"/>
    <s v="CAROLINE SILVA"/>
    <s v="THIAGO NEVES"/>
    <n v="1500"/>
  </r>
  <r>
    <s v="JORGE NEGRI NETO"/>
    <s v="44997574600"/>
    <s v="PTB TIC NORDESTE"/>
    <x v="39"/>
    <s v="GERSON OLIVEIRA"/>
    <s v="ROGERIO SCATAMBULO"/>
    <n v="1494"/>
  </r>
  <r>
    <s v="JAFER DA FONTOURA AHMAD"/>
    <s v="00041171071"/>
    <s v="CEF PORTO ALEGRE RS"/>
    <x v="40"/>
    <s v="ALEXANDRE GROSS"/>
    <s v="EVERSON GAIDSTIECHI"/>
    <n v="1422.3000000000138"/>
  </r>
  <r>
    <s v="MARCELO DE ANDRADE CALVETTI"/>
    <s v="02587708052"/>
    <s v="NET PORTO ALEGRE RS"/>
    <x v="41"/>
    <s v="ALEXANDRE GROSS"/>
    <s v="EVERSON GAIDSTIECHI"/>
    <n v="1350.9"/>
  </r>
  <r>
    <s v="ANTONIO MARCOS CAMARGO"/>
    <s v="04836584990"/>
    <s v="TRIBUNAL DE JUSTICA PR"/>
    <x v="42"/>
    <s v="BRUNO LINHARES"/>
    <s v="EVERSON GAIDSTIECHI"/>
    <n v="511.7499999999946"/>
  </r>
  <r>
    <s v="AURO MOREIRA PEDROSO"/>
    <s v="32060157900"/>
    <s v="BB NORTE OESTE PR"/>
    <x v="34"/>
    <s v="BRUNO LINHARES"/>
    <s v="EVERSON GAIDSTIECHI"/>
    <n v="512.94000000000005"/>
  </r>
  <r>
    <s v="TERCILA DA SILVA LOPES"/>
    <s v="67752721387"/>
    <s v="CEF CEARA"/>
    <x v="43"/>
    <s v="GERSON OLIVEIRA"/>
    <s v="ROGERIO SCATAMBULO"/>
    <n v="1214.3200000000015"/>
  </r>
  <r>
    <s v="JAZEMIR DE SANTANA MARQUES"/>
    <s v="44012861549"/>
    <s v="PTB TRANSMISSAO BA"/>
    <x v="44"/>
    <s v="GERSON OLIVEIRA"/>
    <s v="ROGERIO SCATAMBULO"/>
    <n v="1181.8"/>
  </r>
  <r>
    <s v="RAQUEL PANTOJA SANTOS"/>
    <s v="89395140259"/>
    <s v="CEF BELEM FACILITIES PA"/>
    <x v="45"/>
    <s v="ANGELICA SOARES"/>
    <s v="ROGERIO SCATAMBULO"/>
    <n v="1127.3600000000001"/>
  </r>
  <r>
    <s v="LEANDRO GUSMAO MUNIZ"/>
    <s v="13126691790"/>
    <s v="CEF INTERIOR RJ"/>
    <x v="4"/>
    <s v="ALLAN JEFFERSON"/>
    <s v="ROGERIO SCATAMBULO"/>
    <n v="6353.14"/>
  </r>
  <r>
    <s v="VALDIR LEONARDO VOIGT"/>
    <s v="48089869904"/>
    <s v="CELESC NORTE SC"/>
    <x v="46"/>
    <s v="BRUNO EDUARDO"/>
    <s v="EVERSON GAIDSTIECHI"/>
    <n v="982.9"/>
  </r>
  <r>
    <s v="GUILHERME MOTTA RIBEIRO SILVA"/>
    <s v="11178519740"/>
    <s v="CEF ES"/>
    <x v="47"/>
    <s v="VINICIUS LOCATELLY"/>
    <s v="MARCOS CARIAS"/>
    <n v="973.61"/>
  </r>
  <r>
    <s v="SANDRA CRISTINA ALVES MACHADO"/>
    <s v="69456313034"/>
    <s v="NET APOIO RS"/>
    <x v="11"/>
    <s v="ALEXANDRE GROSS"/>
    <s v="EVERSON GAIDSTIECHI"/>
    <n v="969.07999999999993"/>
  </r>
  <r>
    <s v="FERNANDO RODRIGUES DUARTE"/>
    <s v="03377983112"/>
    <s v="CLARO CO"/>
    <x v="3"/>
    <s v="ANGELICA SOARES"/>
    <s v="ROGERIO SCATAMBULO"/>
    <n v="953.32000000000676"/>
  </r>
  <r>
    <s v="THIEGO LEANDRO ALVES DE OLIVEIRA"/>
    <s v="07198282440"/>
    <s v="CEF RECIFE PE"/>
    <x v="32"/>
    <s v="GERSON OLIVEIRA"/>
    <s v="ROGERIO SCATAMBULO"/>
    <n v="926.34999999999127"/>
  </r>
  <r>
    <s v="LUCIANO JOSE DO AMARAL PEREIRA"/>
    <s v="04434355708"/>
    <s v="CEF CENTRO NORTE SUL RJ"/>
    <x v="48"/>
    <s v="ALLAN JEFFERSON"/>
    <s v="ROGERIO SCATAMBULO"/>
    <n v="1808.9100000000101"/>
  </r>
  <r>
    <s v="EDIPO SANTOS BARRETO"/>
    <s v="37896893860"/>
    <s v="TRIBUNAL DE JUSTICA SP"/>
    <x v="49"/>
    <s v="LEANDRO NUNES"/>
    <s v="EVERSON GAIDSTIECHI"/>
    <n v="921.0600000000004"/>
  </r>
  <r>
    <s v="MILTON FERREIRA DAS NEVES JUNIOR"/>
    <s v="05100355581"/>
    <s v="ACELEN AR"/>
    <x v="50"/>
    <s v="GERSON OLIVEIRA"/>
    <s v="ROGERIO SCATAMBULO"/>
    <n v="907"/>
  </r>
  <r>
    <s v="CLAUDEMIR MOREIRA"/>
    <s v="75609444004"/>
    <s v="TRIBUNAL DE JUSTICA PR"/>
    <x v="42"/>
    <s v="BRUNO LINHARES"/>
    <s v="EVERSON GAIDSTIECHI"/>
    <n v="684.67"/>
  </r>
  <r>
    <s v="TULIO VELOSO HONORATO"/>
    <s v="12609931670"/>
    <s v="BB SUDESTE MG"/>
    <x v="51"/>
    <s v="HUGO ALEXANDRE"/>
    <s v="ROGERIO SCATAMBULO"/>
    <n v="899.14999999999964"/>
  </r>
  <r>
    <s v="CLAUDINEI AMARAL"/>
    <s v="10433881844"/>
    <s v="TRIBUNAL DE JUSTICA PR"/>
    <x v="42"/>
    <s v="BRUNO LINHARES"/>
    <s v="EVERSON GAIDSTIECHI"/>
    <n v="1308"/>
  </r>
  <r>
    <s v="CLAUDIO DONIZETE DA SILVA"/>
    <s v="93457235953"/>
    <s v="TRIBUNAL DE JUSTICA PR"/>
    <x v="42"/>
    <s v="BRUNO LINHARES"/>
    <s v="EVERSON GAIDSTIECHI"/>
    <n v="409.57999999999993"/>
  </r>
  <r>
    <s v="SARA ARAGAO DA SILVA BARBOSA"/>
    <s v="49637513809"/>
    <s v="BANCO ITAU SP"/>
    <x v="52"/>
    <s v="LEANDRO NUNES"/>
    <s v="EVERSON GAIDSTIECHI"/>
    <n v="869.31000000000131"/>
  </r>
  <r>
    <s v="CLAUDIO RENALDI NUNES"/>
    <s v="02705722955"/>
    <s v="TRIBUNAL DE JUSTICA PR"/>
    <x v="42"/>
    <s v="BRUNO LINHARES"/>
    <s v="EVERSON GAIDSTIECHI"/>
    <n v="746"/>
  </r>
  <r>
    <s v="EDMAR FERREIRA CARDOSO"/>
    <s v="06311884607"/>
    <s v="NET METROPOLITANA MG"/>
    <x v="53"/>
    <s v="HUGO ALEXANDRE"/>
    <s v="ROGERIO SCATAMBULO"/>
    <n v="857.75"/>
  </r>
  <r>
    <s v="CLEBERSON APARECIDO BORGES DOS SANTOS"/>
    <s v="05864921947"/>
    <s v="TRIBUNAL DE JUSTICA PR"/>
    <x v="42"/>
    <s v="BRUNO LINHARES"/>
    <s v="EVERSON GAIDSTIECHI"/>
    <n v="130.75999999998382"/>
  </r>
  <r>
    <s v="CLERITON BACILA DOS SANTOS"/>
    <s v="05456615959"/>
    <s v="NET CTA PR"/>
    <x v="54"/>
    <s v="BRUNO LINHARES"/>
    <s v="EVERSON GAIDSTIECHI"/>
    <n v="891.31000000001222"/>
  </r>
  <r>
    <s v="DAVID DE OLIVEIRA FRIGERIO"/>
    <s v="04817177900"/>
    <s v="CEF NORTE PR"/>
    <x v="55"/>
    <s v="BRUNO LINHARES"/>
    <s v="EVERSON GAIDSTIECHI"/>
    <n v="3186.12"/>
  </r>
  <r>
    <s v="DIVAN ALVES DE AMORIM"/>
    <s v="11422891844"/>
    <s v="TRIBUNAL DE JUSTICA PR"/>
    <x v="42"/>
    <s v="BRUNO LINHARES"/>
    <s v="EVERSON GAIDSTIECHI"/>
    <n v="777.2"/>
  </r>
  <r>
    <s v="DOUGLAS TIAGO DE OLIVEIRA"/>
    <s v="08492402989"/>
    <s v="TRIBUNAL DE JUSTICA PR"/>
    <x v="42"/>
    <s v="BRUNO LINHARES"/>
    <s v="EVERSON GAIDSTIECHI"/>
    <n v="570.699999999998"/>
  </r>
  <r>
    <s v="ELIANDRO BRUNING"/>
    <s v="00461757923"/>
    <s v="TRIBUNAL DE JUSTICA PR"/>
    <x v="42"/>
    <s v="BRUNO LINHARES"/>
    <s v="EVERSON GAIDSTIECHI"/>
    <n v="419.84"/>
  </r>
  <r>
    <s v="ANDRE PINHEIRO BALOTIN"/>
    <s v="98603566020"/>
    <s v="CELESC NORTE SC"/>
    <x v="46"/>
    <s v="BRUNO EDUARDO"/>
    <s v="EVERSON GAIDSTIECHI"/>
    <n v="742.41"/>
  </r>
  <r>
    <s v="ENZIO CARVALHO DA MOTA "/>
    <s v="38548259515"/>
    <s v="TELEFONICA BA"/>
    <x v="27"/>
    <s v="GERSON OLIVEIRA"/>
    <s v="ROGERIO SCATAMBULO"/>
    <n v="735.27000000001146"/>
  </r>
  <r>
    <s v="TIAGO DE OLIVEIRA PAIVA"/>
    <s v="10491624719"/>
    <s v="PTB REVAP REVITALIZACAO"/>
    <x v="56"/>
    <s v="BRUNO LINHARES"/>
    <s v="EVERSON GAIDSTIECHI"/>
    <n v="717.59"/>
  </r>
  <r>
    <s v="WESLLEY GABRIEL DA SILVA CARDOSO"/>
    <s v="87813416015"/>
    <s v="TELEFONICA RS"/>
    <x v="57"/>
    <s v="ALEXANDRE GROSS"/>
    <s v="EVERSON GAIDSTIECHI"/>
    <n v="702.73000000000684"/>
  </r>
  <r>
    <s v="ANDRESA INDIRA SANTANA AGGIO"/>
    <s v="33162718805"/>
    <s v="ADM FILIAL SC"/>
    <x v="58"/>
    <s v="BRUNO LINHARES"/>
    <s v="EVERSON GAIDSTIECHI"/>
    <n v="488"/>
  </r>
  <r>
    <s v="EMERSON LEITE DE BARROS"/>
    <s v="34168918807"/>
    <s v="PTB INFRA SUDESTE"/>
    <x v="59"/>
    <s v="LEANDRO NUNES"/>
    <s v="EVERSON GAIDSTIECHI"/>
    <n v="698.72999999999593"/>
  </r>
  <r>
    <s v="LEANDRO DE MENEZES ASSUNCAO"/>
    <s v="09072032640"/>
    <s v="CLARO INFRA MG"/>
    <x v="26"/>
    <s v="HUGO ALEXANDRE"/>
    <s v="ROGERIO SCATAMBULO"/>
    <n v="697"/>
  </r>
  <r>
    <s v="RENATO PARREIRAS"/>
    <s v="97162485634"/>
    <s v="CLARO INFRA MG"/>
    <x v="26"/>
    <s v="HUGO ALEXANDRE"/>
    <s v="ROGERIO SCATAMBULO"/>
    <n v="693.25999999999931"/>
  </r>
  <r>
    <s v="FRANCIONE DE SOUZA LUCENA"/>
    <s v="47331178253"/>
    <s v="TRIBUNAL DE JUSTICA PR"/>
    <x v="42"/>
    <s v="BRUNO LINHARES"/>
    <s v="EVERSON GAIDSTIECHI"/>
    <n v="760.0399999999936"/>
  </r>
  <r>
    <s v="GABRIEL MONTANI FERREIRA"/>
    <s v="09871329970"/>
    <s v="TRIBUNAL DE JUSTICA PR"/>
    <x v="42"/>
    <s v="BRUNO LINHARES"/>
    <s v="EVERSON GAIDSTIECHI"/>
    <n v="471.27999999999884"/>
  </r>
  <r>
    <s v="ISAIAS DA SILVA"/>
    <s v="04083479965"/>
    <s v="TRIBUNAL DE JUSTICA PR"/>
    <x v="42"/>
    <s v="BRUNO LINHARES"/>
    <s v="EVERSON GAIDSTIECHI"/>
    <n v="800"/>
  </r>
  <r>
    <s v="CRISTIAN MARCELO DE OLIVEIRA DOS SANTOS"/>
    <s v="92931901091"/>
    <s v="BB POA RS"/>
    <x v="60"/>
    <s v="ALEXANDRE GROSS"/>
    <s v="EVERSON GAIDSTIECHI"/>
    <n v="632.95000000000005"/>
  </r>
  <r>
    <s v="ROBERTO ALIAGA"/>
    <s v="26953703857"/>
    <s v="DETRONICS"/>
    <x v="61"/>
    <s v="GERSON OLIVEIRA"/>
    <s v="ROGERIO SCATAMBULO"/>
    <n v="629.36"/>
  </r>
  <r>
    <s v="MICHAEL RODRIGUES SANTOS"/>
    <s v="37425574837"/>
    <s v="CEF SP SUL"/>
    <x v="22"/>
    <s v="LEANDRO NUNES"/>
    <s v="EVERSON GAIDSTIECHI"/>
    <n v="616.09000000002914"/>
  </r>
  <r>
    <s v="LUCAS HENRIQUE CORREA DOS SANTOS"/>
    <s v="10652119964"/>
    <s v="CLARO INFRA SC"/>
    <x v="23"/>
    <s v="BRUNO EDUARDO"/>
    <s v="EVERSON GAIDSTIECHI"/>
    <n v="611.65"/>
  </r>
  <r>
    <s v="DEBORA ARAUJO FIGUEIREDO"/>
    <s v="85225720030"/>
    <s v="DRF NOVO HAMBURGO RS"/>
    <x v="62"/>
    <s v="ALEXANDRE GROSS"/>
    <s v="EVERSON GAIDSTIECHI"/>
    <n v="607.60000000000036"/>
  </r>
  <r>
    <s v="JORGE ANTONIO VARGAS DA SILVA"/>
    <s v="01063690080"/>
    <s v="NET CENTRO RS"/>
    <x v="63"/>
    <s v="ALEXANDRE GROSS"/>
    <s v="EVERSON GAIDSTIECHI"/>
    <n v="605.29999999999995"/>
  </r>
  <r>
    <s v="JACKSON NATAN RODRIGUES DA SILVA"/>
    <s v="01456786288"/>
    <s v="BB NORTE OESTE PR"/>
    <x v="34"/>
    <s v="BRUNO LINHARES"/>
    <s v="EVERSON GAIDSTIECHI"/>
    <n v="199.16000000000003"/>
  </r>
  <r>
    <s v="DHIEGO RIBEIRO DINIZ"/>
    <s v="00049250256"/>
    <s v="CEF GOIANIA CO"/>
    <x v="28"/>
    <s v="ANGELICA SOARES"/>
    <s v="ROGERIO SCATAMBULO"/>
    <n v="586.17999999998938"/>
  </r>
  <r>
    <s v="JACSSON MAYLON CASTRO CORREA"/>
    <s v="10206563957"/>
    <s v="TRIBUNAL DE JUSTICA PR"/>
    <x v="42"/>
    <s v="BRUNO LINHARES"/>
    <s v="EVERSON GAIDSTIECHI"/>
    <n v="799.19999999999982"/>
  </r>
  <r>
    <s v="JEFERSON ADRIANO WERNER"/>
    <s v="08935547905"/>
    <s v="TRIBUNAL DE JUSTICA PR"/>
    <x v="42"/>
    <s v="BRUNO LINHARES"/>
    <s v="EVERSON GAIDSTIECHI"/>
    <n v="675.41999999999916"/>
  </r>
  <r>
    <s v="ADILSON MELLO DE CAMARGO"/>
    <s v="67324398049"/>
    <s v="BB SERET RS"/>
    <x v="64"/>
    <s v="ALEXANDRE GROSS"/>
    <s v="EVERSON GAIDSTIECHI"/>
    <n v="538.79000000000087"/>
  </r>
  <r>
    <s v="MARCOS LUIZ SCHULTZ"/>
    <s v="97607240063"/>
    <s v="CLARO INFRA RS"/>
    <x v="8"/>
    <s v="BRUNO EDUARDO"/>
    <s v="EVERSON GAIDSTIECHI"/>
    <n v="520"/>
  </r>
  <r>
    <s v="JEFERSON ZAMPRONIO DA SILVA"/>
    <s v="07060404902"/>
    <s v="TRIBUNAL DE JUSTICA PR"/>
    <x v="42"/>
    <s v="BRUNO LINHARES"/>
    <s v="EVERSON GAIDSTIECHI"/>
    <n v="659.73999999999978"/>
  </r>
  <r>
    <s v="JHEFERSON DIASSIS"/>
    <s v="07972796955"/>
    <s v="TRIBUNAL DE JUSTICA PR"/>
    <x v="42"/>
    <s v="BRUNO LINHARES"/>
    <s v="EVERSON GAIDSTIECHI"/>
    <n v="794.34"/>
  </r>
  <r>
    <s v="VICTOR SIGOLO PINHEIRO PIMENTA"/>
    <s v="12237490619"/>
    <s v="INSS SP"/>
    <x v="65"/>
    <s v="LEANDRO NUNES"/>
    <s v="EVERSON GAIDSTIECHI"/>
    <n v="503.76000000001625"/>
  </r>
  <r>
    <s v="MARCIO BOUZAS FERREIRA"/>
    <s v="07318362780"/>
    <s v="VTAL CYBER RJ"/>
    <x v="66"/>
    <s v="ALLAN JEFFERSON"/>
    <s v="ROGERIO SCATAMBULO"/>
    <n v="489.99999999999909"/>
  </r>
  <r>
    <s v="ALIRIO THOMAZ VALENTIM"/>
    <s v="99335220000"/>
    <s v="NET LITORAL RS"/>
    <x v="67"/>
    <s v="ALEXANDRE GROSS"/>
    <s v="EVERSON GAIDSTIECHI"/>
    <n v="500"/>
  </r>
  <r>
    <s v="STEPHANIE THAINARA DE OLIVEIRA ROCHA DA COSTA"/>
    <s v="14084321613"/>
    <s v="ADM FILIAL MG"/>
    <x v="68"/>
    <s v="HUGO ALEXANDRE"/>
    <s v="ROGERIO SCATAMBULO"/>
    <n v="496.65"/>
  </r>
  <r>
    <s v="GLEIDE CONCEICAO NASCIMENTO ALVES"/>
    <s v="00799913510"/>
    <s v="ADM FILIAL NE"/>
    <x v="69"/>
    <s v="GERSON OLIVEIRA"/>
    <s v="ROGERIO SCATAMBULO"/>
    <n v="490"/>
  </r>
  <r>
    <s v="TANDARA MARIA DO VALES PEREIRA ALVES"/>
    <s v="17074849707"/>
    <s v="ADM FILIAL RJ"/>
    <x v="70"/>
    <s v="ALLAN JEFFERSON"/>
    <s v="ROGERIO SCATAMBULO"/>
    <n v="500"/>
  </r>
  <r>
    <s v="FABIANA CAMILA BARBOSA DE MORAES LIMA"/>
    <s v="38880279858"/>
    <s v="ADM FILIAL SP"/>
    <x v="71"/>
    <s v="LEANDRO NUNES"/>
    <s v="EVERSON GAIDSTIECHI"/>
    <n v="488.73"/>
  </r>
  <r>
    <s v="JOAO ALEXANDRE LIMA"/>
    <s v="10588522996"/>
    <s v="CEF FACILITIES CURITIBA PR"/>
    <x v="7"/>
    <s v="BRUNO LINHARES"/>
    <s v="EVERSON GAIDSTIECHI"/>
    <n v="841.30999999999949"/>
  </r>
  <r>
    <s v="LILIAN SANTOS DA SILVA"/>
    <s v="86415689053"/>
    <s v="ADM FILIAL RS"/>
    <x v="72"/>
    <s v="ALEXANDRE GROSS"/>
    <s v="EVERSON GAIDSTIECHI"/>
    <n v="485.00000000000239"/>
  </r>
  <r>
    <s v="LUCAS HENRIQUE ALVES DE OLIVEIRA"/>
    <s v="10977673618"/>
    <s v="NET LESTE MG"/>
    <x v="73"/>
    <s v="HUGO ALEXANDRE"/>
    <s v="ROGERIO SCATAMBULO"/>
    <n v="482.94000000000005"/>
  </r>
  <r>
    <s v="CRISTIANE PEREIRA DE MELO"/>
    <s v="70022036148"/>
    <s v="CLARO CO"/>
    <x v="3"/>
    <s v="ANGELICA SOARES"/>
    <s v="ROGERIO SCATAMBULO"/>
    <n v="479"/>
  </r>
  <r>
    <s v="JOELSON JUNIOR MARTINS DE GOES"/>
    <s v="03528389907"/>
    <s v="UFPR PR"/>
    <x v="74"/>
    <s v="BRUNO LINHARES"/>
    <s v="EVERSON GAIDSTIECHI"/>
    <n v="858.23"/>
  </r>
  <r>
    <s v="WILLIAM SANTANA NUNES"/>
    <s v="95417400068"/>
    <s v="GHC ARCON RS"/>
    <x v="75"/>
    <s v="ALEXANDRE GROSS"/>
    <s v="EVERSON GAIDSTIECHI"/>
    <n v="467.37999999999965"/>
  </r>
  <r>
    <s v="DANIEL DA SILVA LOPES"/>
    <s v="94288259053"/>
    <s v="NET APOIO SC"/>
    <x v="76"/>
    <s v="BRUNO LINHARES"/>
    <s v="EVERSON GAIDSTIECHI"/>
    <n v="1415.6500000000008"/>
  </r>
  <r>
    <s v="THIAGO DE MEDEIROS VANZELER"/>
    <s v="11590627733"/>
    <s v="CEF INTERIOR RJ"/>
    <x v="4"/>
    <s v="ALLAN JEFFERSON"/>
    <s v="ROGERIO SCATAMBULO"/>
    <n v="457"/>
  </r>
  <r>
    <s v="WALTER LUIZ DE OLIVEIRA BRAGA"/>
    <s v="04042182291"/>
    <s v="CLARO CO"/>
    <x v="3"/>
    <s v="ANGELICA SOARES"/>
    <s v="ROGERIO SCATAMBULO"/>
    <n v="452.26000000000113"/>
  </r>
  <r>
    <s v="FELIPE JOSE DE ALBUQUERQUE OLIVEIRA"/>
    <s v="73574031491"/>
    <s v="CLARO INFRA NORDESTE"/>
    <x v="24"/>
    <s v="FELIPE JOSE"/>
    <s v="ROGERIO SCATAMBULO"/>
    <n v="2209.86"/>
  </r>
  <r>
    <s v="JOSE JONAS FURLANETTO"/>
    <s v="55889913115"/>
    <s v="BB NORTE OESTE PR"/>
    <x v="34"/>
    <s v="BRUNO LINHARES"/>
    <s v="EVERSON GAIDSTIECHI"/>
    <n v="655.06999999999971"/>
  </r>
  <r>
    <s v="TIAGO FERNANDES SANTOS DE OLIVEIRA"/>
    <s v="00849381533"/>
    <s v="CARMO ENERGY"/>
    <x v="77"/>
    <s v="GERSON OLIVEIRA"/>
    <s v="ROGERIO SCATAMBULO"/>
    <n v="430.66999999999825"/>
  </r>
  <r>
    <s v="HEITOR MAURMANN LEITAO"/>
    <s v="00448960001"/>
    <s v="CLARO INFRA RS"/>
    <x v="8"/>
    <s v="BRUNO EDUARDO"/>
    <s v="EVERSON GAIDSTIECHI"/>
    <n v="417.3"/>
  </r>
  <r>
    <s v="AGNO CHRISTIAN DE LIMA TELES"/>
    <s v="06911519624"/>
    <s v="CLARO INFRA MG"/>
    <x v="26"/>
    <s v="HUGO ALEXANDRE"/>
    <s v="ROGERIO SCATAMBULO"/>
    <n v="417.09999999999854"/>
  </r>
  <r>
    <s v="DIEGO DE ALCANTARA MOTA MENDES"/>
    <s v="09407167631"/>
    <s v="CEF FACILITIES BH"/>
    <x v="78"/>
    <s v="HUGO ALEXANDRE"/>
    <s v="ROGERIO SCATAMBULO"/>
    <n v="413.9399999999996"/>
  </r>
  <r>
    <s v="FABIO DIOGO BITTENCOURT"/>
    <s v="00526143959"/>
    <s v="CEF CENTRO GAUCHO RS"/>
    <x v="79"/>
    <s v="ALEXANDRE GROSS"/>
    <s v="EVERSON GAIDSTIECHI"/>
    <n v="406.99999999998545"/>
  </r>
  <r>
    <s v="MARCEL DA HORA CARVALHO"/>
    <s v="01730674500"/>
    <s v="POLICIA FEDERAL BA"/>
    <x v="80"/>
    <s v="GERSON OLIVEIRA"/>
    <s v="ROGERIO SCATAMBULO"/>
    <n v="406.5"/>
  </r>
  <r>
    <s v="UELITON SANTANA SANTOS"/>
    <s v="03686605597"/>
    <s v="TRANSPETRO BA"/>
    <x v="81"/>
    <s v="GERSON OLIVEIRA"/>
    <s v="ROGERIO SCATAMBULO"/>
    <n v="405.7"/>
  </r>
  <r>
    <s v="LUCAS CARVALHO DE SOUZA"/>
    <s v="08781221924"/>
    <s v="TRIBUNAL DE JUSTICA PR"/>
    <x v="42"/>
    <s v="BRUNO LINHARES"/>
    <s v="EVERSON GAIDSTIECHI"/>
    <n v="754.69999999999982"/>
  </r>
  <r>
    <s v="MATEUS FLOR GUESSER"/>
    <s v="09675608960"/>
    <s v="FROTA"/>
    <x v="82"/>
    <s v="GUILHERME FORTKAMP"/>
    <s v="THIAGO NEVES"/>
    <n v="367.94"/>
  </r>
  <r>
    <s v="AMANDA CRISTINA DA SILVA"/>
    <s v="07809466690"/>
    <s v="CEF FACILITIES BH"/>
    <x v="78"/>
    <s v="HUGO ALEXANDRE"/>
    <s v="ROGERIO SCATAMBULO"/>
    <n v="335.42000000000053"/>
  </r>
  <r>
    <s v="ARTHUR SANTOS DE OLIVEIRA"/>
    <s v="13921847621"/>
    <s v="CLARO INFRA MG"/>
    <x v="26"/>
    <s v="HUGO ALEXANDRE"/>
    <s v="ROGERIO SCATAMBULO"/>
    <n v="328.58999999999969"/>
  </r>
  <r>
    <s v="MOISES DOS SANTOS CABRAL"/>
    <s v="68746458204"/>
    <s v="CEF FAC RO"/>
    <x v="83"/>
    <s v="ANGELICA SOARES"/>
    <s v="ROGERIO SCATAMBULO"/>
    <n v="289.65999999999997"/>
  </r>
  <r>
    <s v="MARCELO PEREIRA LIMA"/>
    <s v="10254434894"/>
    <s v="BB CAMPINAS SP"/>
    <x v="84"/>
    <s v="LEANDRO NUNES"/>
    <s v="EVERSON GAIDSTIECHI"/>
    <n v="287.2"/>
  </r>
  <r>
    <s v="EDERSON LUIS BARROS DA ROSA"/>
    <s v="04614285988"/>
    <s v="CLARO INFRA PR"/>
    <x v="85"/>
    <s v="BRUNO EDUARDO"/>
    <s v="EVERSON GAIDSTIECHI"/>
    <n v="274.3"/>
  </r>
  <r>
    <s v="JORGE LUIZ MOREIRA CARDOSO"/>
    <s v="08247635992"/>
    <s v="CLARO INFRA SC"/>
    <x v="23"/>
    <s v="BRUNO EDUARDO"/>
    <s v="EVERSON GAIDSTIECHI"/>
    <n v="268.52"/>
  </r>
  <r>
    <s v="ANDERSON FERNANDES DE ALMEIDA"/>
    <s v="02553373961"/>
    <s v="CLARO INFRA PR"/>
    <x v="85"/>
    <s v="BRUNO EDUARDO"/>
    <s v="EVERSON GAIDSTIECHI"/>
    <n v="268.21000000000004"/>
  </r>
  <r>
    <s v="LUCAS DE PAULA SILVA"/>
    <s v="08204909977"/>
    <s v="TRIBUNAL DE JUSTICA PR"/>
    <x v="42"/>
    <s v="BRUNO LINHARES"/>
    <s v="EVERSON GAIDSTIECHI"/>
    <n v="142"/>
  </r>
  <r>
    <s v="MARCIO ROBERTO DA SILVA"/>
    <s v="96212993068"/>
    <s v="CLARO INFRA RS"/>
    <x v="8"/>
    <s v="BRUNO EDUARDO"/>
    <s v="EVERSON GAIDSTIECHI"/>
    <n v="264.7"/>
  </r>
  <r>
    <s v="JUNIO VICENTE BARBOSA"/>
    <s v="10054353670"/>
    <s v="CEF NORDESTE MG"/>
    <x v="9"/>
    <s v="HUGO ALEXANDRE"/>
    <s v="ROGERIO SCATAMBULO"/>
    <n v="262.05999999999949"/>
  </r>
  <r>
    <s v="MARCELO DE SOUZA DALA VEDOVA"/>
    <s v="05375810654"/>
    <s v="CLARO INFRA MG"/>
    <x v="26"/>
    <s v="HUGO ALEXANDRE"/>
    <s v="ROGERIO SCATAMBULO"/>
    <n v="260.90000000000009"/>
  </r>
  <r>
    <s v="BRUNA LAIS AZEVEDO CUNHA"/>
    <s v="07747008406"/>
    <s v="CLARO INFRA NORDESTE"/>
    <x v="24"/>
    <s v="GERSON OLIVEIRA"/>
    <s v="ROGERIO SCATAMBULO"/>
    <n v="256.05000000000109"/>
  </r>
  <r>
    <s v="HELDER ARCHANJO FERREIRA"/>
    <s v="06439531670"/>
    <s v="CLARO INFRA MG"/>
    <x v="26"/>
    <s v="HUGO ALEXANDRE"/>
    <s v="ROGERIO SCATAMBULO"/>
    <n v="244.90000000000055"/>
  </r>
  <r>
    <s v="ALAN RODRIGO SILVA ANDRADE"/>
    <s v="07722232469"/>
    <s v="BB ALAGOAS"/>
    <x v="86"/>
    <s v="GERSON OLIVEIRA"/>
    <s v="ROGERIO SCATAMBULO"/>
    <n v="239.15000000000003"/>
  </r>
  <r>
    <s v="LUDGERO HORACIO DE OLIVEIRA"/>
    <s v="06576198922"/>
    <s v="CEF NORTE PR"/>
    <x v="55"/>
    <s v="BRUNO LINHARES"/>
    <s v="EVERSON GAIDSTIECHI"/>
    <n v="4831.2200000000594"/>
  </r>
  <r>
    <s v="MARCEL GOMES DE OLIVEIRA"/>
    <s v="29011288823"/>
    <s v="CEF LESTE SP"/>
    <x v="37"/>
    <s v="LEANDRO NUNES"/>
    <s v="EVERSON GAIDSTIECHI"/>
    <n v="218.86999999999625"/>
  </r>
  <r>
    <s v="DELVANO AILTON DA SILVA"/>
    <s v="05289382666"/>
    <s v="NET LESTE MG"/>
    <x v="73"/>
    <s v="HUGO ALEXANDRE"/>
    <s v="ROGERIO SCATAMBULO"/>
    <n v="215"/>
  </r>
  <r>
    <s v="ARTHUR GOMES DE PAULO"/>
    <s v="12877857603"/>
    <s v="CLARO INFRA MG"/>
    <x v="26"/>
    <s v="HUGO ALEXANDRE"/>
    <s v="ROGERIO SCATAMBULO"/>
    <n v="201.30000000000109"/>
  </r>
  <r>
    <s v="CELIO GONCALVES DE OLIVEIRA JUNIOR"/>
    <s v="12712136640"/>
    <s v="NET LESTE MG"/>
    <x v="73"/>
    <s v="HUGO ALEXANDRE"/>
    <s v="ROGERIO SCATAMBULO"/>
    <n v="189.79999999999995"/>
  </r>
  <r>
    <s v="ANDRE VALERIO DE PAIVA"/>
    <s v="12682517633"/>
    <s v="CLARO INFRA MG"/>
    <x v="26"/>
    <s v="HUGO ALEXANDRE"/>
    <s v="ROGERIO SCATAMBULO"/>
    <n v="188.54999999999995"/>
  </r>
  <r>
    <s v="BRUNA LAIS DOS SANTOS PESSOA"/>
    <s v="13459423625"/>
    <s v="ASSEMBLEIA LEGISLATIVA MG"/>
    <x v="87"/>
    <s v="HUGO ALEXANDRE"/>
    <s v="ROGERIO SCATAMBULO"/>
    <n v="178.02999999999997"/>
  </r>
  <r>
    <s v="RODRIGO JOSE DE PAULA"/>
    <s v="03348917956"/>
    <s v="CLARO INFRA PR"/>
    <x v="85"/>
    <s v="BRUNO EDUARDO"/>
    <s v="EVERSON GAIDSTIECHI"/>
    <n v="162.32"/>
  </r>
  <r>
    <s v="RODRIGO BALESTRIN"/>
    <s v="02845828918"/>
    <s v="CLARO INFRA SC"/>
    <x v="23"/>
    <s v="BRUNO EDUARDO"/>
    <s v="EVERSON GAIDSTIECHI"/>
    <n v="159.5"/>
  </r>
  <r>
    <s v="ROBSON DOS SANTOS GUEDES"/>
    <s v="08418392983"/>
    <s v="CLARO INFRA SC"/>
    <x v="23"/>
    <s v="BRUNO EDUARDO"/>
    <s v="EVERSON GAIDSTIECHI"/>
    <n v="159.43"/>
  </r>
  <r>
    <s v="RAMON GOMES TEIXEIRA"/>
    <s v="83978054515"/>
    <s v="BB EDIFICIOS SP"/>
    <x v="88"/>
    <s v="LEANDRO NUNES"/>
    <s v="EVERSON GAIDSTIECHI"/>
    <n v="158.98000000000036"/>
  </r>
  <r>
    <s v="DENILSO DIDONE"/>
    <s v="04859818903"/>
    <s v="CLARO INFRA SC"/>
    <x v="23"/>
    <s v="BRUNO EDUARDO"/>
    <s v="EVERSON GAIDSTIECHI"/>
    <n v="155.20000000000005"/>
  </r>
  <r>
    <s v="LARISSA SANTOS DA SILVA"/>
    <s v="45120065830"/>
    <s v="BANCO ITAU SP"/>
    <x v="52"/>
    <s v="LEANDRO NUNES"/>
    <s v="EVERSON GAIDSTIECHI"/>
    <n v="149.13999999999999"/>
  </r>
  <r>
    <s v="EDUARDO ANDREY VENSON SILVA"/>
    <s v="02960685946"/>
    <s v="CEF OESTE SC"/>
    <x v="89"/>
    <s v="BRUNO LINHARES"/>
    <s v="EVERSON GAIDSTIECHI"/>
    <n v="689.97000000003004"/>
  </r>
  <r>
    <s v="PAULO DE FREITAS PEREIRA"/>
    <s v="11634696611"/>
    <s v="CLARO INFRA MG"/>
    <x v="26"/>
    <s v="HUGO ALEXANDRE"/>
    <s v="ROGERIO SCATAMBULO"/>
    <n v="147.47"/>
  </r>
  <r>
    <s v="LUIZ FERNANDO CAVALHEIRO"/>
    <s v="03898579980"/>
    <s v="TRIBUNAL DE JUSTICA PR"/>
    <x v="42"/>
    <s v="BRUNO LINHARES"/>
    <s v="EVERSON GAIDSTIECHI"/>
    <n v="903.84"/>
  </r>
  <r>
    <s v="ADAN LEONARDO SOUZA BATISTA"/>
    <s v="01932662537"/>
    <s v="UFBA BA"/>
    <x v="90"/>
    <s v="GERSON OLIVEIRA"/>
    <s v="ROGERIO SCATAMBULO"/>
    <n v="136.60999999999967"/>
  </r>
  <r>
    <s v="MARCIO CORREA DA SILVA"/>
    <s v="98717251087"/>
    <s v="NET CTA PR"/>
    <x v="54"/>
    <s v="BRUNO LINHARES"/>
    <s v="EVERSON GAIDSTIECHI"/>
    <n v="99.230000000000018"/>
  </r>
  <r>
    <s v="WINDER DE SOUZA PIRES"/>
    <s v="04028795621"/>
    <s v="NET LESTE MG"/>
    <x v="73"/>
    <s v="HUGO ALEXANDRE"/>
    <s v="ROGERIO SCATAMBULO"/>
    <n v="123.96000000000004"/>
  </r>
  <r>
    <s v="SILVIO ODELI FILHO"/>
    <s v="07634898910"/>
    <s v="CLARO INFRA SC"/>
    <x v="23"/>
    <s v="BRUNO EDUARDO"/>
    <s v="EVERSON GAIDSTIECHI"/>
    <n v="120"/>
  </r>
  <r>
    <s v="LUIZ PAULO SILVA SOUSA JUNIOR"/>
    <s v="02678045129"/>
    <s v="TELEFONICA CO"/>
    <x v="17"/>
    <s v="ANGELICA SOARES"/>
    <s v="ROGERIO SCATAMBULO"/>
    <n v="116.97999999999686"/>
  </r>
  <r>
    <s v="FABIO PROVESI"/>
    <s v="05731312958"/>
    <s v="BB SERET SC"/>
    <x v="91"/>
    <s v="BRUNO LINHARES"/>
    <s v="EVERSON GAIDSTIECHI"/>
    <n v="1637.04"/>
  </r>
  <r>
    <s v="MARCIO DA COSTA JOAO"/>
    <s v="02524841936"/>
    <s v="BB CENOP CURITIBA PR"/>
    <x v="92"/>
    <s v="BRUNO LINHARES"/>
    <s v="EVERSON GAIDSTIECHI"/>
    <n v="95.399999999999977"/>
  </r>
  <r>
    <s v="MARCOS SEGER"/>
    <s v="97135631900"/>
    <s v="UFPR PR"/>
    <x v="74"/>
    <s v="BRUNO LINHARES"/>
    <s v="EVERSON GAIDSTIECHI"/>
    <n v="1014.16"/>
  </r>
  <r>
    <s v="UELITON CANDIDO"/>
    <s v="10354623621"/>
    <s v="NET SUL MG"/>
    <x v="93"/>
    <s v="HUGO ALEXANDRE"/>
    <s v="ROGERIO SCATAMBULO"/>
    <n v="90"/>
  </r>
  <r>
    <s v="MICHEL DOS SANTOS VENANCIO"/>
    <s v="06271222994"/>
    <s v="CLARO INFRA SC"/>
    <x v="23"/>
    <s v="BRUNO EDUARDO"/>
    <s v="EVERSON GAIDSTIECHI"/>
    <n v="90"/>
  </r>
  <r>
    <s v="LUIS FELIPE RAYMUNDO GARCIA"/>
    <s v="06837861999"/>
    <s v="CLARO INFRA PR"/>
    <x v="85"/>
    <s v="BRUNO EDUARDO"/>
    <s v="EVERSON GAIDSTIECHI"/>
    <n v="81.889999999999191"/>
  </r>
  <r>
    <s v="ALISSON RODRIGO RAMBO"/>
    <s v="07338782962"/>
    <s v="CLARO INFRA SC"/>
    <x v="23"/>
    <s v="BRUNO EDUARDO"/>
    <s v="EVERSON GAIDSTIECHI"/>
    <n v="80"/>
  </r>
  <r>
    <s v="JOSE NILDA DA CUNHA"/>
    <s v="69808112900"/>
    <s v="CLARO INFRA PR"/>
    <x v="85"/>
    <s v="BRUNO EDUARDO"/>
    <s v="EVERSON GAIDSTIECHI"/>
    <n v="74.56"/>
  </r>
  <r>
    <s v="DOUGLAS BRUCK MACHADO"/>
    <s v="03241621030"/>
    <s v="NET CENTRO RS"/>
    <x v="63"/>
    <s v="ALEXANDRE GROSS"/>
    <s v="EVERSON GAIDSTIECHI"/>
    <n v="73.300000000000068"/>
  </r>
  <r>
    <s v="DANILO ZANATTA LUCIANO"/>
    <s v="06285125970"/>
    <s v="CLARO INFRA SC"/>
    <x v="23"/>
    <s v="BRUNO EDUARDO"/>
    <s v="EVERSON GAIDSTIECHI"/>
    <n v="71.500000000000455"/>
  </r>
  <r>
    <s v="LUCAS HENRIQUE PINHO"/>
    <s v="45211709861"/>
    <s v="CLARO INFRA PR"/>
    <x v="85"/>
    <s v="BRUNO EDUARDO"/>
    <s v="EVERSON GAIDSTIECHI"/>
    <n v="71.25"/>
  </r>
  <r>
    <s v="RONALDO DE MATOS LELIS"/>
    <s v="47502843604"/>
    <s v="CLARO INFRA MG"/>
    <x v="26"/>
    <s v="HUGO ALEXANDRE"/>
    <s v="ROGERIO SCATAMBULO"/>
    <n v="64.69999999999979"/>
  </r>
  <r>
    <s v="CLEVERSON PAULOUSKI"/>
    <s v="08609699919"/>
    <s v="CLARO INFRA PR"/>
    <x v="85"/>
    <s v="BRUNO EDUARDO"/>
    <s v="EVERSON GAIDSTIECHI"/>
    <n v="63.379999999999946"/>
  </r>
  <r>
    <s v="FRANCISCO VALDENIR DE SOUSA"/>
    <s v="79248160387"/>
    <s v="CLARO INFRA PR"/>
    <x v="85"/>
    <s v="BRUNO EDUARDO"/>
    <s v="EVERSON GAIDSTIECHI"/>
    <n v="60"/>
  </r>
  <r>
    <s v="CLAYTON DE OLIVEIRA"/>
    <s v="02928835954"/>
    <s v="CLARO INFRA PR"/>
    <x v="85"/>
    <s v="BRUNO EDUARDO"/>
    <s v="EVERSON GAIDSTIECHI"/>
    <n v="55.000000000000071"/>
  </r>
  <r>
    <s v="PITER ROBSON DA SILVA"/>
    <s v="91388686953"/>
    <s v="CLARO INFRA PR"/>
    <x v="85"/>
    <s v="BRUNO EDUARDO"/>
    <s v="EVERSON GAIDSTIECHI"/>
    <n v="55"/>
  </r>
  <r>
    <s v="CLAUDINEI VICENTE DE LIMA"/>
    <s v="91920795987"/>
    <s v="CELESC NORTE SC"/>
    <x v="46"/>
    <s v="BRUNO EDUARDO"/>
    <s v="EVERSON GAIDSTIECHI"/>
    <n v="48.400000000000105"/>
  </r>
  <r>
    <s v="SERGIO ESTEVAM DEBIAZI"/>
    <s v="02063139342"/>
    <s v="CLARO INFRA SC"/>
    <x v="23"/>
    <s v="BRUNO EDUARDO"/>
    <s v="EVERSON GAIDSTIECHI"/>
    <n v="37.700000000000045"/>
  </r>
  <r>
    <s v="ERICSON PINHEIRO DOS SANTOS"/>
    <s v="29157549850"/>
    <s v="CEF FACILITIES SP"/>
    <x v="94"/>
    <s v="LEANDRO NUNES"/>
    <s v="EVERSON GAIDSTIECHI"/>
    <n v="34.999999999999091"/>
  </r>
  <r>
    <s v="CARLOS ALEXANDRE GIGI"/>
    <s v="20005473896"/>
    <s v="BB SP"/>
    <x v="95"/>
    <s v="LEANDRO NUNES"/>
    <s v="EVERSON GAIDSTIECHI"/>
    <n v="33.89999999999975"/>
  </r>
  <r>
    <s v="ARTUR JACO PAGANI DE SOUZA"/>
    <s v="07105914971"/>
    <s v="CLARO INFRA SC"/>
    <x v="23"/>
    <s v="BRUNO EDUARDO"/>
    <s v="EVERSON GAIDSTIECHI"/>
    <n v="28.210000000000491"/>
  </r>
  <r>
    <s v="DIEGO GRIME DE MELO"/>
    <s v="05597823906"/>
    <s v="CLARO INFRA PR"/>
    <x v="85"/>
    <s v="BRUNO EDUARDO"/>
    <s v="EVERSON GAIDSTIECHI"/>
    <n v="23.119999999999891"/>
  </r>
  <r>
    <s v="CREOL APARECIDO DOS SANTOS"/>
    <s v="03363725906"/>
    <s v="CLARO INFRA PR"/>
    <x v="85"/>
    <s v="BRUNO EDUARDO"/>
    <s v="EVERSON GAIDSTIECHI"/>
    <n v="22.799999999999834"/>
  </r>
  <r>
    <s v="MATHEUS FERNANDES GUIMARAES"/>
    <s v="17996820724"/>
    <s v="CEF NORTE PR"/>
    <x v="55"/>
    <s v="BRUNO LINHARES"/>
    <s v="EVERSON GAIDSTIECHI"/>
    <n v="1792.760000000002"/>
  </r>
  <r>
    <s v="LUCIANO DA SILVA DE PAULA"/>
    <s v="11489828923"/>
    <s v="CLARO INFRA PR"/>
    <x v="85"/>
    <s v="BRUNO EDUARDO"/>
    <s v="EVERSON GAIDSTIECHI"/>
    <n v="14.500000000000057"/>
  </r>
  <r>
    <s v="ICARO MEDEIROS SILVA"/>
    <s v="01565661338"/>
    <s v="CLARO INFRA NORDESTE"/>
    <x v="24"/>
    <s v="FELIPE JOSE"/>
    <s v="ROGERIO SCATAMBULO"/>
    <n v="14"/>
  </r>
  <r>
    <s v="THIAGO LEANDRO DOS SANTOS"/>
    <s v="33927651800"/>
    <s v="PROSEGUR SP"/>
    <x v="96"/>
    <s v="LEANDRO NUNES"/>
    <s v="EVERSON GAIDSTIECHI"/>
    <n v="6.9999999999990177"/>
  </r>
  <r>
    <s v="WILLIAM NORONHA TEIXEIRA"/>
    <s v="02013700008"/>
    <s v="NET APOIO RS"/>
    <x v="11"/>
    <s v="ALEXANDRE GROSS"/>
    <s v="EVERSON GAIDSTIECHI"/>
    <n v="5.1000000000008185"/>
  </r>
  <r>
    <s v="MURILO DE ALMEIDA"/>
    <s v="10521167957"/>
    <s v="BB LESTE PR"/>
    <x v="97"/>
    <s v="BRUNO LINHARES"/>
    <s v="EVERSON GAIDSTIECHI"/>
    <n v="885.39999999999964"/>
  </r>
  <r>
    <s v="NORMAN CRANI PORTELLA"/>
    <s v="79794157953"/>
    <s v="TRIBUNAL DE JUSTICA PR"/>
    <x v="42"/>
    <s v="BRUNO LINHARES"/>
    <s v="EVERSON GAIDSTIECHI"/>
    <n v="741.64"/>
  </r>
  <r>
    <s v="ODAIR CIRCO SOARES"/>
    <s v="84219122915"/>
    <s v="TRIBUNAL DE JUSTICA PR"/>
    <x v="42"/>
    <s v="BRUNO LINHARES"/>
    <s v="EVERSON GAIDSTIECHI"/>
    <n v="1160.8499999999999"/>
  </r>
  <r>
    <s v="HIGOR KELVYN SILVA AMORIM"/>
    <s v="09199781930"/>
    <s v="TELEFONICA SC"/>
    <x v="98"/>
    <s v="BRUNO LINHARES"/>
    <s v="EVERSON GAIDSTIECHI"/>
    <n v="460.69999999998788"/>
  </r>
  <r>
    <s v="OSCAR DOMINGO PALARO"/>
    <s v="03067535960"/>
    <s v="TRIBUNAL DE JUSTICA PR"/>
    <x v="42"/>
    <s v="BRUNO LINHARES"/>
    <s v="EVERSON GAIDSTIECHI"/>
    <n v="661.1399999999976"/>
  </r>
  <r>
    <s v="JOSEANE DA SILVA SOUZA"/>
    <s v="71944885234"/>
    <s v="PTB AREAS VERDES SC"/>
    <x v="36"/>
    <s v="BRUNO LINHARES"/>
    <s v="EVERSON GAIDSTIECHI"/>
    <n v="390"/>
  </r>
  <r>
    <s v="LAERCIO SOARES CANABARRO"/>
    <s v="58763376091"/>
    <s v="BB SERET SC"/>
    <x v="91"/>
    <s v="BRUNO LINHARES"/>
    <s v="EVERSON GAIDSTIECHI"/>
    <n v="414.42999999999915"/>
  </r>
  <r>
    <s v="PATRICK ANTONIEVICZ ALVES"/>
    <s v="06456801923"/>
    <s v="TRIBUNAL DE JUSTICA PR"/>
    <x v="42"/>
    <s v="BRUNO LINHARES"/>
    <s v="EVERSON GAIDSTIECHI"/>
    <n v="1281.95"/>
  </r>
  <r>
    <s v="RAFAEL CARNIEL DA SILVA"/>
    <s v="05337927973"/>
    <s v="TRIBUNAL DE JUSTICA PR"/>
    <x v="42"/>
    <s v="BRUNO LINHARES"/>
    <s v="EVERSON GAIDSTIECHI"/>
    <n v="395.85999999999785"/>
  </r>
  <r>
    <s v="RAFAEL NATAL LACHI"/>
    <s v="03710085900"/>
    <s v="TRIBUNAL DE JUSTICA PR"/>
    <x v="42"/>
    <s v="BRUNO LINHARES"/>
    <s v="EVERSON GAIDSTIECHI"/>
    <n v="787.1"/>
  </r>
  <r>
    <s v="LEANDRO DE QUADROS"/>
    <s v="03461295914"/>
    <s v="TELEFONICA SC"/>
    <x v="98"/>
    <s v="BRUNO LINHARES"/>
    <s v="EVERSON GAIDSTIECHI"/>
    <n v="700"/>
  </r>
  <r>
    <s v="LEONARDO ORESTES SOARES"/>
    <s v="05892698440"/>
    <s v="CLARO INFRA NORDESTE"/>
    <x v="24"/>
    <s v="FELIPE JOSE"/>
    <s v="ROGERIO SCATAMBULO"/>
    <n v="168.14999999999606"/>
  </r>
  <r>
    <s v="RODRIGO FRANCISCO CORREA"/>
    <s v="03059202940"/>
    <s v="TRIBUNAL DE JUSTICA PR"/>
    <x v="42"/>
    <s v="BRUNO LINHARES"/>
    <s v="EVERSON GAIDSTIECHI"/>
    <n v="440.90000000000231"/>
  </r>
  <r>
    <s v="SIDNEI MACHADO"/>
    <s v="02710155940"/>
    <s v="TRIBUNAL DE JUSTICA PR"/>
    <x v="42"/>
    <s v="BRUNO LINHARES"/>
    <s v="EVERSON GAIDSTIECHI"/>
    <n v="590.23999999999796"/>
  </r>
  <r>
    <s v="VICTOR MIGUEL PALARO"/>
    <s v="09265596996"/>
    <s v="TRIBUNAL DE JUSTICA PR"/>
    <x v="42"/>
    <s v="BRUNO LINHARES"/>
    <s v="EVERSON GAIDSTIECHI"/>
    <n v="581.64"/>
  </r>
  <r>
    <s v="LEANDRO SOUSA"/>
    <s v="00584427905"/>
    <s v="PTB AREAS VERDES SC"/>
    <x v="36"/>
    <s v="BRUNO LINHARES"/>
    <s v="EVERSON GAIDSTIECHI"/>
    <n v="236.49"/>
  </r>
  <r>
    <s v="WAGNER DOS SANTOS PEREIRA"/>
    <s v="94512043004"/>
    <s v="BB SHOPPING ESTACAO PR"/>
    <x v="99"/>
    <s v="BRUNO LINHARES"/>
    <s v="EVERSON GAIDSTIECHI"/>
    <n v="485.9"/>
  </r>
  <r>
    <s v="MARIA EDUARDA ARAGAO"/>
    <s v="10363402950"/>
    <s v="CEF SUL SC"/>
    <x v="100"/>
    <s v="BRUNO LINHARES"/>
    <s v="EVERSON GAIDSTIECHI"/>
    <n v="2237.4299999999998"/>
  </r>
  <r>
    <s v="LUAN THIAGO DA SILVA"/>
    <s v="08030478437"/>
    <s v="CLARO INFRA NORDESTE"/>
    <x v="24"/>
    <s v="FELIPE JOSE"/>
    <s v="ROGERIO SCATAMBULO"/>
    <n v="1000"/>
  </r>
  <r>
    <s v="PRISCILA GOTARDO PEREIRA"/>
    <s v="05168980945"/>
    <s v="ADM FILIAL SC"/>
    <x v="58"/>
    <s v="BRUNO LINHARES"/>
    <s v="EVERSON GAIDSTIECHI"/>
    <n v="464.90000000000015"/>
  </r>
  <r>
    <s v="WELLINGTON ARION TAVARES"/>
    <s v="04747951954"/>
    <s v="TRIBUNAL DE JUSTICA PR"/>
    <x v="42"/>
    <s v="BRUNO LINHARES"/>
    <s v="EVERSON GAIDSTIECHI"/>
    <n v="238.22000000000003"/>
  </r>
  <r>
    <s v="ROBERTO DOMINGUES PEREIRA"/>
    <s v="81480261068"/>
    <s v="TELEFONICA SC"/>
    <x v="98"/>
    <s v="BRUNO LINHARES"/>
    <s v="EVERSON GAIDSTIECHI"/>
    <n v="148.63000000000284"/>
  </r>
  <r>
    <s v="NERTAN DE CASTRO MAIA"/>
    <s v="31668267349"/>
    <s v="CLARO INFRA NORDESTE"/>
    <x v="24"/>
    <s v="FELIPE JOSE"/>
    <s v="ROGERIO SCATAMBULO"/>
    <n v="441.1"/>
  </r>
  <r>
    <s v="RODRIGO ROBERTO DE SOUZA"/>
    <s v="05664820969"/>
    <s v="BB GRANDE FLORIANOPOLIS SC"/>
    <x v="101"/>
    <s v="BRUNO LINHARES"/>
    <s v="EVERSON GAIDSTIECHI"/>
    <n v="1171.5299999999952"/>
  </r>
  <r>
    <s v="WELTON GERALDO WROBLEWSKI"/>
    <s v="91443130982"/>
    <s v="TRIBUNAL DE JUSTICA PR"/>
    <x v="42"/>
    <s v="BRUNO LINHARES"/>
    <s v="EVERSON GAIDSTIECHI"/>
    <n v="266.03999999999809"/>
  </r>
  <r>
    <s v="THIAGO PEREIRA DE LIMA"/>
    <s v="06478105490"/>
    <s v="CLARO INFRA NORDESTE"/>
    <x v="24"/>
    <s v="FELIPE JOSE"/>
    <s v="ROGERIO SCATAMBULO"/>
    <n v="7.0000000000000639"/>
  </r>
  <r>
    <s v="TIAGO BRANCO DE BARROS"/>
    <s v="02777503001"/>
    <s v="NET VIDEIRA SC"/>
    <x v="102"/>
    <s v="BRUNO LINHARES"/>
    <s v="EVERSON GAIDSTIECHI"/>
    <n v="116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A93E4-51EE-419B-8338-05417FDAF0C5}" name="Tabela dinâmica10" cacheId="9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106" firstHeaderRow="1" firstDataRow="1" firstDataCol="1"/>
  <pivotFields count="7">
    <pivotField showAll="0"/>
    <pivotField showAll="0"/>
    <pivotField showAll="0"/>
    <pivotField axis="axisRow" numFmtId="1" showAll="0">
      <items count="104">
        <item x="72"/>
        <item x="70"/>
        <item x="71"/>
        <item x="82"/>
        <item x="68"/>
        <item x="38"/>
        <item x="69"/>
        <item x="58"/>
        <item x="8"/>
        <item x="86"/>
        <item x="97"/>
        <item x="95"/>
        <item x="60"/>
        <item x="64"/>
        <item x="99"/>
        <item x="51"/>
        <item x="91"/>
        <item x="92"/>
        <item x="101"/>
        <item x="84"/>
        <item x="34"/>
        <item x="88"/>
        <item x="0"/>
        <item x="1"/>
        <item x="40"/>
        <item x="15"/>
        <item x="18"/>
        <item x="10"/>
        <item x="13"/>
        <item x="79"/>
        <item x="37"/>
        <item x="12"/>
        <item x="9"/>
        <item x="16"/>
        <item x="100"/>
        <item x="89"/>
        <item x="45"/>
        <item x="22"/>
        <item x="94"/>
        <item x="32"/>
        <item x="25"/>
        <item x="55"/>
        <item x="78"/>
        <item x="83"/>
        <item x="47"/>
        <item x="6"/>
        <item x="14"/>
        <item x="28"/>
        <item x="7"/>
        <item x="4"/>
        <item x="19"/>
        <item x="43"/>
        <item x="31"/>
        <item x="3"/>
        <item x="23"/>
        <item x="85"/>
        <item x="26"/>
        <item x="24"/>
        <item x="35"/>
        <item x="48"/>
        <item x="102"/>
        <item x="76"/>
        <item x="57"/>
        <item x="98"/>
        <item x="17"/>
        <item x="27"/>
        <item x="29"/>
        <item x="42"/>
        <item x="11"/>
        <item x="63"/>
        <item x="41"/>
        <item x="67"/>
        <item x="2"/>
        <item x="5"/>
        <item x="21"/>
        <item x="75"/>
        <item x="54"/>
        <item x="46"/>
        <item x="77"/>
        <item x="33"/>
        <item x="52"/>
        <item x="20"/>
        <item x="73"/>
        <item x="90"/>
        <item x="74"/>
        <item x="65"/>
        <item x="80"/>
        <item x="62"/>
        <item x="49"/>
        <item x="53"/>
        <item x="93"/>
        <item x="50"/>
        <item x="87"/>
        <item x="96"/>
        <item x="39"/>
        <item x="59"/>
        <item x="44"/>
        <item x="30"/>
        <item x="56"/>
        <item x="36"/>
        <item x="81"/>
        <item x="66"/>
        <item x="61"/>
        <item t="default"/>
      </items>
    </pivotField>
    <pivotField showAll="0"/>
    <pivotField showAll="0"/>
    <pivotField dataField="1" numFmtId="44" showAll="0"/>
  </pivotFields>
  <rowFields count="1">
    <field x="3"/>
  </rowFields>
  <row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 t="grand">
      <x/>
    </i>
  </rowItems>
  <colItems count="1">
    <i/>
  </colItems>
  <dataFields count="1">
    <dataField name="Soma de CARGA FINAL 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C8F9C6B6-0F85-4766-8FF2-ADB0A82345A6}" sourceName="GESTOR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76830149-D08D-401A-94CE-5FC36AE0EDDD}" cache="SegmentaçãodeDados_GESTOR" caption="GESTOR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4B167-ED1E-4AEE-9BA7-DDFDB45F991A}" name="Tabela1" displayName="Tabela1" ref="B6:R528" totalsRowShown="0" headerRowDxfId="36" dataDxfId="35" headerRowBorderDxfId="33" tableBorderDxfId="34" totalsRowBorderDxfId="32" dataCellStyle="Vírgula">
  <autoFilter ref="B6:R528" xr:uid="{0AA4B167-ED1E-4AEE-9BA7-DDFDB45F991A}">
    <filterColumn colId="0">
      <filters>
        <filter val="LUCIANO JOSE DO AMARAL PEREIRA"/>
      </filters>
    </filterColumn>
  </autoFilter>
  <tableColumns count="17">
    <tableColumn id="1" xr3:uid="{514E0DBD-5B4D-4387-9F08-06021976042F}" name="PORTADOR" dataDxfId="31"/>
    <tableColumn id="2" xr3:uid="{CF50954F-78A3-4E4B-BB44-6DDD5708E466}" name="CPF" dataDxfId="30"/>
    <tableColumn id="4" xr3:uid="{4E5FA414-FCF7-465C-98A9-1F1F0C44EE4C}" name="STATUS COLAB" dataDxfId="29"/>
    <tableColumn id="5" xr3:uid="{C4BB1239-DD40-43D4-8495-148404771118}" name="CENTRO CUSTO" dataDxfId="28"/>
    <tableColumn id="8" xr3:uid="{04F9F121-8208-4650-AE4D-CE867BB94B25}" name="COD CENTRO CUSTO" dataDxfId="27"/>
    <tableColumn id="6" xr3:uid="{109C888D-69C5-4A40-BD5B-B7992D414DD8}" name="GESTOR" dataDxfId="26"/>
    <tableColumn id="3" xr3:uid="{936E2B05-D6C1-4A9A-AFA6-A357671D3CD0}" name="DIREÇÃO" dataDxfId="25"/>
    <tableColumn id="7" xr3:uid="{4A84BECB-F961-474A-99A6-650EDFF8E675}" name="SALDO REEMBOLSAR" dataDxfId="24" dataCellStyle="Vírgula"/>
    <tableColumn id="17" xr3:uid="{A33966D1-55BA-4EAE-911A-20F81A72DDF2}" name="SALDO PENDENTE" dataDxfId="23" dataCellStyle="Vírgula"/>
    <tableColumn id="19" xr3:uid="{DF5E5779-EEFB-41DF-A399-8B9231997C97}" name="1QZ DE FEV 26" dataDxfId="22" dataCellStyle="Vírgula"/>
    <tableColumn id="10" xr3:uid="{68981180-1A6E-4C3F-A864-B330B22D1C13}" name="SALDO CARTAO" dataDxfId="21" dataCellStyle="Vírgula"/>
    <tableColumn id="11" xr3:uid="{5429371E-297F-4CFA-934D-D8D3F83BD9FF}" name="ADIANTAMENTO" dataDxfId="20" dataCellStyle="Vírgula"/>
    <tableColumn id="20" xr3:uid="{7E112359-057E-4D0D-8098-212BF8E937E5}" name="CARGA PARCIAL" dataDxfId="19" dataCellStyle="Vírgula">
      <calculatedColumnFormula>Tabela1[[#This Row],[1QZ DE FEV 26]]-Tabela1[[#This Row],[SALDO PENDENTE]]-Tabela1[[#This Row],[SALDO CARTAO]]-Tabela1[[#This Row],[ADIANTAMENTO]]</calculatedColumnFormula>
    </tableColumn>
    <tableColumn id="16" xr3:uid="{7F5B8C3B-CBEB-4626-ABEF-8D59138FC631}" name="REEMBOLSO" dataDxfId="18" dataCellStyle="Vírgula"/>
    <tableColumn id="14" xr3:uid="{8CD817E1-089A-4F63-B2F5-4604FA3B6B63}" name="CARGA FINAL" dataDxfId="17" dataCellStyle="Moeda">
      <calculatedColumnFormula>IF(Tabela1[[#This Row],[CARGA PARCIAL]]&lt;0,0,Tabela1[[#This Row],[CARGA PARCIAL]])+Tabela1[[#This Row],[REEMBOLSO]]</calculatedColumnFormula>
    </tableColumn>
    <tableColumn id="21" xr3:uid="{7D60FE15-26A3-4ADA-97D1-E662B4BFD9AF}" name="STATUS DO CARTAO" dataDxfId="16" dataCellStyle="Vírgula"/>
    <tableColumn id="15" xr3:uid="{0E8DE45D-F3C2-460E-89ED-CC644B5DA7E4}" name="OBS " dataDxfId="15" dataCellStyle="Vírgul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374DC-4F80-4A7A-A858-04DB031B193A}" name="Tabela13" displayName="Tabela13" ref="B2:H221" totalsRowShown="0" headerRowDxfId="11" dataDxfId="10" headerRowBorderDxfId="8" tableBorderDxfId="9" totalsRowBorderDxfId="7" dataCellStyle="Vírgula">
  <autoFilter ref="B2:H221" xr:uid="{F42374DC-4F80-4A7A-A858-04DB031B193A}"/>
  <tableColumns count="7">
    <tableColumn id="1" xr3:uid="{D4CE82C1-F7ED-445A-B4E1-A5FB6033E2E1}" name="PORTADOR" dataDxfId="6"/>
    <tableColumn id="2" xr3:uid="{EDFF7EC0-E1F7-4DE0-BA6C-49D106B33CA9}" name="CPF" dataDxfId="5"/>
    <tableColumn id="5" xr3:uid="{915CFC41-C1B5-407B-A543-3B9C64E1A06D}" name="CENTRO CUSTO" dataDxfId="4"/>
    <tableColumn id="8" xr3:uid="{D9DC0617-A50A-47DD-81AA-D82E7FA0AC14}" name="COD CENTRO CUSTO" dataDxfId="3"/>
    <tableColumn id="6" xr3:uid="{89FE9966-7626-4508-B3CE-6FF7F22CCB68}" name="GESTOR" dataDxfId="2"/>
    <tableColumn id="3" xr3:uid="{5CD0BC5E-47F7-4B1B-8A03-72CD2B102244}" name="DIREÇÃO" dataDxfId="1"/>
    <tableColumn id="14" xr3:uid="{164A9D70-4A2F-457B-8616-37DD6A6AC100}" name="CARGA FINAL " dataDxfId="0" dataCellStyle="Mo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34CE-516D-4045-9667-EA3982A05F22}">
  <dimension ref="A1:AW528"/>
  <sheetViews>
    <sheetView showGridLines="0" tabSelected="1" topLeftCell="B1" zoomScaleNormal="100" workbookViewId="0">
      <selection activeCell="P531" sqref="P531"/>
    </sheetView>
  </sheetViews>
  <sheetFormatPr defaultColWidth="9.140625" defaultRowHeight="15.75"/>
  <cols>
    <col min="1" max="1" width="4.140625" style="1" customWidth="1"/>
    <col min="2" max="2" width="40.42578125" style="3" bestFit="1" customWidth="1"/>
    <col min="3" max="3" width="12" style="3" hidden="1" customWidth="1"/>
    <col min="4" max="4" width="17" style="2" hidden="1" customWidth="1"/>
    <col min="5" max="5" width="26.7109375" style="2" customWidth="1"/>
    <col min="6" max="6" width="19.7109375" style="2" hidden="1" customWidth="1"/>
    <col min="7" max="7" width="18.7109375" style="3" hidden="1" customWidth="1"/>
    <col min="8" max="8" width="19.140625" style="3" hidden="1" customWidth="1"/>
    <col min="9" max="9" width="19.5703125" style="3" hidden="1" customWidth="1"/>
    <col min="10" max="10" width="27.7109375" style="2" customWidth="1"/>
    <col min="11" max="11" width="15.28515625" style="2" customWidth="1"/>
    <col min="12" max="12" width="16.28515625" style="2" hidden="1" customWidth="1"/>
    <col min="13" max="13" width="16.85546875" style="3" hidden="1" customWidth="1"/>
    <col min="14" max="14" width="28.140625" style="3" hidden="1" customWidth="1"/>
    <col min="15" max="15" width="14.28515625" style="32" hidden="1" customWidth="1"/>
    <col min="16" max="16" width="20.85546875" style="33" customWidth="1"/>
    <col min="17" max="17" width="19.7109375" style="33" customWidth="1"/>
    <col min="18" max="18" width="16.28515625" style="33" bestFit="1" customWidth="1"/>
    <col min="19" max="19" width="19.7109375" style="4" customWidth="1"/>
    <col min="20" max="49" width="9.140625" style="5"/>
  </cols>
  <sheetData>
    <row r="1" spans="1:49" ht="16.5" thickBot="1"/>
    <row r="2" spans="1:49" ht="31.5" customHeight="1">
      <c r="L2" s="6"/>
      <c r="Q2" s="7" t="s">
        <v>0</v>
      </c>
      <c r="R2" s="8"/>
      <c r="S2" s="9"/>
    </row>
    <row r="3" spans="1:49" ht="31.5" customHeight="1">
      <c r="L3" s="6"/>
      <c r="Q3" s="10" t="s">
        <v>1</v>
      </c>
      <c r="R3" s="11"/>
    </row>
    <row r="4" spans="1:49" ht="31.5" customHeight="1" thickBot="1">
      <c r="M4" s="34"/>
      <c r="P4" s="12" t="s">
        <v>2</v>
      </c>
      <c r="Q4" s="69">
        <f>R3-R2</f>
        <v>0</v>
      </c>
      <c r="R4" s="70"/>
    </row>
    <row r="5" spans="1:49" s="14" customFormat="1" ht="36" customHeight="1">
      <c r="A5" s="13"/>
      <c r="B5" s="35"/>
      <c r="C5" s="35"/>
      <c r="D5" s="15"/>
      <c r="E5" s="15" t="s">
        <v>3</v>
      </c>
      <c r="F5" s="15"/>
      <c r="G5" s="35"/>
      <c r="H5" s="35"/>
      <c r="I5" s="36">
        <f t="shared" ref="I5:O5" si="0">SUBTOTAL(9,I7:I1048576)</f>
        <v>0</v>
      </c>
      <c r="J5" s="36">
        <f t="shared" si="0"/>
        <v>2188.3499999999899</v>
      </c>
      <c r="K5" s="36">
        <f t="shared" si="0"/>
        <v>4000</v>
      </c>
      <c r="L5" s="36">
        <f t="shared" si="0"/>
        <v>2.74</v>
      </c>
      <c r="M5" s="36">
        <f t="shared" si="0"/>
        <v>0</v>
      </c>
      <c r="N5" s="36">
        <f t="shared" si="0"/>
        <v>1808.9100000000101</v>
      </c>
      <c r="O5" s="36">
        <f t="shared" si="0"/>
        <v>0</v>
      </c>
      <c r="P5" s="37">
        <f>SUBTOTAL(9,P7:P528)</f>
        <v>1808.9100000000101</v>
      </c>
      <c r="Q5" s="36"/>
      <c r="R5" s="3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9">
      <c r="B6" s="52" t="s">
        <v>4</v>
      </c>
      <c r="C6" s="52" t="s">
        <v>5</v>
      </c>
      <c r="D6" s="53" t="s">
        <v>6</v>
      </c>
      <c r="E6" s="52" t="s">
        <v>7</v>
      </c>
      <c r="F6" s="52" t="s">
        <v>8</v>
      </c>
      <c r="G6" s="52" t="s">
        <v>9</v>
      </c>
      <c r="H6" s="52" t="s">
        <v>10</v>
      </c>
      <c r="I6" s="54" t="s">
        <v>11</v>
      </c>
      <c r="J6" s="63" t="s">
        <v>12</v>
      </c>
      <c r="K6" s="56" t="s">
        <v>13</v>
      </c>
      <c r="L6" s="57" t="s">
        <v>14</v>
      </c>
      <c r="M6" s="58" t="s">
        <v>15</v>
      </c>
      <c r="N6" s="55" t="s">
        <v>16</v>
      </c>
      <c r="O6" s="59" t="s">
        <v>17</v>
      </c>
      <c r="P6" s="60" t="s">
        <v>18</v>
      </c>
      <c r="Q6" s="61" t="s">
        <v>19</v>
      </c>
      <c r="R6" s="62" t="s">
        <v>20</v>
      </c>
      <c r="S6" s="5"/>
      <c r="AU6"/>
      <c r="AV6"/>
      <c r="AW6"/>
    </row>
    <row r="7" spans="1:49" hidden="1">
      <c r="B7" s="42" t="s">
        <v>21</v>
      </c>
      <c r="C7" s="22" t="s">
        <v>22</v>
      </c>
      <c r="D7" s="17" t="s">
        <v>23</v>
      </c>
      <c r="E7" s="17" t="s">
        <v>24</v>
      </c>
      <c r="F7" s="17">
        <v>11030260001</v>
      </c>
      <c r="G7" s="20" t="s">
        <v>25</v>
      </c>
      <c r="H7" s="17" t="s">
        <v>26</v>
      </c>
      <c r="I7" s="30">
        <v>0</v>
      </c>
      <c r="J7" s="30">
        <v>161.77999999996973</v>
      </c>
      <c r="K7" s="30">
        <v>16000</v>
      </c>
      <c r="L7" s="30">
        <v>1</v>
      </c>
      <c r="M7" s="30">
        <v>0</v>
      </c>
      <c r="N7" s="38">
        <f>Tabela1[[#This Row],[1QZ DE FEV 26]]-Tabela1[[#This Row],[SALDO PENDENTE]]-Tabela1[[#This Row],[SALDO CARTAO]]-Tabela1[[#This Row],[ADIANTAMENTO]]</f>
        <v>15837.22000000003</v>
      </c>
      <c r="O7" s="30">
        <v>0</v>
      </c>
      <c r="P7" s="39">
        <f>IF(Tabela1[[#This Row],[CARGA PARCIAL]]&lt;0,0,Tabela1[[#This Row],[CARGA PARCIAL]])+Tabela1[[#This Row],[REEMBOLSO]]</f>
        <v>15837.22000000003</v>
      </c>
      <c r="Q7" s="18" t="s">
        <v>27</v>
      </c>
      <c r="R7" s="18"/>
      <c r="S7" s="5"/>
      <c r="AU7"/>
      <c r="AV7"/>
      <c r="AW7"/>
    </row>
    <row r="8" spans="1:49" hidden="1">
      <c r="B8" s="17" t="s">
        <v>28</v>
      </c>
      <c r="C8" s="17" t="s">
        <v>29</v>
      </c>
      <c r="D8" s="17" t="s">
        <v>23</v>
      </c>
      <c r="E8" s="17" t="s">
        <v>30</v>
      </c>
      <c r="F8" s="17">
        <v>11030290001</v>
      </c>
      <c r="G8" s="17" t="s">
        <v>31</v>
      </c>
      <c r="H8" s="17" t="s">
        <v>26</v>
      </c>
      <c r="I8" s="30">
        <v>0</v>
      </c>
      <c r="J8" s="30">
        <v>359.40999999995</v>
      </c>
      <c r="K8" s="30">
        <v>9840</v>
      </c>
      <c r="L8" s="30">
        <v>0</v>
      </c>
      <c r="M8" s="30">
        <v>0</v>
      </c>
      <c r="N8" s="64">
        <f>Tabela1[[#This Row],[1QZ DE FEV 26]]-Tabela1[[#This Row],[SALDO PENDENTE]]-Tabela1[[#This Row],[SALDO CARTAO]]-Tabela1[[#This Row],[ADIANTAMENTO]]</f>
        <v>9480.5900000000493</v>
      </c>
      <c r="O8" s="30">
        <v>0</v>
      </c>
      <c r="P8" s="39">
        <f>IF(Tabela1[[#This Row],[CARGA PARCIAL]]&lt;0,0,Tabela1[[#This Row],[CARGA PARCIAL]])+Tabela1[[#This Row],[REEMBOLSO]]</f>
        <v>9480.5900000000493</v>
      </c>
      <c r="Q8" s="18" t="s">
        <v>27</v>
      </c>
      <c r="R8" s="18"/>
      <c r="S8" s="5"/>
      <c r="AU8"/>
      <c r="AV8"/>
      <c r="AW8"/>
    </row>
    <row r="9" spans="1:49" hidden="1">
      <c r="B9" s="17" t="s">
        <v>32</v>
      </c>
      <c r="C9" s="17" t="s">
        <v>33</v>
      </c>
      <c r="D9" s="17" t="s">
        <v>23</v>
      </c>
      <c r="E9" s="17" t="s">
        <v>34</v>
      </c>
      <c r="F9" s="17">
        <v>11061860001</v>
      </c>
      <c r="G9" s="17" t="s">
        <v>35</v>
      </c>
      <c r="H9" s="17" t="s">
        <v>26</v>
      </c>
      <c r="I9" s="65">
        <v>-3091.7900000000227</v>
      </c>
      <c r="J9" s="30">
        <v>0</v>
      </c>
      <c r="K9" s="30">
        <v>5000</v>
      </c>
      <c r="L9" s="30">
        <v>7</v>
      </c>
      <c r="M9" s="30">
        <v>0</v>
      </c>
      <c r="N9" s="30">
        <f>Tabela1[[#This Row],[1QZ DE FEV 26]]-Tabela1[[#This Row],[SALDO PENDENTE]]-Tabela1[[#This Row],[SALDO CARTAO]]-Tabela1[[#This Row],[ADIANTAMENTO]]</f>
        <v>4993</v>
      </c>
      <c r="O9" s="30">
        <v>0</v>
      </c>
      <c r="P9" s="39">
        <f>IF(Tabela1[[#This Row],[CARGA PARCIAL]]&lt;0,0,Tabela1[[#This Row],[CARGA PARCIAL]])+Tabela1[[#This Row],[REEMBOLSO]]</f>
        <v>4993</v>
      </c>
      <c r="Q9" s="18" t="s">
        <v>27</v>
      </c>
      <c r="R9" s="18"/>
      <c r="S9" s="5"/>
      <c r="AU9"/>
      <c r="AV9"/>
      <c r="AW9"/>
    </row>
    <row r="10" spans="1:49" hidden="1">
      <c r="B10" s="17" t="s">
        <v>36</v>
      </c>
      <c r="C10" s="17" t="s">
        <v>37</v>
      </c>
      <c r="D10" s="17" t="s">
        <v>23</v>
      </c>
      <c r="E10" s="17" t="s">
        <v>38</v>
      </c>
      <c r="F10" s="17">
        <v>11040040001</v>
      </c>
      <c r="G10" s="20" t="s">
        <v>31</v>
      </c>
      <c r="H10" s="17" t="s">
        <v>26</v>
      </c>
      <c r="I10" s="30">
        <v>0</v>
      </c>
      <c r="J10" s="30">
        <v>1348.8900000000003</v>
      </c>
      <c r="K10" s="30">
        <v>6800</v>
      </c>
      <c r="L10" s="30">
        <v>3</v>
      </c>
      <c r="M10" s="30">
        <v>0</v>
      </c>
      <c r="N10" s="30">
        <f>Tabela1[[#This Row],[1QZ DE FEV 26]]-Tabela1[[#This Row],[SALDO PENDENTE]]-Tabela1[[#This Row],[SALDO CARTAO]]-Tabela1[[#This Row],[ADIANTAMENTO]]</f>
        <v>5448.11</v>
      </c>
      <c r="O10" s="30">
        <v>0</v>
      </c>
      <c r="P10" s="39">
        <f>IF(Tabela1[[#This Row],[CARGA PARCIAL]]&lt;0,0,Tabela1[[#This Row],[CARGA PARCIAL]])+Tabela1[[#This Row],[REEMBOLSO]]</f>
        <v>5448.11</v>
      </c>
      <c r="Q10" s="18" t="s">
        <v>27</v>
      </c>
      <c r="R10" s="18"/>
      <c r="S10" s="5"/>
      <c r="AU10"/>
      <c r="AV10"/>
      <c r="AW10"/>
    </row>
    <row r="11" spans="1:49" hidden="1">
      <c r="B11" s="17" t="s">
        <v>39</v>
      </c>
      <c r="C11" s="17" t="s">
        <v>40</v>
      </c>
      <c r="D11" s="17" t="s">
        <v>23</v>
      </c>
      <c r="E11" s="17" t="s">
        <v>41</v>
      </c>
      <c r="F11" s="17">
        <v>11030870001</v>
      </c>
      <c r="G11" s="17" t="s">
        <v>35</v>
      </c>
      <c r="H11" s="17" t="s">
        <v>26</v>
      </c>
      <c r="I11" s="30">
        <v>0</v>
      </c>
      <c r="J11" s="30">
        <v>2324.8500000000013</v>
      </c>
      <c r="K11" s="30">
        <v>3250</v>
      </c>
      <c r="L11" s="30">
        <v>1.08</v>
      </c>
      <c r="M11" s="30">
        <v>0</v>
      </c>
      <c r="N11" s="30">
        <f>Tabela1[[#This Row],[1QZ DE FEV 26]]-Tabela1[[#This Row],[SALDO PENDENTE]]-Tabela1[[#This Row],[SALDO CARTAO]]-Tabela1[[#This Row],[ADIANTAMENTO]]</f>
        <v>924.06999999999869</v>
      </c>
      <c r="O11" s="30">
        <v>0</v>
      </c>
      <c r="P11" s="39">
        <f>IF(Tabela1[[#This Row],[CARGA PARCIAL]]&lt;0,0,Tabela1[[#This Row],[CARGA PARCIAL]])+Tabela1[[#This Row],[REEMBOLSO]]</f>
        <v>924.06999999999869</v>
      </c>
      <c r="Q11" s="18" t="s">
        <v>27</v>
      </c>
      <c r="R11" s="18"/>
      <c r="S11" s="5"/>
      <c r="AU11"/>
      <c r="AV11"/>
      <c r="AW11"/>
    </row>
    <row r="12" spans="1:49" hidden="1">
      <c r="B12" s="19" t="s">
        <v>42</v>
      </c>
      <c r="C12" s="19" t="s">
        <v>43</v>
      </c>
      <c r="D12" s="19" t="s">
        <v>23</v>
      </c>
      <c r="E12" s="19" t="s">
        <v>44</v>
      </c>
      <c r="F12" s="19">
        <v>11061870001</v>
      </c>
      <c r="G12" s="19" t="s">
        <v>45</v>
      </c>
      <c r="H12" s="19" t="s">
        <v>46</v>
      </c>
      <c r="I12" s="30">
        <v>-935.61000000000058</v>
      </c>
      <c r="J12" s="30">
        <v>0</v>
      </c>
      <c r="K12" s="31">
        <v>4200</v>
      </c>
      <c r="L12" s="30">
        <v>172</v>
      </c>
      <c r="M12" s="31">
        <v>0</v>
      </c>
      <c r="N12" s="49">
        <f>Tabela1[[#This Row],[1QZ DE FEV 26]]-Tabela1[[#This Row],[SALDO PENDENTE]]-Tabela1[[#This Row],[SALDO CARTAO]]-Tabela1[[#This Row],[ADIANTAMENTO]]</f>
        <v>4028</v>
      </c>
      <c r="O12" s="49">
        <v>935.61</v>
      </c>
      <c r="P12" s="50">
        <f>IF(Tabela1[[#This Row],[CARGA PARCIAL]]&lt;0,0,Tabela1[[#This Row],[CARGA PARCIAL]])+Tabela1[[#This Row],[REEMBOLSO]]</f>
        <v>4963.6099999999997</v>
      </c>
      <c r="Q12" s="44" t="s">
        <v>27</v>
      </c>
      <c r="R12" s="29"/>
      <c r="S12" s="5"/>
      <c r="AU12"/>
      <c r="AV12"/>
      <c r="AW12"/>
    </row>
    <row r="13" spans="1:49" hidden="1">
      <c r="B13" s="42" t="s">
        <v>47</v>
      </c>
      <c r="C13" s="22" t="s">
        <v>48</v>
      </c>
      <c r="D13" s="17" t="s">
        <v>23</v>
      </c>
      <c r="E13" s="17" t="s">
        <v>49</v>
      </c>
      <c r="F13" s="17">
        <v>11030830001</v>
      </c>
      <c r="G13" s="20" t="s">
        <v>50</v>
      </c>
      <c r="H13" s="17" t="s">
        <v>51</v>
      </c>
      <c r="I13" s="30">
        <v>-960.98000000004311</v>
      </c>
      <c r="J13" s="30">
        <v>0</v>
      </c>
      <c r="K13" s="30">
        <v>4000</v>
      </c>
      <c r="L13" s="30">
        <v>8.09</v>
      </c>
      <c r="M13" s="30">
        <v>0</v>
      </c>
      <c r="N13" s="30">
        <f>Tabela1[[#This Row],[1QZ DE FEV 26]]-Tabela1[[#This Row],[SALDO PENDENTE]]-Tabela1[[#This Row],[SALDO CARTAO]]-Tabela1[[#This Row],[ADIANTAMENTO]]</f>
        <v>3991.91</v>
      </c>
      <c r="O13" s="30">
        <v>960.98</v>
      </c>
      <c r="P13" s="39">
        <f>IF(Tabela1[[#This Row],[CARGA PARCIAL]]&lt;0,0,Tabela1[[#This Row],[CARGA PARCIAL]])+Tabela1[[#This Row],[REEMBOLSO]]</f>
        <v>4952.8899999999994</v>
      </c>
      <c r="Q13" s="18" t="s">
        <v>27</v>
      </c>
      <c r="R13" s="18"/>
      <c r="S13" s="5"/>
      <c r="AU13"/>
      <c r="AV13"/>
      <c r="AW13"/>
    </row>
    <row r="14" spans="1:49" hidden="1">
      <c r="B14" s="17" t="s">
        <v>52</v>
      </c>
      <c r="C14" s="17" t="s">
        <v>53</v>
      </c>
      <c r="D14" s="17" t="s">
        <v>23</v>
      </c>
      <c r="E14" s="17" t="s">
        <v>54</v>
      </c>
      <c r="F14" s="17">
        <v>11030860001</v>
      </c>
      <c r="G14" s="17" t="s">
        <v>55</v>
      </c>
      <c r="H14" s="17" t="s">
        <v>51</v>
      </c>
      <c r="I14" s="65">
        <v>-4740.049999999992</v>
      </c>
      <c r="J14" s="30">
        <v>0</v>
      </c>
      <c r="K14" s="30">
        <v>750</v>
      </c>
      <c r="L14" s="30">
        <v>72.930000000000007</v>
      </c>
      <c r="M14" s="30">
        <v>0</v>
      </c>
      <c r="N14" s="30">
        <f>Tabela1[[#This Row],[1QZ DE FEV 26]]-Tabela1[[#This Row],[SALDO PENDENTE]]-Tabela1[[#This Row],[SALDO CARTAO]]-Tabela1[[#This Row],[ADIANTAMENTO]]</f>
        <v>677.06999999999994</v>
      </c>
      <c r="O14" s="30">
        <v>0</v>
      </c>
      <c r="P14" s="39">
        <f>IF(Tabela1[[#This Row],[CARGA PARCIAL]]&lt;0,0,Tabela1[[#This Row],[CARGA PARCIAL]])+Tabela1[[#This Row],[REEMBOLSO]]</f>
        <v>677.06999999999994</v>
      </c>
      <c r="Q14" s="18" t="s">
        <v>27</v>
      </c>
      <c r="R14" s="18"/>
      <c r="S14" s="5"/>
      <c r="AU14"/>
      <c r="AV14"/>
      <c r="AW14"/>
    </row>
    <row r="15" spans="1:49" hidden="1">
      <c r="B15" s="42" t="s">
        <v>56</v>
      </c>
      <c r="C15" s="22" t="s">
        <v>57</v>
      </c>
      <c r="D15" s="17" t="s">
        <v>23</v>
      </c>
      <c r="E15" s="17" t="s">
        <v>58</v>
      </c>
      <c r="F15" s="17">
        <v>1104150001</v>
      </c>
      <c r="G15" s="20" t="s">
        <v>59</v>
      </c>
      <c r="H15" s="17" t="s">
        <v>51</v>
      </c>
      <c r="I15" s="30">
        <v>-425.93999999999869</v>
      </c>
      <c r="J15" s="30">
        <v>0</v>
      </c>
      <c r="K15" s="30">
        <v>5600</v>
      </c>
      <c r="L15" s="30">
        <v>1390</v>
      </c>
      <c r="M15" s="30">
        <v>0</v>
      </c>
      <c r="N15" s="30">
        <f>Tabela1[[#This Row],[1QZ DE FEV 26]]-Tabela1[[#This Row],[SALDO PENDENTE]]-Tabela1[[#This Row],[SALDO CARTAO]]-Tabela1[[#This Row],[ADIANTAMENTO]]</f>
        <v>4210</v>
      </c>
      <c r="O15" s="30">
        <v>425.94</v>
      </c>
      <c r="P15" s="39">
        <f>IF(Tabela1[[#This Row],[CARGA PARCIAL]]&lt;0,0,Tabela1[[#This Row],[CARGA PARCIAL]])+Tabela1[[#This Row],[REEMBOLSO]]</f>
        <v>4635.9399999999996</v>
      </c>
      <c r="Q15" s="18" t="s">
        <v>27</v>
      </c>
      <c r="R15" s="18"/>
      <c r="S15" s="5"/>
      <c r="AU15"/>
      <c r="AV15"/>
      <c r="AW15"/>
    </row>
    <row r="16" spans="1:49" hidden="1">
      <c r="B16" s="17" t="s">
        <v>60</v>
      </c>
      <c r="C16" s="17" t="s">
        <v>61</v>
      </c>
      <c r="D16" s="17" t="s">
        <v>23</v>
      </c>
      <c r="E16" s="17" t="s">
        <v>62</v>
      </c>
      <c r="F16" s="17">
        <v>11030660001</v>
      </c>
      <c r="G16" s="20" t="s">
        <v>63</v>
      </c>
      <c r="H16" s="17" t="s">
        <v>26</v>
      </c>
      <c r="I16" s="30">
        <v>0</v>
      </c>
      <c r="J16" s="30">
        <v>2937.0100000000239</v>
      </c>
      <c r="K16" s="30">
        <v>7000</v>
      </c>
      <c r="L16" s="30">
        <v>2</v>
      </c>
      <c r="M16" s="30">
        <v>0</v>
      </c>
      <c r="N16" s="30">
        <f>Tabela1[[#This Row],[1QZ DE FEV 26]]-Tabela1[[#This Row],[SALDO PENDENTE]]-Tabela1[[#This Row],[SALDO CARTAO]]-Tabela1[[#This Row],[ADIANTAMENTO]]</f>
        <v>4060.9899999999761</v>
      </c>
      <c r="O16" s="30">
        <v>0</v>
      </c>
      <c r="P16" s="39">
        <f>IF(Tabela1[[#This Row],[CARGA PARCIAL]]&lt;0,0,Tabela1[[#This Row],[CARGA PARCIAL]])+Tabela1[[#This Row],[REEMBOLSO]]</f>
        <v>4060.9899999999761</v>
      </c>
      <c r="Q16" s="18" t="s">
        <v>27</v>
      </c>
      <c r="R16" s="18"/>
      <c r="S16" s="5"/>
      <c r="AU16"/>
      <c r="AV16"/>
      <c r="AW16"/>
    </row>
    <row r="17" spans="2:49" hidden="1">
      <c r="B17" s="42" t="s">
        <v>64</v>
      </c>
      <c r="C17" s="22" t="s">
        <v>65</v>
      </c>
      <c r="D17" s="17" t="s">
        <v>23</v>
      </c>
      <c r="E17" s="17" t="s">
        <v>49</v>
      </c>
      <c r="F17" s="17">
        <v>11030830001</v>
      </c>
      <c r="G17" s="20" t="s">
        <v>50</v>
      </c>
      <c r="H17" s="17" t="s">
        <v>51</v>
      </c>
      <c r="I17" s="65">
        <v>-1715.7099999997206</v>
      </c>
      <c r="J17" s="30">
        <v>0</v>
      </c>
      <c r="K17" s="30">
        <v>4000</v>
      </c>
      <c r="L17" s="30">
        <v>0.76</v>
      </c>
      <c r="M17" s="30">
        <v>0</v>
      </c>
      <c r="N17" s="30">
        <f>Tabela1[[#This Row],[1QZ DE FEV 26]]-Tabela1[[#This Row],[SALDO PENDENTE]]-Tabela1[[#This Row],[SALDO CARTAO]]-Tabela1[[#This Row],[ADIANTAMENTO]]</f>
        <v>3999.24</v>
      </c>
      <c r="O17" s="30">
        <v>0</v>
      </c>
      <c r="P17" s="39">
        <f>IF(Tabela1[[#This Row],[CARGA PARCIAL]]&lt;0,0,Tabela1[[#This Row],[CARGA PARCIAL]])+Tabela1[[#This Row],[REEMBOLSO]]</f>
        <v>3999.24</v>
      </c>
      <c r="Q17" s="18" t="s">
        <v>27</v>
      </c>
      <c r="R17" s="18"/>
      <c r="S17" s="5"/>
      <c r="AU17"/>
      <c r="AV17"/>
      <c r="AW17"/>
    </row>
    <row r="18" spans="2:49" hidden="1">
      <c r="B18" s="17" t="s">
        <v>66</v>
      </c>
      <c r="C18" s="17" t="s">
        <v>67</v>
      </c>
      <c r="D18" s="17" t="s">
        <v>23</v>
      </c>
      <c r="E18" s="17" t="s">
        <v>30</v>
      </c>
      <c r="F18" s="17">
        <v>11030290001</v>
      </c>
      <c r="G18" s="20" t="s">
        <v>31</v>
      </c>
      <c r="H18" s="17" t="s">
        <v>26</v>
      </c>
      <c r="I18" s="30">
        <v>0</v>
      </c>
      <c r="J18" s="30">
        <v>7141.2999999999811</v>
      </c>
      <c r="K18" s="30">
        <v>11100</v>
      </c>
      <c r="L18" s="30">
        <v>0</v>
      </c>
      <c r="M18" s="30">
        <v>0</v>
      </c>
      <c r="N18" s="30">
        <f>Tabela1[[#This Row],[1QZ DE FEV 26]]-Tabela1[[#This Row],[SALDO PENDENTE]]-Tabela1[[#This Row],[SALDO CARTAO]]-Tabela1[[#This Row],[ADIANTAMENTO]]</f>
        <v>3958.7000000000189</v>
      </c>
      <c r="O18" s="30">
        <v>0</v>
      </c>
      <c r="P18" s="39">
        <f>IF(Tabela1[[#This Row],[CARGA PARCIAL]]&lt;0,0,Tabela1[[#This Row],[CARGA PARCIAL]])+Tabela1[[#This Row],[REEMBOLSO]]</f>
        <v>3958.7000000000189</v>
      </c>
      <c r="Q18" s="18" t="s">
        <v>27</v>
      </c>
      <c r="R18" s="18"/>
      <c r="S18" s="5"/>
      <c r="AU18"/>
      <c r="AV18"/>
      <c r="AW18"/>
    </row>
    <row r="19" spans="2:49" hidden="1">
      <c r="B19" s="17" t="s">
        <v>68</v>
      </c>
      <c r="C19" s="17" t="s">
        <v>69</v>
      </c>
      <c r="D19" s="17" t="s">
        <v>23</v>
      </c>
      <c r="E19" s="17" t="s">
        <v>70</v>
      </c>
      <c r="F19" s="17">
        <v>11030610001</v>
      </c>
      <c r="G19" s="17" t="s">
        <v>71</v>
      </c>
      <c r="H19" s="17" t="s">
        <v>51</v>
      </c>
      <c r="I19" s="30">
        <v>-877.13000000002648</v>
      </c>
      <c r="J19" s="30">
        <v>0</v>
      </c>
      <c r="K19" s="30">
        <v>2800</v>
      </c>
      <c r="L19" s="30">
        <v>9</v>
      </c>
      <c r="M19" s="30">
        <v>0</v>
      </c>
      <c r="N19" s="30">
        <f>Tabela1[[#This Row],[1QZ DE FEV 26]]-Tabela1[[#This Row],[SALDO PENDENTE]]-Tabela1[[#This Row],[SALDO CARTAO]]-Tabela1[[#This Row],[ADIANTAMENTO]]</f>
        <v>2791</v>
      </c>
      <c r="O19" s="30">
        <v>877.13</v>
      </c>
      <c r="P19" s="39">
        <f>IF(Tabela1[[#This Row],[CARGA PARCIAL]]&lt;0,0,Tabela1[[#This Row],[CARGA PARCIAL]])+Tabela1[[#This Row],[REEMBOLSO]]</f>
        <v>3668.13</v>
      </c>
      <c r="Q19" s="18" t="s">
        <v>27</v>
      </c>
      <c r="R19" s="18"/>
      <c r="S19" s="5"/>
      <c r="AU19"/>
      <c r="AV19"/>
      <c r="AW19"/>
    </row>
    <row r="20" spans="2:49" hidden="1">
      <c r="B20" s="17" t="s">
        <v>72</v>
      </c>
      <c r="C20" s="17" t="s">
        <v>73</v>
      </c>
      <c r="D20" s="17" t="s">
        <v>23</v>
      </c>
      <c r="E20" s="17" t="s">
        <v>74</v>
      </c>
      <c r="F20" s="17">
        <v>11061770001</v>
      </c>
      <c r="G20" s="20" t="s">
        <v>71</v>
      </c>
      <c r="H20" s="17" t="s">
        <v>51</v>
      </c>
      <c r="I20" s="65">
        <v>-1172.3499999999931</v>
      </c>
      <c r="J20" s="30">
        <v>0</v>
      </c>
      <c r="K20" s="30">
        <v>4000</v>
      </c>
      <c r="L20" s="30">
        <v>371.04</v>
      </c>
      <c r="M20" s="30">
        <v>0</v>
      </c>
      <c r="N20" s="30">
        <f>Tabela1[[#This Row],[1QZ DE FEV 26]]-Tabela1[[#This Row],[SALDO PENDENTE]]-Tabela1[[#This Row],[SALDO CARTAO]]-Tabela1[[#This Row],[ADIANTAMENTO]]</f>
        <v>3628.96</v>
      </c>
      <c r="O20" s="30">
        <v>0</v>
      </c>
      <c r="P20" s="39">
        <f>IF(Tabela1[[#This Row],[CARGA PARCIAL]]&lt;0,0,Tabela1[[#This Row],[CARGA PARCIAL]])+Tabela1[[#This Row],[REEMBOLSO]]</f>
        <v>3628.96</v>
      </c>
      <c r="Q20" s="18" t="s">
        <v>27</v>
      </c>
      <c r="R20" s="18"/>
      <c r="S20" s="5"/>
      <c r="AU20"/>
      <c r="AV20"/>
      <c r="AW20"/>
    </row>
    <row r="21" spans="2:49" hidden="1">
      <c r="B21" s="17" t="s">
        <v>75</v>
      </c>
      <c r="C21" s="17" t="s">
        <v>76</v>
      </c>
      <c r="D21" s="17" t="s">
        <v>23</v>
      </c>
      <c r="E21" s="17" t="s">
        <v>49</v>
      </c>
      <c r="F21" s="17">
        <v>11030830001</v>
      </c>
      <c r="G21" s="20" t="s">
        <v>50</v>
      </c>
      <c r="H21" s="17" t="s">
        <v>51</v>
      </c>
      <c r="I21" s="30">
        <v>-563.22999999995227</v>
      </c>
      <c r="J21" s="30">
        <v>0</v>
      </c>
      <c r="K21" s="30">
        <v>3000</v>
      </c>
      <c r="L21" s="30">
        <v>36</v>
      </c>
      <c r="M21" s="30">
        <v>0</v>
      </c>
      <c r="N21" s="30">
        <f>Tabela1[[#This Row],[1QZ DE FEV 26]]-Tabela1[[#This Row],[SALDO PENDENTE]]-Tabela1[[#This Row],[SALDO CARTAO]]-Tabela1[[#This Row],[ADIANTAMENTO]]</f>
        <v>2964</v>
      </c>
      <c r="O21" s="30">
        <v>563.23</v>
      </c>
      <c r="P21" s="39">
        <f>IF(Tabela1[[#This Row],[CARGA PARCIAL]]&lt;0,0,Tabela1[[#This Row],[CARGA PARCIAL]])+Tabela1[[#This Row],[REEMBOLSO]]</f>
        <v>3527.23</v>
      </c>
      <c r="Q21" s="18" t="s">
        <v>27</v>
      </c>
      <c r="R21" s="18"/>
      <c r="S21" s="5"/>
      <c r="AU21"/>
      <c r="AV21"/>
      <c r="AW21"/>
    </row>
    <row r="22" spans="2:49" hidden="1">
      <c r="B22" s="19" t="s">
        <v>77</v>
      </c>
      <c r="C22" s="19" t="s">
        <v>78</v>
      </c>
      <c r="D22" s="19" t="s">
        <v>23</v>
      </c>
      <c r="E22" s="19" t="s">
        <v>41</v>
      </c>
      <c r="F22" s="19">
        <v>11030870001</v>
      </c>
      <c r="G22" s="27" t="s">
        <v>35</v>
      </c>
      <c r="H22" s="19" t="s">
        <v>26</v>
      </c>
      <c r="I22" s="30">
        <v>-945.91999999999462</v>
      </c>
      <c r="J22" s="30">
        <v>0</v>
      </c>
      <c r="K22" s="31">
        <v>1000</v>
      </c>
      <c r="L22" s="30">
        <v>3</v>
      </c>
      <c r="M22" s="31">
        <v>0</v>
      </c>
      <c r="N22" s="49">
        <f>Tabela1[[#This Row],[1QZ DE FEV 26]]-Tabela1[[#This Row],[SALDO PENDENTE]]-Tabela1[[#This Row],[SALDO CARTAO]]-Tabela1[[#This Row],[ADIANTAMENTO]]</f>
        <v>997</v>
      </c>
      <c r="O22" s="49">
        <v>945.92</v>
      </c>
      <c r="P22" s="50">
        <f>IF(Tabela1[[#This Row],[CARGA PARCIAL]]&lt;0,0,Tabela1[[#This Row],[CARGA PARCIAL]])+Tabela1[[#This Row],[REEMBOLSO]]</f>
        <v>1942.92</v>
      </c>
      <c r="Q22" s="44" t="s">
        <v>27</v>
      </c>
      <c r="R22" s="29"/>
      <c r="S22" s="5"/>
      <c r="AU22"/>
      <c r="AV22"/>
      <c r="AW22"/>
    </row>
    <row r="23" spans="2:49" hidden="1">
      <c r="B23" s="42" t="s">
        <v>79</v>
      </c>
      <c r="C23" s="22" t="s">
        <v>80</v>
      </c>
      <c r="D23" s="17" t="s">
        <v>23</v>
      </c>
      <c r="E23" s="17" t="s">
        <v>81</v>
      </c>
      <c r="F23" s="17">
        <v>11030650001</v>
      </c>
      <c r="G23" s="20" t="s">
        <v>71</v>
      </c>
      <c r="H23" s="17" t="s">
        <v>51</v>
      </c>
      <c r="I23" s="30">
        <v>-316.04999999999774</v>
      </c>
      <c r="J23" s="30">
        <v>0</v>
      </c>
      <c r="K23" s="30">
        <v>3000</v>
      </c>
      <c r="L23" s="30">
        <v>92.07</v>
      </c>
      <c r="M23" s="30">
        <v>0</v>
      </c>
      <c r="N23" s="30">
        <f>Tabela1[[#This Row],[1QZ DE FEV 26]]-Tabela1[[#This Row],[SALDO PENDENTE]]-Tabela1[[#This Row],[SALDO CARTAO]]-Tabela1[[#This Row],[ADIANTAMENTO]]</f>
        <v>2907.93</v>
      </c>
      <c r="O23" s="30">
        <v>316.05</v>
      </c>
      <c r="P23" s="39">
        <f>IF(Tabela1[[#This Row],[CARGA PARCIAL]]&lt;0,0,Tabela1[[#This Row],[CARGA PARCIAL]])+Tabela1[[#This Row],[REEMBOLSO]]</f>
        <v>3223.98</v>
      </c>
      <c r="Q23" s="18" t="s">
        <v>27</v>
      </c>
      <c r="R23" s="18"/>
      <c r="S23" s="5"/>
      <c r="AU23"/>
      <c r="AV23"/>
      <c r="AW23"/>
    </row>
    <row r="24" spans="2:49" hidden="1">
      <c r="B24" s="17" t="s">
        <v>82</v>
      </c>
      <c r="C24" s="17" t="s">
        <v>83</v>
      </c>
      <c r="D24" s="17" t="s">
        <v>23</v>
      </c>
      <c r="E24" s="17" t="s">
        <v>84</v>
      </c>
      <c r="F24" s="17">
        <v>11061890001</v>
      </c>
      <c r="G24" s="20" t="s">
        <v>55</v>
      </c>
      <c r="H24" s="17" t="s">
        <v>51</v>
      </c>
      <c r="I24" s="30">
        <v>0</v>
      </c>
      <c r="J24" s="30">
        <v>824.29999999999563</v>
      </c>
      <c r="K24" s="30">
        <v>500</v>
      </c>
      <c r="L24" s="30">
        <v>5</v>
      </c>
      <c r="M24" s="30">
        <v>0</v>
      </c>
      <c r="N24" s="30">
        <f>Tabela1[[#This Row],[1QZ DE FEV 26]]-Tabela1[[#This Row],[SALDO PENDENTE]]-Tabela1[[#This Row],[SALDO CARTAO]]-Tabela1[[#This Row],[ADIANTAMENTO]]</f>
        <v>-329.29999999999563</v>
      </c>
      <c r="O24" s="30">
        <v>0</v>
      </c>
      <c r="P24" s="39">
        <f>IF(Tabela1[[#This Row],[CARGA PARCIAL]]&lt;0,0,Tabela1[[#This Row],[CARGA PARCIAL]])+Tabela1[[#This Row],[REEMBOLSO]]</f>
        <v>0</v>
      </c>
      <c r="Q24" s="18" t="s">
        <v>27</v>
      </c>
      <c r="R24" s="18"/>
      <c r="S24" s="5"/>
      <c r="AU24"/>
      <c r="AV24"/>
      <c r="AW24"/>
    </row>
    <row r="25" spans="2:49" hidden="1">
      <c r="B25" s="42" t="s">
        <v>85</v>
      </c>
      <c r="C25" s="22" t="s">
        <v>86</v>
      </c>
      <c r="D25" s="17" t="s">
        <v>23</v>
      </c>
      <c r="E25" s="17" t="s">
        <v>87</v>
      </c>
      <c r="F25" s="17">
        <v>11030620001</v>
      </c>
      <c r="G25" s="20" t="s">
        <v>71</v>
      </c>
      <c r="H25" s="17" t="s">
        <v>51</v>
      </c>
      <c r="I25" s="30">
        <v>-251.55000000001746</v>
      </c>
      <c r="J25" s="30">
        <v>0</v>
      </c>
      <c r="K25" s="30">
        <v>2800</v>
      </c>
      <c r="L25" s="30">
        <v>9</v>
      </c>
      <c r="M25" s="30">
        <v>0</v>
      </c>
      <c r="N25" s="30">
        <f>Tabela1[[#This Row],[1QZ DE FEV 26]]-Tabela1[[#This Row],[SALDO PENDENTE]]-Tabela1[[#This Row],[SALDO CARTAO]]-Tabela1[[#This Row],[ADIANTAMENTO]]</f>
        <v>2791</v>
      </c>
      <c r="O25" s="30">
        <v>251.55</v>
      </c>
      <c r="P25" s="39">
        <f>IF(Tabela1[[#This Row],[CARGA PARCIAL]]&lt;0,0,Tabela1[[#This Row],[CARGA PARCIAL]])+Tabela1[[#This Row],[REEMBOLSO]]</f>
        <v>3042.55</v>
      </c>
      <c r="Q25" s="18" t="s">
        <v>27</v>
      </c>
      <c r="R25" s="18"/>
      <c r="S25" s="5"/>
      <c r="AU25"/>
      <c r="AV25"/>
      <c r="AW25"/>
    </row>
    <row r="26" spans="2:49" hidden="1">
      <c r="B26" s="17" t="s">
        <v>88</v>
      </c>
      <c r="C26" s="17" t="s">
        <v>89</v>
      </c>
      <c r="D26" s="17" t="s">
        <v>23</v>
      </c>
      <c r="E26" s="17" t="s">
        <v>90</v>
      </c>
      <c r="F26" s="17">
        <v>11030840001</v>
      </c>
      <c r="G26" s="17" t="s">
        <v>50</v>
      </c>
      <c r="H26" s="17" t="s">
        <v>51</v>
      </c>
      <c r="I26" s="65">
        <v>-1019.3700000000078</v>
      </c>
      <c r="J26" s="30">
        <v>0</v>
      </c>
      <c r="K26" s="30">
        <v>3000</v>
      </c>
      <c r="L26" s="30">
        <v>9.01</v>
      </c>
      <c r="M26" s="30">
        <v>0</v>
      </c>
      <c r="N26" s="30">
        <f>Tabela1[[#This Row],[1QZ DE FEV 26]]-Tabela1[[#This Row],[SALDO PENDENTE]]-Tabela1[[#This Row],[SALDO CARTAO]]-Tabela1[[#This Row],[ADIANTAMENTO]]</f>
        <v>2990.99</v>
      </c>
      <c r="O26" s="30">
        <v>0</v>
      </c>
      <c r="P26" s="39">
        <f>IF(Tabela1[[#This Row],[CARGA PARCIAL]]&lt;0,0,Tabela1[[#This Row],[CARGA PARCIAL]])+Tabela1[[#This Row],[REEMBOLSO]]</f>
        <v>2990.99</v>
      </c>
      <c r="Q26" s="18" t="s">
        <v>27</v>
      </c>
      <c r="R26" s="18"/>
      <c r="S26" s="5"/>
      <c r="AU26"/>
      <c r="AV26"/>
      <c r="AW26"/>
    </row>
    <row r="27" spans="2:49" hidden="1">
      <c r="B27" s="17" t="s">
        <v>91</v>
      </c>
      <c r="C27" s="17" t="s">
        <v>92</v>
      </c>
      <c r="D27" s="17" t="s">
        <v>23</v>
      </c>
      <c r="E27" s="17" t="s">
        <v>30</v>
      </c>
      <c r="F27" s="17">
        <v>11030290001</v>
      </c>
      <c r="G27" s="17" t="s">
        <v>31</v>
      </c>
      <c r="H27" s="17" t="s">
        <v>26</v>
      </c>
      <c r="I27" s="30">
        <v>0</v>
      </c>
      <c r="J27" s="30">
        <v>1072.6399999999994</v>
      </c>
      <c r="K27" s="30">
        <v>4000</v>
      </c>
      <c r="L27" s="30">
        <v>11.75</v>
      </c>
      <c r="M27" s="30">
        <v>0</v>
      </c>
      <c r="N27" s="30">
        <f>Tabela1[[#This Row],[1QZ DE FEV 26]]-Tabela1[[#This Row],[SALDO PENDENTE]]-Tabela1[[#This Row],[SALDO CARTAO]]-Tabela1[[#This Row],[ADIANTAMENTO]]</f>
        <v>2915.6100000000006</v>
      </c>
      <c r="O27" s="30">
        <v>0</v>
      </c>
      <c r="P27" s="39">
        <f>IF(Tabela1[[#This Row],[CARGA PARCIAL]]&lt;0,0,Tabela1[[#This Row],[CARGA PARCIAL]])+Tabela1[[#This Row],[REEMBOLSO]]</f>
        <v>2915.6100000000006</v>
      </c>
      <c r="Q27" s="18" t="s">
        <v>27</v>
      </c>
      <c r="R27" s="18"/>
      <c r="S27" s="5"/>
      <c r="AU27"/>
      <c r="AV27"/>
      <c r="AW27"/>
    </row>
    <row r="28" spans="2:49" hidden="1">
      <c r="B28" s="51" t="s">
        <v>93</v>
      </c>
      <c r="C28" s="47" t="s">
        <v>94</v>
      </c>
      <c r="D28" s="19" t="s">
        <v>23</v>
      </c>
      <c r="E28" s="19" t="s">
        <v>95</v>
      </c>
      <c r="F28" s="19">
        <v>11030590001</v>
      </c>
      <c r="G28" s="27" t="s">
        <v>71</v>
      </c>
      <c r="H28" s="19" t="s">
        <v>51</v>
      </c>
      <c r="I28" s="30">
        <v>0</v>
      </c>
      <c r="J28" s="30">
        <v>142.34000000001001</v>
      </c>
      <c r="K28" s="31">
        <v>3000</v>
      </c>
      <c r="L28" s="30">
        <v>174.73</v>
      </c>
      <c r="M28" s="31">
        <v>0</v>
      </c>
      <c r="N28" s="49">
        <f>Tabela1[[#This Row],[1QZ DE FEV 26]]-Tabela1[[#This Row],[SALDO PENDENTE]]-Tabela1[[#This Row],[SALDO CARTAO]]-Tabela1[[#This Row],[ADIANTAMENTO]]</f>
        <v>2682.9299999999898</v>
      </c>
      <c r="O28" s="49">
        <v>0</v>
      </c>
      <c r="P28" s="50">
        <f>IF(Tabela1[[#This Row],[CARGA PARCIAL]]&lt;0,0,Tabela1[[#This Row],[CARGA PARCIAL]])+Tabela1[[#This Row],[REEMBOLSO]]</f>
        <v>2682.9299999999898</v>
      </c>
      <c r="Q28" s="44" t="s">
        <v>27</v>
      </c>
      <c r="R28" s="29"/>
      <c r="S28" s="5"/>
      <c r="AU28"/>
      <c r="AV28"/>
      <c r="AW28"/>
    </row>
    <row r="29" spans="2:49" hidden="1">
      <c r="B29" s="17" t="s">
        <v>96</v>
      </c>
      <c r="C29" s="17" t="s">
        <v>97</v>
      </c>
      <c r="D29" s="17" t="s">
        <v>23</v>
      </c>
      <c r="E29" s="17" t="s">
        <v>98</v>
      </c>
      <c r="F29" s="17">
        <v>11030690001</v>
      </c>
      <c r="G29" s="17" t="s">
        <v>55</v>
      </c>
      <c r="H29" s="17" t="s">
        <v>51</v>
      </c>
      <c r="I29" s="30">
        <v>-976.40000000000362</v>
      </c>
      <c r="J29" s="30">
        <v>0</v>
      </c>
      <c r="K29" s="30">
        <v>1680</v>
      </c>
      <c r="L29" s="30">
        <v>33.65</v>
      </c>
      <c r="M29" s="30">
        <v>0</v>
      </c>
      <c r="N29" s="30">
        <f>Tabela1[[#This Row],[1QZ DE FEV 26]]-Tabela1[[#This Row],[SALDO PENDENTE]]-Tabela1[[#This Row],[SALDO CARTAO]]-Tabela1[[#This Row],[ADIANTAMENTO]]</f>
        <v>1646.35</v>
      </c>
      <c r="O29" s="30">
        <v>976.4</v>
      </c>
      <c r="P29" s="39">
        <f>IF(Tabela1[[#This Row],[CARGA PARCIAL]]&lt;0,0,Tabela1[[#This Row],[CARGA PARCIAL]])+Tabela1[[#This Row],[REEMBOLSO]]</f>
        <v>2622.75</v>
      </c>
      <c r="Q29" s="18" t="s">
        <v>27</v>
      </c>
      <c r="R29" s="18"/>
      <c r="S29" s="5"/>
      <c r="AU29"/>
      <c r="AV29"/>
      <c r="AW29"/>
    </row>
    <row r="30" spans="2:49" hidden="1">
      <c r="B30" s="17" t="s">
        <v>99</v>
      </c>
      <c r="C30" s="17" t="s">
        <v>100</v>
      </c>
      <c r="D30" s="17" t="s">
        <v>23</v>
      </c>
      <c r="E30" s="17" t="s">
        <v>101</v>
      </c>
      <c r="F30" s="17">
        <v>11061430001</v>
      </c>
      <c r="G30" s="20" t="s">
        <v>31</v>
      </c>
      <c r="H30" s="17" t="s">
        <v>26</v>
      </c>
      <c r="I30" s="30">
        <v>0</v>
      </c>
      <c r="J30" s="30">
        <v>3000.5599999999799</v>
      </c>
      <c r="K30" s="30">
        <v>5700</v>
      </c>
      <c r="L30" s="30">
        <v>79</v>
      </c>
      <c r="M30" s="30">
        <v>0</v>
      </c>
      <c r="N30" s="30">
        <f>Tabela1[[#This Row],[1QZ DE FEV 26]]-Tabela1[[#This Row],[SALDO PENDENTE]]-Tabela1[[#This Row],[SALDO CARTAO]]-Tabela1[[#This Row],[ADIANTAMENTO]]</f>
        <v>2620.4400000000201</v>
      </c>
      <c r="O30" s="30">
        <v>0</v>
      </c>
      <c r="P30" s="39">
        <f>IF(Tabela1[[#This Row],[CARGA PARCIAL]]&lt;0,0,Tabela1[[#This Row],[CARGA PARCIAL]])+Tabela1[[#This Row],[REEMBOLSO]]</f>
        <v>2620.4400000000201</v>
      </c>
      <c r="Q30" s="18" t="s">
        <v>27</v>
      </c>
      <c r="R30" s="18"/>
      <c r="S30" s="5"/>
      <c r="AU30"/>
      <c r="AV30"/>
      <c r="AW30"/>
    </row>
    <row r="31" spans="2:49" hidden="1">
      <c r="B31" s="17" t="s">
        <v>102</v>
      </c>
      <c r="C31" s="17" t="s">
        <v>103</v>
      </c>
      <c r="D31" s="17" t="s">
        <v>23</v>
      </c>
      <c r="E31" s="17" t="s">
        <v>104</v>
      </c>
      <c r="F31" s="17">
        <v>11030600001</v>
      </c>
      <c r="G31" s="20" t="s">
        <v>71</v>
      </c>
      <c r="H31" s="17" t="s">
        <v>51</v>
      </c>
      <c r="I31" s="30">
        <v>0</v>
      </c>
      <c r="J31" s="30">
        <v>328.47999999995227</v>
      </c>
      <c r="K31" s="30">
        <v>2800</v>
      </c>
      <c r="L31" s="30">
        <v>2</v>
      </c>
      <c r="M31" s="30">
        <v>0</v>
      </c>
      <c r="N31" s="30">
        <f>Tabela1[[#This Row],[1QZ DE FEV 26]]-Tabela1[[#This Row],[SALDO PENDENTE]]-Tabela1[[#This Row],[SALDO CARTAO]]-Tabela1[[#This Row],[ADIANTAMENTO]]</f>
        <v>2469.5200000000477</v>
      </c>
      <c r="O31" s="30">
        <v>0</v>
      </c>
      <c r="P31" s="39">
        <f>IF(Tabela1[[#This Row],[CARGA PARCIAL]]&lt;0,0,Tabela1[[#This Row],[CARGA PARCIAL]])+Tabela1[[#This Row],[REEMBOLSO]]</f>
        <v>2469.5200000000477</v>
      </c>
      <c r="Q31" s="18" t="s">
        <v>27</v>
      </c>
      <c r="R31" s="18"/>
      <c r="S31" s="5"/>
      <c r="AU31"/>
      <c r="AV31"/>
      <c r="AW31"/>
    </row>
    <row r="32" spans="2:49" hidden="1">
      <c r="B32" s="42" t="s">
        <v>105</v>
      </c>
      <c r="C32" s="22" t="s">
        <v>106</v>
      </c>
      <c r="D32" s="17" t="s">
        <v>23</v>
      </c>
      <c r="E32" s="17" t="s">
        <v>107</v>
      </c>
      <c r="F32" s="17">
        <v>11030880001</v>
      </c>
      <c r="G32" s="20" t="s">
        <v>31</v>
      </c>
      <c r="H32" s="17" t="s">
        <v>26</v>
      </c>
      <c r="I32" s="30">
        <v>0</v>
      </c>
      <c r="J32" s="30">
        <v>2623.3700000000026</v>
      </c>
      <c r="K32" s="30">
        <v>5000</v>
      </c>
      <c r="L32" s="30">
        <v>15</v>
      </c>
      <c r="M32" s="30">
        <v>0</v>
      </c>
      <c r="N32" s="30">
        <f>Tabela1[[#This Row],[1QZ DE FEV 26]]-Tabela1[[#This Row],[SALDO PENDENTE]]-Tabela1[[#This Row],[SALDO CARTAO]]-Tabela1[[#This Row],[ADIANTAMENTO]]</f>
        <v>2361.6299999999974</v>
      </c>
      <c r="O32" s="30">
        <v>0</v>
      </c>
      <c r="P32" s="39">
        <f>IF(Tabela1[[#This Row],[CARGA PARCIAL]]&lt;0,0,Tabela1[[#This Row],[CARGA PARCIAL]])+Tabela1[[#This Row],[REEMBOLSO]]</f>
        <v>2361.6299999999974</v>
      </c>
      <c r="Q32" s="18" t="s">
        <v>27</v>
      </c>
      <c r="R32" s="18"/>
      <c r="S32" s="5"/>
      <c r="AU32"/>
      <c r="AV32"/>
      <c r="AW32"/>
    </row>
    <row r="33" spans="2:49" hidden="1">
      <c r="B33" s="42" t="s">
        <v>108</v>
      </c>
      <c r="C33" s="22" t="s">
        <v>109</v>
      </c>
      <c r="D33" s="17" t="s">
        <v>23</v>
      </c>
      <c r="E33" s="17" t="s">
        <v>110</v>
      </c>
      <c r="F33" s="17">
        <v>11062350001</v>
      </c>
      <c r="G33" s="20" t="s">
        <v>25</v>
      </c>
      <c r="H33" s="17" t="s">
        <v>26</v>
      </c>
      <c r="I33" s="30">
        <v>-616.16999999999462</v>
      </c>
      <c r="J33" s="30">
        <v>0</v>
      </c>
      <c r="K33" s="30">
        <v>1750</v>
      </c>
      <c r="L33" s="30">
        <v>29</v>
      </c>
      <c r="M33" s="30">
        <v>0</v>
      </c>
      <c r="N33" s="30">
        <f>Tabela1[[#This Row],[1QZ DE FEV 26]]-Tabela1[[#This Row],[SALDO PENDENTE]]-Tabela1[[#This Row],[SALDO CARTAO]]-Tabela1[[#This Row],[ADIANTAMENTO]]</f>
        <v>1721</v>
      </c>
      <c r="O33" s="30">
        <v>616.16999999999996</v>
      </c>
      <c r="P33" s="39">
        <f>IF(Tabela1[[#This Row],[CARGA PARCIAL]]&lt;0,0,Tabela1[[#This Row],[CARGA PARCIAL]])+Tabela1[[#This Row],[REEMBOLSO]]</f>
        <v>2337.17</v>
      </c>
      <c r="Q33" s="18" t="s">
        <v>27</v>
      </c>
      <c r="R33" s="18"/>
      <c r="S33" s="5"/>
      <c r="AU33"/>
      <c r="AV33"/>
      <c r="AW33"/>
    </row>
    <row r="34" spans="2:49" hidden="1">
      <c r="B34" s="42" t="s">
        <v>111</v>
      </c>
      <c r="C34" s="22" t="s">
        <v>112</v>
      </c>
      <c r="D34" s="17" t="s">
        <v>23</v>
      </c>
      <c r="E34" s="17" t="s">
        <v>113</v>
      </c>
      <c r="F34" s="17">
        <v>11061880001</v>
      </c>
      <c r="G34" s="20" t="s">
        <v>63</v>
      </c>
      <c r="H34" s="17" t="s">
        <v>26</v>
      </c>
      <c r="I34" s="30">
        <v>-331.85999999999694</v>
      </c>
      <c r="J34" s="30">
        <v>0</v>
      </c>
      <c r="K34" s="30">
        <v>2000</v>
      </c>
      <c r="L34" s="30">
        <v>6</v>
      </c>
      <c r="M34" s="30">
        <v>0</v>
      </c>
      <c r="N34" s="30">
        <f>Tabela1[[#This Row],[1QZ DE FEV 26]]-Tabela1[[#This Row],[SALDO PENDENTE]]-Tabela1[[#This Row],[SALDO CARTAO]]-Tabela1[[#This Row],[ADIANTAMENTO]]</f>
        <v>1994</v>
      </c>
      <c r="O34" s="30">
        <v>331.86</v>
      </c>
      <c r="P34" s="39">
        <f>IF(Tabela1[[#This Row],[CARGA PARCIAL]]&lt;0,0,Tabela1[[#This Row],[CARGA PARCIAL]])+Tabela1[[#This Row],[REEMBOLSO]]</f>
        <v>2325.86</v>
      </c>
      <c r="Q34" s="18" t="s">
        <v>27</v>
      </c>
      <c r="R34" s="18"/>
      <c r="S34" s="5"/>
      <c r="AU34"/>
      <c r="AV34"/>
      <c r="AW34"/>
    </row>
    <row r="35" spans="2:49" hidden="1">
      <c r="B35" s="42" t="s">
        <v>114</v>
      </c>
      <c r="C35" s="22" t="s">
        <v>115</v>
      </c>
      <c r="D35" s="17" t="s">
        <v>23</v>
      </c>
      <c r="E35" s="17" t="s">
        <v>116</v>
      </c>
      <c r="F35" s="17">
        <v>11030750001</v>
      </c>
      <c r="G35" s="20" t="s">
        <v>50</v>
      </c>
      <c r="H35" s="17" t="s">
        <v>51</v>
      </c>
      <c r="I35" s="30">
        <v>0</v>
      </c>
      <c r="J35" s="30">
        <v>3429.8199999999915</v>
      </c>
      <c r="K35" s="30">
        <v>5750</v>
      </c>
      <c r="L35" s="30">
        <v>1.1200000000000001</v>
      </c>
      <c r="M35" s="30">
        <v>0</v>
      </c>
      <c r="N35" s="30">
        <f>Tabela1[[#This Row],[1QZ DE FEV 26]]-Tabela1[[#This Row],[SALDO PENDENTE]]-Tabela1[[#This Row],[SALDO CARTAO]]-Tabela1[[#This Row],[ADIANTAMENTO]]</f>
        <v>2319.0600000000086</v>
      </c>
      <c r="O35" s="30">
        <v>0</v>
      </c>
      <c r="P35" s="39">
        <f>IF(Tabela1[[#This Row],[CARGA PARCIAL]]&lt;0,0,Tabela1[[#This Row],[CARGA PARCIAL]])+Tabela1[[#This Row],[REEMBOLSO]]</f>
        <v>2319.0600000000086</v>
      </c>
      <c r="Q35" s="18" t="s">
        <v>27</v>
      </c>
      <c r="R35" s="18"/>
      <c r="S35" s="5"/>
      <c r="AU35"/>
      <c r="AV35"/>
      <c r="AW35"/>
    </row>
    <row r="36" spans="2:49" hidden="1">
      <c r="B36" s="17" t="s">
        <v>117</v>
      </c>
      <c r="C36" s="17" t="s">
        <v>118</v>
      </c>
      <c r="D36" s="17" t="s">
        <v>23</v>
      </c>
      <c r="E36" s="17" t="s">
        <v>119</v>
      </c>
      <c r="F36" s="17">
        <v>11060800001</v>
      </c>
      <c r="G36" s="17" t="s">
        <v>55</v>
      </c>
      <c r="H36" s="17" t="s">
        <v>51</v>
      </c>
      <c r="I36" s="30">
        <v>0</v>
      </c>
      <c r="J36" s="30">
        <v>470.87</v>
      </c>
      <c r="K36" s="30">
        <v>0</v>
      </c>
      <c r="L36" s="30">
        <v>26.13</v>
      </c>
      <c r="M36" s="30">
        <v>0</v>
      </c>
      <c r="N36" s="30">
        <f>Tabela1[[#This Row],[1QZ DE FEV 26]]-Tabela1[[#This Row],[SALDO PENDENTE]]-Tabela1[[#This Row],[SALDO CARTAO]]-Tabela1[[#This Row],[ADIANTAMENTO]]</f>
        <v>-497</v>
      </c>
      <c r="O36" s="30">
        <v>0</v>
      </c>
      <c r="P36" s="39">
        <f>IF(Tabela1[[#This Row],[CARGA PARCIAL]]&lt;0,0,Tabela1[[#This Row],[CARGA PARCIAL]])+Tabela1[[#This Row],[REEMBOLSO]]</f>
        <v>0</v>
      </c>
      <c r="Q36" s="18" t="s">
        <v>27</v>
      </c>
      <c r="R36" s="18"/>
      <c r="S36" s="5"/>
      <c r="AU36"/>
      <c r="AV36"/>
      <c r="AW36"/>
    </row>
    <row r="37" spans="2:49" hidden="1">
      <c r="B37" s="41" t="s">
        <v>120</v>
      </c>
      <c r="C37" s="22" t="s">
        <v>121</v>
      </c>
      <c r="D37" s="17" t="s">
        <v>23</v>
      </c>
      <c r="E37" s="17" t="s">
        <v>122</v>
      </c>
      <c r="F37" s="17">
        <v>11040130001</v>
      </c>
      <c r="G37" s="20" t="s">
        <v>59</v>
      </c>
      <c r="H37" s="17" t="s">
        <v>51</v>
      </c>
      <c r="I37" s="30">
        <v>-108.80000000000427</v>
      </c>
      <c r="J37" s="30">
        <v>0</v>
      </c>
      <c r="K37" s="30">
        <v>2520</v>
      </c>
      <c r="L37" s="30">
        <v>414.5</v>
      </c>
      <c r="M37" s="30">
        <v>0</v>
      </c>
      <c r="N37" s="30">
        <f>Tabela1[[#This Row],[1QZ DE FEV 26]]-Tabela1[[#This Row],[SALDO PENDENTE]]-Tabela1[[#This Row],[SALDO CARTAO]]-Tabela1[[#This Row],[ADIANTAMENTO]]</f>
        <v>2105.5</v>
      </c>
      <c r="O37" s="30">
        <v>108.8</v>
      </c>
      <c r="P37" s="45">
        <f>IF(Tabela1[[#This Row],[CARGA PARCIAL]]&lt;0,0,Tabela1[[#This Row],[CARGA PARCIAL]])+Tabela1[[#This Row],[REEMBOLSO]]</f>
        <v>2214.3000000000002</v>
      </c>
      <c r="Q37" s="18" t="s">
        <v>27</v>
      </c>
      <c r="R37" s="18"/>
      <c r="S37" s="5"/>
      <c r="AU37"/>
      <c r="AV37"/>
      <c r="AW37"/>
    </row>
    <row r="38" spans="2:49" hidden="1">
      <c r="B38" s="17" t="s">
        <v>123</v>
      </c>
      <c r="C38" s="17" t="s">
        <v>124</v>
      </c>
      <c r="D38" s="17" t="s">
        <v>23</v>
      </c>
      <c r="E38" s="17" t="s">
        <v>125</v>
      </c>
      <c r="F38" s="17">
        <v>11040170001</v>
      </c>
      <c r="G38" s="20" t="s">
        <v>126</v>
      </c>
      <c r="H38" s="17" t="s">
        <v>26</v>
      </c>
      <c r="I38" s="30">
        <v>0</v>
      </c>
      <c r="J38" s="30">
        <v>164.44000000000233</v>
      </c>
      <c r="K38" s="30">
        <v>1600</v>
      </c>
      <c r="L38" s="30">
        <v>6</v>
      </c>
      <c r="M38" s="30">
        <v>0</v>
      </c>
      <c r="N38" s="30">
        <f>Tabela1[[#This Row],[1QZ DE FEV 26]]-Tabela1[[#This Row],[SALDO PENDENTE]]-Tabela1[[#This Row],[SALDO CARTAO]]-Tabela1[[#This Row],[ADIANTAMENTO]]</f>
        <v>1429.5599999999977</v>
      </c>
      <c r="O38" s="30">
        <v>0</v>
      </c>
      <c r="P38" s="39">
        <f>IF(Tabela1[[#This Row],[CARGA PARCIAL]]&lt;0,0,Tabela1[[#This Row],[CARGA PARCIAL]])+Tabela1[[#This Row],[REEMBOLSO]]</f>
        <v>1429.5599999999977</v>
      </c>
      <c r="Q38" s="18" t="s">
        <v>27</v>
      </c>
      <c r="R38" s="18"/>
      <c r="S38" s="5"/>
      <c r="AU38"/>
      <c r="AV38"/>
      <c r="AW38"/>
    </row>
    <row r="39" spans="2:49" hidden="1">
      <c r="B39" s="42" t="s">
        <v>127</v>
      </c>
      <c r="C39" s="22" t="s">
        <v>128</v>
      </c>
      <c r="D39" s="17" t="s">
        <v>23</v>
      </c>
      <c r="E39" s="17" t="s">
        <v>129</v>
      </c>
      <c r="F39" s="17">
        <v>11030780001</v>
      </c>
      <c r="G39" s="20" t="s">
        <v>50</v>
      </c>
      <c r="H39" s="17" t="s">
        <v>51</v>
      </c>
      <c r="I39" s="30">
        <v>-292.48999999999796</v>
      </c>
      <c r="J39" s="30">
        <v>0</v>
      </c>
      <c r="K39" s="30">
        <v>2000</v>
      </c>
      <c r="L39" s="30">
        <v>86</v>
      </c>
      <c r="M39" s="30">
        <v>0</v>
      </c>
      <c r="N39" s="30">
        <f>Tabela1[[#This Row],[1QZ DE FEV 26]]-Tabela1[[#This Row],[SALDO PENDENTE]]-Tabela1[[#This Row],[SALDO CARTAO]]-Tabela1[[#This Row],[ADIANTAMENTO]]</f>
        <v>1914</v>
      </c>
      <c r="O39" s="30">
        <v>292.49</v>
      </c>
      <c r="P39" s="39">
        <f>IF(Tabela1[[#This Row],[CARGA PARCIAL]]&lt;0,0,Tabela1[[#This Row],[CARGA PARCIAL]])+Tabela1[[#This Row],[REEMBOLSO]]</f>
        <v>2206.4899999999998</v>
      </c>
      <c r="Q39" s="18" t="s">
        <v>27</v>
      </c>
      <c r="R39" s="18"/>
      <c r="S39" s="5"/>
      <c r="AU39"/>
      <c r="AV39"/>
      <c r="AW39"/>
    </row>
    <row r="40" spans="2:49" hidden="1">
      <c r="B40" s="17" t="s">
        <v>130</v>
      </c>
      <c r="C40" s="17" t="s">
        <v>131</v>
      </c>
      <c r="D40" s="17" t="s">
        <v>23</v>
      </c>
      <c r="E40" s="17" t="s">
        <v>132</v>
      </c>
      <c r="F40" s="17">
        <v>11040160001</v>
      </c>
      <c r="G40" s="17" t="s">
        <v>63</v>
      </c>
      <c r="H40" s="17" t="s">
        <v>26</v>
      </c>
      <c r="I40" s="30">
        <v>-716.62999999999829</v>
      </c>
      <c r="J40" s="30">
        <v>0</v>
      </c>
      <c r="K40" s="30">
        <v>1400</v>
      </c>
      <c r="L40" s="30">
        <v>6</v>
      </c>
      <c r="M40" s="30">
        <v>0</v>
      </c>
      <c r="N40" s="30">
        <f>Tabela1[[#This Row],[1QZ DE FEV 26]]-Tabela1[[#This Row],[SALDO PENDENTE]]-Tabela1[[#This Row],[SALDO CARTAO]]-Tabela1[[#This Row],[ADIANTAMENTO]]</f>
        <v>1394</v>
      </c>
      <c r="O40" s="30">
        <v>716.63</v>
      </c>
      <c r="P40" s="39">
        <f>IF(Tabela1[[#This Row],[CARGA PARCIAL]]&lt;0,0,Tabela1[[#This Row],[CARGA PARCIAL]])+Tabela1[[#This Row],[REEMBOLSO]]</f>
        <v>2110.63</v>
      </c>
      <c r="Q40" s="18" t="s">
        <v>27</v>
      </c>
      <c r="R40" s="18"/>
      <c r="S40" s="5"/>
      <c r="AU40"/>
      <c r="AV40"/>
      <c r="AW40"/>
    </row>
    <row r="41" spans="2:49" hidden="1">
      <c r="B41" s="17" t="s">
        <v>133</v>
      </c>
      <c r="C41" s="17" t="s">
        <v>134</v>
      </c>
      <c r="D41" s="17" t="s">
        <v>23</v>
      </c>
      <c r="E41" s="17" t="s">
        <v>135</v>
      </c>
      <c r="F41" s="17">
        <v>11061480001</v>
      </c>
      <c r="G41" s="17" t="s">
        <v>25</v>
      </c>
      <c r="H41" s="17" t="s">
        <v>26</v>
      </c>
      <c r="I41" s="30">
        <v>0</v>
      </c>
      <c r="J41" s="30">
        <v>0</v>
      </c>
      <c r="K41" s="30">
        <v>2000</v>
      </c>
      <c r="L41" s="30">
        <v>2.75</v>
      </c>
      <c r="M41" s="30">
        <v>0</v>
      </c>
      <c r="N41" s="30">
        <f>Tabela1[[#This Row],[1QZ DE FEV 26]]-Tabela1[[#This Row],[SALDO PENDENTE]]-Tabela1[[#This Row],[SALDO CARTAO]]-Tabela1[[#This Row],[ADIANTAMENTO]]</f>
        <v>1997.25</v>
      </c>
      <c r="O41" s="30">
        <v>0</v>
      </c>
      <c r="P41" s="39">
        <f>IF(Tabela1[[#This Row],[CARGA PARCIAL]]&lt;0,0,Tabela1[[#This Row],[CARGA PARCIAL]])+Tabela1[[#This Row],[REEMBOLSO]]</f>
        <v>1997.25</v>
      </c>
      <c r="Q41" s="18" t="s">
        <v>27</v>
      </c>
      <c r="R41" s="18"/>
      <c r="S41" s="5"/>
      <c r="AU41"/>
      <c r="AV41"/>
      <c r="AW41"/>
    </row>
    <row r="42" spans="2:49" hidden="1">
      <c r="B42" s="19" t="s">
        <v>136</v>
      </c>
      <c r="C42" s="19" t="s">
        <v>137</v>
      </c>
      <c r="D42" s="19" t="s">
        <v>23</v>
      </c>
      <c r="E42" s="19" t="s">
        <v>138</v>
      </c>
      <c r="F42" s="19">
        <v>11030850001</v>
      </c>
      <c r="G42" s="19" t="s">
        <v>31</v>
      </c>
      <c r="H42" s="19" t="s">
        <v>26</v>
      </c>
      <c r="I42" s="65">
        <v>-3495.5100000000048</v>
      </c>
      <c r="J42" s="30">
        <v>0</v>
      </c>
      <c r="K42" s="31">
        <v>2000</v>
      </c>
      <c r="L42" s="30">
        <v>4.2</v>
      </c>
      <c r="M42" s="31">
        <v>0</v>
      </c>
      <c r="N42" s="49">
        <f>Tabela1[[#This Row],[1QZ DE FEV 26]]-Tabela1[[#This Row],[SALDO PENDENTE]]-Tabela1[[#This Row],[SALDO CARTAO]]-Tabela1[[#This Row],[ADIANTAMENTO]]</f>
        <v>1995.8</v>
      </c>
      <c r="O42" s="49">
        <v>0</v>
      </c>
      <c r="P42" s="50">
        <f>IF(Tabela1[[#This Row],[CARGA PARCIAL]]&lt;0,0,Tabela1[[#This Row],[CARGA PARCIAL]])+Tabela1[[#This Row],[REEMBOLSO]]</f>
        <v>1995.8</v>
      </c>
      <c r="Q42" s="44" t="s">
        <v>27</v>
      </c>
      <c r="R42" s="29"/>
      <c r="S42" s="5"/>
      <c r="AU42"/>
      <c r="AV42"/>
      <c r="AW42"/>
    </row>
    <row r="43" spans="2:49" hidden="1">
      <c r="B43" s="17" t="s">
        <v>139</v>
      </c>
      <c r="C43" s="17" t="s">
        <v>140</v>
      </c>
      <c r="D43" s="17" t="s">
        <v>23</v>
      </c>
      <c r="E43" s="17" t="s">
        <v>141</v>
      </c>
      <c r="F43" s="17">
        <v>11061490001</v>
      </c>
      <c r="G43" s="17" t="s">
        <v>25</v>
      </c>
      <c r="H43" s="17" t="s">
        <v>26</v>
      </c>
      <c r="I43" s="30">
        <v>-995.75000000000182</v>
      </c>
      <c r="J43" s="30">
        <v>0</v>
      </c>
      <c r="K43" s="30">
        <v>1000</v>
      </c>
      <c r="L43" s="30">
        <v>3</v>
      </c>
      <c r="M43" s="30">
        <v>0</v>
      </c>
      <c r="N43" s="30">
        <f>Tabela1[[#This Row],[1QZ DE FEV 26]]-Tabela1[[#This Row],[SALDO PENDENTE]]-Tabela1[[#This Row],[SALDO CARTAO]]-Tabela1[[#This Row],[ADIANTAMENTO]]</f>
        <v>997</v>
      </c>
      <c r="O43" s="30">
        <v>995.75</v>
      </c>
      <c r="P43" s="39">
        <f>IF(Tabela1[[#This Row],[CARGA PARCIAL]]&lt;0,0,Tabela1[[#This Row],[CARGA PARCIAL]])+Tabela1[[#This Row],[REEMBOLSO]]</f>
        <v>1992.75</v>
      </c>
      <c r="Q43" s="18" t="s">
        <v>27</v>
      </c>
      <c r="R43" s="18"/>
      <c r="S43" s="5"/>
      <c r="AU43"/>
      <c r="AV43"/>
      <c r="AW43"/>
    </row>
    <row r="44" spans="2:49" hidden="1">
      <c r="B44" s="17" t="s">
        <v>142</v>
      </c>
      <c r="C44" s="17" t="s">
        <v>143</v>
      </c>
      <c r="D44" s="17" t="s">
        <v>23</v>
      </c>
      <c r="E44" s="17" t="s">
        <v>144</v>
      </c>
      <c r="F44" s="17">
        <v>11080370001</v>
      </c>
      <c r="G44" s="20" t="s">
        <v>35</v>
      </c>
      <c r="H44" s="17" t="s">
        <v>26</v>
      </c>
      <c r="I44" s="30">
        <v>0</v>
      </c>
      <c r="J44" s="30">
        <v>0</v>
      </c>
      <c r="K44" s="30">
        <v>3500</v>
      </c>
      <c r="L44" s="30">
        <v>179.55</v>
      </c>
      <c r="M44" s="30">
        <v>0</v>
      </c>
      <c r="N44" s="30">
        <f>Tabela1[[#This Row],[1QZ DE FEV 26]]-Tabela1[[#This Row],[SALDO PENDENTE]]-Tabela1[[#This Row],[SALDO CARTAO]]-Tabela1[[#This Row],[ADIANTAMENTO]]</f>
        <v>3320.45</v>
      </c>
      <c r="O44" s="30">
        <v>0</v>
      </c>
      <c r="P44" s="39">
        <f>IF(Tabela1[[#This Row],[CARGA PARCIAL]]&lt;0,0,Tabela1[[#This Row],[CARGA PARCIAL]])+Tabela1[[#This Row],[REEMBOLSO]]</f>
        <v>3320.45</v>
      </c>
      <c r="Q44" s="18" t="s">
        <v>145</v>
      </c>
      <c r="R44" s="18"/>
      <c r="S44" s="5"/>
      <c r="AU44"/>
      <c r="AV44"/>
      <c r="AW44"/>
    </row>
    <row r="45" spans="2:49" hidden="1">
      <c r="B45" s="42" t="s">
        <v>146</v>
      </c>
      <c r="C45" s="22" t="s">
        <v>147</v>
      </c>
      <c r="D45" s="17" t="s">
        <v>23</v>
      </c>
      <c r="E45" s="17" t="s">
        <v>148</v>
      </c>
      <c r="F45" s="17">
        <v>11030900001</v>
      </c>
      <c r="G45" s="20" t="s">
        <v>25</v>
      </c>
      <c r="H45" s="17" t="s">
        <v>26</v>
      </c>
      <c r="I45" s="30">
        <v>-948.97000000000128</v>
      </c>
      <c r="J45" s="30">
        <v>0</v>
      </c>
      <c r="K45" s="30">
        <v>1000</v>
      </c>
      <c r="L45" s="30">
        <v>11.33</v>
      </c>
      <c r="M45" s="30">
        <v>0</v>
      </c>
      <c r="N45" s="30">
        <f>Tabela1[[#This Row],[1QZ DE FEV 26]]-Tabela1[[#This Row],[SALDO PENDENTE]]-Tabela1[[#This Row],[SALDO CARTAO]]-Tabela1[[#This Row],[ADIANTAMENTO]]</f>
        <v>988.67</v>
      </c>
      <c r="O45" s="30">
        <v>948.97</v>
      </c>
      <c r="P45" s="39">
        <f>IF(Tabela1[[#This Row],[CARGA PARCIAL]]&lt;0,0,Tabela1[[#This Row],[CARGA PARCIAL]])+Tabela1[[#This Row],[REEMBOLSO]]</f>
        <v>1937.6399999999999</v>
      </c>
      <c r="Q45" s="18" t="s">
        <v>27</v>
      </c>
      <c r="R45" s="18"/>
      <c r="S45" s="5"/>
      <c r="AU45"/>
      <c r="AV45"/>
      <c r="AW45"/>
    </row>
    <row r="46" spans="2:49" hidden="1">
      <c r="B46" s="42" t="s">
        <v>149</v>
      </c>
      <c r="C46" s="22" t="s">
        <v>150</v>
      </c>
      <c r="D46" s="17" t="s">
        <v>23</v>
      </c>
      <c r="E46" s="17" t="s">
        <v>113</v>
      </c>
      <c r="F46" s="17">
        <v>11061880001</v>
      </c>
      <c r="G46" s="20" t="s">
        <v>63</v>
      </c>
      <c r="H46" s="17" t="s">
        <v>26</v>
      </c>
      <c r="I46" s="30">
        <v>-444.10000000000582</v>
      </c>
      <c r="J46" s="30">
        <v>0</v>
      </c>
      <c r="K46" s="30">
        <v>1500</v>
      </c>
      <c r="L46" s="30">
        <v>16</v>
      </c>
      <c r="M46" s="30">
        <v>0</v>
      </c>
      <c r="N46" s="30">
        <f>Tabela1[[#This Row],[1QZ DE FEV 26]]-Tabela1[[#This Row],[SALDO PENDENTE]]-Tabela1[[#This Row],[SALDO CARTAO]]-Tabela1[[#This Row],[ADIANTAMENTO]]</f>
        <v>1484</v>
      </c>
      <c r="O46" s="30">
        <v>444.1</v>
      </c>
      <c r="P46" s="45">
        <f>IF(Tabela1[[#This Row],[CARGA PARCIAL]]&lt;0,0,Tabela1[[#This Row],[CARGA PARCIAL]])+Tabela1[[#This Row],[REEMBOLSO]]</f>
        <v>1928.1</v>
      </c>
      <c r="Q46" s="18" t="s">
        <v>27</v>
      </c>
      <c r="R46" s="18"/>
      <c r="S46" s="5"/>
      <c r="AU46"/>
      <c r="AV46"/>
      <c r="AW46"/>
    </row>
    <row r="47" spans="2:49" hidden="1">
      <c r="B47" s="17" t="s">
        <v>151</v>
      </c>
      <c r="C47" s="17" t="s">
        <v>152</v>
      </c>
      <c r="D47" s="17" t="s">
        <v>23</v>
      </c>
      <c r="E47" s="17" t="s">
        <v>153</v>
      </c>
      <c r="F47" s="17">
        <v>11030770001</v>
      </c>
      <c r="G47" s="20" t="s">
        <v>25</v>
      </c>
      <c r="H47" s="17" t="s">
        <v>26</v>
      </c>
      <c r="I47" s="65">
        <v>-2675.9700000000157</v>
      </c>
      <c r="J47" s="30">
        <v>0</v>
      </c>
      <c r="K47" s="30">
        <v>2000</v>
      </c>
      <c r="L47" s="30">
        <v>86</v>
      </c>
      <c r="M47" s="30">
        <v>0</v>
      </c>
      <c r="N47" s="30">
        <f>Tabela1[[#This Row],[1QZ DE FEV 26]]-Tabela1[[#This Row],[SALDO PENDENTE]]-Tabela1[[#This Row],[SALDO CARTAO]]-Tabela1[[#This Row],[ADIANTAMENTO]]</f>
        <v>1914</v>
      </c>
      <c r="O47" s="30">
        <v>0</v>
      </c>
      <c r="P47" s="39">
        <f>IF(Tabela1[[#This Row],[CARGA PARCIAL]]&lt;0,0,Tabela1[[#This Row],[CARGA PARCIAL]])+Tabela1[[#This Row],[REEMBOLSO]]</f>
        <v>1914</v>
      </c>
      <c r="Q47" s="18" t="s">
        <v>27</v>
      </c>
      <c r="R47" s="18"/>
      <c r="S47" s="5"/>
      <c r="AU47"/>
      <c r="AV47"/>
      <c r="AW47"/>
    </row>
    <row r="48" spans="2:49" hidden="1">
      <c r="B48" s="17" t="s">
        <v>154</v>
      </c>
      <c r="C48" s="17" t="s">
        <v>155</v>
      </c>
      <c r="D48" s="17" t="s">
        <v>23</v>
      </c>
      <c r="E48" s="17" t="s">
        <v>156</v>
      </c>
      <c r="F48" s="17">
        <v>11062270001</v>
      </c>
      <c r="G48" s="17" t="s">
        <v>25</v>
      </c>
      <c r="H48" s="17" t="s">
        <v>26</v>
      </c>
      <c r="I48" s="30">
        <v>-414.53000000002066</v>
      </c>
      <c r="J48" s="30">
        <v>0</v>
      </c>
      <c r="K48" s="30">
        <v>1500</v>
      </c>
      <c r="L48" s="30">
        <v>16</v>
      </c>
      <c r="M48" s="30">
        <v>0</v>
      </c>
      <c r="N48" s="30">
        <f>Tabela1[[#This Row],[1QZ DE FEV 26]]-Tabela1[[#This Row],[SALDO PENDENTE]]-Tabela1[[#This Row],[SALDO CARTAO]]-Tabela1[[#This Row],[ADIANTAMENTO]]</f>
        <v>1484</v>
      </c>
      <c r="O48" s="30">
        <v>414.53</v>
      </c>
      <c r="P48" s="39">
        <f>IF(Tabela1[[#This Row],[CARGA PARCIAL]]&lt;0,0,Tabela1[[#This Row],[CARGA PARCIAL]])+Tabela1[[#This Row],[REEMBOLSO]]</f>
        <v>1898.53</v>
      </c>
      <c r="Q48" s="18" t="s">
        <v>27</v>
      </c>
      <c r="R48" s="18"/>
      <c r="S48" s="5"/>
      <c r="AU48"/>
      <c r="AV48"/>
      <c r="AW48"/>
    </row>
    <row r="49" spans="2:49" hidden="1">
      <c r="B49" s="17" t="s">
        <v>157</v>
      </c>
      <c r="C49" s="17" t="s">
        <v>158</v>
      </c>
      <c r="D49" s="17" t="s">
        <v>23</v>
      </c>
      <c r="E49" s="17" t="s">
        <v>41</v>
      </c>
      <c r="F49" s="17">
        <v>11030870001</v>
      </c>
      <c r="G49" s="20" t="s">
        <v>35</v>
      </c>
      <c r="H49" s="17" t="s">
        <v>26</v>
      </c>
      <c r="I49" s="65">
        <v>-1684.279999999997</v>
      </c>
      <c r="J49" s="30">
        <v>0</v>
      </c>
      <c r="K49" s="30">
        <v>1000</v>
      </c>
      <c r="L49" s="30">
        <v>6</v>
      </c>
      <c r="M49" s="30">
        <v>0</v>
      </c>
      <c r="N49" s="30">
        <f>Tabela1[[#This Row],[1QZ DE FEV 26]]-Tabela1[[#This Row],[SALDO PENDENTE]]-Tabela1[[#This Row],[SALDO CARTAO]]-Tabela1[[#This Row],[ADIANTAMENTO]]</f>
        <v>994</v>
      </c>
      <c r="O49" s="30">
        <v>0</v>
      </c>
      <c r="P49" s="39">
        <f>IF(Tabela1[[#This Row],[CARGA PARCIAL]]&lt;0,0,Tabela1[[#This Row],[CARGA PARCIAL]])+Tabela1[[#This Row],[REEMBOLSO]]</f>
        <v>994</v>
      </c>
      <c r="Q49" s="18" t="s">
        <v>27</v>
      </c>
      <c r="R49" s="18"/>
      <c r="S49" s="5"/>
      <c r="AU49"/>
      <c r="AV49"/>
      <c r="AW49"/>
    </row>
    <row r="50" spans="2:49" hidden="1">
      <c r="B50" s="17" t="s">
        <v>159</v>
      </c>
      <c r="C50" s="17" t="s">
        <v>160</v>
      </c>
      <c r="D50" s="17" t="s">
        <v>23</v>
      </c>
      <c r="E50" s="17" t="s">
        <v>161</v>
      </c>
      <c r="F50" s="17">
        <v>11010370001</v>
      </c>
      <c r="G50" s="20" t="s">
        <v>55</v>
      </c>
      <c r="H50" s="17" t="s">
        <v>51</v>
      </c>
      <c r="I50" s="30">
        <v>0</v>
      </c>
      <c r="J50" s="30">
        <v>210.60000000000048</v>
      </c>
      <c r="K50" s="30">
        <v>500</v>
      </c>
      <c r="L50" s="30">
        <v>270.39999999999998</v>
      </c>
      <c r="M50" s="30">
        <v>0</v>
      </c>
      <c r="N50" s="30">
        <f>Tabela1[[#This Row],[1QZ DE FEV 26]]-Tabela1[[#This Row],[SALDO PENDENTE]]-Tabela1[[#This Row],[SALDO CARTAO]]-Tabela1[[#This Row],[ADIANTAMENTO]]</f>
        <v>18.999999999999545</v>
      </c>
      <c r="O50" s="30">
        <v>0</v>
      </c>
      <c r="P50" s="39">
        <f>IF(Tabela1[[#This Row],[CARGA PARCIAL]]&lt;0,0,Tabela1[[#This Row],[CARGA PARCIAL]])+Tabela1[[#This Row],[REEMBOLSO]]</f>
        <v>18.999999999999545</v>
      </c>
      <c r="Q50" s="18" t="s">
        <v>27</v>
      </c>
      <c r="R50" s="18"/>
      <c r="S50" s="5"/>
      <c r="AU50"/>
      <c r="AV50"/>
      <c r="AW50"/>
    </row>
    <row r="51" spans="2:49" hidden="1">
      <c r="B51" s="42" t="s">
        <v>162</v>
      </c>
      <c r="C51" s="22" t="s">
        <v>163</v>
      </c>
      <c r="D51" s="17" t="s">
        <v>23</v>
      </c>
      <c r="E51" s="17" t="s">
        <v>90</v>
      </c>
      <c r="F51" s="17">
        <v>11030840001</v>
      </c>
      <c r="G51" s="20" t="s">
        <v>50</v>
      </c>
      <c r="H51" s="17" t="s">
        <v>51</v>
      </c>
      <c r="I51" s="65">
        <v>-1077.0099999999914</v>
      </c>
      <c r="J51" s="30">
        <v>0</v>
      </c>
      <c r="K51" s="30">
        <v>1800</v>
      </c>
      <c r="L51" s="30">
        <v>43.82</v>
      </c>
      <c r="M51" s="30">
        <v>0</v>
      </c>
      <c r="N51" s="30">
        <f>Tabela1[[#This Row],[1QZ DE FEV 26]]-Tabela1[[#This Row],[SALDO PENDENTE]]-Tabela1[[#This Row],[SALDO CARTAO]]-Tabela1[[#This Row],[ADIANTAMENTO]]</f>
        <v>1756.18</v>
      </c>
      <c r="O51" s="30">
        <v>0</v>
      </c>
      <c r="P51" s="39">
        <f>IF(Tabela1[[#This Row],[CARGA PARCIAL]]&lt;0,0,Tabela1[[#This Row],[CARGA PARCIAL]])+Tabela1[[#This Row],[REEMBOLSO]]</f>
        <v>1756.18</v>
      </c>
      <c r="Q51" s="18" t="s">
        <v>27</v>
      </c>
      <c r="R51" s="18"/>
      <c r="S51" s="5"/>
      <c r="AU51"/>
      <c r="AV51"/>
      <c r="AW51"/>
    </row>
    <row r="52" spans="2:49" hidden="1">
      <c r="B52" s="19" t="s">
        <v>164</v>
      </c>
      <c r="C52" s="19" t="s">
        <v>165</v>
      </c>
      <c r="D52" s="19" t="s">
        <v>23</v>
      </c>
      <c r="E52" s="19" t="s">
        <v>166</v>
      </c>
      <c r="F52" s="19">
        <v>11060700001</v>
      </c>
      <c r="G52" s="19" t="s">
        <v>63</v>
      </c>
      <c r="H52" s="19" t="s">
        <v>26</v>
      </c>
      <c r="I52" s="30">
        <v>0</v>
      </c>
      <c r="J52" s="30">
        <v>3314.8199999999733</v>
      </c>
      <c r="K52" s="31">
        <v>5000</v>
      </c>
      <c r="L52" s="30">
        <v>29.8</v>
      </c>
      <c r="M52" s="31">
        <v>0</v>
      </c>
      <c r="N52" s="49">
        <f>Tabela1[[#This Row],[1QZ DE FEV 26]]-Tabela1[[#This Row],[SALDO PENDENTE]]-Tabela1[[#This Row],[SALDO CARTAO]]-Tabela1[[#This Row],[ADIANTAMENTO]]</f>
        <v>1655.3800000000267</v>
      </c>
      <c r="O52" s="49">
        <v>0</v>
      </c>
      <c r="P52" s="50">
        <f>IF(Tabela1[[#This Row],[CARGA PARCIAL]]&lt;0,0,Tabela1[[#This Row],[CARGA PARCIAL]])+Tabela1[[#This Row],[REEMBOLSO]]</f>
        <v>1655.3800000000267</v>
      </c>
      <c r="Q52" s="44" t="s">
        <v>27</v>
      </c>
      <c r="R52" s="29"/>
      <c r="S52" s="5"/>
      <c r="AU52"/>
      <c r="AV52"/>
      <c r="AW52"/>
    </row>
    <row r="53" spans="2:49" hidden="1">
      <c r="B53" s="17" t="s">
        <v>167</v>
      </c>
      <c r="C53" s="17" t="s">
        <v>168</v>
      </c>
      <c r="D53" s="17" t="s">
        <v>23</v>
      </c>
      <c r="E53" s="17" t="s">
        <v>169</v>
      </c>
      <c r="F53" s="17">
        <v>11080440001</v>
      </c>
      <c r="G53" s="20" t="s">
        <v>55</v>
      </c>
      <c r="H53" s="17" t="s">
        <v>51</v>
      </c>
      <c r="I53" s="30">
        <v>0</v>
      </c>
      <c r="J53" s="30">
        <v>20.000000000000128</v>
      </c>
      <c r="K53" s="30">
        <v>350</v>
      </c>
      <c r="L53" s="30">
        <v>39.11</v>
      </c>
      <c r="M53" s="30">
        <v>0</v>
      </c>
      <c r="N53" s="30">
        <f>Tabela1[[#This Row],[1QZ DE FEV 26]]-Tabela1[[#This Row],[SALDO PENDENTE]]-Tabela1[[#This Row],[SALDO CARTAO]]-Tabela1[[#This Row],[ADIANTAMENTO]]</f>
        <v>290.88999999999987</v>
      </c>
      <c r="O53" s="30">
        <v>0</v>
      </c>
      <c r="P53" s="39">
        <f>IF(Tabela1[[#This Row],[CARGA PARCIAL]]&lt;0,0,Tabela1[[#This Row],[CARGA PARCIAL]])+Tabela1[[#This Row],[REEMBOLSO]]</f>
        <v>290.88999999999987</v>
      </c>
      <c r="Q53" s="18" t="s">
        <v>27</v>
      </c>
      <c r="R53" s="18"/>
      <c r="S53" s="5"/>
      <c r="AU53"/>
      <c r="AV53"/>
      <c r="AW53"/>
    </row>
    <row r="54" spans="2:49" hidden="1">
      <c r="B54" s="17" t="s">
        <v>170</v>
      </c>
      <c r="C54" s="17" t="s">
        <v>171</v>
      </c>
      <c r="D54" s="17" t="s">
        <v>23</v>
      </c>
      <c r="E54" s="17" t="s">
        <v>172</v>
      </c>
      <c r="F54" s="17">
        <v>11030640001</v>
      </c>
      <c r="G54" s="17" t="s">
        <v>50</v>
      </c>
      <c r="H54" s="17" t="s">
        <v>51</v>
      </c>
      <c r="I54" s="30">
        <v>0</v>
      </c>
      <c r="J54" s="30">
        <v>681.09999999993306</v>
      </c>
      <c r="K54" s="30">
        <v>2300</v>
      </c>
      <c r="L54" s="30">
        <v>5</v>
      </c>
      <c r="M54" s="30">
        <v>0</v>
      </c>
      <c r="N54" s="30">
        <f>Tabela1[[#This Row],[1QZ DE FEV 26]]-Tabela1[[#This Row],[SALDO PENDENTE]]-Tabela1[[#This Row],[SALDO CARTAO]]-Tabela1[[#This Row],[ADIANTAMENTO]]</f>
        <v>1613.9000000000669</v>
      </c>
      <c r="O54" s="30">
        <v>0</v>
      </c>
      <c r="P54" s="39">
        <f>IF(Tabela1[[#This Row],[CARGA PARCIAL]]&lt;0,0,Tabela1[[#This Row],[CARGA PARCIAL]])+Tabela1[[#This Row],[REEMBOLSO]]</f>
        <v>1613.9000000000669</v>
      </c>
      <c r="Q54" s="18" t="s">
        <v>27</v>
      </c>
      <c r="R54" s="18"/>
      <c r="S54" s="5"/>
      <c r="AU54"/>
      <c r="AV54"/>
      <c r="AW54"/>
    </row>
    <row r="55" spans="2:49" hidden="1">
      <c r="B55" s="42" t="s">
        <v>173</v>
      </c>
      <c r="C55" s="22" t="s">
        <v>174</v>
      </c>
      <c r="D55" s="17" t="s">
        <v>23</v>
      </c>
      <c r="E55" s="17" t="s">
        <v>175</v>
      </c>
      <c r="F55" s="17">
        <v>1201020</v>
      </c>
      <c r="G55" s="20" t="s">
        <v>176</v>
      </c>
      <c r="H55" s="17" t="s">
        <v>177</v>
      </c>
      <c r="I55" s="30">
        <v>0</v>
      </c>
      <c r="J55" s="30">
        <v>0</v>
      </c>
      <c r="K55" s="30">
        <v>1500</v>
      </c>
      <c r="L55" s="30">
        <v>0</v>
      </c>
      <c r="M55" s="30">
        <v>0</v>
      </c>
      <c r="N55" s="30">
        <f>Tabela1[[#This Row],[1QZ DE FEV 26]]-Tabela1[[#This Row],[SALDO PENDENTE]]-Tabela1[[#This Row],[SALDO CARTAO]]-Tabela1[[#This Row],[ADIANTAMENTO]]</f>
        <v>1500</v>
      </c>
      <c r="O55" s="30">
        <v>0</v>
      </c>
      <c r="P55" s="39">
        <f>IF(Tabela1[[#This Row],[CARGA PARCIAL]]&lt;0,0,Tabela1[[#This Row],[CARGA PARCIAL]])+Tabela1[[#This Row],[REEMBOLSO]]</f>
        <v>1500</v>
      </c>
      <c r="Q55" s="18" t="s">
        <v>27</v>
      </c>
      <c r="R55" s="18" t="s">
        <v>178</v>
      </c>
      <c r="S55" s="5"/>
      <c r="AU55"/>
      <c r="AV55"/>
      <c r="AW55"/>
    </row>
    <row r="56" spans="2:49" hidden="1">
      <c r="B56" s="42" t="s">
        <v>179</v>
      </c>
      <c r="C56" s="22" t="s">
        <v>180</v>
      </c>
      <c r="D56" s="17" t="s">
        <v>23</v>
      </c>
      <c r="E56" s="17" t="s">
        <v>181</v>
      </c>
      <c r="F56" s="17">
        <v>11080150001</v>
      </c>
      <c r="G56" s="20" t="s">
        <v>25</v>
      </c>
      <c r="H56" s="17" t="s">
        <v>26</v>
      </c>
      <c r="I56" s="30">
        <v>-88.180000000000291</v>
      </c>
      <c r="J56" s="30">
        <v>0</v>
      </c>
      <c r="K56" s="30">
        <v>1500</v>
      </c>
      <c r="L56" s="30">
        <v>6</v>
      </c>
      <c r="M56" s="30">
        <v>0</v>
      </c>
      <c r="N56" s="30">
        <f>Tabela1[[#This Row],[1QZ DE FEV 26]]-Tabela1[[#This Row],[SALDO PENDENTE]]-Tabela1[[#This Row],[SALDO CARTAO]]-Tabela1[[#This Row],[ADIANTAMENTO]]</f>
        <v>1494</v>
      </c>
      <c r="O56" s="30">
        <v>0</v>
      </c>
      <c r="P56" s="39">
        <f>IF(Tabela1[[#This Row],[CARGA PARCIAL]]&lt;0,0,Tabela1[[#This Row],[CARGA PARCIAL]])+Tabela1[[#This Row],[REEMBOLSO]]</f>
        <v>1494</v>
      </c>
      <c r="Q56" s="18" t="s">
        <v>27</v>
      </c>
      <c r="R56" s="18"/>
      <c r="S56" s="5"/>
      <c r="AU56"/>
      <c r="AV56"/>
      <c r="AW56"/>
    </row>
    <row r="57" spans="2:49" hidden="1">
      <c r="B57" s="17" t="s">
        <v>182</v>
      </c>
      <c r="C57" s="17" t="s">
        <v>183</v>
      </c>
      <c r="D57" s="17" t="s">
        <v>23</v>
      </c>
      <c r="E57" s="17" t="s">
        <v>125</v>
      </c>
      <c r="F57" s="17">
        <v>11040170001</v>
      </c>
      <c r="G57" s="17" t="s">
        <v>126</v>
      </c>
      <c r="H57" s="17" t="s">
        <v>26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f>Tabela1[[#This Row],[1QZ DE FEV 26]]-Tabela1[[#This Row],[SALDO PENDENTE]]-Tabela1[[#This Row],[SALDO CARTAO]]-Tabela1[[#This Row],[ADIANTAMENTO]]</f>
        <v>0</v>
      </c>
      <c r="O57" s="30">
        <v>0</v>
      </c>
      <c r="P57" s="39">
        <f>IF(Tabela1[[#This Row],[CARGA PARCIAL]]&lt;0,0,Tabela1[[#This Row],[CARGA PARCIAL]])+Tabela1[[#This Row],[REEMBOLSO]]</f>
        <v>0</v>
      </c>
      <c r="Q57" s="18" t="s">
        <v>184</v>
      </c>
      <c r="R57" s="18"/>
      <c r="S57" s="5"/>
      <c r="AU57"/>
      <c r="AV57"/>
      <c r="AW57"/>
    </row>
    <row r="58" spans="2:49" hidden="1">
      <c r="B58" s="17" t="s">
        <v>185</v>
      </c>
      <c r="C58" s="17" t="s">
        <v>186</v>
      </c>
      <c r="D58" s="17" t="s">
        <v>23</v>
      </c>
      <c r="E58" s="17" t="s">
        <v>187</v>
      </c>
      <c r="F58" s="17">
        <v>11030570001</v>
      </c>
      <c r="G58" s="20" t="s">
        <v>71</v>
      </c>
      <c r="H58" s="17" t="s">
        <v>51</v>
      </c>
      <c r="I58" s="30">
        <v>0</v>
      </c>
      <c r="J58" s="30">
        <v>1376.6599999999862</v>
      </c>
      <c r="K58" s="30">
        <v>2800</v>
      </c>
      <c r="L58" s="30">
        <v>1.04</v>
      </c>
      <c r="M58" s="30">
        <v>0</v>
      </c>
      <c r="N58" s="30">
        <f>Tabela1[[#This Row],[1QZ DE FEV 26]]-Tabela1[[#This Row],[SALDO PENDENTE]]-Tabela1[[#This Row],[SALDO CARTAO]]-Tabela1[[#This Row],[ADIANTAMENTO]]</f>
        <v>1422.3000000000138</v>
      </c>
      <c r="O58" s="30">
        <v>0</v>
      </c>
      <c r="P58" s="39">
        <f>IF(Tabela1[[#This Row],[CARGA PARCIAL]]&lt;0,0,Tabela1[[#This Row],[CARGA PARCIAL]])+Tabela1[[#This Row],[REEMBOLSO]]</f>
        <v>1422.3000000000138</v>
      </c>
      <c r="Q58" s="18" t="s">
        <v>27</v>
      </c>
      <c r="R58" s="18"/>
      <c r="S58" s="5"/>
      <c r="AU58"/>
      <c r="AV58"/>
      <c r="AW58"/>
    </row>
    <row r="59" spans="2:49" hidden="1">
      <c r="B59" s="17" t="s">
        <v>188</v>
      </c>
      <c r="C59" s="21" t="s">
        <v>189</v>
      </c>
      <c r="D59" s="17" t="s">
        <v>23</v>
      </c>
      <c r="E59" s="19" t="s">
        <v>190</v>
      </c>
      <c r="F59" s="17">
        <v>11061850001</v>
      </c>
      <c r="G59" s="17" t="s">
        <v>55</v>
      </c>
      <c r="H59" s="17" t="s">
        <v>51</v>
      </c>
      <c r="I59" s="30">
        <v>0</v>
      </c>
      <c r="J59" s="30">
        <v>16.210000000000036</v>
      </c>
      <c r="K59" s="31">
        <v>400</v>
      </c>
      <c r="L59" s="30">
        <v>400</v>
      </c>
      <c r="M59" s="30">
        <v>0</v>
      </c>
      <c r="N59" s="38">
        <f>Tabela1[[#This Row],[1QZ DE FEV 26]]-Tabela1[[#This Row],[SALDO PENDENTE]]-Tabela1[[#This Row],[SALDO CARTAO]]-Tabela1[[#This Row],[ADIANTAMENTO]]</f>
        <v>-16.210000000000036</v>
      </c>
      <c r="O59" s="38">
        <v>0</v>
      </c>
      <c r="P59" s="39">
        <f>IF(Tabela1[[#This Row],[CARGA PARCIAL]]&lt;0,0,Tabela1[[#This Row],[CARGA PARCIAL]])+Tabela1[[#This Row],[REEMBOLSO]]</f>
        <v>0</v>
      </c>
      <c r="Q59" s="40" t="s">
        <v>27</v>
      </c>
      <c r="R59" s="29"/>
      <c r="S59" s="5"/>
      <c r="AU59"/>
      <c r="AV59"/>
      <c r="AW59"/>
    </row>
    <row r="60" spans="2:49" hidden="1">
      <c r="B60" s="51" t="s">
        <v>191</v>
      </c>
      <c r="C60" s="47" t="s">
        <v>192</v>
      </c>
      <c r="D60" s="19" t="s">
        <v>23</v>
      </c>
      <c r="E60" s="19" t="s">
        <v>193</v>
      </c>
      <c r="F60" s="19">
        <v>11061820001</v>
      </c>
      <c r="G60" s="27" t="s">
        <v>71</v>
      </c>
      <c r="H60" s="19" t="s">
        <v>51</v>
      </c>
      <c r="I60" s="30">
        <v>-851.89999999999964</v>
      </c>
      <c r="J60" s="30">
        <v>0</v>
      </c>
      <c r="K60" s="31">
        <v>500</v>
      </c>
      <c r="L60" s="30">
        <v>1</v>
      </c>
      <c r="M60" s="31">
        <v>0</v>
      </c>
      <c r="N60" s="49">
        <f>Tabela1[[#This Row],[1QZ DE FEV 26]]-Tabela1[[#This Row],[SALDO PENDENTE]]-Tabela1[[#This Row],[SALDO CARTAO]]-Tabela1[[#This Row],[ADIANTAMENTO]]</f>
        <v>499</v>
      </c>
      <c r="O60" s="49">
        <v>851.9</v>
      </c>
      <c r="P60" s="50">
        <f>IF(Tabela1[[#This Row],[CARGA PARCIAL]]&lt;0,0,Tabela1[[#This Row],[CARGA PARCIAL]])+Tabela1[[#This Row],[REEMBOLSO]]</f>
        <v>1350.9</v>
      </c>
      <c r="Q60" s="44" t="s">
        <v>27</v>
      </c>
      <c r="R60" s="29"/>
      <c r="S60" s="5"/>
      <c r="AU60"/>
      <c r="AV60"/>
      <c r="AW60"/>
    </row>
    <row r="61" spans="2:49" hidden="1">
      <c r="B61" s="17" t="s">
        <v>194</v>
      </c>
      <c r="C61" s="17" t="s">
        <v>195</v>
      </c>
      <c r="D61" s="17" t="s">
        <v>23</v>
      </c>
      <c r="E61" s="17" t="s">
        <v>196</v>
      </c>
      <c r="F61" s="17">
        <v>11061720001</v>
      </c>
      <c r="G61" s="17" t="s">
        <v>55</v>
      </c>
      <c r="H61" s="17" t="s">
        <v>51</v>
      </c>
      <c r="I61" s="30">
        <v>0</v>
      </c>
      <c r="J61" s="30">
        <v>287.58000000000544</v>
      </c>
      <c r="K61" s="30">
        <v>800</v>
      </c>
      <c r="L61" s="30">
        <v>0.67</v>
      </c>
      <c r="M61" s="30">
        <v>0</v>
      </c>
      <c r="N61" s="30">
        <f>Tabela1[[#This Row],[1QZ DE FEV 26]]-Tabela1[[#This Row],[SALDO PENDENTE]]-Tabela1[[#This Row],[SALDO CARTAO]]-Tabela1[[#This Row],[ADIANTAMENTO]]</f>
        <v>511.7499999999946</v>
      </c>
      <c r="O61" s="30">
        <v>0</v>
      </c>
      <c r="P61" s="39">
        <f>IF(Tabela1[[#This Row],[CARGA PARCIAL]]&lt;0,0,Tabela1[[#This Row],[CARGA PARCIAL]])+Tabela1[[#This Row],[REEMBOLSO]]</f>
        <v>511.7499999999946</v>
      </c>
      <c r="Q61" s="18" t="s">
        <v>27</v>
      </c>
      <c r="R61" s="18"/>
      <c r="S61" s="5"/>
      <c r="AU61"/>
      <c r="AV61"/>
      <c r="AW61"/>
    </row>
    <row r="62" spans="2:49" hidden="1">
      <c r="B62" s="17" t="s">
        <v>197</v>
      </c>
      <c r="C62" s="17" t="s">
        <v>198</v>
      </c>
      <c r="D62" s="17" t="s">
        <v>23</v>
      </c>
      <c r="E62" s="17" t="s">
        <v>161</v>
      </c>
      <c r="F62" s="17">
        <v>11010370001</v>
      </c>
      <c r="G62" s="17" t="s">
        <v>55</v>
      </c>
      <c r="H62" s="17" t="s">
        <v>51</v>
      </c>
      <c r="I62" s="30">
        <v>-512.94000000000005</v>
      </c>
      <c r="J62" s="30">
        <v>0</v>
      </c>
      <c r="K62" s="30">
        <v>700</v>
      </c>
      <c r="L62" s="30">
        <v>1011.51</v>
      </c>
      <c r="M62" s="30">
        <v>0</v>
      </c>
      <c r="N62" s="30">
        <f>Tabela1[[#This Row],[1QZ DE FEV 26]]-Tabela1[[#This Row],[SALDO PENDENTE]]-Tabela1[[#This Row],[SALDO CARTAO]]-Tabela1[[#This Row],[ADIANTAMENTO]]</f>
        <v>-311.51</v>
      </c>
      <c r="O62" s="30">
        <v>512.94000000000005</v>
      </c>
      <c r="P62" s="39">
        <f>IF(Tabela1[[#This Row],[CARGA PARCIAL]]&lt;0,0,Tabela1[[#This Row],[CARGA PARCIAL]])+Tabela1[[#This Row],[REEMBOLSO]]</f>
        <v>512.94000000000005</v>
      </c>
      <c r="Q62" s="18" t="s">
        <v>27</v>
      </c>
      <c r="R62" s="18"/>
      <c r="S62" s="5"/>
      <c r="AU62"/>
      <c r="AV62"/>
      <c r="AW62"/>
    </row>
    <row r="63" spans="2:49" hidden="1">
      <c r="B63" s="42" t="s">
        <v>199</v>
      </c>
      <c r="C63" s="22" t="s">
        <v>200</v>
      </c>
      <c r="D63" s="17" t="s">
        <v>23</v>
      </c>
      <c r="E63" s="17" t="s">
        <v>201</v>
      </c>
      <c r="F63" s="17">
        <v>11030890001</v>
      </c>
      <c r="G63" s="20" t="s">
        <v>25</v>
      </c>
      <c r="H63" s="17" t="s">
        <v>26</v>
      </c>
      <c r="I63" s="30">
        <v>0</v>
      </c>
      <c r="J63" s="30">
        <v>699.67999999999847</v>
      </c>
      <c r="K63" s="30">
        <v>2000</v>
      </c>
      <c r="L63" s="30">
        <v>86</v>
      </c>
      <c r="M63" s="30">
        <v>0</v>
      </c>
      <c r="N63" s="30">
        <f>Tabela1[[#This Row],[1QZ DE FEV 26]]-Tabela1[[#This Row],[SALDO PENDENTE]]-Tabela1[[#This Row],[SALDO CARTAO]]-Tabela1[[#This Row],[ADIANTAMENTO]]</f>
        <v>1214.3200000000015</v>
      </c>
      <c r="O63" s="30">
        <v>0</v>
      </c>
      <c r="P63" s="39">
        <f>IF(Tabela1[[#This Row],[CARGA PARCIAL]]&lt;0,0,Tabela1[[#This Row],[CARGA PARCIAL]])+Tabela1[[#This Row],[REEMBOLSO]]</f>
        <v>1214.3200000000015</v>
      </c>
      <c r="Q63" s="18" t="s">
        <v>27</v>
      </c>
      <c r="R63" s="18"/>
      <c r="S63" s="5"/>
      <c r="AU63"/>
      <c r="AV63"/>
      <c r="AW63"/>
    </row>
    <row r="64" spans="2:49" hidden="1">
      <c r="B64" s="17" t="s">
        <v>202</v>
      </c>
      <c r="C64" s="17" t="s">
        <v>203</v>
      </c>
      <c r="D64" s="17" t="s">
        <v>23</v>
      </c>
      <c r="E64" s="17" t="s">
        <v>204</v>
      </c>
      <c r="F64" s="17">
        <v>11080230001</v>
      </c>
      <c r="G64" s="20" t="s">
        <v>25</v>
      </c>
      <c r="H64" s="17" t="s">
        <v>26</v>
      </c>
      <c r="I64" s="30">
        <v>-474.79999999999927</v>
      </c>
      <c r="J64" s="30">
        <v>0</v>
      </c>
      <c r="K64" s="30">
        <v>750</v>
      </c>
      <c r="L64" s="30">
        <v>43</v>
      </c>
      <c r="M64" s="30">
        <v>0</v>
      </c>
      <c r="N64" s="30">
        <f>Tabela1[[#This Row],[1QZ DE FEV 26]]-Tabela1[[#This Row],[SALDO PENDENTE]]-Tabela1[[#This Row],[SALDO CARTAO]]-Tabela1[[#This Row],[ADIANTAMENTO]]</f>
        <v>707</v>
      </c>
      <c r="O64" s="30">
        <v>474.8</v>
      </c>
      <c r="P64" s="39">
        <f>IF(Tabela1[[#This Row],[CARGA PARCIAL]]&lt;0,0,Tabela1[[#This Row],[CARGA PARCIAL]])+Tabela1[[#This Row],[REEMBOLSO]]</f>
        <v>1181.8</v>
      </c>
      <c r="Q64" s="18" t="s">
        <v>27</v>
      </c>
      <c r="R64" s="18"/>
      <c r="S64" s="5"/>
      <c r="AU64"/>
      <c r="AV64"/>
      <c r="AW64"/>
    </row>
    <row r="65" spans="2:49" hidden="1">
      <c r="B65" s="17" t="s">
        <v>205</v>
      </c>
      <c r="C65" s="17" t="s">
        <v>206</v>
      </c>
      <c r="D65" s="17" t="s">
        <v>23</v>
      </c>
      <c r="E65" s="17" t="s">
        <v>122</v>
      </c>
      <c r="F65" s="17">
        <v>11040130001</v>
      </c>
      <c r="G65" s="20" t="s">
        <v>55</v>
      </c>
      <c r="H65" s="17" t="s">
        <v>51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f>Tabela1[[#This Row],[1QZ DE FEV 26]]-Tabela1[[#This Row],[SALDO PENDENTE]]-Tabela1[[#This Row],[SALDO CARTAO]]-Tabela1[[#This Row],[ADIANTAMENTO]]</f>
        <v>0</v>
      </c>
      <c r="O65" s="30">
        <v>0</v>
      </c>
      <c r="P65" s="39">
        <f>IF(Tabela1[[#This Row],[CARGA PARCIAL]]&lt;0,0,Tabela1[[#This Row],[CARGA PARCIAL]])+Tabela1[[#This Row],[REEMBOLSO]]</f>
        <v>0</v>
      </c>
      <c r="Q65" s="18" t="s">
        <v>27</v>
      </c>
      <c r="R65" s="18"/>
      <c r="S65" s="5"/>
      <c r="AU65"/>
      <c r="AV65"/>
      <c r="AW65"/>
    </row>
    <row r="66" spans="2:49" hidden="1">
      <c r="B66" s="17" t="s">
        <v>207</v>
      </c>
      <c r="C66" s="17" t="s">
        <v>208</v>
      </c>
      <c r="D66" s="17" t="s">
        <v>23</v>
      </c>
      <c r="E66" s="17" t="s">
        <v>209</v>
      </c>
      <c r="F66" s="17">
        <v>11061940001</v>
      </c>
      <c r="G66" s="17" t="s">
        <v>55</v>
      </c>
      <c r="H66" s="17" t="s">
        <v>51</v>
      </c>
      <c r="I66" s="30">
        <v>0</v>
      </c>
      <c r="J66" s="30">
        <v>3903.2200000000025</v>
      </c>
      <c r="K66" s="30">
        <v>3900</v>
      </c>
      <c r="L66" s="30">
        <v>4.82</v>
      </c>
      <c r="M66" s="30">
        <v>0</v>
      </c>
      <c r="N66" s="30">
        <f>Tabela1[[#This Row],[1QZ DE FEV 26]]-Tabela1[[#This Row],[SALDO PENDENTE]]-Tabela1[[#This Row],[SALDO CARTAO]]-Tabela1[[#This Row],[ADIANTAMENTO]]</f>
        <v>-8.0400000000025287</v>
      </c>
      <c r="O66" s="30">
        <v>0</v>
      </c>
      <c r="P66" s="39">
        <f>IF(Tabela1[[#This Row],[CARGA PARCIAL]]&lt;0,0,Tabela1[[#This Row],[CARGA PARCIAL]])+Tabela1[[#This Row],[REEMBOLSO]]</f>
        <v>0</v>
      </c>
      <c r="Q66" s="18" t="s">
        <v>27</v>
      </c>
      <c r="R66" s="18"/>
      <c r="S66" s="5"/>
      <c r="AU66"/>
      <c r="AV66"/>
      <c r="AW66"/>
    </row>
    <row r="67" spans="2:49" s="23" customFormat="1" hidden="1">
      <c r="B67" s="42" t="s">
        <v>210</v>
      </c>
      <c r="C67" s="22" t="s">
        <v>211</v>
      </c>
      <c r="D67" s="17" t="s">
        <v>23</v>
      </c>
      <c r="E67" s="17" t="s">
        <v>212</v>
      </c>
      <c r="F67" s="17">
        <v>11030730001</v>
      </c>
      <c r="G67" s="20" t="s">
        <v>31</v>
      </c>
      <c r="H67" s="17" t="s">
        <v>26</v>
      </c>
      <c r="I67" s="30">
        <v>-633.3199999999988</v>
      </c>
      <c r="J67" s="30">
        <v>0</v>
      </c>
      <c r="K67" s="30">
        <v>640</v>
      </c>
      <c r="L67" s="30">
        <v>145.96</v>
      </c>
      <c r="M67" s="30">
        <v>0</v>
      </c>
      <c r="N67" s="30">
        <f>Tabela1[[#This Row],[1QZ DE FEV 26]]-Tabela1[[#This Row],[SALDO PENDENTE]]-Tabela1[[#This Row],[SALDO CARTAO]]-Tabela1[[#This Row],[ADIANTAMENTO]]</f>
        <v>494.03999999999996</v>
      </c>
      <c r="O67" s="30">
        <v>633.32000000000005</v>
      </c>
      <c r="P67" s="39">
        <f>IF(Tabela1[[#This Row],[CARGA PARCIAL]]&lt;0,0,Tabela1[[#This Row],[CARGA PARCIAL]])+Tabela1[[#This Row],[REEMBOLSO]]</f>
        <v>1127.3600000000001</v>
      </c>
      <c r="Q67" s="18" t="s">
        <v>27</v>
      </c>
      <c r="R67" s="18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</row>
    <row r="68" spans="2:49" s="23" customFormat="1" hidden="1">
      <c r="B68" s="17" t="s">
        <v>213</v>
      </c>
      <c r="C68" s="17" t="s">
        <v>214</v>
      </c>
      <c r="D68" s="17" t="s">
        <v>23</v>
      </c>
      <c r="E68" s="17" t="s">
        <v>215</v>
      </c>
      <c r="F68" s="17">
        <v>11010410001</v>
      </c>
      <c r="G68" s="17" t="s">
        <v>55</v>
      </c>
      <c r="H68" s="17" t="s">
        <v>51</v>
      </c>
      <c r="I68" s="65">
        <v>-2102.3200000000015</v>
      </c>
      <c r="J68" s="30">
        <v>0</v>
      </c>
      <c r="K68" s="30">
        <v>1000</v>
      </c>
      <c r="L68" s="30">
        <v>1000</v>
      </c>
      <c r="M68" s="30">
        <v>0</v>
      </c>
      <c r="N68" s="30">
        <f>Tabela1[[#This Row],[1QZ DE FEV 26]]-Tabela1[[#This Row],[SALDO PENDENTE]]-Tabela1[[#This Row],[SALDO CARTAO]]-Tabela1[[#This Row],[ADIANTAMENTO]]</f>
        <v>0</v>
      </c>
      <c r="O68" s="30">
        <v>0</v>
      </c>
      <c r="P68" s="39">
        <f>IF(Tabela1[[#This Row],[CARGA PARCIAL]]&lt;0,0,Tabela1[[#This Row],[CARGA PARCIAL]])+Tabela1[[#This Row],[REEMBOLSO]]</f>
        <v>0</v>
      </c>
      <c r="Q68" s="18" t="s">
        <v>27</v>
      </c>
      <c r="R68" s="18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</row>
    <row r="69" spans="2:49" s="23" customFormat="1" hidden="1">
      <c r="B69" s="41" t="s">
        <v>216</v>
      </c>
      <c r="C69" s="22" t="s">
        <v>217</v>
      </c>
      <c r="D69" s="17" t="s">
        <v>23</v>
      </c>
      <c r="E69" s="17" t="s">
        <v>125</v>
      </c>
      <c r="F69" s="17">
        <v>11040170001</v>
      </c>
      <c r="G69" s="17" t="s">
        <v>126</v>
      </c>
      <c r="H69" s="17" t="s">
        <v>26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f>Tabela1[[#This Row],[1QZ DE FEV 26]]-Tabela1[[#This Row],[SALDO PENDENTE]]-Tabela1[[#This Row],[SALDO CARTAO]]-Tabela1[[#This Row],[ADIANTAMENTO]]</f>
        <v>0</v>
      </c>
      <c r="O69" s="30">
        <v>0</v>
      </c>
      <c r="P69" s="39">
        <f>IF(Tabela1[[#This Row],[CARGA PARCIAL]]&lt;0,0,Tabela1[[#This Row],[CARGA PARCIAL]])+Tabela1[[#This Row],[REEMBOLSO]]</f>
        <v>0</v>
      </c>
      <c r="Q69" s="18" t="s">
        <v>184</v>
      </c>
      <c r="R69" s="18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</row>
    <row r="70" spans="2:49" s="23" customFormat="1" hidden="1">
      <c r="B70" s="42" t="s">
        <v>218</v>
      </c>
      <c r="C70" s="22" t="s">
        <v>219</v>
      </c>
      <c r="D70" s="17" t="s">
        <v>23</v>
      </c>
      <c r="E70" s="17" t="s">
        <v>41</v>
      </c>
      <c r="F70" s="17">
        <v>11030870001</v>
      </c>
      <c r="G70" s="20" t="s">
        <v>35</v>
      </c>
      <c r="H70" s="17" t="s">
        <v>26</v>
      </c>
      <c r="I70" s="30">
        <v>-5856.139999999994</v>
      </c>
      <c r="J70" s="30">
        <v>0</v>
      </c>
      <c r="K70" s="30">
        <v>500</v>
      </c>
      <c r="L70" s="30">
        <v>3</v>
      </c>
      <c r="M70" s="30">
        <v>0</v>
      </c>
      <c r="N70" s="30">
        <f>Tabela1[[#This Row],[1QZ DE FEV 26]]-Tabela1[[#This Row],[SALDO PENDENTE]]-Tabela1[[#This Row],[SALDO CARTAO]]-Tabela1[[#This Row],[ADIANTAMENTO]]</f>
        <v>497</v>
      </c>
      <c r="O70" s="30">
        <v>5856.14</v>
      </c>
      <c r="P70" s="39">
        <f>IF(Tabela1[[#This Row],[CARGA PARCIAL]]&lt;0,0,Tabela1[[#This Row],[CARGA PARCIAL]])+Tabela1[[#This Row],[REEMBOLSO]]</f>
        <v>6353.14</v>
      </c>
      <c r="Q70" s="18" t="s">
        <v>27</v>
      </c>
      <c r="R70" s="18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</row>
    <row r="71" spans="2:49" hidden="1">
      <c r="B71" s="42" t="s">
        <v>220</v>
      </c>
      <c r="C71" s="22" t="s">
        <v>221</v>
      </c>
      <c r="D71" s="17" t="s">
        <v>23</v>
      </c>
      <c r="E71" s="17" t="s">
        <v>222</v>
      </c>
      <c r="F71" s="17">
        <v>11062050001</v>
      </c>
      <c r="G71" s="20" t="s">
        <v>59</v>
      </c>
      <c r="H71" s="17" t="s">
        <v>51</v>
      </c>
      <c r="I71" s="30">
        <v>-757.89999999999964</v>
      </c>
      <c r="J71" s="30">
        <v>0</v>
      </c>
      <c r="K71" s="30">
        <v>240</v>
      </c>
      <c r="L71" s="30">
        <v>15</v>
      </c>
      <c r="M71" s="30">
        <v>0</v>
      </c>
      <c r="N71" s="30">
        <f>Tabela1[[#This Row],[1QZ DE FEV 26]]-Tabela1[[#This Row],[SALDO PENDENTE]]-Tabela1[[#This Row],[SALDO CARTAO]]-Tabela1[[#This Row],[ADIANTAMENTO]]</f>
        <v>225</v>
      </c>
      <c r="O71" s="30">
        <v>757.9</v>
      </c>
      <c r="P71" s="39">
        <f>IF(Tabela1[[#This Row],[CARGA PARCIAL]]&lt;0,0,Tabela1[[#This Row],[CARGA PARCIAL]])+Tabela1[[#This Row],[REEMBOLSO]]</f>
        <v>982.9</v>
      </c>
      <c r="Q71" s="18" t="s">
        <v>27</v>
      </c>
      <c r="R71" s="18"/>
      <c r="S71" s="25"/>
      <c r="AU71"/>
      <c r="AV71"/>
      <c r="AW71"/>
    </row>
    <row r="72" spans="2:49" hidden="1">
      <c r="B72" s="17" t="s">
        <v>223</v>
      </c>
      <c r="C72" s="17" t="s">
        <v>224</v>
      </c>
      <c r="D72" s="17" t="s">
        <v>23</v>
      </c>
      <c r="E72" s="17" t="s">
        <v>225</v>
      </c>
      <c r="F72" s="17">
        <v>11030820001</v>
      </c>
      <c r="G72" s="20" t="s">
        <v>45</v>
      </c>
      <c r="H72" s="17" t="s">
        <v>46</v>
      </c>
      <c r="I72" s="65">
        <v>-4196.0100000000084</v>
      </c>
      <c r="J72" s="30">
        <v>0</v>
      </c>
      <c r="K72" s="30">
        <v>1000</v>
      </c>
      <c r="L72" s="30">
        <v>26.39</v>
      </c>
      <c r="M72" s="30">
        <v>0</v>
      </c>
      <c r="N72" s="30">
        <f>Tabela1[[#This Row],[1QZ DE FEV 26]]-Tabela1[[#This Row],[SALDO PENDENTE]]-Tabela1[[#This Row],[SALDO CARTAO]]-Tabela1[[#This Row],[ADIANTAMENTO]]</f>
        <v>973.61</v>
      </c>
      <c r="O72" s="30">
        <v>0</v>
      </c>
      <c r="P72" s="39">
        <f>IF(Tabela1[[#This Row],[CARGA PARCIAL]]&lt;0,0,Tabela1[[#This Row],[CARGA PARCIAL]])+Tabela1[[#This Row],[REEMBOLSO]]</f>
        <v>973.61</v>
      </c>
      <c r="Q72" s="18" t="s">
        <v>27</v>
      </c>
      <c r="R72" s="18"/>
      <c r="S72" s="25"/>
      <c r="AU72"/>
      <c r="AV72"/>
      <c r="AW72"/>
    </row>
    <row r="73" spans="2:49" hidden="1">
      <c r="B73" s="42" t="s">
        <v>226</v>
      </c>
      <c r="C73" s="22" t="s">
        <v>227</v>
      </c>
      <c r="D73" s="17" t="s">
        <v>23</v>
      </c>
      <c r="E73" s="17" t="s">
        <v>74</v>
      </c>
      <c r="F73" s="17">
        <v>11061770001</v>
      </c>
      <c r="G73" s="20" t="s">
        <v>71</v>
      </c>
      <c r="H73" s="17" t="s">
        <v>51</v>
      </c>
      <c r="I73" s="30">
        <v>-777.41</v>
      </c>
      <c r="J73" s="30">
        <v>0</v>
      </c>
      <c r="K73" s="30">
        <v>200</v>
      </c>
      <c r="L73" s="30">
        <v>8.33</v>
      </c>
      <c r="M73" s="30">
        <v>0</v>
      </c>
      <c r="N73" s="30">
        <f>Tabela1[[#This Row],[1QZ DE FEV 26]]-Tabela1[[#This Row],[SALDO PENDENTE]]-Tabela1[[#This Row],[SALDO CARTAO]]-Tabela1[[#This Row],[ADIANTAMENTO]]</f>
        <v>191.67</v>
      </c>
      <c r="O73" s="30">
        <v>777.41</v>
      </c>
      <c r="P73" s="39">
        <f>IF(Tabela1[[#This Row],[CARGA PARCIAL]]&lt;0,0,Tabela1[[#This Row],[CARGA PARCIAL]])+Tabela1[[#This Row],[REEMBOLSO]]</f>
        <v>969.07999999999993</v>
      </c>
      <c r="Q73" s="18" t="s">
        <v>27</v>
      </c>
      <c r="R73" s="18"/>
      <c r="S73" s="25"/>
      <c r="AU73"/>
      <c r="AV73"/>
      <c r="AW73"/>
    </row>
    <row r="74" spans="2:49" hidden="1">
      <c r="B74" s="17" t="s">
        <v>228</v>
      </c>
      <c r="C74" s="17" t="s">
        <v>229</v>
      </c>
      <c r="D74" s="17" t="s">
        <v>23</v>
      </c>
      <c r="E74" s="17" t="s">
        <v>38</v>
      </c>
      <c r="F74" s="17">
        <v>11040040001</v>
      </c>
      <c r="G74" s="20" t="s">
        <v>31</v>
      </c>
      <c r="H74" s="17" t="s">
        <v>26</v>
      </c>
      <c r="I74" s="30">
        <v>0</v>
      </c>
      <c r="J74" s="30">
        <v>2238.9599999999932</v>
      </c>
      <c r="K74" s="30">
        <v>3200</v>
      </c>
      <c r="L74" s="30">
        <v>7.72</v>
      </c>
      <c r="M74" s="30">
        <v>0</v>
      </c>
      <c r="N74" s="30">
        <f>Tabela1[[#This Row],[1QZ DE FEV 26]]-Tabela1[[#This Row],[SALDO PENDENTE]]-Tabela1[[#This Row],[SALDO CARTAO]]-Tabela1[[#This Row],[ADIANTAMENTO]]</f>
        <v>953.32000000000676</v>
      </c>
      <c r="O74" s="30">
        <v>0</v>
      </c>
      <c r="P74" s="39">
        <f>IF(Tabela1[[#This Row],[CARGA PARCIAL]]&lt;0,0,Tabela1[[#This Row],[CARGA PARCIAL]])+Tabela1[[#This Row],[REEMBOLSO]]</f>
        <v>953.32000000000676</v>
      </c>
      <c r="Q74" s="18" t="s">
        <v>27</v>
      </c>
      <c r="R74" s="18"/>
      <c r="S74" s="25"/>
      <c r="AU74"/>
      <c r="AV74"/>
      <c r="AW74"/>
    </row>
    <row r="75" spans="2:49" hidden="1">
      <c r="B75" s="42" t="s">
        <v>230</v>
      </c>
      <c r="C75" s="22" t="s">
        <v>231</v>
      </c>
      <c r="D75" s="17" t="s">
        <v>23</v>
      </c>
      <c r="E75" s="17" t="s">
        <v>153</v>
      </c>
      <c r="F75" s="17">
        <v>11030770001</v>
      </c>
      <c r="G75" s="20" t="s">
        <v>25</v>
      </c>
      <c r="H75" s="17" t="s">
        <v>26</v>
      </c>
      <c r="I75" s="30">
        <v>0</v>
      </c>
      <c r="J75" s="30">
        <v>537.65000000000873</v>
      </c>
      <c r="K75" s="30">
        <v>1500</v>
      </c>
      <c r="L75" s="30">
        <v>36</v>
      </c>
      <c r="M75" s="30">
        <v>0</v>
      </c>
      <c r="N75" s="30">
        <f>Tabela1[[#This Row],[1QZ DE FEV 26]]-Tabela1[[#This Row],[SALDO PENDENTE]]-Tabela1[[#This Row],[SALDO CARTAO]]-Tabela1[[#This Row],[ADIANTAMENTO]]</f>
        <v>926.34999999999127</v>
      </c>
      <c r="O75" s="30">
        <v>0</v>
      </c>
      <c r="P75" s="39">
        <f>IF(Tabela1[[#This Row],[CARGA PARCIAL]]&lt;0,0,Tabela1[[#This Row],[CARGA PARCIAL]])+Tabela1[[#This Row],[REEMBOLSO]]</f>
        <v>926.34999999999127</v>
      </c>
      <c r="Q75" s="18" t="s">
        <v>27</v>
      </c>
      <c r="R75" s="18"/>
      <c r="S75" s="25"/>
      <c r="AU75"/>
      <c r="AV75"/>
      <c r="AW75"/>
    </row>
    <row r="76" spans="2:49">
      <c r="B76" s="42" t="s">
        <v>232</v>
      </c>
      <c r="C76" s="22" t="s">
        <v>233</v>
      </c>
      <c r="D76" s="17" t="s">
        <v>23</v>
      </c>
      <c r="E76" s="17" t="s">
        <v>234</v>
      </c>
      <c r="F76" s="17">
        <v>11060710001</v>
      </c>
      <c r="G76" s="20" t="s">
        <v>35</v>
      </c>
      <c r="H76" s="17" t="s">
        <v>26</v>
      </c>
      <c r="I76" s="30">
        <v>0</v>
      </c>
      <c r="J76" s="30">
        <v>2188.3499999999899</v>
      </c>
      <c r="K76" s="30">
        <v>4000</v>
      </c>
      <c r="L76" s="30">
        <v>2.74</v>
      </c>
      <c r="M76" s="30">
        <v>0</v>
      </c>
      <c r="N76" s="30">
        <f>Tabela1[[#This Row],[1QZ DE FEV 26]]-Tabela1[[#This Row],[SALDO PENDENTE]]-Tabela1[[#This Row],[SALDO CARTAO]]-Tabela1[[#This Row],[ADIANTAMENTO]]</f>
        <v>1808.9100000000101</v>
      </c>
      <c r="O76" s="30">
        <v>0</v>
      </c>
      <c r="P76" s="39">
        <f>IF(Tabela1[[#This Row],[CARGA PARCIAL]]&lt;0,0,Tabela1[[#This Row],[CARGA PARCIAL]])+Tabela1[[#This Row],[REEMBOLSO]]</f>
        <v>1808.9100000000101</v>
      </c>
      <c r="Q76" s="18" t="s">
        <v>27</v>
      </c>
      <c r="R76" s="18"/>
      <c r="S76" s="25"/>
      <c r="AU76"/>
      <c r="AV76"/>
      <c r="AW76"/>
    </row>
    <row r="77" spans="2:49" hidden="1">
      <c r="B77" s="17" t="s">
        <v>235</v>
      </c>
      <c r="C77" s="17" t="s">
        <v>236</v>
      </c>
      <c r="D77" s="17" t="s">
        <v>23</v>
      </c>
      <c r="E77" s="17" t="s">
        <v>237</v>
      </c>
      <c r="F77" s="17">
        <v>11062670001</v>
      </c>
      <c r="G77" s="17" t="s">
        <v>50</v>
      </c>
      <c r="H77" s="17" t="s">
        <v>51</v>
      </c>
      <c r="I77" s="30">
        <v>0</v>
      </c>
      <c r="J77" s="30">
        <v>437.88999999999959</v>
      </c>
      <c r="K77" s="30">
        <v>1600</v>
      </c>
      <c r="L77" s="30">
        <v>241.05</v>
      </c>
      <c r="M77" s="30">
        <v>0</v>
      </c>
      <c r="N77" s="30">
        <f>Tabela1[[#This Row],[1QZ DE FEV 26]]-Tabela1[[#This Row],[SALDO PENDENTE]]-Tabela1[[#This Row],[SALDO CARTAO]]-Tabela1[[#This Row],[ADIANTAMENTO]]</f>
        <v>921.0600000000004</v>
      </c>
      <c r="O77" s="30">
        <v>0</v>
      </c>
      <c r="P77" s="39">
        <f>IF(Tabela1[[#This Row],[CARGA PARCIAL]]&lt;0,0,Tabela1[[#This Row],[CARGA PARCIAL]])+Tabela1[[#This Row],[REEMBOLSO]]</f>
        <v>921.0600000000004</v>
      </c>
      <c r="Q77" s="18" t="s">
        <v>27</v>
      </c>
      <c r="R77" s="18"/>
      <c r="S77" s="25"/>
      <c r="AU77"/>
      <c r="AV77"/>
      <c r="AW77"/>
    </row>
    <row r="78" spans="2:49" hidden="1">
      <c r="B78" s="42" t="s">
        <v>238</v>
      </c>
      <c r="C78" s="22" t="s">
        <v>239</v>
      </c>
      <c r="D78" s="17" t="s">
        <v>23</v>
      </c>
      <c r="E78" s="17" t="s">
        <v>240</v>
      </c>
      <c r="F78" s="17">
        <v>11062830001</v>
      </c>
      <c r="G78" s="20" t="s">
        <v>25</v>
      </c>
      <c r="H78" s="17" t="s">
        <v>26</v>
      </c>
      <c r="I78" s="30">
        <v>0</v>
      </c>
      <c r="J78" s="30">
        <v>500</v>
      </c>
      <c r="K78" s="30">
        <v>1500</v>
      </c>
      <c r="L78" s="30">
        <v>93</v>
      </c>
      <c r="M78" s="30">
        <v>0</v>
      </c>
      <c r="N78" s="30">
        <f>Tabela1[[#This Row],[1QZ DE FEV 26]]-Tabela1[[#This Row],[SALDO PENDENTE]]-Tabela1[[#This Row],[SALDO CARTAO]]-Tabela1[[#This Row],[ADIANTAMENTO]]</f>
        <v>907</v>
      </c>
      <c r="O78" s="30">
        <v>0</v>
      </c>
      <c r="P78" s="39">
        <f>IF(Tabela1[[#This Row],[CARGA PARCIAL]]&lt;0,0,Tabela1[[#This Row],[CARGA PARCIAL]])+Tabela1[[#This Row],[REEMBOLSO]]</f>
        <v>907</v>
      </c>
      <c r="Q78" s="18" t="s">
        <v>27</v>
      </c>
      <c r="R78" s="18"/>
      <c r="S78" s="25"/>
      <c r="AU78"/>
      <c r="AV78"/>
      <c r="AW78"/>
    </row>
    <row r="79" spans="2:49" hidden="1">
      <c r="B79" s="41" t="s">
        <v>241</v>
      </c>
      <c r="C79" s="22" t="s">
        <v>242</v>
      </c>
      <c r="D79" s="17" t="s">
        <v>23</v>
      </c>
      <c r="E79" s="17" t="s">
        <v>196</v>
      </c>
      <c r="F79" s="17">
        <v>11061720001</v>
      </c>
      <c r="G79" s="20" t="s">
        <v>55</v>
      </c>
      <c r="H79" s="17" t="s">
        <v>51</v>
      </c>
      <c r="I79" s="30">
        <v>-9.8054897534893826E-13</v>
      </c>
      <c r="J79" s="30">
        <v>0</v>
      </c>
      <c r="K79" s="30">
        <v>800</v>
      </c>
      <c r="L79" s="30">
        <v>115.33</v>
      </c>
      <c r="M79" s="30">
        <v>0</v>
      </c>
      <c r="N79" s="30">
        <f>Tabela1[[#This Row],[1QZ DE FEV 26]]-Tabela1[[#This Row],[SALDO PENDENTE]]-Tabela1[[#This Row],[SALDO CARTAO]]-Tabela1[[#This Row],[ADIANTAMENTO]]</f>
        <v>684.67</v>
      </c>
      <c r="O79" s="30">
        <v>0</v>
      </c>
      <c r="P79" s="39">
        <f>IF(Tabela1[[#This Row],[CARGA PARCIAL]]&lt;0,0,Tabela1[[#This Row],[CARGA PARCIAL]])+Tabela1[[#This Row],[REEMBOLSO]]</f>
        <v>684.67</v>
      </c>
      <c r="Q79" s="18" t="s">
        <v>27</v>
      </c>
      <c r="R79" s="18"/>
      <c r="S79" s="25"/>
      <c r="AU79"/>
      <c r="AV79"/>
      <c r="AW79"/>
    </row>
    <row r="80" spans="2:49" hidden="1">
      <c r="B80" s="42" t="s">
        <v>243</v>
      </c>
      <c r="C80" s="22" t="s">
        <v>244</v>
      </c>
      <c r="D80" s="17" t="s">
        <v>23</v>
      </c>
      <c r="E80" s="17" t="s">
        <v>245</v>
      </c>
      <c r="F80" s="17">
        <v>11010170001</v>
      </c>
      <c r="G80" s="20" t="s">
        <v>63</v>
      </c>
      <c r="H80" s="17" t="s">
        <v>26</v>
      </c>
      <c r="I80" s="30">
        <v>0</v>
      </c>
      <c r="J80" s="30">
        <v>57.850000000000364</v>
      </c>
      <c r="K80" s="30">
        <v>1000</v>
      </c>
      <c r="L80" s="30">
        <v>43</v>
      </c>
      <c r="M80" s="30">
        <v>0</v>
      </c>
      <c r="N80" s="30">
        <f>Tabela1[[#This Row],[1QZ DE FEV 26]]-Tabela1[[#This Row],[SALDO PENDENTE]]-Tabela1[[#This Row],[SALDO CARTAO]]-Tabela1[[#This Row],[ADIANTAMENTO]]</f>
        <v>899.14999999999964</v>
      </c>
      <c r="O80" s="30">
        <v>0</v>
      </c>
      <c r="P80" s="39">
        <f>IF(Tabela1[[#This Row],[CARGA PARCIAL]]&lt;0,0,Tabela1[[#This Row],[CARGA PARCIAL]])+Tabela1[[#This Row],[REEMBOLSO]]</f>
        <v>899.14999999999964</v>
      </c>
      <c r="Q80" s="18" t="s">
        <v>27</v>
      </c>
      <c r="R80" s="18"/>
      <c r="S80" s="25"/>
      <c r="AU80"/>
      <c r="AV80"/>
      <c r="AW80"/>
    </row>
    <row r="81" spans="2:49" hidden="1">
      <c r="B81" s="17" t="s">
        <v>246</v>
      </c>
      <c r="C81" s="17" t="s">
        <v>247</v>
      </c>
      <c r="D81" s="17" t="s">
        <v>23</v>
      </c>
      <c r="E81" s="17" t="s">
        <v>196</v>
      </c>
      <c r="F81" s="17">
        <v>11061720001</v>
      </c>
      <c r="G81" s="17" t="s">
        <v>55</v>
      </c>
      <c r="H81" s="17" t="s">
        <v>51</v>
      </c>
      <c r="I81" s="30">
        <v>-408.0299999999927</v>
      </c>
      <c r="J81" s="30">
        <v>0</v>
      </c>
      <c r="K81" s="30">
        <v>900</v>
      </c>
      <c r="L81" s="30">
        <v>0.03</v>
      </c>
      <c r="M81" s="30">
        <v>0</v>
      </c>
      <c r="N81" s="30">
        <f>Tabela1[[#This Row],[1QZ DE FEV 26]]-Tabela1[[#This Row],[SALDO PENDENTE]]-Tabela1[[#This Row],[SALDO CARTAO]]-Tabela1[[#This Row],[ADIANTAMENTO]]</f>
        <v>899.97</v>
      </c>
      <c r="O81" s="30">
        <v>408.03</v>
      </c>
      <c r="P81" s="39">
        <f>IF(Tabela1[[#This Row],[CARGA PARCIAL]]&lt;0,0,Tabela1[[#This Row],[CARGA PARCIAL]])+Tabela1[[#This Row],[REEMBOLSO]]</f>
        <v>1308</v>
      </c>
      <c r="Q81" s="18" t="s">
        <v>27</v>
      </c>
      <c r="R81" s="18"/>
      <c r="S81" s="25"/>
      <c r="AU81"/>
      <c r="AV81"/>
      <c r="AW81"/>
    </row>
    <row r="82" spans="2:49" hidden="1">
      <c r="B82" s="17" t="s">
        <v>248</v>
      </c>
      <c r="C82" s="17" t="s">
        <v>249</v>
      </c>
      <c r="D82" s="17" t="s">
        <v>23</v>
      </c>
      <c r="E82" s="17" t="s">
        <v>196</v>
      </c>
      <c r="F82" s="17">
        <v>11061720001</v>
      </c>
      <c r="G82" s="17" t="s">
        <v>55</v>
      </c>
      <c r="H82" s="17" t="s">
        <v>51</v>
      </c>
      <c r="I82" s="30">
        <v>0</v>
      </c>
      <c r="J82" s="30">
        <v>163.19000000000008</v>
      </c>
      <c r="K82" s="30">
        <v>600</v>
      </c>
      <c r="L82" s="30">
        <v>27.23</v>
      </c>
      <c r="M82" s="30">
        <v>0</v>
      </c>
      <c r="N82" s="30">
        <f>Tabela1[[#This Row],[1QZ DE FEV 26]]-Tabela1[[#This Row],[SALDO PENDENTE]]-Tabela1[[#This Row],[SALDO CARTAO]]-Tabela1[[#This Row],[ADIANTAMENTO]]</f>
        <v>409.57999999999993</v>
      </c>
      <c r="O82" s="30">
        <v>0</v>
      </c>
      <c r="P82" s="39">
        <f>IF(Tabela1[[#This Row],[CARGA PARCIAL]]&lt;0,0,Tabela1[[#This Row],[CARGA PARCIAL]])+Tabela1[[#This Row],[REEMBOLSO]]</f>
        <v>409.57999999999993</v>
      </c>
      <c r="Q82" s="18" t="s">
        <v>27</v>
      </c>
      <c r="R82" s="18"/>
      <c r="S82" s="25"/>
      <c r="AU82"/>
      <c r="AV82"/>
      <c r="AW82"/>
    </row>
    <row r="83" spans="2:49" hidden="1">
      <c r="B83" s="51" t="s">
        <v>250</v>
      </c>
      <c r="C83" s="47" t="s">
        <v>251</v>
      </c>
      <c r="D83" s="19" t="s">
        <v>23</v>
      </c>
      <c r="E83" s="19" t="s">
        <v>252</v>
      </c>
      <c r="F83" s="19">
        <v>11062280001</v>
      </c>
      <c r="G83" s="27" t="s">
        <v>50</v>
      </c>
      <c r="H83" s="19" t="s">
        <v>51</v>
      </c>
      <c r="I83" s="30">
        <v>0</v>
      </c>
      <c r="J83" s="30">
        <v>554.24999999999864</v>
      </c>
      <c r="K83" s="31">
        <v>1500</v>
      </c>
      <c r="L83" s="30">
        <v>76.44</v>
      </c>
      <c r="M83" s="31">
        <v>0</v>
      </c>
      <c r="N83" s="49">
        <f>Tabela1[[#This Row],[1QZ DE FEV 26]]-Tabela1[[#This Row],[SALDO PENDENTE]]-Tabela1[[#This Row],[SALDO CARTAO]]-Tabela1[[#This Row],[ADIANTAMENTO]]</f>
        <v>869.31000000000131</v>
      </c>
      <c r="O83" s="30">
        <v>0</v>
      </c>
      <c r="P83" s="50">
        <f>IF(Tabela1[[#This Row],[CARGA PARCIAL]]&lt;0,0,Tabela1[[#This Row],[CARGA PARCIAL]])+Tabela1[[#This Row],[REEMBOLSO]]</f>
        <v>869.31000000000131</v>
      </c>
      <c r="Q83" s="44" t="s">
        <v>27</v>
      </c>
      <c r="R83" s="29"/>
      <c r="S83" s="25"/>
      <c r="AU83"/>
      <c r="AV83"/>
      <c r="AW83"/>
    </row>
    <row r="84" spans="2:49" hidden="1">
      <c r="B84" s="17" t="s">
        <v>253</v>
      </c>
      <c r="C84" s="17" t="s">
        <v>254</v>
      </c>
      <c r="D84" s="17" t="s">
        <v>23</v>
      </c>
      <c r="E84" s="17" t="s">
        <v>196</v>
      </c>
      <c r="F84" s="17">
        <v>11061720001</v>
      </c>
      <c r="G84" s="17" t="s">
        <v>55</v>
      </c>
      <c r="H84" s="17" t="s">
        <v>51</v>
      </c>
      <c r="I84" s="30">
        <v>0</v>
      </c>
      <c r="J84" s="30">
        <v>0</v>
      </c>
      <c r="K84" s="30">
        <v>750</v>
      </c>
      <c r="L84" s="30">
        <v>4</v>
      </c>
      <c r="M84" s="30">
        <v>0</v>
      </c>
      <c r="N84" s="30">
        <f>Tabela1[[#This Row],[1QZ DE FEV 26]]-Tabela1[[#This Row],[SALDO PENDENTE]]-Tabela1[[#This Row],[SALDO CARTAO]]-Tabela1[[#This Row],[ADIANTAMENTO]]</f>
        <v>746</v>
      </c>
      <c r="O84" s="30">
        <v>0</v>
      </c>
      <c r="P84" s="39">
        <f>IF(Tabela1[[#This Row],[CARGA PARCIAL]]&lt;0,0,Tabela1[[#This Row],[CARGA PARCIAL]])+Tabela1[[#This Row],[REEMBOLSO]]</f>
        <v>746</v>
      </c>
      <c r="Q84" s="18" t="s">
        <v>27</v>
      </c>
      <c r="R84" s="18"/>
      <c r="S84" s="25"/>
      <c r="AU84"/>
      <c r="AV84"/>
      <c r="AW84"/>
    </row>
    <row r="85" spans="2:49" hidden="1">
      <c r="B85" s="17" t="s">
        <v>255</v>
      </c>
      <c r="C85" s="17" t="s">
        <v>256</v>
      </c>
      <c r="D85" s="17" t="s">
        <v>23</v>
      </c>
      <c r="E85" s="17" t="s">
        <v>257</v>
      </c>
      <c r="F85" s="17">
        <v>11062760001</v>
      </c>
      <c r="G85" s="20" t="s">
        <v>63</v>
      </c>
      <c r="H85" s="17" t="s">
        <v>26</v>
      </c>
      <c r="I85" s="30">
        <v>-113.26999999999818</v>
      </c>
      <c r="J85" s="30">
        <v>0</v>
      </c>
      <c r="K85" s="30">
        <v>750</v>
      </c>
      <c r="L85" s="30">
        <v>5.52</v>
      </c>
      <c r="M85" s="30">
        <v>0</v>
      </c>
      <c r="N85" s="30">
        <f>Tabela1[[#This Row],[1QZ DE FEV 26]]-Tabela1[[#This Row],[SALDO PENDENTE]]-Tabela1[[#This Row],[SALDO CARTAO]]-Tabela1[[#This Row],[ADIANTAMENTO]]</f>
        <v>744.48</v>
      </c>
      <c r="O85" s="30">
        <v>113.27</v>
      </c>
      <c r="P85" s="39">
        <f>IF(Tabela1[[#This Row],[CARGA PARCIAL]]&lt;0,0,Tabela1[[#This Row],[CARGA PARCIAL]])+Tabela1[[#This Row],[REEMBOLSO]]</f>
        <v>857.75</v>
      </c>
      <c r="Q85" s="18" t="s">
        <v>27</v>
      </c>
      <c r="R85" s="18"/>
      <c r="S85" s="25"/>
      <c r="AU85"/>
      <c r="AV85"/>
      <c r="AW85"/>
    </row>
    <row r="86" spans="2:49" hidden="1">
      <c r="B86" s="19" t="s">
        <v>258</v>
      </c>
      <c r="C86" s="19" t="s">
        <v>259</v>
      </c>
      <c r="D86" s="19" t="s">
        <v>23</v>
      </c>
      <c r="E86" s="19" t="s">
        <v>196</v>
      </c>
      <c r="F86" s="19">
        <v>11061720001</v>
      </c>
      <c r="G86" s="19" t="s">
        <v>55</v>
      </c>
      <c r="H86" s="19" t="s">
        <v>51</v>
      </c>
      <c r="I86" s="30">
        <v>0</v>
      </c>
      <c r="J86" s="30">
        <v>536.34000000001618</v>
      </c>
      <c r="K86" s="31">
        <v>800</v>
      </c>
      <c r="L86" s="30">
        <v>132.9</v>
      </c>
      <c r="M86" s="31">
        <v>0</v>
      </c>
      <c r="N86" s="49">
        <f>Tabela1[[#This Row],[1QZ DE FEV 26]]-Tabela1[[#This Row],[SALDO PENDENTE]]-Tabela1[[#This Row],[SALDO CARTAO]]-Tabela1[[#This Row],[ADIANTAMENTO]]</f>
        <v>130.75999999998382</v>
      </c>
      <c r="O86" s="30">
        <v>0</v>
      </c>
      <c r="P86" s="50">
        <f>IF(Tabela1[[#This Row],[CARGA PARCIAL]]&lt;0,0,Tabela1[[#This Row],[CARGA PARCIAL]])+Tabela1[[#This Row],[REEMBOLSO]]</f>
        <v>130.75999999998382</v>
      </c>
      <c r="Q86" s="44" t="s">
        <v>27</v>
      </c>
      <c r="R86" s="29"/>
      <c r="S86" s="25"/>
      <c r="AU86"/>
      <c r="AV86"/>
      <c r="AW86"/>
    </row>
    <row r="87" spans="2:49" hidden="1">
      <c r="B87" s="17" t="s">
        <v>260</v>
      </c>
      <c r="C87" s="17" t="s">
        <v>261</v>
      </c>
      <c r="D87" s="17" t="s">
        <v>23</v>
      </c>
      <c r="E87" s="17" t="s">
        <v>262</v>
      </c>
      <c r="F87" s="17">
        <v>11062020001</v>
      </c>
      <c r="G87" s="17" t="s">
        <v>55</v>
      </c>
      <c r="H87" s="17" t="s">
        <v>51</v>
      </c>
      <c r="I87" s="30">
        <v>0</v>
      </c>
      <c r="J87" s="30">
        <v>93.289999999987685</v>
      </c>
      <c r="K87" s="30">
        <v>3000</v>
      </c>
      <c r="L87" s="30">
        <v>2015.4</v>
      </c>
      <c r="M87" s="30">
        <v>0</v>
      </c>
      <c r="N87" s="30">
        <f>Tabela1[[#This Row],[1QZ DE FEV 26]]-Tabela1[[#This Row],[SALDO PENDENTE]]-Tabela1[[#This Row],[SALDO CARTAO]]-Tabela1[[#This Row],[ADIANTAMENTO]]</f>
        <v>891.31000000001222</v>
      </c>
      <c r="O87" s="30">
        <v>0</v>
      </c>
      <c r="P87" s="39">
        <f>IF(Tabela1[[#This Row],[CARGA PARCIAL]]&lt;0,0,Tabela1[[#This Row],[CARGA PARCIAL]])+Tabela1[[#This Row],[REEMBOLSO]]</f>
        <v>891.31000000001222</v>
      </c>
      <c r="Q87" s="18" t="s">
        <v>27</v>
      </c>
      <c r="R87" s="18"/>
      <c r="S87" s="25"/>
      <c r="AU87"/>
      <c r="AV87"/>
      <c r="AW87"/>
    </row>
    <row r="88" spans="2:49" hidden="1">
      <c r="B88" s="17" t="s">
        <v>263</v>
      </c>
      <c r="C88" s="17" t="s">
        <v>264</v>
      </c>
      <c r="D88" s="17" t="s">
        <v>23</v>
      </c>
      <c r="E88" s="17" t="s">
        <v>265</v>
      </c>
      <c r="F88" s="17">
        <v>11030790001</v>
      </c>
      <c r="G88" s="17" t="s">
        <v>55</v>
      </c>
      <c r="H88" s="17" t="s">
        <v>51</v>
      </c>
      <c r="I88" s="30">
        <v>-695.12000000000262</v>
      </c>
      <c r="J88" s="30">
        <v>0</v>
      </c>
      <c r="K88" s="30">
        <v>2500</v>
      </c>
      <c r="L88" s="30">
        <v>9</v>
      </c>
      <c r="M88" s="30">
        <v>0</v>
      </c>
      <c r="N88" s="30">
        <f>Tabela1[[#This Row],[1QZ DE FEV 26]]-Tabela1[[#This Row],[SALDO PENDENTE]]-Tabela1[[#This Row],[SALDO CARTAO]]-Tabela1[[#This Row],[ADIANTAMENTO]]</f>
        <v>2491</v>
      </c>
      <c r="O88" s="30">
        <v>695.12</v>
      </c>
      <c r="P88" s="39">
        <f>IF(Tabela1[[#This Row],[CARGA PARCIAL]]&lt;0,0,Tabela1[[#This Row],[CARGA PARCIAL]])+Tabela1[[#This Row],[REEMBOLSO]]</f>
        <v>3186.12</v>
      </c>
      <c r="Q88" s="18" t="s">
        <v>27</v>
      </c>
      <c r="R88" s="18"/>
      <c r="S88" s="25"/>
      <c r="AU88"/>
      <c r="AV88"/>
      <c r="AW88"/>
    </row>
    <row r="89" spans="2:49" hidden="1">
      <c r="B89" s="17" t="s">
        <v>266</v>
      </c>
      <c r="C89" s="17" t="s">
        <v>267</v>
      </c>
      <c r="D89" s="17" t="s">
        <v>23</v>
      </c>
      <c r="E89" s="17" t="s">
        <v>196</v>
      </c>
      <c r="F89" s="17">
        <v>11061720001</v>
      </c>
      <c r="G89" s="17" t="s">
        <v>55</v>
      </c>
      <c r="H89" s="17" t="s">
        <v>51</v>
      </c>
      <c r="I89" s="30">
        <v>-13.500000000002547</v>
      </c>
      <c r="J89" s="30">
        <v>0</v>
      </c>
      <c r="K89" s="30">
        <v>800</v>
      </c>
      <c r="L89" s="30">
        <v>22.8</v>
      </c>
      <c r="M89" s="30">
        <v>0</v>
      </c>
      <c r="N89" s="30">
        <f>Tabela1[[#This Row],[1QZ DE FEV 26]]-Tabela1[[#This Row],[SALDO PENDENTE]]-Tabela1[[#This Row],[SALDO CARTAO]]-Tabela1[[#This Row],[ADIANTAMENTO]]</f>
        <v>777.2</v>
      </c>
      <c r="O89" s="30">
        <v>0</v>
      </c>
      <c r="P89" s="39">
        <f>IF(Tabela1[[#This Row],[CARGA PARCIAL]]&lt;0,0,Tabela1[[#This Row],[CARGA PARCIAL]])+Tabela1[[#This Row],[REEMBOLSO]]</f>
        <v>777.2</v>
      </c>
      <c r="Q89" s="18" t="s">
        <v>27</v>
      </c>
      <c r="R89" s="18"/>
      <c r="S89" s="25"/>
      <c r="AU89"/>
      <c r="AV89"/>
      <c r="AW89"/>
    </row>
    <row r="90" spans="2:49" hidden="1">
      <c r="B90" s="41" t="s">
        <v>268</v>
      </c>
      <c r="C90" s="22" t="s">
        <v>269</v>
      </c>
      <c r="D90" s="17" t="s">
        <v>23</v>
      </c>
      <c r="E90" s="17" t="s">
        <v>196</v>
      </c>
      <c r="F90" s="17">
        <v>11061720001</v>
      </c>
      <c r="G90" s="20" t="s">
        <v>55</v>
      </c>
      <c r="H90" s="17" t="s">
        <v>51</v>
      </c>
      <c r="I90" s="30">
        <v>0</v>
      </c>
      <c r="J90" s="30">
        <v>1.9895196601282805E-12</v>
      </c>
      <c r="K90" s="30">
        <v>800</v>
      </c>
      <c r="L90" s="30">
        <v>229.3</v>
      </c>
      <c r="M90" s="30">
        <v>0</v>
      </c>
      <c r="N90" s="30">
        <f>Tabela1[[#This Row],[1QZ DE FEV 26]]-Tabela1[[#This Row],[SALDO PENDENTE]]-Tabela1[[#This Row],[SALDO CARTAO]]-Tabela1[[#This Row],[ADIANTAMENTO]]</f>
        <v>570.699999999998</v>
      </c>
      <c r="O90" s="30">
        <v>0</v>
      </c>
      <c r="P90" s="39">
        <f>IF(Tabela1[[#This Row],[CARGA PARCIAL]]&lt;0,0,Tabela1[[#This Row],[CARGA PARCIAL]])+Tabela1[[#This Row],[REEMBOLSO]]</f>
        <v>570.699999999998</v>
      </c>
      <c r="Q90" s="18" t="s">
        <v>27</v>
      </c>
      <c r="R90" s="18"/>
      <c r="S90" s="25"/>
      <c r="AU90"/>
      <c r="AV90"/>
      <c r="AW90"/>
    </row>
    <row r="91" spans="2:49" hidden="1">
      <c r="B91" s="19" t="s">
        <v>270</v>
      </c>
      <c r="C91" s="19" t="s">
        <v>271</v>
      </c>
      <c r="D91" s="19" t="s">
        <v>23</v>
      </c>
      <c r="E91" s="19" t="s">
        <v>196</v>
      </c>
      <c r="F91" s="19">
        <v>11061720001</v>
      </c>
      <c r="G91" s="19" t="s">
        <v>55</v>
      </c>
      <c r="H91" s="19" t="s">
        <v>51</v>
      </c>
      <c r="I91" s="30">
        <v>0</v>
      </c>
      <c r="J91" s="30">
        <v>729.89999999999975</v>
      </c>
      <c r="K91" s="31">
        <v>800</v>
      </c>
      <c r="L91" s="30">
        <v>70.099999999999994</v>
      </c>
      <c r="M91" s="31">
        <v>0</v>
      </c>
      <c r="N91" s="49">
        <f>Tabela1[[#This Row],[1QZ DE FEV 26]]-Tabela1[[#This Row],[SALDO PENDENTE]]-Tabela1[[#This Row],[SALDO CARTAO]]-Tabela1[[#This Row],[ADIANTAMENTO]]</f>
        <v>2.5579538487363607E-13</v>
      </c>
      <c r="O91" s="49">
        <v>0</v>
      </c>
      <c r="P91" s="50">
        <f>IF(Tabela1[[#This Row],[CARGA PARCIAL]]&lt;0,0,Tabela1[[#This Row],[CARGA PARCIAL]])+Tabela1[[#This Row],[REEMBOLSO]]</f>
        <v>2.5579538487363607E-13</v>
      </c>
      <c r="Q91" s="44" t="s">
        <v>27</v>
      </c>
      <c r="R91" s="29"/>
      <c r="S91" s="25"/>
      <c r="AU91"/>
      <c r="AV91"/>
      <c r="AW91"/>
    </row>
    <row r="92" spans="2:49" hidden="1">
      <c r="B92" s="17" t="s">
        <v>272</v>
      </c>
      <c r="C92" s="17" t="s">
        <v>273</v>
      </c>
      <c r="D92" s="17" t="s">
        <v>23</v>
      </c>
      <c r="E92" s="17" t="s">
        <v>274</v>
      </c>
      <c r="F92" s="17">
        <v>11062120001</v>
      </c>
      <c r="G92" s="17" t="s">
        <v>55</v>
      </c>
      <c r="H92" s="17" t="s">
        <v>51</v>
      </c>
      <c r="I92" s="30">
        <v>0</v>
      </c>
      <c r="J92" s="30">
        <v>409.39999999999145</v>
      </c>
      <c r="K92" s="30">
        <v>400</v>
      </c>
      <c r="L92" s="30">
        <v>67</v>
      </c>
      <c r="M92" s="30">
        <v>0</v>
      </c>
      <c r="N92" s="30">
        <f>Tabela1[[#This Row],[1QZ DE FEV 26]]-Tabela1[[#This Row],[SALDO PENDENTE]]-Tabela1[[#This Row],[SALDO CARTAO]]-Tabela1[[#This Row],[ADIANTAMENTO]]</f>
        <v>-76.399999999991451</v>
      </c>
      <c r="O92" s="30">
        <v>0</v>
      </c>
      <c r="P92" s="39">
        <f>IF(Tabela1[[#This Row],[CARGA PARCIAL]]&lt;0,0,Tabela1[[#This Row],[CARGA PARCIAL]])+Tabela1[[#This Row],[REEMBOLSO]]</f>
        <v>0</v>
      </c>
      <c r="Q92" s="18" t="s">
        <v>27</v>
      </c>
      <c r="R92" s="18"/>
      <c r="S92" s="25"/>
      <c r="AU92"/>
      <c r="AV92"/>
      <c r="AW92"/>
    </row>
    <row r="93" spans="2:49" hidden="1">
      <c r="B93" s="19" t="s">
        <v>275</v>
      </c>
      <c r="C93" s="19" t="s">
        <v>276</v>
      </c>
      <c r="D93" s="19" t="s">
        <v>23</v>
      </c>
      <c r="E93" s="19" t="s">
        <v>161</v>
      </c>
      <c r="F93" s="19">
        <v>11010370001</v>
      </c>
      <c r="G93" s="27" t="s">
        <v>55</v>
      </c>
      <c r="H93" s="19" t="s">
        <v>51</v>
      </c>
      <c r="I93" s="30">
        <v>0</v>
      </c>
      <c r="J93" s="30">
        <v>26.549999999999272</v>
      </c>
      <c r="K93" s="31">
        <v>700</v>
      </c>
      <c r="L93" s="30">
        <v>673.45</v>
      </c>
      <c r="M93" s="31">
        <v>0</v>
      </c>
      <c r="N93" s="49">
        <f>Tabela1[[#This Row],[1QZ DE FEV 26]]-Tabela1[[#This Row],[SALDO PENDENTE]]-Tabela1[[#This Row],[SALDO CARTAO]]-Tabela1[[#This Row],[ADIANTAMENTO]]</f>
        <v>6.8212102632969618E-13</v>
      </c>
      <c r="O93" s="49">
        <v>0</v>
      </c>
      <c r="P93" s="50">
        <f>IF(Tabela1[[#This Row],[CARGA PARCIAL]]&lt;0,0,Tabela1[[#This Row],[CARGA PARCIAL]])+Tabela1[[#This Row],[REEMBOLSO]]</f>
        <v>6.8212102632969618E-13</v>
      </c>
      <c r="Q93" s="44" t="s">
        <v>27</v>
      </c>
      <c r="R93" s="29"/>
      <c r="S93" s="25"/>
      <c r="AU93"/>
      <c r="AV93"/>
      <c r="AW93"/>
    </row>
    <row r="94" spans="2:49" hidden="1">
      <c r="B94" s="17" t="s">
        <v>277</v>
      </c>
      <c r="C94" s="17" t="s">
        <v>278</v>
      </c>
      <c r="D94" s="17" t="s">
        <v>23</v>
      </c>
      <c r="E94" s="17" t="s">
        <v>196</v>
      </c>
      <c r="F94" s="17">
        <v>11061720001</v>
      </c>
      <c r="G94" s="20" t="s">
        <v>55</v>
      </c>
      <c r="H94" s="17" t="s">
        <v>51</v>
      </c>
      <c r="I94" s="30">
        <v>-1.0800249583553523E-12</v>
      </c>
      <c r="J94" s="30">
        <v>0</v>
      </c>
      <c r="K94" s="30">
        <v>800</v>
      </c>
      <c r="L94" s="30">
        <v>380.16</v>
      </c>
      <c r="M94" s="30">
        <v>0</v>
      </c>
      <c r="N94" s="30">
        <f>Tabela1[[#This Row],[1QZ DE FEV 26]]-Tabela1[[#This Row],[SALDO PENDENTE]]-Tabela1[[#This Row],[SALDO CARTAO]]-Tabela1[[#This Row],[ADIANTAMENTO]]</f>
        <v>419.84</v>
      </c>
      <c r="O94" s="30">
        <v>0</v>
      </c>
      <c r="P94" s="39">
        <f>IF(Tabela1[[#This Row],[CARGA PARCIAL]]&lt;0,0,Tabela1[[#This Row],[CARGA PARCIAL]])+Tabela1[[#This Row],[REEMBOLSO]]</f>
        <v>419.84</v>
      </c>
      <c r="Q94" s="18" t="s">
        <v>27</v>
      </c>
      <c r="R94" s="18"/>
      <c r="S94" s="25"/>
      <c r="AU94"/>
      <c r="AV94"/>
      <c r="AW94"/>
    </row>
    <row r="95" spans="2:49" hidden="1">
      <c r="B95" s="17" t="s">
        <v>279</v>
      </c>
      <c r="C95" s="17" t="s">
        <v>280</v>
      </c>
      <c r="D95" s="17" t="s">
        <v>23</v>
      </c>
      <c r="E95" s="17" t="s">
        <v>222</v>
      </c>
      <c r="F95" s="17">
        <v>11062050001</v>
      </c>
      <c r="G95" s="17" t="s">
        <v>59</v>
      </c>
      <c r="H95" s="17" t="s">
        <v>51</v>
      </c>
      <c r="I95" s="30">
        <v>-742.41000000000076</v>
      </c>
      <c r="J95" s="30">
        <v>0</v>
      </c>
      <c r="K95" s="30">
        <v>1200</v>
      </c>
      <c r="L95" s="30">
        <v>3987</v>
      </c>
      <c r="M95" s="30">
        <v>0</v>
      </c>
      <c r="N95" s="30">
        <f>Tabela1[[#This Row],[1QZ DE FEV 26]]-Tabela1[[#This Row],[SALDO PENDENTE]]-Tabela1[[#This Row],[SALDO CARTAO]]-Tabela1[[#This Row],[ADIANTAMENTO]]</f>
        <v>-2787</v>
      </c>
      <c r="O95" s="30">
        <v>742.41</v>
      </c>
      <c r="P95" s="39">
        <f>IF(Tabela1[[#This Row],[CARGA PARCIAL]]&lt;0,0,Tabela1[[#This Row],[CARGA PARCIAL]])+Tabela1[[#This Row],[REEMBOLSO]]</f>
        <v>742.41</v>
      </c>
      <c r="Q95" s="18" t="s">
        <v>27</v>
      </c>
      <c r="R95" s="18"/>
      <c r="S95" s="25"/>
      <c r="AU95"/>
      <c r="AV95"/>
      <c r="AW95"/>
    </row>
    <row r="96" spans="2:49" hidden="1">
      <c r="B96" s="17" t="s">
        <v>281</v>
      </c>
      <c r="C96" s="17" t="s">
        <v>282</v>
      </c>
      <c r="D96" s="17" t="s">
        <v>23</v>
      </c>
      <c r="E96" s="17" t="s">
        <v>84</v>
      </c>
      <c r="F96" s="17">
        <v>11061890001</v>
      </c>
      <c r="G96" s="20" t="s">
        <v>55</v>
      </c>
      <c r="H96" s="17" t="s">
        <v>51</v>
      </c>
      <c r="I96" s="30">
        <v>0</v>
      </c>
      <c r="J96" s="30">
        <v>1089.3499999999999</v>
      </c>
      <c r="K96" s="30">
        <v>2000</v>
      </c>
      <c r="L96" s="30">
        <v>956.55</v>
      </c>
      <c r="M96" s="30">
        <v>0</v>
      </c>
      <c r="N96" s="30">
        <f>Tabela1[[#This Row],[1QZ DE FEV 26]]-Tabela1[[#This Row],[SALDO PENDENTE]]-Tabela1[[#This Row],[SALDO CARTAO]]-Tabela1[[#This Row],[ADIANTAMENTO]]</f>
        <v>-45.899999999999864</v>
      </c>
      <c r="O96" s="30">
        <v>0</v>
      </c>
      <c r="P96" s="39">
        <f>IF(Tabela1[[#This Row],[CARGA PARCIAL]]&lt;0,0,Tabela1[[#This Row],[CARGA PARCIAL]])+Tabela1[[#This Row],[REEMBOLSO]]</f>
        <v>0</v>
      </c>
      <c r="Q96" s="18" t="s">
        <v>27</v>
      </c>
      <c r="R96" s="18"/>
      <c r="S96" s="25"/>
      <c r="AU96"/>
      <c r="AV96"/>
      <c r="AW96"/>
    </row>
    <row r="97" spans="2:49" hidden="1">
      <c r="B97" s="41" t="s">
        <v>283</v>
      </c>
      <c r="C97" s="22" t="s">
        <v>284</v>
      </c>
      <c r="D97" s="17" t="s">
        <v>23</v>
      </c>
      <c r="E97" s="17" t="s">
        <v>135</v>
      </c>
      <c r="F97" s="17">
        <v>11061480001</v>
      </c>
      <c r="G97" s="20" t="s">
        <v>25</v>
      </c>
      <c r="H97" s="17" t="s">
        <v>26</v>
      </c>
      <c r="I97" s="30">
        <v>0</v>
      </c>
      <c r="J97" s="30">
        <v>3082.8099999999886</v>
      </c>
      <c r="K97" s="30">
        <v>4000</v>
      </c>
      <c r="L97" s="30">
        <v>181.92</v>
      </c>
      <c r="M97" s="30">
        <v>0</v>
      </c>
      <c r="N97" s="30">
        <f>Tabela1[[#This Row],[1QZ DE FEV 26]]-Tabela1[[#This Row],[SALDO PENDENTE]]-Tabela1[[#This Row],[SALDO CARTAO]]-Tabela1[[#This Row],[ADIANTAMENTO]]</f>
        <v>735.27000000001146</v>
      </c>
      <c r="O97" s="30"/>
      <c r="P97" s="45">
        <f>IF(Tabela1[[#This Row],[CARGA PARCIAL]]&lt;0,0,Tabela1[[#This Row],[CARGA PARCIAL]])+Tabela1[[#This Row],[REEMBOLSO]]</f>
        <v>735.27000000001146</v>
      </c>
      <c r="Q97" s="18" t="s">
        <v>27</v>
      </c>
      <c r="R97" s="18"/>
      <c r="S97" s="25"/>
      <c r="AU97"/>
      <c r="AV97"/>
      <c r="AW97"/>
    </row>
    <row r="98" spans="2:49" hidden="1">
      <c r="B98" s="42" t="s">
        <v>285</v>
      </c>
      <c r="C98" s="22" t="s">
        <v>286</v>
      </c>
      <c r="D98" s="17" t="s">
        <v>23</v>
      </c>
      <c r="E98" s="17" t="s">
        <v>287</v>
      </c>
      <c r="F98" s="17">
        <v>11080400001</v>
      </c>
      <c r="G98" s="20" t="s">
        <v>55</v>
      </c>
      <c r="H98" s="17" t="s">
        <v>51</v>
      </c>
      <c r="I98" s="30">
        <v>-210.59000000000015</v>
      </c>
      <c r="J98" s="30">
        <v>0</v>
      </c>
      <c r="K98" s="30">
        <v>600</v>
      </c>
      <c r="L98" s="30">
        <v>93</v>
      </c>
      <c r="M98" s="30">
        <v>0</v>
      </c>
      <c r="N98" s="30">
        <f>Tabela1[[#This Row],[1QZ DE FEV 26]]-Tabela1[[#This Row],[SALDO PENDENTE]]-Tabela1[[#This Row],[SALDO CARTAO]]-Tabela1[[#This Row],[ADIANTAMENTO]]</f>
        <v>507</v>
      </c>
      <c r="O98" s="30">
        <v>210.59</v>
      </c>
      <c r="P98" s="39">
        <f>IF(Tabela1[[#This Row],[CARGA PARCIAL]]&lt;0,0,Tabela1[[#This Row],[CARGA PARCIAL]])+Tabela1[[#This Row],[REEMBOLSO]]</f>
        <v>717.59</v>
      </c>
      <c r="Q98" s="18" t="s">
        <v>27</v>
      </c>
      <c r="R98" s="18"/>
      <c r="S98" s="25"/>
      <c r="AU98"/>
      <c r="AV98"/>
      <c r="AW98"/>
    </row>
    <row r="99" spans="2:49" hidden="1">
      <c r="B99" s="41" t="s">
        <v>288</v>
      </c>
      <c r="C99" s="22" t="s">
        <v>289</v>
      </c>
      <c r="D99" s="17" t="s">
        <v>23</v>
      </c>
      <c r="E99" s="17" t="s">
        <v>290</v>
      </c>
      <c r="F99" s="17">
        <v>11061390001</v>
      </c>
      <c r="G99" s="20" t="s">
        <v>71</v>
      </c>
      <c r="H99" s="17" t="s">
        <v>51</v>
      </c>
      <c r="I99" s="30">
        <v>0</v>
      </c>
      <c r="J99" s="30">
        <v>1988.2699999999932</v>
      </c>
      <c r="K99" s="30">
        <v>2700</v>
      </c>
      <c r="L99" s="30">
        <v>9</v>
      </c>
      <c r="M99" s="30">
        <v>0</v>
      </c>
      <c r="N99" s="30">
        <f>Tabela1[[#This Row],[1QZ DE FEV 26]]-Tabela1[[#This Row],[SALDO PENDENTE]]-Tabela1[[#This Row],[SALDO CARTAO]]-Tabela1[[#This Row],[ADIANTAMENTO]]</f>
        <v>702.73000000000684</v>
      </c>
      <c r="O99" s="30"/>
      <c r="P99" s="45">
        <f>IF(Tabela1[[#This Row],[CARGA PARCIAL]]&lt;0,0,Tabela1[[#This Row],[CARGA PARCIAL]])+Tabela1[[#This Row],[REEMBOLSO]]</f>
        <v>702.73000000000684</v>
      </c>
      <c r="Q99" s="18" t="s">
        <v>27</v>
      </c>
      <c r="R99" s="18"/>
      <c r="S99" s="25"/>
      <c r="AU99"/>
      <c r="AV99"/>
      <c r="AW99"/>
    </row>
    <row r="100" spans="2:49" hidden="1">
      <c r="B100" s="17" t="s">
        <v>291</v>
      </c>
      <c r="C100" s="17" t="s">
        <v>292</v>
      </c>
      <c r="D100" s="17" t="s">
        <v>23</v>
      </c>
      <c r="E100" s="17" t="s">
        <v>293</v>
      </c>
      <c r="F100" s="17">
        <v>1201071</v>
      </c>
      <c r="G100" s="17" t="s">
        <v>55</v>
      </c>
      <c r="H100" s="17" t="s">
        <v>51</v>
      </c>
      <c r="I100" s="30">
        <v>0</v>
      </c>
      <c r="J100" s="30">
        <v>12</v>
      </c>
      <c r="K100" s="30">
        <v>500</v>
      </c>
      <c r="L100" s="30">
        <v>0</v>
      </c>
      <c r="M100" s="30">
        <v>0</v>
      </c>
      <c r="N100" s="30">
        <f>Tabela1[[#This Row],[1QZ DE FEV 26]]-Tabela1[[#This Row],[SALDO PENDENTE]]-Tabela1[[#This Row],[SALDO CARTAO]]-Tabela1[[#This Row],[ADIANTAMENTO]]</f>
        <v>488</v>
      </c>
      <c r="O100" s="30">
        <v>0</v>
      </c>
      <c r="P100" s="39">
        <f>IF(Tabela1[[#This Row],[CARGA PARCIAL]]&lt;0,0,Tabela1[[#This Row],[CARGA PARCIAL]])+Tabela1[[#This Row],[REEMBOLSO]]</f>
        <v>488</v>
      </c>
      <c r="Q100" s="18" t="s">
        <v>27</v>
      </c>
      <c r="R100" s="18" t="s">
        <v>178</v>
      </c>
      <c r="S100" s="25"/>
      <c r="AU100"/>
      <c r="AV100"/>
      <c r="AW100"/>
    </row>
    <row r="101" spans="2:49" hidden="1">
      <c r="B101" s="17" t="s">
        <v>294</v>
      </c>
      <c r="C101" s="17" t="s">
        <v>295</v>
      </c>
      <c r="D101" s="17" t="s">
        <v>23</v>
      </c>
      <c r="E101" s="17" t="s">
        <v>296</v>
      </c>
      <c r="F101" s="17">
        <v>11080170001</v>
      </c>
      <c r="G101" s="17" t="s">
        <v>50</v>
      </c>
      <c r="H101" s="17" t="s">
        <v>51</v>
      </c>
      <c r="I101" s="30">
        <v>0</v>
      </c>
      <c r="J101" s="30">
        <v>2222.2700000000041</v>
      </c>
      <c r="K101" s="30">
        <v>3000</v>
      </c>
      <c r="L101" s="30">
        <v>79</v>
      </c>
      <c r="M101" s="30">
        <v>0</v>
      </c>
      <c r="N101" s="30">
        <f>Tabela1[[#This Row],[1QZ DE FEV 26]]-Tabela1[[#This Row],[SALDO PENDENTE]]-Tabela1[[#This Row],[SALDO CARTAO]]-Tabela1[[#This Row],[ADIANTAMENTO]]</f>
        <v>698.72999999999593</v>
      </c>
      <c r="O101" s="30">
        <v>0</v>
      </c>
      <c r="P101" s="39">
        <f>IF(Tabela1[[#This Row],[CARGA PARCIAL]]&lt;0,0,Tabela1[[#This Row],[CARGA PARCIAL]])+Tabela1[[#This Row],[REEMBOLSO]]</f>
        <v>698.72999999999593</v>
      </c>
      <c r="Q101" s="18" t="s">
        <v>27</v>
      </c>
      <c r="R101" s="18"/>
      <c r="S101" s="25"/>
      <c r="AU101"/>
      <c r="AV101"/>
      <c r="AW101"/>
    </row>
    <row r="102" spans="2:49" hidden="1">
      <c r="B102" s="42" t="s">
        <v>297</v>
      </c>
      <c r="C102" s="22" t="s">
        <v>298</v>
      </c>
      <c r="D102" s="17" t="s">
        <v>23</v>
      </c>
      <c r="E102" s="17" t="s">
        <v>132</v>
      </c>
      <c r="F102" s="17">
        <v>11040160001</v>
      </c>
      <c r="G102" s="20" t="s">
        <v>63</v>
      </c>
      <c r="H102" s="17" t="s">
        <v>26</v>
      </c>
      <c r="I102" s="30">
        <v>-22.139999999999418</v>
      </c>
      <c r="J102" s="30">
        <v>0</v>
      </c>
      <c r="K102" s="30">
        <v>700</v>
      </c>
      <c r="L102" s="30">
        <v>3</v>
      </c>
      <c r="M102" s="30">
        <v>0</v>
      </c>
      <c r="N102" s="30">
        <f>Tabela1[[#This Row],[1QZ DE FEV 26]]-Tabela1[[#This Row],[SALDO PENDENTE]]-Tabela1[[#This Row],[SALDO CARTAO]]-Tabela1[[#This Row],[ADIANTAMENTO]]</f>
        <v>697</v>
      </c>
      <c r="O102" s="30">
        <v>0</v>
      </c>
      <c r="P102" s="39">
        <f>IF(Tabela1[[#This Row],[CARGA PARCIAL]]&lt;0,0,Tabela1[[#This Row],[CARGA PARCIAL]])+Tabela1[[#This Row],[REEMBOLSO]]</f>
        <v>697</v>
      </c>
      <c r="Q102" s="18" t="s">
        <v>27</v>
      </c>
      <c r="R102" s="18"/>
      <c r="S102" s="25"/>
      <c r="AU102"/>
      <c r="AV102"/>
      <c r="AW102"/>
    </row>
    <row r="103" spans="2:49" hidden="1">
      <c r="B103" s="42" t="s">
        <v>299</v>
      </c>
      <c r="C103" s="22" t="s">
        <v>300</v>
      </c>
      <c r="D103" s="17" t="s">
        <v>23</v>
      </c>
      <c r="E103" s="17" t="s">
        <v>132</v>
      </c>
      <c r="F103" s="17">
        <v>11040160001</v>
      </c>
      <c r="G103" s="20" t="s">
        <v>63</v>
      </c>
      <c r="H103" s="17" t="s">
        <v>26</v>
      </c>
      <c r="I103" s="30">
        <v>0</v>
      </c>
      <c r="J103" s="30">
        <v>103.74000000000069</v>
      </c>
      <c r="K103" s="30">
        <v>800</v>
      </c>
      <c r="L103" s="30">
        <v>3</v>
      </c>
      <c r="M103" s="30">
        <v>0</v>
      </c>
      <c r="N103" s="30">
        <f>Tabela1[[#This Row],[1QZ DE FEV 26]]-Tabela1[[#This Row],[SALDO PENDENTE]]-Tabela1[[#This Row],[SALDO CARTAO]]-Tabela1[[#This Row],[ADIANTAMENTO]]</f>
        <v>693.25999999999931</v>
      </c>
      <c r="O103" s="30">
        <v>0</v>
      </c>
      <c r="P103" s="39">
        <f>IF(Tabela1[[#This Row],[CARGA PARCIAL]]&lt;0,0,Tabela1[[#This Row],[CARGA PARCIAL]])+Tabela1[[#This Row],[REEMBOLSO]]</f>
        <v>693.25999999999931</v>
      </c>
      <c r="Q103" s="18" t="s">
        <v>27</v>
      </c>
      <c r="R103" s="18"/>
      <c r="S103" s="25"/>
      <c r="AU103"/>
      <c r="AV103"/>
      <c r="AW103"/>
    </row>
    <row r="104" spans="2:49" hidden="1">
      <c r="B104" s="17" t="s">
        <v>301</v>
      </c>
      <c r="C104" s="17" t="s">
        <v>302</v>
      </c>
      <c r="D104" s="17" t="s">
        <v>23</v>
      </c>
      <c r="E104" s="17" t="s">
        <v>122</v>
      </c>
      <c r="F104" s="17">
        <v>11040130001</v>
      </c>
      <c r="G104" s="17" t="s">
        <v>55</v>
      </c>
      <c r="H104" s="17" t="s">
        <v>51</v>
      </c>
      <c r="I104" s="30">
        <v>0</v>
      </c>
      <c r="J104" s="30">
        <v>46</v>
      </c>
      <c r="K104" s="30">
        <v>0</v>
      </c>
      <c r="L104" s="30">
        <v>54</v>
      </c>
      <c r="M104" s="30">
        <v>0</v>
      </c>
      <c r="N104" s="30">
        <f>Tabela1[[#This Row],[1QZ DE FEV 26]]-Tabela1[[#This Row],[SALDO PENDENTE]]-Tabela1[[#This Row],[SALDO CARTAO]]-Tabela1[[#This Row],[ADIANTAMENTO]]</f>
        <v>-100</v>
      </c>
      <c r="O104" s="30">
        <v>0</v>
      </c>
      <c r="P104" s="39">
        <f>IF(Tabela1[[#This Row],[CARGA PARCIAL]]&lt;0,0,Tabela1[[#This Row],[CARGA PARCIAL]])+Tabela1[[#This Row],[REEMBOLSO]]</f>
        <v>0</v>
      </c>
      <c r="Q104" s="18" t="s">
        <v>27</v>
      </c>
      <c r="R104" s="18"/>
      <c r="S104" s="25"/>
      <c r="AU104"/>
      <c r="AV104"/>
      <c r="AW104"/>
    </row>
    <row r="105" spans="2:49" hidden="1">
      <c r="B105" s="17" t="s">
        <v>303</v>
      </c>
      <c r="C105" s="17" t="s">
        <v>304</v>
      </c>
      <c r="D105" s="17" t="s">
        <v>23</v>
      </c>
      <c r="E105" s="17" t="s">
        <v>262</v>
      </c>
      <c r="F105" s="17">
        <v>11062020001</v>
      </c>
      <c r="G105" s="20" t="s">
        <v>55</v>
      </c>
      <c r="H105" s="17" t="s">
        <v>51</v>
      </c>
      <c r="I105" s="30">
        <v>-50.130000000000337</v>
      </c>
      <c r="J105" s="30">
        <v>0</v>
      </c>
      <c r="K105" s="30">
        <v>250</v>
      </c>
      <c r="L105" s="30">
        <v>250</v>
      </c>
      <c r="M105" s="30">
        <v>0</v>
      </c>
      <c r="N105" s="30">
        <f>Tabela1[[#This Row],[1QZ DE FEV 26]]-Tabela1[[#This Row],[SALDO PENDENTE]]-Tabela1[[#This Row],[SALDO CARTAO]]-Tabela1[[#This Row],[ADIANTAMENTO]]</f>
        <v>0</v>
      </c>
      <c r="O105" s="30">
        <v>0</v>
      </c>
      <c r="P105" s="39">
        <f>IF(Tabela1[[#This Row],[CARGA PARCIAL]]&lt;0,0,Tabela1[[#This Row],[CARGA PARCIAL]])+Tabela1[[#This Row],[REEMBOLSO]]</f>
        <v>0</v>
      </c>
      <c r="Q105" s="18" t="s">
        <v>27</v>
      </c>
      <c r="R105" s="18"/>
      <c r="S105" s="25"/>
      <c r="AU105"/>
      <c r="AV105"/>
      <c r="AW105"/>
    </row>
    <row r="106" spans="2:49" hidden="1">
      <c r="B106" s="17" t="s">
        <v>305</v>
      </c>
      <c r="C106" s="17" t="s">
        <v>306</v>
      </c>
      <c r="D106" s="17" t="s">
        <v>23</v>
      </c>
      <c r="E106" s="17" t="s">
        <v>307</v>
      </c>
      <c r="F106" s="17">
        <v>11062410001</v>
      </c>
      <c r="G106" s="17" t="s">
        <v>55</v>
      </c>
      <c r="H106" s="17" t="s">
        <v>51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f>Tabela1[[#This Row],[1QZ DE FEV 26]]-Tabela1[[#This Row],[SALDO PENDENTE]]-Tabela1[[#This Row],[SALDO CARTAO]]-Tabela1[[#This Row],[ADIANTAMENTO]]</f>
        <v>0</v>
      </c>
      <c r="O106" s="30">
        <v>0</v>
      </c>
      <c r="P106" s="39">
        <f>IF(Tabela1[[#This Row],[CARGA PARCIAL]]&lt;0,0,Tabela1[[#This Row],[CARGA PARCIAL]])+Tabela1[[#This Row],[REEMBOLSO]]</f>
        <v>0</v>
      </c>
      <c r="Q106" s="18" t="s">
        <v>184</v>
      </c>
      <c r="R106" s="18"/>
      <c r="S106" s="25"/>
      <c r="AU106"/>
      <c r="AV106"/>
      <c r="AW106"/>
    </row>
    <row r="107" spans="2:49" hidden="1">
      <c r="B107" s="17" t="s">
        <v>308</v>
      </c>
      <c r="C107" s="17" t="s">
        <v>309</v>
      </c>
      <c r="D107" s="17" t="s">
        <v>23</v>
      </c>
      <c r="E107" s="17" t="s">
        <v>196</v>
      </c>
      <c r="F107" s="17">
        <v>11061720001</v>
      </c>
      <c r="G107" s="20" t="s">
        <v>55</v>
      </c>
      <c r="H107" s="17" t="s">
        <v>51</v>
      </c>
      <c r="I107" s="30">
        <v>0</v>
      </c>
      <c r="J107" s="30">
        <v>35.600000000006403</v>
      </c>
      <c r="K107" s="30">
        <v>800</v>
      </c>
      <c r="L107" s="30">
        <v>4.3600000000000003</v>
      </c>
      <c r="M107" s="30">
        <v>0</v>
      </c>
      <c r="N107" s="30">
        <f>Tabela1[[#This Row],[1QZ DE FEV 26]]-Tabela1[[#This Row],[SALDO PENDENTE]]-Tabela1[[#This Row],[SALDO CARTAO]]-Tabela1[[#This Row],[ADIANTAMENTO]]</f>
        <v>760.0399999999936</v>
      </c>
      <c r="O107" s="30">
        <v>0</v>
      </c>
      <c r="P107" s="39">
        <f>IF(Tabela1[[#This Row],[CARGA PARCIAL]]&lt;0,0,Tabela1[[#This Row],[CARGA PARCIAL]])+Tabela1[[#This Row],[REEMBOLSO]]</f>
        <v>760.0399999999936</v>
      </c>
      <c r="Q107" s="18" t="s">
        <v>27</v>
      </c>
      <c r="R107" s="18"/>
      <c r="S107" s="25"/>
      <c r="AU107"/>
      <c r="AV107"/>
      <c r="AW107"/>
    </row>
    <row r="108" spans="2:49" hidden="1">
      <c r="B108" s="41" t="s">
        <v>310</v>
      </c>
      <c r="C108" s="22" t="s">
        <v>311</v>
      </c>
      <c r="D108" s="17" t="s">
        <v>23</v>
      </c>
      <c r="E108" s="17" t="s">
        <v>196</v>
      </c>
      <c r="F108" s="17">
        <v>11061720001</v>
      </c>
      <c r="G108" s="20" t="s">
        <v>55</v>
      </c>
      <c r="H108" s="17" t="s">
        <v>51</v>
      </c>
      <c r="I108" s="30">
        <v>0</v>
      </c>
      <c r="J108" s="30">
        <v>318.50000000000114</v>
      </c>
      <c r="K108" s="30">
        <v>800</v>
      </c>
      <c r="L108" s="30">
        <v>10.220000000000001</v>
      </c>
      <c r="M108" s="30">
        <v>0</v>
      </c>
      <c r="N108" s="30">
        <f>Tabela1[[#This Row],[1QZ DE FEV 26]]-Tabela1[[#This Row],[SALDO PENDENTE]]-Tabela1[[#This Row],[SALDO CARTAO]]-Tabela1[[#This Row],[ADIANTAMENTO]]</f>
        <v>471.27999999999884</v>
      </c>
      <c r="O108" s="30">
        <v>0</v>
      </c>
      <c r="P108" s="39">
        <f>IF(Tabela1[[#This Row],[CARGA PARCIAL]]&lt;0,0,Tabela1[[#This Row],[CARGA PARCIAL]])+Tabela1[[#This Row],[REEMBOLSO]]</f>
        <v>471.27999999999884</v>
      </c>
      <c r="Q108" s="18" t="s">
        <v>27</v>
      </c>
      <c r="R108" s="18"/>
      <c r="S108" s="25"/>
      <c r="AU108"/>
      <c r="AV108"/>
      <c r="AW108"/>
    </row>
    <row r="109" spans="2:49" hidden="1">
      <c r="B109" s="17" t="s">
        <v>312</v>
      </c>
      <c r="C109" s="17" t="s">
        <v>313</v>
      </c>
      <c r="D109" s="17" t="s">
        <v>23</v>
      </c>
      <c r="E109" s="17" t="s">
        <v>196</v>
      </c>
      <c r="F109" s="17">
        <v>11061720001</v>
      </c>
      <c r="G109" s="20" t="s">
        <v>55</v>
      </c>
      <c r="H109" s="17" t="s">
        <v>51</v>
      </c>
      <c r="I109" s="30">
        <v>0</v>
      </c>
      <c r="J109" s="30">
        <v>1613.85</v>
      </c>
      <c r="K109" s="30">
        <v>800</v>
      </c>
      <c r="L109" s="30">
        <v>513.44000000000005</v>
      </c>
      <c r="M109" s="30">
        <v>0</v>
      </c>
      <c r="N109" s="30">
        <f>Tabela1[[#This Row],[1QZ DE FEV 26]]-Tabela1[[#This Row],[SALDO PENDENTE]]-Tabela1[[#This Row],[SALDO CARTAO]]-Tabela1[[#This Row],[ADIANTAMENTO]]</f>
        <v>-1327.29</v>
      </c>
      <c r="O109" s="30">
        <v>0</v>
      </c>
      <c r="P109" s="39">
        <f>IF(Tabela1[[#This Row],[CARGA PARCIAL]]&lt;0,0,Tabela1[[#This Row],[CARGA PARCIAL]])+Tabela1[[#This Row],[REEMBOLSO]]</f>
        <v>0</v>
      </c>
      <c r="Q109" s="18" t="s">
        <v>27</v>
      </c>
      <c r="R109" s="18"/>
      <c r="S109" s="25"/>
      <c r="AU109"/>
      <c r="AV109"/>
      <c r="AW109"/>
    </row>
    <row r="110" spans="2:49" hidden="1">
      <c r="B110" s="17" t="s">
        <v>314</v>
      </c>
      <c r="C110" s="21" t="s">
        <v>315</v>
      </c>
      <c r="D110" s="17" t="s">
        <v>23</v>
      </c>
      <c r="E110" s="17" t="s">
        <v>196</v>
      </c>
      <c r="F110" s="17">
        <v>11061720001</v>
      </c>
      <c r="G110" s="17" t="s">
        <v>55</v>
      </c>
      <c r="H110" s="17" t="s">
        <v>51</v>
      </c>
      <c r="I110" s="30">
        <v>-0.40999999999985448</v>
      </c>
      <c r="J110" s="30">
        <v>0</v>
      </c>
      <c r="K110" s="30">
        <v>800</v>
      </c>
      <c r="L110" s="30">
        <v>0</v>
      </c>
      <c r="M110" s="30">
        <v>0</v>
      </c>
      <c r="N110" s="30">
        <f>Tabela1[[#This Row],[1QZ DE FEV 26]]-Tabela1[[#This Row],[SALDO PENDENTE]]-Tabela1[[#This Row],[SALDO CARTAO]]-Tabela1[[#This Row],[ADIANTAMENTO]]</f>
        <v>800</v>
      </c>
      <c r="O110" s="30">
        <v>0</v>
      </c>
      <c r="P110" s="39">
        <f>IF(Tabela1[[#This Row],[CARGA PARCIAL]]&lt;0,0,Tabela1[[#This Row],[CARGA PARCIAL]])+Tabela1[[#This Row],[REEMBOLSO]]</f>
        <v>800</v>
      </c>
      <c r="Q110" s="18" t="s">
        <v>27</v>
      </c>
      <c r="R110" s="18"/>
      <c r="S110" s="25"/>
      <c r="AU110"/>
      <c r="AV110"/>
      <c r="AW110"/>
    </row>
    <row r="111" spans="2:49" hidden="1">
      <c r="B111" s="17" t="s">
        <v>316</v>
      </c>
      <c r="C111" s="17" t="s">
        <v>317</v>
      </c>
      <c r="D111" s="17" t="s">
        <v>23</v>
      </c>
      <c r="E111" s="17" t="s">
        <v>318</v>
      </c>
      <c r="F111" s="17">
        <v>11010110001</v>
      </c>
      <c r="G111" s="17" t="s">
        <v>71</v>
      </c>
      <c r="H111" s="17" t="s">
        <v>51</v>
      </c>
      <c r="I111" s="30">
        <v>0</v>
      </c>
      <c r="J111" s="30">
        <v>0</v>
      </c>
      <c r="K111" s="30">
        <v>1000</v>
      </c>
      <c r="L111" s="30">
        <v>367.05</v>
      </c>
      <c r="M111" s="30">
        <v>0</v>
      </c>
      <c r="N111" s="30">
        <f>Tabela1[[#This Row],[1QZ DE FEV 26]]-Tabela1[[#This Row],[SALDO PENDENTE]]-Tabela1[[#This Row],[SALDO CARTAO]]-Tabela1[[#This Row],[ADIANTAMENTO]]</f>
        <v>632.95000000000005</v>
      </c>
      <c r="O111" s="30">
        <v>0</v>
      </c>
      <c r="P111" s="39">
        <f>IF(Tabela1[[#This Row],[CARGA PARCIAL]]&lt;0,0,Tabela1[[#This Row],[CARGA PARCIAL]])+Tabela1[[#This Row],[REEMBOLSO]]</f>
        <v>632.95000000000005</v>
      </c>
      <c r="Q111" s="18" t="s">
        <v>27</v>
      </c>
      <c r="R111" s="18"/>
      <c r="S111" s="25"/>
      <c r="AU111"/>
      <c r="AV111"/>
      <c r="AW111"/>
    </row>
    <row r="112" spans="2:49" hidden="1">
      <c r="B112" s="42" t="s">
        <v>319</v>
      </c>
      <c r="C112" s="22" t="s">
        <v>320</v>
      </c>
      <c r="D112" s="17" t="s">
        <v>23</v>
      </c>
      <c r="E112" s="17" t="s">
        <v>321</v>
      </c>
      <c r="F112" s="17">
        <v>12010580001</v>
      </c>
      <c r="G112" s="20" t="s">
        <v>25</v>
      </c>
      <c r="H112" s="17" t="s">
        <v>26</v>
      </c>
      <c r="I112" s="30">
        <v>-629.36</v>
      </c>
      <c r="J112" s="30">
        <v>0</v>
      </c>
      <c r="K112" s="30">
        <v>0</v>
      </c>
      <c r="L112" s="30">
        <v>755.23</v>
      </c>
      <c r="M112" s="30">
        <v>0</v>
      </c>
      <c r="N112" s="30">
        <f>Tabela1[[#This Row],[1QZ DE FEV 26]]-Tabela1[[#This Row],[SALDO PENDENTE]]-Tabela1[[#This Row],[SALDO CARTAO]]-Tabela1[[#This Row],[ADIANTAMENTO]]</f>
        <v>-755.23</v>
      </c>
      <c r="O112" s="30">
        <v>629.36</v>
      </c>
      <c r="P112" s="39">
        <f>IF(Tabela1[[#This Row],[CARGA PARCIAL]]&lt;0,0,Tabela1[[#This Row],[CARGA PARCIAL]])+Tabela1[[#This Row],[REEMBOLSO]]</f>
        <v>629.36</v>
      </c>
      <c r="Q112" s="18" t="s">
        <v>27</v>
      </c>
      <c r="R112" s="18"/>
      <c r="S112" s="25"/>
      <c r="AU112"/>
      <c r="AV112"/>
      <c r="AW112"/>
    </row>
    <row r="113" spans="2:49" hidden="1">
      <c r="B113" s="42" t="s">
        <v>322</v>
      </c>
      <c r="C113" s="22" t="s">
        <v>323</v>
      </c>
      <c r="D113" s="17" t="s">
        <v>23</v>
      </c>
      <c r="E113" s="17" t="s">
        <v>116</v>
      </c>
      <c r="F113" s="17">
        <v>11030750001</v>
      </c>
      <c r="G113" s="20" t="s">
        <v>50</v>
      </c>
      <c r="H113" s="17" t="s">
        <v>51</v>
      </c>
      <c r="I113" s="30">
        <v>0</v>
      </c>
      <c r="J113" s="30">
        <v>2727.0399999999709</v>
      </c>
      <c r="K113" s="30">
        <v>3350</v>
      </c>
      <c r="L113" s="30">
        <v>6.87</v>
      </c>
      <c r="M113" s="30">
        <v>0</v>
      </c>
      <c r="N113" s="30">
        <f>Tabela1[[#This Row],[1QZ DE FEV 26]]-Tabela1[[#This Row],[SALDO PENDENTE]]-Tabela1[[#This Row],[SALDO CARTAO]]-Tabela1[[#This Row],[ADIANTAMENTO]]</f>
        <v>616.09000000002914</v>
      </c>
      <c r="O113" s="30">
        <v>0</v>
      </c>
      <c r="P113" s="39">
        <f>IF(Tabela1[[#This Row],[CARGA PARCIAL]]&lt;0,0,Tabela1[[#This Row],[CARGA PARCIAL]])+Tabela1[[#This Row],[REEMBOLSO]]</f>
        <v>616.09000000002914</v>
      </c>
      <c r="Q113" s="18" t="s">
        <v>27</v>
      </c>
      <c r="R113" s="18"/>
      <c r="S113" s="25"/>
      <c r="AU113"/>
      <c r="AV113"/>
      <c r="AW113"/>
    </row>
    <row r="114" spans="2:49" hidden="1">
      <c r="B114" s="51" t="s">
        <v>324</v>
      </c>
      <c r="C114" s="47" t="s">
        <v>325</v>
      </c>
      <c r="D114" s="19" t="s">
        <v>23</v>
      </c>
      <c r="E114" s="19" t="s">
        <v>122</v>
      </c>
      <c r="F114" s="19">
        <v>11040130001</v>
      </c>
      <c r="G114" s="27" t="s">
        <v>59</v>
      </c>
      <c r="H114" s="19" t="s">
        <v>51</v>
      </c>
      <c r="I114" s="30">
        <v>-491.65</v>
      </c>
      <c r="J114" s="30">
        <v>0</v>
      </c>
      <c r="K114" s="31">
        <v>120</v>
      </c>
      <c r="L114" s="30">
        <v>0</v>
      </c>
      <c r="M114" s="31">
        <v>0</v>
      </c>
      <c r="N114" s="49">
        <f>Tabela1[[#This Row],[1QZ DE FEV 26]]-Tabela1[[#This Row],[SALDO PENDENTE]]-Tabela1[[#This Row],[SALDO CARTAO]]-Tabela1[[#This Row],[ADIANTAMENTO]]</f>
        <v>120</v>
      </c>
      <c r="O114" s="49">
        <v>491.65</v>
      </c>
      <c r="P114" s="50">
        <f>IF(Tabela1[[#This Row],[CARGA PARCIAL]]&lt;0,0,Tabela1[[#This Row],[CARGA PARCIAL]])+Tabela1[[#This Row],[REEMBOLSO]]</f>
        <v>611.65</v>
      </c>
      <c r="Q114" s="44" t="s">
        <v>27</v>
      </c>
      <c r="R114" s="29"/>
      <c r="S114" s="25"/>
      <c r="AU114"/>
      <c r="AV114"/>
      <c r="AW114"/>
    </row>
    <row r="115" spans="2:49" hidden="1">
      <c r="B115" s="17" t="s">
        <v>326</v>
      </c>
      <c r="C115" s="17" t="s">
        <v>327</v>
      </c>
      <c r="D115" s="17" t="s">
        <v>23</v>
      </c>
      <c r="E115" s="17" t="s">
        <v>328</v>
      </c>
      <c r="F115" s="17">
        <v>11062660001</v>
      </c>
      <c r="G115" s="17" t="s">
        <v>71</v>
      </c>
      <c r="H115" s="17" t="s">
        <v>51</v>
      </c>
      <c r="I115" s="30">
        <v>0</v>
      </c>
      <c r="J115" s="30">
        <v>139.39999999999964</v>
      </c>
      <c r="K115" s="30">
        <v>750</v>
      </c>
      <c r="L115" s="30">
        <v>3</v>
      </c>
      <c r="M115" s="30">
        <v>0</v>
      </c>
      <c r="N115" s="30">
        <f>Tabela1[[#This Row],[1QZ DE FEV 26]]-Tabela1[[#This Row],[SALDO PENDENTE]]-Tabela1[[#This Row],[SALDO CARTAO]]-Tabela1[[#This Row],[ADIANTAMENTO]]</f>
        <v>607.60000000000036</v>
      </c>
      <c r="O115" s="30">
        <v>0</v>
      </c>
      <c r="P115" s="39">
        <f>IF(Tabela1[[#This Row],[CARGA PARCIAL]]&lt;0,0,Tabela1[[#This Row],[CARGA PARCIAL]])+Tabela1[[#This Row],[REEMBOLSO]]</f>
        <v>607.60000000000036</v>
      </c>
      <c r="Q115" s="18" t="s">
        <v>27</v>
      </c>
      <c r="R115" s="18"/>
      <c r="S115" s="25"/>
      <c r="AU115"/>
      <c r="AV115"/>
      <c r="AW115"/>
    </row>
    <row r="116" spans="2:49" hidden="1">
      <c r="B116" s="42" t="s">
        <v>329</v>
      </c>
      <c r="C116" s="22" t="s">
        <v>330</v>
      </c>
      <c r="D116" s="17" t="s">
        <v>23</v>
      </c>
      <c r="E116" s="17" t="s">
        <v>331</v>
      </c>
      <c r="F116" s="17">
        <v>11061810001</v>
      </c>
      <c r="G116" s="20" t="s">
        <v>71</v>
      </c>
      <c r="H116" s="17" t="s">
        <v>51</v>
      </c>
      <c r="I116" s="30">
        <v>-116.29999999999927</v>
      </c>
      <c r="J116" s="30">
        <v>0</v>
      </c>
      <c r="K116" s="30">
        <v>500</v>
      </c>
      <c r="L116" s="30">
        <v>11</v>
      </c>
      <c r="M116" s="30">
        <v>0</v>
      </c>
      <c r="N116" s="30">
        <f>Tabela1[[#This Row],[1QZ DE FEV 26]]-Tabela1[[#This Row],[SALDO PENDENTE]]-Tabela1[[#This Row],[SALDO CARTAO]]-Tabela1[[#This Row],[ADIANTAMENTO]]</f>
        <v>489</v>
      </c>
      <c r="O116" s="30">
        <v>116.3</v>
      </c>
      <c r="P116" s="39">
        <f>IF(Tabela1[[#This Row],[CARGA PARCIAL]]&lt;0,0,Tabela1[[#This Row],[CARGA PARCIAL]])+Tabela1[[#This Row],[REEMBOLSO]]</f>
        <v>605.29999999999995</v>
      </c>
      <c r="Q116" s="18" t="s">
        <v>27</v>
      </c>
      <c r="R116" s="18"/>
      <c r="S116" s="25"/>
      <c r="AU116"/>
      <c r="AV116"/>
      <c r="AW116"/>
    </row>
    <row r="117" spans="2:49" hidden="1">
      <c r="B117" s="17" t="s">
        <v>332</v>
      </c>
      <c r="C117" s="17" t="s">
        <v>333</v>
      </c>
      <c r="D117" s="17" t="s">
        <v>23</v>
      </c>
      <c r="E117" s="17" t="s">
        <v>161</v>
      </c>
      <c r="F117" s="17">
        <v>11010370001</v>
      </c>
      <c r="G117" s="20" t="s">
        <v>55</v>
      </c>
      <c r="H117" s="17" t="s">
        <v>51</v>
      </c>
      <c r="I117" s="30">
        <v>0</v>
      </c>
      <c r="J117" s="30">
        <v>0</v>
      </c>
      <c r="K117" s="30">
        <v>500</v>
      </c>
      <c r="L117" s="30">
        <v>300.83999999999997</v>
      </c>
      <c r="M117" s="30">
        <v>0</v>
      </c>
      <c r="N117" s="30">
        <f>Tabela1[[#This Row],[1QZ DE FEV 26]]-Tabela1[[#This Row],[SALDO PENDENTE]]-Tabela1[[#This Row],[SALDO CARTAO]]-Tabela1[[#This Row],[ADIANTAMENTO]]</f>
        <v>199.16000000000003</v>
      </c>
      <c r="O117" s="30">
        <v>0</v>
      </c>
      <c r="P117" s="39">
        <f>IF(Tabela1[[#This Row],[CARGA PARCIAL]]&lt;0,0,Tabela1[[#This Row],[CARGA PARCIAL]])+Tabela1[[#This Row],[REEMBOLSO]]</f>
        <v>199.16000000000003</v>
      </c>
      <c r="Q117" s="18" t="s">
        <v>27</v>
      </c>
      <c r="R117" s="18"/>
      <c r="S117" s="25"/>
      <c r="AU117"/>
      <c r="AV117"/>
      <c r="AW117"/>
    </row>
    <row r="118" spans="2:49" hidden="1">
      <c r="B118" s="17" t="s">
        <v>334</v>
      </c>
      <c r="C118" s="17" t="s">
        <v>335</v>
      </c>
      <c r="D118" s="17" t="s">
        <v>23</v>
      </c>
      <c r="E118" s="17" t="s">
        <v>138</v>
      </c>
      <c r="F118" s="17">
        <v>11030850001</v>
      </c>
      <c r="G118" s="17" t="s">
        <v>31</v>
      </c>
      <c r="H118" s="17" t="s">
        <v>26</v>
      </c>
      <c r="I118" s="30">
        <v>0</v>
      </c>
      <c r="J118" s="30">
        <v>1413.8200000000106</v>
      </c>
      <c r="K118" s="30">
        <v>2000</v>
      </c>
      <c r="L118" s="30">
        <v>0</v>
      </c>
      <c r="M118" s="30">
        <v>0</v>
      </c>
      <c r="N118" s="30">
        <f>Tabela1[[#This Row],[1QZ DE FEV 26]]-Tabela1[[#This Row],[SALDO PENDENTE]]-Tabela1[[#This Row],[SALDO CARTAO]]-Tabela1[[#This Row],[ADIANTAMENTO]]</f>
        <v>586.17999999998938</v>
      </c>
      <c r="O118" s="30">
        <v>0</v>
      </c>
      <c r="P118" s="39">
        <f>IF(Tabela1[[#This Row],[CARGA PARCIAL]]&lt;0,0,Tabela1[[#This Row],[CARGA PARCIAL]])+Tabela1[[#This Row],[REEMBOLSO]]</f>
        <v>586.17999999998938</v>
      </c>
      <c r="Q118" s="18" t="s">
        <v>27</v>
      </c>
      <c r="R118" s="18"/>
      <c r="S118" s="25"/>
      <c r="AU118"/>
      <c r="AV118"/>
      <c r="AW118"/>
    </row>
    <row r="119" spans="2:49" hidden="1">
      <c r="B119" s="17" t="s">
        <v>336</v>
      </c>
      <c r="C119" s="17" t="s">
        <v>337</v>
      </c>
      <c r="D119" s="17" t="s">
        <v>23</v>
      </c>
      <c r="E119" s="17" t="s">
        <v>196</v>
      </c>
      <c r="F119" s="17">
        <v>11061720001</v>
      </c>
      <c r="G119" s="20" t="s">
        <v>55</v>
      </c>
      <c r="H119" s="17" t="s">
        <v>51</v>
      </c>
      <c r="I119" s="30">
        <v>0</v>
      </c>
      <c r="J119" s="30">
        <v>1.8185453143360064E-13</v>
      </c>
      <c r="K119" s="30">
        <v>800</v>
      </c>
      <c r="L119" s="30">
        <v>0.8</v>
      </c>
      <c r="M119" s="30">
        <v>0</v>
      </c>
      <c r="N119" s="30">
        <f>Tabela1[[#This Row],[1QZ DE FEV 26]]-Tabela1[[#This Row],[SALDO PENDENTE]]-Tabela1[[#This Row],[SALDO CARTAO]]-Tabela1[[#This Row],[ADIANTAMENTO]]</f>
        <v>799.19999999999982</v>
      </c>
      <c r="O119" s="30">
        <v>0</v>
      </c>
      <c r="P119" s="39">
        <f>IF(Tabela1[[#This Row],[CARGA PARCIAL]]&lt;0,0,Tabela1[[#This Row],[CARGA PARCIAL]])+Tabela1[[#This Row],[REEMBOLSO]]</f>
        <v>799.19999999999982</v>
      </c>
      <c r="Q119" s="18" t="s">
        <v>27</v>
      </c>
      <c r="R119" s="18"/>
      <c r="AW119"/>
    </row>
    <row r="120" spans="2:49" hidden="1">
      <c r="B120" s="17" t="s">
        <v>338</v>
      </c>
      <c r="C120" s="17" t="s">
        <v>339</v>
      </c>
      <c r="D120" s="17" t="s">
        <v>23</v>
      </c>
      <c r="E120" s="17" t="s">
        <v>196</v>
      </c>
      <c r="F120" s="17">
        <v>11061720001</v>
      </c>
      <c r="G120" s="20" t="s">
        <v>55</v>
      </c>
      <c r="H120" s="17" t="s">
        <v>51</v>
      </c>
      <c r="I120" s="30">
        <v>0</v>
      </c>
      <c r="J120" s="30">
        <v>8.3844042819691822E-13</v>
      </c>
      <c r="K120" s="30">
        <v>800</v>
      </c>
      <c r="L120" s="30">
        <v>124.58</v>
      </c>
      <c r="M120" s="30">
        <v>0</v>
      </c>
      <c r="N120" s="30">
        <f>Tabela1[[#This Row],[1QZ DE FEV 26]]-Tabela1[[#This Row],[SALDO PENDENTE]]-Tabela1[[#This Row],[SALDO CARTAO]]-Tabela1[[#This Row],[ADIANTAMENTO]]</f>
        <v>675.41999999999916</v>
      </c>
      <c r="O120" s="30">
        <v>0</v>
      </c>
      <c r="P120" s="39">
        <f>IF(Tabela1[[#This Row],[CARGA PARCIAL]]&lt;0,0,Tabela1[[#This Row],[CARGA PARCIAL]])+Tabela1[[#This Row],[REEMBOLSO]]</f>
        <v>675.41999999999916</v>
      </c>
      <c r="Q120" s="18" t="s">
        <v>27</v>
      </c>
      <c r="R120" s="18"/>
      <c r="AW120"/>
    </row>
    <row r="121" spans="2:49" hidden="1">
      <c r="B121" s="17" t="s">
        <v>340</v>
      </c>
      <c r="C121" s="17" t="s">
        <v>341</v>
      </c>
      <c r="D121" s="17" t="s">
        <v>23</v>
      </c>
      <c r="E121" s="17" t="s">
        <v>342</v>
      </c>
      <c r="F121" s="17">
        <v>11010140001</v>
      </c>
      <c r="G121" s="20" t="s">
        <v>71</v>
      </c>
      <c r="H121" s="17" t="s">
        <v>51</v>
      </c>
      <c r="I121" s="30">
        <v>0</v>
      </c>
      <c r="J121" s="30">
        <v>245.97999999999914</v>
      </c>
      <c r="K121" s="30">
        <v>800</v>
      </c>
      <c r="L121" s="30">
        <v>15.23</v>
      </c>
      <c r="M121" s="30">
        <v>0</v>
      </c>
      <c r="N121" s="30">
        <f>Tabela1[[#This Row],[1QZ DE FEV 26]]-Tabela1[[#This Row],[SALDO PENDENTE]]-Tabela1[[#This Row],[SALDO CARTAO]]-Tabela1[[#This Row],[ADIANTAMENTO]]</f>
        <v>538.79000000000087</v>
      </c>
      <c r="O121" s="30">
        <v>0</v>
      </c>
      <c r="P121" s="39">
        <f>IF(Tabela1[[#This Row],[CARGA PARCIAL]]&lt;0,0,Tabela1[[#This Row],[CARGA PARCIAL]])+Tabela1[[#This Row],[REEMBOLSO]]</f>
        <v>538.79000000000087</v>
      </c>
      <c r="Q121" s="18" t="s">
        <v>27</v>
      </c>
      <c r="R121" s="18"/>
      <c r="AW121"/>
    </row>
    <row r="122" spans="2:49" hidden="1">
      <c r="B122" s="42" t="s">
        <v>343</v>
      </c>
      <c r="C122" s="22" t="s">
        <v>344</v>
      </c>
      <c r="D122" s="17" t="s">
        <v>23</v>
      </c>
      <c r="E122" s="17" t="s">
        <v>58</v>
      </c>
      <c r="F122" s="17">
        <v>1104150001</v>
      </c>
      <c r="G122" s="20" t="s">
        <v>59</v>
      </c>
      <c r="H122" s="17" t="s">
        <v>51</v>
      </c>
      <c r="I122" s="30">
        <v>-520.00000000000102</v>
      </c>
      <c r="J122" s="30">
        <v>0</v>
      </c>
      <c r="K122" s="30">
        <v>0</v>
      </c>
      <c r="L122" s="30">
        <v>313.12</v>
      </c>
      <c r="M122" s="30">
        <v>0</v>
      </c>
      <c r="N122" s="30">
        <f>Tabela1[[#This Row],[1QZ DE FEV 26]]-Tabela1[[#This Row],[SALDO PENDENTE]]-Tabela1[[#This Row],[SALDO CARTAO]]-Tabela1[[#This Row],[ADIANTAMENTO]]</f>
        <v>-313.12</v>
      </c>
      <c r="O122" s="30">
        <v>520</v>
      </c>
      <c r="P122" s="39">
        <f>IF(Tabela1[[#This Row],[CARGA PARCIAL]]&lt;0,0,Tabela1[[#This Row],[CARGA PARCIAL]])+Tabela1[[#This Row],[REEMBOLSO]]</f>
        <v>520</v>
      </c>
      <c r="Q122" s="18" t="s">
        <v>27</v>
      </c>
      <c r="R122" s="18"/>
      <c r="AW122"/>
    </row>
    <row r="123" spans="2:49" hidden="1">
      <c r="B123" s="17" t="s">
        <v>345</v>
      </c>
      <c r="C123" s="17" t="s">
        <v>346</v>
      </c>
      <c r="D123" s="17" t="s">
        <v>23</v>
      </c>
      <c r="E123" s="17" t="s">
        <v>196</v>
      </c>
      <c r="F123" s="17">
        <v>11061720001</v>
      </c>
      <c r="G123" s="20" t="s">
        <v>55</v>
      </c>
      <c r="H123" s="17" t="s">
        <v>51</v>
      </c>
      <c r="I123" s="30">
        <v>0</v>
      </c>
      <c r="J123" s="30">
        <v>105.40000000000022</v>
      </c>
      <c r="K123" s="30">
        <v>800</v>
      </c>
      <c r="L123" s="30">
        <v>34.86</v>
      </c>
      <c r="M123" s="30">
        <v>0</v>
      </c>
      <c r="N123" s="30">
        <f>Tabela1[[#This Row],[1QZ DE FEV 26]]-Tabela1[[#This Row],[SALDO PENDENTE]]-Tabela1[[#This Row],[SALDO CARTAO]]-Tabela1[[#This Row],[ADIANTAMENTO]]</f>
        <v>659.73999999999978</v>
      </c>
      <c r="O123" s="30">
        <v>0</v>
      </c>
      <c r="P123" s="39">
        <f>IF(Tabela1[[#This Row],[CARGA PARCIAL]]&lt;0,0,Tabela1[[#This Row],[CARGA PARCIAL]])+Tabela1[[#This Row],[REEMBOLSO]]</f>
        <v>659.73999999999978</v>
      </c>
      <c r="Q123" s="18" t="s">
        <v>27</v>
      </c>
      <c r="R123" s="18"/>
      <c r="AW123"/>
    </row>
    <row r="124" spans="2:49" hidden="1">
      <c r="B124" s="17" t="s">
        <v>347</v>
      </c>
      <c r="C124" s="17" t="s">
        <v>348</v>
      </c>
      <c r="D124" s="17" t="s">
        <v>23</v>
      </c>
      <c r="E124" s="17" t="s">
        <v>196</v>
      </c>
      <c r="F124" s="17">
        <v>11061720001</v>
      </c>
      <c r="G124" s="20" t="s">
        <v>55</v>
      </c>
      <c r="H124" s="17" t="s">
        <v>51</v>
      </c>
      <c r="I124" s="30">
        <v>-1.964650664376677E-12</v>
      </c>
      <c r="J124" s="30">
        <v>0</v>
      </c>
      <c r="K124" s="30">
        <v>800</v>
      </c>
      <c r="L124" s="30">
        <v>5.66</v>
      </c>
      <c r="M124" s="30">
        <v>0</v>
      </c>
      <c r="N124" s="30">
        <f>Tabela1[[#This Row],[1QZ DE FEV 26]]-Tabela1[[#This Row],[SALDO PENDENTE]]-Tabela1[[#This Row],[SALDO CARTAO]]-Tabela1[[#This Row],[ADIANTAMENTO]]</f>
        <v>794.34</v>
      </c>
      <c r="O124" s="30">
        <v>0</v>
      </c>
      <c r="P124" s="39">
        <f>IF(Tabela1[[#This Row],[CARGA PARCIAL]]&lt;0,0,Tabela1[[#This Row],[CARGA PARCIAL]])+Tabela1[[#This Row],[REEMBOLSO]]</f>
        <v>794.34</v>
      </c>
      <c r="Q124" s="18" t="s">
        <v>27</v>
      </c>
      <c r="R124" s="18"/>
      <c r="AW124"/>
    </row>
    <row r="125" spans="2:49" hidden="1">
      <c r="B125" s="42" t="s">
        <v>349</v>
      </c>
      <c r="C125" s="22" t="s">
        <v>350</v>
      </c>
      <c r="D125" s="17" t="s">
        <v>23</v>
      </c>
      <c r="E125" s="17" t="s">
        <v>351</v>
      </c>
      <c r="F125" s="17">
        <v>11062640001</v>
      </c>
      <c r="G125" s="20" t="s">
        <v>50</v>
      </c>
      <c r="H125" s="17" t="s">
        <v>51</v>
      </c>
      <c r="I125" s="30">
        <v>0</v>
      </c>
      <c r="J125" s="30">
        <v>4470.5899999999838</v>
      </c>
      <c r="K125" s="30">
        <v>5000</v>
      </c>
      <c r="L125" s="30">
        <v>25.65</v>
      </c>
      <c r="M125" s="30">
        <v>0</v>
      </c>
      <c r="N125" s="30">
        <f>Tabela1[[#This Row],[1QZ DE FEV 26]]-Tabela1[[#This Row],[SALDO PENDENTE]]-Tabela1[[#This Row],[SALDO CARTAO]]-Tabela1[[#This Row],[ADIANTAMENTO]]</f>
        <v>503.76000000001625</v>
      </c>
      <c r="O125" s="30">
        <v>0</v>
      </c>
      <c r="P125" s="39">
        <f>IF(Tabela1[[#This Row],[CARGA PARCIAL]]&lt;0,0,Tabela1[[#This Row],[CARGA PARCIAL]])+Tabela1[[#This Row],[REEMBOLSO]]</f>
        <v>503.76000000001625</v>
      </c>
      <c r="Q125" s="18" t="s">
        <v>27</v>
      </c>
      <c r="R125" s="18"/>
      <c r="AW125"/>
    </row>
    <row r="126" spans="2:49" hidden="1">
      <c r="B126" s="42" t="s">
        <v>352</v>
      </c>
      <c r="C126" s="22" t="s">
        <v>353</v>
      </c>
      <c r="D126" s="17" t="s">
        <v>23</v>
      </c>
      <c r="E126" s="17" t="s">
        <v>354</v>
      </c>
      <c r="F126" s="17">
        <v>11110340001</v>
      </c>
      <c r="G126" s="20" t="s">
        <v>35</v>
      </c>
      <c r="H126" s="17" t="s">
        <v>26</v>
      </c>
      <c r="I126" s="30">
        <v>0</v>
      </c>
      <c r="J126" s="30">
        <v>206.1400000000009</v>
      </c>
      <c r="K126" s="30">
        <v>700</v>
      </c>
      <c r="L126" s="30">
        <v>3.86</v>
      </c>
      <c r="M126" s="30">
        <v>0</v>
      </c>
      <c r="N126" s="30">
        <f>Tabela1[[#This Row],[1QZ DE FEV 26]]-Tabela1[[#This Row],[SALDO PENDENTE]]-Tabela1[[#This Row],[SALDO CARTAO]]-Tabela1[[#This Row],[ADIANTAMENTO]]</f>
        <v>489.99999999999909</v>
      </c>
      <c r="O126" s="30">
        <v>0</v>
      </c>
      <c r="P126" s="39">
        <f>IF(Tabela1[[#This Row],[CARGA PARCIAL]]&lt;0,0,Tabela1[[#This Row],[CARGA PARCIAL]])+Tabela1[[#This Row],[REEMBOLSO]]</f>
        <v>489.99999999999909</v>
      </c>
      <c r="Q126" s="18" t="s">
        <v>27</v>
      </c>
      <c r="R126" s="18"/>
      <c r="AW126"/>
    </row>
    <row r="127" spans="2:49" hidden="1">
      <c r="B127" s="17" t="s">
        <v>355</v>
      </c>
      <c r="C127" s="17" t="s">
        <v>356</v>
      </c>
      <c r="D127" s="17" t="s">
        <v>23</v>
      </c>
      <c r="E127" s="17" t="s">
        <v>357</v>
      </c>
      <c r="F127" s="17">
        <v>11061830001</v>
      </c>
      <c r="G127" s="20" t="s">
        <v>71</v>
      </c>
      <c r="H127" s="17" t="s">
        <v>51</v>
      </c>
      <c r="I127" s="30">
        <v>0</v>
      </c>
      <c r="J127" s="30">
        <v>0</v>
      </c>
      <c r="K127" s="30">
        <v>500</v>
      </c>
      <c r="L127" s="30">
        <v>0</v>
      </c>
      <c r="M127" s="30">
        <v>0</v>
      </c>
      <c r="N127" s="30">
        <f>Tabela1[[#This Row],[1QZ DE FEV 26]]-Tabela1[[#This Row],[SALDO PENDENTE]]-Tabela1[[#This Row],[SALDO CARTAO]]-Tabela1[[#This Row],[ADIANTAMENTO]]</f>
        <v>500</v>
      </c>
      <c r="O127" s="30">
        <v>0</v>
      </c>
      <c r="P127" s="39">
        <f>IF(Tabela1[[#This Row],[CARGA PARCIAL]]&lt;0,0,Tabela1[[#This Row],[CARGA PARCIAL]])+Tabela1[[#This Row],[REEMBOLSO]]</f>
        <v>500</v>
      </c>
      <c r="Q127" s="18" t="s">
        <v>145</v>
      </c>
      <c r="R127" s="18"/>
      <c r="AW127"/>
    </row>
    <row r="128" spans="2:49" hidden="1">
      <c r="B128" s="42" t="s">
        <v>358</v>
      </c>
      <c r="C128" s="22" t="s">
        <v>359</v>
      </c>
      <c r="D128" s="17" t="s">
        <v>23</v>
      </c>
      <c r="E128" s="17" t="s">
        <v>360</v>
      </c>
      <c r="F128" s="17">
        <v>1201017</v>
      </c>
      <c r="G128" s="20" t="s">
        <v>63</v>
      </c>
      <c r="H128" s="17" t="s">
        <v>26</v>
      </c>
      <c r="I128" s="30">
        <v>-9.8799999999951975</v>
      </c>
      <c r="J128" s="30">
        <v>0</v>
      </c>
      <c r="K128" s="30">
        <v>500</v>
      </c>
      <c r="L128" s="30">
        <v>3.35</v>
      </c>
      <c r="M128" s="30">
        <v>0</v>
      </c>
      <c r="N128" s="30">
        <f>Tabela1[[#This Row],[1QZ DE FEV 26]]-Tabela1[[#This Row],[SALDO PENDENTE]]-Tabela1[[#This Row],[SALDO CARTAO]]-Tabela1[[#This Row],[ADIANTAMENTO]]</f>
        <v>496.65</v>
      </c>
      <c r="O128" s="30">
        <v>0</v>
      </c>
      <c r="P128" s="39">
        <f>IF(Tabela1[[#This Row],[CARGA PARCIAL]]&lt;0,0,Tabela1[[#This Row],[CARGA PARCIAL]])+Tabela1[[#This Row],[REEMBOLSO]]</f>
        <v>496.65</v>
      </c>
      <c r="Q128" s="18" t="s">
        <v>27</v>
      </c>
      <c r="R128" s="18" t="s">
        <v>178</v>
      </c>
      <c r="AW128"/>
    </row>
    <row r="129" spans="2:49" hidden="1">
      <c r="B129" s="17" t="s">
        <v>361</v>
      </c>
      <c r="C129" s="17" t="s">
        <v>362</v>
      </c>
      <c r="D129" s="17" t="s">
        <v>23</v>
      </c>
      <c r="E129" s="17" t="s">
        <v>363</v>
      </c>
      <c r="F129" s="17">
        <v>1201044</v>
      </c>
      <c r="G129" s="20" t="s">
        <v>25</v>
      </c>
      <c r="H129" s="17" t="s">
        <v>26</v>
      </c>
      <c r="I129" s="30">
        <v>0</v>
      </c>
      <c r="J129" s="30">
        <v>10</v>
      </c>
      <c r="K129" s="30">
        <v>500</v>
      </c>
      <c r="L129" s="30">
        <v>0</v>
      </c>
      <c r="M129" s="30">
        <v>0</v>
      </c>
      <c r="N129" s="30">
        <f>Tabela1[[#This Row],[1QZ DE FEV 26]]-Tabela1[[#This Row],[SALDO PENDENTE]]-Tabela1[[#This Row],[SALDO CARTAO]]-Tabela1[[#This Row],[ADIANTAMENTO]]</f>
        <v>490</v>
      </c>
      <c r="O129" s="30">
        <v>0</v>
      </c>
      <c r="P129" s="39">
        <f>IF(Tabela1[[#This Row],[CARGA PARCIAL]]&lt;0,0,Tabela1[[#This Row],[CARGA PARCIAL]])+Tabela1[[#This Row],[REEMBOLSO]]</f>
        <v>490</v>
      </c>
      <c r="Q129" s="18" t="s">
        <v>27</v>
      </c>
      <c r="R129" s="18" t="s">
        <v>178</v>
      </c>
      <c r="AW129"/>
    </row>
    <row r="130" spans="2:49" hidden="1">
      <c r="B130" s="42" t="s">
        <v>364</v>
      </c>
      <c r="C130" s="22" t="s">
        <v>365</v>
      </c>
      <c r="D130" s="17" t="s">
        <v>23</v>
      </c>
      <c r="E130" s="17" t="s">
        <v>366</v>
      </c>
      <c r="F130" s="17">
        <v>1201007</v>
      </c>
      <c r="G130" s="20" t="s">
        <v>35</v>
      </c>
      <c r="H130" s="17" t="s">
        <v>26</v>
      </c>
      <c r="I130" s="65">
        <v>-3780.9799999999996</v>
      </c>
      <c r="J130" s="30">
        <v>0</v>
      </c>
      <c r="K130" s="30">
        <v>500</v>
      </c>
      <c r="L130" s="30">
        <v>0</v>
      </c>
      <c r="M130" s="30">
        <v>0</v>
      </c>
      <c r="N130" s="30">
        <f>Tabela1[[#This Row],[1QZ DE FEV 26]]-Tabela1[[#This Row],[SALDO PENDENTE]]-Tabela1[[#This Row],[SALDO CARTAO]]-Tabela1[[#This Row],[ADIANTAMENTO]]</f>
        <v>500</v>
      </c>
      <c r="O130" s="30">
        <v>0</v>
      </c>
      <c r="P130" s="39">
        <f>IF(Tabela1[[#This Row],[CARGA PARCIAL]]&lt;0,0,Tabela1[[#This Row],[CARGA PARCIAL]])+Tabela1[[#This Row],[REEMBOLSO]]</f>
        <v>500</v>
      </c>
      <c r="Q130" s="18" t="s">
        <v>27</v>
      </c>
      <c r="R130" s="18" t="s">
        <v>178</v>
      </c>
      <c r="AW130"/>
    </row>
    <row r="131" spans="2:49" hidden="1">
      <c r="B131" s="17" t="s">
        <v>367</v>
      </c>
      <c r="C131" s="17" t="s">
        <v>368</v>
      </c>
      <c r="D131" s="17" t="s">
        <v>23</v>
      </c>
      <c r="E131" s="17" t="s">
        <v>369</v>
      </c>
      <c r="F131" s="17">
        <v>1201008</v>
      </c>
      <c r="G131" s="17" t="s">
        <v>50</v>
      </c>
      <c r="H131" s="17" t="s">
        <v>51</v>
      </c>
      <c r="I131" s="30">
        <v>0</v>
      </c>
      <c r="J131" s="30">
        <v>11.27</v>
      </c>
      <c r="K131" s="30">
        <v>500</v>
      </c>
      <c r="L131" s="30">
        <v>0</v>
      </c>
      <c r="M131" s="30">
        <v>0</v>
      </c>
      <c r="N131" s="30">
        <f>Tabela1[[#This Row],[1QZ DE FEV 26]]-Tabela1[[#This Row],[SALDO PENDENTE]]-Tabela1[[#This Row],[SALDO CARTAO]]-Tabela1[[#This Row],[ADIANTAMENTO]]</f>
        <v>488.73</v>
      </c>
      <c r="O131" s="30">
        <v>0</v>
      </c>
      <c r="P131" s="39">
        <f>IF(Tabela1[[#This Row],[CARGA PARCIAL]]&lt;0,0,Tabela1[[#This Row],[CARGA PARCIAL]])+Tabela1[[#This Row],[REEMBOLSO]]</f>
        <v>488.73</v>
      </c>
      <c r="Q131" s="18" t="s">
        <v>27</v>
      </c>
      <c r="R131" s="18" t="s">
        <v>178</v>
      </c>
      <c r="AW131"/>
    </row>
    <row r="132" spans="2:49" hidden="1">
      <c r="B132" s="17" t="s">
        <v>370</v>
      </c>
      <c r="C132" s="17" t="s">
        <v>371</v>
      </c>
      <c r="D132" s="17" t="s">
        <v>23</v>
      </c>
      <c r="E132" s="17" t="s">
        <v>293</v>
      </c>
      <c r="F132" s="17">
        <v>1201071</v>
      </c>
      <c r="G132" s="17" t="s">
        <v>55</v>
      </c>
      <c r="H132" s="17" t="s">
        <v>51</v>
      </c>
      <c r="I132" s="30">
        <v>-68.400000000000659</v>
      </c>
      <c r="J132" s="30">
        <v>0</v>
      </c>
      <c r="K132" s="30">
        <v>700</v>
      </c>
      <c r="L132" s="30">
        <v>941.7</v>
      </c>
      <c r="M132" s="30">
        <v>0</v>
      </c>
      <c r="N132" s="30">
        <f>Tabela1[[#This Row],[1QZ DE FEV 26]]-Tabela1[[#This Row],[SALDO PENDENTE]]-Tabela1[[#This Row],[SALDO CARTAO]]-Tabela1[[#This Row],[ADIANTAMENTO]]</f>
        <v>-241.70000000000005</v>
      </c>
      <c r="O132" s="30">
        <v>0</v>
      </c>
      <c r="P132" s="39">
        <f>IF(Tabela1[[#This Row],[CARGA PARCIAL]]&lt;0,0,Tabela1[[#This Row],[CARGA PARCIAL]])+Tabela1[[#This Row],[REEMBOLSO]]</f>
        <v>0</v>
      </c>
      <c r="Q132" s="18" t="s">
        <v>27</v>
      </c>
      <c r="R132" s="18"/>
      <c r="AW132"/>
    </row>
    <row r="133" spans="2:49" hidden="1">
      <c r="B133" s="17" t="s">
        <v>372</v>
      </c>
      <c r="C133" s="17" t="s">
        <v>373</v>
      </c>
      <c r="D133" s="17" t="s">
        <v>23</v>
      </c>
      <c r="E133" s="17" t="s">
        <v>54</v>
      </c>
      <c r="F133" s="17">
        <v>11030860001</v>
      </c>
      <c r="G133" s="20" t="s">
        <v>55</v>
      </c>
      <c r="H133" s="17" t="s">
        <v>51</v>
      </c>
      <c r="I133" s="30">
        <v>0</v>
      </c>
      <c r="J133" s="30">
        <v>5.1159076974727213E-13</v>
      </c>
      <c r="K133" s="30">
        <v>1000</v>
      </c>
      <c r="L133" s="30">
        <v>158.69</v>
      </c>
      <c r="M133" s="30">
        <v>0</v>
      </c>
      <c r="N133" s="30">
        <f>Tabela1[[#This Row],[1QZ DE FEV 26]]-Tabela1[[#This Row],[SALDO PENDENTE]]-Tabela1[[#This Row],[SALDO CARTAO]]-Tabela1[[#This Row],[ADIANTAMENTO]]</f>
        <v>841.30999999999949</v>
      </c>
      <c r="O133" s="30">
        <v>0</v>
      </c>
      <c r="P133" s="39">
        <f>IF(Tabela1[[#This Row],[CARGA PARCIAL]]&lt;0,0,Tabela1[[#This Row],[CARGA PARCIAL]])+Tabela1[[#This Row],[REEMBOLSO]]</f>
        <v>841.30999999999949</v>
      </c>
      <c r="Q133" s="18" t="s">
        <v>27</v>
      </c>
      <c r="R133" s="18"/>
      <c r="AW133"/>
    </row>
    <row r="134" spans="2:49" hidden="1">
      <c r="B134" s="42" t="s">
        <v>374</v>
      </c>
      <c r="C134" s="22" t="s">
        <v>375</v>
      </c>
      <c r="D134" s="17" t="s">
        <v>23</v>
      </c>
      <c r="E134" s="17" t="s">
        <v>376</v>
      </c>
      <c r="F134" s="17">
        <v>1201005</v>
      </c>
      <c r="G134" s="20" t="s">
        <v>71</v>
      </c>
      <c r="H134" s="17" t="s">
        <v>51</v>
      </c>
      <c r="I134" s="30">
        <v>0</v>
      </c>
      <c r="J134" s="30">
        <v>14.999999999997598</v>
      </c>
      <c r="K134" s="30">
        <v>500</v>
      </c>
      <c r="L134" s="30">
        <v>0</v>
      </c>
      <c r="M134" s="30">
        <v>0</v>
      </c>
      <c r="N134" s="30">
        <f>Tabela1[[#This Row],[1QZ DE FEV 26]]-Tabela1[[#This Row],[SALDO PENDENTE]]-Tabela1[[#This Row],[SALDO CARTAO]]-Tabela1[[#This Row],[ADIANTAMENTO]]</f>
        <v>485.00000000000239</v>
      </c>
      <c r="O134" s="30">
        <v>0</v>
      </c>
      <c r="P134" s="39">
        <f>IF(Tabela1[[#This Row],[CARGA PARCIAL]]&lt;0,0,Tabela1[[#This Row],[CARGA PARCIAL]])+Tabela1[[#This Row],[REEMBOLSO]]</f>
        <v>485.00000000000239</v>
      </c>
      <c r="Q134" s="18" t="s">
        <v>27</v>
      </c>
      <c r="R134" s="18" t="s">
        <v>178</v>
      </c>
      <c r="AW134"/>
    </row>
    <row r="135" spans="2:49" hidden="1">
      <c r="B135" s="42" t="s">
        <v>377</v>
      </c>
      <c r="C135" s="22" t="s">
        <v>378</v>
      </c>
      <c r="D135" s="17" t="s">
        <v>23</v>
      </c>
      <c r="E135" s="17" t="s">
        <v>379</v>
      </c>
      <c r="F135" s="17">
        <v>11062450001</v>
      </c>
      <c r="G135" s="20" t="s">
        <v>63</v>
      </c>
      <c r="H135" s="17" t="s">
        <v>26</v>
      </c>
      <c r="I135" s="30">
        <v>0</v>
      </c>
      <c r="J135" s="30">
        <v>503.79999999999995</v>
      </c>
      <c r="K135" s="30">
        <v>1000</v>
      </c>
      <c r="L135" s="30">
        <v>13.26</v>
      </c>
      <c r="M135" s="30">
        <v>0</v>
      </c>
      <c r="N135" s="30">
        <f>Tabela1[[#This Row],[1QZ DE FEV 26]]-Tabela1[[#This Row],[SALDO PENDENTE]]-Tabela1[[#This Row],[SALDO CARTAO]]-Tabela1[[#This Row],[ADIANTAMENTO]]</f>
        <v>482.94000000000005</v>
      </c>
      <c r="O135" s="30">
        <v>0</v>
      </c>
      <c r="P135" s="39">
        <f>IF(Tabela1[[#This Row],[CARGA PARCIAL]]&lt;0,0,Tabela1[[#This Row],[CARGA PARCIAL]])+Tabela1[[#This Row],[REEMBOLSO]]</f>
        <v>482.94000000000005</v>
      </c>
      <c r="Q135" s="18" t="s">
        <v>27</v>
      </c>
      <c r="R135" s="18"/>
      <c r="AW135"/>
    </row>
    <row r="136" spans="2:49" hidden="1">
      <c r="B136" s="17" t="s">
        <v>380</v>
      </c>
      <c r="C136" s="17" t="s">
        <v>381</v>
      </c>
      <c r="D136" s="17" t="s">
        <v>23</v>
      </c>
      <c r="E136" s="17" t="s">
        <v>38</v>
      </c>
      <c r="F136" s="17">
        <v>11040040001</v>
      </c>
      <c r="G136" s="17" t="s">
        <v>31</v>
      </c>
      <c r="H136" s="17" t="s">
        <v>26</v>
      </c>
      <c r="I136" s="30">
        <v>0</v>
      </c>
      <c r="J136" s="30">
        <v>21</v>
      </c>
      <c r="K136" s="30">
        <v>500</v>
      </c>
      <c r="L136" s="30">
        <v>0</v>
      </c>
      <c r="M136" s="30">
        <v>0</v>
      </c>
      <c r="N136" s="30">
        <f>Tabela1[[#This Row],[1QZ DE FEV 26]]-Tabela1[[#This Row],[SALDO PENDENTE]]-Tabela1[[#This Row],[SALDO CARTAO]]-Tabela1[[#This Row],[ADIANTAMENTO]]</f>
        <v>479</v>
      </c>
      <c r="O136" s="30">
        <v>0</v>
      </c>
      <c r="P136" s="39">
        <f>IF(Tabela1[[#This Row],[CARGA PARCIAL]]&lt;0,0,Tabela1[[#This Row],[CARGA PARCIAL]])+Tabela1[[#This Row],[REEMBOLSO]]</f>
        <v>479</v>
      </c>
      <c r="Q136" s="18" t="s">
        <v>27</v>
      </c>
      <c r="R136" s="18" t="s">
        <v>178</v>
      </c>
      <c r="AW136"/>
    </row>
    <row r="137" spans="2:49" hidden="1">
      <c r="B137" s="42" t="s">
        <v>382</v>
      </c>
      <c r="C137" s="22" t="s">
        <v>383</v>
      </c>
      <c r="D137" s="17" t="s">
        <v>23</v>
      </c>
      <c r="E137" s="17" t="s">
        <v>384</v>
      </c>
      <c r="F137" s="17">
        <v>11062630001</v>
      </c>
      <c r="G137" s="20" t="s">
        <v>55</v>
      </c>
      <c r="H137" s="17" t="s">
        <v>51</v>
      </c>
      <c r="I137" s="30">
        <v>-413.85999999999956</v>
      </c>
      <c r="J137" s="30">
        <v>0</v>
      </c>
      <c r="K137" s="30">
        <v>500</v>
      </c>
      <c r="L137" s="30">
        <v>55.63</v>
      </c>
      <c r="M137" s="30">
        <v>0</v>
      </c>
      <c r="N137" s="30">
        <f>Tabela1[[#This Row],[1QZ DE FEV 26]]-Tabela1[[#This Row],[SALDO PENDENTE]]-Tabela1[[#This Row],[SALDO CARTAO]]-Tabela1[[#This Row],[ADIANTAMENTO]]</f>
        <v>444.37</v>
      </c>
      <c r="O137" s="30">
        <v>413.86</v>
      </c>
      <c r="P137" s="39">
        <f>IF(Tabela1[[#This Row],[CARGA PARCIAL]]&lt;0,0,Tabela1[[#This Row],[CARGA PARCIAL]])+Tabela1[[#This Row],[REEMBOLSO]]</f>
        <v>858.23</v>
      </c>
      <c r="Q137" s="18" t="s">
        <v>27</v>
      </c>
      <c r="R137" s="18"/>
      <c r="AW137"/>
    </row>
    <row r="138" spans="2:49" hidden="1">
      <c r="B138" s="41" t="s">
        <v>385</v>
      </c>
      <c r="C138" s="22" t="s">
        <v>386</v>
      </c>
      <c r="D138" s="17" t="s">
        <v>23</v>
      </c>
      <c r="E138" s="17" t="s">
        <v>387</v>
      </c>
      <c r="F138" s="17">
        <v>11061980001</v>
      </c>
      <c r="G138" s="20" t="s">
        <v>71</v>
      </c>
      <c r="H138" s="17" t="s">
        <v>51</v>
      </c>
      <c r="I138" s="30">
        <v>0</v>
      </c>
      <c r="J138" s="30">
        <v>3.4816594052244909E-13</v>
      </c>
      <c r="K138" s="30">
        <v>500</v>
      </c>
      <c r="L138" s="30">
        <v>32.619999999999997</v>
      </c>
      <c r="M138" s="30">
        <v>0</v>
      </c>
      <c r="N138" s="30">
        <f>Tabela1[[#This Row],[1QZ DE FEV 26]]-Tabela1[[#This Row],[SALDO PENDENTE]]-Tabela1[[#This Row],[SALDO CARTAO]]-Tabela1[[#This Row],[ADIANTAMENTO]]</f>
        <v>467.37999999999965</v>
      </c>
      <c r="O138" s="30"/>
      <c r="P138" s="45">
        <f>IF(Tabela1[[#This Row],[CARGA PARCIAL]]&lt;0,0,Tabela1[[#This Row],[CARGA PARCIAL]])+Tabela1[[#This Row],[REEMBOLSO]]</f>
        <v>467.37999999999965</v>
      </c>
      <c r="Q138" s="18" t="s">
        <v>27</v>
      </c>
      <c r="R138" s="18"/>
      <c r="AW138"/>
    </row>
    <row r="139" spans="2:49" hidden="1">
      <c r="B139" s="17" t="s">
        <v>388</v>
      </c>
      <c r="C139" s="17" t="s">
        <v>389</v>
      </c>
      <c r="D139" s="17" t="s">
        <v>23</v>
      </c>
      <c r="E139" s="17" t="s">
        <v>390</v>
      </c>
      <c r="F139" s="17">
        <v>11061200001</v>
      </c>
      <c r="G139" s="17" t="s">
        <v>55</v>
      </c>
      <c r="H139" s="17" t="s">
        <v>51</v>
      </c>
      <c r="I139" s="30">
        <v>0</v>
      </c>
      <c r="J139" s="30">
        <v>1294.3499999999992</v>
      </c>
      <c r="K139" s="30">
        <v>2710</v>
      </c>
      <c r="L139" s="30">
        <v>0</v>
      </c>
      <c r="M139" s="30">
        <v>0</v>
      </c>
      <c r="N139" s="30">
        <f>Tabela1[[#This Row],[1QZ DE FEV 26]]-Tabela1[[#This Row],[SALDO PENDENTE]]-Tabela1[[#This Row],[SALDO CARTAO]]-Tabela1[[#This Row],[ADIANTAMENTO]]</f>
        <v>1415.6500000000008</v>
      </c>
      <c r="O139" s="30">
        <v>0</v>
      </c>
      <c r="P139" s="39">
        <f>IF(Tabela1[[#This Row],[CARGA PARCIAL]]&lt;0,0,Tabela1[[#This Row],[CARGA PARCIAL]])+Tabela1[[#This Row],[REEMBOLSO]]</f>
        <v>1415.6500000000008</v>
      </c>
      <c r="Q139" s="18" t="s">
        <v>27</v>
      </c>
      <c r="R139" s="18"/>
      <c r="AW139"/>
    </row>
    <row r="140" spans="2:49" hidden="1">
      <c r="B140" s="17" t="s">
        <v>391</v>
      </c>
      <c r="C140" s="17" t="s">
        <v>392</v>
      </c>
      <c r="D140" s="17" t="s">
        <v>23</v>
      </c>
      <c r="E140" s="17" t="s">
        <v>98</v>
      </c>
      <c r="F140" s="17">
        <v>11030690001</v>
      </c>
      <c r="G140" s="17" t="s">
        <v>55</v>
      </c>
      <c r="H140" s="17" t="s">
        <v>51</v>
      </c>
      <c r="I140" s="65">
        <v>-4445.0399999999954</v>
      </c>
      <c r="J140" s="30">
        <v>0</v>
      </c>
      <c r="K140" s="30">
        <v>1600</v>
      </c>
      <c r="L140" s="30">
        <v>3867.22</v>
      </c>
      <c r="M140" s="30">
        <v>0</v>
      </c>
      <c r="N140" s="30">
        <f>Tabela1[[#This Row],[1QZ DE FEV 26]]-Tabela1[[#This Row],[SALDO PENDENTE]]-Tabela1[[#This Row],[SALDO CARTAO]]-Tabela1[[#This Row],[ADIANTAMENTO]]</f>
        <v>-2267.2199999999998</v>
      </c>
      <c r="O140" s="30">
        <v>0</v>
      </c>
      <c r="P140" s="39">
        <f>IF(Tabela1[[#This Row],[CARGA PARCIAL]]&lt;0,0,Tabela1[[#This Row],[CARGA PARCIAL]])+Tabela1[[#This Row],[REEMBOLSO]]</f>
        <v>0</v>
      </c>
      <c r="Q140" s="18" t="s">
        <v>27</v>
      </c>
      <c r="R140" s="18"/>
      <c r="AW140"/>
    </row>
    <row r="141" spans="2:49" hidden="1">
      <c r="B141" s="42" t="s">
        <v>393</v>
      </c>
      <c r="C141" s="22" t="s">
        <v>394</v>
      </c>
      <c r="D141" s="17" t="s">
        <v>23</v>
      </c>
      <c r="E141" s="17" t="s">
        <v>41</v>
      </c>
      <c r="F141" s="17">
        <v>11030870001</v>
      </c>
      <c r="G141" s="20" t="s">
        <v>35</v>
      </c>
      <c r="H141" s="17" t="s">
        <v>26</v>
      </c>
      <c r="I141" s="65">
        <v>-1822.2699999999932</v>
      </c>
      <c r="J141" s="30">
        <v>0</v>
      </c>
      <c r="K141" s="30">
        <v>500</v>
      </c>
      <c r="L141" s="30">
        <v>43</v>
      </c>
      <c r="M141" s="30">
        <v>0</v>
      </c>
      <c r="N141" s="30">
        <f>Tabela1[[#This Row],[1QZ DE FEV 26]]-Tabela1[[#This Row],[SALDO PENDENTE]]-Tabela1[[#This Row],[SALDO CARTAO]]-Tabela1[[#This Row],[ADIANTAMENTO]]</f>
        <v>457</v>
      </c>
      <c r="O141" s="30">
        <v>0</v>
      </c>
      <c r="P141" s="39">
        <f>IF(Tabela1[[#This Row],[CARGA PARCIAL]]&lt;0,0,Tabela1[[#This Row],[CARGA PARCIAL]])+Tabela1[[#This Row],[REEMBOLSO]]</f>
        <v>457</v>
      </c>
      <c r="Q141" s="18" t="s">
        <v>27</v>
      </c>
      <c r="R141" s="18"/>
      <c r="AW141"/>
    </row>
    <row r="142" spans="2:49" hidden="1">
      <c r="B142" s="42" t="s">
        <v>395</v>
      </c>
      <c r="C142" s="22" t="s">
        <v>396</v>
      </c>
      <c r="D142" s="17" t="s">
        <v>23</v>
      </c>
      <c r="E142" s="17" t="s">
        <v>38</v>
      </c>
      <c r="F142" s="17">
        <v>11040040001</v>
      </c>
      <c r="G142" s="20" t="s">
        <v>31</v>
      </c>
      <c r="H142" s="17" t="s">
        <v>26</v>
      </c>
      <c r="I142" s="30">
        <v>0</v>
      </c>
      <c r="J142" s="30">
        <v>323.17999999999887</v>
      </c>
      <c r="K142" s="30">
        <v>800</v>
      </c>
      <c r="L142" s="30">
        <v>24.56</v>
      </c>
      <c r="M142" s="30">
        <v>0</v>
      </c>
      <c r="N142" s="30">
        <f>Tabela1[[#This Row],[1QZ DE FEV 26]]-Tabela1[[#This Row],[SALDO PENDENTE]]-Tabela1[[#This Row],[SALDO CARTAO]]-Tabela1[[#This Row],[ADIANTAMENTO]]</f>
        <v>452.26000000000113</v>
      </c>
      <c r="O142" s="30">
        <v>0</v>
      </c>
      <c r="P142" s="39">
        <f>IF(Tabela1[[#This Row],[CARGA PARCIAL]]&lt;0,0,Tabela1[[#This Row],[CARGA PARCIAL]])+Tabela1[[#This Row],[REEMBOLSO]]</f>
        <v>452.26000000000113</v>
      </c>
      <c r="Q142" s="18" t="s">
        <v>27</v>
      </c>
      <c r="R142" s="18"/>
      <c r="AW142"/>
    </row>
    <row r="143" spans="2:49" hidden="1">
      <c r="B143" s="17" t="s">
        <v>397</v>
      </c>
      <c r="C143" s="17" t="s">
        <v>398</v>
      </c>
      <c r="D143" s="17" t="s">
        <v>23</v>
      </c>
      <c r="E143" s="17" t="s">
        <v>125</v>
      </c>
      <c r="F143" s="17">
        <v>11040170001</v>
      </c>
      <c r="G143" s="20" t="s">
        <v>126</v>
      </c>
      <c r="H143" s="17" t="s">
        <v>26</v>
      </c>
      <c r="I143" s="30">
        <v>-245.86000000001513</v>
      </c>
      <c r="J143" s="30">
        <v>0</v>
      </c>
      <c r="K143" s="30">
        <v>2000</v>
      </c>
      <c r="L143" s="30">
        <v>36</v>
      </c>
      <c r="M143" s="30">
        <v>0</v>
      </c>
      <c r="N143" s="30">
        <f>Tabela1[[#This Row],[1QZ DE FEV 26]]-Tabela1[[#This Row],[SALDO PENDENTE]]-Tabela1[[#This Row],[SALDO CARTAO]]-Tabela1[[#This Row],[ADIANTAMENTO]]</f>
        <v>1964</v>
      </c>
      <c r="O143" s="30">
        <v>245.86</v>
      </c>
      <c r="P143" s="39">
        <f>IF(Tabela1[[#This Row],[CARGA PARCIAL]]&lt;0,0,Tabela1[[#This Row],[CARGA PARCIAL]])+Tabela1[[#This Row],[REEMBOLSO]]</f>
        <v>2209.86</v>
      </c>
      <c r="Q143" s="18" t="s">
        <v>27</v>
      </c>
      <c r="R143" s="18"/>
      <c r="AW143"/>
    </row>
    <row r="144" spans="2:49" hidden="1">
      <c r="B144" s="42" t="s">
        <v>399</v>
      </c>
      <c r="C144" s="22" t="s">
        <v>400</v>
      </c>
      <c r="D144" s="17" t="s">
        <v>23</v>
      </c>
      <c r="E144" s="17" t="s">
        <v>161</v>
      </c>
      <c r="F144" s="17">
        <v>11010370001</v>
      </c>
      <c r="G144" s="20" t="s">
        <v>55</v>
      </c>
      <c r="H144" s="17" t="s">
        <v>51</v>
      </c>
      <c r="I144" s="30">
        <v>0</v>
      </c>
      <c r="J144" s="30">
        <v>311.88000000000028</v>
      </c>
      <c r="K144" s="30">
        <v>1000</v>
      </c>
      <c r="L144" s="30">
        <v>33.049999999999997</v>
      </c>
      <c r="M144" s="30">
        <v>0</v>
      </c>
      <c r="N144" s="30">
        <f>Tabela1[[#This Row],[1QZ DE FEV 26]]-Tabela1[[#This Row],[SALDO PENDENTE]]-Tabela1[[#This Row],[SALDO CARTAO]]-Tabela1[[#This Row],[ADIANTAMENTO]]</f>
        <v>655.06999999999971</v>
      </c>
      <c r="O144" s="30">
        <v>0</v>
      </c>
      <c r="P144" s="39">
        <f>IF(Tabela1[[#This Row],[CARGA PARCIAL]]&lt;0,0,Tabela1[[#This Row],[CARGA PARCIAL]])+Tabela1[[#This Row],[REEMBOLSO]]</f>
        <v>655.06999999999971</v>
      </c>
      <c r="Q144" s="18" t="s">
        <v>27</v>
      </c>
      <c r="R144" s="18"/>
      <c r="AW144"/>
    </row>
    <row r="145" spans="2:49" hidden="1">
      <c r="B145" s="42" t="s">
        <v>401</v>
      </c>
      <c r="C145" s="22" t="s">
        <v>402</v>
      </c>
      <c r="D145" s="17" t="s">
        <v>23</v>
      </c>
      <c r="E145" s="17" t="s">
        <v>403</v>
      </c>
      <c r="F145" s="17">
        <v>11062160001</v>
      </c>
      <c r="G145" s="20" t="s">
        <v>25</v>
      </c>
      <c r="H145" s="17" t="s">
        <v>26</v>
      </c>
      <c r="I145" s="30">
        <v>0</v>
      </c>
      <c r="J145" s="30">
        <v>366.33000000000175</v>
      </c>
      <c r="K145" s="30">
        <v>800</v>
      </c>
      <c r="L145" s="30">
        <v>3</v>
      </c>
      <c r="M145" s="30">
        <v>0</v>
      </c>
      <c r="N145" s="30">
        <f>Tabela1[[#This Row],[1QZ DE FEV 26]]-Tabela1[[#This Row],[SALDO PENDENTE]]-Tabela1[[#This Row],[SALDO CARTAO]]-Tabela1[[#This Row],[ADIANTAMENTO]]</f>
        <v>430.66999999999825</v>
      </c>
      <c r="O145" s="30">
        <v>0</v>
      </c>
      <c r="P145" s="39">
        <f>IF(Tabela1[[#This Row],[CARGA PARCIAL]]&lt;0,0,Tabela1[[#This Row],[CARGA PARCIAL]])+Tabela1[[#This Row],[REEMBOLSO]]</f>
        <v>430.66999999999825</v>
      </c>
      <c r="Q145" s="18" t="s">
        <v>27</v>
      </c>
      <c r="R145" s="18"/>
      <c r="AW145"/>
    </row>
    <row r="146" spans="2:49" hidden="1">
      <c r="B146" s="42" t="s">
        <v>404</v>
      </c>
      <c r="C146" s="22" t="s">
        <v>405</v>
      </c>
      <c r="D146" s="17" t="s">
        <v>23</v>
      </c>
      <c r="E146" s="17" t="s">
        <v>196</v>
      </c>
      <c r="F146" s="17">
        <v>11061720001</v>
      </c>
      <c r="G146" s="20" t="s">
        <v>55</v>
      </c>
      <c r="H146" s="17" t="s">
        <v>51</v>
      </c>
      <c r="I146" s="30">
        <v>0</v>
      </c>
      <c r="J146" s="30">
        <v>840.00000000000023</v>
      </c>
      <c r="K146" s="30">
        <v>800</v>
      </c>
      <c r="L146" s="30">
        <v>8.8000000000000007</v>
      </c>
      <c r="M146" s="30">
        <v>0</v>
      </c>
      <c r="N146" s="30">
        <f>Tabela1[[#This Row],[1QZ DE FEV 26]]-Tabela1[[#This Row],[SALDO PENDENTE]]-Tabela1[[#This Row],[SALDO CARTAO]]-Tabela1[[#This Row],[ADIANTAMENTO]]</f>
        <v>-48.800000000000225</v>
      </c>
      <c r="O146" s="30">
        <v>0</v>
      </c>
      <c r="P146" s="39">
        <f>IF(Tabela1[[#This Row],[CARGA PARCIAL]]&lt;0,0,Tabela1[[#This Row],[CARGA PARCIAL]])+Tabela1[[#This Row],[REEMBOLSO]]</f>
        <v>0</v>
      </c>
      <c r="Q146" s="18" t="s">
        <v>27</v>
      </c>
      <c r="R146" s="18"/>
    </row>
    <row r="147" spans="2:49" hidden="1">
      <c r="B147" s="17" t="s">
        <v>406</v>
      </c>
      <c r="C147" s="17" t="s">
        <v>407</v>
      </c>
      <c r="D147" s="17" t="s">
        <v>23</v>
      </c>
      <c r="E147" s="17" t="s">
        <v>58</v>
      </c>
      <c r="F147" s="17">
        <v>1104150001</v>
      </c>
      <c r="G147" s="20" t="s">
        <v>59</v>
      </c>
      <c r="H147" s="17" t="s">
        <v>51</v>
      </c>
      <c r="I147" s="30">
        <v>-417.3</v>
      </c>
      <c r="J147" s="30">
        <v>0</v>
      </c>
      <c r="K147" s="30">
        <v>0</v>
      </c>
      <c r="L147" s="30">
        <v>14.32</v>
      </c>
      <c r="M147" s="30">
        <v>0</v>
      </c>
      <c r="N147" s="30">
        <f>Tabela1[[#This Row],[1QZ DE FEV 26]]-Tabela1[[#This Row],[SALDO PENDENTE]]-Tabela1[[#This Row],[SALDO CARTAO]]-Tabela1[[#This Row],[ADIANTAMENTO]]</f>
        <v>-14.32</v>
      </c>
      <c r="O147" s="30">
        <v>417.3</v>
      </c>
      <c r="P147" s="39">
        <f>IF(Tabela1[[#This Row],[CARGA PARCIAL]]&lt;0,0,Tabela1[[#This Row],[CARGA PARCIAL]])+Tabela1[[#This Row],[REEMBOLSO]]</f>
        <v>417.3</v>
      </c>
      <c r="Q147" s="18" t="s">
        <v>27</v>
      </c>
      <c r="R147" s="18"/>
    </row>
    <row r="148" spans="2:49" hidden="1">
      <c r="B148" s="17" t="s">
        <v>408</v>
      </c>
      <c r="C148" s="17" t="s">
        <v>409</v>
      </c>
      <c r="D148" s="17" t="s">
        <v>23</v>
      </c>
      <c r="E148" s="17" t="s">
        <v>132</v>
      </c>
      <c r="F148" s="17">
        <v>11040160001</v>
      </c>
      <c r="G148" s="20" t="s">
        <v>63</v>
      </c>
      <c r="H148" s="17" t="s">
        <v>26</v>
      </c>
      <c r="I148" s="30">
        <v>0</v>
      </c>
      <c r="J148" s="30">
        <v>329.90000000000146</v>
      </c>
      <c r="K148" s="30">
        <v>750</v>
      </c>
      <c r="L148" s="30">
        <v>3</v>
      </c>
      <c r="M148" s="30">
        <v>0</v>
      </c>
      <c r="N148" s="30">
        <f>Tabela1[[#This Row],[1QZ DE FEV 26]]-Tabela1[[#This Row],[SALDO PENDENTE]]-Tabela1[[#This Row],[SALDO CARTAO]]-Tabela1[[#This Row],[ADIANTAMENTO]]</f>
        <v>417.09999999999854</v>
      </c>
      <c r="O148" s="30">
        <v>0</v>
      </c>
      <c r="P148" s="39">
        <f>IF(Tabela1[[#This Row],[CARGA PARCIAL]]&lt;0,0,Tabela1[[#This Row],[CARGA PARCIAL]])+Tabela1[[#This Row],[REEMBOLSO]]</f>
        <v>417.09999999999854</v>
      </c>
      <c r="Q148" s="18" t="s">
        <v>27</v>
      </c>
      <c r="R148" s="18"/>
    </row>
    <row r="149" spans="2:49" hidden="1">
      <c r="B149" s="17" t="s">
        <v>410</v>
      </c>
      <c r="C149" s="17" t="s">
        <v>411</v>
      </c>
      <c r="D149" s="17" t="s">
        <v>23</v>
      </c>
      <c r="E149" s="17" t="s">
        <v>122</v>
      </c>
      <c r="F149" s="17">
        <v>11040130001</v>
      </c>
      <c r="G149" s="17" t="s">
        <v>55</v>
      </c>
      <c r="H149" s="17" t="s">
        <v>51</v>
      </c>
      <c r="I149" s="30">
        <v>0</v>
      </c>
      <c r="J149" s="30">
        <v>1666.15</v>
      </c>
      <c r="K149" s="30">
        <v>0</v>
      </c>
      <c r="L149" s="30">
        <v>0.01</v>
      </c>
      <c r="M149" s="30">
        <v>0</v>
      </c>
      <c r="N149" s="30">
        <f>Tabela1[[#This Row],[1QZ DE FEV 26]]-Tabela1[[#This Row],[SALDO PENDENTE]]-Tabela1[[#This Row],[SALDO CARTAO]]-Tabela1[[#This Row],[ADIANTAMENTO]]</f>
        <v>-1666.16</v>
      </c>
      <c r="O149" s="30">
        <v>0</v>
      </c>
      <c r="P149" s="39">
        <f>IF(Tabela1[[#This Row],[CARGA PARCIAL]]&lt;0,0,Tabela1[[#This Row],[CARGA PARCIAL]])+Tabela1[[#This Row],[REEMBOLSO]]</f>
        <v>0</v>
      </c>
      <c r="Q149" s="18" t="s">
        <v>27</v>
      </c>
      <c r="R149" s="18"/>
    </row>
    <row r="150" spans="2:49" hidden="1">
      <c r="B150" s="19" t="s">
        <v>412</v>
      </c>
      <c r="C150" s="19" t="s">
        <v>413</v>
      </c>
      <c r="D150" s="19" t="s">
        <v>23</v>
      </c>
      <c r="E150" s="19" t="s">
        <v>414</v>
      </c>
      <c r="F150" s="19">
        <v>11030800001</v>
      </c>
      <c r="G150" s="19" t="s">
        <v>63</v>
      </c>
      <c r="H150" s="28" t="s">
        <v>26</v>
      </c>
      <c r="I150" s="30">
        <v>0</v>
      </c>
      <c r="J150" s="30">
        <v>579.96000000000038</v>
      </c>
      <c r="K150" s="31">
        <v>1000</v>
      </c>
      <c r="L150" s="30">
        <v>6.1</v>
      </c>
      <c r="M150" s="31">
        <v>0</v>
      </c>
      <c r="N150" s="49">
        <f>Tabela1[[#This Row],[1QZ DE FEV 26]]-Tabela1[[#This Row],[SALDO PENDENTE]]-Tabela1[[#This Row],[SALDO CARTAO]]-Tabela1[[#This Row],[ADIANTAMENTO]]</f>
        <v>413.9399999999996</v>
      </c>
      <c r="O150" s="49">
        <v>0</v>
      </c>
      <c r="P150" s="50">
        <f>IF(Tabela1[[#This Row],[CARGA PARCIAL]]&lt;0,0,Tabela1[[#This Row],[CARGA PARCIAL]])+Tabela1[[#This Row],[REEMBOLSO]]</f>
        <v>413.9399999999996</v>
      </c>
      <c r="Q150" s="44" t="s">
        <v>27</v>
      </c>
      <c r="R150" s="29"/>
    </row>
    <row r="151" spans="2:49" hidden="1">
      <c r="B151" s="42" t="s">
        <v>415</v>
      </c>
      <c r="C151" s="22" t="s">
        <v>416</v>
      </c>
      <c r="D151" s="17" t="s">
        <v>23</v>
      </c>
      <c r="E151" s="17" t="s">
        <v>417</v>
      </c>
      <c r="F151" s="17">
        <v>11040140001</v>
      </c>
      <c r="G151" s="20" t="s">
        <v>55</v>
      </c>
      <c r="H151" s="17" t="s">
        <v>51</v>
      </c>
      <c r="I151" s="30">
        <v>0</v>
      </c>
      <c r="J151" s="30">
        <v>845.5699999999988</v>
      </c>
      <c r="K151" s="30">
        <v>3500</v>
      </c>
      <c r="L151" s="30">
        <v>3500</v>
      </c>
      <c r="M151" s="30">
        <v>0</v>
      </c>
      <c r="N151" s="30">
        <f>Tabela1[[#This Row],[1QZ DE FEV 26]]-Tabela1[[#This Row],[SALDO PENDENTE]]-Tabela1[[#This Row],[SALDO CARTAO]]-Tabela1[[#This Row],[ADIANTAMENTO]]</f>
        <v>-845.5699999999988</v>
      </c>
      <c r="O151" s="30">
        <v>0</v>
      </c>
      <c r="P151" s="39">
        <f>IF(Tabela1[[#This Row],[CARGA PARCIAL]]&lt;0,0,Tabela1[[#This Row],[CARGA PARCIAL]])+Tabela1[[#This Row],[REEMBOLSO]]</f>
        <v>0</v>
      </c>
      <c r="Q151" s="18" t="s">
        <v>27</v>
      </c>
      <c r="R151" s="18"/>
    </row>
    <row r="152" spans="2:49" hidden="1">
      <c r="B152" s="17" t="s">
        <v>418</v>
      </c>
      <c r="C152" s="17" t="s">
        <v>419</v>
      </c>
      <c r="D152" s="17" t="s">
        <v>23</v>
      </c>
      <c r="E152" s="17" t="s">
        <v>420</v>
      </c>
      <c r="F152" s="17">
        <v>11030630001</v>
      </c>
      <c r="G152" s="20" t="s">
        <v>71</v>
      </c>
      <c r="H152" s="17" t="s">
        <v>51</v>
      </c>
      <c r="I152" s="30">
        <v>0</v>
      </c>
      <c r="J152" s="30">
        <v>2384.0000000000146</v>
      </c>
      <c r="K152" s="30">
        <v>2800</v>
      </c>
      <c r="L152" s="30">
        <v>9</v>
      </c>
      <c r="M152" s="30">
        <v>0</v>
      </c>
      <c r="N152" s="30">
        <f>Tabela1[[#This Row],[1QZ DE FEV 26]]-Tabela1[[#This Row],[SALDO PENDENTE]]-Tabela1[[#This Row],[SALDO CARTAO]]-Tabela1[[#This Row],[ADIANTAMENTO]]</f>
        <v>406.99999999998545</v>
      </c>
      <c r="O152" s="30">
        <v>0</v>
      </c>
      <c r="P152" s="39">
        <f>IF(Tabela1[[#This Row],[CARGA PARCIAL]]&lt;0,0,Tabela1[[#This Row],[CARGA PARCIAL]])+Tabela1[[#This Row],[REEMBOLSO]]</f>
        <v>406.99999999998545</v>
      </c>
      <c r="Q152" s="18" t="s">
        <v>27</v>
      </c>
      <c r="R152" s="18"/>
    </row>
    <row r="153" spans="2:49" hidden="1">
      <c r="B153" s="51" t="s">
        <v>421</v>
      </c>
      <c r="C153" s="47" t="s">
        <v>422</v>
      </c>
      <c r="D153" s="19" t="s">
        <v>23</v>
      </c>
      <c r="E153" s="19" t="s">
        <v>423</v>
      </c>
      <c r="F153" s="19">
        <v>11062650001</v>
      </c>
      <c r="G153" s="27" t="s">
        <v>25</v>
      </c>
      <c r="H153" s="28" t="s">
        <v>26</v>
      </c>
      <c r="I153" s="65">
        <v>-1821.5300000000134</v>
      </c>
      <c r="J153" s="30">
        <v>0</v>
      </c>
      <c r="K153" s="31">
        <v>1500</v>
      </c>
      <c r="L153" s="30">
        <v>1093.5</v>
      </c>
      <c r="M153" s="31">
        <v>0</v>
      </c>
      <c r="N153" s="49">
        <f>Tabela1[[#This Row],[1QZ DE FEV 26]]-Tabela1[[#This Row],[SALDO PENDENTE]]-Tabela1[[#This Row],[SALDO CARTAO]]-Tabela1[[#This Row],[ADIANTAMENTO]]</f>
        <v>406.5</v>
      </c>
      <c r="O153" s="49">
        <v>0</v>
      </c>
      <c r="P153" s="50">
        <f>IF(Tabela1[[#This Row],[CARGA PARCIAL]]&lt;0,0,Tabela1[[#This Row],[CARGA PARCIAL]])+Tabela1[[#This Row],[REEMBOLSO]]</f>
        <v>406.5</v>
      </c>
      <c r="Q153" s="44" t="s">
        <v>27</v>
      </c>
      <c r="R153" s="29"/>
    </row>
    <row r="154" spans="2:49" hidden="1">
      <c r="B154" s="42" t="s">
        <v>424</v>
      </c>
      <c r="C154" s="22" t="s">
        <v>425</v>
      </c>
      <c r="D154" s="17" t="s">
        <v>23</v>
      </c>
      <c r="E154" s="17" t="s">
        <v>426</v>
      </c>
      <c r="F154" s="17">
        <v>11080500001</v>
      </c>
      <c r="G154" s="20" t="s">
        <v>25</v>
      </c>
      <c r="H154" s="17" t="s">
        <v>26</v>
      </c>
      <c r="I154" s="30">
        <v>0</v>
      </c>
      <c r="J154" s="30">
        <v>0</v>
      </c>
      <c r="K154" s="30">
        <v>500</v>
      </c>
      <c r="L154" s="30">
        <v>94.3</v>
      </c>
      <c r="M154" s="30">
        <v>0</v>
      </c>
      <c r="N154" s="30">
        <f>Tabela1[[#This Row],[1QZ DE FEV 26]]-Tabela1[[#This Row],[SALDO PENDENTE]]-Tabela1[[#This Row],[SALDO CARTAO]]-Tabela1[[#This Row],[ADIANTAMENTO]]</f>
        <v>405.7</v>
      </c>
      <c r="O154" s="30">
        <v>0</v>
      </c>
      <c r="P154" s="39">
        <f>IF(Tabela1[[#This Row],[CARGA PARCIAL]]&lt;0,0,Tabela1[[#This Row],[CARGA PARCIAL]])+Tabela1[[#This Row],[REEMBOLSO]]</f>
        <v>405.7</v>
      </c>
      <c r="Q154" s="18" t="s">
        <v>27</v>
      </c>
      <c r="R154" s="18"/>
    </row>
    <row r="155" spans="2:49" hidden="1">
      <c r="B155" s="51" t="s">
        <v>427</v>
      </c>
      <c r="C155" s="47" t="s">
        <v>428</v>
      </c>
      <c r="D155" s="19" t="s">
        <v>23</v>
      </c>
      <c r="E155" s="19" t="s">
        <v>196</v>
      </c>
      <c r="F155" s="19">
        <v>11061720001</v>
      </c>
      <c r="G155" s="27" t="s">
        <v>55</v>
      </c>
      <c r="H155" s="28" t="s">
        <v>51</v>
      </c>
      <c r="I155" s="30">
        <v>0</v>
      </c>
      <c r="J155" s="30">
        <v>45.300000000000146</v>
      </c>
      <c r="K155" s="31">
        <v>800</v>
      </c>
      <c r="L155" s="30">
        <v>0</v>
      </c>
      <c r="M155" s="31">
        <v>0</v>
      </c>
      <c r="N155" s="49">
        <f>Tabela1[[#This Row],[1QZ DE FEV 26]]-Tabela1[[#This Row],[SALDO PENDENTE]]-Tabela1[[#This Row],[SALDO CARTAO]]-Tabela1[[#This Row],[ADIANTAMENTO]]</f>
        <v>754.69999999999982</v>
      </c>
      <c r="O155" s="49">
        <v>0</v>
      </c>
      <c r="P155" s="50">
        <f>IF(Tabela1[[#This Row],[CARGA PARCIAL]]&lt;0,0,Tabela1[[#This Row],[CARGA PARCIAL]])+Tabela1[[#This Row],[REEMBOLSO]]</f>
        <v>754.69999999999982</v>
      </c>
      <c r="Q155" s="44" t="s">
        <v>27</v>
      </c>
      <c r="R155" s="29"/>
    </row>
    <row r="156" spans="2:49" hidden="1">
      <c r="B156" s="17" t="s">
        <v>429</v>
      </c>
      <c r="C156" s="17" t="s">
        <v>430</v>
      </c>
      <c r="D156" s="17" t="s">
        <v>23</v>
      </c>
      <c r="E156" s="17" t="s">
        <v>431</v>
      </c>
      <c r="F156" s="17">
        <v>11061400001</v>
      </c>
      <c r="G156" s="17" t="s">
        <v>55</v>
      </c>
      <c r="H156" s="17" t="s">
        <v>51</v>
      </c>
      <c r="I156" s="30">
        <v>-80.800000000000253</v>
      </c>
      <c r="J156" s="30">
        <v>0</v>
      </c>
      <c r="K156" s="30">
        <v>0</v>
      </c>
      <c r="L156" s="30">
        <v>94.33</v>
      </c>
      <c r="M156" s="30">
        <v>0</v>
      </c>
      <c r="N156" s="30">
        <f>Tabela1[[#This Row],[1QZ DE FEV 26]]-Tabela1[[#This Row],[SALDO PENDENTE]]-Tabela1[[#This Row],[SALDO CARTAO]]-Tabela1[[#This Row],[ADIANTAMENTO]]</f>
        <v>-94.33</v>
      </c>
      <c r="O156" s="30">
        <v>0</v>
      </c>
      <c r="P156" s="39">
        <f>IF(Tabela1[[#This Row],[CARGA PARCIAL]]&lt;0,0,Tabela1[[#This Row],[CARGA PARCIAL]])+Tabela1[[#This Row],[REEMBOLSO]]</f>
        <v>0</v>
      </c>
      <c r="Q156" s="18" t="s">
        <v>27</v>
      </c>
      <c r="R156" s="18"/>
    </row>
    <row r="157" spans="2:49" hidden="1">
      <c r="B157" s="51" t="s">
        <v>432</v>
      </c>
      <c r="C157" s="47" t="s">
        <v>433</v>
      </c>
      <c r="D157" s="19" t="s">
        <v>23</v>
      </c>
      <c r="E157" s="19" t="s">
        <v>434</v>
      </c>
      <c r="F157" s="19">
        <v>1201014</v>
      </c>
      <c r="G157" s="27" t="s">
        <v>435</v>
      </c>
      <c r="H157" s="28" t="s">
        <v>177</v>
      </c>
      <c r="I157" s="30">
        <v>-367.94000000000028</v>
      </c>
      <c r="J157" s="30">
        <v>0</v>
      </c>
      <c r="K157" s="31">
        <v>0</v>
      </c>
      <c r="L157" s="30">
        <v>32</v>
      </c>
      <c r="M157" s="31">
        <v>0</v>
      </c>
      <c r="N157" s="49">
        <f>Tabela1[[#This Row],[1QZ DE FEV 26]]-Tabela1[[#This Row],[SALDO PENDENTE]]-Tabela1[[#This Row],[SALDO CARTAO]]-Tabela1[[#This Row],[ADIANTAMENTO]]</f>
        <v>-32</v>
      </c>
      <c r="O157" s="49">
        <v>367.94</v>
      </c>
      <c r="P157" s="50">
        <f>IF(Tabela1[[#This Row],[CARGA PARCIAL]]&lt;0,0,Tabela1[[#This Row],[CARGA PARCIAL]])+Tabela1[[#This Row],[REEMBOLSO]]</f>
        <v>367.94</v>
      </c>
      <c r="Q157" s="44" t="s">
        <v>27</v>
      </c>
      <c r="R157" s="29"/>
    </row>
    <row r="158" spans="2:49" hidden="1">
      <c r="B158" s="17" t="s">
        <v>436</v>
      </c>
      <c r="C158" s="17" t="s">
        <v>437</v>
      </c>
      <c r="D158" s="17" t="s">
        <v>23</v>
      </c>
      <c r="E158" s="17" t="s">
        <v>414</v>
      </c>
      <c r="F158" s="17">
        <v>11030800001</v>
      </c>
      <c r="G158" s="20" t="s">
        <v>63</v>
      </c>
      <c r="H158" s="17" t="s">
        <v>26</v>
      </c>
      <c r="I158" s="30">
        <v>0</v>
      </c>
      <c r="J158" s="30">
        <v>120.62999999999947</v>
      </c>
      <c r="K158" s="30">
        <v>500</v>
      </c>
      <c r="L158" s="30">
        <v>43.95</v>
      </c>
      <c r="M158" s="30">
        <v>0</v>
      </c>
      <c r="N158" s="30">
        <f>Tabela1[[#This Row],[1QZ DE FEV 26]]-Tabela1[[#This Row],[SALDO PENDENTE]]-Tabela1[[#This Row],[SALDO CARTAO]]-Tabela1[[#This Row],[ADIANTAMENTO]]</f>
        <v>335.42000000000053</v>
      </c>
      <c r="O158" s="30">
        <v>0</v>
      </c>
      <c r="P158" s="39">
        <f>IF(Tabela1[[#This Row],[CARGA PARCIAL]]&lt;0,0,Tabela1[[#This Row],[CARGA PARCIAL]])+Tabela1[[#This Row],[REEMBOLSO]]</f>
        <v>335.42000000000053</v>
      </c>
      <c r="Q158" s="18" t="s">
        <v>27</v>
      </c>
      <c r="R158" s="18"/>
    </row>
    <row r="159" spans="2:49" hidden="1">
      <c r="B159" s="17" t="s">
        <v>438</v>
      </c>
      <c r="C159" s="17" t="s">
        <v>439</v>
      </c>
      <c r="D159" s="17" t="s">
        <v>23</v>
      </c>
      <c r="E159" s="17" t="s">
        <v>132</v>
      </c>
      <c r="F159" s="17">
        <v>11040160001</v>
      </c>
      <c r="G159" s="17" t="s">
        <v>63</v>
      </c>
      <c r="H159" s="17" t="s">
        <v>26</v>
      </c>
      <c r="I159" s="30">
        <v>0</v>
      </c>
      <c r="J159" s="30">
        <v>366.89000000000033</v>
      </c>
      <c r="K159" s="30">
        <v>700</v>
      </c>
      <c r="L159" s="30">
        <v>4.5199999999999996</v>
      </c>
      <c r="M159" s="30">
        <v>0</v>
      </c>
      <c r="N159" s="30">
        <f>Tabela1[[#This Row],[1QZ DE FEV 26]]-Tabela1[[#This Row],[SALDO PENDENTE]]-Tabela1[[#This Row],[SALDO CARTAO]]-Tabela1[[#This Row],[ADIANTAMENTO]]</f>
        <v>328.58999999999969</v>
      </c>
      <c r="O159" s="30">
        <v>0</v>
      </c>
      <c r="P159" s="39">
        <f>IF(Tabela1[[#This Row],[CARGA PARCIAL]]&lt;0,0,Tabela1[[#This Row],[CARGA PARCIAL]])+Tabela1[[#This Row],[REEMBOLSO]]</f>
        <v>328.58999999999969</v>
      </c>
      <c r="Q159" s="18" t="s">
        <v>27</v>
      </c>
      <c r="R159" s="18"/>
    </row>
    <row r="160" spans="2:49" hidden="1">
      <c r="B160" s="17" t="s">
        <v>440</v>
      </c>
      <c r="C160" s="17" t="s">
        <v>441</v>
      </c>
      <c r="D160" s="17" t="s">
        <v>23</v>
      </c>
      <c r="E160" s="17" t="s">
        <v>119</v>
      </c>
      <c r="F160" s="17">
        <v>11060800001</v>
      </c>
      <c r="G160" s="17" t="s">
        <v>55</v>
      </c>
      <c r="H160" s="17" t="s">
        <v>51</v>
      </c>
      <c r="I160" s="30">
        <v>0</v>
      </c>
      <c r="J160" s="30">
        <v>51.789999999999964</v>
      </c>
      <c r="K160" s="30">
        <v>0</v>
      </c>
      <c r="L160" s="30">
        <v>39</v>
      </c>
      <c r="M160" s="30">
        <v>0</v>
      </c>
      <c r="N160" s="30">
        <f>Tabela1[[#This Row],[1QZ DE FEV 26]]-Tabela1[[#This Row],[SALDO PENDENTE]]-Tabela1[[#This Row],[SALDO CARTAO]]-Tabela1[[#This Row],[ADIANTAMENTO]]</f>
        <v>-90.789999999999964</v>
      </c>
      <c r="O160" s="30">
        <v>0</v>
      </c>
      <c r="P160" s="39">
        <f>IF(Tabela1[[#This Row],[CARGA PARCIAL]]&lt;0,0,Tabela1[[#This Row],[CARGA PARCIAL]])+Tabela1[[#This Row],[REEMBOLSO]]</f>
        <v>0</v>
      </c>
      <c r="Q160" s="18" t="s">
        <v>27</v>
      </c>
      <c r="R160" s="18"/>
    </row>
    <row r="161" spans="2:18" hidden="1">
      <c r="B161" s="42" t="s">
        <v>442</v>
      </c>
      <c r="C161" s="22" t="s">
        <v>443</v>
      </c>
      <c r="D161" s="17" t="s">
        <v>23</v>
      </c>
      <c r="E161" s="17" t="s">
        <v>444</v>
      </c>
      <c r="F161" s="17">
        <v>11030810001</v>
      </c>
      <c r="G161" s="20" t="s">
        <v>31</v>
      </c>
      <c r="H161" s="17" t="s">
        <v>26</v>
      </c>
      <c r="I161" s="65">
        <v>-1182.0100000000057</v>
      </c>
      <c r="J161" s="30">
        <v>0</v>
      </c>
      <c r="K161" s="30">
        <v>1000</v>
      </c>
      <c r="L161" s="30">
        <v>710.34</v>
      </c>
      <c r="M161" s="30">
        <v>0</v>
      </c>
      <c r="N161" s="30">
        <f>Tabela1[[#This Row],[1QZ DE FEV 26]]-Tabela1[[#This Row],[SALDO PENDENTE]]-Tabela1[[#This Row],[SALDO CARTAO]]-Tabela1[[#This Row],[ADIANTAMENTO]]</f>
        <v>289.65999999999997</v>
      </c>
      <c r="O161" s="30">
        <v>0</v>
      </c>
      <c r="P161" s="39">
        <f>IF(Tabela1[[#This Row],[CARGA PARCIAL]]&lt;0,0,Tabela1[[#This Row],[CARGA PARCIAL]])+Tabela1[[#This Row],[REEMBOLSO]]</f>
        <v>289.65999999999997</v>
      </c>
      <c r="Q161" s="18" t="s">
        <v>27</v>
      </c>
      <c r="R161" s="18"/>
    </row>
    <row r="162" spans="2:18" hidden="1">
      <c r="B162" s="42" t="s">
        <v>445</v>
      </c>
      <c r="C162" s="22" t="s">
        <v>446</v>
      </c>
      <c r="D162" s="17" t="s">
        <v>23</v>
      </c>
      <c r="E162" s="17" t="s">
        <v>447</v>
      </c>
      <c r="F162" s="17">
        <v>11010330001</v>
      </c>
      <c r="G162" s="20" t="s">
        <v>50</v>
      </c>
      <c r="H162" s="17" t="s">
        <v>51</v>
      </c>
      <c r="I162" s="30">
        <v>-25.169999999999447</v>
      </c>
      <c r="J162" s="30">
        <v>0</v>
      </c>
      <c r="K162" s="30">
        <v>500</v>
      </c>
      <c r="L162" s="30">
        <v>212.8</v>
      </c>
      <c r="M162" s="30">
        <v>0</v>
      </c>
      <c r="N162" s="30">
        <f>Tabela1[[#This Row],[1QZ DE FEV 26]]-Tabela1[[#This Row],[SALDO PENDENTE]]-Tabela1[[#This Row],[SALDO CARTAO]]-Tabela1[[#This Row],[ADIANTAMENTO]]</f>
        <v>287.2</v>
      </c>
      <c r="O162" s="30">
        <v>0</v>
      </c>
      <c r="P162" s="39">
        <f>IF(Tabela1[[#This Row],[CARGA PARCIAL]]&lt;0,0,Tabela1[[#This Row],[CARGA PARCIAL]])+Tabela1[[#This Row],[REEMBOLSO]]</f>
        <v>287.2</v>
      </c>
      <c r="Q162" s="18" t="s">
        <v>27</v>
      </c>
      <c r="R162" s="18"/>
    </row>
    <row r="163" spans="2:18" hidden="1">
      <c r="B163" s="41" t="s">
        <v>448</v>
      </c>
      <c r="C163" s="22" t="s">
        <v>449</v>
      </c>
      <c r="D163" s="17" t="s">
        <v>23</v>
      </c>
      <c r="E163" s="17" t="s">
        <v>417</v>
      </c>
      <c r="F163" s="17">
        <v>11040140001</v>
      </c>
      <c r="G163" s="20" t="s">
        <v>59</v>
      </c>
      <c r="H163" s="17" t="s">
        <v>51</v>
      </c>
      <c r="I163" s="30">
        <v>-114.70000000000201</v>
      </c>
      <c r="J163" s="30">
        <v>0</v>
      </c>
      <c r="K163" s="30">
        <v>200</v>
      </c>
      <c r="L163" s="30">
        <v>40.4</v>
      </c>
      <c r="M163" s="30">
        <v>0</v>
      </c>
      <c r="N163" s="30">
        <f>Tabela1[[#This Row],[1QZ DE FEV 26]]-Tabela1[[#This Row],[SALDO PENDENTE]]-Tabela1[[#This Row],[SALDO CARTAO]]-Tabela1[[#This Row],[ADIANTAMENTO]]</f>
        <v>159.6</v>
      </c>
      <c r="O163" s="30">
        <v>114.7</v>
      </c>
      <c r="P163" s="39">
        <f>IF(Tabela1[[#This Row],[CARGA PARCIAL]]&lt;0,0,Tabela1[[#This Row],[CARGA PARCIAL]])+Tabela1[[#This Row],[REEMBOLSO]]</f>
        <v>274.3</v>
      </c>
      <c r="Q163" s="18" t="s">
        <v>27</v>
      </c>
      <c r="R163" s="18"/>
    </row>
    <row r="164" spans="2:18" hidden="1">
      <c r="B164" s="42" t="s">
        <v>450</v>
      </c>
      <c r="C164" s="22" t="s">
        <v>451</v>
      </c>
      <c r="D164" s="17" t="s">
        <v>23</v>
      </c>
      <c r="E164" s="17" t="s">
        <v>122</v>
      </c>
      <c r="F164" s="17">
        <v>11040130001</v>
      </c>
      <c r="G164" s="20" t="s">
        <v>59</v>
      </c>
      <c r="H164" s="17" t="s">
        <v>51</v>
      </c>
      <c r="I164" s="30">
        <v>-268.52000000000112</v>
      </c>
      <c r="J164" s="30">
        <v>0</v>
      </c>
      <c r="K164" s="30">
        <v>0</v>
      </c>
      <c r="L164" s="30">
        <v>0</v>
      </c>
      <c r="M164" s="30">
        <v>0</v>
      </c>
      <c r="N164" s="30">
        <f>Tabela1[[#This Row],[1QZ DE FEV 26]]-Tabela1[[#This Row],[SALDO PENDENTE]]-Tabela1[[#This Row],[SALDO CARTAO]]-Tabela1[[#This Row],[ADIANTAMENTO]]</f>
        <v>0</v>
      </c>
      <c r="O164" s="30">
        <v>268.52</v>
      </c>
      <c r="P164" s="39">
        <f>IF(Tabela1[[#This Row],[CARGA PARCIAL]]&lt;0,0,Tabela1[[#This Row],[CARGA PARCIAL]])+Tabela1[[#This Row],[REEMBOLSO]]</f>
        <v>268.52</v>
      </c>
      <c r="Q164" s="18" t="s">
        <v>27</v>
      </c>
      <c r="R164" s="18"/>
    </row>
    <row r="165" spans="2:18" hidden="1">
      <c r="B165" s="17" t="s">
        <v>452</v>
      </c>
      <c r="C165" s="17" t="s">
        <v>453</v>
      </c>
      <c r="D165" s="17" t="s">
        <v>23</v>
      </c>
      <c r="E165" s="17" t="s">
        <v>417</v>
      </c>
      <c r="F165" s="17">
        <v>11040140001</v>
      </c>
      <c r="G165" s="17" t="s">
        <v>59</v>
      </c>
      <c r="H165" s="26" t="s">
        <v>51</v>
      </c>
      <c r="I165" s="30">
        <v>-251.71000000000004</v>
      </c>
      <c r="J165" s="30">
        <v>0</v>
      </c>
      <c r="K165" s="31">
        <v>100</v>
      </c>
      <c r="L165" s="30">
        <v>83.5</v>
      </c>
      <c r="M165" s="30">
        <v>0</v>
      </c>
      <c r="N165" s="38">
        <f>Tabela1[[#This Row],[1QZ DE FEV 26]]-Tabela1[[#This Row],[SALDO PENDENTE]]-Tabela1[[#This Row],[SALDO CARTAO]]-Tabela1[[#This Row],[ADIANTAMENTO]]</f>
        <v>16.5</v>
      </c>
      <c r="O165" s="38">
        <v>251.71</v>
      </c>
      <c r="P165" s="39">
        <f>IF(Tabela1[[#This Row],[CARGA PARCIAL]]&lt;0,0,Tabela1[[#This Row],[CARGA PARCIAL]])+Tabela1[[#This Row],[REEMBOLSO]]</f>
        <v>268.21000000000004</v>
      </c>
      <c r="Q165" s="40" t="s">
        <v>27</v>
      </c>
      <c r="R165" s="18"/>
    </row>
    <row r="166" spans="2:18" hidden="1">
      <c r="B166" s="42" t="s">
        <v>454</v>
      </c>
      <c r="C166" s="22" t="s">
        <v>455</v>
      </c>
      <c r="D166" s="17" t="s">
        <v>23</v>
      </c>
      <c r="E166" s="17" t="s">
        <v>196</v>
      </c>
      <c r="F166" s="17">
        <v>11061720001</v>
      </c>
      <c r="G166" s="20" t="s">
        <v>55</v>
      </c>
      <c r="H166" s="26" t="s">
        <v>51</v>
      </c>
      <c r="I166" s="30">
        <v>0</v>
      </c>
      <c r="J166" s="30">
        <v>178.77999999999997</v>
      </c>
      <c r="K166" s="31">
        <v>800</v>
      </c>
      <c r="L166" s="30">
        <v>479.22</v>
      </c>
      <c r="M166" s="30">
        <v>0</v>
      </c>
      <c r="N166" s="38">
        <f>Tabela1[[#This Row],[1QZ DE FEV 26]]-Tabela1[[#This Row],[SALDO PENDENTE]]-Tabela1[[#This Row],[SALDO CARTAO]]-Tabela1[[#This Row],[ADIANTAMENTO]]</f>
        <v>142</v>
      </c>
      <c r="O166" s="38">
        <v>0</v>
      </c>
      <c r="P166" s="39">
        <f>IF(Tabela1[[#This Row],[CARGA PARCIAL]]&lt;0,0,Tabela1[[#This Row],[CARGA PARCIAL]])+Tabela1[[#This Row],[REEMBOLSO]]</f>
        <v>142</v>
      </c>
      <c r="Q166" s="40" t="s">
        <v>27</v>
      </c>
      <c r="R166" s="18"/>
    </row>
    <row r="167" spans="2:18" hidden="1">
      <c r="B167" s="51" t="s">
        <v>456</v>
      </c>
      <c r="C167" s="47" t="s">
        <v>457</v>
      </c>
      <c r="D167" s="19" t="s">
        <v>23</v>
      </c>
      <c r="E167" s="19" t="s">
        <v>58</v>
      </c>
      <c r="F167" s="19">
        <v>1104150001</v>
      </c>
      <c r="G167" s="27" t="s">
        <v>59</v>
      </c>
      <c r="H167" s="28" t="s">
        <v>51</v>
      </c>
      <c r="I167" s="30">
        <v>-264.69999999999987</v>
      </c>
      <c r="J167" s="30">
        <v>0</v>
      </c>
      <c r="K167" s="31">
        <v>0</v>
      </c>
      <c r="L167" s="30">
        <v>0.81</v>
      </c>
      <c r="M167" s="31">
        <v>0</v>
      </c>
      <c r="N167" s="49">
        <f>Tabela1[[#This Row],[1QZ DE FEV 26]]-Tabela1[[#This Row],[SALDO PENDENTE]]-Tabela1[[#This Row],[SALDO CARTAO]]-Tabela1[[#This Row],[ADIANTAMENTO]]</f>
        <v>-0.81</v>
      </c>
      <c r="O167" s="49">
        <v>264.7</v>
      </c>
      <c r="P167" s="50">
        <f>IF(Tabela1[[#This Row],[CARGA PARCIAL]]&lt;0,0,Tabela1[[#This Row],[CARGA PARCIAL]])+Tabela1[[#This Row],[REEMBOLSO]]</f>
        <v>264.7</v>
      </c>
      <c r="Q167" s="44" t="s">
        <v>27</v>
      </c>
      <c r="R167" s="29"/>
    </row>
    <row r="168" spans="2:18" hidden="1">
      <c r="B168" s="42" t="s">
        <v>458</v>
      </c>
      <c r="C168" s="22" t="s">
        <v>459</v>
      </c>
      <c r="D168" s="17" t="s">
        <v>23</v>
      </c>
      <c r="E168" s="17" t="s">
        <v>62</v>
      </c>
      <c r="F168" s="17">
        <v>11030660001</v>
      </c>
      <c r="G168" s="20" t="s">
        <v>63</v>
      </c>
      <c r="H168" s="17" t="s">
        <v>26</v>
      </c>
      <c r="I168" s="30">
        <v>0</v>
      </c>
      <c r="J168" s="30">
        <v>734.94000000000051</v>
      </c>
      <c r="K168" s="30">
        <v>1000</v>
      </c>
      <c r="L168" s="30">
        <v>3</v>
      </c>
      <c r="M168" s="30">
        <v>0</v>
      </c>
      <c r="N168" s="30">
        <f>Tabela1[[#This Row],[1QZ DE FEV 26]]-Tabela1[[#This Row],[SALDO PENDENTE]]-Tabela1[[#This Row],[SALDO CARTAO]]-Tabela1[[#This Row],[ADIANTAMENTO]]</f>
        <v>262.05999999999949</v>
      </c>
      <c r="O168" s="30">
        <v>0</v>
      </c>
      <c r="P168" s="39">
        <f>IF(Tabela1[[#This Row],[CARGA PARCIAL]]&lt;0,0,Tabela1[[#This Row],[CARGA PARCIAL]])+Tabela1[[#This Row],[REEMBOLSO]]</f>
        <v>262.05999999999949</v>
      </c>
      <c r="Q168" s="18" t="s">
        <v>27</v>
      </c>
      <c r="R168" s="18"/>
    </row>
    <row r="169" spans="2:18" hidden="1">
      <c r="B169" s="42" t="s">
        <v>460</v>
      </c>
      <c r="C169" s="22" t="s">
        <v>461</v>
      </c>
      <c r="D169" s="17" t="s">
        <v>23</v>
      </c>
      <c r="E169" s="17" t="s">
        <v>132</v>
      </c>
      <c r="F169" s="17">
        <v>11040160001</v>
      </c>
      <c r="G169" s="20" t="s">
        <v>63</v>
      </c>
      <c r="H169" s="17" t="s">
        <v>26</v>
      </c>
      <c r="I169" s="30">
        <v>0</v>
      </c>
      <c r="J169" s="30">
        <v>689.9799999999999</v>
      </c>
      <c r="K169" s="30">
        <v>1000</v>
      </c>
      <c r="L169" s="30">
        <v>49.12</v>
      </c>
      <c r="M169" s="30">
        <v>0</v>
      </c>
      <c r="N169" s="30">
        <f>Tabela1[[#This Row],[1QZ DE FEV 26]]-Tabela1[[#This Row],[SALDO PENDENTE]]-Tabela1[[#This Row],[SALDO CARTAO]]-Tabela1[[#This Row],[ADIANTAMENTO]]</f>
        <v>260.90000000000009</v>
      </c>
      <c r="O169" s="30">
        <v>0</v>
      </c>
      <c r="P169" s="39">
        <f>IF(Tabela1[[#This Row],[CARGA PARCIAL]]&lt;0,0,Tabela1[[#This Row],[CARGA PARCIAL]])+Tabela1[[#This Row],[REEMBOLSO]]</f>
        <v>260.90000000000009</v>
      </c>
      <c r="Q169" s="18" t="s">
        <v>27</v>
      </c>
      <c r="R169" s="18"/>
    </row>
    <row r="170" spans="2:18" hidden="1">
      <c r="B170" s="41" t="s">
        <v>462</v>
      </c>
      <c r="C170" s="22" t="s">
        <v>463</v>
      </c>
      <c r="D170" s="17" t="s">
        <v>23</v>
      </c>
      <c r="E170" s="17" t="s">
        <v>125</v>
      </c>
      <c r="F170" s="17">
        <v>11040170001</v>
      </c>
      <c r="G170" s="20" t="s">
        <v>25</v>
      </c>
      <c r="H170" s="17" t="s">
        <v>26</v>
      </c>
      <c r="I170" s="30">
        <v>0</v>
      </c>
      <c r="J170" s="30">
        <v>138.81999999999891</v>
      </c>
      <c r="K170" s="30">
        <v>1000</v>
      </c>
      <c r="L170" s="30">
        <v>605.13</v>
      </c>
      <c r="M170" s="30">
        <v>0</v>
      </c>
      <c r="N170" s="30">
        <f>Tabela1[[#This Row],[1QZ DE FEV 26]]-Tabela1[[#This Row],[SALDO PENDENTE]]-Tabela1[[#This Row],[SALDO CARTAO]]-Tabela1[[#This Row],[ADIANTAMENTO]]</f>
        <v>256.05000000000109</v>
      </c>
      <c r="O170" s="30"/>
      <c r="P170" s="45">
        <f>IF(Tabela1[[#This Row],[CARGA PARCIAL]]&lt;0,0,Tabela1[[#This Row],[CARGA PARCIAL]])+Tabela1[[#This Row],[REEMBOLSO]]</f>
        <v>256.05000000000109</v>
      </c>
      <c r="Q170" s="18" t="s">
        <v>27</v>
      </c>
      <c r="R170" s="18"/>
    </row>
    <row r="171" spans="2:18" hidden="1">
      <c r="B171" s="17" t="s">
        <v>464</v>
      </c>
      <c r="C171" s="17" t="s">
        <v>465</v>
      </c>
      <c r="D171" s="17" t="s">
        <v>23</v>
      </c>
      <c r="E171" s="17" t="s">
        <v>132</v>
      </c>
      <c r="F171" s="17">
        <v>11040160001</v>
      </c>
      <c r="G171" s="20" t="s">
        <v>63</v>
      </c>
      <c r="H171" s="17" t="s">
        <v>26</v>
      </c>
      <c r="I171" s="30">
        <v>0</v>
      </c>
      <c r="J171" s="30">
        <v>240.47999999999945</v>
      </c>
      <c r="K171" s="30">
        <v>500</v>
      </c>
      <c r="L171" s="30">
        <v>14.62</v>
      </c>
      <c r="M171" s="30">
        <v>0</v>
      </c>
      <c r="N171" s="30">
        <f>Tabela1[[#This Row],[1QZ DE FEV 26]]-Tabela1[[#This Row],[SALDO PENDENTE]]-Tabela1[[#This Row],[SALDO CARTAO]]-Tabela1[[#This Row],[ADIANTAMENTO]]</f>
        <v>244.90000000000055</v>
      </c>
      <c r="O171" s="30">
        <v>0</v>
      </c>
      <c r="P171" s="39">
        <f>IF(Tabela1[[#This Row],[CARGA PARCIAL]]&lt;0,0,Tabela1[[#This Row],[CARGA PARCIAL]])+Tabela1[[#This Row],[REEMBOLSO]]</f>
        <v>244.90000000000055</v>
      </c>
      <c r="Q171" s="18" t="s">
        <v>27</v>
      </c>
      <c r="R171" s="18"/>
    </row>
    <row r="172" spans="2:18" hidden="1">
      <c r="B172" s="17" t="s">
        <v>466</v>
      </c>
      <c r="C172" s="17" t="s">
        <v>467</v>
      </c>
      <c r="D172" s="17" t="s">
        <v>23</v>
      </c>
      <c r="E172" s="17" t="s">
        <v>468</v>
      </c>
      <c r="F172" s="17">
        <v>11010060001</v>
      </c>
      <c r="G172" s="20" t="s">
        <v>25</v>
      </c>
      <c r="H172" s="17" t="s">
        <v>26</v>
      </c>
      <c r="I172" s="30">
        <v>0</v>
      </c>
      <c r="J172" s="30">
        <v>514.92999999999995</v>
      </c>
      <c r="K172" s="30">
        <v>800</v>
      </c>
      <c r="L172" s="30">
        <v>45.92</v>
      </c>
      <c r="M172" s="30">
        <v>0</v>
      </c>
      <c r="N172" s="30">
        <f>Tabela1[[#This Row],[1QZ DE FEV 26]]-Tabela1[[#This Row],[SALDO PENDENTE]]-Tabela1[[#This Row],[SALDO CARTAO]]-Tabela1[[#This Row],[ADIANTAMENTO]]</f>
        <v>239.15000000000003</v>
      </c>
      <c r="O172" s="30">
        <v>0</v>
      </c>
      <c r="P172" s="39">
        <f>IF(Tabela1[[#This Row],[CARGA PARCIAL]]&lt;0,0,Tabela1[[#This Row],[CARGA PARCIAL]])+Tabela1[[#This Row],[REEMBOLSO]]</f>
        <v>239.15000000000003</v>
      </c>
      <c r="Q172" s="18" t="s">
        <v>27</v>
      </c>
      <c r="R172" s="18"/>
    </row>
    <row r="173" spans="2:18" hidden="1">
      <c r="B173" s="42" t="s">
        <v>469</v>
      </c>
      <c r="C173" s="22" t="s">
        <v>470</v>
      </c>
      <c r="D173" s="17" t="s">
        <v>23</v>
      </c>
      <c r="E173" s="17" t="s">
        <v>265</v>
      </c>
      <c r="F173" s="17">
        <v>11030790001</v>
      </c>
      <c r="G173" s="20" t="s">
        <v>55</v>
      </c>
      <c r="H173" s="17" t="s">
        <v>51</v>
      </c>
      <c r="I173" s="30">
        <v>0</v>
      </c>
      <c r="J173" s="30">
        <v>1184.8099999999406</v>
      </c>
      <c r="K173" s="30">
        <v>6500</v>
      </c>
      <c r="L173" s="30">
        <v>483.97</v>
      </c>
      <c r="M173" s="30">
        <v>0</v>
      </c>
      <c r="N173" s="30">
        <f>Tabela1[[#This Row],[1QZ DE FEV 26]]-Tabela1[[#This Row],[SALDO PENDENTE]]-Tabela1[[#This Row],[SALDO CARTAO]]-Tabela1[[#This Row],[ADIANTAMENTO]]</f>
        <v>4831.2200000000594</v>
      </c>
      <c r="O173" s="30">
        <v>0</v>
      </c>
      <c r="P173" s="39">
        <f>IF(Tabela1[[#This Row],[CARGA PARCIAL]]&lt;0,0,Tabela1[[#This Row],[CARGA PARCIAL]])+Tabela1[[#This Row],[REEMBOLSO]]</f>
        <v>4831.2200000000594</v>
      </c>
      <c r="Q173" s="18" t="s">
        <v>27</v>
      </c>
      <c r="R173" s="18"/>
    </row>
    <row r="174" spans="2:18" hidden="1">
      <c r="B174" s="17" t="s">
        <v>471</v>
      </c>
      <c r="C174" s="17" t="s">
        <v>472</v>
      </c>
      <c r="D174" s="17" t="s">
        <v>23</v>
      </c>
      <c r="E174" s="17" t="s">
        <v>473</v>
      </c>
      <c r="F174" s="17">
        <v>11061600001</v>
      </c>
      <c r="G174" s="17" t="s">
        <v>55</v>
      </c>
      <c r="H174" s="17" t="s">
        <v>51</v>
      </c>
      <c r="I174" s="30">
        <v>0</v>
      </c>
      <c r="J174" s="30">
        <v>2003.9399999999989</v>
      </c>
      <c r="K174" s="30">
        <v>0</v>
      </c>
      <c r="L174" s="30">
        <v>305.8</v>
      </c>
      <c r="M174" s="30">
        <v>0</v>
      </c>
      <c r="N174" s="30">
        <f>Tabela1[[#This Row],[1QZ DE FEV 26]]-Tabela1[[#This Row],[SALDO PENDENTE]]-Tabela1[[#This Row],[SALDO CARTAO]]-Tabela1[[#This Row],[ADIANTAMENTO]]</f>
        <v>-2309.7399999999989</v>
      </c>
      <c r="O174" s="30">
        <v>0</v>
      </c>
      <c r="P174" s="39">
        <f>IF(Tabela1[[#This Row],[CARGA PARCIAL]]&lt;0,0,Tabela1[[#This Row],[CARGA PARCIAL]])+Tabela1[[#This Row],[REEMBOLSO]]</f>
        <v>0</v>
      </c>
      <c r="Q174" s="18" t="s">
        <v>27</v>
      </c>
      <c r="R174" s="18"/>
    </row>
    <row r="175" spans="2:18" hidden="1">
      <c r="B175" s="42" t="s">
        <v>474</v>
      </c>
      <c r="C175" s="22" t="s">
        <v>475</v>
      </c>
      <c r="D175" s="17" t="s">
        <v>23</v>
      </c>
      <c r="E175" s="17" t="s">
        <v>172</v>
      </c>
      <c r="F175" s="17">
        <v>11030640001</v>
      </c>
      <c r="G175" s="20" t="s">
        <v>50</v>
      </c>
      <c r="H175" s="17" t="s">
        <v>51</v>
      </c>
      <c r="I175" s="30">
        <v>0</v>
      </c>
      <c r="J175" s="30">
        <v>578.13000000000375</v>
      </c>
      <c r="K175" s="30">
        <v>800</v>
      </c>
      <c r="L175" s="30">
        <v>3</v>
      </c>
      <c r="M175" s="30">
        <v>0</v>
      </c>
      <c r="N175" s="30">
        <f>Tabela1[[#This Row],[1QZ DE FEV 26]]-Tabela1[[#This Row],[SALDO PENDENTE]]-Tabela1[[#This Row],[SALDO CARTAO]]-Tabela1[[#This Row],[ADIANTAMENTO]]</f>
        <v>218.86999999999625</v>
      </c>
      <c r="O175" s="30">
        <v>0</v>
      </c>
      <c r="P175" s="39">
        <f>IF(Tabela1[[#This Row],[CARGA PARCIAL]]&lt;0,0,Tabela1[[#This Row],[CARGA PARCIAL]])+Tabela1[[#This Row],[REEMBOLSO]]</f>
        <v>218.86999999999625</v>
      </c>
      <c r="Q175" s="18" t="s">
        <v>27</v>
      </c>
      <c r="R175" s="18"/>
    </row>
    <row r="176" spans="2:18" hidden="1">
      <c r="B176" s="19" t="s">
        <v>476</v>
      </c>
      <c r="C176" s="19" t="s">
        <v>477</v>
      </c>
      <c r="D176" s="19" t="s">
        <v>23</v>
      </c>
      <c r="E176" s="19" t="s">
        <v>379</v>
      </c>
      <c r="F176" s="19">
        <v>11062450001</v>
      </c>
      <c r="G176" s="19" t="s">
        <v>63</v>
      </c>
      <c r="H176" s="28" t="s">
        <v>26</v>
      </c>
      <c r="I176" s="30">
        <v>0</v>
      </c>
      <c r="J176" s="30">
        <v>0</v>
      </c>
      <c r="K176" s="31">
        <v>750</v>
      </c>
      <c r="L176" s="30">
        <v>535</v>
      </c>
      <c r="M176" s="31">
        <v>0</v>
      </c>
      <c r="N176" s="49">
        <f>Tabela1[[#This Row],[1QZ DE FEV 26]]-Tabela1[[#This Row],[SALDO PENDENTE]]-Tabela1[[#This Row],[SALDO CARTAO]]-Tabela1[[#This Row],[ADIANTAMENTO]]</f>
        <v>215</v>
      </c>
      <c r="O176" s="49">
        <v>0</v>
      </c>
      <c r="P176" s="50">
        <f>IF(Tabela1[[#This Row],[CARGA PARCIAL]]&lt;0,0,Tabela1[[#This Row],[CARGA PARCIAL]])+Tabela1[[#This Row],[REEMBOLSO]]</f>
        <v>215</v>
      </c>
      <c r="Q176" s="44" t="s">
        <v>27</v>
      </c>
      <c r="R176" s="29"/>
    </row>
    <row r="177" spans="2:18" hidden="1">
      <c r="B177" s="17" t="s">
        <v>478</v>
      </c>
      <c r="C177" s="17" t="s">
        <v>479</v>
      </c>
      <c r="D177" s="17" t="s">
        <v>23</v>
      </c>
      <c r="E177" s="17" t="s">
        <v>132</v>
      </c>
      <c r="F177" s="17">
        <v>11040160001</v>
      </c>
      <c r="G177" s="17" t="s">
        <v>63</v>
      </c>
      <c r="H177" s="17" t="s">
        <v>26</v>
      </c>
      <c r="I177" s="30">
        <v>0</v>
      </c>
      <c r="J177" s="30">
        <v>595.69999999999891</v>
      </c>
      <c r="K177" s="30">
        <v>800</v>
      </c>
      <c r="L177" s="30">
        <v>3</v>
      </c>
      <c r="M177" s="30">
        <v>0</v>
      </c>
      <c r="N177" s="30">
        <f>Tabela1[[#This Row],[1QZ DE FEV 26]]-Tabela1[[#This Row],[SALDO PENDENTE]]-Tabela1[[#This Row],[SALDO CARTAO]]-Tabela1[[#This Row],[ADIANTAMENTO]]</f>
        <v>201.30000000000109</v>
      </c>
      <c r="O177" s="30">
        <v>0</v>
      </c>
      <c r="P177" s="39">
        <f>IF(Tabela1[[#This Row],[CARGA PARCIAL]]&lt;0,0,Tabela1[[#This Row],[CARGA PARCIAL]])+Tabela1[[#This Row],[REEMBOLSO]]</f>
        <v>201.30000000000109</v>
      </c>
      <c r="Q177" s="18" t="s">
        <v>27</v>
      </c>
      <c r="R177" s="18"/>
    </row>
    <row r="178" spans="2:18" hidden="1">
      <c r="B178" s="42" t="s">
        <v>480</v>
      </c>
      <c r="C178" s="22" t="s">
        <v>481</v>
      </c>
      <c r="D178" s="17" t="s">
        <v>23</v>
      </c>
      <c r="E178" s="17" t="s">
        <v>482</v>
      </c>
      <c r="F178" s="17">
        <v>11061900001</v>
      </c>
      <c r="G178" s="20" t="s">
        <v>55</v>
      </c>
      <c r="H178" s="17" t="s">
        <v>51</v>
      </c>
      <c r="I178" s="30">
        <v>0</v>
      </c>
      <c r="J178" s="30">
        <v>0</v>
      </c>
      <c r="K178" s="30">
        <v>0</v>
      </c>
      <c r="L178" s="30">
        <v>29.15</v>
      </c>
      <c r="M178" s="30">
        <v>0</v>
      </c>
      <c r="N178" s="30">
        <f>Tabela1[[#This Row],[1QZ DE FEV 26]]-Tabela1[[#This Row],[SALDO PENDENTE]]-Tabela1[[#This Row],[SALDO CARTAO]]-Tabela1[[#This Row],[ADIANTAMENTO]]</f>
        <v>-29.15</v>
      </c>
      <c r="O178" s="30">
        <v>0</v>
      </c>
      <c r="P178" s="39">
        <f>IF(Tabela1[[#This Row],[CARGA PARCIAL]]&lt;0,0,Tabela1[[#This Row],[CARGA PARCIAL]])+Tabela1[[#This Row],[REEMBOLSO]]</f>
        <v>0</v>
      </c>
      <c r="Q178" s="18" t="s">
        <v>27</v>
      </c>
      <c r="R178" s="18"/>
    </row>
    <row r="179" spans="2:18" hidden="1">
      <c r="B179" s="17" t="s">
        <v>483</v>
      </c>
      <c r="C179" s="17" t="s">
        <v>484</v>
      </c>
      <c r="D179" s="17" t="s">
        <v>23</v>
      </c>
      <c r="E179" s="17" t="s">
        <v>379</v>
      </c>
      <c r="F179" s="17">
        <v>11062450001</v>
      </c>
      <c r="G179" s="17" t="s">
        <v>63</v>
      </c>
      <c r="H179" s="17" t="s">
        <v>26</v>
      </c>
      <c r="I179" s="30">
        <v>0</v>
      </c>
      <c r="J179" s="30">
        <v>230.20000000000005</v>
      </c>
      <c r="K179" s="30">
        <v>750</v>
      </c>
      <c r="L179" s="30">
        <v>330</v>
      </c>
      <c r="M179" s="30">
        <v>0</v>
      </c>
      <c r="N179" s="30">
        <f>Tabela1[[#This Row],[1QZ DE FEV 26]]-Tabela1[[#This Row],[SALDO PENDENTE]]-Tabela1[[#This Row],[SALDO CARTAO]]-Tabela1[[#This Row],[ADIANTAMENTO]]</f>
        <v>189.79999999999995</v>
      </c>
      <c r="O179" s="30">
        <v>0</v>
      </c>
      <c r="P179" s="39">
        <f>IF(Tabela1[[#This Row],[CARGA PARCIAL]]&lt;0,0,Tabela1[[#This Row],[CARGA PARCIAL]])+Tabela1[[#This Row],[REEMBOLSO]]</f>
        <v>189.79999999999995</v>
      </c>
      <c r="Q179" s="18" t="s">
        <v>27</v>
      </c>
      <c r="R179" s="18"/>
    </row>
    <row r="180" spans="2:18" hidden="1">
      <c r="B180" s="17" t="s">
        <v>485</v>
      </c>
      <c r="C180" s="17" t="s">
        <v>486</v>
      </c>
      <c r="D180" s="17" t="s">
        <v>23</v>
      </c>
      <c r="E180" s="17" t="s">
        <v>132</v>
      </c>
      <c r="F180" s="17">
        <v>11040160001</v>
      </c>
      <c r="G180" s="17" t="s">
        <v>63</v>
      </c>
      <c r="H180" s="17" t="s">
        <v>26</v>
      </c>
      <c r="I180" s="30">
        <v>0</v>
      </c>
      <c r="J180" s="30">
        <v>208.45000000000005</v>
      </c>
      <c r="K180" s="30">
        <v>400</v>
      </c>
      <c r="L180" s="30">
        <v>3</v>
      </c>
      <c r="M180" s="30">
        <v>0</v>
      </c>
      <c r="N180" s="30">
        <f>Tabela1[[#This Row],[1QZ DE FEV 26]]-Tabela1[[#This Row],[SALDO PENDENTE]]-Tabela1[[#This Row],[SALDO CARTAO]]-Tabela1[[#This Row],[ADIANTAMENTO]]</f>
        <v>188.54999999999995</v>
      </c>
      <c r="O180" s="30">
        <v>0</v>
      </c>
      <c r="P180" s="39">
        <f>IF(Tabela1[[#This Row],[CARGA PARCIAL]]&lt;0,0,Tabela1[[#This Row],[CARGA PARCIAL]])+Tabela1[[#This Row],[REEMBOLSO]]</f>
        <v>188.54999999999995</v>
      </c>
      <c r="Q180" s="18" t="s">
        <v>27</v>
      </c>
      <c r="R180" s="18"/>
    </row>
    <row r="181" spans="2:18" hidden="1">
      <c r="B181" s="17" t="s">
        <v>487</v>
      </c>
      <c r="C181" s="17" t="s">
        <v>488</v>
      </c>
      <c r="D181" s="17" t="s">
        <v>23</v>
      </c>
      <c r="E181" s="17" t="s">
        <v>489</v>
      </c>
      <c r="F181" s="17">
        <v>11062850001</v>
      </c>
      <c r="G181" s="17" t="s">
        <v>63</v>
      </c>
      <c r="H181" s="17" t="s">
        <v>26</v>
      </c>
      <c r="I181" s="30">
        <v>0</v>
      </c>
      <c r="J181" s="30">
        <v>0</v>
      </c>
      <c r="K181" s="30">
        <v>800</v>
      </c>
      <c r="L181" s="30">
        <v>621.97</v>
      </c>
      <c r="M181" s="30">
        <v>0</v>
      </c>
      <c r="N181" s="30">
        <f>Tabela1[[#This Row],[1QZ DE FEV 26]]-Tabela1[[#This Row],[SALDO PENDENTE]]-Tabela1[[#This Row],[SALDO CARTAO]]-Tabela1[[#This Row],[ADIANTAMENTO]]</f>
        <v>178.02999999999997</v>
      </c>
      <c r="O181" s="30">
        <v>0</v>
      </c>
      <c r="P181" s="39">
        <f>IF(Tabela1[[#This Row],[CARGA PARCIAL]]&lt;0,0,Tabela1[[#This Row],[CARGA PARCIAL]])+Tabela1[[#This Row],[REEMBOLSO]]</f>
        <v>178.02999999999997</v>
      </c>
      <c r="Q181" s="18" t="s">
        <v>27</v>
      </c>
      <c r="R181" s="18"/>
    </row>
    <row r="182" spans="2:18" hidden="1">
      <c r="B182" s="41" t="s">
        <v>490</v>
      </c>
      <c r="C182" s="22" t="s">
        <v>491</v>
      </c>
      <c r="D182" s="17" t="s">
        <v>23</v>
      </c>
      <c r="E182" s="17" t="s">
        <v>125</v>
      </c>
      <c r="F182" s="17">
        <v>11040170001</v>
      </c>
      <c r="G182" s="20" t="s">
        <v>126</v>
      </c>
      <c r="H182" s="17" t="s">
        <v>26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f>Tabela1[[#This Row],[1QZ DE FEV 26]]-Tabela1[[#This Row],[SALDO PENDENTE]]-Tabela1[[#This Row],[SALDO CARTAO]]-Tabela1[[#This Row],[ADIANTAMENTO]]</f>
        <v>0</v>
      </c>
      <c r="O182" s="30">
        <v>0</v>
      </c>
      <c r="P182" s="39">
        <f>IF(Tabela1[[#This Row],[CARGA PARCIAL]]&lt;0,0,Tabela1[[#This Row],[CARGA PARCIAL]])+Tabela1[[#This Row],[REEMBOLSO]]</f>
        <v>0</v>
      </c>
      <c r="Q182" s="18" t="s">
        <v>184</v>
      </c>
      <c r="R182" s="18"/>
    </row>
    <row r="183" spans="2:18" hidden="1">
      <c r="B183" s="42" t="s">
        <v>492</v>
      </c>
      <c r="C183" s="22" t="s">
        <v>493</v>
      </c>
      <c r="D183" s="17" t="s">
        <v>23</v>
      </c>
      <c r="E183" s="17" t="s">
        <v>417</v>
      </c>
      <c r="F183" s="17">
        <v>11040140001</v>
      </c>
      <c r="G183" s="20" t="s">
        <v>59</v>
      </c>
      <c r="H183" s="17" t="s">
        <v>51</v>
      </c>
      <c r="I183" s="30">
        <v>-162.32</v>
      </c>
      <c r="J183" s="30">
        <v>0</v>
      </c>
      <c r="K183" s="30">
        <v>50</v>
      </c>
      <c r="L183" s="30">
        <v>147.32</v>
      </c>
      <c r="M183" s="30">
        <v>0</v>
      </c>
      <c r="N183" s="30">
        <f>Tabela1[[#This Row],[1QZ DE FEV 26]]-Tabela1[[#This Row],[SALDO PENDENTE]]-Tabela1[[#This Row],[SALDO CARTAO]]-Tabela1[[#This Row],[ADIANTAMENTO]]</f>
        <v>-97.32</v>
      </c>
      <c r="O183" s="30">
        <v>162.32</v>
      </c>
      <c r="P183" s="39">
        <f>IF(Tabela1[[#This Row],[CARGA PARCIAL]]&lt;0,0,Tabela1[[#This Row],[CARGA PARCIAL]])+Tabela1[[#This Row],[REEMBOLSO]]</f>
        <v>162.32</v>
      </c>
      <c r="Q183" s="18" t="s">
        <v>27</v>
      </c>
      <c r="R183" s="18"/>
    </row>
    <row r="184" spans="2:18" hidden="1">
      <c r="B184" s="42" t="s">
        <v>494</v>
      </c>
      <c r="C184" s="22" t="s">
        <v>495</v>
      </c>
      <c r="D184" s="17" t="s">
        <v>23</v>
      </c>
      <c r="E184" s="17" t="s">
        <v>122</v>
      </c>
      <c r="F184" s="17">
        <v>11040130001</v>
      </c>
      <c r="G184" s="20" t="s">
        <v>59</v>
      </c>
      <c r="H184" s="17" t="s">
        <v>51</v>
      </c>
      <c r="I184" s="30">
        <v>0</v>
      </c>
      <c r="J184" s="30">
        <v>0</v>
      </c>
      <c r="K184" s="30">
        <v>160</v>
      </c>
      <c r="L184" s="30">
        <v>0.5</v>
      </c>
      <c r="M184" s="30">
        <v>0</v>
      </c>
      <c r="N184" s="30">
        <f>Tabela1[[#This Row],[1QZ DE FEV 26]]-Tabela1[[#This Row],[SALDO PENDENTE]]-Tabela1[[#This Row],[SALDO CARTAO]]-Tabela1[[#This Row],[ADIANTAMENTO]]</f>
        <v>159.5</v>
      </c>
      <c r="O184" s="30">
        <v>0</v>
      </c>
      <c r="P184" s="39">
        <f>IF(Tabela1[[#This Row],[CARGA PARCIAL]]&lt;0,0,Tabela1[[#This Row],[CARGA PARCIAL]])+Tabela1[[#This Row],[REEMBOLSO]]</f>
        <v>159.5</v>
      </c>
      <c r="Q184" s="18" t="s">
        <v>27</v>
      </c>
      <c r="R184" s="18"/>
    </row>
    <row r="185" spans="2:18" hidden="1">
      <c r="B185" s="42" t="s">
        <v>496</v>
      </c>
      <c r="C185" s="22" t="s">
        <v>497</v>
      </c>
      <c r="D185" s="17" t="s">
        <v>23</v>
      </c>
      <c r="E185" s="17" t="s">
        <v>122</v>
      </c>
      <c r="F185" s="17">
        <v>11040130001</v>
      </c>
      <c r="G185" s="20" t="s">
        <v>59</v>
      </c>
      <c r="H185" s="17" t="s">
        <v>51</v>
      </c>
      <c r="I185" s="30">
        <v>-92.209999999999866</v>
      </c>
      <c r="J185" s="30">
        <v>0</v>
      </c>
      <c r="K185" s="30">
        <v>160</v>
      </c>
      <c r="L185" s="30">
        <v>0.56999999999999995</v>
      </c>
      <c r="M185" s="30">
        <v>0</v>
      </c>
      <c r="N185" s="30">
        <f>Tabela1[[#This Row],[1QZ DE FEV 26]]-Tabela1[[#This Row],[SALDO PENDENTE]]-Tabela1[[#This Row],[SALDO CARTAO]]-Tabela1[[#This Row],[ADIANTAMENTO]]</f>
        <v>159.43</v>
      </c>
      <c r="O185" s="30">
        <v>0</v>
      </c>
      <c r="P185" s="39">
        <f>IF(Tabela1[[#This Row],[CARGA PARCIAL]]&lt;0,0,Tabela1[[#This Row],[CARGA PARCIAL]])+Tabela1[[#This Row],[REEMBOLSO]]</f>
        <v>159.43</v>
      </c>
      <c r="Q185" s="18" t="s">
        <v>27</v>
      </c>
      <c r="R185" s="18"/>
    </row>
    <row r="186" spans="2:18" hidden="1">
      <c r="B186" s="51" t="s">
        <v>498</v>
      </c>
      <c r="C186" s="47" t="s">
        <v>499</v>
      </c>
      <c r="D186" s="19" t="s">
        <v>23</v>
      </c>
      <c r="E186" s="19" t="s">
        <v>500</v>
      </c>
      <c r="F186" s="19">
        <v>11010420001</v>
      </c>
      <c r="G186" s="27" t="s">
        <v>50</v>
      </c>
      <c r="H186" s="28" t="s">
        <v>51</v>
      </c>
      <c r="I186" s="30">
        <v>0</v>
      </c>
      <c r="J186" s="30">
        <v>1340.3999999999996</v>
      </c>
      <c r="K186" s="31">
        <v>1500</v>
      </c>
      <c r="L186" s="30">
        <v>0.62</v>
      </c>
      <c r="M186" s="31">
        <v>0</v>
      </c>
      <c r="N186" s="49">
        <f>Tabela1[[#This Row],[1QZ DE FEV 26]]-Tabela1[[#This Row],[SALDO PENDENTE]]-Tabela1[[#This Row],[SALDO CARTAO]]-Tabela1[[#This Row],[ADIANTAMENTO]]</f>
        <v>158.98000000000036</v>
      </c>
      <c r="O186" s="49">
        <v>0</v>
      </c>
      <c r="P186" s="50">
        <f>IF(Tabela1[[#This Row],[CARGA PARCIAL]]&lt;0,0,Tabela1[[#This Row],[CARGA PARCIAL]])+Tabela1[[#This Row],[REEMBOLSO]]</f>
        <v>158.98000000000036</v>
      </c>
      <c r="Q186" s="44" t="s">
        <v>27</v>
      </c>
      <c r="R186" s="29"/>
    </row>
    <row r="187" spans="2:18" hidden="1">
      <c r="B187" s="17" t="s">
        <v>501</v>
      </c>
      <c r="C187" s="17" t="s">
        <v>502</v>
      </c>
      <c r="D187" s="17" t="s">
        <v>23</v>
      </c>
      <c r="E187" s="17" t="s">
        <v>122</v>
      </c>
      <c r="F187" s="17">
        <v>11040130001</v>
      </c>
      <c r="G187" s="17" t="s">
        <v>59</v>
      </c>
      <c r="H187" s="17" t="s">
        <v>51</v>
      </c>
      <c r="I187" s="30">
        <v>0</v>
      </c>
      <c r="J187" s="30">
        <v>4.7999999999999545</v>
      </c>
      <c r="K187" s="30">
        <v>160</v>
      </c>
      <c r="L187" s="30">
        <v>0</v>
      </c>
      <c r="M187" s="30">
        <v>0</v>
      </c>
      <c r="N187" s="30">
        <f>Tabela1[[#This Row],[1QZ DE FEV 26]]-Tabela1[[#This Row],[SALDO PENDENTE]]-Tabela1[[#This Row],[SALDO CARTAO]]-Tabela1[[#This Row],[ADIANTAMENTO]]</f>
        <v>155.20000000000005</v>
      </c>
      <c r="O187" s="30">
        <v>0</v>
      </c>
      <c r="P187" s="39">
        <f>IF(Tabela1[[#This Row],[CARGA PARCIAL]]&lt;0,0,Tabela1[[#This Row],[CARGA PARCIAL]])+Tabela1[[#This Row],[REEMBOLSO]]</f>
        <v>155.20000000000005</v>
      </c>
      <c r="Q187" s="18" t="s">
        <v>27</v>
      </c>
      <c r="R187" s="18"/>
    </row>
    <row r="188" spans="2:18" hidden="1">
      <c r="B188" s="42" t="s">
        <v>503</v>
      </c>
      <c r="C188" s="22" t="s">
        <v>504</v>
      </c>
      <c r="D188" s="17" t="s">
        <v>23</v>
      </c>
      <c r="E188" s="17" t="s">
        <v>252</v>
      </c>
      <c r="F188" s="17">
        <v>11062280001</v>
      </c>
      <c r="G188" s="20" t="s">
        <v>50</v>
      </c>
      <c r="H188" s="17" t="s">
        <v>51</v>
      </c>
      <c r="I188" s="30">
        <v>-149.14000000000016</v>
      </c>
      <c r="J188" s="30">
        <v>0</v>
      </c>
      <c r="K188" s="30">
        <v>0</v>
      </c>
      <c r="L188" s="30">
        <v>20.079999999999998</v>
      </c>
      <c r="M188" s="30">
        <v>0</v>
      </c>
      <c r="N188" s="30">
        <f>Tabela1[[#This Row],[1QZ DE FEV 26]]-Tabela1[[#This Row],[SALDO PENDENTE]]-Tabela1[[#This Row],[SALDO CARTAO]]-Tabela1[[#This Row],[ADIANTAMENTO]]</f>
        <v>-20.079999999999998</v>
      </c>
      <c r="O188" s="30">
        <v>149.13999999999999</v>
      </c>
      <c r="P188" s="39">
        <f>IF(Tabela1[[#This Row],[CARGA PARCIAL]]&lt;0,0,Tabela1[[#This Row],[CARGA PARCIAL]])+Tabela1[[#This Row],[REEMBOLSO]]</f>
        <v>149.13999999999999</v>
      </c>
      <c r="Q188" s="18" t="s">
        <v>27</v>
      </c>
      <c r="R188" s="18"/>
    </row>
    <row r="189" spans="2:18" hidden="1">
      <c r="B189" s="19" t="s">
        <v>505</v>
      </c>
      <c r="C189" s="19" t="s">
        <v>506</v>
      </c>
      <c r="D189" s="19" t="s">
        <v>23</v>
      </c>
      <c r="E189" s="19" t="s">
        <v>507</v>
      </c>
      <c r="F189" s="19">
        <v>11030710001</v>
      </c>
      <c r="G189" s="27" t="s">
        <v>55</v>
      </c>
      <c r="H189" s="28" t="s">
        <v>51</v>
      </c>
      <c r="I189" s="30">
        <v>0</v>
      </c>
      <c r="J189" s="30">
        <v>3270.5799999999699</v>
      </c>
      <c r="K189" s="31">
        <v>4000</v>
      </c>
      <c r="L189" s="30">
        <v>39.450000000000003</v>
      </c>
      <c r="M189" s="31">
        <v>0</v>
      </c>
      <c r="N189" s="49">
        <f>Tabela1[[#This Row],[1QZ DE FEV 26]]-Tabela1[[#This Row],[SALDO PENDENTE]]-Tabela1[[#This Row],[SALDO CARTAO]]-Tabela1[[#This Row],[ADIANTAMENTO]]</f>
        <v>689.97000000003004</v>
      </c>
      <c r="O189" s="49">
        <v>0</v>
      </c>
      <c r="P189" s="50">
        <f>IF(Tabela1[[#This Row],[CARGA PARCIAL]]&lt;0,0,Tabela1[[#This Row],[CARGA PARCIAL]])+Tabela1[[#This Row],[REEMBOLSO]]</f>
        <v>689.97000000003004</v>
      </c>
      <c r="Q189" s="44" t="s">
        <v>27</v>
      </c>
      <c r="R189" s="29"/>
    </row>
    <row r="190" spans="2:18" hidden="1">
      <c r="B190" s="42" t="s">
        <v>508</v>
      </c>
      <c r="C190" s="22" t="s">
        <v>509</v>
      </c>
      <c r="D190" s="17" t="s">
        <v>23</v>
      </c>
      <c r="E190" s="17" t="s">
        <v>132</v>
      </c>
      <c r="F190" s="17">
        <v>11040160001</v>
      </c>
      <c r="G190" s="20" t="s">
        <v>63</v>
      </c>
      <c r="H190" s="17" t="s">
        <v>26</v>
      </c>
      <c r="I190" s="30">
        <v>0</v>
      </c>
      <c r="J190" s="30">
        <v>371</v>
      </c>
      <c r="K190" s="30">
        <v>750</v>
      </c>
      <c r="L190" s="30">
        <v>231.53</v>
      </c>
      <c r="M190" s="30">
        <v>0</v>
      </c>
      <c r="N190" s="30">
        <f>Tabela1[[#This Row],[1QZ DE FEV 26]]-Tabela1[[#This Row],[SALDO PENDENTE]]-Tabela1[[#This Row],[SALDO CARTAO]]-Tabela1[[#This Row],[ADIANTAMENTO]]</f>
        <v>147.47</v>
      </c>
      <c r="O190" s="30">
        <v>0</v>
      </c>
      <c r="P190" s="39">
        <f>IF(Tabela1[[#This Row],[CARGA PARCIAL]]&lt;0,0,Tabela1[[#This Row],[CARGA PARCIAL]])+Tabela1[[#This Row],[REEMBOLSO]]</f>
        <v>147.47</v>
      </c>
      <c r="Q190" s="18" t="s">
        <v>27</v>
      </c>
      <c r="R190" s="18"/>
    </row>
    <row r="191" spans="2:18" hidden="1">
      <c r="B191" s="42" t="s">
        <v>510</v>
      </c>
      <c r="C191" s="22" t="s">
        <v>511</v>
      </c>
      <c r="D191" s="17" t="s">
        <v>23</v>
      </c>
      <c r="E191" s="17" t="s">
        <v>196</v>
      </c>
      <c r="F191" s="17">
        <v>11061720001</v>
      </c>
      <c r="G191" s="20" t="s">
        <v>55</v>
      </c>
      <c r="H191" s="17" t="s">
        <v>51</v>
      </c>
      <c r="I191" s="30">
        <v>-250.4000000000047</v>
      </c>
      <c r="J191" s="30">
        <v>0</v>
      </c>
      <c r="K191" s="30">
        <v>800</v>
      </c>
      <c r="L191" s="30">
        <v>146.56</v>
      </c>
      <c r="M191" s="30">
        <v>0</v>
      </c>
      <c r="N191" s="30">
        <f>Tabela1[[#This Row],[1QZ DE FEV 26]]-Tabela1[[#This Row],[SALDO PENDENTE]]-Tabela1[[#This Row],[SALDO CARTAO]]-Tabela1[[#This Row],[ADIANTAMENTO]]</f>
        <v>653.44000000000005</v>
      </c>
      <c r="O191" s="30">
        <v>250.4</v>
      </c>
      <c r="P191" s="39">
        <f>IF(Tabela1[[#This Row],[CARGA PARCIAL]]&lt;0,0,Tabela1[[#This Row],[CARGA PARCIAL]])+Tabela1[[#This Row],[REEMBOLSO]]</f>
        <v>903.84</v>
      </c>
      <c r="Q191" s="18" t="s">
        <v>27</v>
      </c>
      <c r="R191" s="18"/>
    </row>
    <row r="192" spans="2:18" hidden="1">
      <c r="B192" s="17" t="s">
        <v>512</v>
      </c>
      <c r="C192" s="17" t="s">
        <v>513</v>
      </c>
      <c r="D192" s="17" t="s">
        <v>23</v>
      </c>
      <c r="E192" s="17" t="s">
        <v>514</v>
      </c>
      <c r="F192" s="17">
        <v>11062600001</v>
      </c>
      <c r="G192" s="17" t="s">
        <v>25</v>
      </c>
      <c r="H192" s="17" t="s">
        <v>26</v>
      </c>
      <c r="I192" s="30">
        <v>0</v>
      </c>
      <c r="J192" s="30">
        <v>409.90000000000032</v>
      </c>
      <c r="K192" s="30">
        <v>700</v>
      </c>
      <c r="L192" s="30">
        <v>153.49</v>
      </c>
      <c r="M192" s="30">
        <v>0</v>
      </c>
      <c r="N192" s="30">
        <f>Tabela1[[#This Row],[1QZ DE FEV 26]]-Tabela1[[#This Row],[SALDO PENDENTE]]-Tabela1[[#This Row],[SALDO CARTAO]]-Tabela1[[#This Row],[ADIANTAMENTO]]</f>
        <v>136.60999999999967</v>
      </c>
      <c r="O192" s="30">
        <v>0</v>
      </c>
      <c r="P192" s="39">
        <f>IF(Tabela1[[#This Row],[CARGA PARCIAL]]&lt;0,0,Tabela1[[#This Row],[CARGA PARCIAL]])+Tabela1[[#This Row],[REEMBOLSO]]</f>
        <v>136.60999999999967</v>
      </c>
      <c r="Q192" s="18" t="s">
        <v>27</v>
      </c>
      <c r="R192" s="18"/>
    </row>
    <row r="193" spans="2:18" hidden="1">
      <c r="B193" s="42" t="s">
        <v>515</v>
      </c>
      <c r="C193" s="22" t="s">
        <v>516</v>
      </c>
      <c r="D193" s="17" t="s">
        <v>23</v>
      </c>
      <c r="E193" s="17" t="s">
        <v>262</v>
      </c>
      <c r="F193" s="17">
        <v>11062020001</v>
      </c>
      <c r="G193" s="20" t="s">
        <v>55</v>
      </c>
      <c r="H193" s="17" t="s">
        <v>51</v>
      </c>
      <c r="I193" s="30">
        <v>0</v>
      </c>
      <c r="J193" s="30">
        <v>80.429999999999978</v>
      </c>
      <c r="K193" s="30">
        <v>250</v>
      </c>
      <c r="L193" s="30">
        <v>70.34</v>
      </c>
      <c r="M193" s="30">
        <v>0</v>
      </c>
      <c r="N193" s="30">
        <f>Tabela1[[#This Row],[1QZ DE FEV 26]]-Tabela1[[#This Row],[SALDO PENDENTE]]-Tabela1[[#This Row],[SALDO CARTAO]]-Tabela1[[#This Row],[ADIANTAMENTO]]</f>
        <v>99.230000000000018</v>
      </c>
      <c r="O193" s="30">
        <v>0</v>
      </c>
      <c r="P193" s="39">
        <f>IF(Tabela1[[#This Row],[CARGA PARCIAL]]&lt;0,0,Tabela1[[#This Row],[CARGA PARCIAL]])+Tabela1[[#This Row],[REEMBOLSO]]</f>
        <v>99.230000000000018</v>
      </c>
      <c r="Q193" s="18" t="s">
        <v>27</v>
      </c>
      <c r="R193" s="18"/>
    </row>
    <row r="194" spans="2:18" hidden="1">
      <c r="B194" s="41" t="s">
        <v>517</v>
      </c>
      <c r="C194" s="22" t="s">
        <v>518</v>
      </c>
      <c r="D194" s="17" t="s">
        <v>23</v>
      </c>
      <c r="E194" s="17" t="s">
        <v>379</v>
      </c>
      <c r="F194" s="17">
        <v>11062450001</v>
      </c>
      <c r="G194" s="20" t="s">
        <v>63</v>
      </c>
      <c r="H194" s="17" t="s">
        <v>26</v>
      </c>
      <c r="I194" s="30">
        <v>0</v>
      </c>
      <c r="J194" s="30">
        <v>0</v>
      </c>
      <c r="K194" s="30">
        <v>750</v>
      </c>
      <c r="L194" s="30">
        <v>626.04</v>
      </c>
      <c r="M194" s="30">
        <v>0</v>
      </c>
      <c r="N194" s="30">
        <f>Tabela1[[#This Row],[1QZ DE FEV 26]]-Tabela1[[#This Row],[SALDO PENDENTE]]-Tabela1[[#This Row],[SALDO CARTAO]]-Tabela1[[#This Row],[ADIANTAMENTO]]</f>
        <v>123.96000000000004</v>
      </c>
      <c r="O194" s="30"/>
      <c r="P194" s="45">
        <f>IF(Tabela1[[#This Row],[CARGA PARCIAL]]&lt;0,0,Tabela1[[#This Row],[CARGA PARCIAL]])+Tabela1[[#This Row],[REEMBOLSO]]</f>
        <v>123.96000000000004</v>
      </c>
      <c r="Q194" s="18" t="s">
        <v>27</v>
      </c>
      <c r="R194" s="18"/>
    </row>
    <row r="195" spans="2:18" hidden="1">
      <c r="B195" s="42" t="s">
        <v>519</v>
      </c>
      <c r="C195" s="22" t="s">
        <v>520</v>
      </c>
      <c r="D195" s="17" t="s">
        <v>23</v>
      </c>
      <c r="E195" s="17" t="s">
        <v>122</v>
      </c>
      <c r="F195" s="17">
        <v>11040130001</v>
      </c>
      <c r="G195" s="20" t="s">
        <v>59</v>
      </c>
      <c r="H195" s="17" t="s">
        <v>51</v>
      </c>
      <c r="I195" s="30">
        <v>0</v>
      </c>
      <c r="J195" s="30">
        <v>0</v>
      </c>
      <c r="K195" s="30">
        <v>120</v>
      </c>
      <c r="L195" s="30">
        <v>0</v>
      </c>
      <c r="M195" s="30">
        <v>0</v>
      </c>
      <c r="N195" s="30">
        <f>Tabela1[[#This Row],[1QZ DE FEV 26]]-Tabela1[[#This Row],[SALDO PENDENTE]]-Tabela1[[#This Row],[SALDO CARTAO]]-Tabela1[[#This Row],[ADIANTAMENTO]]</f>
        <v>120</v>
      </c>
      <c r="O195" s="30">
        <v>0</v>
      </c>
      <c r="P195" s="39">
        <f>IF(Tabela1[[#This Row],[CARGA PARCIAL]]&lt;0,0,Tabela1[[#This Row],[CARGA PARCIAL]])+Tabela1[[#This Row],[REEMBOLSO]]</f>
        <v>120</v>
      </c>
      <c r="Q195" s="18" t="s">
        <v>27</v>
      </c>
      <c r="R195" s="18"/>
    </row>
    <row r="196" spans="2:18" hidden="1">
      <c r="B196" s="42" t="s">
        <v>521</v>
      </c>
      <c r="C196" s="22" t="s">
        <v>522</v>
      </c>
      <c r="D196" s="17" t="s">
        <v>23</v>
      </c>
      <c r="E196" s="17" t="s">
        <v>101</v>
      </c>
      <c r="F196" s="17">
        <v>11061430001</v>
      </c>
      <c r="G196" s="20" t="s">
        <v>31</v>
      </c>
      <c r="H196" s="17" t="s">
        <v>26</v>
      </c>
      <c r="I196" s="30">
        <v>0</v>
      </c>
      <c r="J196" s="30">
        <v>675.30000000000314</v>
      </c>
      <c r="K196" s="30">
        <v>800</v>
      </c>
      <c r="L196" s="30">
        <v>7.72</v>
      </c>
      <c r="M196" s="30">
        <v>0</v>
      </c>
      <c r="N196" s="30">
        <f>Tabela1[[#This Row],[1QZ DE FEV 26]]-Tabela1[[#This Row],[SALDO PENDENTE]]-Tabela1[[#This Row],[SALDO CARTAO]]-Tabela1[[#This Row],[ADIANTAMENTO]]</f>
        <v>116.97999999999686</v>
      </c>
      <c r="O196" s="30">
        <v>0</v>
      </c>
      <c r="P196" s="39">
        <f>IF(Tabela1[[#This Row],[CARGA PARCIAL]]&lt;0,0,Tabela1[[#This Row],[CARGA PARCIAL]])+Tabela1[[#This Row],[REEMBOLSO]]</f>
        <v>116.97999999999686</v>
      </c>
      <c r="Q196" s="18" t="s">
        <v>27</v>
      </c>
      <c r="R196" s="18"/>
    </row>
    <row r="197" spans="2:18" hidden="1">
      <c r="B197" s="17" t="s">
        <v>523</v>
      </c>
      <c r="C197" s="17" t="s">
        <v>524</v>
      </c>
      <c r="D197" s="17" t="s">
        <v>23</v>
      </c>
      <c r="E197" s="17" t="s">
        <v>525</v>
      </c>
      <c r="F197" s="17">
        <v>11010180001</v>
      </c>
      <c r="G197" s="20" t="s">
        <v>55</v>
      </c>
      <c r="H197" s="17" t="s">
        <v>51</v>
      </c>
      <c r="I197" s="30">
        <v>-139.16999999999177</v>
      </c>
      <c r="J197" s="30">
        <v>0</v>
      </c>
      <c r="K197" s="30">
        <v>1500</v>
      </c>
      <c r="L197" s="30">
        <v>2.13</v>
      </c>
      <c r="M197" s="30">
        <v>0</v>
      </c>
      <c r="N197" s="30">
        <f>Tabela1[[#This Row],[1QZ DE FEV 26]]-Tabela1[[#This Row],[SALDO PENDENTE]]-Tabela1[[#This Row],[SALDO CARTAO]]-Tabela1[[#This Row],[ADIANTAMENTO]]</f>
        <v>1497.87</v>
      </c>
      <c r="O197" s="30">
        <v>139.16999999999999</v>
      </c>
      <c r="P197" s="39">
        <f>IF(Tabela1[[#This Row],[CARGA PARCIAL]]&lt;0,0,Tabela1[[#This Row],[CARGA PARCIAL]])+Tabela1[[#This Row],[REEMBOLSO]]</f>
        <v>1637.04</v>
      </c>
      <c r="Q197" s="18" t="s">
        <v>27</v>
      </c>
      <c r="R197" s="18"/>
    </row>
    <row r="198" spans="2:18" hidden="1">
      <c r="B198" s="51" t="s">
        <v>526</v>
      </c>
      <c r="C198" s="47" t="s">
        <v>527</v>
      </c>
      <c r="D198" s="19" t="s">
        <v>23</v>
      </c>
      <c r="E198" s="19" t="s">
        <v>528</v>
      </c>
      <c r="F198" s="19">
        <v>11010270001</v>
      </c>
      <c r="G198" s="27" t="s">
        <v>55</v>
      </c>
      <c r="H198" s="28" t="s">
        <v>51</v>
      </c>
      <c r="I198" s="30">
        <v>0</v>
      </c>
      <c r="J198" s="30">
        <v>0</v>
      </c>
      <c r="K198" s="31">
        <v>500</v>
      </c>
      <c r="L198" s="30">
        <v>404.6</v>
      </c>
      <c r="M198" s="31">
        <v>0</v>
      </c>
      <c r="N198" s="49">
        <f>Tabela1[[#This Row],[1QZ DE FEV 26]]-Tabela1[[#This Row],[SALDO PENDENTE]]-Tabela1[[#This Row],[SALDO CARTAO]]-Tabela1[[#This Row],[ADIANTAMENTO]]</f>
        <v>95.399999999999977</v>
      </c>
      <c r="O198" s="49">
        <v>0</v>
      </c>
      <c r="P198" s="50">
        <f>IF(Tabela1[[#This Row],[CARGA PARCIAL]]&lt;0,0,Tabela1[[#This Row],[CARGA PARCIAL]])+Tabela1[[#This Row],[REEMBOLSO]]</f>
        <v>95.399999999999977</v>
      </c>
      <c r="Q198" s="44" t="s">
        <v>27</v>
      </c>
      <c r="R198" s="29"/>
    </row>
    <row r="199" spans="2:18" hidden="1">
      <c r="B199" s="42" t="s">
        <v>529</v>
      </c>
      <c r="C199" s="22" t="s">
        <v>530</v>
      </c>
      <c r="D199" s="17" t="s">
        <v>23</v>
      </c>
      <c r="E199" s="17" t="s">
        <v>384</v>
      </c>
      <c r="F199" s="17">
        <v>11062630001</v>
      </c>
      <c r="G199" s="20" t="s">
        <v>55</v>
      </c>
      <c r="H199" s="17" t="s">
        <v>51</v>
      </c>
      <c r="I199" s="30">
        <v>-201.15999999999804</v>
      </c>
      <c r="J199" s="30">
        <v>0</v>
      </c>
      <c r="K199" s="30">
        <v>1000</v>
      </c>
      <c r="L199" s="30">
        <v>187</v>
      </c>
      <c r="M199" s="30">
        <v>0</v>
      </c>
      <c r="N199" s="30">
        <f>Tabela1[[#This Row],[1QZ DE FEV 26]]-Tabela1[[#This Row],[SALDO PENDENTE]]-Tabela1[[#This Row],[SALDO CARTAO]]-Tabela1[[#This Row],[ADIANTAMENTO]]</f>
        <v>813</v>
      </c>
      <c r="O199" s="30">
        <v>201.16</v>
      </c>
      <c r="P199" s="39">
        <f>IF(Tabela1[[#This Row],[CARGA PARCIAL]]&lt;0,0,Tabela1[[#This Row],[CARGA PARCIAL]])+Tabela1[[#This Row],[REEMBOLSO]]</f>
        <v>1014.16</v>
      </c>
      <c r="Q199" s="18" t="s">
        <v>27</v>
      </c>
      <c r="R199" s="18"/>
    </row>
    <row r="200" spans="2:18" hidden="1">
      <c r="B200" s="42" t="s">
        <v>531</v>
      </c>
      <c r="C200" s="22" t="s">
        <v>532</v>
      </c>
      <c r="D200" s="17" t="s">
        <v>23</v>
      </c>
      <c r="E200" s="17" t="s">
        <v>533</v>
      </c>
      <c r="F200" s="17">
        <v>11062770001</v>
      </c>
      <c r="G200" s="20" t="s">
        <v>63</v>
      </c>
      <c r="H200" s="17" t="s">
        <v>26</v>
      </c>
      <c r="I200" s="30">
        <v>0</v>
      </c>
      <c r="J200" s="30">
        <v>660</v>
      </c>
      <c r="K200" s="30">
        <v>750</v>
      </c>
      <c r="L200" s="30">
        <v>0</v>
      </c>
      <c r="M200" s="30">
        <v>0</v>
      </c>
      <c r="N200" s="30">
        <f>Tabela1[[#This Row],[1QZ DE FEV 26]]-Tabela1[[#This Row],[SALDO PENDENTE]]-Tabela1[[#This Row],[SALDO CARTAO]]-Tabela1[[#This Row],[ADIANTAMENTO]]</f>
        <v>90</v>
      </c>
      <c r="O200" s="30">
        <v>0</v>
      </c>
      <c r="P200" s="39">
        <f>IF(Tabela1[[#This Row],[CARGA PARCIAL]]&lt;0,0,Tabela1[[#This Row],[CARGA PARCIAL]])+Tabela1[[#This Row],[REEMBOLSO]]</f>
        <v>90</v>
      </c>
      <c r="Q200" s="18" t="s">
        <v>534</v>
      </c>
      <c r="R200" s="18" t="s">
        <v>535</v>
      </c>
    </row>
    <row r="201" spans="2:18" hidden="1">
      <c r="B201" s="42" t="s">
        <v>536</v>
      </c>
      <c r="C201" s="22" t="s">
        <v>537</v>
      </c>
      <c r="D201" s="17" t="s">
        <v>23</v>
      </c>
      <c r="E201" s="17" t="s">
        <v>122</v>
      </c>
      <c r="F201" s="17">
        <v>11040130001</v>
      </c>
      <c r="G201" s="20" t="s">
        <v>59</v>
      </c>
      <c r="H201" s="17" t="s">
        <v>51</v>
      </c>
      <c r="I201" s="30">
        <v>0</v>
      </c>
      <c r="J201" s="30">
        <v>0</v>
      </c>
      <c r="K201" s="30">
        <v>120</v>
      </c>
      <c r="L201" s="30">
        <v>30</v>
      </c>
      <c r="M201" s="30">
        <v>0</v>
      </c>
      <c r="N201" s="30">
        <f>Tabela1[[#This Row],[1QZ DE FEV 26]]-Tabela1[[#This Row],[SALDO PENDENTE]]-Tabela1[[#This Row],[SALDO CARTAO]]-Tabela1[[#This Row],[ADIANTAMENTO]]</f>
        <v>90</v>
      </c>
      <c r="O201" s="30">
        <v>0</v>
      </c>
      <c r="P201" s="39">
        <f>IF(Tabela1[[#This Row],[CARGA PARCIAL]]&lt;0,0,Tabela1[[#This Row],[CARGA PARCIAL]])+Tabela1[[#This Row],[REEMBOLSO]]</f>
        <v>90</v>
      </c>
      <c r="Q201" s="18" t="s">
        <v>27</v>
      </c>
      <c r="R201" s="18"/>
    </row>
    <row r="202" spans="2:18" hidden="1">
      <c r="B202" s="42" t="s">
        <v>538</v>
      </c>
      <c r="C202" s="22" t="s">
        <v>539</v>
      </c>
      <c r="D202" s="17" t="s">
        <v>23</v>
      </c>
      <c r="E202" s="17" t="s">
        <v>417</v>
      </c>
      <c r="F202" s="17">
        <v>11040140001</v>
      </c>
      <c r="G202" s="20" t="s">
        <v>59</v>
      </c>
      <c r="H202" s="17" t="s">
        <v>51</v>
      </c>
      <c r="I202" s="30">
        <v>0</v>
      </c>
      <c r="J202" s="30">
        <v>65.110000000000809</v>
      </c>
      <c r="K202" s="30">
        <v>150</v>
      </c>
      <c r="L202" s="30">
        <v>3</v>
      </c>
      <c r="M202" s="30">
        <v>0</v>
      </c>
      <c r="N202" s="30">
        <f>Tabela1[[#This Row],[1QZ DE FEV 26]]-Tabela1[[#This Row],[SALDO PENDENTE]]-Tabela1[[#This Row],[SALDO CARTAO]]-Tabela1[[#This Row],[ADIANTAMENTO]]</f>
        <v>81.889999999999191</v>
      </c>
      <c r="O202" s="30">
        <v>0</v>
      </c>
      <c r="P202" s="39">
        <f>IF(Tabela1[[#This Row],[CARGA PARCIAL]]&lt;0,0,Tabela1[[#This Row],[CARGA PARCIAL]])+Tabela1[[#This Row],[REEMBOLSO]]</f>
        <v>81.889999999999191</v>
      </c>
      <c r="Q202" s="18" t="s">
        <v>27</v>
      </c>
      <c r="R202" s="18"/>
    </row>
    <row r="203" spans="2:18" hidden="1">
      <c r="B203" s="17" t="s">
        <v>540</v>
      </c>
      <c r="C203" s="17" t="s">
        <v>541</v>
      </c>
      <c r="D203" s="17" t="s">
        <v>23</v>
      </c>
      <c r="E203" s="17" t="s">
        <v>122</v>
      </c>
      <c r="F203" s="17">
        <v>11040130001</v>
      </c>
      <c r="G203" s="17" t="s">
        <v>59</v>
      </c>
      <c r="H203" s="17" t="s">
        <v>51</v>
      </c>
      <c r="I203" s="30">
        <v>0</v>
      </c>
      <c r="J203" s="30">
        <v>0</v>
      </c>
      <c r="K203" s="30">
        <v>80</v>
      </c>
      <c r="L203" s="30">
        <v>0</v>
      </c>
      <c r="M203" s="30">
        <v>0</v>
      </c>
      <c r="N203" s="30">
        <f>Tabela1[[#This Row],[1QZ DE FEV 26]]-Tabela1[[#This Row],[SALDO PENDENTE]]-Tabela1[[#This Row],[SALDO CARTAO]]-Tabela1[[#This Row],[ADIANTAMENTO]]</f>
        <v>80</v>
      </c>
      <c r="O203" s="30">
        <v>0</v>
      </c>
      <c r="P203" s="39">
        <f>IF(Tabela1[[#This Row],[CARGA PARCIAL]]&lt;0,0,Tabela1[[#This Row],[CARGA PARCIAL]])+Tabela1[[#This Row],[REEMBOLSO]]</f>
        <v>80</v>
      </c>
      <c r="Q203" s="18" t="s">
        <v>27</v>
      </c>
      <c r="R203" s="18"/>
    </row>
    <row r="204" spans="2:18" hidden="1">
      <c r="B204" s="42" t="s">
        <v>542</v>
      </c>
      <c r="C204" s="22" t="s">
        <v>543</v>
      </c>
      <c r="D204" s="17" t="s">
        <v>23</v>
      </c>
      <c r="E204" s="17" t="s">
        <v>417</v>
      </c>
      <c r="F204" s="17">
        <v>11040140001</v>
      </c>
      <c r="G204" s="20" t="s">
        <v>59</v>
      </c>
      <c r="H204" s="17" t="s">
        <v>51</v>
      </c>
      <c r="I204" s="30">
        <v>0</v>
      </c>
      <c r="J204" s="30">
        <v>3.1999999999999993</v>
      </c>
      <c r="K204" s="30">
        <v>100</v>
      </c>
      <c r="L204" s="30">
        <v>22.24</v>
      </c>
      <c r="M204" s="30">
        <v>0</v>
      </c>
      <c r="N204" s="30">
        <f>Tabela1[[#This Row],[1QZ DE FEV 26]]-Tabela1[[#This Row],[SALDO PENDENTE]]-Tabela1[[#This Row],[SALDO CARTAO]]-Tabela1[[#This Row],[ADIANTAMENTO]]</f>
        <v>74.56</v>
      </c>
      <c r="O204" s="30">
        <v>0</v>
      </c>
      <c r="P204" s="39">
        <f>IF(Tabela1[[#This Row],[CARGA PARCIAL]]&lt;0,0,Tabela1[[#This Row],[CARGA PARCIAL]])+Tabela1[[#This Row],[REEMBOLSO]]</f>
        <v>74.56</v>
      </c>
      <c r="Q204" s="18" t="s">
        <v>27</v>
      </c>
      <c r="R204" s="18"/>
    </row>
    <row r="205" spans="2:18" hidden="1">
      <c r="B205" s="41" t="s">
        <v>544</v>
      </c>
      <c r="C205" s="22" t="s">
        <v>545</v>
      </c>
      <c r="D205" s="17" t="s">
        <v>23</v>
      </c>
      <c r="E205" s="17" t="s">
        <v>331</v>
      </c>
      <c r="F205" s="17">
        <v>11061810001</v>
      </c>
      <c r="G205" s="20" t="s">
        <v>71</v>
      </c>
      <c r="H205" s="17" t="s">
        <v>51</v>
      </c>
      <c r="I205" s="30">
        <v>0</v>
      </c>
      <c r="J205" s="30">
        <v>26.699999999999932</v>
      </c>
      <c r="K205" s="30">
        <v>200</v>
      </c>
      <c r="L205" s="30">
        <v>100</v>
      </c>
      <c r="M205" s="30">
        <v>0</v>
      </c>
      <c r="N205" s="30">
        <f>Tabela1[[#This Row],[1QZ DE FEV 26]]-Tabela1[[#This Row],[SALDO PENDENTE]]-Tabela1[[#This Row],[SALDO CARTAO]]-Tabela1[[#This Row],[ADIANTAMENTO]]</f>
        <v>73.300000000000068</v>
      </c>
      <c r="O205" s="30">
        <v>0</v>
      </c>
      <c r="P205" s="39">
        <f>IF(Tabela1[[#This Row],[CARGA PARCIAL]]&lt;0,0,Tabela1[[#This Row],[CARGA PARCIAL]])+Tabela1[[#This Row],[REEMBOLSO]]</f>
        <v>73.300000000000068</v>
      </c>
      <c r="Q205" s="18" t="s">
        <v>27</v>
      </c>
      <c r="R205" s="18"/>
    </row>
    <row r="206" spans="2:18" hidden="1">
      <c r="B206" s="41" t="s">
        <v>546</v>
      </c>
      <c r="C206" s="22" t="s">
        <v>547</v>
      </c>
      <c r="D206" s="17" t="s">
        <v>23</v>
      </c>
      <c r="E206" s="17" t="s">
        <v>122</v>
      </c>
      <c r="F206" s="17">
        <v>11040130001</v>
      </c>
      <c r="G206" s="20" t="s">
        <v>59</v>
      </c>
      <c r="H206" s="17" t="s">
        <v>51</v>
      </c>
      <c r="I206" s="30">
        <v>0</v>
      </c>
      <c r="J206" s="30">
        <v>34.199999999999548</v>
      </c>
      <c r="K206" s="30">
        <v>120</v>
      </c>
      <c r="L206" s="30">
        <v>14.3</v>
      </c>
      <c r="M206" s="30">
        <v>0</v>
      </c>
      <c r="N206" s="30">
        <f>Tabela1[[#This Row],[1QZ DE FEV 26]]-Tabela1[[#This Row],[SALDO PENDENTE]]-Tabela1[[#This Row],[SALDO CARTAO]]-Tabela1[[#This Row],[ADIANTAMENTO]]</f>
        <v>71.500000000000455</v>
      </c>
      <c r="O206" s="30"/>
      <c r="P206" s="45">
        <f>IF(Tabela1[[#This Row],[CARGA PARCIAL]]&lt;0,0,Tabela1[[#This Row],[CARGA PARCIAL]])+Tabela1[[#This Row],[REEMBOLSO]]</f>
        <v>71.500000000000455</v>
      </c>
      <c r="Q206" s="18" t="s">
        <v>27</v>
      </c>
      <c r="R206" s="18"/>
    </row>
    <row r="207" spans="2:18" hidden="1">
      <c r="B207" s="42" t="s">
        <v>548</v>
      </c>
      <c r="C207" s="22" t="s">
        <v>549</v>
      </c>
      <c r="D207" s="17" t="s">
        <v>23</v>
      </c>
      <c r="E207" s="17" t="s">
        <v>417</v>
      </c>
      <c r="F207" s="17">
        <v>11040140001</v>
      </c>
      <c r="G207" s="20" t="s">
        <v>59</v>
      </c>
      <c r="H207" s="17" t="s">
        <v>51</v>
      </c>
      <c r="I207" s="30">
        <v>-9.5999999999999091</v>
      </c>
      <c r="J207" s="30">
        <v>0</v>
      </c>
      <c r="K207" s="30">
        <v>100</v>
      </c>
      <c r="L207" s="30">
        <v>28.75</v>
      </c>
      <c r="M207" s="30">
        <v>0</v>
      </c>
      <c r="N207" s="30">
        <f>Tabela1[[#This Row],[1QZ DE FEV 26]]-Tabela1[[#This Row],[SALDO PENDENTE]]-Tabela1[[#This Row],[SALDO CARTAO]]-Tabela1[[#This Row],[ADIANTAMENTO]]</f>
        <v>71.25</v>
      </c>
      <c r="O207" s="30">
        <v>0</v>
      </c>
      <c r="P207" s="39">
        <f>IF(Tabela1[[#This Row],[CARGA PARCIAL]]&lt;0,0,Tabela1[[#This Row],[CARGA PARCIAL]])+Tabela1[[#This Row],[REEMBOLSO]]</f>
        <v>71.25</v>
      </c>
      <c r="Q207" s="18" t="s">
        <v>27</v>
      </c>
      <c r="R207" s="18"/>
    </row>
    <row r="208" spans="2:18" hidden="1">
      <c r="B208" s="42" t="s">
        <v>550</v>
      </c>
      <c r="C208" s="22" t="s">
        <v>551</v>
      </c>
      <c r="D208" s="17" t="s">
        <v>23</v>
      </c>
      <c r="E208" s="17" t="s">
        <v>132</v>
      </c>
      <c r="F208" s="17">
        <v>11040160001</v>
      </c>
      <c r="G208" s="20" t="s">
        <v>63</v>
      </c>
      <c r="H208" s="17" t="s">
        <v>26</v>
      </c>
      <c r="I208" s="30">
        <v>0</v>
      </c>
      <c r="J208" s="30">
        <v>391.89000000000021</v>
      </c>
      <c r="K208" s="30">
        <v>500</v>
      </c>
      <c r="L208" s="30">
        <v>43.41</v>
      </c>
      <c r="M208" s="30">
        <v>0</v>
      </c>
      <c r="N208" s="30">
        <f>Tabela1[[#This Row],[1QZ DE FEV 26]]-Tabela1[[#This Row],[SALDO PENDENTE]]-Tabela1[[#This Row],[SALDO CARTAO]]-Tabela1[[#This Row],[ADIANTAMENTO]]</f>
        <v>64.69999999999979</v>
      </c>
      <c r="O208" s="30">
        <v>0</v>
      </c>
      <c r="P208" s="39">
        <f>IF(Tabela1[[#This Row],[CARGA PARCIAL]]&lt;0,0,Tabela1[[#This Row],[CARGA PARCIAL]])+Tabela1[[#This Row],[REEMBOLSO]]</f>
        <v>64.69999999999979</v>
      </c>
      <c r="Q208" s="18" t="s">
        <v>27</v>
      </c>
      <c r="R208" s="18"/>
    </row>
    <row r="209" spans="2:18" hidden="1">
      <c r="B209" s="17" t="s">
        <v>552</v>
      </c>
      <c r="C209" s="17" t="s">
        <v>553</v>
      </c>
      <c r="D209" s="17" t="s">
        <v>23</v>
      </c>
      <c r="E209" s="17" t="s">
        <v>417</v>
      </c>
      <c r="F209" s="17">
        <v>11040140001</v>
      </c>
      <c r="G209" s="17" t="s">
        <v>59</v>
      </c>
      <c r="H209" s="17" t="s">
        <v>51</v>
      </c>
      <c r="I209" s="30">
        <v>0</v>
      </c>
      <c r="J209" s="30">
        <v>6.3948846218409017E-14</v>
      </c>
      <c r="K209" s="30">
        <v>100</v>
      </c>
      <c r="L209" s="30">
        <v>36.619999999999997</v>
      </c>
      <c r="M209" s="30">
        <v>0</v>
      </c>
      <c r="N209" s="30">
        <f>Tabela1[[#This Row],[1QZ DE FEV 26]]-Tabela1[[#This Row],[SALDO PENDENTE]]-Tabela1[[#This Row],[SALDO CARTAO]]-Tabela1[[#This Row],[ADIANTAMENTO]]</f>
        <v>63.379999999999946</v>
      </c>
      <c r="O209" s="30">
        <v>0</v>
      </c>
      <c r="P209" s="39">
        <f>IF(Tabela1[[#This Row],[CARGA PARCIAL]]&lt;0,0,Tabela1[[#This Row],[CARGA PARCIAL]])+Tabela1[[#This Row],[REEMBOLSO]]</f>
        <v>63.379999999999946</v>
      </c>
      <c r="Q209" s="18" t="s">
        <v>27</v>
      </c>
      <c r="R209" s="18"/>
    </row>
    <row r="210" spans="2:18" hidden="1">
      <c r="B210" s="17" t="s">
        <v>554</v>
      </c>
      <c r="C210" s="17" t="s">
        <v>555</v>
      </c>
      <c r="D210" s="17" t="s">
        <v>23</v>
      </c>
      <c r="E210" s="17" t="s">
        <v>417</v>
      </c>
      <c r="F210" s="17">
        <v>11040140001</v>
      </c>
      <c r="G210" s="20" t="s">
        <v>59</v>
      </c>
      <c r="H210" s="17" t="s">
        <v>51</v>
      </c>
      <c r="I210" s="30">
        <v>0</v>
      </c>
      <c r="J210" s="30">
        <v>20</v>
      </c>
      <c r="K210" s="30">
        <v>100</v>
      </c>
      <c r="L210" s="30">
        <v>20</v>
      </c>
      <c r="M210" s="30">
        <v>0</v>
      </c>
      <c r="N210" s="30">
        <f>Tabela1[[#This Row],[1QZ DE FEV 26]]-Tabela1[[#This Row],[SALDO PENDENTE]]-Tabela1[[#This Row],[SALDO CARTAO]]-Tabela1[[#This Row],[ADIANTAMENTO]]</f>
        <v>60</v>
      </c>
      <c r="O210" s="30">
        <v>0</v>
      </c>
      <c r="P210" s="39">
        <f>IF(Tabela1[[#This Row],[CARGA PARCIAL]]&lt;0,0,Tabela1[[#This Row],[CARGA PARCIAL]])+Tabela1[[#This Row],[REEMBOLSO]]</f>
        <v>60</v>
      </c>
      <c r="Q210" s="18" t="s">
        <v>27</v>
      </c>
      <c r="R210" s="18"/>
    </row>
    <row r="211" spans="2:18" hidden="1">
      <c r="B211" s="17" t="s">
        <v>556</v>
      </c>
      <c r="C211" s="17" t="s">
        <v>557</v>
      </c>
      <c r="D211" s="17" t="s">
        <v>23</v>
      </c>
      <c r="E211" s="17" t="s">
        <v>417</v>
      </c>
      <c r="F211" s="17">
        <v>11040140001</v>
      </c>
      <c r="G211" s="17" t="s">
        <v>59</v>
      </c>
      <c r="H211" s="17" t="s">
        <v>51</v>
      </c>
      <c r="I211" s="30">
        <v>0</v>
      </c>
      <c r="J211" s="30">
        <v>243.44999999999993</v>
      </c>
      <c r="K211" s="30">
        <v>300</v>
      </c>
      <c r="L211" s="30">
        <v>1.55</v>
      </c>
      <c r="M211" s="30">
        <v>0</v>
      </c>
      <c r="N211" s="30">
        <f>Tabela1[[#This Row],[1QZ DE FEV 26]]-Tabela1[[#This Row],[SALDO PENDENTE]]-Tabela1[[#This Row],[SALDO CARTAO]]-Tabela1[[#This Row],[ADIANTAMENTO]]</f>
        <v>55.000000000000071</v>
      </c>
      <c r="O211" s="30">
        <v>0</v>
      </c>
      <c r="P211" s="39">
        <f>IF(Tabela1[[#This Row],[CARGA PARCIAL]]&lt;0,0,Tabela1[[#This Row],[CARGA PARCIAL]])+Tabela1[[#This Row],[REEMBOLSO]]</f>
        <v>55.000000000000071</v>
      </c>
      <c r="Q211" s="18" t="s">
        <v>27</v>
      </c>
      <c r="R211" s="18"/>
    </row>
    <row r="212" spans="2:18" hidden="1">
      <c r="B212" s="42" t="s">
        <v>558</v>
      </c>
      <c r="C212" s="22" t="s">
        <v>559</v>
      </c>
      <c r="D212" s="17" t="s">
        <v>23</v>
      </c>
      <c r="E212" s="17" t="s">
        <v>417</v>
      </c>
      <c r="F212" s="17">
        <v>11040140001</v>
      </c>
      <c r="G212" s="20" t="s">
        <v>59</v>
      </c>
      <c r="H212" s="17" t="s">
        <v>51</v>
      </c>
      <c r="I212" s="30">
        <v>0</v>
      </c>
      <c r="J212" s="30">
        <v>0</v>
      </c>
      <c r="K212" s="30">
        <v>100</v>
      </c>
      <c r="L212" s="30">
        <v>45</v>
      </c>
      <c r="M212" s="30">
        <v>0</v>
      </c>
      <c r="N212" s="30">
        <f>Tabela1[[#This Row],[1QZ DE FEV 26]]-Tabela1[[#This Row],[SALDO PENDENTE]]-Tabela1[[#This Row],[SALDO CARTAO]]-Tabela1[[#This Row],[ADIANTAMENTO]]</f>
        <v>55</v>
      </c>
      <c r="O212" s="30">
        <v>0</v>
      </c>
      <c r="P212" s="39">
        <f>IF(Tabela1[[#This Row],[CARGA PARCIAL]]&lt;0,0,Tabela1[[#This Row],[CARGA PARCIAL]])+Tabela1[[#This Row],[REEMBOLSO]]</f>
        <v>55</v>
      </c>
      <c r="Q212" s="18" t="s">
        <v>27</v>
      </c>
      <c r="R212" s="18"/>
    </row>
    <row r="213" spans="2:18" hidden="1">
      <c r="B213" s="19" t="s">
        <v>560</v>
      </c>
      <c r="C213" s="19" t="s">
        <v>561</v>
      </c>
      <c r="D213" s="19" t="s">
        <v>23</v>
      </c>
      <c r="E213" s="19" t="s">
        <v>222</v>
      </c>
      <c r="F213" s="19">
        <v>11062050001</v>
      </c>
      <c r="G213" s="19" t="s">
        <v>59</v>
      </c>
      <c r="H213" s="28" t="s">
        <v>51</v>
      </c>
      <c r="I213" s="30">
        <v>0</v>
      </c>
      <c r="J213" s="30">
        <v>185.0799999999999</v>
      </c>
      <c r="K213" s="31">
        <v>240</v>
      </c>
      <c r="L213" s="30">
        <v>6.52</v>
      </c>
      <c r="M213" s="31">
        <v>0</v>
      </c>
      <c r="N213" s="49">
        <f>Tabela1[[#This Row],[1QZ DE FEV 26]]-Tabela1[[#This Row],[SALDO PENDENTE]]-Tabela1[[#This Row],[SALDO CARTAO]]-Tabela1[[#This Row],[ADIANTAMENTO]]</f>
        <v>48.400000000000105</v>
      </c>
      <c r="O213" s="49">
        <v>0</v>
      </c>
      <c r="P213" s="50">
        <f>IF(Tabela1[[#This Row],[CARGA PARCIAL]]&lt;0,0,Tabela1[[#This Row],[CARGA PARCIAL]])+Tabela1[[#This Row],[REEMBOLSO]]</f>
        <v>48.400000000000105</v>
      </c>
      <c r="Q213" s="44" t="s">
        <v>27</v>
      </c>
      <c r="R213" s="29"/>
    </row>
    <row r="214" spans="2:18" hidden="1">
      <c r="B214" s="42" t="s">
        <v>562</v>
      </c>
      <c r="C214" s="22" t="s">
        <v>563</v>
      </c>
      <c r="D214" s="17" t="s">
        <v>23</v>
      </c>
      <c r="E214" s="17" t="s">
        <v>122</v>
      </c>
      <c r="F214" s="17">
        <v>11040130001</v>
      </c>
      <c r="G214" s="20" t="s">
        <v>59</v>
      </c>
      <c r="H214" s="17" t="s">
        <v>51</v>
      </c>
      <c r="I214" s="30">
        <v>0</v>
      </c>
      <c r="J214" s="30">
        <v>82.299999999999955</v>
      </c>
      <c r="K214" s="30">
        <v>120</v>
      </c>
      <c r="L214" s="30">
        <v>0</v>
      </c>
      <c r="M214" s="30">
        <v>0</v>
      </c>
      <c r="N214" s="30">
        <f>Tabela1[[#This Row],[1QZ DE FEV 26]]-Tabela1[[#This Row],[SALDO PENDENTE]]-Tabela1[[#This Row],[SALDO CARTAO]]-Tabela1[[#This Row],[ADIANTAMENTO]]</f>
        <v>37.700000000000045</v>
      </c>
      <c r="O214" s="30">
        <v>0</v>
      </c>
      <c r="P214" s="39">
        <f>IF(Tabela1[[#This Row],[CARGA PARCIAL]]&lt;0,0,Tabela1[[#This Row],[CARGA PARCIAL]])+Tabela1[[#This Row],[REEMBOLSO]]</f>
        <v>37.700000000000045</v>
      </c>
      <c r="Q214" s="18" t="s">
        <v>27</v>
      </c>
      <c r="R214" s="18"/>
    </row>
    <row r="215" spans="2:18" hidden="1">
      <c r="B215" s="17" t="s">
        <v>564</v>
      </c>
      <c r="C215" s="17" t="s">
        <v>565</v>
      </c>
      <c r="D215" s="17" t="s">
        <v>23</v>
      </c>
      <c r="E215" s="17" t="s">
        <v>566</v>
      </c>
      <c r="F215" s="17">
        <v>11030760001</v>
      </c>
      <c r="G215" s="17" t="s">
        <v>50</v>
      </c>
      <c r="H215" s="17" t="s">
        <v>51</v>
      </c>
      <c r="I215" s="30">
        <v>0</v>
      </c>
      <c r="J215" s="30">
        <v>765.3900000000009</v>
      </c>
      <c r="K215" s="30">
        <v>1500</v>
      </c>
      <c r="L215" s="30">
        <v>699.61</v>
      </c>
      <c r="M215" s="30">
        <v>0</v>
      </c>
      <c r="N215" s="30">
        <f>Tabela1[[#This Row],[1QZ DE FEV 26]]-Tabela1[[#This Row],[SALDO PENDENTE]]-Tabela1[[#This Row],[SALDO CARTAO]]-Tabela1[[#This Row],[ADIANTAMENTO]]</f>
        <v>34.999999999999091</v>
      </c>
      <c r="O215" s="30">
        <v>0</v>
      </c>
      <c r="P215" s="39">
        <f>IF(Tabela1[[#This Row],[CARGA PARCIAL]]&lt;0,0,Tabela1[[#This Row],[CARGA PARCIAL]])+Tabela1[[#This Row],[REEMBOLSO]]</f>
        <v>34.999999999999091</v>
      </c>
      <c r="Q215" s="18" t="s">
        <v>27</v>
      </c>
      <c r="R215" s="18"/>
    </row>
    <row r="216" spans="2:18" hidden="1">
      <c r="B216" s="19" t="s">
        <v>567</v>
      </c>
      <c r="C216" s="19" t="s">
        <v>568</v>
      </c>
      <c r="D216" s="19" t="s">
        <v>23</v>
      </c>
      <c r="E216" s="19" t="s">
        <v>569</v>
      </c>
      <c r="F216" s="19">
        <v>11010090001</v>
      </c>
      <c r="G216" s="19" t="s">
        <v>50</v>
      </c>
      <c r="H216" s="28" t="s">
        <v>51</v>
      </c>
      <c r="I216" s="30">
        <v>0</v>
      </c>
      <c r="J216" s="30">
        <v>49.900000000000261</v>
      </c>
      <c r="K216" s="31">
        <v>400</v>
      </c>
      <c r="L216" s="30">
        <v>316.2</v>
      </c>
      <c r="M216" s="31">
        <v>0</v>
      </c>
      <c r="N216" s="49">
        <f>Tabela1[[#This Row],[1QZ DE FEV 26]]-Tabela1[[#This Row],[SALDO PENDENTE]]-Tabela1[[#This Row],[SALDO CARTAO]]-Tabela1[[#This Row],[ADIANTAMENTO]]</f>
        <v>33.89999999999975</v>
      </c>
      <c r="O216" s="49">
        <v>0</v>
      </c>
      <c r="P216" s="50">
        <f>IF(Tabela1[[#This Row],[CARGA PARCIAL]]&lt;0,0,Tabela1[[#This Row],[CARGA PARCIAL]])+Tabela1[[#This Row],[REEMBOLSO]]</f>
        <v>33.89999999999975</v>
      </c>
      <c r="Q216" s="44" t="s">
        <v>27</v>
      </c>
      <c r="R216" s="29"/>
    </row>
    <row r="217" spans="2:18" hidden="1">
      <c r="B217" s="17" t="s">
        <v>570</v>
      </c>
      <c r="C217" s="17" t="s">
        <v>571</v>
      </c>
      <c r="D217" s="17" t="s">
        <v>23</v>
      </c>
      <c r="E217" s="17" t="s">
        <v>122</v>
      </c>
      <c r="F217" s="17">
        <v>11040130001</v>
      </c>
      <c r="G217" s="17" t="s">
        <v>59</v>
      </c>
      <c r="H217" s="17" t="s">
        <v>51</v>
      </c>
      <c r="I217" s="30">
        <v>0</v>
      </c>
      <c r="J217" s="30">
        <v>11.789999999999509</v>
      </c>
      <c r="K217" s="30">
        <v>80</v>
      </c>
      <c r="L217" s="30">
        <v>40</v>
      </c>
      <c r="M217" s="30">
        <v>0</v>
      </c>
      <c r="N217" s="30">
        <f>Tabela1[[#This Row],[1QZ DE FEV 26]]-Tabela1[[#This Row],[SALDO PENDENTE]]-Tabela1[[#This Row],[SALDO CARTAO]]-Tabela1[[#This Row],[ADIANTAMENTO]]</f>
        <v>28.210000000000491</v>
      </c>
      <c r="O217" s="30">
        <v>0</v>
      </c>
      <c r="P217" s="39">
        <f>IF(Tabela1[[#This Row],[CARGA PARCIAL]]&lt;0,0,Tabela1[[#This Row],[CARGA PARCIAL]])+Tabela1[[#This Row],[REEMBOLSO]]</f>
        <v>28.210000000000491</v>
      </c>
      <c r="Q217" s="18" t="s">
        <v>27</v>
      </c>
      <c r="R217" s="18"/>
    </row>
    <row r="218" spans="2:18" hidden="1">
      <c r="B218" s="17" t="s">
        <v>572</v>
      </c>
      <c r="C218" s="17" t="s">
        <v>573</v>
      </c>
      <c r="D218" s="17" t="s">
        <v>23</v>
      </c>
      <c r="E218" s="17" t="s">
        <v>417</v>
      </c>
      <c r="F218" s="17">
        <v>11040140001</v>
      </c>
      <c r="G218" s="17" t="s">
        <v>59</v>
      </c>
      <c r="H218" s="26" t="s">
        <v>51</v>
      </c>
      <c r="I218" s="30">
        <v>0</v>
      </c>
      <c r="J218" s="30">
        <v>69.130000000000109</v>
      </c>
      <c r="K218" s="31">
        <v>100</v>
      </c>
      <c r="L218" s="30">
        <v>7.75</v>
      </c>
      <c r="M218" s="30">
        <v>0</v>
      </c>
      <c r="N218" s="38">
        <f>Tabela1[[#This Row],[1QZ DE FEV 26]]-Tabela1[[#This Row],[SALDO PENDENTE]]-Tabela1[[#This Row],[SALDO CARTAO]]-Tabela1[[#This Row],[ADIANTAMENTO]]</f>
        <v>23.119999999999891</v>
      </c>
      <c r="O218" s="38">
        <v>0</v>
      </c>
      <c r="P218" s="39">
        <f>IF(Tabela1[[#This Row],[CARGA PARCIAL]]&lt;0,0,Tabela1[[#This Row],[CARGA PARCIAL]])+Tabela1[[#This Row],[REEMBOLSO]]</f>
        <v>23.119999999999891</v>
      </c>
      <c r="Q218" s="40" t="s">
        <v>27</v>
      </c>
      <c r="R218" s="18"/>
    </row>
    <row r="219" spans="2:18" hidden="1">
      <c r="B219" s="19" t="s">
        <v>574</v>
      </c>
      <c r="C219" s="19" t="s">
        <v>575</v>
      </c>
      <c r="D219" s="19" t="s">
        <v>23</v>
      </c>
      <c r="E219" s="19" t="s">
        <v>417</v>
      </c>
      <c r="F219" s="19">
        <v>11040140001</v>
      </c>
      <c r="G219" s="19" t="s">
        <v>59</v>
      </c>
      <c r="H219" s="28" t="s">
        <v>51</v>
      </c>
      <c r="I219" s="30">
        <v>0</v>
      </c>
      <c r="J219" s="30">
        <v>67.960000000000164</v>
      </c>
      <c r="K219" s="31">
        <v>100</v>
      </c>
      <c r="L219" s="30">
        <v>9.24</v>
      </c>
      <c r="M219" s="31">
        <v>0</v>
      </c>
      <c r="N219" s="49">
        <f>Tabela1[[#This Row],[1QZ DE FEV 26]]-Tabela1[[#This Row],[SALDO PENDENTE]]-Tabela1[[#This Row],[SALDO CARTAO]]-Tabela1[[#This Row],[ADIANTAMENTO]]</f>
        <v>22.799999999999834</v>
      </c>
      <c r="O219" s="49">
        <v>0</v>
      </c>
      <c r="P219" s="50">
        <f>IF(Tabela1[[#This Row],[CARGA PARCIAL]]&lt;0,0,Tabela1[[#This Row],[CARGA PARCIAL]])+Tabela1[[#This Row],[REEMBOLSO]]</f>
        <v>22.799999999999834</v>
      </c>
      <c r="Q219" s="44" t="s">
        <v>27</v>
      </c>
      <c r="R219" s="29"/>
    </row>
    <row r="220" spans="2:18" hidden="1">
      <c r="B220" s="42" t="s">
        <v>576</v>
      </c>
      <c r="C220" s="22" t="s">
        <v>577</v>
      </c>
      <c r="D220" s="17" t="s">
        <v>23</v>
      </c>
      <c r="E220" s="17" t="s">
        <v>265</v>
      </c>
      <c r="F220" s="17">
        <v>11030790001</v>
      </c>
      <c r="G220" s="20" t="s">
        <v>55</v>
      </c>
      <c r="H220" s="17" t="s">
        <v>51</v>
      </c>
      <c r="I220" s="30">
        <v>0</v>
      </c>
      <c r="J220" s="30">
        <v>171.23999999999796</v>
      </c>
      <c r="K220" s="30">
        <v>2000</v>
      </c>
      <c r="L220" s="30">
        <v>36</v>
      </c>
      <c r="M220" s="30">
        <v>0</v>
      </c>
      <c r="N220" s="30">
        <f>Tabela1[[#This Row],[1QZ DE FEV 26]]-Tabela1[[#This Row],[SALDO PENDENTE]]-Tabela1[[#This Row],[SALDO CARTAO]]-Tabela1[[#This Row],[ADIANTAMENTO]]</f>
        <v>1792.760000000002</v>
      </c>
      <c r="O220" s="30">
        <v>0</v>
      </c>
      <c r="P220" s="39">
        <f>IF(Tabela1[[#This Row],[CARGA PARCIAL]]&lt;0,0,Tabela1[[#This Row],[CARGA PARCIAL]])+Tabela1[[#This Row],[REEMBOLSO]]</f>
        <v>1792.760000000002</v>
      </c>
      <c r="Q220" s="18" t="s">
        <v>27</v>
      </c>
      <c r="R220" s="18"/>
    </row>
    <row r="221" spans="2:18" hidden="1">
      <c r="B221" s="51" t="s">
        <v>578</v>
      </c>
      <c r="C221" s="47" t="s">
        <v>579</v>
      </c>
      <c r="D221" s="19" t="s">
        <v>23</v>
      </c>
      <c r="E221" s="19" t="s">
        <v>417</v>
      </c>
      <c r="F221" s="19">
        <v>11040140001</v>
      </c>
      <c r="G221" s="27" t="s">
        <v>59</v>
      </c>
      <c r="H221" s="28" t="s">
        <v>51</v>
      </c>
      <c r="I221" s="30">
        <v>0</v>
      </c>
      <c r="J221" s="30">
        <v>41.099999999999945</v>
      </c>
      <c r="K221" s="31">
        <v>100</v>
      </c>
      <c r="L221" s="30">
        <v>44.4</v>
      </c>
      <c r="M221" s="31">
        <v>0</v>
      </c>
      <c r="N221" s="49">
        <f>Tabela1[[#This Row],[1QZ DE FEV 26]]-Tabela1[[#This Row],[SALDO PENDENTE]]-Tabela1[[#This Row],[SALDO CARTAO]]-Tabela1[[#This Row],[ADIANTAMENTO]]</f>
        <v>14.500000000000057</v>
      </c>
      <c r="O221" s="49">
        <v>0</v>
      </c>
      <c r="P221" s="50">
        <f>IF(Tabela1[[#This Row],[CARGA PARCIAL]]&lt;0,0,Tabela1[[#This Row],[CARGA PARCIAL]])+Tabela1[[#This Row],[REEMBOLSO]]</f>
        <v>14.500000000000057</v>
      </c>
      <c r="Q221" s="44" t="s">
        <v>27</v>
      </c>
      <c r="R221" s="29"/>
    </row>
    <row r="222" spans="2:18" hidden="1">
      <c r="B222" s="17" t="s">
        <v>580</v>
      </c>
      <c r="C222" s="17" t="s">
        <v>581</v>
      </c>
      <c r="D222" s="17" t="s">
        <v>23</v>
      </c>
      <c r="E222" s="17" t="s">
        <v>125</v>
      </c>
      <c r="F222" s="17">
        <v>11040170001</v>
      </c>
      <c r="G222" s="20" t="s">
        <v>126</v>
      </c>
      <c r="H222" s="17" t="s">
        <v>26</v>
      </c>
      <c r="I222" s="30">
        <v>0</v>
      </c>
      <c r="J222" s="30">
        <v>2635.2699999999977</v>
      </c>
      <c r="K222" s="30">
        <v>1000</v>
      </c>
      <c r="L222" s="30">
        <v>5.46</v>
      </c>
      <c r="M222" s="30">
        <v>0</v>
      </c>
      <c r="N222" s="30">
        <f>Tabela1[[#This Row],[1QZ DE FEV 26]]-Tabela1[[#This Row],[SALDO PENDENTE]]-Tabela1[[#This Row],[SALDO CARTAO]]-Tabela1[[#This Row],[ADIANTAMENTO]]</f>
        <v>-1640.7299999999977</v>
      </c>
      <c r="O222" s="30">
        <v>0</v>
      </c>
      <c r="P222" s="39">
        <f>IF(Tabela1[[#This Row],[CARGA PARCIAL]]&lt;0,0,Tabela1[[#This Row],[CARGA PARCIAL]])+Tabela1[[#This Row],[REEMBOLSO]]</f>
        <v>0</v>
      </c>
      <c r="Q222" s="18" t="s">
        <v>27</v>
      </c>
      <c r="R222" s="18"/>
    </row>
    <row r="223" spans="2:18" hidden="1">
      <c r="B223" s="17" t="s">
        <v>582</v>
      </c>
      <c r="C223" s="17" t="s">
        <v>583</v>
      </c>
      <c r="D223" s="17" t="s">
        <v>23</v>
      </c>
      <c r="E223" s="17" t="s">
        <v>125</v>
      </c>
      <c r="F223" s="17">
        <v>11040170001</v>
      </c>
      <c r="G223" s="20" t="s">
        <v>126</v>
      </c>
      <c r="H223" s="17" t="s">
        <v>26</v>
      </c>
      <c r="I223" s="30">
        <v>0</v>
      </c>
      <c r="J223" s="30">
        <v>690</v>
      </c>
      <c r="K223" s="30">
        <v>1500</v>
      </c>
      <c r="L223" s="30">
        <v>796</v>
      </c>
      <c r="M223" s="30">
        <v>0</v>
      </c>
      <c r="N223" s="30">
        <f>Tabela1[[#This Row],[1QZ DE FEV 26]]-Tabela1[[#This Row],[SALDO PENDENTE]]-Tabela1[[#This Row],[SALDO CARTAO]]-Tabela1[[#This Row],[ADIANTAMENTO]]</f>
        <v>14</v>
      </c>
      <c r="O223" s="30">
        <v>0</v>
      </c>
      <c r="P223" s="39">
        <f>IF(Tabela1[[#This Row],[CARGA PARCIAL]]&lt;0,0,Tabela1[[#This Row],[CARGA PARCIAL]])+Tabela1[[#This Row],[REEMBOLSO]]</f>
        <v>14</v>
      </c>
      <c r="Q223" s="18" t="s">
        <v>27</v>
      </c>
      <c r="R223" s="18"/>
    </row>
    <row r="224" spans="2:18" hidden="1">
      <c r="B224" s="42" t="s">
        <v>584</v>
      </c>
      <c r="C224" s="22" t="s">
        <v>585</v>
      </c>
      <c r="D224" s="17" t="s">
        <v>23</v>
      </c>
      <c r="E224" s="17" t="s">
        <v>586</v>
      </c>
      <c r="F224" s="17">
        <v>11062940001</v>
      </c>
      <c r="G224" s="20" t="s">
        <v>50</v>
      </c>
      <c r="H224" s="17" t="s">
        <v>51</v>
      </c>
      <c r="I224" s="30">
        <v>0</v>
      </c>
      <c r="J224" s="30">
        <v>1485.670000000001</v>
      </c>
      <c r="K224" s="30">
        <v>1500</v>
      </c>
      <c r="L224" s="30">
        <v>7.33</v>
      </c>
      <c r="M224" s="30">
        <v>0</v>
      </c>
      <c r="N224" s="30">
        <f>Tabela1[[#This Row],[1QZ DE FEV 26]]-Tabela1[[#This Row],[SALDO PENDENTE]]-Tabela1[[#This Row],[SALDO CARTAO]]-Tabela1[[#This Row],[ADIANTAMENTO]]</f>
        <v>6.9999999999990177</v>
      </c>
      <c r="O224" s="30">
        <v>0</v>
      </c>
      <c r="P224" s="39">
        <f>IF(Tabela1[[#This Row],[CARGA PARCIAL]]&lt;0,0,Tabela1[[#This Row],[CARGA PARCIAL]])+Tabela1[[#This Row],[REEMBOLSO]]</f>
        <v>6.9999999999990177</v>
      </c>
      <c r="Q224" s="18" t="s">
        <v>27</v>
      </c>
      <c r="R224" s="18"/>
    </row>
    <row r="225" spans="2:18" hidden="1">
      <c r="B225" s="41" t="s">
        <v>587</v>
      </c>
      <c r="C225" s="22" t="s">
        <v>588</v>
      </c>
      <c r="D225" s="17" t="s">
        <v>23</v>
      </c>
      <c r="E225" s="17" t="s">
        <v>74</v>
      </c>
      <c r="F225" s="17">
        <v>11061770001</v>
      </c>
      <c r="G225" s="20" t="s">
        <v>71</v>
      </c>
      <c r="H225" s="17" t="s">
        <v>51</v>
      </c>
      <c r="I225" s="30">
        <v>0</v>
      </c>
      <c r="J225" s="30">
        <v>5.7999999999991871</v>
      </c>
      <c r="K225" s="30">
        <v>200</v>
      </c>
      <c r="L225" s="30">
        <v>189.1</v>
      </c>
      <c r="M225" s="30">
        <v>0</v>
      </c>
      <c r="N225" s="30">
        <f>Tabela1[[#This Row],[1QZ DE FEV 26]]-Tabela1[[#This Row],[SALDO PENDENTE]]-Tabela1[[#This Row],[SALDO CARTAO]]-Tabela1[[#This Row],[ADIANTAMENTO]]</f>
        <v>5.1000000000008185</v>
      </c>
      <c r="O225" s="30"/>
      <c r="P225" s="45">
        <f>IF(Tabela1[[#This Row],[CARGA PARCIAL]]&lt;0,0,Tabela1[[#This Row],[CARGA PARCIAL]])+Tabela1[[#This Row],[REEMBOLSO]]</f>
        <v>5.1000000000008185</v>
      </c>
      <c r="Q225" s="18" t="s">
        <v>27</v>
      </c>
      <c r="R225" s="18"/>
    </row>
    <row r="226" spans="2:18" hidden="1">
      <c r="B226" s="42" t="s">
        <v>589</v>
      </c>
      <c r="C226" s="22" t="s">
        <v>590</v>
      </c>
      <c r="D226" s="17" t="s">
        <v>23</v>
      </c>
      <c r="E226" s="17" t="s">
        <v>591</v>
      </c>
      <c r="F226" s="17">
        <v>11010080001</v>
      </c>
      <c r="G226" s="20" t="s">
        <v>55</v>
      </c>
      <c r="H226" s="17" t="s">
        <v>51</v>
      </c>
      <c r="I226" s="30">
        <v>0</v>
      </c>
      <c r="J226" s="30">
        <v>3.694822225952521E-13</v>
      </c>
      <c r="K226" s="30">
        <v>1000</v>
      </c>
      <c r="L226" s="30">
        <v>114.6</v>
      </c>
      <c r="M226" s="30">
        <v>0</v>
      </c>
      <c r="N226" s="30">
        <f>Tabela1[[#This Row],[1QZ DE FEV 26]]-Tabela1[[#This Row],[SALDO PENDENTE]]-Tabela1[[#This Row],[SALDO CARTAO]]-Tabela1[[#This Row],[ADIANTAMENTO]]</f>
        <v>885.39999999999964</v>
      </c>
      <c r="O226" s="30">
        <v>0</v>
      </c>
      <c r="P226" s="39">
        <f>IF(Tabela1[[#This Row],[CARGA PARCIAL]]&lt;0,0,Tabela1[[#This Row],[CARGA PARCIAL]])+Tabela1[[#This Row],[REEMBOLSO]]</f>
        <v>885.39999999999964</v>
      </c>
      <c r="Q226" s="18" t="s">
        <v>27</v>
      </c>
      <c r="R226" s="18"/>
    </row>
    <row r="227" spans="2:18" hidden="1">
      <c r="B227" s="42" t="s">
        <v>592</v>
      </c>
      <c r="C227" s="22" t="s">
        <v>593</v>
      </c>
      <c r="D227" s="17" t="s">
        <v>23</v>
      </c>
      <c r="E227" s="17" t="s">
        <v>196</v>
      </c>
      <c r="F227" s="17">
        <v>11061720001</v>
      </c>
      <c r="G227" s="20" t="s">
        <v>55</v>
      </c>
      <c r="H227" s="17" t="s">
        <v>51</v>
      </c>
      <c r="I227" s="30">
        <v>-162.14999999999577</v>
      </c>
      <c r="J227" s="30">
        <v>0</v>
      </c>
      <c r="K227" s="30">
        <v>600</v>
      </c>
      <c r="L227" s="30">
        <v>20.51</v>
      </c>
      <c r="M227" s="30">
        <v>0</v>
      </c>
      <c r="N227" s="30">
        <f>Tabela1[[#This Row],[1QZ DE FEV 26]]-Tabela1[[#This Row],[SALDO PENDENTE]]-Tabela1[[#This Row],[SALDO CARTAO]]-Tabela1[[#This Row],[ADIANTAMENTO]]</f>
        <v>579.49</v>
      </c>
      <c r="O227" s="30">
        <v>162.15</v>
      </c>
      <c r="P227" s="39">
        <f>IF(Tabela1[[#This Row],[CARGA PARCIAL]]&lt;0,0,Tabela1[[#This Row],[CARGA PARCIAL]])+Tabela1[[#This Row],[REEMBOLSO]]</f>
        <v>741.64</v>
      </c>
      <c r="Q227" s="18" t="s">
        <v>27</v>
      </c>
      <c r="R227" s="18"/>
    </row>
    <row r="228" spans="2:18" hidden="1">
      <c r="B228" s="42" t="s">
        <v>594</v>
      </c>
      <c r="C228" s="22" t="s">
        <v>595</v>
      </c>
      <c r="D228" s="17" t="s">
        <v>23</v>
      </c>
      <c r="E228" s="17" t="s">
        <v>596</v>
      </c>
      <c r="F228" s="17">
        <v>11010210001</v>
      </c>
      <c r="G228" s="20" t="s">
        <v>31</v>
      </c>
      <c r="H228" s="17" t="s">
        <v>26</v>
      </c>
      <c r="I228" s="30">
        <v>0</v>
      </c>
      <c r="J228" s="30">
        <v>297.89999999999975</v>
      </c>
      <c r="K228" s="30">
        <v>350</v>
      </c>
      <c r="L228" s="30">
        <v>52.1</v>
      </c>
      <c r="M228" s="30">
        <v>0</v>
      </c>
      <c r="N228" s="30">
        <f>Tabela1[[#This Row],[1QZ DE FEV 26]]-Tabela1[[#This Row],[SALDO PENDENTE]]-Tabela1[[#This Row],[SALDO CARTAO]]-Tabela1[[#This Row],[ADIANTAMENTO]]</f>
        <v>2.4868995751603507E-13</v>
      </c>
      <c r="O228" s="30">
        <v>0</v>
      </c>
      <c r="P228" s="39">
        <f>IF(Tabela1[[#This Row],[CARGA PARCIAL]]&lt;0,0,Tabela1[[#This Row],[CARGA PARCIAL]])+Tabela1[[#This Row],[REEMBOLSO]]</f>
        <v>2.4868995751603507E-13</v>
      </c>
      <c r="Q228" s="18" t="s">
        <v>27</v>
      </c>
      <c r="R228" s="18"/>
    </row>
    <row r="229" spans="2:18" hidden="1">
      <c r="B229" s="19" t="s">
        <v>597</v>
      </c>
      <c r="C229" s="19" t="s">
        <v>598</v>
      </c>
      <c r="D229" s="19" t="s">
        <v>23</v>
      </c>
      <c r="E229" s="19" t="s">
        <v>507</v>
      </c>
      <c r="F229" s="19">
        <v>11030710001</v>
      </c>
      <c r="G229" s="27" t="s">
        <v>55</v>
      </c>
      <c r="H229" s="28" t="s">
        <v>51</v>
      </c>
      <c r="I229" s="30">
        <v>0</v>
      </c>
      <c r="J229" s="30">
        <v>0</v>
      </c>
      <c r="K229" s="31">
        <v>0</v>
      </c>
      <c r="L229" s="30">
        <v>0</v>
      </c>
      <c r="M229" s="31">
        <v>0</v>
      </c>
      <c r="N229" s="49">
        <f>Tabela1[[#This Row],[1QZ DE FEV 26]]-Tabela1[[#This Row],[SALDO PENDENTE]]-Tabela1[[#This Row],[SALDO CARTAO]]-Tabela1[[#This Row],[ADIANTAMENTO]]</f>
        <v>0</v>
      </c>
      <c r="O229" s="49">
        <v>0</v>
      </c>
      <c r="P229" s="50">
        <f>IF(Tabela1[[#This Row],[CARGA PARCIAL]]&lt;0,0,Tabela1[[#This Row],[CARGA PARCIAL]])+Tabela1[[#This Row],[REEMBOLSO]]</f>
        <v>0</v>
      </c>
      <c r="Q229" s="44" t="s">
        <v>184</v>
      </c>
      <c r="R229" s="29"/>
    </row>
    <row r="230" spans="2:18" hidden="1">
      <c r="B230" s="42" t="s">
        <v>599</v>
      </c>
      <c r="C230" s="22" t="s">
        <v>600</v>
      </c>
      <c r="D230" s="17" t="s">
        <v>23</v>
      </c>
      <c r="E230" s="17" t="s">
        <v>132</v>
      </c>
      <c r="F230" s="17">
        <v>11040160001</v>
      </c>
      <c r="G230" s="20" t="s">
        <v>63</v>
      </c>
      <c r="H230" s="17" t="s">
        <v>26</v>
      </c>
      <c r="I230" s="65">
        <v>-2591.92</v>
      </c>
      <c r="J230" s="30">
        <v>0</v>
      </c>
      <c r="K230" s="30">
        <v>0</v>
      </c>
      <c r="L230" s="30">
        <v>0</v>
      </c>
      <c r="M230" s="30">
        <v>0</v>
      </c>
      <c r="N230" s="30">
        <f>Tabela1[[#This Row],[1QZ DE FEV 26]]-Tabela1[[#This Row],[SALDO PENDENTE]]-Tabela1[[#This Row],[SALDO CARTAO]]-Tabela1[[#This Row],[ADIANTAMENTO]]</f>
        <v>0</v>
      </c>
      <c r="O230" s="30">
        <v>0</v>
      </c>
      <c r="P230" s="39">
        <f>IF(Tabela1[[#This Row],[CARGA PARCIAL]]&lt;0,0,Tabela1[[#This Row],[CARGA PARCIAL]])+Tabela1[[#This Row],[REEMBOLSO]]</f>
        <v>0</v>
      </c>
      <c r="Q230" s="18" t="s">
        <v>184</v>
      </c>
      <c r="R230" s="18"/>
    </row>
    <row r="231" spans="2:18" hidden="1">
      <c r="B231" s="42" t="s">
        <v>601</v>
      </c>
      <c r="C231" s="22" t="s">
        <v>602</v>
      </c>
      <c r="D231" s="17" t="s">
        <v>23</v>
      </c>
      <c r="E231" s="17" t="s">
        <v>116</v>
      </c>
      <c r="F231" s="17">
        <v>11030750001</v>
      </c>
      <c r="G231" s="20" t="s">
        <v>50</v>
      </c>
      <c r="H231" s="17" t="s">
        <v>51</v>
      </c>
      <c r="I231" s="65">
        <v>-2139.1300000000338</v>
      </c>
      <c r="J231" s="30">
        <v>0</v>
      </c>
      <c r="K231" s="30">
        <v>0</v>
      </c>
      <c r="L231" s="30">
        <v>22</v>
      </c>
      <c r="M231" s="30">
        <v>0</v>
      </c>
      <c r="N231" s="30">
        <f>Tabela1[[#This Row],[1QZ DE FEV 26]]-Tabela1[[#This Row],[SALDO PENDENTE]]-Tabela1[[#This Row],[SALDO CARTAO]]-Tabela1[[#This Row],[ADIANTAMENTO]]</f>
        <v>-22</v>
      </c>
      <c r="O231" s="30">
        <v>0</v>
      </c>
      <c r="P231" s="39">
        <f>IF(Tabela1[[#This Row],[CARGA PARCIAL]]&lt;0,0,Tabela1[[#This Row],[CARGA PARCIAL]])+Tabela1[[#This Row],[REEMBOLSO]]</f>
        <v>0</v>
      </c>
      <c r="Q231" s="18" t="s">
        <v>27</v>
      </c>
      <c r="R231" s="18"/>
    </row>
    <row r="232" spans="2:18" hidden="1">
      <c r="B232" s="42" t="s">
        <v>603</v>
      </c>
      <c r="C232" s="22" t="s">
        <v>604</v>
      </c>
      <c r="D232" s="17" t="s">
        <v>23</v>
      </c>
      <c r="E232" s="17" t="s">
        <v>196</v>
      </c>
      <c r="F232" s="17">
        <v>11061720001</v>
      </c>
      <c r="G232" s="20" t="s">
        <v>55</v>
      </c>
      <c r="H232" s="17" t="s">
        <v>51</v>
      </c>
      <c r="I232" s="30">
        <v>-368.59999999999673</v>
      </c>
      <c r="J232" s="30">
        <v>0</v>
      </c>
      <c r="K232" s="30">
        <v>800</v>
      </c>
      <c r="L232" s="30">
        <v>7.75</v>
      </c>
      <c r="M232" s="30">
        <v>0</v>
      </c>
      <c r="N232" s="30">
        <f>Tabela1[[#This Row],[1QZ DE FEV 26]]-Tabela1[[#This Row],[SALDO PENDENTE]]-Tabela1[[#This Row],[SALDO CARTAO]]-Tabela1[[#This Row],[ADIANTAMENTO]]</f>
        <v>792.25</v>
      </c>
      <c r="O232" s="30">
        <v>368.6</v>
      </c>
      <c r="P232" s="39">
        <f>IF(Tabela1[[#This Row],[CARGA PARCIAL]]&lt;0,0,Tabela1[[#This Row],[CARGA PARCIAL]])+Tabela1[[#This Row],[REEMBOLSO]]</f>
        <v>1160.8499999999999</v>
      </c>
      <c r="Q232" s="18" t="s">
        <v>27</v>
      </c>
      <c r="R232" s="18"/>
    </row>
    <row r="233" spans="2:18" hidden="1">
      <c r="B233" s="17" t="s">
        <v>605</v>
      </c>
      <c r="C233" s="17" t="s">
        <v>606</v>
      </c>
      <c r="D233" s="17" t="s">
        <v>23</v>
      </c>
      <c r="E233" s="17" t="s">
        <v>360</v>
      </c>
      <c r="F233" s="17">
        <v>1201017</v>
      </c>
      <c r="G233" s="20" t="s">
        <v>63</v>
      </c>
      <c r="H233" s="17" t="s">
        <v>26</v>
      </c>
      <c r="I233" s="65">
        <v>-1520.5100000000007</v>
      </c>
      <c r="J233" s="30">
        <v>0</v>
      </c>
      <c r="K233" s="30">
        <v>500</v>
      </c>
      <c r="L233" s="30">
        <v>2129.48</v>
      </c>
      <c r="M233" s="30">
        <v>0</v>
      </c>
      <c r="N233" s="30">
        <f>Tabela1[[#This Row],[1QZ DE FEV 26]]-Tabela1[[#This Row],[SALDO PENDENTE]]-Tabela1[[#This Row],[SALDO CARTAO]]-Tabela1[[#This Row],[ADIANTAMENTO]]</f>
        <v>-1629.48</v>
      </c>
      <c r="O233" s="30">
        <v>0</v>
      </c>
      <c r="P233" s="39">
        <f>IF(Tabela1[[#This Row],[CARGA PARCIAL]]&lt;0,0,Tabela1[[#This Row],[CARGA PARCIAL]])+Tabela1[[#This Row],[REEMBOLSO]]</f>
        <v>0</v>
      </c>
      <c r="Q233" s="18" t="s">
        <v>27</v>
      </c>
      <c r="R233" s="18"/>
    </row>
    <row r="234" spans="2:18" hidden="1">
      <c r="B234" s="19" t="s">
        <v>607</v>
      </c>
      <c r="C234" s="19" t="s">
        <v>608</v>
      </c>
      <c r="D234" s="19" t="s">
        <v>23</v>
      </c>
      <c r="E234" s="19" t="s">
        <v>58</v>
      </c>
      <c r="F234" s="19">
        <v>1104150001</v>
      </c>
      <c r="G234" s="19" t="s">
        <v>59</v>
      </c>
      <c r="H234" s="28" t="s">
        <v>51</v>
      </c>
      <c r="I234" s="30">
        <v>-82.85</v>
      </c>
      <c r="J234" s="30">
        <v>0</v>
      </c>
      <c r="K234" s="31">
        <v>0</v>
      </c>
      <c r="L234" s="30">
        <v>139.30000000000001</v>
      </c>
      <c r="M234" s="31">
        <v>0</v>
      </c>
      <c r="N234" s="49">
        <f>Tabela1[[#This Row],[1QZ DE FEV 26]]-Tabela1[[#This Row],[SALDO PENDENTE]]-Tabela1[[#This Row],[SALDO CARTAO]]-Tabela1[[#This Row],[ADIANTAMENTO]]</f>
        <v>-139.30000000000001</v>
      </c>
      <c r="O234" s="49">
        <v>0</v>
      </c>
      <c r="P234" s="50">
        <f>IF(Tabela1[[#This Row],[CARGA PARCIAL]]&lt;0,0,Tabela1[[#This Row],[CARGA PARCIAL]])+Tabela1[[#This Row],[REEMBOLSO]]</f>
        <v>0</v>
      </c>
      <c r="Q234" s="44" t="s">
        <v>27</v>
      </c>
      <c r="R234" s="29"/>
    </row>
    <row r="235" spans="2:18" hidden="1">
      <c r="B235" s="17" t="s">
        <v>609</v>
      </c>
      <c r="C235" s="17" t="s">
        <v>610</v>
      </c>
      <c r="D235" s="17" t="s">
        <v>23</v>
      </c>
      <c r="E235" s="17" t="s">
        <v>611</v>
      </c>
      <c r="F235" s="17">
        <v>11020660001</v>
      </c>
      <c r="G235" s="20" t="s">
        <v>55</v>
      </c>
      <c r="H235" s="17" t="s">
        <v>51</v>
      </c>
      <c r="I235" s="30">
        <v>0</v>
      </c>
      <c r="J235" s="30">
        <v>353.57000000000005</v>
      </c>
      <c r="K235" s="30">
        <v>0</v>
      </c>
      <c r="L235" s="30">
        <v>26.6</v>
      </c>
      <c r="M235" s="30">
        <v>0</v>
      </c>
      <c r="N235" s="30">
        <f>Tabela1[[#This Row],[1QZ DE FEV 26]]-Tabela1[[#This Row],[SALDO PENDENTE]]-Tabela1[[#This Row],[SALDO CARTAO]]-Tabela1[[#This Row],[ADIANTAMENTO]]</f>
        <v>-380.17000000000007</v>
      </c>
      <c r="O235" s="30">
        <v>0</v>
      </c>
      <c r="P235" s="39">
        <f>IF(Tabela1[[#This Row],[CARGA PARCIAL]]&lt;0,0,Tabela1[[#This Row],[CARGA PARCIAL]])+Tabela1[[#This Row],[REEMBOLSO]]</f>
        <v>0</v>
      </c>
      <c r="Q235" s="18" t="s">
        <v>27</v>
      </c>
      <c r="R235" s="18"/>
    </row>
    <row r="236" spans="2:18" hidden="1">
      <c r="B236" s="17" t="s">
        <v>612</v>
      </c>
      <c r="C236" s="17" t="s">
        <v>613</v>
      </c>
      <c r="D236" s="17" t="s">
        <v>23</v>
      </c>
      <c r="E236" s="17" t="s">
        <v>431</v>
      </c>
      <c r="F236" s="17">
        <v>11061400001</v>
      </c>
      <c r="G236" s="20" t="s">
        <v>55</v>
      </c>
      <c r="H236" s="17" t="s">
        <v>51</v>
      </c>
      <c r="I236" s="30">
        <v>0</v>
      </c>
      <c r="J236" s="30">
        <v>3.2000000000119826</v>
      </c>
      <c r="K236" s="30">
        <v>1200</v>
      </c>
      <c r="L236" s="30">
        <v>736.1</v>
      </c>
      <c r="M236" s="30">
        <v>0</v>
      </c>
      <c r="N236" s="30">
        <f>Tabela1[[#This Row],[1QZ DE FEV 26]]-Tabela1[[#This Row],[SALDO PENDENTE]]-Tabela1[[#This Row],[SALDO CARTAO]]-Tabela1[[#This Row],[ADIANTAMENTO]]</f>
        <v>460.69999999998788</v>
      </c>
      <c r="O236" s="30">
        <v>0</v>
      </c>
      <c r="P236" s="39">
        <f>IF(Tabela1[[#This Row],[CARGA PARCIAL]]&lt;0,0,Tabela1[[#This Row],[CARGA PARCIAL]])+Tabela1[[#This Row],[REEMBOLSO]]</f>
        <v>460.69999999998788</v>
      </c>
      <c r="Q236" s="18" t="s">
        <v>27</v>
      </c>
      <c r="R236" s="18"/>
    </row>
    <row r="237" spans="2:18" hidden="1">
      <c r="B237" s="42" t="s">
        <v>614</v>
      </c>
      <c r="C237" s="22" t="s">
        <v>615</v>
      </c>
      <c r="D237" s="17" t="s">
        <v>23</v>
      </c>
      <c r="E237" s="17" t="s">
        <v>125</v>
      </c>
      <c r="F237" s="17">
        <v>11040170001</v>
      </c>
      <c r="G237" s="20" t="s">
        <v>126</v>
      </c>
      <c r="H237" s="17" t="s">
        <v>26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f>Tabela1[[#This Row],[1QZ DE FEV 26]]-Tabela1[[#This Row],[SALDO PENDENTE]]-Tabela1[[#This Row],[SALDO CARTAO]]-Tabela1[[#This Row],[ADIANTAMENTO]]</f>
        <v>0</v>
      </c>
      <c r="O237" s="30">
        <v>0</v>
      </c>
      <c r="P237" s="39">
        <f>IF(Tabela1[[#This Row],[CARGA PARCIAL]]&lt;0,0,Tabela1[[#This Row],[CARGA PARCIAL]])+Tabela1[[#This Row],[REEMBOLSO]]</f>
        <v>0</v>
      </c>
      <c r="Q237" s="18" t="s">
        <v>184</v>
      </c>
      <c r="R237" s="18"/>
    </row>
    <row r="238" spans="2:18" hidden="1">
      <c r="B238" s="51" t="s">
        <v>616</v>
      </c>
      <c r="C238" s="47" t="s">
        <v>617</v>
      </c>
      <c r="D238" s="19" t="s">
        <v>23</v>
      </c>
      <c r="E238" s="19" t="s">
        <v>101</v>
      </c>
      <c r="F238" s="19">
        <v>11061430001</v>
      </c>
      <c r="G238" s="27" t="s">
        <v>31</v>
      </c>
      <c r="H238" s="28" t="s">
        <v>26</v>
      </c>
      <c r="I238" s="30">
        <v>-59.16</v>
      </c>
      <c r="J238" s="30">
        <v>0</v>
      </c>
      <c r="K238" s="31">
        <v>0</v>
      </c>
      <c r="L238" s="30">
        <v>59.16</v>
      </c>
      <c r="M238" s="31">
        <v>0</v>
      </c>
      <c r="N238" s="49">
        <f>Tabela1[[#This Row],[1QZ DE FEV 26]]-Tabela1[[#This Row],[SALDO PENDENTE]]-Tabela1[[#This Row],[SALDO CARTAO]]-Tabela1[[#This Row],[ADIANTAMENTO]]</f>
        <v>-59.16</v>
      </c>
      <c r="O238" s="49">
        <v>0</v>
      </c>
      <c r="P238" s="50">
        <f>IF(Tabela1[[#This Row],[CARGA PARCIAL]]&lt;0,0,Tabela1[[#This Row],[CARGA PARCIAL]])+Tabela1[[#This Row],[REEMBOLSO]]</f>
        <v>0</v>
      </c>
      <c r="Q238" s="44" t="s">
        <v>27</v>
      </c>
      <c r="R238" s="29"/>
    </row>
    <row r="239" spans="2:18" hidden="1">
      <c r="B239" s="17" t="s">
        <v>618</v>
      </c>
      <c r="C239" s="17" t="s">
        <v>619</v>
      </c>
      <c r="D239" s="17" t="s">
        <v>23</v>
      </c>
      <c r="E239" s="17" t="s">
        <v>58</v>
      </c>
      <c r="F239" s="17">
        <v>1104150001</v>
      </c>
      <c r="G239" s="17" t="s">
        <v>59</v>
      </c>
      <c r="H239" s="17" t="s">
        <v>51</v>
      </c>
      <c r="I239" s="30">
        <v>-51.919999999999504</v>
      </c>
      <c r="J239" s="30">
        <v>0</v>
      </c>
      <c r="K239" s="30">
        <v>0</v>
      </c>
      <c r="L239" s="30">
        <v>1000.4</v>
      </c>
      <c r="M239" s="30">
        <v>0</v>
      </c>
      <c r="N239" s="30">
        <f>Tabela1[[#This Row],[1QZ DE FEV 26]]-Tabela1[[#This Row],[SALDO PENDENTE]]-Tabela1[[#This Row],[SALDO CARTAO]]-Tabela1[[#This Row],[ADIANTAMENTO]]</f>
        <v>-1000.4</v>
      </c>
      <c r="O239" s="30">
        <v>0</v>
      </c>
      <c r="P239" s="39">
        <f>IF(Tabela1[[#This Row],[CARGA PARCIAL]]&lt;0,0,Tabela1[[#This Row],[CARGA PARCIAL]])+Tabela1[[#This Row],[REEMBOLSO]]</f>
        <v>0</v>
      </c>
      <c r="Q239" s="18" t="s">
        <v>27</v>
      </c>
      <c r="R239" s="18"/>
    </row>
    <row r="240" spans="2:18" hidden="1">
      <c r="B240" s="42" t="s">
        <v>620</v>
      </c>
      <c r="C240" s="22" t="s">
        <v>621</v>
      </c>
      <c r="D240" s="17" t="s">
        <v>23</v>
      </c>
      <c r="E240" s="17" t="s">
        <v>196</v>
      </c>
      <c r="F240" s="17">
        <v>11061720001</v>
      </c>
      <c r="G240" s="20" t="s">
        <v>55</v>
      </c>
      <c r="H240" s="17" t="s">
        <v>51</v>
      </c>
      <c r="I240" s="30">
        <v>0</v>
      </c>
      <c r="J240" s="30">
        <v>2.3874235921539366E-12</v>
      </c>
      <c r="K240" s="30">
        <v>800</v>
      </c>
      <c r="L240" s="30">
        <v>138.86000000000001</v>
      </c>
      <c r="M240" s="30">
        <v>0</v>
      </c>
      <c r="N240" s="30">
        <f>Tabela1[[#This Row],[1QZ DE FEV 26]]-Tabela1[[#This Row],[SALDO PENDENTE]]-Tabela1[[#This Row],[SALDO CARTAO]]-Tabela1[[#This Row],[ADIANTAMENTO]]</f>
        <v>661.1399999999976</v>
      </c>
      <c r="O240" s="30">
        <v>0</v>
      </c>
      <c r="P240" s="39">
        <f>IF(Tabela1[[#This Row],[CARGA PARCIAL]]&lt;0,0,Tabela1[[#This Row],[CARGA PARCIAL]])+Tabela1[[#This Row],[REEMBOLSO]]</f>
        <v>661.1399999999976</v>
      </c>
      <c r="Q240" s="18" t="s">
        <v>27</v>
      </c>
      <c r="R240" s="18"/>
    </row>
    <row r="241" spans="2:18" hidden="1">
      <c r="B241" s="17" t="s">
        <v>622</v>
      </c>
      <c r="C241" s="17" t="s">
        <v>623</v>
      </c>
      <c r="D241" s="17" t="s">
        <v>23</v>
      </c>
      <c r="E241" s="17" t="s">
        <v>525</v>
      </c>
      <c r="F241" s="17">
        <v>11010180001</v>
      </c>
      <c r="G241" s="20" t="s">
        <v>55</v>
      </c>
      <c r="H241" s="17" t="s">
        <v>51</v>
      </c>
      <c r="I241" s="30">
        <v>-0.90000000000003633</v>
      </c>
      <c r="J241" s="30">
        <v>0</v>
      </c>
      <c r="K241" s="30">
        <v>0</v>
      </c>
      <c r="L241" s="30">
        <v>3.44</v>
      </c>
      <c r="M241" s="30">
        <v>0</v>
      </c>
      <c r="N241" s="30">
        <f>Tabela1[[#This Row],[1QZ DE FEV 26]]-Tabela1[[#This Row],[SALDO PENDENTE]]-Tabela1[[#This Row],[SALDO CARTAO]]-Tabela1[[#This Row],[ADIANTAMENTO]]</f>
        <v>-3.44</v>
      </c>
      <c r="O241" s="30">
        <v>0</v>
      </c>
      <c r="P241" s="39">
        <f>IF(Tabela1[[#This Row],[CARGA PARCIAL]]&lt;0,0,Tabela1[[#This Row],[CARGA PARCIAL]])+Tabela1[[#This Row],[REEMBOLSO]]</f>
        <v>0</v>
      </c>
      <c r="Q241" s="18" t="s">
        <v>27</v>
      </c>
      <c r="R241" s="18"/>
    </row>
    <row r="242" spans="2:18" hidden="1">
      <c r="B242" s="17" t="s">
        <v>624</v>
      </c>
      <c r="C242" s="17" t="s">
        <v>625</v>
      </c>
      <c r="D242" s="17" t="s">
        <v>23</v>
      </c>
      <c r="E242" s="17" t="s">
        <v>132</v>
      </c>
      <c r="F242" s="17">
        <v>11040160001</v>
      </c>
      <c r="G242" s="20" t="s">
        <v>63</v>
      </c>
      <c r="H242" s="17" t="s">
        <v>26</v>
      </c>
      <c r="I242" s="30">
        <v>-37.640000000000221</v>
      </c>
      <c r="J242" s="30">
        <v>0</v>
      </c>
      <c r="K242" s="30">
        <v>0</v>
      </c>
      <c r="L242" s="30">
        <v>33.630000000000003</v>
      </c>
      <c r="M242" s="30">
        <v>0</v>
      </c>
      <c r="N242" s="30">
        <f>Tabela1[[#This Row],[1QZ DE FEV 26]]-Tabela1[[#This Row],[SALDO PENDENTE]]-Tabela1[[#This Row],[SALDO CARTAO]]-Tabela1[[#This Row],[ADIANTAMENTO]]</f>
        <v>-33.630000000000003</v>
      </c>
      <c r="O242" s="30">
        <v>0</v>
      </c>
      <c r="P242" s="39">
        <f>IF(Tabela1[[#This Row],[CARGA PARCIAL]]&lt;0,0,Tabela1[[#This Row],[CARGA PARCIAL]])+Tabela1[[#This Row],[REEMBOLSO]]</f>
        <v>0</v>
      </c>
      <c r="Q242" s="18" t="s">
        <v>27</v>
      </c>
      <c r="R242" s="18"/>
    </row>
    <row r="243" spans="2:18" hidden="1">
      <c r="B243" s="17" t="s">
        <v>626</v>
      </c>
      <c r="C243" s="17" t="s">
        <v>627</v>
      </c>
      <c r="D243" s="17" t="s">
        <v>23</v>
      </c>
      <c r="E243" s="17" t="s">
        <v>628</v>
      </c>
      <c r="F243" s="17">
        <v>1201004</v>
      </c>
      <c r="G243" s="17" t="s">
        <v>629</v>
      </c>
      <c r="H243" s="17" t="s">
        <v>630</v>
      </c>
      <c r="I243" s="30">
        <v>-34</v>
      </c>
      <c r="J243" s="30">
        <v>0</v>
      </c>
      <c r="K243" s="30">
        <v>0</v>
      </c>
      <c r="L243" s="30">
        <v>0</v>
      </c>
      <c r="M243" s="30">
        <v>0</v>
      </c>
      <c r="N243" s="30">
        <f>Tabela1[[#This Row],[1QZ DE FEV 26]]-Tabela1[[#This Row],[SALDO PENDENTE]]-Tabela1[[#This Row],[SALDO CARTAO]]-Tabela1[[#This Row],[ADIANTAMENTO]]</f>
        <v>0</v>
      </c>
      <c r="O243" s="30">
        <v>0</v>
      </c>
      <c r="P243" s="39">
        <f>IF(Tabela1[[#This Row],[CARGA PARCIAL]]&lt;0,0,Tabela1[[#This Row],[CARGA PARCIAL]])+Tabela1[[#This Row],[REEMBOLSO]]</f>
        <v>0</v>
      </c>
      <c r="Q243" s="18" t="s">
        <v>145</v>
      </c>
      <c r="R243" s="18"/>
    </row>
    <row r="244" spans="2:18" hidden="1">
      <c r="B244" s="17" t="s">
        <v>631</v>
      </c>
      <c r="C244" s="17" t="s">
        <v>632</v>
      </c>
      <c r="D244" s="17" t="s">
        <v>23</v>
      </c>
      <c r="E244" s="17" t="s">
        <v>58</v>
      </c>
      <c r="F244" s="17">
        <v>1104150001</v>
      </c>
      <c r="G244" s="20" t="s">
        <v>59</v>
      </c>
      <c r="H244" s="17" t="s">
        <v>51</v>
      </c>
      <c r="I244" s="30">
        <v>-31.799999999999613</v>
      </c>
      <c r="J244" s="30">
        <v>0</v>
      </c>
      <c r="K244" s="30">
        <v>0</v>
      </c>
      <c r="L244" s="30">
        <v>323.88</v>
      </c>
      <c r="M244" s="30">
        <v>0</v>
      </c>
      <c r="N244" s="30">
        <f>Tabela1[[#This Row],[1QZ DE FEV 26]]-Tabela1[[#This Row],[SALDO PENDENTE]]-Tabela1[[#This Row],[SALDO CARTAO]]-Tabela1[[#This Row],[ADIANTAMENTO]]</f>
        <v>-323.88</v>
      </c>
      <c r="O244" s="30">
        <v>0</v>
      </c>
      <c r="P244" s="39">
        <f>IF(Tabela1[[#This Row],[CARGA PARCIAL]]&lt;0,0,Tabela1[[#This Row],[CARGA PARCIAL]])+Tabela1[[#This Row],[REEMBOLSO]]</f>
        <v>0</v>
      </c>
      <c r="Q244" s="18" t="s">
        <v>27</v>
      </c>
      <c r="R244" s="18"/>
    </row>
    <row r="245" spans="2:18" hidden="1">
      <c r="B245" s="19" t="s">
        <v>633</v>
      </c>
      <c r="C245" s="19" t="s">
        <v>634</v>
      </c>
      <c r="D245" s="19" t="s">
        <v>23</v>
      </c>
      <c r="E245" s="19" t="s">
        <v>98</v>
      </c>
      <c r="F245" s="19">
        <v>11030690001</v>
      </c>
      <c r="G245" s="27" t="s">
        <v>55</v>
      </c>
      <c r="H245" s="28" t="s">
        <v>51</v>
      </c>
      <c r="I245" s="30">
        <v>0</v>
      </c>
      <c r="J245" s="30">
        <v>271.20000000000005</v>
      </c>
      <c r="K245" s="31">
        <v>240</v>
      </c>
      <c r="L245" s="30">
        <v>0</v>
      </c>
      <c r="M245" s="31">
        <v>0</v>
      </c>
      <c r="N245" s="49">
        <f>Tabela1[[#This Row],[1QZ DE FEV 26]]-Tabela1[[#This Row],[SALDO PENDENTE]]-Tabela1[[#This Row],[SALDO CARTAO]]-Tabela1[[#This Row],[ADIANTAMENTO]]</f>
        <v>-31.200000000000045</v>
      </c>
      <c r="O245" s="49">
        <v>0</v>
      </c>
      <c r="P245" s="50">
        <f>IF(Tabela1[[#This Row],[CARGA PARCIAL]]&lt;0,0,Tabela1[[#This Row],[CARGA PARCIAL]])+Tabela1[[#This Row],[REEMBOLSO]]</f>
        <v>0</v>
      </c>
      <c r="Q245" s="44" t="s">
        <v>27</v>
      </c>
      <c r="R245" s="29"/>
    </row>
    <row r="246" spans="2:18" hidden="1">
      <c r="B246" s="42" t="s">
        <v>635</v>
      </c>
      <c r="C246" s="22" t="s">
        <v>636</v>
      </c>
      <c r="D246" s="17" t="s">
        <v>23</v>
      </c>
      <c r="E246" s="17" t="s">
        <v>637</v>
      </c>
      <c r="F246" s="17">
        <v>11062820001</v>
      </c>
      <c r="G246" s="20" t="s">
        <v>638</v>
      </c>
      <c r="H246" s="17" t="s">
        <v>177</v>
      </c>
      <c r="I246" s="30">
        <v>-19.609999999999836</v>
      </c>
      <c r="J246" s="30">
        <v>0</v>
      </c>
      <c r="K246" s="30">
        <v>0</v>
      </c>
      <c r="L246" s="30">
        <v>57.18</v>
      </c>
      <c r="M246" s="30">
        <v>0</v>
      </c>
      <c r="N246" s="30">
        <f>Tabela1[[#This Row],[1QZ DE FEV 26]]-Tabela1[[#This Row],[SALDO PENDENTE]]-Tabela1[[#This Row],[SALDO CARTAO]]-Tabela1[[#This Row],[ADIANTAMENTO]]</f>
        <v>-57.18</v>
      </c>
      <c r="O246" s="30">
        <v>0</v>
      </c>
      <c r="P246" s="39">
        <f>IF(Tabela1[[#This Row],[CARGA PARCIAL]]&lt;0,0,Tabela1[[#This Row],[CARGA PARCIAL]])+Tabela1[[#This Row],[REEMBOLSO]]</f>
        <v>0</v>
      </c>
      <c r="Q246" s="18" t="s">
        <v>27</v>
      </c>
      <c r="R246" s="18"/>
    </row>
    <row r="247" spans="2:18" hidden="1">
      <c r="B247" s="17" t="s">
        <v>639</v>
      </c>
      <c r="C247" s="17" t="s">
        <v>640</v>
      </c>
      <c r="D247" s="17" t="s">
        <v>23</v>
      </c>
      <c r="E247" s="17" t="s">
        <v>58</v>
      </c>
      <c r="F247" s="17">
        <v>1104150001</v>
      </c>
      <c r="G247" s="20" t="s">
        <v>59</v>
      </c>
      <c r="H247" s="17" t="s">
        <v>51</v>
      </c>
      <c r="I247" s="30">
        <v>-17.999999999999954</v>
      </c>
      <c r="J247" s="30">
        <v>0</v>
      </c>
      <c r="K247" s="30">
        <v>0</v>
      </c>
      <c r="L247" s="30">
        <v>2.2000000000000002</v>
      </c>
      <c r="M247" s="30">
        <v>0</v>
      </c>
      <c r="N247" s="30">
        <f>Tabela1[[#This Row],[1QZ DE FEV 26]]-Tabela1[[#This Row],[SALDO PENDENTE]]-Tabela1[[#This Row],[SALDO CARTAO]]-Tabela1[[#This Row],[ADIANTAMENTO]]</f>
        <v>-2.2000000000000002</v>
      </c>
      <c r="O247" s="30">
        <v>0</v>
      </c>
      <c r="P247" s="39">
        <f>IF(Tabela1[[#This Row],[CARGA PARCIAL]]&lt;0,0,Tabela1[[#This Row],[CARGA PARCIAL]])+Tabela1[[#This Row],[REEMBOLSO]]</f>
        <v>0</v>
      </c>
      <c r="Q247" s="18" t="s">
        <v>27</v>
      </c>
      <c r="R247" s="18"/>
    </row>
    <row r="248" spans="2:18" hidden="1">
      <c r="B248" s="42" t="s">
        <v>641</v>
      </c>
      <c r="C248" s="22" t="s">
        <v>642</v>
      </c>
      <c r="D248" s="17" t="s">
        <v>23</v>
      </c>
      <c r="E248" s="17" t="s">
        <v>58</v>
      </c>
      <c r="F248" s="17">
        <v>1104150001</v>
      </c>
      <c r="G248" s="20" t="s">
        <v>59</v>
      </c>
      <c r="H248" s="17" t="s">
        <v>51</v>
      </c>
      <c r="I248" s="30">
        <v>-11.26</v>
      </c>
      <c r="J248" s="30">
        <v>0</v>
      </c>
      <c r="K248" s="30">
        <v>0</v>
      </c>
      <c r="L248" s="30">
        <v>11.26</v>
      </c>
      <c r="M248" s="30">
        <v>0</v>
      </c>
      <c r="N248" s="30">
        <f>Tabela1[[#This Row],[1QZ DE FEV 26]]-Tabela1[[#This Row],[SALDO PENDENTE]]-Tabela1[[#This Row],[SALDO CARTAO]]-Tabela1[[#This Row],[ADIANTAMENTO]]</f>
        <v>-11.26</v>
      </c>
      <c r="O248" s="30">
        <v>0</v>
      </c>
      <c r="P248" s="39">
        <f>IF(Tabela1[[#This Row],[CARGA PARCIAL]]&lt;0,0,Tabela1[[#This Row],[CARGA PARCIAL]])+Tabela1[[#This Row],[REEMBOLSO]]</f>
        <v>0</v>
      </c>
      <c r="Q248" s="18" t="s">
        <v>27</v>
      </c>
      <c r="R248" s="18"/>
    </row>
    <row r="249" spans="2:18" hidden="1">
      <c r="B249" s="42" t="s">
        <v>643</v>
      </c>
      <c r="C249" s="22" t="s">
        <v>644</v>
      </c>
      <c r="D249" s="17" t="s">
        <v>23</v>
      </c>
      <c r="E249" s="17" t="s">
        <v>645</v>
      </c>
      <c r="F249" s="17">
        <v>1201002</v>
      </c>
      <c r="G249" s="20" t="s">
        <v>646</v>
      </c>
      <c r="H249" s="17" t="s">
        <v>647</v>
      </c>
      <c r="I249" s="30">
        <v>-7.0300000000001148</v>
      </c>
      <c r="J249" s="30">
        <v>0</v>
      </c>
      <c r="K249" s="30">
        <v>0</v>
      </c>
      <c r="L249" s="30">
        <v>111.41</v>
      </c>
      <c r="M249" s="30">
        <v>0</v>
      </c>
      <c r="N249" s="30">
        <f>Tabela1[[#This Row],[1QZ DE FEV 26]]-Tabela1[[#This Row],[SALDO PENDENTE]]-Tabela1[[#This Row],[SALDO CARTAO]]-Tabela1[[#This Row],[ADIANTAMENTO]]</f>
        <v>-111.41</v>
      </c>
      <c r="O249" s="30">
        <v>0</v>
      </c>
      <c r="P249" s="39">
        <f>IF(Tabela1[[#This Row],[CARGA PARCIAL]]&lt;0,0,Tabela1[[#This Row],[CARGA PARCIAL]])+Tabela1[[#This Row],[REEMBOLSO]]</f>
        <v>0</v>
      </c>
      <c r="Q249" s="18" t="s">
        <v>27</v>
      </c>
      <c r="R249" s="18"/>
    </row>
    <row r="250" spans="2:18" hidden="1">
      <c r="B250" s="42" t="s">
        <v>648</v>
      </c>
      <c r="C250" s="22" t="s">
        <v>649</v>
      </c>
      <c r="D250" s="17" t="s">
        <v>23</v>
      </c>
      <c r="E250" s="17" t="s">
        <v>169</v>
      </c>
      <c r="F250" s="17">
        <v>11080440001</v>
      </c>
      <c r="G250" s="20" t="s">
        <v>55</v>
      </c>
      <c r="H250" s="17" t="s">
        <v>51</v>
      </c>
      <c r="I250" s="30">
        <v>-379.99999999999909</v>
      </c>
      <c r="J250" s="30">
        <v>0</v>
      </c>
      <c r="K250" s="30">
        <v>350</v>
      </c>
      <c r="L250" s="30">
        <v>340</v>
      </c>
      <c r="M250" s="30">
        <v>0</v>
      </c>
      <c r="N250" s="30">
        <f>Tabela1[[#This Row],[1QZ DE FEV 26]]-Tabela1[[#This Row],[SALDO PENDENTE]]-Tabela1[[#This Row],[SALDO CARTAO]]-Tabela1[[#This Row],[ADIANTAMENTO]]</f>
        <v>10</v>
      </c>
      <c r="O250" s="30">
        <v>380</v>
      </c>
      <c r="P250" s="39">
        <f>IF(Tabela1[[#This Row],[CARGA PARCIAL]]&lt;0,0,Tabela1[[#This Row],[CARGA PARCIAL]])+Tabela1[[#This Row],[REEMBOLSO]]</f>
        <v>390</v>
      </c>
      <c r="Q250" s="18" t="s">
        <v>27</v>
      </c>
      <c r="R250" s="18"/>
    </row>
    <row r="251" spans="2:18" hidden="1">
      <c r="B251" s="17" t="s">
        <v>650</v>
      </c>
      <c r="C251" s="17" t="s">
        <v>651</v>
      </c>
      <c r="D251" s="17" t="s">
        <v>23</v>
      </c>
      <c r="E251" s="17" t="s">
        <v>58</v>
      </c>
      <c r="F251" s="17">
        <v>1104150001</v>
      </c>
      <c r="G251" s="17" t="s">
        <v>59</v>
      </c>
      <c r="H251" s="17" t="s">
        <v>51</v>
      </c>
      <c r="I251" s="30">
        <v>-2.2999999999893532</v>
      </c>
      <c r="J251" s="30">
        <v>0</v>
      </c>
      <c r="K251" s="30">
        <v>0</v>
      </c>
      <c r="L251" s="30">
        <v>175.33</v>
      </c>
      <c r="M251" s="30">
        <v>0</v>
      </c>
      <c r="N251" s="30">
        <f>Tabela1[[#This Row],[1QZ DE FEV 26]]-Tabela1[[#This Row],[SALDO PENDENTE]]-Tabela1[[#This Row],[SALDO CARTAO]]-Tabela1[[#This Row],[ADIANTAMENTO]]</f>
        <v>-175.33</v>
      </c>
      <c r="O251" s="30">
        <v>0</v>
      </c>
      <c r="P251" s="39">
        <f>IF(Tabela1[[#This Row],[CARGA PARCIAL]]&lt;0,0,Tabela1[[#This Row],[CARGA PARCIAL]])+Tabela1[[#This Row],[REEMBOLSO]]</f>
        <v>0</v>
      </c>
      <c r="Q251" s="18" t="s">
        <v>27</v>
      </c>
      <c r="R251" s="18"/>
    </row>
    <row r="252" spans="2:18" hidden="1">
      <c r="B252" s="17" t="s">
        <v>652</v>
      </c>
      <c r="C252" s="17" t="s">
        <v>653</v>
      </c>
      <c r="D252" s="17" t="s">
        <v>23</v>
      </c>
      <c r="E252" s="17" t="s">
        <v>654</v>
      </c>
      <c r="F252" s="17">
        <v>12010590001</v>
      </c>
      <c r="G252" s="20" t="s">
        <v>435</v>
      </c>
      <c r="H252" s="17" t="s">
        <v>177</v>
      </c>
      <c r="I252" s="30">
        <v>-1.9999999999997726</v>
      </c>
      <c r="J252" s="30">
        <v>0</v>
      </c>
      <c r="K252" s="30">
        <v>500</v>
      </c>
      <c r="L252" s="30">
        <v>1362.01</v>
      </c>
      <c r="M252" s="30">
        <v>0</v>
      </c>
      <c r="N252" s="30">
        <f>Tabela1[[#This Row],[1QZ DE FEV 26]]-Tabela1[[#This Row],[SALDO PENDENTE]]-Tabela1[[#This Row],[SALDO CARTAO]]-Tabela1[[#This Row],[ADIANTAMENTO]]</f>
        <v>-862.01</v>
      </c>
      <c r="O252" s="30">
        <v>0</v>
      </c>
      <c r="P252" s="39">
        <f>IF(Tabela1[[#This Row],[CARGA PARCIAL]]&lt;0,0,Tabela1[[#This Row],[CARGA PARCIAL]])+Tabela1[[#This Row],[REEMBOLSO]]</f>
        <v>0</v>
      </c>
      <c r="Q252" s="18" t="s">
        <v>27</v>
      </c>
      <c r="R252" s="18"/>
    </row>
    <row r="253" spans="2:18" hidden="1">
      <c r="B253" s="17" t="s">
        <v>655</v>
      </c>
      <c r="C253" s="17" t="s">
        <v>656</v>
      </c>
      <c r="D253" s="17" t="s">
        <v>23</v>
      </c>
      <c r="E253" s="17" t="s">
        <v>657</v>
      </c>
      <c r="F253" s="17">
        <v>12010540001</v>
      </c>
      <c r="G253" s="20" t="s">
        <v>177</v>
      </c>
      <c r="H253" s="17" t="s">
        <v>177</v>
      </c>
      <c r="I253" s="30">
        <v>-1.0399999999999991</v>
      </c>
      <c r="J253" s="30">
        <v>0</v>
      </c>
      <c r="K253" s="30">
        <v>0</v>
      </c>
      <c r="L253" s="30">
        <v>22.35</v>
      </c>
      <c r="M253" s="30">
        <v>0</v>
      </c>
      <c r="N253" s="30">
        <f>Tabela1[[#This Row],[1QZ DE FEV 26]]-Tabela1[[#This Row],[SALDO PENDENTE]]-Tabela1[[#This Row],[SALDO CARTAO]]-Tabela1[[#This Row],[ADIANTAMENTO]]</f>
        <v>-22.35</v>
      </c>
      <c r="O253" s="30">
        <v>0</v>
      </c>
      <c r="P253" s="39">
        <f>IF(Tabela1[[#This Row],[CARGA PARCIAL]]&lt;0,0,Tabela1[[#This Row],[CARGA PARCIAL]])+Tabela1[[#This Row],[REEMBOLSO]]</f>
        <v>0</v>
      </c>
      <c r="Q253" s="18" t="s">
        <v>27</v>
      </c>
      <c r="R253" s="18"/>
    </row>
    <row r="254" spans="2:18" hidden="1">
      <c r="B254" s="42" t="s">
        <v>658</v>
      </c>
      <c r="C254" s="22" t="s">
        <v>659</v>
      </c>
      <c r="D254" s="17" t="s">
        <v>23</v>
      </c>
      <c r="E254" s="17" t="s">
        <v>525</v>
      </c>
      <c r="F254" s="17">
        <v>11010180001</v>
      </c>
      <c r="G254" s="20" t="s">
        <v>55</v>
      </c>
      <c r="H254" s="17" t="s">
        <v>51</v>
      </c>
      <c r="I254" s="30">
        <v>0</v>
      </c>
      <c r="J254" s="30">
        <v>0</v>
      </c>
      <c r="K254" s="30">
        <v>0</v>
      </c>
      <c r="L254" s="30">
        <v>259.7</v>
      </c>
      <c r="M254" s="30">
        <v>0</v>
      </c>
      <c r="N254" s="30">
        <f>Tabela1[[#This Row],[1QZ DE FEV 26]]-Tabela1[[#This Row],[SALDO PENDENTE]]-Tabela1[[#This Row],[SALDO CARTAO]]-Tabela1[[#This Row],[ADIANTAMENTO]]</f>
        <v>-259.7</v>
      </c>
      <c r="O254" s="30">
        <v>0</v>
      </c>
      <c r="P254" s="39">
        <f>IF(Tabela1[[#This Row],[CARGA PARCIAL]]&lt;0,0,Tabela1[[#This Row],[CARGA PARCIAL]])+Tabela1[[#This Row],[REEMBOLSO]]</f>
        <v>0</v>
      </c>
      <c r="Q254" s="18" t="s">
        <v>27</v>
      </c>
      <c r="R254" s="18"/>
    </row>
    <row r="255" spans="2:18" hidden="1">
      <c r="B255" s="17" t="s">
        <v>660</v>
      </c>
      <c r="C255" s="17" t="s">
        <v>661</v>
      </c>
      <c r="D255" s="17" t="s">
        <v>23</v>
      </c>
      <c r="E255" s="17" t="s">
        <v>566</v>
      </c>
      <c r="F255" s="17">
        <v>11030760001</v>
      </c>
      <c r="G255" s="17" t="s">
        <v>50</v>
      </c>
      <c r="H255" s="17" t="s">
        <v>51</v>
      </c>
      <c r="I255" s="30">
        <v>-0.66000000000008185</v>
      </c>
      <c r="J255" s="30">
        <v>0</v>
      </c>
      <c r="K255" s="30">
        <v>675</v>
      </c>
      <c r="L255" s="30">
        <v>675</v>
      </c>
      <c r="M255" s="30">
        <v>0</v>
      </c>
      <c r="N255" s="30">
        <f>Tabela1[[#This Row],[1QZ DE FEV 26]]-Tabela1[[#This Row],[SALDO PENDENTE]]-Tabela1[[#This Row],[SALDO CARTAO]]-Tabela1[[#This Row],[ADIANTAMENTO]]</f>
        <v>0</v>
      </c>
      <c r="O255" s="30">
        <v>0</v>
      </c>
      <c r="P255" s="39">
        <f>IF(Tabela1[[#This Row],[CARGA PARCIAL]]&lt;0,0,Tabela1[[#This Row],[CARGA PARCIAL]])+Tabela1[[#This Row],[REEMBOLSO]]</f>
        <v>0</v>
      </c>
      <c r="Q255" s="18" t="s">
        <v>27</v>
      </c>
      <c r="R255" s="18"/>
    </row>
    <row r="256" spans="2:18" hidden="1">
      <c r="B256" s="42" t="s">
        <v>662</v>
      </c>
      <c r="C256" s="22" t="s">
        <v>663</v>
      </c>
      <c r="D256" s="17" t="s">
        <v>23</v>
      </c>
      <c r="E256" s="17" t="s">
        <v>366</v>
      </c>
      <c r="F256" s="17">
        <v>1201007</v>
      </c>
      <c r="G256" s="20" t="s">
        <v>35</v>
      </c>
      <c r="H256" s="17" t="s">
        <v>26</v>
      </c>
      <c r="I256" s="30">
        <v>-2.1316282072803006E-13</v>
      </c>
      <c r="J256" s="30">
        <v>0</v>
      </c>
      <c r="K256" s="30">
        <v>0</v>
      </c>
      <c r="L256" s="30">
        <v>91.98</v>
      </c>
      <c r="M256" s="30">
        <v>0</v>
      </c>
      <c r="N256" s="30">
        <f>Tabela1[[#This Row],[1QZ DE FEV 26]]-Tabela1[[#This Row],[SALDO PENDENTE]]-Tabela1[[#This Row],[SALDO CARTAO]]-Tabela1[[#This Row],[ADIANTAMENTO]]</f>
        <v>-91.98</v>
      </c>
      <c r="O256" s="30">
        <v>0</v>
      </c>
      <c r="P256" s="39">
        <f>IF(Tabela1[[#This Row],[CARGA PARCIAL]]&lt;0,0,Tabela1[[#This Row],[CARGA PARCIAL]])+Tabela1[[#This Row],[REEMBOLSO]]</f>
        <v>0</v>
      </c>
      <c r="Q256" s="18" t="s">
        <v>27</v>
      </c>
      <c r="R256" s="18"/>
    </row>
    <row r="257" spans="2:18" hidden="1">
      <c r="B257" s="17" t="s">
        <v>664</v>
      </c>
      <c r="C257" s="17" t="s">
        <v>665</v>
      </c>
      <c r="D257" s="17" t="s">
        <v>23</v>
      </c>
      <c r="E257" s="17" t="s">
        <v>87</v>
      </c>
      <c r="F257" s="17">
        <v>11030620001</v>
      </c>
      <c r="G257" s="20" t="s">
        <v>71</v>
      </c>
      <c r="H257" s="17" t="s">
        <v>51</v>
      </c>
      <c r="I257" s="30">
        <v>-7.460698725481052E-14</v>
      </c>
      <c r="J257" s="30">
        <v>0</v>
      </c>
      <c r="K257" s="30">
        <v>0</v>
      </c>
      <c r="L257" s="30">
        <v>26.52</v>
      </c>
      <c r="M257" s="30">
        <v>0</v>
      </c>
      <c r="N257" s="30">
        <f>Tabela1[[#This Row],[1QZ DE FEV 26]]-Tabela1[[#This Row],[SALDO PENDENTE]]-Tabela1[[#This Row],[SALDO CARTAO]]-Tabela1[[#This Row],[ADIANTAMENTO]]</f>
        <v>-26.52</v>
      </c>
      <c r="O257" s="30">
        <v>0</v>
      </c>
      <c r="P257" s="39">
        <f>IF(Tabela1[[#This Row],[CARGA PARCIAL]]&lt;0,0,Tabela1[[#This Row],[CARGA PARCIAL]])+Tabela1[[#This Row],[REEMBOLSO]]</f>
        <v>0</v>
      </c>
      <c r="Q257" s="18" t="s">
        <v>27</v>
      </c>
      <c r="R257" s="18"/>
    </row>
    <row r="258" spans="2:18" hidden="1">
      <c r="B258" s="17" t="s">
        <v>666</v>
      </c>
      <c r="C258" s="17" t="s">
        <v>667</v>
      </c>
      <c r="D258" s="17" t="s">
        <v>23</v>
      </c>
      <c r="E258" s="17" t="s">
        <v>104</v>
      </c>
      <c r="F258" s="17">
        <v>11030600001</v>
      </c>
      <c r="G258" s="20" t="s">
        <v>71</v>
      </c>
      <c r="H258" s="17" t="s">
        <v>51</v>
      </c>
      <c r="I258" s="30">
        <v>-6.3948846218409017E-14</v>
      </c>
      <c r="J258" s="30">
        <v>0</v>
      </c>
      <c r="K258" s="30">
        <v>0</v>
      </c>
      <c r="L258" s="30">
        <v>26.07</v>
      </c>
      <c r="M258" s="30">
        <v>0</v>
      </c>
      <c r="N258" s="30">
        <f>Tabela1[[#This Row],[1QZ DE FEV 26]]-Tabela1[[#This Row],[SALDO PENDENTE]]-Tabela1[[#This Row],[SALDO CARTAO]]-Tabela1[[#This Row],[ADIANTAMENTO]]</f>
        <v>-26.07</v>
      </c>
      <c r="O258" s="30">
        <v>0</v>
      </c>
      <c r="P258" s="39">
        <f>IF(Tabela1[[#This Row],[CARGA PARCIAL]]&lt;0,0,Tabela1[[#This Row],[CARGA PARCIAL]])+Tabela1[[#This Row],[REEMBOLSO]]</f>
        <v>0</v>
      </c>
      <c r="Q258" s="18" t="s">
        <v>27</v>
      </c>
      <c r="R258" s="18"/>
    </row>
    <row r="259" spans="2:18" hidden="1">
      <c r="B259" s="17" t="s">
        <v>668</v>
      </c>
      <c r="C259" s="17" t="s">
        <v>669</v>
      </c>
      <c r="D259" s="17" t="s">
        <v>23</v>
      </c>
      <c r="E259" s="17" t="s">
        <v>670</v>
      </c>
      <c r="F259" s="17">
        <v>11080220001</v>
      </c>
      <c r="G259" s="17" t="s">
        <v>45</v>
      </c>
      <c r="H259" s="17" t="s">
        <v>46</v>
      </c>
      <c r="I259" s="30">
        <v>0</v>
      </c>
      <c r="J259" s="30">
        <v>4153.3799999999928</v>
      </c>
      <c r="K259" s="30">
        <v>6200</v>
      </c>
      <c r="L259" s="30">
        <v>4197.62</v>
      </c>
      <c r="M259" s="30">
        <v>0</v>
      </c>
      <c r="N259" s="30">
        <f>Tabela1[[#This Row],[1QZ DE FEV 26]]-Tabela1[[#This Row],[SALDO PENDENTE]]-Tabela1[[#This Row],[SALDO CARTAO]]-Tabela1[[#This Row],[ADIANTAMENTO]]</f>
        <v>-2150.9999999999927</v>
      </c>
      <c r="O259" s="30">
        <v>0</v>
      </c>
      <c r="P259" s="39">
        <f>IF(Tabela1[[#This Row],[CARGA PARCIAL]]&lt;0,0,Tabela1[[#This Row],[CARGA PARCIAL]])+Tabela1[[#This Row],[REEMBOLSO]]</f>
        <v>0</v>
      </c>
      <c r="Q259" s="18" t="s">
        <v>27</v>
      </c>
      <c r="R259" s="18"/>
    </row>
    <row r="260" spans="2:18" hidden="1">
      <c r="B260" s="42" t="s">
        <v>671</v>
      </c>
      <c r="C260" s="22" t="s">
        <v>672</v>
      </c>
      <c r="D260" s="17" t="s">
        <v>23</v>
      </c>
      <c r="E260" s="17" t="s">
        <v>296</v>
      </c>
      <c r="F260" s="17">
        <v>11080170001</v>
      </c>
      <c r="G260" s="20" t="s">
        <v>50</v>
      </c>
      <c r="H260" s="17" t="s">
        <v>51</v>
      </c>
      <c r="I260" s="30">
        <v>0</v>
      </c>
      <c r="J260" s="30">
        <v>7295.529999999987</v>
      </c>
      <c r="K260" s="30">
        <v>6000</v>
      </c>
      <c r="L260" s="30">
        <v>34.619999999999997</v>
      </c>
      <c r="M260" s="30">
        <v>0</v>
      </c>
      <c r="N260" s="30">
        <f>Tabela1[[#This Row],[1QZ DE FEV 26]]-Tabela1[[#This Row],[SALDO PENDENTE]]-Tabela1[[#This Row],[SALDO CARTAO]]-Tabela1[[#This Row],[ADIANTAMENTO]]</f>
        <v>-1330.1499999999869</v>
      </c>
      <c r="O260" s="30">
        <v>0</v>
      </c>
      <c r="P260" s="39">
        <f>IF(Tabela1[[#This Row],[CARGA PARCIAL]]&lt;0,0,Tabela1[[#This Row],[CARGA PARCIAL]])+Tabela1[[#This Row],[REEMBOLSO]]</f>
        <v>0</v>
      </c>
      <c r="Q260" s="18" t="s">
        <v>27</v>
      </c>
      <c r="R260" s="18"/>
    </row>
    <row r="261" spans="2:18" hidden="1">
      <c r="B261" s="42" t="s">
        <v>673</v>
      </c>
      <c r="C261" s="22" t="s">
        <v>674</v>
      </c>
      <c r="D261" s="17" t="s">
        <v>23</v>
      </c>
      <c r="E261" s="17" t="s">
        <v>201</v>
      </c>
      <c r="F261" s="17">
        <v>11030890001</v>
      </c>
      <c r="G261" s="20" t="s">
        <v>25</v>
      </c>
      <c r="H261" s="17" t="s">
        <v>26</v>
      </c>
      <c r="I261" s="30">
        <v>0</v>
      </c>
      <c r="J261" s="30">
        <v>3286.0199999999968</v>
      </c>
      <c r="K261" s="30">
        <v>6000</v>
      </c>
      <c r="L261" s="30">
        <v>63</v>
      </c>
      <c r="M261" s="30">
        <v>6000</v>
      </c>
      <c r="N261" s="30">
        <f>Tabela1[[#This Row],[1QZ DE FEV 26]]-Tabela1[[#This Row],[SALDO PENDENTE]]-Tabela1[[#This Row],[SALDO CARTAO]]-Tabela1[[#This Row],[ADIANTAMENTO]]</f>
        <v>-3349.0199999999968</v>
      </c>
      <c r="O261" s="30">
        <v>0</v>
      </c>
      <c r="P261" s="39">
        <f>IF(Tabela1[[#This Row],[CARGA PARCIAL]]&lt;0,0,Tabela1[[#This Row],[CARGA PARCIAL]])+Tabela1[[#This Row],[REEMBOLSO]]</f>
        <v>0</v>
      </c>
      <c r="Q261" s="18" t="s">
        <v>27</v>
      </c>
      <c r="R261" s="18"/>
    </row>
    <row r="262" spans="2:18" hidden="1">
      <c r="B262" s="17" t="s">
        <v>675</v>
      </c>
      <c r="C262" s="17" t="s">
        <v>676</v>
      </c>
      <c r="D262" s="17" t="s">
        <v>23</v>
      </c>
      <c r="E262" s="17" t="s">
        <v>677</v>
      </c>
      <c r="F262" s="17">
        <v>11061690001</v>
      </c>
      <c r="G262" s="17" t="s">
        <v>35</v>
      </c>
      <c r="H262" s="17" t="s">
        <v>26</v>
      </c>
      <c r="I262" s="30">
        <v>0</v>
      </c>
      <c r="J262" s="30">
        <v>1529.4399999999941</v>
      </c>
      <c r="K262" s="30">
        <v>5000</v>
      </c>
      <c r="L262" s="30">
        <v>4801.46</v>
      </c>
      <c r="M262" s="30">
        <v>0</v>
      </c>
      <c r="N262" s="30">
        <f>Tabela1[[#This Row],[1QZ DE FEV 26]]-Tabela1[[#This Row],[SALDO PENDENTE]]-Tabela1[[#This Row],[SALDO CARTAO]]-Tabela1[[#This Row],[ADIANTAMENTO]]</f>
        <v>-1330.8999999999942</v>
      </c>
      <c r="O262" s="30">
        <v>0</v>
      </c>
      <c r="P262" s="39">
        <f>IF(Tabela1[[#This Row],[CARGA PARCIAL]]&lt;0,0,Tabela1[[#This Row],[CARGA PARCIAL]])+Tabela1[[#This Row],[REEMBOLSO]]</f>
        <v>0</v>
      </c>
      <c r="Q262" s="18" t="s">
        <v>27</v>
      </c>
      <c r="R262" s="18"/>
    </row>
    <row r="263" spans="2:18" hidden="1">
      <c r="B263" s="42" t="s">
        <v>678</v>
      </c>
      <c r="C263" s="22" t="s">
        <v>679</v>
      </c>
      <c r="D263" s="17" t="s">
        <v>23</v>
      </c>
      <c r="E263" s="17" t="s">
        <v>30</v>
      </c>
      <c r="F263" s="17">
        <v>11030290001</v>
      </c>
      <c r="G263" s="20" t="s">
        <v>31</v>
      </c>
      <c r="H263" s="17" t="s">
        <v>26</v>
      </c>
      <c r="I263" s="30">
        <v>0</v>
      </c>
      <c r="J263" s="30">
        <v>5447.3</v>
      </c>
      <c r="K263" s="30">
        <v>4520</v>
      </c>
      <c r="L263" s="30">
        <v>0</v>
      </c>
      <c r="M263" s="30">
        <v>0</v>
      </c>
      <c r="N263" s="30">
        <f>Tabela1[[#This Row],[1QZ DE FEV 26]]-Tabela1[[#This Row],[SALDO PENDENTE]]-Tabela1[[#This Row],[SALDO CARTAO]]-Tabela1[[#This Row],[ADIANTAMENTO]]</f>
        <v>-927.30000000000018</v>
      </c>
      <c r="O263" s="30">
        <v>0</v>
      </c>
      <c r="P263" s="39">
        <f>IF(Tabela1[[#This Row],[CARGA PARCIAL]]&lt;0,0,Tabela1[[#This Row],[CARGA PARCIAL]])+Tabela1[[#This Row],[REEMBOLSO]]</f>
        <v>0</v>
      </c>
      <c r="Q263" s="18" t="s">
        <v>27</v>
      </c>
      <c r="R263" s="18"/>
    </row>
    <row r="264" spans="2:18" hidden="1">
      <c r="B264" s="17" t="s">
        <v>680</v>
      </c>
      <c r="C264" s="17" t="s">
        <v>681</v>
      </c>
      <c r="D264" s="17" t="s">
        <v>23</v>
      </c>
      <c r="E264" s="17" t="s">
        <v>682</v>
      </c>
      <c r="F264" s="17">
        <v>11010400001</v>
      </c>
      <c r="G264" s="20" t="s">
        <v>31</v>
      </c>
      <c r="H264" s="17" t="s">
        <v>26</v>
      </c>
      <c r="I264" s="30">
        <v>0</v>
      </c>
      <c r="J264" s="30">
        <v>7412</v>
      </c>
      <c r="K264" s="30">
        <v>4500</v>
      </c>
      <c r="L264" s="30">
        <v>478</v>
      </c>
      <c r="M264" s="30">
        <v>4500</v>
      </c>
      <c r="N264" s="30">
        <f>Tabela1[[#This Row],[1QZ DE FEV 26]]-Tabela1[[#This Row],[SALDO PENDENTE]]-Tabela1[[#This Row],[SALDO CARTAO]]-Tabela1[[#This Row],[ADIANTAMENTO]]</f>
        <v>-7890</v>
      </c>
      <c r="O264" s="30">
        <v>0</v>
      </c>
      <c r="P264" s="39">
        <f>IF(Tabela1[[#This Row],[CARGA PARCIAL]]&lt;0,0,Tabela1[[#This Row],[CARGA PARCIAL]])+Tabela1[[#This Row],[REEMBOLSO]]</f>
        <v>0</v>
      </c>
      <c r="Q264" s="18" t="s">
        <v>27</v>
      </c>
      <c r="R264" s="18"/>
    </row>
    <row r="265" spans="2:18" hidden="1">
      <c r="B265" s="42" t="s">
        <v>683</v>
      </c>
      <c r="C265" s="22" t="s">
        <v>684</v>
      </c>
      <c r="D265" s="17" t="s">
        <v>23</v>
      </c>
      <c r="E265" s="17" t="s">
        <v>525</v>
      </c>
      <c r="F265" s="17">
        <v>11010180001</v>
      </c>
      <c r="G265" s="20" t="s">
        <v>55</v>
      </c>
      <c r="H265" s="17" t="s">
        <v>51</v>
      </c>
      <c r="I265" s="30">
        <v>0</v>
      </c>
      <c r="J265" s="30">
        <v>1.2000000000008413</v>
      </c>
      <c r="K265" s="30">
        <v>500</v>
      </c>
      <c r="L265" s="30">
        <v>84.37</v>
      </c>
      <c r="M265" s="30">
        <v>0</v>
      </c>
      <c r="N265" s="30">
        <f>Tabela1[[#This Row],[1QZ DE FEV 26]]-Tabela1[[#This Row],[SALDO PENDENTE]]-Tabela1[[#This Row],[SALDO CARTAO]]-Tabela1[[#This Row],[ADIANTAMENTO]]</f>
        <v>414.42999999999915</v>
      </c>
      <c r="O265" s="30">
        <v>0</v>
      </c>
      <c r="P265" s="39">
        <f>IF(Tabela1[[#This Row],[CARGA PARCIAL]]&lt;0,0,Tabela1[[#This Row],[CARGA PARCIAL]])+Tabela1[[#This Row],[REEMBOLSO]]</f>
        <v>414.42999999999915</v>
      </c>
      <c r="Q265" s="18" t="s">
        <v>27</v>
      </c>
      <c r="R265" s="18"/>
    </row>
    <row r="266" spans="2:18" hidden="1">
      <c r="B266" s="42" t="s">
        <v>685</v>
      </c>
      <c r="C266" s="22" t="s">
        <v>686</v>
      </c>
      <c r="D266" s="17" t="s">
        <v>23</v>
      </c>
      <c r="E266" s="17" t="s">
        <v>351</v>
      </c>
      <c r="F266" s="17">
        <v>11062640001</v>
      </c>
      <c r="G266" s="20" t="s">
        <v>50</v>
      </c>
      <c r="H266" s="17" t="s">
        <v>51</v>
      </c>
      <c r="I266" s="30">
        <v>0</v>
      </c>
      <c r="J266" s="30">
        <v>4349.1299999999974</v>
      </c>
      <c r="K266" s="30">
        <v>4000</v>
      </c>
      <c r="L266" s="30">
        <v>1.68</v>
      </c>
      <c r="M266" s="30">
        <v>0</v>
      </c>
      <c r="N266" s="30">
        <f>Tabela1[[#This Row],[1QZ DE FEV 26]]-Tabela1[[#This Row],[SALDO PENDENTE]]-Tabela1[[#This Row],[SALDO CARTAO]]-Tabela1[[#This Row],[ADIANTAMENTO]]</f>
        <v>-350.80999999999739</v>
      </c>
      <c r="O266" s="30">
        <v>0</v>
      </c>
      <c r="P266" s="39">
        <f>IF(Tabela1[[#This Row],[CARGA PARCIAL]]&lt;0,0,Tabela1[[#This Row],[CARGA PARCIAL]])+Tabela1[[#This Row],[REEMBOLSO]]</f>
        <v>0</v>
      </c>
      <c r="Q266" s="18" t="s">
        <v>27</v>
      </c>
      <c r="R266" s="18"/>
    </row>
    <row r="267" spans="2:18" hidden="1">
      <c r="B267" s="42" t="s">
        <v>687</v>
      </c>
      <c r="C267" s="22" t="s">
        <v>688</v>
      </c>
      <c r="D267" s="17" t="s">
        <v>23</v>
      </c>
      <c r="E267" s="17" t="s">
        <v>90</v>
      </c>
      <c r="F267" s="17">
        <v>11030840001</v>
      </c>
      <c r="G267" s="20" t="s">
        <v>50</v>
      </c>
      <c r="H267" s="17" t="s">
        <v>51</v>
      </c>
      <c r="I267" s="30">
        <v>0</v>
      </c>
      <c r="J267" s="30">
        <v>3393.7199999999889</v>
      </c>
      <c r="K267" s="30">
        <v>4000</v>
      </c>
      <c r="L267" s="30">
        <v>2425.69</v>
      </c>
      <c r="M267" s="30">
        <v>0</v>
      </c>
      <c r="N267" s="30">
        <f>Tabela1[[#This Row],[1QZ DE FEV 26]]-Tabela1[[#This Row],[SALDO PENDENTE]]-Tabela1[[#This Row],[SALDO CARTAO]]-Tabela1[[#This Row],[ADIANTAMENTO]]</f>
        <v>-1819.4099999999889</v>
      </c>
      <c r="O267" s="30">
        <v>0</v>
      </c>
      <c r="P267" s="39">
        <f>IF(Tabela1[[#This Row],[CARGA PARCIAL]]&lt;0,0,Tabela1[[#This Row],[CARGA PARCIAL]])+Tabela1[[#This Row],[REEMBOLSO]]</f>
        <v>0</v>
      </c>
      <c r="Q267" s="18" t="s">
        <v>27</v>
      </c>
      <c r="R267" s="18"/>
    </row>
    <row r="268" spans="2:18" hidden="1">
      <c r="B268" s="42" t="s">
        <v>689</v>
      </c>
      <c r="C268" s="22" t="s">
        <v>690</v>
      </c>
      <c r="D268" s="17" t="s">
        <v>23</v>
      </c>
      <c r="E268" s="17" t="s">
        <v>691</v>
      </c>
      <c r="F268" s="17">
        <v>11080260001</v>
      </c>
      <c r="G268" s="20" t="s">
        <v>55</v>
      </c>
      <c r="H268" s="17" t="s">
        <v>51</v>
      </c>
      <c r="I268" s="30">
        <v>0</v>
      </c>
      <c r="J268" s="30">
        <v>1793.7099999999998</v>
      </c>
      <c r="K268" s="30">
        <v>1200</v>
      </c>
      <c r="L268" s="30">
        <v>8.1999999999999993</v>
      </c>
      <c r="M268" s="30">
        <v>0</v>
      </c>
      <c r="N268" s="30">
        <f>Tabela1[[#This Row],[1QZ DE FEV 26]]-Tabela1[[#This Row],[SALDO PENDENTE]]-Tabela1[[#This Row],[SALDO CARTAO]]-Tabela1[[#This Row],[ADIANTAMENTO]]</f>
        <v>-601.90999999999985</v>
      </c>
      <c r="O268" s="30">
        <v>0</v>
      </c>
      <c r="P268" s="39">
        <f>IF(Tabela1[[#This Row],[CARGA PARCIAL]]&lt;0,0,Tabela1[[#This Row],[CARGA PARCIAL]])+Tabela1[[#This Row],[REEMBOLSO]]</f>
        <v>0</v>
      </c>
      <c r="Q268" s="18" t="s">
        <v>27</v>
      </c>
      <c r="R268" s="18"/>
    </row>
    <row r="269" spans="2:18" hidden="1">
      <c r="B269" s="42" t="s">
        <v>692</v>
      </c>
      <c r="C269" s="22" t="s">
        <v>693</v>
      </c>
      <c r="D269" s="17" t="s">
        <v>23</v>
      </c>
      <c r="E269" s="17" t="s">
        <v>196</v>
      </c>
      <c r="F269" s="17">
        <v>11061720001</v>
      </c>
      <c r="G269" s="20" t="s">
        <v>55</v>
      </c>
      <c r="H269" s="17" t="s">
        <v>51</v>
      </c>
      <c r="I269" s="30">
        <v>-13.99999999999163</v>
      </c>
      <c r="J269" s="30">
        <v>0</v>
      </c>
      <c r="K269" s="30">
        <v>1400</v>
      </c>
      <c r="L269" s="30">
        <v>118.05</v>
      </c>
      <c r="M269" s="30">
        <v>0</v>
      </c>
      <c r="N269" s="30">
        <f>Tabela1[[#This Row],[1QZ DE FEV 26]]-Tabela1[[#This Row],[SALDO PENDENTE]]-Tabela1[[#This Row],[SALDO CARTAO]]-Tabela1[[#This Row],[ADIANTAMENTO]]</f>
        <v>1281.95</v>
      </c>
      <c r="O269" s="30">
        <v>0</v>
      </c>
      <c r="P269" s="39">
        <f>IF(Tabela1[[#This Row],[CARGA PARCIAL]]&lt;0,0,Tabela1[[#This Row],[CARGA PARCIAL]])+Tabela1[[#This Row],[REEMBOLSO]]</f>
        <v>1281.95</v>
      </c>
      <c r="Q269" s="18" t="s">
        <v>27</v>
      </c>
      <c r="R269" s="18"/>
    </row>
    <row r="270" spans="2:18" hidden="1">
      <c r="B270" s="51" t="s">
        <v>694</v>
      </c>
      <c r="C270" s="47" t="s">
        <v>695</v>
      </c>
      <c r="D270" s="19" t="s">
        <v>23</v>
      </c>
      <c r="E270" s="19" t="s">
        <v>196</v>
      </c>
      <c r="F270" s="19">
        <v>11061720001</v>
      </c>
      <c r="G270" s="27" t="s">
        <v>55</v>
      </c>
      <c r="H270" s="19" t="s">
        <v>51</v>
      </c>
      <c r="I270" s="30">
        <v>0</v>
      </c>
      <c r="J270" s="30">
        <v>100.00000000000215</v>
      </c>
      <c r="K270" s="31">
        <v>600</v>
      </c>
      <c r="L270" s="30">
        <v>104.14</v>
      </c>
      <c r="M270" s="31">
        <v>0</v>
      </c>
      <c r="N270" s="49">
        <f>Tabela1[[#This Row],[1QZ DE FEV 26]]-Tabela1[[#This Row],[SALDO PENDENTE]]-Tabela1[[#This Row],[SALDO CARTAO]]-Tabela1[[#This Row],[ADIANTAMENTO]]</f>
        <v>395.85999999999785</v>
      </c>
      <c r="O270" s="49">
        <v>0</v>
      </c>
      <c r="P270" s="50">
        <f>IF(Tabela1[[#This Row],[CARGA PARCIAL]]&lt;0,0,Tabela1[[#This Row],[CARGA PARCIAL]])+Tabela1[[#This Row],[REEMBOLSO]]</f>
        <v>395.85999999999785</v>
      </c>
      <c r="Q270" s="44" t="s">
        <v>27</v>
      </c>
      <c r="R270" s="29"/>
    </row>
    <row r="271" spans="2:18" hidden="1">
      <c r="B271" s="42" t="s">
        <v>696</v>
      </c>
      <c r="C271" s="22" t="s">
        <v>697</v>
      </c>
      <c r="D271" s="17" t="s">
        <v>23</v>
      </c>
      <c r="E271" s="17" t="s">
        <v>682</v>
      </c>
      <c r="F271" s="17">
        <v>11010400001</v>
      </c>
      <c r="G271" s="20" t="s">
        <v>31</v>
      </c>
      <c r="H271" s="17" t="s">
        <v>26</v>
      </c>
      <c r="I271" s="30">
        <v>0</v>
      </c>
      <c r="J271" s="30">
        <v>5149.7000000000007</v>
      </c>
      <c r="K271" s="30">
        <v>3500</v>
      </c>
      <c r="L271" s="30">
        <v>7.12</v>
      </c>
      <c r="M271" s="30">
        <v>3500</v>
      </c>
      <c r="N271" s="30">
        <f>Tabela1[[#This Row],[1QZ DE FEV 26]]-Tabela1[[#This Row],[SALDO PENDENTE]]-Tabela1[[#This Row],[SALDO CARTAO]]-Tabela1[[#This Row],[ADIANTAMENTO]]</f>
        <v>-5156.8200000000006</v>
      </c>
      <c r="O271" s="30">
        <v>0</v>
      </c>
      <c r="P271" s="39">
        <f>IF(Tabela1[[#This Row],[CARGA PARCIAL]]&lt;0,0,Tabela1[[#This Row],[CARGA PARCIAL]])+Tabela1[[#This Row],[REEMBOLSO]]</f>
        <v>0</v>
      </c>
      <c r="Q271" s="18" t="s">
        <v>27</v>
      </c>
      <c r="R271" s="18"/>
    </row>
    <row r="272" spans="2:18" hidden="1">
      <c r="B272" s="42" t="s">
        <v>698</v>
      </c>
      <c r="C272" s="22" t="s">
        <v>699</v>
      </c>
      <c r="D272" s="17" t="s">
        <v>23</v>
      </c>
      <c r="E272" s="17" t="s">
        <v>138</v>
      </c>
      <c r="F272" s="17">
        <v>11030850001</v>
      </c>
      <c r="G272" s="20" t="s">
        <v>63</v>
      </c>
      <c r="H272" s="17" t="s">
        <v>26</v>
      </c>
      <c r="I272" s="30">
        <v>0</v>
      </c>
      <c r="J272" s="30">
        <v>3663.5600000000031</v>
      </c>
      <c r="K272" s="30">
        <v>3000</v>
      </c>
      <c r="L272" s="30">
        <v>1.58</v>
      </c>
      <c r="M272" s="30">
        <v>0</v>
      </c>
      <c r="N272" s="30">
        <f>Tabela1[[#This Row],[1QZ DE FEV 26]]-Tabela1[[#This Row],[SALDO PENDENTE]]-Tabela1[[#This Row],[SALDO CARTAO]]-Tabela1[[#This Row],[ADIANTAMENTO]]</f>
        <v>-665.14000000000317</v>
      </c>
      <c r="O272" s="30">
        <v>0</v>
      </c>
      <c r="P272" s="39">
        <f>IF(Tabela1[[#This Row],[CARGA PARCIAL]]&lt;0,0,Tabela1[[#This Row],[CARGA PARCIAL]])+Tabela1[[#This Row],[REEMBOLSO]]</f>
        <v>0</v>
      </c>
      <c r="Q272" s="18" t="s">
        <v>27</v>
      </c>
      <c r="R272" s="18"/>
    </row>
    <row r="273" spans="2:18" hidden="1">
      <c r="B273" s="41" t="s">
        <v>700</v>
      </c>
      <c r="C273" s="22" t="s">
        <v>701</v>
      </c>
      <c r="D273" s="17" t="s">
        <v>23</v>
      </c>
      <c r="E273" s="17" t="s">
        <v>702</v>
      </c>
      <c r="F273" s="17">
        <v>11030580001</v>
      </c>
      <c r="G273" s="20" t="s">
        <v>71</v>
      </c>
      <c r="H273" s="17" t="s">
        <v>51</v>
      </c>
      <c r="I273" s="30">
        <v>0</v>
      </c>
      <c r="J273" s="30">
        <v>3661.1799999999994</v>
      </c>
      <c r="K273" s="30">
        <v>2800</v>
      </c>
      <c r="L273" s="30">
        <v>37.82</v>
      </c>
      <c r="M273" s="30">
        <v>0</v>
      </c>
      <c r="N273" s="30">
        <f>Tabela1[[#This Row],[1QZ DE FEV 26]]-Tabela1[[#This Row],[SALDO PENDENTE]]-Tabela1[[#This Row],[SALDO CARTAO]]-Tabela1[[#This Row],[ADIANTAMENTO]]</f>
        <v>-898.99999999999943</v>
      </c>
      <c r="O273" s="30">
        <v>0</v>
      </c>
      <c r="P273" s="39">
        <f>IF(Tabela1[[#This Row],[CARGA PARCIAL]]&lt;0,0,Tabela1[[#This Row],[CARGA PARCIAL]])+Tabela1[[#This Row],[REEMBOLSO]]</f>
        <v>0</v>
      </c>
      <c r="Q273" s="18" t="s">
        <v>27</v>
      </c>
      <c r="R273" s="18"/>
    </row>
    <row r="274" spans="2:18" hidden="1">
      <c r="B274" s="17" t="s">
        <v>703</v>
      </c>
      <c r="C274" s="17" t="s">
        <v>704</v>
      </c>
      <c r="D274" s="17" t="s">
        <v>23</v>
      </c>
      <c r="E274" s="17" t="s">
        <v>705</v>
      </c>
      <c r="F274" s="17">
        <v>11062740001</v>
      </c>
      <c r="G274" s="20" t="s">
        <v>31</v>
      </c>
      <c r="H274" s="17" t="s">
        <v>26</v>
      </c>
      <c r="I274" s="30">
        <v>0</v>
      </c>
      <c r="J274" s="30">
        <v>2950.2400000000034</v>
      </c>
      <c r="K274" s="30">
        <v>2500</v>
      </c>
      <c r="L274" s="30">
        <v>29</v>
      </c>
      <c r="M274" s="30">
        <v>0</v>
      </c>
      <c r="N274" s="30">
        <f>Tabela1[[#This Row],[1QZ DE FEV 26]]-Tabela1[[#This Row],[SALDO PENDENTE]]-Tabela1[[#This Row],[SALDO CARTAO]]-Tabela1[[#This Row],[ADIANTAMENTO]]</f>
        <v>-479.24000000000342</v>
      </c>
      <c r="O274" s="30">
        <v>0</v>
      </c>
      <c r="P274" s="39">
        <f>IF(Tabela1[[#This Row],[CARGA PARCIAL]]&lt;0,0,Tabela1[[#This Row],[CARGA PARCIAL]])+Tabela1[[#This Row],[REEMBOLSO]]</f>
        <v>0</v>
      </c>
      <c r="Q274" s="18" t="s">
        <v>27</v>
      </c>
      <c r="R274" s="18"/>
    </row>
    <row r="275" spans="2:18" hidden="1">
      <c r="B275" s="17" t="s">
        <v>706</v>
      </c>
      <c r="C275" s="17" t="s">
        <v>707</v>
      </c>
      <c r="D275" s="17" t="s">
        <v>23</v>
      </c>
      <c r="E275" s="17" t="s">
        <v>116</v>
      </c>
      <c r="F275" s="17">
        <v>11030750001</v>
      </c>
      <c r="G275" s="17" t="s">
        <v>50</v>
      </c>
      <c r="H275" s="17" t="s">
        <v>51</v>
      </c>
      <c r="I275" s="30">
        <v>0</v>
      </c>
      <c r="J275" s="30">
        <v>2656.3500000000167</v>
      </c>
      <c r="K275" s="30">
        <v>2200</v>
      </c>
      <c r="L275" s="30">
        <v>186</v>
      </c>
      <c r="M275" s="30">
        <v>0</v>
      </c>
      <c r="N275" s="30">
        <f>Tabela1[[#This Row],[1QZ DE FEV 26]]-Tabela1[[#This Row],[SALDO PENDENTE]]-Tabela1[[#This Row],[SALDO CARTAO]]-Tabela1[[#This Row],[ADIANTAMENTO]]</f>
        <v>-642.35000000001673</v>
      </c>
      <c r="O275" s="30">
        <v>0</v>
      </c>
      <c r="P275" s="39">
        <f>IF(Tabela1[[#This Row],[CARGA PARCIAL]]&lt;0,0,Tabela1[[#This Row],[CARGA PARCIAL]])+Tabela1[[#This Row],[REEMBOLSO]]</f>
        <v>0</v>
      </c>
      <c r="Q275" s="18" t="s">
        <v>27</v>
      </c>
      <c r="R275" s="18"/>
    </row>
    <row r="276" spans="2:18" hidden="1">
      <c r="B276" s="17" t="s">
        <v>708</v>
      </c>
      <c r="C276" s="17" t="s">
        <v>709</v>
      </c>
      <c r="D276" s="17" t="s">
        <v>23</v>
      </c>
      <c r="E276" s="17" t="s">
        <v>710</v>
      </c>
      <c r="F276" s="17">
        <v>11050090001</v>
      </c>
      <c r="G276" s="20" t="s">
        <v>35</v>
      </c>
      <c r="H276" s="17" t="s">
        <v>26</v>
      </c>
      <c r="I276" s="30">
        <v>0</v>
      </c>
      <c r="J276" s="30">
        <v>0</v>
      </c>
      <c r="K276" s="30">
        <v>2000</v>
      </c>
      <c r="L276" s="30">
        <v>4000</v>
      </c>
      <c r="M276" s="30">
        <v>0</v>
      </c>
      <c r="N276" s="30">
        <f>Tabela1[[#This Row],[1QZ DE FEV 26]]-Tabela1[[#This Row],[SALDO PENDENTE]]-Tabela1[[#This Row],[SALDO CARTAO]]-Tabela1[[#This Row],[ADIANTAMENTO]]</f>
        <v>-2000</v>
      </c>
      <c r="O276" s="30">
        <v>0</v>
      </c>
      <c r="P276" s="39">
        <f>IF(Tabela1[[#This Row],[CARGA PARCIAL]]&lt;0,0,Tabela1[[#This Row],[CARGA PARCIAL]])+Tabela1[[#This Row],[REEMBOLSO]]</f>
        <v>0</v>
      </c>
      <c r="Q276" s="18" t="s">
        <v>27</v>
      </c>
      <c r="R276" s="18"/>
    </row>
    <row r="277" spans="2:18" hidden="1">
      <c r="B277" s="42" t="s">
        <v>711</v>
      </c>
      <c r="C277" s="22" t="s">
        <v>712</v>
      </c>
      <c r="D277" s="17" t="s">
        <v>23</v>
      </c>
      <c r="E277" s="17" t="s">
        <v>196</v>
      </c>
      <c r="F277" s="17">
        <v>11061720001</v>
      </c>
      <c r="G277" s="20" t="s">
        <v>55</v>
      </c>
      <c r="H277" s="17" t="s">
        <v>51</v>
      </c>
      <c r="I277" s="30">
        <v>-5.1999999999974538</v>
      </c>
      <c r="J277" s="30">
        <v>0</v>
      </c>
      <c r="K277" s="30">
        <v>800</v>
      </c>
      <c r="L277" s="30">
        <v>12.9</v>
      </c>
      <c r="M277" s="30">
        <v>0</v>
      </c>
      <c r="N277" s="30">
        <f>Tabela1[[#This Row],[1QZ DE FEV 26]]-Tabela1[[#This Row],[SALDO PENDENTE]]-Tabela1[[#This Row],[SALDO CARTAO]]-Tabela1[[#This Row],[ADIANTAMENTO]]</f>
        <v>787.1</v>
      </c>
      <c r="O277" s="30">
        <v>0</v>
      </c>
      <c r="P277" s="39">
        <f>IF(Tabela1[[#This Row],[CARGA PARCIAL]]&lt;0,0,Tabela1[[#This Row],[CARGA PARCIAL]])+Tabela1[[#This Row],[REEMBOLSO]]</f>
        <v>787.1</v>
      </c>
      <c r="Q277" s="18" t="s">
        <v>27</v>
      </c>
      <c r="R277" s="18"/>
    </row>
    <row r="278" spans="2:18" hidden="1">
      <c r="B278" s="42" t="s">
        <v>713</v>
      </c>
      <c r="C278" s="22" t="s">
        <v>714</v>
      </c>
      <c r="D278" s="17" t="s">
        <v>23</v>
      </c>
      <c r="E278" s="17" t="s">
        <v>62</v>
      </c>
      <c r="F278" s="17">
        <v>11030660001</v>
      </c>
      <c r="G278" s="20" t="s">
        <v>63</v>
      </c>
      <c r="H278" s="17" t="s">
        <v>26</v>
      </c>
      <c r="I278" s="30">
        <v>0</v>
      </c>
      <c r="J278" s="30">
        <v>4048.1900000000041</v>
      </c>
      <c r="K278" s="30">
        <v>2000</v>
      </c>
      <c r="L278" s="30">
        <v>13</v>
      </c>
      <c r="M278" s="30">
        <v>0</v>
      </c>
      <c r="N278" s="30">
        <f>Tabela1[[#This Row],[1QZ DE FEV 26]]-Tabela1[[#This Row],[SALDO PENDENTE]]-Tabela1[[#This Row],[SALDO CARTAO]]-Tabela1[[#This Row],[ADIANTAMENTO]]</f>
        <v>-2061.1900000000041</v>
      </c>
      <c r="O278" s="30">
        <v>0</v>
      </c>
      <c r="P278" s="39">
        <f>IF(Tabela1[[#This Row],[CARGA PARCIAL]]&lt;0,0,Tabela1[[#This Row],[CARGA PARCIAL]])+Tabela1[[#This Row],[REEMBOLSO]]</f>
        <v>0</v>
      </c>
      <c r="Q278" s="18" t="s">
        <v>27</v>
      </c>
      <c r="R278" s="18"/>
    </row>
    <row r="279" spans="2:18" hidden="1">
      <c r="B279" s="42" t="s">
        <v>715</v>
      </c>
      <c r="C279" s="22" t="s">
        <v>716</v>
      </c>
      <c r="D279" s="17" t="s">
        <v>23</v>
      </c>
      <c r="E279" s="17" t="s">
        <v>717</v>
      </c>
      <c r="F279" s="17">
        <v>11062290001</v>
      </c>
      <c r="G279" s="20" t="s">
        <v>35</v>
      </c>
      <c r="H279" s="17" t="s">
        <v>26</v>
      </c>
      <c r="I279" s="30">
        <v>0</v>
      </c>
      <c r="J279" s="30">
        <v>643.12000000000808</v>
      </c>
      <c r="K279" s="30">
        <v>2000</v>
      </c>
      <c r="L279" s="30">
        <v>1486.58</v>
      </c>
      <c r="M279" s="30">
        <v>0</v>
      </c>
      <c r="N279" s="30">
        <f>Tabela1[[#This Row],[1QZ DE FEV 26]]-Tabela1[[#This Row],[SALDO PENDENTE]]-Tabela1[[#This Row],[SALDO CARTAO]]-Tabela1[[#This Row],[ADIANTAMENTO]]</f>
        <v>-129.700000000008</v>
      </c>
      <c r="O279" s="30">
        <v>0</v>
      </c>
      <c r="P279" s="39">
        <f>IF(Tabela1[[#This Row],[CARGA PARCIAL]]&lt;0,0,Tabela1[[#This Row],[CARGA PARCIAL]])+Tabela1[[#This Row],[REEMBOLSO]]</f>
        <v>0</v>
      </c>
      <c r="Q279" s="18" t="s">
        <v>27</v>
      </c>
      <c r="R279" s="18"/>
    </row>
    <row r="280" spans="2:18" hidden="1">
      <c r="B280" s="41" t="s">
        <v>718</v>
      </c>
      <c r="C280" s="22" t="s">
        <v>719</v>
      </c>
      <c r="D280" s="17" t="s">
        <v>23</v>
      </c>
      <c r="E280" s="17" t="s">
        <v>38</v>
      </c>
      <c r="F280" s="17">
        <v>11040040001</v>
      </c>
      <c r="G280" s="20" t="s">
        <v>31</v>
      </c>
      <c r="H280" s="17" t="s">
        <v>26</v>
      </c>
      <c r="I280" s="30">
        <v>0</v>
      </c>
      <c r="J280" s="30">
        <v>6009.93</v>
      </c>
      <c r="K280" s="30">
        <v>1700</v>
      </c>
      <c r="L280" s="30">
        <v>26.57</v>
      </c>
      <c r="M280" s="30">
        <v>0</v>
      </c>
      <c r="N280" s="30">
        <f>Tabela1[[#This Row],[1QZ DE FEV 26]]-Tabela1[[#This Row],[SALDO PENDENTE]]-Tabela1[[#This Row],[SALDO CARTAO]]-Tabela1[[#This Row],[ADIANTAMENTO]]</f>
        <v>-4336.5</v>
      </c>
      <c r="O280" s="30">
        <v>0</v>
      </c>
      <c r="P280" s="39">
        <f>IF(Tabela1[[#This Row],[CARGA PARCIAL]]&lt;0,0,Tabela1[[#This Row],[CARGA PARCIAL]])+Tabela1[[#This Row],[REEMBOLSO]]</f>
        <v>0</v>
      </c>
      <c r="Q280" s="18" t="s">
        <v>27</v>
      </c>
      <c r="R280" s="18"/>
    </row>
    <row r="281" spans="2:18" hidden="1">
      <c r="B281" s="17" t="s">
        <v>720</v>
      </c>
      <c r="C281" s="17" t="s">
        <v>721</v>
      </c>
      <c r="D281" s="17" t="s">
        <v>23</v>
      </c>
      <c r="E281" s="17" t="s">
        <v>132</v>
      </c>
      <c r="F281" s="17">
        <v>11040160001</v>
      </c>
      <c r="G281" s="17" t="s">
        <v>63</v>
      </c>
      <c r="H281" s="17" t="s">
        <v>26</v>
      </c>
      <c r="I281" s="30">
        <v>0</v>
      </c>
      <c r="J281" s="30">
        <v>1237.2600000000014</v>
      </c>
      <c r="K281" s="30">
        <v>1500</v>
      </c>
      <c r="L281" s="30">
        <v>1260.3900000000001</v>
      </c>
      <c r="M281" s="30">
        <v>0</v>
      </c>
      <c r="N281" s="30">
        <f>Tabela1[[#This Row],[1QZ DE FEV 26]]-Tabela1[[#This Row],[SALDO PENDENTE]]-Tabela1[[#This Row],[SALDO CARTAO]]-Tabela1[[#This Row],[ADIANTAMENTO]]</f>
        <v>-997.65000000000146</v>
      </c>
      <c r="O281" s="30">
        <v>0</v>
      </c>
      <c r="P281" s="39">
        <f>IF(Tabela1[[#This Row],[CARGA PARCIAL]]&lt;0,0,Tabela1[[#This Row],[CARGA PARCIAL]])+Tabela1[[#This Row],[REEMBOLSO]]</f>
        <v>0</v>
      </c>
      <c r="Q281" s="18" t="s">
        <v>27</v>
      </c>
      <c r="R281" s="18"/>
    </row>
    <row r="282" spans="2:18" hidden="1">
      <c r="B282" s="17" t="s">
        <v>722</v>
      </c>
      <c r="C282" s="17" t="s">
        <v>723</v>
      </c>
      <c r="D282" s="17" t="s">
        <v>23</v>
      </c>
      <c r="E282" s="17" t="s">
        <v>724</v>
      </c>
      <c r="F282" s="17">
        <v>11080490001</v>
      </c>
      <c r="G282" s="20" t="s">
        <v>50</v>
      </c>
      <c r="H282" s="17" t="s">
        <v>51</v>
      </c>
      <c r="I282" s="30">
        <v>0</v>
      </c>
      <c r="J282" s="30">
        <v>1485.03</v>
      </c>
      <c r="K282" s="30">
        <v>1500</v>
      </c>
      <c r="L282" s="30">
        <v>164.97</v>
      </c>
      <c r="M282" s="30">
        <v>0</v>
      </c>
      <c r="N282" s="30">
        <f>Tabela1[[#This Row],[1QZ DE FEV 26]]-Tabela1[[#This Row],[SALDO PENDENTE]]-Tabela1[[#This Row],[SALDO CARTAO]]-Tabela1[[#This Row],[ADIANTAMENTO]]</f>
        <v>-149.99999999999997</v>
      </c>
      <c r="O282" s="30">
        <v>0</v>
      </c>
      <c r="P282" s="39">
        <f>IF(Tabela1[[#This Row],[CARGA PARCIAL]]&lt;0,0,Tabela1[[#This Row],[CARGA PARCIAL]])+Tabela1[[#This Row],[REEMBOLSO]]</f>
        <v>0</v>
      </c>
      <c r="Q282" s="18" t="s">
        <v>27</v>
      </c>
      <c r="R282" s="18"/>
    </row>
    <row r="283" spans="2:18" hidden="1">
      <c r="B283" s="42" t="s">
        <v>725</v>
      </c>
      <c r="C283" s="22" t="s">
        <v>726</v>
      </c>
      <c r="D283" s="17" t="s">
        <v>23</v>
      </c>
      <c r="E283" s="17" t="s">
        <v>38</v>
      </c>
      <c r="F283" s="17">
        <v>11040040001</v>
      </c>
      <c r="G283" s="20" t="s">
        <v>31</v>
      </c>
      <c r="H283" s="17" t="s">
        <v>26</v>
      </c>
      <c r="I283" s="30">
        <v>0</v>
      </c>
      <c r="J283" s="30">
        <v>766.25</v>
      </c>
      <c r="K283" s="30">
        <v>1500</v>
      </c>
      <c r="L283" s="30">
        <v>886</v>
      </c>
      <c r="M283" s="30">
        <v>0</v>
      </c>
      <c r="N283" s="30">
        <f>Tabela1[[#This Row],[1QZ DE FEV 26]]-Tabela1[[#This Row],[SALDO PENDENTE]]-Tabela1[[#This Row],[SALDO CARTAO]]-Tabela1[[#This Row],[ADIANTAMENTO]]</f>
        <v>-152.25</v>
      </c>
      <c r="O283" s="30">
        <v>0</v>
      </c>
      <c r="P283" s="39">
        <f>IF(Tabela1[[#This Row],[CARGA PARCIAL]]&lt;0,0,Tabela1[[#This Row],[CARGA PARCIAL]])+Tabela1[[#This Row],[REEMBOLSO]]</f>
        <v>0</v>
      </c>
      <c r="Q283" s="18" t="s">
        <v>27</v>
      </c>
      <c r="R283" s="18"/>
    </row>
    <row r="284" spans="2:18" hidden="1">
      <c r="B284" s="42" t="s">
        <v>727</v>
      </c>
      <c r="C284" s="22" t="s">
        <v>728</v>
      </c>
      <c r="D284" s="17" t="s">
        <v>23</v>
      </c>
      <c r="E284" s="17" t="s">
        <v>379</v>
      </c>
      <c r="F284" s="17">
        <v>11062450001</v>
      </c>
      <c r="G284" s="20" t="s">
        <v>63</v>
      </c>
      <c r="H284" s="17" t="s">
        <v>26</v>
      </c>
      <c r="I284" s="30">
        <v>0</v>
      </c>
      <c r="J284" s="30">
        <v>1670.01</v>
      </c>
      <c r="K284" s="30">
        <v>1500</v>
      </c>
      <c r="L284" s="30">
        <v>35.36</v>
      </c>
      <c r="M284" s="30">
        <v>0</v>
      </c>
      <c r="N284" s="30">
        <f>Tabela1[[#This Row],[1QZ DE FEV 26]]-Tabela1[[#This Row],[SALDO PENDENTE]]-Tabela1[[#This Row],[SALDO CARTAO]]-Tabela1[[#This Row],[ADIANTAMENTO]]</f>
        <v>-205.37</v>
      </c>
      <c r="O284" s="30">
        <v>0</v>
      </c>
      <c r="P284" s="39">
        <f>IF(Tabela1[[#This Row],[CARGA PARCIAL]]&lt;0,0,Tabela1[[#This Row],[CARGA PARCIAL]])+Tabela1[[#This Row],[REEMBOLSO]]</f>
        <v>0</v>
      </c>
      <c r="Q284" s="18" t="s">
        <v>27</v>
      </c>
      <c r="R284" s="18"/>
    </row>
    <row r="285" spans="2:18" hidden="1">
      <c r="B285" s="17" t="s">
        <v>729</v>
      </c>
      <c r="C285" s="17" t="s">
        <v>730</v>
      </c>
      <c r="D285" s="17" t="s">
        <v>23</v>
      </c>
      <c r="E285" s="17" t="s">
        <v>731</v>
      </c>
      <c r="F285" s="17">
        <v>11030720001</v>
      </c>
      <c r="G285" s="20" t="s">
        <v>31</v>
      </c>
      <c r="H285" s="17" t="s">
        <v>26</v>
      </c>
      <c r="I285" s="30">
        <v>0</v>
      </c>
      <c r="J285" s="30">
        <v>1289.4700000000007</v>
      </c>
      <c r="K285" s="30">
        <v>1200</v>
      </c>
      <c r="L285" s="30">
        <v>173.31</v>
      </c>
      <c r="M285" s="30">
        <v>0</v>
      </c>
      <c r="N285" s="30">
        <f>Tabela1[[#This Row],[1QZ DE FEV 26]]-Tabela1[[#This Row],[SALDO PENDENTE]]-Tabela1[[#This Row],[SALDO CARTAO]]-Tabela1[[#This Row],[ADIANTAMENTO]]</f>
        <v>-262.78000000000071</v>
      </c>
      <c r="O285" s="30">
        <v>0</v>
      </c>
      <c r="P285" s="39">
        <f>IF(Tabela1[[#This Row],[CARGA PARCIAL]]&lt;0,0,Tabela1[[#This Row],[CARGA PARCIAL]])+Tabela1[[#This Row],[REEMBOLSO]]</f>
        <v>0</v>
      </c>
      <c r="Q285" s="18" t="s">
        <v>27</v>
      </c>
      <c r="R285" s="18"/>
    </row>
    <row r="286" spans="2:18" hidden="1">
      <c r="B286" s="42" t="s">
        <v>732</v>
      </c>
      <c r="C286" s="22" t="s">
        <v>733</v>
      </c>
      <c r="D286" s="17" t="s">
        <v>23</v>
      </c>
      <c r="E286" s="17" t="s">
        <v>196</v>
      </c>
      <c r="F286" s="17">
        <v>11061720001</v>
      </c>
      <c r="G286" s="20" t="s">
        <v>55</v>
      </c>
      <c r="H286" s="17" t="s">
        <v>51</v>
      </c>
      <c r="I286" s="30">
        <v>0</v>
      </c>
      <c r="J286" s="30">
        <v>1144.0100000000016</v>
      </c>
      <c r="K286" s="30">
        <v>800</v>
      </c>
      <c r="L286" s="30">
        <v>54.1</v>
      </c>
      <c r="M286" s="30">
        <v>0</v>
      </c>
      <c r="N286" s="30">
        <f>Tabela1[[#This Row],[1QZ DE FEV 26]]-Tabela1[[#This Row],[SALDO PENDENTE]]-Tabela1[[#This Row],[SALDO CARTAO]]-Tabela1[[#This Row],[ADIANTAMENTO]]</f>
        <v>-398.11000000000161</v>
      </c>
      <c r="O286" s="30">
        <v>0</v>
      </c>
      <c r="P286" s="39">
        <f>IF(Tabela1[[#This Row],[CARGA PARCIAL]]&lt;0,0,Tabela1[[#This Row],[CARGA PARCIAL]])+Tabela1[[#This Row],[REEMBOLSO]]</f>
        <v>0</v>
      </c>
      <c r="Q286" s="18" t="s">
        <v>27</v>
      </c>
      <c r="R286" s="18"/>
    </row>
    <row r="287" spans="2:18" hidden="1">
      <c r="B287" s="42" t="s">
        <v>734</v>
      </c>
      <c r="C287" s="22" t="s">
        <v>735</v>
      </c>
      <c r="D287" s="17" t="s">
        <v>23</v>
      </c>
      <c r="E287" s="17" t="s">
        <v>431</v>
      </c>
      <c r="F287" s="17">
        <v>11061400001</v>
      </c>
      <c r="G287" s="20" t="s">
        <v>55</v>
      </c>
      <c r="H287" s="17" t="s">
        <v>51</v>
      </c>
      <c r="I287" s="30">
        <v>0</v>
      </c>
      <c r="J287" s="30">
        <v>0</v>
      </c>
      <c r="K287" s="30">
        <v>700</v>
      </c>
      <c r="L287" s="30">
        <v>0</v>
      </c>
      <c r="M287" s="30">
        <v>0</v>
      </c>
      <c r="N287" s="30">
        <f>Tabela1[[#This Row],[1QZ DE FEV 26]]-Tabela1[[#This Row],[SALDO PENDENTE]]-Tabela1[[#This Row],[SALDO CARTAO]]-Tabela1[[#This Row],[ADIANTAMENTO]]</f>
        <v>700</v>
      </c>
      <c r="O287" s="30">
        <v>0</v>
      </c>
      <c r="P287" s="39">
        <f>IF(Tabela1[[#This Row],[CARGA PARCIAL]]&lt;0,0,Tabela1[[#This Row],[CARGA PARCIAL]])+Tabela1[[#This Row],[REEMBOLSO]]</f>
        <v>700</v>
      </c>
      <c r="Q287" s="18" t="s">
        <v>27</v>
      </c>
      <c r="R287" s="18"/>
    </row>
    <row r="288" spans="2:18" hidden="1">
      <c r="B288" s="42" t="s">
        <v>736</v>
      </c>
      <c r="C288" s="22" t="s">
        <v>737</v>
      </c>
      <c r="D288" s="17" t="s">
        <v>23</v>
      </c>
      <c r="E288" s="17" t="s">
        <v>38</v>
      </c>
      <c r="F288" s="17">
        <v>11040040001</v>
      </c>
      <c r="G288" s="20" t="s">
        <v>31</v>
      </c>
      <c r="H288" s="17" t="s">
        <v>26</v>
      </c>
      <c r="I288" s="30">
        <v>0</v>
      </c>
      <c r="J288" s="30">
        <v>2105.8100000000122</v>
      </c>
      <c r="K288" s="31">
        <v>1200</v>
      </c>
      <c r="L288" s="30">
        <v>3.25</v>
      </c>
      <c r="M288" s="30">
        <v>0</v>
      </c>
      <c r="N288" s="38">
        <f>Tabela1[[#This Row],[1QZ DE FEV 26]]-Tabela1[[#This Row],[SALDO PENDENTE]]-Tabela1[[#This Row],[SALDO CARTAO]]-Tabela1[[#This Row],[ADIANTAMENTO]]</f>
        <v>-909.06000000001222</v>
      </c>
      <c r="O288" s="38">
        <v>0</v>
      </c>
      <c r="P288" s="39">
        <f>IF(Tabela1[[#This Row],[CARGA PARCIAL]]&lt;0,0,Tabela1[[#This Row],[CARGA PARCIAL]])+Tabela1[[#This Row],[REEMBOLSO]]</f>
        <v>0</v>
      </c>
      <c r="Q288" s="40" t="s">
        <v>27</v>
      </c>
      <c r="R288" s="18"/>
    </row>
    <row r="289" spans="2:18" hidden="1">
      <c r="B289" s="51" t="s">
        <v>738</v>
      </c>
      <c r="C289" s="47" t="s">
        <v>739</v>
      </c>
      <c r="D289" s="19" t="s">
        <v>23</v>
      </c>
      <c r="E289" s="19" t="s">
        <v>670</v>
      </c>
      <c r="F289" s="19">
        <v>11080220001</v>
      </c>
      <c r="G289" s="27" t="s">
        <v>45</v>
      </c>
      <c r="H289" s="19" t="s">
        <v>46</v>
      </c>
      <c r="I289" s="30">
        <v>0</v>
      </c>
      <c r="J289" s="30">
        <v>1306.4599999999982</v>
      </c>
      <c r="K289" s="31">
        <v>1150</v>
      </c>
      <c r="L289" s="30">
        <v>1853.46</v>
      </c>
      <c r="M289" s="31">
        <v>0</v>
      </c>
      <c r="N289" s="49">
        <f>Tabela1[[#This Row],[1QZ DE FEV 26]]-Tabela1[[#This Row],[SALDO PENDENTE]]-Tabela1[[#This Row],[SALDO CARTAO]]-Tabela1[[#This Row],[ADIANTAMENTO]]</f>
        <v>-2009.9199999999983</v>
      </c>
      <c r="O289" s="49">
        <v>0</v>
      </c>
      <c r="P289" s="50">
        <f>IF(Tabela1[[#This Row],[CARGA PARCIAL]]&lt;0,0,Tabela1[[#This Row],[CARGA PARCIAL]])+Tabela1[[#This Row],[REEMBOLSO]]</f>
        <v>0</v>
      </c>
      <c r="Q289" s="44" t="s">
        <v>27</v>
      </c>
      <c r="R289" s="29"/>
    </row>
    <row r="290" spans="2:18" hidden="1">
      <c r="B290" s="42" t="s">
        <v>740</v>
      </c>
      <c r="C290" s="22" t="s">
        <v>741</v>
      </c>
      <c r="D290" s="17" t="s">
        <v>23</v>
      </c>
      <c r="E290" s="17" t="s">
        <v>125</v>
      </c>
      <c r="F290" s="17">
        <v>11040170001</v>
      </c>
      <c r="G290" s="20" t="s">
        <v>126</v>
      </c>
      <c r="H290" s="17" t="s">
        <v>26</v>
      </c>
      <c r="I290" s="30">
        <v>0</v>
      </c>
      <c r="J290" s="30">
        <v>823.28000000000395</v>
      </c>
      <c r="K290" s="30">
        <v>1000</v>
      </c>
      <c r="L290" s="30">
        <v>8.57</v>
      </c>
      <c r="M290" s="30">
        <v>0</v>
      </c>
      <c r="N290" s="30">
        <f>Tabela1[[#This Row],[1QZ DE FEV 26]]-Tabela1[[#This Row],[SALDO PENDENTE]]-Tabela1[[#This Row],[SALDO CARTAO]]-Tabela1[[#This Row],[ADIANTAMENTO]]</f>
        <v>168.14999999999606</v>
      </c>
      <c r="O290" s="30">
        <v>0</v>
      </c>
      <c r="P290" s="39">
        <f>IF(Tabela1[[#This Row],[CARGA PARCIAL]]&lt;0,0,Tabela1[[#This Row],[CARGA PARCIAL]])+Tabela1[[#This Row],[REEMBOLSO]]</f>
        <v>168.14999999999606</v>
      </c>
      <c r="Q290" s="18" t="s">
        <v>27</v>
      </c>
      <c r="R290" s="18"/>
    </row>
    <row r="291" spans="2:18" hidden="1">
      <c r="B291" s="42" t="s">
        <v>742</v>
      </c>
      <c r="C291" s="22" t="s">
        <v>743</v>
      </c>
      <c r="D291" s="17" t="s">
        <v>23</v>
      </c>
      <c r="E291" s="17" t="s">
        <v>141</v>
      </c>
      <c r="F291" s="17">
        <v>11061490001</v>
      </c>
      <c r="G291" s="20" t="s">
        <v>25</v>
      </c>
      <c r="H291" s="17" t="s">
        <v>26</v>
      </c>
      <c r="I291" s="30">
        <v>0</v>
      </c>
      <c r="J291" s="30">
        <v>986.57</v>
      </c>
      <c r="K291" s="30">
        <v>1000</v>
      </c>
      <c r="L291" s="30">
        <v>13.43</v>
      </c>
      <c r="M291" s="30">
        <v>0</v>
      </c>
      <c r="N291" s="30">
        <f>Tabela1[[#This Row],[1QZ DE FEV 26]]-Tabela1[[#This Row],[SALDO PENDENTE]]-Tabela1[[#This Row],[SALDO CARTAO]]-Tabela1[[#This Row],[ADIANTAMENTO]]</f>
        <v>-4.9737991503207013E-14</v>
      </c>
      <c r="O291" s="30">
        <v>0</v>
      </c>
      <c r="P291" s="39">
        <f>IF(Tabela1[[#This Row],[CARGA PARCIAL]]&lt;0,0,Tabela1[[#This Row],[CARGA PARCIAL]])+Tabela1[[#This Row],[REEMBOLSO]]</f>
        <v>0</v>
      </c>
      <c r="Q291" s="18" t="s">
        <v>27</v>
      </c>
      <c r="R291" s="18"/>
    </row>
    <row r="292" spans="2:18" hidden="1">
      <c r="B292" s="42" t="s">
        <v>744</v>
      </c>
      <c r="C292" s="22" t="s">
        <v>745</v>
      </c>
      <c r="D292" s="17" t="s">
        <v>23</v>
      </c>
      <c r="E292" s="17" t="s">
        <v>172</v>
      </c>
      <c r="F292" s="17">
        <v>11030640001</v>
      </c>
      <c r="G292" s="20" t="s">
        <v>50</v>
      </c>
      <c r="H292" s="17" t="s">
        <v>51</v>
      </c>
      <c r="I292" s="30">
        <v>0</v>
      </c>
      <c r="J292" s="30">
        <v>1539.4300000000012</v>
      </c>
      <c r="K292" s="30">
        <v>1000</v>
      </c>
      <c r="L292" s="30">
        <v>3</v>
      </c>
      <c r="M292" s="30">
        <v>0</v>
      </c>
      <c r="N292" s="30">
        <f>Tabela1[[#This Row],[1QZ DE FEV 26]]-Tabela1[[#This Row],[SALDO PENDENTE]]-Tabela1[[#This Row],[SALDO CARTAO]]-Tabela1[[#This Row],[ADIANTAMENTO]]</f>
        <v>-542.4300000000012</v>
      </c>
      <c r="O292" s="30">
        <v>0</v>
      </c>
      <c r="P292" s="39">
        <f>IF(Tabela1[[#This Row],[CARGA PARCIAL]]&lt;0,0,Tabela1[[#This Row],[CARGA PARCIAL]])+Tabela1[[#This Row],[REEMBOLSO]]</f>
        <v>0</v>
      </c>
      <c r="Q292" s="18" t="s">
        <v>27</v>
      </c>
      <c r="R292" s="18"/>
    </row>
    <row r="293" spans="2:18" hidden="1">
      <c r="B293" s="42" t="s">
        <v>746</v>
      </c>
      <c r="C293" s="22" t="s">
        <v>747</v>
      </c>
      <c r="D293" s="17" t="s">
        <v>23</v>
      </c>
      <c r="E293" s="17" t="s">
        <v>132</v>
      </c>
      <c r="F293" s="17">
        <v>11040160001</v>
      </c>
      <c r="G293" s="20" t="s">
        <v>63</v>
      </c>
      <c r="H293" s="17" t="s">
        <v>26</v>
      </c>
      <c r="I293" s="30">
        <v>0</v>
      </c>
      <c r="J293" s="30">
        <v>736.12999999999988</v>
      </c>
      <c r="K293" s="30">
        <v>1000</v>
      </c>
      <c r="L293" s="30">
        <v>625.20000000000005</v>
      </c>
      <c r="M293" s="30">
        <v>0</v>
      </c>
      <c r="N293" s="30">
        <f>Tabela1[[#This Row],[1QZ DE FEV 26]]-Tabela1[[#This Row],[SALDO PENDENTE]]-Tabela1[[#This Row],[SALDO CARTAO]]-Tabela1[[#This Row],[ADIANTAMENTO]]</f>
        <v>-361.32999999999993</v>
      </c>
      <c r="O293" s="30">
        <v>0</v>
      </c>
      <c r="P293" s="39">
        <f>IF(Tabela1[[#This Row],[CARGA PARCIAL]]&lt;0,0,Tabela1[[#This Row],[CARGA PARCIAL]])+Tabela1[[#This Row],[REEMBOLSO]]</f>
        <v>0</v>
      </c>
      <c r="Q293" s="18" t="s">
        <v>27</v>
      </c>
      <c r="R293" s="18"/>
    </row>
    <row r="294" spans="2:18" hidden="1">
      <c r="B294" s="17" t="s">
        <v>748</v>
      </c>
      <c r="C294" s="17" t="s">
        <v>749</v>
      </c>
      <c r="D294" s="17" t="s">
        <v>23</v>
      </c>
      <c r="E294" s="17" t="s">
        <v>434</v>
      </c>
      <c r="F294" s="17">
        <v>1201014</v>
      </c>
      <c r="G294" s="20" t="s">
        <v>435</v>
      </c>
      <c r="H294" s="17" t="s">
        <v>177</v>
      </c>
      <c r="I294" s="30">
        <v>0</v>
      </c>
      <c r="J294" s="30">
        <v>941.94000000000028</v>
      </c>
      <c r="K294" s="30">
        <v>900</v>
      </c>
      <c r="L294" s="30">
        <v>476.2</v>
      </c>
      <c r="M294" s="30">
        <v>0</v>
      </c>
      <c r="N294" s="30">
        <f>Tabela1[[#This Row],[1QZ DE FEV 26]]-Tabela1[[#This Row],[SALDO PENDENTE]]-Tabela1[[#This Row],[SALDO CARTAO]]-Tabela1[[#This Row],[ADIANTAMENTO]]</f>
        <v>-518.14000000000033</v>
      </c>
      <c r="O294" s="30">
        <v>0</v>
      </c>
      <c r="P294" s="39">
        <f>IF(Tabela1[[#This Row],[CARGA PARCIAL]]&lt;0,0,Tabela1[[#This Row],[CARGA PARCIAL]])+Tabela1[[#This Row],[REEMBOLSO]]</f>
        <v>0</v>
      </c>
      <c r="Q294" s="18" t="s">
        <v>27</v>
      </c>
      <c r="R294" s="18"/>
    </row>
    <row r="295" spans="2:18" hidden="1">
      <c r="B295" s="17" t="s">
        <v>750</v>
      </c>
      <c r="C295" s="17" t="s">
        <v>751</v>
      </c>
      <c r="D295" s="17" t="s">
        <v>23</v>
      </c>
      <c r="E295" s="17" t="s">
        <v>38</v>
      </c>
      <c r="F295" s="17">
        <v>11040040001</v>
      </c>
      <c r="G295" s="17" t="s">
        <v>31</v>
      </c>
      <c r="H295" s="17" t="s">
        <v>26</v>
      </c>
      <c r="I295" s="30">
        <v>0</v>
      </c>
      <c r="J295" s="30">
        <v>2672.2899999999986</v>
      </c>
      <c r="K295" s="30">
        <v>800</v>
      </c>
      <c r="L295" s="30">
        <v>3.98</v>
      </c>
      <c r="M295" s="30">
        <v>0</v>
      </c>
      <c r="N295" s="30">
        <f>Tabela1[[#This Row],[1QZ DE FEV 26]]-Tabela1[[#This Row],[SALDO PENDENTE]]-Tabela1[[#This Row],[SALDO CARTAO]]-Tabela1[[#This Row],[ADIANTAMENTO]]</f>
        <v>-1876.2699999999986</v>
      </c>
      <c r="O295" s="30">
        <v>0</v>
      </c>
      <c r="P295" s="39">
        <f>IF(Tabela1[[#This Row],[CARGA PARCIAL]]&lt;0,0,Tabela1[[#This Row],[CARGA PARCIAL]])+Tabela1[[#This Row],[REEMBOLSO]]</f>
        <v>0</v>
      </c>
      <c r="Q295" s="18" t="s">
        <v>27</v>
      </c>
      <c r="R295" s="18"/>
    </row>
    <row r="296" spans="2:18" hidden="1">
      <c r="B296" s="51" t="s">
        <v>752</v>
      </c>
      <c r="C296" s="47" t="s">
        <v>753</v>
      </c>
      <c r="D296" s="19" t="s">
        <v>23</v>
      </c>
      <c r="E296" s="19" t="s">
        <v>196</v>
      </c>
      <c r="F296" s="19">
        <v>11061720001</v>
      </c>
      <c r="G296" s="27" t="s">
        <v>55</v>
      </c>
      <c r="H296" s="19" t="s">
        <v>51</v>
      </c>
      <c r="I296" s="30">
        <v>0</v>
      </c>
      <c r="J296" s="30">
        <v>195.29999999999762</v>
      </c>
      <c r="K296" s="31">
        <v>800</v>
      </c>
      <c r="L296" s="30">
        <v>163.80000000000001</v>
      </c>
      <c r="M296" s="31">
        <v>0</v>
      </c>
      <c r="N296" s="49">
        <f>Tabela1[[#This Row],[1QZ DE FEV 26]]-Tabela1[[#This Row],[SALDO PENDENTE]]-Tabela1[[#This Row],[SALDO CARTAO]]-Tabela1[[#This Row],[ADIANTAMENTO]]</f>
        <v>440.90000000000231</v>
      </c>
      <c r="O296" s="49">
        <v>0</v>
      </c>
      <c r="P296" s="50">
        <f>IF(Tabela1[[#This Row],[CARGA PARCIAL]]&lt;0,0,Tabela1[[#This Row],[CARGA PARCIAL]])+Tabela1[[#This Row],[REEMBOLSO]]</f>
        <v>440.90000000000231</v>
      </c>
      <c r="Q296" s="44" t="s">
        <v>27</v>
      </c>
      <c r="R296" s="29"/>
    </row>
    <row r="297" spans="2:18" hidden="1">
      <c r="B297" s="42" t="s">
        <v>754</v>
      </c>
      <c r="C297" s="22" t="s">
        <v>755</v>
      </c>
      <c r="D297" s="17" t="s">
        <v>23</v>
      </c>
      <c r="E297" s="17" t="s">
        <v>196</v>
      </c>
      <c r="F297" s="17">
        <v>11061720001</v>
      </c>
      <c r="G297" s="20" t="s">
        <v>55</v>
      </c>
      <c r="H297" s="17" t="s">
        <v>51</v>
      </c>
      <c r="I297" s="30">
        <v>0</v>
      </c>
      <c r="J297" s="30">
        <v>101.81000000000203</v>
      </c>
      <c r="K297" s="30">
        <v>800</v>
      </c>
      <c r="L297" s="30">
        <v>107.95</v>
      </c>
      <c r="M297" s="30">
        <v>0</v>
      </c>
      <c r="N297" s="30">
        <f>Tabela1[[#This Row],[1QZ DE FEV 26]]-Tabela1[[#This Row],[SALDO PENDENTE]]-Tabela1[[#This Row],[SALDO CARTAO]]-Tabela1[[#This Row],[ADIANTAMENTO]]</f>
        <v>590.23999999999796</v>
      </c>
      <c r="O297" s="30">
        <v>0</v>
      </c>
      <c r="P297" s="39">
        <f>IF(Tabela1[[#This Row],[CARGA PARCIAL]]&lt;0,0,Tabela1[[#This Row],[CARGA PARCIAL]])+Tabela1[[#This Row],[REEMBOLSO]]</f>
        <v>590.23999999999796</v>
      </c>
      <c r="Q297" s="18" t="s">
        <v>27</v>
      </c>
      <c r="R297" s="18"/>
    </row>
    <row r="298" spans="2:18" hidden="1">
      <c r="B298" s="42" t="s">
        <v>756</v>
      </c>
      <c r="C298" s="22" t="s">
        <v>757</v>
      </c>
      <c r="D298" s="17" t="s">
        <v>23</v>
      </c>
      <c r="E298" s="17" t="s">
        <v>237</v>
      </c>
      <c r="F298" s="17">
        <v>11062670001</v>
      </c>
      <c r="G298" s="20" t="s">
        <v>50</v>
      </c>
      <c r="H298" s="17" t="s">
        <v>51</v>
      </c>
      <c r="I298" s="30">
        <v>0</v>
      </c>
      <c r="J298" s="30">
        <v>564.00000000000148</v>
      </c>
      <c r="K298" s="30">
        <v>800</v>
      </c>
      <c r="L298" s="30">
        <v>252.4</v>
      </c>
      <c r="M298" s="30">
        <v>0</v>
      </c>
      <c r="N298" s="30">
        <f>Tabela1[[#This Row],[1QZ DE FEV 26]]-Tabela1[[#This Row],[SALDO PENDENTE]]-Tabela1[[#This Row],[SALDO CARTAO]]-Tabela1[[#This Row],[ADIANTAMENTO]]</f>
        <v>-16.400000000001484</v>
      </c>
      <c r="O298" s="30">
        <v>0</v>
      </c>
      <c r="P298" s="39">
        <f>IF(Tabela1[[#This Row],[CARGA PARCIAL]]&lt;0,0,Tabela1[[#This Row],[CARGA PARCIAL]])+Tabela1[[#This Row],[REEMBOLSO]]</f>
        <v>0</v>
      </c>
      <c r="Q298" s="18" t="s">
        <v>27</v>
      </c>
      <c r="R298" s="18"/>
    </row>
    <row r="299" spans="2:18" hidden="1">
      <c r="B299" s="42" t="s">
        <v>758</v>
      </c>
      <c r="C299" s="22" t="s">
        <v>759</v>
      </c>
      <c r="D299" s="17" t="s">
        <v>23</v>
      </c>
      <c r="E299" s="17" t="s">
        <v>132</v>
      </c>
      <c r="F299" s="17">
        <v>11040160001</v>
      </c>
      <c r="G299" s="20" t="s">
        <v>63</v>
      </c>
      <c r="H299" s="17" t="s">
        <v>26</v>
      </c>
      <c r="I299" s="30">
        <v>0</v>
      </c>
      <c r="J299" s="30">
        <v>372.99000000000069</v>
      </c>
      <c r="K299" s="30">
        <v>800</v>
      </c>
      <c r="L299" s="30">
        <v>800</v>
      </c>
      <c r="M299" s="30">
        <v>0</v>
      </c>
      <c r="N299" s="30">
        <f>Tabela1[[#This Row],[1QZ DE FEV 26]]-Tabela1[[#This Row],[SALDO PENDENTE]]-Tabela1[[#This Row],[SALDO CARTAO]]-Tabela1[[#This Row],[ADIANTAMENTO]]</f>
        <v>-372.99000000000069</v>
      </c>
      <c r="O299" s="30">
        <v>0</v>
      </c>
      <c r="P299" s="39">
        <f>IF(Tabela1[[#This Row],[CARGA PARCIAL]]&lt;0,0,Tabela1[[#This Row],[CARGA PARCIAL]])+Tabela1[[#This Row],[REEMBOLSO]]</f>
        <v>0</v>
      </c>
      <c r="Q299" s="18" t="s">
        <v>27</v>
      </c>
      <c r="R299" s="18"/>
    </row>
    <row r="300" spans="2:18" hidden="1">
      <c r="B300" s="51" t="s">
        <v>760</v>
      </c>
      <c r="C300" s="47" t="s">
        <v>761</v>
      </c>
      <c r="D300" s="19" t="s">
        <v>23</v>
      </c>
      <c r="E300" s="19" t="s">
        <v>762</v>
      </c>
      <c r="F300" s="19">
        <v>11061950001</v>
      </c>
      <c r="G300" s="27" t="s">
        <v>55</v>
      </c>
      <c r="H300" s="19" t="s">
        <v>51</v>
      </c>
      <c r="I300" s="30">
        <v>0</v>
      </c>
      <c r="J300" s="30">
        <v>1668.24</v>
      </c>
      <c r="K300" s="31">
        <v>500</v>
      </c>
      <c r="L300" s="30">
        <v>21.51</v>
      </c>
      <c r="M300" s="31">
        <v>0</v>
      </c>
      <c r="N300" s="49">
        <f>Tabela1[[#This Row],[1QZ DE FEV 26]]-Tabela1[[#This Row],[SALDO PENDENTE]]-Tabela1[[#This Row],[SALDO CARTAO]]-Tabela1[[#This Row],[ADIANTAMENTO]]</f>
        <v>-1189.75</v>
      </c>
      <c r="O300" s="49">
        <v>0</v>
      </c>
      <c r="P300" s="50">
        <f>IF(Tabela1[[#This Row],[CARGA PARCIAL]]&lt;0,0,Tabela1[[#This Row],[CARGA PARCIAL]])+Tabela1[[#This Row],[REEMBOLSO]]</f>
        <v>0</v>
      </c>
      <c r="Q300" s="44" t="s">
        <v>27</v>
      </c>
      <c r="R300" s="29"/>
    </row>
    <row r="301" spans="2:18" hidden="1">
      <c r="B301" s="42" t="s">
        <v>763</v>
      </c>
      <c r="C301" s="22" t="s">
        <v>764</v>
      </c>
      <c r="D301" s="17" t="s">
        <v>23</v>
      </c>
      <c r="E301" s="17" t="s">
        <v>87</v>
      </c>
      <c r="F301" s="17">
        <v>11030620001</v>
      </c>
      <c r="G301" s="20" t="s">
        <v>71</v>
      </c>
      <c r="H301" s="17" t="s">
        <v>51</v>
      </c>
      <c r="I301" s="30">
        <v>0</v>
      </c>
      <c r="J301" s="30">
        <v>461.29999999999899</v>
      </c>
      <c r="K301" s="30">
        <v>800</v>
      </c>
      <c r="L301" s="30">
        <v>386.32</v>
      </c>
      <c r="M301" s="30">
        <v>0</v>
      </c>
      <c r="N301" s="30">
        <f>Tabela1[[#This Row],[1QZ DE FEV 26]]-Tabela1[[#This Row],[SALDO PENDENTE]]-Tabela1[[#This Row],[SALDO CARTAO]]-Tabela1[[#This Row],[ADIANTAMENTO]]</f>
        <v>-47.619999999998981</v>
      </c>
      <c r="O301" s="30">
        <v>0</v>
      </c>
      <c r="P301" s="39">
        <f>IF(Tabela1[[#This Row],[CARGA PARCIAL]]&lt;0,0,Tabela1[[#This Row],[CARGA PARCIAL]])+Tabela1[[#This Row],[REEMBOLSO]]</f>
        <v>0</v>
      </c>
      <c r="Q301" s="18" t="s">
        <v>27</v>
      </c>
      <c r="R301" s="18"/>
    </row>
    <row r="302" spans="2:18" hidden="1">
      <c r="B302" s="42" t="s">
        <v>765</v>
      </c>
      <c r="C302" s="22" t="s">
        <v>766</v>
      </c>
      <c r="D302" s="17" t="s">
        <v>23</v>
      </c>
      <c r="E302" s="17" t="s">
        <v>237</v>
      </c>
      <c r="F302" s="17">
        <v>11062670001</v>
      </c>
      <c r="G302" s="20" t="s">
        <v>50</v>
      </c>
      <c r="H302" s="17" t="s">
        <v>51</v>
      </c>
      <c r="I302" s="30">
        <v>0</v>
      </c>
      <c r="J302" s="30">
        <v>380.00000000000023</v>
      </c>
      <c r="K302" s="30">
        <v>800</v>
      </c>
      <c r="L302" s="30">
        <v>450.97</v>
      </c>
      <c r="M302" s="30">
        <v>0</v>
      </c>
      <c r="N302" s="30">
        <f>Tabela1[[#This Row],[1QZ DE FEV 26]]-Tabela1[[#This Row],[SALDO PENDENTE]]-Tabela1[[#This Row],[SALDO CARTAO]]-Tabela1[[#This Row],[ADIANTAMENTO]]</f>
        <v>-30.970000000000255</v>
      </c>
      <c r="O302" s="30">
        <v>0</v>
      </c>
      <c r="P302" s="39">
        <f>IF(Tabela1[[#This Row],[CARGA PARCIAL]]&lt;0,0,Tabela1[[#This Row],[CARGA PARCIAL]])+Tabela1[[#This Row],[REEMBOLSO]]</f>
        <v>0</v>
      </c>
      <c r="Q302" s="18" t="s">
        <v>27</v>
      </c>
      <c r="R302" s="18"/>
    </row>
    <row r="303" spans="2:18" hidden="1">
      <c r="B303" s="42" t="s">
        <v>767</v>
      </c>
      <c r="C303" s="22" t="s">
        <v>768</v>
      </c>
      <c r="D303" s="17" t="s">
        <v>23</v>
      </c>
      <c r="E303" s="17" t="s">
        <v>237</v>
      </c>
      <c r="F303" s="17">
        <v>11062670001</v>
      </c>
      <c r="G303" s="20" t="s">
        <v>50</v>
      </c>
      <c r="H303" s="17" t="s">
        <v>51</v>
      </c>
      <c r="I303" s="30">
        <v>0</v>
      </c>
      <c r="J303" s="30">
        <v>664.89999999999952</v>
      </c>
      <c r="K303" s="30">
        <v>800</v>
      </c>
      <c r="L303" s="30">
        <v>164.35</v>
      </c>
      <c r="M303" s="30">
        <v>0</v>
      </c>
      <c r="N303" s="30">
        <f>Tabela1[[#This Row],[1QZ DE FEV 26]]-Tabela1[[#This Row],[SALDO PENDENTE]]-Tabela1[[#This Row],[SALDO CARTAO]]-Tabela1[[#This Row],[ADIANTAMENTO]]</f>
        <v>-29.249999999999517</v>
      </c>
      <c r="O303" s="30">
        <v>0</v>
      </c>
      <c r="P303" s="39">
        <f>IF(Tabela1[[#This Row],[CARGA PARCIAL]]&lt;0,0,Tabela1[[#This Row],[CARGA PARCIAL]])+Tabela1[[#This Row],[REEMBOLSO]]</f>
        <v>0</v>
      </c>
      <c r="Q303" s="18" t="s">
        <v>27</v>
      </c>
      <c r="R303" s="18"/>
    </row>
    <row r="304" spans="2:18" hidden="1">
      <c r="B304" s="42" t="s">
        <v>769</v>
      </c>
      <c r="C304" s="22" t="s">
        <v>770</v>
      </c>
      <c r="D304" s="17" t="s">
        <v>23</v>
      </c>
      <c r="E304" s="17" t="s">
        <v>237</v>
      </c>
      <c r="F304" s="17">
        <v>11062670001</v>
      </c>
      <c r="G304" s="20" t="s">
        <v>50</v>
      </c>
      <c r="H304" s="17" t="s">
        <v>51</v>
      </c>
      <c r="I304" s="30">
        <v>0</v>
      </c>
      <c r="J304" s="30">
        <v>838</v>
      </c>
      <c r="K304" s="30">
        <v>800</v>
      </c>
      <c r="L304" s="30">
        <v>15</v>
      </c>
      <c r="M304" s="30">
        <v>0</v>
      </c>
      <c r="N304" s="30">
        <f>Tabela1[[#This Row],[1QZ DE FEV 26]]-Tabela1[[#This Row],[SALDO PENDENTE]]-Tabela1[[#This Row],[SALDO CARTAO]]-Tabela1[[#This Row],[ADIANTAMENTO]]</f>
        <v>-53</v>
      </c>
      <c r="O304" s="30">
        <v>0</v>
      </c>
      <c r="P304" s="39">
        <f>IF(Tabela1[[#This Row],[CARGA PARCIAL]]&lt;0,0,Tabela1[[#This Row],[CARGA PARCIAL]])+Tabela1[[#This Row],[REEMBOLSO]]</f>
        <v>0</v>
      </c>
      <c r="Q304" s="18" t="s">
        <v>27</v>
      </c>
      <c r="R304" s="18"/>
    </row>
    <row r="305" spans="2:18" hidden="1">
      <c r="B305" s="42" t="s">
        <v>771</v>
      </c>
      <c r="C305" s="22" t="s">
        <v>772</v>
      </c>
      <c r="D305" s="17" t="s">
        <v>23</v>
      </c>
      <c r="E305" s="17" t="s">
        <v>24</v>
      </c>
      <c r="F305" s="17">
        <v>11030260001</v>
      </c>
      <c r="G305" s="20" t="s">
        <v>25</v>
      </c>
      <c r="H305" s="17" t="s">
        <v>26</v>
      </c>
      <c r="I305" s="30">
        <v>0</v>
      </c>
      <c r="J305" s="30">
        <v>5990.4599999999991</v>
      </c>
      <c r="K305" s="30">
        <v>700</v>
      </c>
      <c r="L305" s="30">
        <v>1187</v>
      </c>
      <c r="M305" s="30">
        <v>0</v>
      </c>
      <c r="N305" s="30">
        <f>Tabela1[[#This Row],[1QZ DE FEV 26]]-Tabela1[[#This Row],[SALDO PENDENTE]]-Tabela1[[#This Row],[SALDO CARTAO]]-Tabela1[[#This Row],[ADIANTAMENTO]]</f>
        <v>-6477.4599999999991</v>
      </c>
      <c r="O305" s="30">
        <v>0</v>
      </c>
      <c r="P305" s="39">
        <f>IF(Tabela1[[#This Row],[CARGA PARCIAL]]&lt;0,0,Tabela1[[#This Row],[CARGA PARCIAL]])+Tabela1[[#This Row],[REEMBOLSO]]</f>
        <v>0</v>
      </c>
      <c r="Q305" s="18" t="s">
        <v>27</v>
      </c>
      <c r="R305" s="18"/>
    </row>
    <row r="306" spans="2:18" hidden="1">
      <c r="B306" s="17" t="s">
        <v>773</v>
      </c>
      <c r="C306" s="17" t="s">
        <v>774</v>
      </c>
      <c r="D306" s="17" t="s">
        <v>23</v>
      </c>
      <c r="E306" s="17" t="s">
        <v>414</v>
      </c>
      <c r="F306" s="17">
        <v>11030800001</v>
      </c>
      <c r="G306" s="17" t="s">
        <v>63</v>
      </c>
      <c r="H306" s="17" t="s">
        <v>26</v>
      </c>
      <c r="I306" s="30">
        <v>0</v>
      </c>
      <c r="J306" s="30">
        <v>152.94000000000045</v>
      </c>
      <c r="K306" s="30">
        <v>500</v>
      </c>
      <c r="L306" s="30">
        <v>347.06</v>
      </c>
      <c r="M306" s="30">
        <v>0</v>
      </c>
      <c r="N306" s="30">
        <f>Tabela1[[#This Row],[1QZ DE FEV 26]]-Tabela1[[#This Row],[SALDO PENDENTE]]-Tabela1[[#This Row],[SALDO CARTAO]]-Tabela1[[#This Row],[ADIANTAMENTO]]</f>
        <v>-4.5474735088646412E-13</v>
      </c>
      <c r="O306" s="30">
        <v>0</v>
      </c>
      <c r="P306" s="39">
        <f>IF(Tabela1[[#This Row],[CARGA PARCIAL]]&lt;0,0,Tabela1[[#This Row],[CARGA PARCIAL]])+Tabela1[[#This Row],[REEMBOLSO]]</f>
        <v>0</v>
      </c>
      <c r="Q306" s="18" t="s">
        <v>27</v>
      </c>
      <c r="R306" s="18"/>
    </row>
    <row r="307" spans="2:18" hidden="1">
      <c r="B307" s="42" t="s">
        <v>775</v>
      </c>
      <c r="C307" s="22" t="s">
        <v>776</v>
      </c>
      <c r="D307" s="17" t="s">
        <v>23</v>
      </c>
      <c r="E307" s="17" t="s">
        <v>84</v>
      </c>
      <c r="F307" s="17">
        <v>11061890001</v>
      </c>
      <c r="G307" s="20" t="s">
        <v>55</v>
      </c>
      <c r="H307" s="17" t="s">
        <v>51</v>
      </c>
      <c r="I307" s="30">
        <v>0</v>
      </c>
      <c r="J307" s="30">
        <v>4904.3100000000004</v>
      </c>
      <c r="K307" s="30">
        <v>4000</v>
      </c>
      <c r="L307" s="30">
        <v>213.94</v>
      </c>
      <c r="M307" s="30">
        <v>0</v>
      </c>
      <c r="N307" s="30">
        <f>Tabela1[[#This Row],[1QZ DE FEV 26]]-Tabela1[[#This Row],[SALDO PENDENTE]]-Tabela1[[#This Row],[SALDO CARTAO]]-Tabela1[[#This Row],[ADIANTAMENTO]]</f>
        <v>-1118.2500000000005</v>
      </c>
      <c r="O307" s="30">
        <v>0</v>
      </c>
      <c r="P307" s="39">
        <f>IF(Tabela1[[#This Row],[CARGA PARCIAL]]&lt;0,0,Tabela1[[#This Row],[CARGA PARCIAL]])+Tabela1[[#This Row],[REEMBOLSO]]</f>
        <v>0</v>
      </c>
      <c r="Q307" s="18" t="s">
        <v>27</v>
      </c>
      <c r="R307" s="18"/>
    </row>
    <row r="308" spans="2:18" hidden="1">
      <c r="B308" s="17" t="s">
        <v>777</v>
      </c>
      <c r="C308" s="17" t="s">
        <v>778</v>
      </c>
      <c r="D308" s="17" t="s">
        <v>23</v>
      </c>
      <c r="E308" s="17" t="s">
        <v>376</v>
      </c>
      <c r="F308" s="17">
        <v>1201005</v>
      </c>
      <c r="G308" s="20" t="s">
        <v>71</v>
      </c>
      <c r="H308" s="17" t="s">
        <v>51</v>
      </c>
      <c r="I308" s="30">
        <v>0</v>
      </c>
      <c r="J308" s="30">
        <v>491.14999999999873</v>
      </c>
      <c r="K308" s="30">
        <v>500</v>
      </c>
      <c r="L308" s="30">
        <v>512</v>
      </c>
      <c r="M308" s="30">
        <v>0</v>
      </c>
      <c r="N308" s="30">
        <f>Tabela1[[#This Row],[1QZ DE FEV 26]]-Tabela1[[#This Row],[SALDO PENDENTE]]-Tabela1[[#This Row],[SALDO CARTAO]]-Tabela1[[#This Row],[ADIANTAMENTO]]</f>
        <v>-503.14999999999873</v>
      </c>
      <c r="O308" s="30">
        <v>0</v>
      </c>
      <c r="P308" s="39">
        <f>IF(Tabela1[[#This Row],[CARGA PARCIAL]]&lt;0,0,Tabela1[[#This Row],[CARGA PARCIAL]])+Tabela1[[#This Row],[REEMBOLSO]]</f>
        <v>0</v>
      </c>
      <c r="Q308" s="18" t="s">
        <v>27</v>
      </c>
      <c r="R308" s="18"/>
    </row>
    <row r="309" spans="2:18" hidden="1">
      <c r="B309" s="17" t="s">
        <v>779</v>
      </c>
      <c r="C309" s="17" t="s">
        <v>780</v>
      </c>
      <c r="D309" s="17" t="s">
        <v>23</v>
      </c>
      <c r="E309" s="17" t="s">
        <v>366</v>
      </c>
      <c r="F309" s="17">
        <v>1201007</v>
      </c>
      <c r="G309" s="17" t="s">
        <v>35</v>
      </c>
      <c r="H309" s="17" t="s">
        <v>26</v>
      </c>
      <c r="I309" s="30">
        <v>0</v>
      </c>
      <c r="J309" s="30">
        <v>331.77</v>
      </c>
      <c r="K309" s="30">
        <v>500</v>
      </c>
      <c r="L309" s="30">
        <v>2960.58</v>
      </c>
      <c r="M309" s="30">
        <v>0</v>
      </c>
      <c r="N309" s="30">
        <f>Tabela1[[#This Row],[1QZ DE FEV 26]]-Tabela1[[#This Row],[SALDO PENDENTE]]-Tabela1[[#This Row],[SALDO CARTAO]]-Tabela1[[#This Row],[ADIANTAMENTO]]</f>
        <v>-2792.35</v>
      </c>
      <c r="O309" s="30">
        <v>0</v>
      </c>
      <c r="P309" s="39">
        <f>IF(Tabela1[[#This Row],[CARGA PARCIAL]]&lt;0,0,Tabela1[[#This Row],[CARGA PARCIAL]])+Tabela1[[#This Row],[REEMBOLSO]]</f>
        <v>0</v>
      </c>
      <c r="Q309" s="18" t="s">
        <v>27</v>
      </c>
      <c r="R309" s="18"/>
    </row>
    <row r="310" spans="2:18" hidden="1">
      <c r="B310" s="17" t="s">
        <v>781</v>
      </c>
      <c r="C310" s="17" t="s">
        <v>782</v>
      </c>
      <c r="D310" s="17" t="s">
        <v>23</v>
      </c>
      <c r="E310" s="17" t="s">
        <v>783</v>
      </c>
      <c r="F310" s="17">
        <v>11010280001</v>
      </c>
      <c r="G310" s="17" t="s">
        <v>63</v>
      </c>
      <c r="H310" s="17" t="s">
        <v>26</v>
      </c>
      <c r="I310" s="30">
        <v>0</v>
      </c>
      <c r="J310" s="30">
        <v>28.600000000000477</v>
      </c>
      <c r="K310" s="30">
        <v>500</v>
      </c>
      <c r="L310" s="30">
        <v>471.4</v>
      </c>
      <c r="M310" s="30">
        <v>0</v>
      </c>
      <c r="N310" s="30">
        <f>Tabela1[[#This Row],[1QZ DE FEV 26]]-Tabela1[[#This Row],[SALDO PENDENTE]]-Tabela1[[#This Row],[SALDO CARTAO]]-Tabela1[[#This Row],[ADIANTAMENTO]]</f>
        <v>-4.5474735088646412E-13</v>
      </c>
      <c r="O310" s="30">
        <v>0</v>
      </c>
      <c r="P310" s="39">
        <f>IF(Tabela1[[#This Row],[CARGA PARCIAL]]&lt;0,0,Tabela1[[#This Row],[CARGA PARCIAL]])+Tabela1[[#This Row],[REEMBOLSO]]</f>
        <v>0</v>
      </c>
      <c r="Q310" s="18" t="s">
        <v>27</v>
      </c>
      <c r="R310" s="18"/>
    </row>
    <row r="311" spans="2:18" hidden="1">
      <c r="B311" s="17" t="s">
        <v>784</v>
      </c>
      <c r="C311" s="17" t="s">
        <v>785</v>
      </c>
      <c r="D311" s="17" t="s">
        <v>23</v>
      </c>
      <c r="E311" s="17" t="s">
        <v>786</v>
      </c>
      <c r="F311" s="17">
        <v>11080460001</v>
      </c>
      <c r="G311" s="17" t="s">
        <v>25</v>
      </c>
      <c r="H311" s="17" t="s">
        <v>26</v>
      </c>
      <c r="I311" s="30">
        <v>0</v>
      </c>
      <c r="J311" s="30">
        <v>233.81</v>
      </c>
      <c r="K311" s="30">
        <v>500</v>
      </c>
      <c r="L311" s="30">
        <v>266.19</v>
      </c>
      <c r="M311" s="30">
        <v>0</v>
      </c>
      <c r="N311" s="30">
        <f>Tabela1[[#This Row],[1QZ DE FEV 26]]-Tabela1[[#This Row],[SALDO PENDENTE]]-Tabela1[[#This Row],[SALDO CARTAO]]-Tabela1[[#This Row],[ADIANTAMENTO]]</f>
        <v>0</v>
      </c>
      <c r="O311" s="30">
        <v>0</v>
      </c>
      <c r="P311" s="39">
        <f>IF(Tabela1[[#This Row],[CARGA PARCIAL]]&lt;0,0,Tabela1[[#This Row],[CARGA PARCIAL]])+Tabela1[[#This Row],[REEMBOLSO]]</f>
        <v>0</v>
      </c>
      <c r="Q311" s="18" t="s">
        <v>27</v>
      </c>
      <c r="R311" s="18"/>
    </row>
    <row r="312" spans="2:18" hidden="1">
      <c r="B312" s="17" t="s">
        <v>787</v>
      </c>
      <c r="C312" s="17" t="s">
        <v>788</v>
      </c>
      <c r="D312" s="17" t="s">
        <v>23</v>
      </c>
      <c r="E312" s="17" t="s">
        <v>789</v>
      </c>
      <c r="F312" s="17">
        <v>11010290001</v>
      </c>
      <c r="G312" s="17" t="s">
        <v>63</v>
      </c>
      <c r="H312" s="17" t="s">
        <v>26</v>
      </c>
      <c r="I312" s="30">
        <v>0</v>
      </c>
      <c r="J312" s="30">
        <v>454.49999999999994</v>
      </c>
      <c r="K312" s="30">
        <v>500</v>
      </c>
      <c r="L312" s="30">
        <v>145.56</v>
      </c>
      <c r="M312" s="30">
        <v>0</v>
      </c>
      <c r="N312" s="30">
        <f>Tabela1[[#This Row],[1QZ DE FEV 26]]-Tabela1[[#This Row],[SALDO PENDENTE]]-Tabela1[[#This Row],[SALDO CARTAO]]-Tabela1[[#This Row],[ADIANTAMENTO]]</f>
        <v>-100.05999999999995</v>
      </c>
      <c r="O312" s="30">
        <v>0</v>
      </c>
      <c r="P312" s="39">
        <f>IF(Tabela1[[#This Row],[CARGA PARCIAL]]&lt;0,0,Tabela1[[#This Row],[CARGA PARCIAL]])+Tabela1[[#This Row],[REEMBOLSO]]</f>
        <v>0</v>
      </c>
      <c r="Q312" s="18" t="s">
        <v>27</v>
      </c>
      <c r="R312" s="18"/>
    </row>
    <row r="313" spans="2:18" hidden="1">
      <c r="B313" s="17" t="s">
        <v>790</v>
      </c>
      <c r="C313" s="17" t="s">
        <v>791</v>
      </c>
      <c r="D313" s="17" t="s">
        <v>23</v>
      </c>
      <c r="E313" s="17" t="s">
        <v>792</v>
      </c>
      <c r="F313" s="17">
        <v>11010190001</v>
      </c>
      <c r="G313" s="20" t="s">
        <v>63</v>
      </c>
      <c r="H313" s="17" t="s">
        <v>26</v>
      </c>
      <c r="I313" s="30">
        <v>0</v>
      </c>
      <c r="J313" s="30">
        <v>0</v>
      </c>
      <c r="K313" s="30">
        <v>500</v>
      </c>
      <c r="L313" s="30">
        <v>500</v>
      </c>
      <c r="M313" s="30">
        <v>0</v>
      </c>
      <c r="N313" s="30">
        <f>Tabela1[[#This Row],[1QZ DE FEV 26]]-Tabela1[[#This Row],[SALDO PENDENTE]]-Tabela1[[#This Row],[SALDO CARTAO]]-Tabela1[[#This Row],[ADIANTAMENTO]]</f>
        <v>0</v>
      </c>
      <c r="O313" s="30">
        <v>0</v>
      </c>
      <c r="P313" s="39">
        <f>IF(Tabela1[[#This Row],[CARGA PARCIAL]]&lt;0,0,Tabela1[[#This Row],[CARGA PARCIAL]])+Tabela1[[#This Row],[REEMBOLSO]]</f>
        <v>0</v>
      </c>
      <c r="Q313" s="18" t="s">
        <v>27</v>
      </c>
      <c r="R313" s="18"/>
    </row>
    <row r="314" spans="2:18" hidden="1">
      <c r="B314" s="17" t="s">
        <v>793</v>
      </c>
      <c r="C314" s="17" t="s">
        <v>794</v>
      </c>
      <c r="D314" s="17" t="s">
        <v>23</v>
      </c>
      <c r="E314" s="17" t="s">
        <v>500</v>
      </c>
      <c r="F314" s="17">
        <v>11010420001</v>
      </c>
      <c r="G314" s="20" t="s">
        <v>50</v>
      </c>
      <c r="H314" s="17" t="s">
        <v>51</v>
      </c>
      <c r="I314" s="30">
        <v>0</v>
      </c>
      <c r="J314" s="30">
        <v>0</v>
      </c>
      <c r="K314" s="30">
        <v>500</v>
      </c>
      <c r="L314" s="30">
        <v>500</v>
      </c>
      <c r="M314" s="30">
        <v>0</v>
      </c>
      <c r="N314" s="30">
        <f>Tabela1[[#This Row],[1QZ DE FEV 26]]-Tabela1[[#This Row],[SALDO PENDENTE]]-Tabela1[[#This Row],[SALDO CARTAO]]-Tabela1[[#This Row],[ADIANTAMENTO]]</f>
        <v>0</v>
      </c>
      <c r="O314" s="30">
        <v>0</v>
      </c>
      <c r="P314" s="39">
        <f>IF(Tabela1[[#This Row],[CARGA PARCIAL]]&lt;0,0,Tabela1[[#This Row],[CARGA PARCIAL]])+Tabela1[[#This Row],[REEMBOLSO]]</f>
        <v>0</v>
      </c>
      <c r="Q314" s="18" t="s">
        <v>27</v>
      </c>
      <c r="R314" s="18"/>
    </row>
    <row r="315" spans="2:18" hidden="1">
      <c r="B315" s="17" t="s">
        <v>795</v>
      </c>
      <c r="C315" s="17" t="s">
        <v>796</v>
      </c>
      <c r="D315" s="17" t="s">
        <v>23</v>
      </c>
      <c r="E315" s="17" t="s">
        <v>797</v>
      </c>
      <c r="F315" s="17">
        <v>11062360001</v>
      </c>
      <c r="G315" s="20" t="s">
        <v>50</v>
      </c>
      <c r="H315" s="17" t="s">
        <v>51</v>
      </c>
      <c r="I315" s="30">
        <v>0</v>
      </c>
      <c r="J315" s="30">
        <v>637</v>
      </c>
      <c r="K315" s="30">
        <v>500</v>
      </c>
      <c r="L315" s="30">
        <v>93</v>
      </c>
      <c r="M315" s="30">
        <v>0</v>
      </c>
      <c r="N315" s="30">
        <f>Tabela1[[#This Row],[1QZ DE FEV 26]]-Tabela1[[#This Row],[SALDO PENDENTE]]-Tabela1[[#This Row],[SALDO CARTAO]]-Tabela1[[#This Row],[ADIANTAMENTO]]</f>
        <v>-230</v>
      </c>
      <c r="O315" s="30">
        <v>0</v>
      </c>
      <c r="P315" s="39">
        <f>IF(Tabela1[[#This Row],[CARGA PARCIAL]]&lt;0,0,Tabela1[[#This Row],[CARGA PARCIAL]])+Tabela1[[#This Row],[REEMBOLSO]]</f>
        <v>0</v>
      </c>
      <c r="Q315" s="18" t="s">
        <v>27</v>
      </c>
      <c r="R315" s="18"/>
    </row>
    <row r="316" spans="2:18" hidden="1">
      <c r="B316" s="17" t="s">
        <v>798</v>
      </c>
      <c r="C316" s="17" t="s">
        <v>799</v>
      </c>
      <c r="D316" s="17" t="s">
        <v>23</v>
      </c>
      <c r="E316" s="17" t="s">
        <v>800</v>
      </c>
      <c r="F316" s="17">
        <v>12010510001</v>
      </c>
      <c r="G316" s="20" t="s">
        <v>25</v>
      </c>
      <c r="H316" s="17" t="s">
        <v>26</v>
      </c>
      <c r="I316" s="30">
        <v>0</v>
      </c>
      <c r="J316" s="30">
        <v>0</v>
      </c>
      <c r="K316" s="31">
        <v>500</v>
      </c>
      <c r="L316" s="30">
        <v>500</v>
      </c>
      <c r="M316" s="30">
        <v>0</v>
      </c>
      <c r="N316" s="38">
        <f>Tabela1[[#This Row],[1QZ DE FEV 26]]-Tabela1[[#This Row],[SALDO PENDENTE]]-Tabela1[[#This Row],[SALDO CARTAO]]-Tabela1[[#This Row],[ADIANTAMENTO]]</f>
        <v>0</v>
      </c>
      <c r="O316" s="38">
        <v>0</v>
      </c>
      <c r="P316" s="39">
        <f>IF(Tabela1[[#This Row],[CARGA PARCIAL]]&lt;0,0,Tabela1[[#This Row],[CARGA PARCIAL]])+Tabela1[[#This Row],[REEMBOLSO]]</f>
        <v>0</v>
      </c>
      <c r="Q316" s="40" t="s">
        <v>27</v>
      </c>
      <c r="R316" s="18"/>
    </row>
    <row r="317" spans="2:18" hidden="1">
      <c r="B317" s="51" t="s">
        <v>801</v>
      </c>
      <c r="C317" s="47" t="s">
        <v>802</v>
      </c>
      <c r="D317" s="19" t="s">
        <v>23</v>
      </c>
      <c r="E317" s="19" t="s">
        <v>803</v>
      </c>
      <c r="F317" s="19">
        <v>11080200001</v>
      </c>
      <c r="G317" s="27" t="s">
        <v>25</v>
      </c>
      <c r="H317" s="19" t="s">
        <v>26</v>
      </c>
      <c r="I317" s="30">
        <v>0</v>
      </c>
      <c r="J317" s="30">
        <v>248.21999999999974</v>
      </c>
      <c r="K317" s="31">
        <v>500</v>
      </c>
      <c r="L317" s="30">
        <v>476.56</v>
      </c>
      <c r="M317" s="31">
        <v>0</v>
      </c>
      <c r="N317" s="49">
        <f>Tabela1[[#This Row],[1QZ DE FEV 26]]-Tabela1[[#This Row],[SALDO PENDENTE]]-Tabela1[[#This Row],[SALDO CARTAO]]-Tabela1[[#This Row],[ADIANTAMENTO]]</f>
        <v>-224.77999999999975</v>
      </c>
      <c r="O317" s="49">
        <v>0</v>
      </c>
      <c r="P317" s="50">
        <f>IF(Tabela1[[#This Row],[CARGA PARCIAL]]&lt;0,0,Tabela1[[#This Row],[CARGA PARCIAL]])+Tabela1[[#This Row],[REEMBOLSO]]</f>
        <v>0</v>
      </c>
      <c r="Q317" s="44" t="s">
        <v>27</v>
      </c>
      <c r="R317" s="29"/>
    </row>
    <row r="318" spans="2:18" hidden="1">
      <c r="B318" s="42" t="s">
        <v>804</v>
      </c>
      <c r="C318" s="22" t="s">
        <v>805</v>
      </c>
      <c r="D318" s="17" t="s">
        <v>23</v>
      </c>
      <c r="E318" s="17" t="s">
        <v>369</v>
      </c>
      <c r="F318" s="17">
        <v>1201008</v>
      </c>
      <c r="G318" s="20" t="s">
        <v>50</v>
      </c>
      <c r="H318" s="17" t="s">
        <v>51</v>
      </c>
      <c r="I318" s="30">
        <v>0</v>
      </c>
      <c r="J318" s="30">
        <v>812.76000000000386</v>
      </c>
      <c r="K318" s="30">
        <v>500</v>
      </c>
      <c r="L318" s="30">
        <v>3340.09</v>
      </c>
      <c r="M318" s="30">
        <v>0</v>
      </c>
      <c r="N318" s="30">
        <f>Tabela1[[#This Row],[1QZ DE FEV 26]]-Tabela1[[#This Row],[SALDO PENDENTE]]-Tabela1[[#This Row],[SALDO CARTAO]]-Tabela1[[#This Row],[ADIANTAMENTO]]</f>
        <v>-3652.850000000004</v>
      </c>
      <c r="O318" s="30">
        <v>0</v>
      </c>
      <c r="P318" s="39">
        <f>IF(Tabela1[[#This Row],[CARGA PARCIAL]]&lt;0,0,Tabela1[[#This Row],[CARGA PARCIAL]])+Tabela1[[#This Row],[REEMBOLSO]]</f>
        <v>0</v>
      </c>
      <c r="Q318" s="18" t="s">
        <v>27</v>
      </c>
      <c r="R318" s="18"/>
    </row>
    <row r="319" spans="2:18" hidden="1">
      <c r="B319" s="42" t="s">
        <v>806</v>
      </c>
      <c r="C319" s="22" t="s">
        <v>807</v>
      </c>
      <c r="D319" s="17" t="s">
        <v>23</v>
      </c>
      <c r="E319" s="17" t="s">
        <v>196</v>
      </c>
      <c r="F319" s="17">
        <v>11061720001</v>
      </c>
      <c r="G319" s="20" t="s">
        <v>55</v>
      </c>
      <c r="H319" s="17" t="s">
        <v>51</v>
      </c>
      <c r="I319" s="30">
        <v>-5.549999999996885</v>
      </c>
      <c r="J319" s="30">
        <v>0</v>
      </c>
      <c r="K319" s="30">
        <v>800</v>
      </c>
      <c r="L319" s="30">
        <v>218.36</v>
      </c>
      <c r="M319" s="30">
        <v>0</v>
      </c>
      <c r="N319" s="30">
        <f>Tabela1[[#This Row],[1QZ DE FEV 26]]-Tabela1[[#This Row],[SALDO PENDENTE]]-Tabela1[[#This Row],[SALDO CARTAO]]-Tabela1[[#This Row],[ADIANTAMENTO]]</f>
        <v>581.64</v>
      </c>
      <c r="O319" s="30">
        <v>0</v>
      </c>
      <c r="P319" s="39">
        <f>IF(Tabela1[[#This Row],[CARGA PARCIAL]]&lt;0,0,Tabela1[[#This Row],[CARGA PARCIAL]])+Tabela1[[#This Row],[REEMBOLSO]]</f>
        <v>581.64</v>
      </c>
      <c r="Q319" s="18" t="s">
        <v>27</v>
      </c>
      <c r="R319" s="18"/>
    </row>
    <row r="320" spans="2:18" hidden="1">
      <c r="B320" s="17" t="s">
        <v>808</v>
      </c>
      <c r="C320" s="17" t="s">
        <v>809</v>
      </c>
      <c r="D320" s="17" t="s">
        <v>23</v>
      </c>
      <c r="E320" s="17" t="s">
        <v>132</v>
      </c>
      <c r="F320" s="17">
        <v>11040160001</v>
      </c>
      <c r="G320" s="17" t="s">
        <v>63</v>
      </c>
      <c r="H320" s="17" t="s">
        <v>26</v>
      </c>
      <c r="I320" s="30">
        <v>0</v>
      </c>
      <c r="J320" s="30">
        <v>390</v>
      </c>
      <c r="K320" s="30">
        <v>400</v>
      </c>
      <c r="L320" s="30">
        <v>90.58</v>
      </c>
      <c r="M320" s="30">
        <v>0</v>
      </c>
      <c r="N320" s="30">
        <f>Tabela1[[#This Row],[1QZ DE FEV 26]]-Tabela1[[#This Row],[SALDO PENDENTE]]-Tabela1[[#This Row],[SALDO CARTAO]]-Tabela1[[#This Row],[ADIANTAMENTO]]</f>
        <v>-80.58</v>
      </c>
      <c r="O320" s="30">
        <v>0</v>
      </c>
      <c r="P320" s="39">
        <f>IF(Tabela1[[#This Row],[CARGA PARCIAL]]&lt;0,0,Tabela1[[#This Row],[CARGA PARCIAL]])+Tabela1[[#This Row],[REEMBOLSO]]</f>
        <v>0</v>
      </c>
      <c r="Q320" s="18" t="s">
        <v>27</v>
      </c>
      <c r="R320" s="18"/>
    </row>
    <row r="321" spans="2:18" hidden="1">
      <c r="B321" s="51" t="s">
        <v>810</v>
      </c>
      <c r="C321" s="47" t="s">
        <v>811</v>
      </c>
      <c r="D321" s="19" t="s">
        <v>23</v>
      </c>
      <c r="E321" s="19" t="s">
        <v>169</v>
      </c>
      <c r="F321" s="19">
        <v>11080440001</v>
      </c>
      <c r="G321" s="27" t="s">
        <v>55</v>
      </c>
      <c r="H321" s="19" t="s">
        <v>51</v>
      </c>
      <c r="I321" s="30">
        <v>0</v>
      </c>
      <c r="J321" s="30">
        <v>514.48</v>
      </c>
      <c r="K321" s="31">
        <v>2000</v>
      </c>
      <c r="L321" s="30">
        <v>1249.03</v>
      </c>
      <c r="M321" s="31">
        <v>0</v>
      </c>
      <c r="N321" s="49">
        <f>Tabela1[[#This Row],[1QZ DE FEV 26]]-Tabela1[[#This Row],[SALDO PENDENTE]]-Tabela1[[#This Row],[SALDO CARTAO]]-Tabela1[[#This Row],[ADIANTAMENTO]]</f>
        <v>236.49</v>
      </c>
      <c r="O321" s="49">
        <v>0</v>
      </c>
      <c r="P321" s="50">
        <f>IF(Tabela1[[#This Row],[CARGA PARCIAL]]&lt;0,0,Tabela1[[#This Row],[CARGA PARCIAL]])+Tabela1[[#This Row],[REEMBOLSO]]</f>
        <v>236.49</v>
      </c>
      <c r="Q321" s="44" t="s">
        <v>27</v>
      </c>
      <c r="R321" s="29"/>
    </row>
    <row r="322" spans="2:18" hidden="1">
      <c r="B322" s="17" t="s">
        <v>812</v>
      </c>
      <c r="C322" s="17" t="s">
        <v>813</v>
      </c>
      <c r="D322" s="17" t="s">
        <v>23</v>
      </c>
      <c r="E322" s="17" t="s">
        <v>814</v>
      </c>
      <c r="F322" s="17">
        <v>11062610001</v>
      </c>
      <c r="G322" s="17" t="s">
        <v>25</v>
      </c>
      <c r="H322" s="17" t="s">
        <v>26</v>
      </c>
      <c r="I322" s="30">
        <v>0</v>
      </c>
      <c r="J322" s="30">
        <v>0</v>
      </c>
      <c r="K322" s="30">
        <v>400</v>
      </c>
      <c r="L322" s="30">
        <v>400</v>
      </c>
      <c r="M322" s="30">
        <v>0</v>
      </c>
      <c r="N322" s="30">
        <f>Tabela1[[#This Row],[1QZ DE FEV 26]]-Tabela1[[#This Row],[SALDO PENDENTE]]-Tabela1[[#This Row],[SALDO CARTAO]]-Tabela1[[#This Row],[ADIANTAMENTO]]</f>
        <v>0</v>
      </c>
      <c r="O322" s="30">
        <v>0</v>
      </c>
      <c r="P322" s="39">
        <f>IF(Tabela1[[#This Row],[CARGA PARCIAL]]&lt;0,0,Tabela1[[#This Row],[CARGA PARCIAL]])+Tabela1[[#This Row],[REEMBOLSO]]</f>
        <v>0</v>
      </c>
      <c r="Q322" s="18" t="s">
        <v>27</v>
      </c>
      <c r="R322" s="18"/>
    </row>
    <row r="323" spans="2:18" hidden="1">
      <c r="B323" s="51" t="s">
        <v>815</v>
      </c>
      <c r="C323" s="47" t="s">
        <v>816</v>
      </c>
      <c r="D323" s="19" t="s">
        <v>23</v>
      </c>
      <c r="E323" s="19" t="s">
        <v>817</v>
      </c>
      <c r="F323" s="19">
        <v>11010150001</v>
      </c>
      <c r="G323" s="27" t="s">
        <v>55</v>
      </c>
      <c r="H323" s="19" t="s">
        <v>51</v>
      </c>
      <c r="I323" s="30">
        <v>-5.4534154969587689E-13</v>
      </c>
      <c r="J323" s="30">
        <v>0</v>
      </c>
      <c r="K323" s="31">
        <v>500</v>
      </c>
      <c r="L323" s="30">
        <v>14.1</v>
      </c>
      <c r="M323" s="31">
        <v>0</v>
      </c>
      <c r="N323" s="49">
        <f>Tabela1[[#This Row],[1QZ DE FEV 26]]-Tabela1[[#This Row],[SALDO PENDENTE]]-Tabela1[[#This Row],[SALDO CARTAO]]-Tabela1[[#This Row],[ADIANTAMENTO]]</f>
        <v>485.9</v>
      </c>
      <c r="O323" s="49">
        <v>0</v>
      </c>
      <c r="P323" s="50">
        <f>IF(Tabela1[[#This Row],[CARGA PARCIAL]]&lt;0,0,Tabela1[[#This Row],[CARGA PARCIAL]])+Tabela1[[#This Row],[REEMBOLSO]]</f>
        <v>485.9</v>
      </c>
      <c r="Q323" s="44" t="s">
        <v>27</v>
      </c>
      <c r="R323" s="29"/>
    </row>
    <row r="324" spans="2:18" hidden="1">
      <c r="B324" s="17" t="s">
        <v>818</v>
      </c>
      <c r="C324" s="17" t="s">
        <v>819</v>
      </c>
      <c r="D324" s="17" t="s">
        <v>23</v>
      </c>
      <c r="E324" s="17" t="s">
        <v>820</v>
      </c>
      <c r="F324" s="17">
        <v>11110330001</v>
      </c>
      <c r="G324" s="17" t="s">
        <v>63</v>
      </c>
      <c r="H324" s="17" t="s">
        <v>26</v>
      </c>
      <c r="I324" s="30">
        <v>0</v>
      </c>
      <c r="J324" s="30">
        <v>322.51</v>
      </c>
      <c r="K324" s="30">
        <v>300</v>
      </c>
      <c r="L324" s="30">
        <v>0.49</v>
      </c>
      <c r="M324" s="30">
        <v>0</v>
      </c>
      <c r="N324" s="30">
        <f>Tabela1[[#This Row],[1QZ DE FEV 26]]-Tabela1[[#This Row],[SALDO PENDENTE]]-Tabela1[[#This Row],[SALDO CARTAO]]-Tabela1[[#This Row],[ADIANTAMENTO]]</f>
        <v>-22.999999999999989</v>
      </c>
      <c r="O324" s="30">
        <v>0</v>
      </c>
      <c r="P324" s="39">
        <f>IF(Tabela1[[#This Row],[CARGA PARCIAL]]&lt;0,0,Tabela1[[#This Row],[CARGA PARCIAL]])+Tabela1[[#This Row],[REEMBOLSO]]</f>
        <v>0</v>
      </c>
      <c r="Q324" s="18" t="s">
        <v>27</v>
      </c>
      <c r="R324" s="18"/>
    </row>
    <row r="325" spans="2:18" hidden="1">
      <c r="B325" s="42" t="s">
        <v>821</v>
      </c>
      <c r="C325" s="22" t="s">
        <v>822</v>
      </c>
      <c r="D325" s="17" t="s">
        <v>23</v>
      </c>
      <c r="E325" s="17" t="s">
        <v>611</v>
      </c>
      <c r="F325" s="17">
        <v>11020660001</v>
      </c>
      <c r="G325" s="20" t="s">
        <v>55</v>
      </c>
      <c r="H325" s="17" t="s">
        <v>51</v>
      </c>
      <c r="I325" s="30">
        <v>0</v>
      </c>
      <c r="J325" s="30">
        <v>1501.0699999999995</v>
      </c>
      <c r="K325" s="30">
        <v>0</v>
      </c>
      <c r="L325" s="30">
        <v>13.93</v>
      </c>
      <c r="M325" s="30">
        <v>0</v>
      </c>
      <c r="N325" s="30">
        <f>Tabela1[[#This Row],[1QZ DE FEV 26]]-Tabela1[[#This Row],[SALDO PENDENTE]]-Tabela1[[#This Row],[SALDO CARTAO]]-Tabela1[[#This Row],[ADIANTAMENTO]]</f>
        <v>-1514.9999999999995</v>
      </c>
      <c r="O325" s="30">
        <v>0</v>
      </c>
      <c r="P325" s="39">
        <f>IF(Tabela1[[#This Row],[CARGA PARCIAL]]&lt;0,0,Tabela1[[#This Row],[CARGA PARCIAL]])+Tabela1[[#This Row],[REEMBOLSO]]</f>
        <v>0</v>
      </c>
      <c r="Q325" s="18" t="s">
        <v>27</v>
      </c>
      <c r="R325" s="18"/>
    </row>
    <row r="326" spans="2:18" hidden="1">
      <c r="B326" s="17" t="s">
        <v>823</v>
      </c>
      <c r="C326" s="17" t="s">
        <v>824</v>
      </c>
      <c r="D326" s="17" t="s">
        <v>23</v>
      </c>
      <c r="E326" s="17" t="s">
        <v>132</v>
      </c>
      <c r="F326" s="17">
        <v>11040160001</v>
      </c>
      <c r="G326" s="17" t="s">
        <v>63</v>
      </c>
      <c r="H326" s="17" t="s">
        <v>26</v>
      </c>
      <c r="I326" s="30">
        <v>0</v>
      </c>
      <c r="J326" s="30">
        <v>59.999999999999943</v>
      </c>
      <c r="K326" s="30">
        <v>250</v>
      </c>
      <c r="L326" s="30">
        <v>329.06</v>
      </c>
      <c r="M326" s="30">
        <v>0</v>
      </c>
      <c r="N326" s="30">
        <f>Tabela1[[#This Row],[1QZ DE FEV 26]]-Tabela1[[#This Row],[SALDO PENDENTE]]-Tabela1[[#This Row],[SALDO CARTAO]]-Tabela1[[#This Row],[ADIANTAMENTO]]</f>
        <v>-139.05999999999995</v>
      </c>
      <c r="O326" s="30">
        <v>0</v>
      </c>
      <c r="P326" s="39">
        <f>IF(Tabela1[[#This Row],[CARGA PARCIAL]]&lt;0,0,Tabela1[[#This Row],[CARGA PARCIAL]])+Tabela1[[#This Row],[REEMBOLSO]]</f>
        <v>0</v>
      </c>
      <c r="Q326" s="18" t="s">
        <v>27</v>
      </c>
      <c r="R326" s="18"/>
    </row>
    <row r="327" spans="2:18" hidden="1">
      <c r="B327" s="17" t="s">
        <v>825</v>
      </c>
      <c r="C327" s="17" t="s">
        <v>826</v>
      </c>
      <c r="D327" s="17" t="s">
        <v>23</v>
      </c>
      <c r="E327" s="17" t="s">
        <v>827</v>
      </c>
      <c r="F327" s="17">
        <v>11010360001</v>
      </c>
      <c r="G327" s="20" t="s">
        <v>25</v>
      </c>
      <c r="H327" s="17" t="s">
        <v>26</v>
      </c>
      <c r="I327" s="30">
        <v>0</v>
      </c>
      <c r="J327" s="30">
        <v>809.73000000000047</v>
      </c>
      <c r="K327" s="30">
        <v>250</v>
      </c>
      <c r="L327" s="30">
        <v>0.27</v>
      </c>
      <c r="M327" s="30">
        <v>0</v>
      </c>
      <c r="N327" s="30">
        <f>Tabela1[[#This Row],[1QZ DE FEV 26]]-Tabela1[[#This Row],[SALDO PENDENTE]]-Tabela1[[#This Row],[SALDO CARTAO]]-Tabela1[[#This Row],[ADIANTAMENTO]]</f>
        <v>-560.00000000000045</v>
      </c>
      <c r="O327" s="30">
        <v>0</v>
      </c>
      <c r="P327" s="39">
        <f>IF(Tabela1[[#This Row],[CARGA PARCIAL]]&lt;0,0,Tabela1[[#This Row],[CARGA PARCIAL]])+Tabela1[[#This Row],[REEMBOLSO]]</f>
        <v>0</v>
      </c>
      <c r="Q327" s="18" t="s">
        <v>27</v>
      </c>
      <c r="R327" s="18"/>
    </row>
    <row r="328" spans="2:18" hidden="1">
      <c r="B328" s="42" t="s">
        <v>828</v>
      </c>
      <c r="C328" s="22" t="s">
        <v>829</v>
      </c>
      <c r="D328" s="17" t="s">
        <v>23</v>
      </c>
      <c r="E328" s="17" t="s">
        <v>830</v>
      </c>
      <c r="F328" s="17">
        <v>11060750001</v>
      </c>
      <c r="G328" s="20" t="s">
        <v>55</v>
      </c>
      <c r="H328" s="17" t="s">
        <v>51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f>Tabela1[[#This Row],[1QZ DE FEV 26]]-Tabela1[[#This Row],[SALDO PENDENTE]]-Tabela1[[#This Row],[SALDO CARTAO]]-Tabela1[[#This Row],[ADIANTAMENTO]]</f>
        <v>0</v>
      </c>
      <c r="O328" s="30">
        <v>0</v>
      </c>
      <c r="P328" s="39">
        <f>IF(Tabela1[[#This Row],[CARGA PARCIAL]]&lt;0,0,Tabela1[[#This Row],[CARGA PARCIAL]])+Tabela1[[#This Row],[REEMBOLSO]]</f>
        <v>0</v>
      </c>
      <c r="Q328" s="18" t="s">
        <v>184</v>
      </c>
      <c r="R328" s="18"/>
    </row>
    <row r="329" spans="2:18" hidden="1">
      <c r="B329" s="17" t="s">
        <v>831</v>
      </c>
      <c r="C329" s="17" t="s">
        <v>832</v>
      </c>
      <c r="D329" s="17" t="s">
        <v>23</v>
      </c>
      <c r="E329" s="17" t="s">
        <v>331</v>
      </c>
      <c r="F329" s="17">
        <v>11061810001</v>
      </c>
      <c r="G329" s="20" t="s">
        <v>71</v>
      </c>
      <c r="H329" s="17" t="s">
        <v>51</v>
      </c>
      <c r="I329" s="30">
        <v>0</v>
      </c>
      <c r="J329" s="30">
        <v>730.00000000000273</v>
      </c>
      <c r="K329" s="30">
        <v>200</v>
      </c>
      <c r="L329" s="30">
        <v>84</v>
      </c>
      <c r="M329" s="30">
        <v>0</v>
      </c>
      <c r="N329" s="30">
        <f>Tabela1[[#This Row],[1QZ DE FEV 26]]-Tabela1[[#This Row],[SALDO PENDENTE]]-Tabela1[[#This Row],[SALDO CARTAO]]-Tabela1[[#This Row],[ADIANTAMENTO]]</f>
        <v>-614.00000000000273</v>
      </c>
      <c r="O329" s="30">
        <v>0</v>
      </c>
      <c r="P329" s="39">
        <f>IF(Tabela1[[#This Row],[CARGA PARCIAL]]&lt;0,0,Tabela1[[#This Row],[CARGA PARCIAL]])+Tabela1[[#This Row],[REEMBOLSO]]</f>
        <v>0</v>
      </c>
      <c r="Q329" s="18" t="s">
        <v>27</v>
      </c>
      <c r="R329" s="18"/>
    </row>
    <row r="330" spans="2:18" hidden="1">
      <c r="B330" s="17" t="s">
        <v>833</v>
      </c>
      <c r="C330" s="17" t="s">
        <v>834</v>
      </c>
      <c r="D330" s="17" t="s">
        <v>23</v>
      </c>
      <c r="E330" s="17" t="s">
        <v>193</v>
      </c>
      <c r="F330" s="17">
        <v>11061820001</v>
      </c>
      <c r="G330" s="20" t="s">
        <v>71</v>
      </c>
      <c r="H330" s="17" t="s">
        <v>51</v>
      </c>
      <c r="I330" s="30">
        <v>0</v>
      </c>
      <c r="J330" s="30">
        <v>823.35000000000036</v>
      </c>
      <c r="K330" s="30">
        <v>200</v>
      </c>
      <c r="L330" s="30">
        <v>3</v>
      </c>
      <c r="M330" s="30">
        <v>0</v>
      </c>
      <c r="N330" s="30">
        <f>Tabela1[[#This Row],[1QZ DE FEV 26]]-Tabela1[[#This Row],[SALDO PENDENTE]]-Tabela1[[#This Row],[SALDO CARTAO]]-Tabela1[[#This Row],[ADIANTAMENTO]]</f>
        <v>-626.35000000000036</v>
      </c>
      <c r="O330" s="30">
        <v>0</v>
      </c>
      <c r="P330" s="39">
        <f>IF(Tabela1[[#This Row],[CARGA PARCIAL]]&lt;0,0,Tabela1[[#This Row],[CARGA PARCIAL]])+Tabela1[[#This Row],[REEMBOLSO]]</f>
        <v>0</v>
      </c>
      <c r="Q330" s="18" t="s">
        <v>27</v>
      </c>
      <c r="R330" s="18"/>
    </row>
    <row r="331" spans="2:18" hidden="1">
      <c r="B331" s="17" t="s">
        <v>835</v>
      </c>
      <c r="C331" s="17" t="s">
        <v>836</v>
      </c>
      <c r="D331" s="17" t="s">
        <v>23</v>
      </c>
      <c r="E331" s="17" t="s">
        <v>837</v>
      </c>
      <c r="F331" s="17">
        <v>11062560001</v>
      </c>
      <c r="G331" s="17" t="s">
        <v>25</v>
      </c>
      <c r="H331" s="17" t="s">
        <v>26</v>
      </c>
      <c r="I331" s="30">
        <v>0</v>
      </c>
      <c r="J331" s="30">
        <v>0</v>
      </c>
      <c r="K331" s="30">
        <v>200</v>
      </c>
      <c r="L331" s="30">
        <v>200</v>
      </c>
      <c r="M331" s="30">
        <v>0</v>
      </c>
      <c r="N331" s="30">
        <f>Tabela1[[#This Row],[1QZ DE FEV 26]]-Tabela1[[#This Row],[SALDO PENDENTE]]-Tabela1[[#This Row],[SALDO CARTAO]]-Tabela1[[#This Row],[ADIANTAMENTO]]</f>
        <v>0</v>
      </c>
      <c r="O331" s="30">
        <v>0</v>
      </c>
      <c r="P331" s="39">
        <f>IF(Tabela1[[#This Row],[CARGA PARCIAL]]&lt;0,0,Tabela1[[#This Row],[CARGA PARCIAL]])+Tabela1[[#This Row],[REEMBOLSO]]</f>
        <v>0</v>
      </c>
      <c r="Q331" s="18" t="s">
        <v>27</v>
      </c>
      <c r="R331" s="18"/>
    </row>
    <row r="332" spans="2:18" hidden="1">
      <c r="B332" s="17" t="s">
        <v>838</v>
      </c>
      <c r="C332" s="17" t="s">
        <v>839</v>
      </c>
      <c r="D332" s="17" t="s">
        <v>23</v>
      </c>
      <c r="E332" s="17" t="s">
        <v>74</v>
      </c>
      <c r="F332" s="17">
        <v>11061770001</v>
      </c>
      <c r="G332" s="17" t="s">
        <v>71</v>
      </c>
      <c r="H332" s="17" t="s">
        <v>51</v>
      </c>
      <c r="I332" s="30">
        <v>0</v>
      </c>
      <c r="J332" s="30">
        <v>107.30999999999983</v>
      </c>
      <c r="K332" s="30">
        <v>200</v>
      </c>
      <c r="L332" s="30">
        <v>130.13999999999999</v>
      </c>
      <c r="M332" s="30">
        <v>0</v>
      </c>
      <c r="N332" s="30">
        <f>Tabela1[[#This Row],[1QZ DE FEV 26]]-Tabela1[[#This Row],[SALDO PENDENTE]]-Tabela1[[#This Row],[SALDO CARTAO]]-Tabela1[[#This Row],[ADIANTAMENTO]]</f>
        <v>-37.449999999999818</v>
      </c>
      <c r="O332" s="30">
        <v>0</v>
      </c>
      <c r="P332" s="39">
        <f>IF(Tabela1[[#This Row],[CARGA PARCIAL]]&lt;0,0,Tabela1[[#This Row],[CARGA PARCIAL]])+Tabela1[[#This Row],[REEMBOLSO]]</f>
        <v>0</v>
      </c>
      <c r="Q332" s="18" t="s">
        <v>27</v>
      </c>
      <c r="R332" s="18"/>
    </row>
    <row r="333" spans="2:18" hidden="1">
      <c r="B333" s="42" t="s">
        <v>840</v>
      </c>
      <c r="C333" s="22" t="s">
        <v>841</v>
      </c>
      <c r="D333" s="17" t="s">
        <v>23</v>
      </c>
      <c r="E333" s="17" t="s">
        <v>387</v>
      </c>
      <c r="F333" s="17">
        <v>11061980001</v>
      </c>
      <c r="G333" s="20" t="s">
        <v>71</v>
      </c>
      <c r="H333" s="17" t="s">
        <v>51</v>
      </c>
      <c r="I333" s="30">
        <v>0</v>
      </c>
      <c r="J333" s="30">
        <v>198.90000000000012</v>
      </c>
      <c r="K333" s="30">
        <v>200</v>
      </c>
      <c r="L333" s="30">
        <v>1.1000000000000001</v>
      </c>
      <c r="M333" s="30">
        <v>0</v>
      </c>
      <c r="N333" s="30">
        <f>Tabela1[[#This Row],[1QZ DE FEV 26]]-Tabela1[[#This Row],[SALDO PENDENTE]]-Tabela1[[#This Row],[SALDO CARTAO]]-Tabela1[[#This Row],[ADIANTAMENTO]]</f>
        <v>-1.1945999744966684E-13</v>
      </c>
      <c r="O333" s="30">
        <v>0</v>
      </c>
      <c r="P333" s="39">
        <f>IF(Tabela1[[#This Row],[CARGA PARCIAL]]&lt;0,0,Tabela1[[#This Row],[CARGA PARCIAL]])+Tabela1[[#This Row],[REEMBOLSO]]</f>
        <v>0</v>
      </c>
      <c r="Q333" s="18" t="s">
        <v>27</v>
      </c>
      <c r="R333" s="18"/>
    </row>
    <row r="334" spans="2:18" hidden="1">
      <c r="B334" s="42" t="s">
        <v>842</v>
      </c>
      <c r="C334" s="22" t="s">
        <v>843</v>
      </c>
      <c r="D334" s="17" t="s">
        <v>23</v>
      </c>
      <c r="E334" s="17" t="s">
        <v>331</v>
      </c>
      <c r="F334" s="17">
        <v>11061810001</v>
      </c>
      <c r="G334" s="20" t="s">
        <v>71</v>
      </c>
      <c r="H334" s="17" t="s">
        <v>51</v>
      </c>
      <c r="I334" s="30">
        <v>0</v>
      </c>
      <c r="J334" s="30">
        <v>671.02</v>
      </c>
      <c r="K334" s="30">
        <v>200</v>
      </c>
      <c r="L334" s="30">
        <v>14.98</v>
      </c>
      <c r="M334" s="30">
        <v>0</v>
      </c>
      <c r="N334" s="30">
        <f>Tabela1[[#This Row],[1QZ DE FEV 26]]-Tabela1[[#This Row],[SALDO PENDENTE]]-Tabela1[[#This Row],[SALDO CARTAO]]-Tabela1[[#This Row],[ADIANTAMENTO]]</f>
        <v>-486</v>
      </c>
      <c r="O334" s="30">
        <v>0</v>
      </c>
      <c r="P334" s="39">
        <f>IF(Tabela1[[#This Row],[CARGA PARCIAL]]&lt;0,0,Tabela1[[#This Row],[CARGA PARCIAL]])+Tabela1[[#This Row],[REEMBOLSO]]</f>
        <v>0</v>
      </c>
      <c r="Q334" s="18" t="s">
        <v>27</v>
      </c>
      <c r="R334" s="18"/>
    </row>
    <row r="335" spans="2:18" hidden="1">
      <c r="B335" s="42" t="s">
        <v>844</v>
      </c>
      <c r="C335" s="22" t="s">
        <v>845</v>
      </c>
      <c r="D335" s="17" t="s">
        <v>23</v>
      </c>
      <c r="E335" s="17" t="s">
        <v>222</v>
      </c>
      <c r="F335" s="17">
        <v>11062050001</v>
      </c>
      <c r="G335" s="20" t="s">
        <v>59</v>
      </c>
      <c r="H335" s="17" t="s">
        <v>51</v>
      </c>
      <c r="I335" s="30">
        <v>0</v>
      </c>
      <c r="J335" s="30">
        <v>0</v>
      </c>
      <c r="K335" s="30">
        <v>180</v>
      </c>
      <c r="L335" s="30">
        <v>184.01</v>
      </c>
      <c r="M335" s="30">
        <v>0</v>
      </c>
      <c r="N335" s="30">
        <f>Tabela1[[#This Row],[1QZ DE FEV 26]]-Tabela1[[#This Row],[SALDO PENDENTE]]-Tabela1[[#This Row],[SALDO CARTAO]]-Tabela1[[#This Row],[ADIANTAMENTO]]</f>
        <v>-4.0099999999999909</v>
      </c>
      <c r="O335" s="30">
        <v>0</v>
      </c>
      <c r="P335" s="39">
        <f>IF(Tabela1[[#This Row],[CARGA PARCIAL]]&lt;0,0,Tabela1[[#This Row],[CARGA PARCIAL]])+Tabela1[[#This Row],[REEMBOLSO]]</f>
        <v>0</v>
      </c>
      <c r="Q335" s="18" t="s">
        <v>145</v>
      </c>
      <c r="R335" s="18"/>
    </row>
    <row r="336" spans="2:18" hidden="1">
      <c r="B336" s="17" t="s">
        <v>846</v>
      </c>
      <c r="C336" s="17" t="s">
        <v>847</v>
      </c>
      <c r="D336" s="17" t="s">
        <v>23</v>
      </c>
      <c r="E336" s="17" t="s">
        <v>122</v>
      </c>
      <c r="F336" s="17">
        <v>11040130001</v>
      </c>
      <c r="G336" s="17" t="s">
        <v>59</v>
      </c>
      <c r="H336" s="17" t="s">
        <v>51</v>
      </c>
      <c r="I336" s="30">
        <v>0</v>
      </c>
      <c r="J336" s="30">
        <v>207.32999999999993</v>
      </c>
      <c r="K336" s="30">
        <v>160</v>
      </c>
      <c r="L336" s="30">
        <v>30</v>
      </c>
      <c r="M336" s="30">
        <v>0</v>
      </c>
      <c r="N336" s="30">
        <f>Tabela1[[#This Row],[1QZ DE FEV 26]]-Tabela1[[#This Row],[SALDO PENDENTE]]-Tabela1[[#This Row],[SALDO CARTAO]]-Tabela1[[#This Row],[ADIANTAMENTO]]</f>
        <v>-77.329999999999927</v>
      </c>
      <c r="O336" s="30">
        <v>0</v>
      </c>
      <c r="P336" s="39">
        <f>IF(Tabela1[[#This Row],[CARGA PARCIAL]]&lt;0,0,Tabela1[[#This Row],[CARGA PARCIAL]])+Tabela1[[#This Row],[REEMBOLSO]]</f>
        <v>0</v>
      </c>
      <c r="Q336" s="18" t="s">
        <v>27</v>
      </c>
      <c r="R336" s="18"/>
    </row>
    <row r="337" spans="2:18" hidden="1">
      <c r="B337" s="17" t="s">
        <v>848</v>
      </c>
      <c r="C337" s="17" t="s">
        <v>849</v>
      </c>
      <c r="D337" s="17" t="s">
        <v>23</v>
      </c>
      <c r="E337" s="17" t="s">
        <v>122</v>
      </c>
      <c r="F337" s="17">
        <v>11040130001</v>
      </c>
      <c r="G337" s="20" t="s">
        <v>59</v>
      </c>
      <c r="H337" s="17" t="s">
        <v>51</v>
      </c>
      <c r="I337" s="30">
        <v>0</v>
      </c>
      <c r="J337" s="30">
        <v>299.19999999999987</v>
      </c>
      <c r="K337" s="30">
        <v>160</v>
      </c>
      <c r="L337" s="30">
        <v>26.2</v>
      </c>
      <c r="M337" s="30">
        <v>0</v>
      </c>
      <c r="N337" s="30">
        <f>Tabela1[[#This Row],[1QZ DE FEV 26]]-Tabela1[[#This Row],[SALDO PENDENTE]]-Tabela1[[#This Row],[SALDO CARTAO]]-Tabela1[[#This Row],[ADIANTAMENTO]]</f>
        <v>-165.39999999999986</v>
      </c>
      <c r="O337" s="30">
        <v>0</v>
      </c>
      <c r="P337" s="39">
        <f>IF(Tabela1[[#This Row],[CARGA PARCIAL]]&lt;0,0,Tabela1[[#This Row],[CARGA PARCIAL]])+Tabela1[[#This Row],[REEMBOLSO]]</f>
        <v>0</v>
      </c>
      <c r="Q337" s="18" t="s">
        <v>27</v>
      </c>
      <c r="R337" s="18"/>
    </row>
    <row r="338" spans="2:18" hidden="1">
      <c r="B338" s="17" t="s">
        <v>850</v>
      </c>
      <c r="C338" s="17" t="s">
        <v>851</v>
      </c>
      <c r="D338" s="17" t="s">
        <v>23</v>
      </c>
      <c r="E338" s="17" t="s">
        <v>417</v>
      </c>
      <c r="F338" s="17">
        <v>11040140001</v>
      </c>
      <c r="G338" s="20" t="s">
        <v>59</v>
      </c>
      <c r="H338" s="17" t="s">
        <v>51</v>
      </c>
      <c r="I338" s="30">
        <v>0</v>
      </c>
      <c r="J338" s="30">
        <v>154.88</v>
      </c>
      <c r="K338" s="30">
        <v>150</v>
      </c>
      <c r="L338" s="30">
        <v>3</v>
      </c>
      <c r="M338" s="30">
        <v>0</v>
      </c>
      <c r="N338" s="30">
        <f>Tabela1[[#This Row],[1QZ DE FEV 26]]-Tabela1[[#This Row],[SALDO PENDENTE]]-Tabela1[[#This Row],[SALDO CARTAO]]-Tabela1[[#This Row],[ADIANTAMENTO]]</f>
        <v>-7.8799999999999955</v>
      </c>
      <c r="O338" s="30">
        <v>0</v>
      </c>
      <c r="P338" s="39">
        <f>IF(Tabela1[[#This Row],[CARGA PARCIAL]]&lt;0,0,Tabela1[[#This Row],[CARGA PARCIAL]])+Tabela1[[#This Row],[REEMBOLSO]]</f>
        <v>0</v>
      </c>
      <c r="Q338" s="18" t="s">
        <v>27</v>
      </c>
      <c r="R338" s="18"/>
    </row>
    <row r="339" spans="2:18" hidden="1">
      <c r="B339" s="42" t="s">
        <v>852</v>
      </c>
      <c r="C339" s="22" t="s">
        <v>853</v>
      </c>
      <c r="D339" s="17" t="s">
        <v>23</v>
      </c>
      <c r="E339" s="17" t="s">
        <v>854</v>
      </c>
      <c r="F339" s="17">
        <v>11010380001</v>
      </c>
      <c r="G339" s="20" t="s">
        <v>50</v>
      </c>
      <c r="H339" s="17" t="s">
        <v>51</v>
      </c>
      <c r="I339" s="30">
        <v>0</v>
      </c>
      <c r="J339" s="30">
        <v>90</v>
      </c>
      <c r="K339" s="30">
        <v>150</v>
      </c>
      <c r="L339" s="30">
        <v>60</v>
      </c>
      <c r="M339" s="30">
        <v>0</v>
      </c>
      <c r="N339" s="30">
        <f>Tabela1[[#This Row],[1QZ DE FEV 26]]-Tabela1[[#This Row],[SALDO PENDENTE]]-Tabela1[[#This Row],[SALDO CARTAO]]-Tabela1[[#This Row],[ADIANTAMENTO]]</f>
        <v>0</v>
      </c>
      <c r="O339" s="30">
        <v>0</v>
      </c>
      <c r="P339" s="39">
        <f>IF(Tabela1[[#This Row],[CARGA PARCIAL]]&lt;0,0,Tabela1[[#This Row],[CARGA PARCIAL]])+Tabela1[[#This Row],[REEMBOLSO]]</f>
        <v>0</v>
      </c>
      <c r="Q339" s="18" t="s">
        <v>27</v>
      </c>
      <c r="R339" s="18"/>
    </row>
    <row r="340" spans="2:18" hidden="1">
      <c r="B340" s="17" t="s">
        <v>855</v>
      </c>
      <c r="C340" s="17" t="s">
        <v>856</v>
      </c>
      <c r="D340" s="17" t="s">
        <v>23</v>
      </c>
      <c r="E340" s="17" t="s">
        <v>187</v>
      </c>
      <c r="F340" s="17">
        <v>11030570001</v>
      </c>
      <c r="G340" s="17" t="s">
        <v>71</v>
      </c>
      <c r="H340" s="17" t="s">
        <v>51</v>
      </c>
      <c r="I340" s="30">
        <v>0</v>
      </c>
      <c r="J340" s="30">
        <v>45.149999999999977</v>
      </c>
      <c r="K340" s="30">
        <v>125</v>
      </c>
      <c r="L340" s="30">
        <v>113.5</v>
      </c>
      <c r="M340" s="30">
        <v>0</v>
      </c>
      <c r="N340" s="30">
        <f>Tabela1[[#This Row],[1QZ DE FEV 26]]-Tabela1[[#This Row],[SALDO PENDENTE]]-Tabela1[[#This Row],[SALDO CARTAO]]-Tabela1[[#This Row],[ADIANTAMENTO]]</f>
        <v>-33.649999999999977</v>
      </c>
      <c r="O340" s="30">
        <v>0</v>
      </c>
      <c r="P340" s="39">
        <f>IF(Tabela1[[#This Row],[CARGA PARCIAL]]&lt;0,0,Tabela1[[#This Row],[CARGA PARCIAL]])+Tabela1[[#This Row],[REEMBOLSO]]</f>
        <v>0</v>
      </c>
      <c r="Q340" s="18" t="s">
        <v>27</v>
      </c>
      <c r="R340" s="18"/>
    </row>
    <row r="341" spans="2:18" hidden="1">
      <c r="B341" s="17" t="s">
        <v>857</v>
      </c>
      <c r="C341" s="17" t="s">
        <v>858</v>
      </c>
      <c r="D341" s="17" t="s">
        <v>23</v>
      </c>
      <c r="E341" s="17" t="s">
        <v>122</v>
      </c>
      <c r="F341" s="17">
        <v>11040130001</v>
      </c>
      <c r="G341" s="17" t="s">
        <v>59</v>
      </c>
      <c r="H341" s="17" t="s">
        <v>51</v>
      </c>
      <c r="I341" s="30">
        <v>0</v>
      </c>
      <c r="J341" s="30">
        <v>520.74999999999989</v>
      </c>
      <c r="K341" s="30">
        <v>120</v>
      </c>
      <c r="L341" s="30">
        <v>0</v>
      </c>
      <c r="M341" s="30">
        <v>0</v>
      </c>
      <c r="N341" s="30">
        <f>Tabela1[[#This Row],[1QZ DE FEV 26]]-Tabela1[[#This Row],[SALDO PENDENTE]]-Tabela1[[#This Row],[SALDO CARTAO]]-Tabela1[[#This Row],[ADIANTAMENTO]]</f>
        <v>-400.74999999999989</v>
      </c>
      <c r="O341" s="30">
        <v>0</v>
      </c>
      <c r="P341" s="39">
        <f>IF(Tabela1[[#This Row],[CARGA PARCIAL]]&lt;0,0,Tabela1[[#This Row],[CARGA PARCIAL]])+Tabela1[[#This Row],[REEMBOLSO]]</f>
        <v>0</v>
      </c>
      <c r="Q341" s="18" t="s">
        <v>27</v>
      </c>
      <c r="R341" s="18"/>
    </row>
    <row r="342" spans="2:18" hidden="1">
      <c r="B342" s="41" t="s">
        <v>859</v>
      </c>
      <c r="C342" s="22" t="s">
        <v>860</v>
      </c>
      <c r="D342" s="17" t="s">
        <v>23</v>
      </c>
      <c r="E342" s="17" t="s">
        <v>122</v>
      </c>
      <c r="F342" s="17">
        <v>11040130001</v>
      </c>
      <c r="G342" s="20" t="s">
        <v>59</v>
      </c>
      <c r="H342" s="17" t="s">
        <v>51</v>
      </c>
      <c r="I342" s="30">
        <v>0</v>
      </c>
      <c r="J342" s="30">
        <v>426.84000000000015</v>
      </c>
      <c r="K342" s="30">
        <v>120</v>
      </c>
      <c r="L342" s="30">
        <v>0.16</v>
      </c>
      <c r="M342" s="30">
        <v>0</v>
      </c>
      <c r="N342" s="30">
        <f>Tabela1[[#This Row],[1QZ DE FEV 26]]-Tabela1[[#This Row],[SALDO PENDENTE]]-Tabela1[[#This Row],[SALDO CARTAO]]-Tabela1[[#This Row],[ADIANTAMENTO]]</f>
        <v>-307.00000000000017</v>
      </c>
      <c r="O342" s="30">
        <v>0</v>
      </c>
      <c r="P342" s="39">
        <f>IF(Tabela1[[#This Row],[CARGA PARCIAL]]&lt;0,0,Tabela1[[#This Row],[CARGA PARCIAL]])+Tabela1[[#This Row],[REEMBOLSO]]</f>
        <v>0</v>
      </c>
      <c r="Q342" s="18" t="s">
        <v>27</v>
      </c>
      <c r="R342" s="18"/>
    </row>
    <row r="343" spans="2:18" hidden="1">
      <c r="B343" s="17" t="s">
        <v>861</v>
      </c>
      <c r="C343" s="17" t="s">
        <v>862</v>
      </c>
      <c r="D343" s="17" t="s">
        <v>23</v>
      </c>
      <c r="E343" s="17" t="s">
        <v>331</v>
      </c>
      <c r="F343" s="17">
        <v>11061810001</v>
      </c>
      <c r="G343" s="20" t="s">
        <v>71</v>
      </c>
      <c r="H343" s="17" t="s">
        <v>51</v>
      </c>
      <c r="I343" s="30">
        <v>0</v>
      </c>
      <c r="J343" s="30">
        <v>906</v>
      </c>
      <c r="K343" s="30">
        <v>120</v>
      </c>
      <c r="L343" s="30">
        <v>0</v>
      </c>
      <c r="M343" s="30">
        <v>0</v>
      </c>
      <c r="N343" s="30">
        <f>Tabela1[[#This Row],[1QZ DE FEV 26]]-Tabela1[[#This Row],[SALDO PENDENTE]]-Tabela1[[#This Row],[SALDO CARTAO]]-Tabela1[[#This Row],[ADIANTAMENTO]]</f>
        <v>-786</v>
      </c>
      <c r="O343" s="30">
        <v>0</v>
      </c>
      <c r="P343" s="39">
        <f>IF(Tabela1[[#This Row],[CARGA PARCIAL]]&lt;0,0,Tabela1[[#This Row],[CARGA PARCIAL]])+Tabela1[[#This Row],[REEMBOLSO]]</f>
        <v>0</v>
      </c>
      <c r="Q343" s="18" t="s">
        <v>27</v>
      </c>
      <c r="R343" s="18"/>
    </row>
    <row r="344" spans="2:18" hidden="1">
      <c r="B344" s="17" t="s">
        <v>863</v>
      </c>
      <c r="C344" s="17" t="s">
        <v>864</v>
      </c>
      <c r="D344" s="17" t="s">
        <v>23</v>
      </c>
      <c r="E344" s="17" t="s">
        <v>122</v>
      </c>
      <c r="F344" s="17">
        <v>11040130001</v>
      </c>
      <c r="G344" s="20" t="s">
        <v>59</v>
      </c>
      <c r="H344" s="17" t="s">
        <v>51</v>
      </c>
      <c r="I344" s="30">
        <v>0</v>
      </c>
      <c r="J344" s="30">
        <v>500.53999999999996</v>
      </c>
      <c r="K344" s="30">
        <v>120</v>
      </c>
      <c r="L344" s="30">
        <v>33.5</v>
      </c>
      <c r="M344" s="30">
        <v>0</v>
      </c>
      <c r="N344" s="30">
        <f>Tabela1[[#This Row],[1QZ DE FEV 26]]-Tabela1[[#This Row],[SALDO PENDENTE]]-Tabela1[[#This Row],[SALDO CARTAO]]-Tabela1[[#This Row],[ADIANTAMENTO]]</f>
        <v>-414.03999999999996</v>
      </c>
      <c r="O344" s="30">
        <v>0</v>
      </c>
      <c r="P344" s="39">
        <f>IF(Tabela1[[#This Row],[CARGA PARCIAL]]&lt;0,0,Tabela1[[#This Row],[CARGA PARCIAL]])+Tabela1[[#This Row],[REEMBOLSO]]</f>
        <v>0</v>
      </c>
      <c r="Q344" s="18" t="s">
        <v>27</v>
      </c>
      <c r="R344" s="18"/>
    </row>
    <row r="345" spans="2:18" hidden="1">
      <c r="B345" s="42" t="s">
        <v>865</v>
      </c>
      <c r="C345" s="22" t="s">
        <v>866</v>
      </c>
      <c r="D345" s="17" t="s">
        <v>23</v>
      </c>
      <c r="E345" s="17" t="s">
        <v>122</v>
      </c>
      <c r="F345" s="17">
        <v>11040130001</v>
      </c>
      <c r="G345" s="20" t="s">
        <v>59</v>
      </c>
      <c r="H345" s="17" t="s">
        <v>51</v>
      </c>
      <c r="I345" s="30">
        <v>0</v>
      </c>
      <c r="J345" s="30">
        <v>161.48999999999955</v>
      </c>
      <c r="K345" s="30">
        <v>120</v>
      </c>
      <c r="L345" s="30">
        <v>0.01</v>
      </c>
      <c r="M345" s="30">
        <v>0</v>
      </c>
      <c r="N345" s="30">
        <f>Tabela1[[#This Row],[1QZ DE FEV 26]]-Tabela1[[#This Row],[SALDO PENDENTE]]-Tabela1[[#This Row],[SALDO CARTAO]]-Tabela1[[#This Row],[ADIANTAMENTO]]</f>
        <v>-41.499999999999552</v>
      </c>
      <c r="O345" s="30">
        <v>0</v>
      </c>
      <c r="P345" s="39">
        <f>IF(Tabela1[[#This Row],[CARGA PARCIAL]]&lt;0,0,Tabela1[[#This Row],[CARGA PARCIAL]])+Tabela1[[#This Row],[REEMBOLSO]]</f>
        <v>0</v>
      </c>
      <c r="Q345" s="18" t="s">
        <v>27</v>
      </c>
      <c r="R345" s="18"/>
    </row>
    <row r="346" spans="2:18" hidden="1">
      <c r="B346" s="42" t="s">
        <v>867</v>
      </c>
      <c r="C346" s="22" t="s">
        <v>868</v>
      </c>
      <c r="D346" s="17" t="s">
        <v>23</v>
      </c>
      <c r="E346" s="17" t="s">
        <v>122</v>
      </c>
      <c r="F346" s="17">
        <v>11040130001</v>
      </c>
      <c r="G346" s="20" t="s">
        <v>59</v>
      </c>
      <c r="H346" s="17" t="s">
        <v>51</v>
      </c>
      <c r="I346" s="30">
        <v>0</v>
      </c>
      <c r="J346" s="30">
        <v>234.94</v>
      </c>
      <c r="K346" s="30">
        <v>120</v>
      </c>
      <c r="L346" s="30">
        <v>0.06</v>
      </c>
      <c r="M346" s="30">
        <v>0</v>
      </c>
      <c r="N346" s="30">
        <f>Tabela1[[#This Row],[1QZ DE FEV 26]]-Tabela1[[#This Row],[SALDO PENDENTE]]-Tabela1[[#This Row],[SALDO CARTAO]]-Tabela1[[#This Row],[ADIANTAMENTO]]</f>
        <v>-115</v>
      </c>
      <c r="O346" s="30">
        <v>0</v>
      </c>
      <c r="P346" s="39">
        <f>IF(Tabela1[[#This Row],[CARGA PARCIAL]]&lt;0,0,Tabela1[[#This Row],[CARGA PARCIAL]])+Tabela1[[#This Row],[REEMBOLSO]]</f>
        <v>0</v>
      </c>
      <c r="Q346" s="18" t="s">
        <v>27</v>
      </c>
      <c r="R346" s="18"/>
    </row>
    <row r="347" spans="2:18" hidden="1">
      <c r="B347" s="42" t="s">
        <v>869</v>
      </c>
      <c r="C347" s="22" t="s">
        <v>870</v>
      </c>
      <c r="D347" s="17" t="s">
        <v>23</v>
      </c>
      <c r="E347" s="17" t="s">
        <v>122</v>
      </c>
      <c r="F347" s="17">
        <v>11040130001</v>
      </c>
      <c r="G347" s="20" t="s">
        <v>59</v>
      </c>
      <c r="H347" s="17" t="s">
        <v>51</v>
      </c>
      <c r="I347" s="30">
        <v>0</v>
      </c>
      <c r="J347" s="30">
        <v>171.40000000000012</v>
      </c>
      <c r="K347" s="30">
        <v>120</v>
      </c>
      <c r="L347" s="30">
        <v>0.6</v>
      </c>
      <c r="M347" s="30">
        <v>0</v>
      </c>
      <c r="N347" s="30">
        <f>Tabela1[[#This Row],[1QZ DE FEV 26]]-Tabela1[[#This Row],[SALDO PENDENTE]]-Tabela1[[#This Row],[SALDO CARTAO]]-Tabela1[[#This Row],[ADIANTAMENTO]]</f>
        <v>-52.000000000000121</v>
      </c>
      <c r="O347" s="30">
        <v>0</v>
      </c>
      <c r="P347" s="39">
        <f>IF(Tabela1[[#This Row],[CARGA PARCIAL]]&lt;0,0,Tabela1[[#This Row],[CARGA PARCIAL]])+Tabela1[[#This Row],[REEMBOLSO]]</f>
        <v>0</v>
      </c>
      <c r="Q347" s="18" t="s">
        <v>27</v>
      </c>
      <c r="R347" s="18"/>
    </row>
    <row r="348" spans="2:18" hidden="1">
      <c r="B348" s="17" t="s">
        <v>871</v>
      </c>
      <c r="C348" s="17" t="s">
        <v>872</v>
      </c>
      <c r="D348" s="17" t="s">
        <v>23</v>
      </c>
      <c r="E348" s="17" t="s">
        <v>417</v>
      </c>
      <c r="F348" s="17">
        <v>11040140001</v>
      </c>
      <c r="G348" s="17" t="s">
        <v>59</v>
      </c>
      <c r="H348" s="17" t="s">
        <v>51</v>
      </c>
      <c r="I348" s="30">
        <v>0</v>
      </c>
      <c r="J348" s="30">
        <v>70</v>
      </c>
      <c r="K348" s="30">
        <v>100</v>
      </c>
      <c r="L348" s="30">
        <v>60</v>
      </c>
      <c r="M348" s="30">
        <v>0</v>
      </c>
      <c r="N348" s="30">
        <f>Tabela1[[#This Row],[1QZ DE FEV 26]]-Tabela1[[#This Row],[SALDO PENDENTE]]-Tabela1[[#This Row],[SALDO CARTAO]]-Tabela1[[#This Row],[ADIANTAMENTO]]</f>
        <v>-30</v>
      </c>
      <c r="O348" s="30">
        <v>0</v>
      </c>
      <c r="P348" s="39">
        <f>IF(Tabela1[[#This Row],[CARGA PARCIAL]]&lt;0,0,Tabela1[[#This Row],[CARGA PARCIAL]])+Tabela1[[#This Row],[REEMBOLSO]]</f>
        <v>0</v>
      </c>
      <c r="Q348" s="18" t="s">
        <v>27</v>
      </c>
      <c r="R348" s="18"/>
    </row>
    <row r="349" spans="2:18" hidden="1">
      <c r="B349" s="17" t="s">
        <v>873</v>
      </c>
      <c r="C349" s="17" t="s">
        <v>874</v>
      </c>
      <c r="D349" s="17" t="s">
        <v>23</v>
      </c>
      <c r="E349" s="17" t="s">
        <v>331</v>
      </c>
      <c r="F349" s="17">
        <v>11061810001</v>
      </c>
      <c r="G349" s="20" t="s">
        <v>71</v>
      </c>
      <c r="H349" s="17" t="s">
        <v>51</v>
      </c>
      <c r="I349" s="30">
        <v>0</v>
      </c>
      <c r="J349" s="30">
        <v>0</v>
      </c>
      <c r="K349" s="30">
        <v>100</v>
      </c>
      <c r="L349" s="30">
        <v>100</v>
      </c>
      <c r="M349" s="30">
        <v>0</v>
      </c>
      <c r="N349" s="30">
        <f>Tabela1[[#This Row],[1QZ DE FEV 26]]-Tabela1[[#This Row],[SALDO PENDENTE]]-Tabela1[[#This Row],[SALDO CARTAO]]-Tabela1[[#This Row],[ADIANTAMENTO]]</f>
        <v>0</v>
      </c>
      <c r="O349" s="30">
        <v>0</v>
      </c>
      <c r="P349" s="39">
        <f>IF(Tabela1[[#This Row],[CARGA PARCIAL]]&lt;0,0,Tabela1[[#This Row],[CARGA PARCIAL]])+Tabela1[[#This Row],[REEMBOLSO]]</f>
        <v>0</v>
      </c>
      <c r="Q349" s="18" t="s">
        <v>27</v>
      </c>
      <c r="R349" s="18"/>
    </row>
    <row r="350" spans="2:18" hidden="1">
      <c r="B350" s="17" t="s">
        <v>875</v>
      </c>
      <c r="C350" s="17" t="s">
        <v>876</v>
      </c>
      <c r="D350" s="17" t="s">
        <v>23</v>
      </c>
      <c r="E350" s="17" t="s">
        <v>417</v>
      </c>
      <c r="F350" s="17">
        <v>11040140001</v>
      </c>
      <c r="G350" s="17" t="s">
        <v>59</v>
      </c>
      <c r="H350" s="17" t="s">
        <v>51</v>
      </c>
      <c r="I350" s="30">
        <v>0</v>
      </c>
      <c r="J350" s="30">
        <v>105.59999999999998</v>
      </c>
      <c r="K350" s="30">
        <v>100</v>
      </c>
      <c r="L350" s="30">
        <v>18.8</v>
      </c>
      <c r="M350" s="30">
        <v>0</v>
      </c>
      <c r="N350" s="30">
        <f>Tabela1[[#This Row],[1QZ DE FEV 26]]-Tabela1[[#This Row],[SALDO PENDENTE]]-Tabela1[[#This Row],[SALDO CARTAO]]-Tabela1[[#This Row],[ADIANTAMENTO]]</f>
        <v>-24.399999999999981</v>
      </c>
      <c r="O350" s="30">
        <v>0</v>
      </c>
      <c r="P350" s="39">
        <f>IF(Tabela1[[#This Row],[CARGA PARCIAL]]&lt;0,0,Tabela1[[#This Row],[CARGA PARCIAL]])+Tabela1[[#This Row],[REEMBOLSO]]</f>
        <v>0</v>
      </c>
      <c r="Q350" s="18" t="s">
        <v>27</v>
      </c>
      <c r="R350" s="18"/>
    </row>
    <row r="351" spans="2:18" hidden="1">
      <c r="B351" s="42" t="s">
        <v>877</v>
      </c>
      <c r="C351" s="22" t="s">
        <v>878</v>
      </c>
      <c r="D351" s="17" t="s">
        <v>23</v>
      </c>
      <c r="E351" s="17" t="s">
        <v>417</v>
      </c>
      <c r="F351" s="17">
        <v>11040140001</v>
      </c>
      <c r="G351" s="20" t="s">
        <v>59</v>
      </c>
      <c r="H351" s="17" t="s">
        <v>51</v>
      </c>
      <c r="I351" s="30">
        <v>0</v>
      </c>
      <c r="J351" s="30">
        <v>0</v>
      </c>
      <c r="K351" s="30">
        <v>100</v>
      </c>
      <c r="L351" s="30">
        <v>182.6</v>
      </c>
      <c r="M351" s="30">
        <v>0</v>
      </c>
      <c r="N351" s="30">
        <f>Tabela1[[#This Row],[1QZ DE FEV 26]]-Tabela1[[#This Row],[SALDO PENDENTE]]-Tabela1[[#This Row],[SALDO CARTAO]]-Tabela1[[#This Row],[ADIANTAMENTO]]</f>
        <v>-82.6</v>
      </c>
      <c r="O351" s="30">
        <v>0</v>
      </c>
      <c r="P351" s="39">
        <f>IF(Tabela1[[#This Row],[CARGA PARCIAL]]&lt;0,0,Tabela1[[#This Row],[CARGA PARCIAL]])+Tabela1[[#This Row],[REEMBOLSO]]</f>
        <v>0</v>
      </c>
      <c r="Q351" s="18" t="s">
        <v>145</v>
      </c>
      <c r="R351" s="18"/>
    </row>
    <row r="352" spans="2:18" hidden="1">
      <c r="B352" s="42" t="s">
        <v>879</v>
      </c>
      <c r="C352" s="22" t="s">
        <v>880</v>
      </c>
      <c r="D352" s="17" t="s">
        <v>23</v>
      </c>
      <c r="E352" s="17" t="s">
        <v>417</v>
      </c>
      <c r="F352" s="17">
        <v>11040140001</v>
      </c>
      <c r="G352" s="20" t="s">
        <v>59</v>
      </c>
      <c r="H352" s="17" t="s">
        <v>51</v>
      </c>
      <c r="I352" s="30">
        <v>0</v>
      </c>
      <c r="J352" s="30">
        <v>70.63</v>
      </c>
      <c r="K352" s="30">
        <v>100</v>
      </c>
      <c r="L352" s="30">
        <v>50</v>
      </c>
      <c r="M352" s="30">
        <v>0</v>
      </c>
      <c r="N352" s="30">
        <f>Tabela1[[#This Row],[1QZ DE FEV 26]]-Tabela1[[#This Row],[SALDO PENDENTE]]-Tabela1[[#This Row],[SALDO CARTAO]]-Tabela1[[#This Row],[ADIANTAMENTO]]</f>
        <v>-20.629999999999995</v>
      </c>
      <c r="O352" s="30">
        <v>0</v>
      </c>
      <c r="P352" s="39">
        <f>IF(Tabela1[[#This Row],[CARGA PARCIAL]]&lt;0,0,Tabela1[[#This Row],[CARGA PARCIAL]])+Tabela1[[#This Row],[REEMBOLSO]]</f>
        <v>0</v>
      </c>
      <c r="Q352" s="18" t="s">
        <v>27</v>
      </c>
      <c r="R352" s="18"/>
    </row>
    <row r="353" spans="2:18" hidden="1">
      <c r="B353" s="42" t="s">
        <v>881</v>
      </c>
      <c r="C353" s="22" t="s">
        <v>882</v>
      </c>
      <c r="D353" s="17" t="s">
        <v>23</v>
      </c>
      <c r="E353" s="17" t="s">
        <v>417</v>
      </c>
      <c r="F353" s="17">
        <v>11040140001</v>
      </c>
      <c r="G353" s="20" t="s">
        <v>59</v>
      </c>
      <c r="H353" s="17" t="s">
        <v>51</v>
      </c>
      <c r="I353" s="30">
        <v>0</v>
      </c>
      <c r="J353" s="30">
        <v>100</v>
      </c>
      <c r="K353" s="30">
        <v>100</v>
      </c>
      <c r="L353" s="30">
        <v>0</v>
      </c>
      <c r="M353" s="30">
        <v>0</v>
      </c>
      <c r="N353" s="30">
        <f>Tabela1[[#This Row],[1QZ DE FEV 26]]-Tabela1[[#This Row],[SALDO PENDENTE]]-Tabela1[[#This Row],[SALDO CARTAO]]-Tabela1[[#This Row],[ADIANTAMENTO]]</f>
        <v>0</v>
      </c>
      <c r="O353" s="30">
        <v>0</v>
      </c>
      <c r="P353" s="39">
        <f>IF(Tabela1[[#This Row],[CARGA PARCIAL]]&lt;0,0,Tabela1[[#This Row],[CARGA PARCIAL]])+Tabela1[[#This Row],[REEMBOLSO]]</f>
        <v>0</v>
      </c>
      <c r="Q353" s="18" t="s">
        <v>27</v>
      </c>
      <c r="R353" s="18"/>
    </row>
    <row r="354" spans="2:18" hidden="1">
      <c r="B354" s="42" t="s">
        <v>883</v>
      </c>
      <c r="C354" s="22" t="s">
        <v>884</v>
      </c>
      <c r="D354" s="17" t="s">
        <v>23</v>
      </c>
      <c r="E354" s="17" t="s">
        <v>417</v>
      </c>
      <c r="F354" s="17">
        <v>11040140001</v>
      </c>
      <c r="G354" s="20" t="s">
        <v>59</v>
      </c>
      <c r="H354" s="17" t="s">
        <v>51</v>
      </c>
      <c r="I354" s="30">
        <v>0</v>
      </c>
      <c r="J354" s="30">
        <v>18</v>
      </c>
      <c r="K354" s="30">
        <v>100</v>
      </c>
      <c r="L354" s="30">
        <v>265.39999999999998</v>
      </c>
      <c r="M354" s="30">
        <v>0</v>
      </c>
      <c r="N354" s="30">
        <f>Tabela1[[#This Row],[1QZ DE FEV 26]]-Tabela1[[#This Row],[SALDO PENDENTE]]-Tabela1[[#This Row],[SALDO CARTAO]]-Tabela1[[#This Row],[ADIANTAMENTO]]</f>
        <v>-183.39999999999998</v>
      </c>
      <c r="O354" s="30">
        <v>0</v>
      </c>
      <c r="P354" s="39">
        <f>IF(Tabela1[[#This Row],[CARGA PARCIAL]]&lt;0,0,Tabela1[[#This Row],[CARGA PARCIAL]])+Tabela1[[#This Row],[REEMBOLSO]]</f>
        <v>0</v>
      </c>
      <c r="Q354" s="18" t="s">
        <v>27</v>
      </c>
      <c r="R354" s="18"/>
    </row>
    <row r="355" spans="2:18" hidden="1">
      <c r="B355" s="42" t="s">
        <v>885</v>
      </c>
      <c r="C355" s="22" t="s">
        <v>886</v>
      </c>
      <c r="D355" s="17" t="s">
        <v>23</v>
      </c>
      <c r="E355" s="17" t="s">
        <v>417</v>
      </c>
      <c r="F355" s="17">
        <v>11040140001</v>
      </c>
      <c r="G355" s="20" t="s">
        <v>59</v>
      </c>
      <c r="H355" s="17" t="s">
        <v>51</v>
      </c>
      <c r="I355" s="30">
        <v>0</v>
      </c>
      <c r="J355" s="30">
        <v>0</v>
      </c>
      <c r="K355" s="31">
        <v>100</v>
      </c>
      <c r="L355" s="30">
        <v>100</v>
      </c>
      <c r="M355" s="30">
        <v>0</v>
      </c>
      <c r="N355" s="38">
        <f>Tabela1[[#This Row],[1QZ DE FEV 26]]-Tabela1[[#This Row],[SALDO PENDENTE]]-Tabela1[[#This Row],[SALDO CARTAO]]-Tabela1[[#This Row],[ADIANTAMENTO]]</f>
        <v>0</v>
      </c>
      <c r="O355" s="38">
        <v>0</v>
      </c>
      <c r="P355" s="39">
        <f>IF(Tabela1[[#This Row],[CARGA PARCIAL]]&lt;0,0,Tabela1[[#This Row],[CARGA PARCIAL]])+Tabela1[[#This Row],[REEMBOLSO]]</f>
        <v>0</v>
      </c>
      <c r="Q355" s="40" t="s">
        <v>27</v>
      </c>
      <c r="R355" s="18"/>
    </row>
    <row r="356" spans="2:18" hidden="1">
      <c r="B356" s="19" t="s">
        <v>887</v>
      </c>
      <c r="C356" s="19" t="s">
        <v>888</v>
      </c>
      <c r="D356" s="19" t="s">
        <v>23</v>
      </c>
      <c r="E356" s="19" t="s">
        <v>417</v>
      </c>
      <c r="F356" s="19">
        <v>11040140001</v>
      </c>
      <c r="G356" s="19" t="s">
        <v>59</v>
      </c>
      <c r="H356" s="19" t="s">
        <v>51</v>
      </c>
      <c r="I356" s="30">
        <v>0</v>
      </c>
      <c r="J356" s="30">
        <v>79.289999999999992</v>
      </c>
      <c r="K356" s="31">
        <v>50</v>
      </c>
      <c r="L356" s="30">
        <v>33</v>
      </c>
      <c r="M356" s="31">
        <v>0</v>
      </c>
      <c r="N356" s="49">
        <f>Tabela1[[#This Row],[1QZ DE FEV 26]]-Tabela1[[#This Row],[SALDO PENDENTE]]-Tabela1[[#This Row],[SALDO CARTAO]]-Tabela1[[#This Row],[ADIANTAMENTO]]</f>
        <v>-62.289999999999992</v>
      </c>
      <c r="O356" s="49">
        <v>0</v>
      </c>
      <c r="P356" s="50">
        <f>IF(Tabela1[[#This Row],[CARGA PARCIAL]]&lt;0,0,Tabela1[[#This Row],[CARGA PARCIAL]])+Tabela1[[#This Row],[REEMBOLSO]]</f>
        <v>0</v>
      </c>
      <c r="Q356" s="44" t="s">
        <v>27</v>
      </c>
      <c r="R356" s="29"/>
    </row>
    <row r="357" spans="2:18" hidden="1">
      <c r="B357" s="42" t="s">
        <v>889</v>
      </c>
      <c r="C357" s="22" t="s">
        <v>890</v>
      </c>
      <c r="D357" s="17" t="s">
        <v>23</v>
      </c>
      <c r="E357" s="17" t="s">
        <v>417</v>
      </c>
      <c r="F357" s="17">
        <v>11040140001</v>
      </c>
      <c r="G357" s="20" t="s">
        <v>59</v>
      </c>
      <c r="H357" s="17" t="s">
        <v>51</v>
      </c>
      <c r="I357" s="30">
        <v>0</v>
      </c>
      <c r="J357" s="30">
        <v>0</v>
      </c>
      <c r="K357" s="30">
        <v>50</v>
      </c>
      <c r="L357" s="30">
        <v>100</v>
      </c>
      <c r="M357" s="30">
        <v>0</v>
      </c>
      <c r="N357" s="30">
        <f>Tabela1[[#This Row],[1QZ DE FEV 26]]-Tabela1[[#This Row],[SALDO PENDENTE]]-Tabela1[[#This Row],[SALDO CARTAO]]-Tabela1[[#This Row],[ADIANTAMENTO]]</f>
        <v>-50</v>
      </c>
      <c r="O357" s="30">
        <v>0</v>
      </c>
      <c r="P357" s="39">
        <f>IF(Tabela1[[#This Row],[CARGA PARCIAL]]&lt;0,0,Tabela1[[#This Row],[CARGA PARCIAL]])+Tabela1[[#This Row],[REEMBOLSO]]</f>
        <v>0</v>
      </c>
      <c r="Q357" s="18" t="s">
        <v>27</v>
      </c>
      <c r="R357" s="18"/>
    </row>
    <row r="358" spans="2:18" hidden="1">
      <c r="B358" s="51" t="s">
        <v>891</v>
      </c>
      <c r="C358" s="47" t="s">
        <v>892</v>
      </c>
      <c r="D358" s="19" t="s">
        <v>23</v>
      </c>
      <c r="E358" s="19" t="s">
        <v>417</v>
      </c>
      <c r="F358" s="19">
        <v>11040140001</v>
      </c>
      <c r="G358" s="27" t="s">
        <v>59</v>
      </c>
      <c r="H358" s="19" t="s">
        <v>51</v>
      </c>
      <c r="I358" s="30">
        <v>0</v>
      </c>
      <c r="J358" s="30">
        <v>7.4000000000000057</v>
      </c>
      <c r="K358" s="31">
        <v>50</v>
      </c>
      <c r="L358" s="30">
        <v>100</v>
      </c>
      <c r="M358" s="31">
        <v>0</v>
      </c>
      <c r="N358" s="49">
        <f>Tabela1[[#This Row],[1QZ DE FEV 26]]-Tabela1[[#This Row],[SALDO PENDENTE]]-Tabela1[[#This Row],[SALDO CARTAO]]-Tabela1[[#This Row],[ADIANTAMENTO]]</f>
        <v>-57.400000000000006</v>
      </c>
      <c r="O358" s="49">
        <v>0</v>
      </c>
      <c r="P358" s="50">
        <f>IF(Tabela1[[#This Row],[CARGA PARCIAL]]&lt;0,0,Tabela1[[#This Row],[CARGA PARCIAL]])+Tabela1[[#This Row],[REEMBOLSO]]</f>
        <v>0</v>
      </c>
      <c r="Q358" s="44" t="s">
        <v>27</v>
      </c>
      <c r="R358" s="29"/>
    </row>
    <row r="359" spans="2:18" hidden="1">
      <c r="B359" s="42" t="s">
        <v>893</v>
      </c>
      <c r="C359" s="22" t="s">
        <v>894</v>
      </c>
      <c r="D359" s="17" t="s">
        <v>23</v>
      </c>
      <c r="E359" s="17" t="s">
        <v>417</v>
      </c>
      <c r="F359" s="17">
        <v>11040140001</v>
      </c>
      <c r="G359" s="20" t="s">
        <v>59</v>
      </c>
      <c r="H359" s="17" t="s">
        <v>51</v>
      </c>
      <c r="I359" s="30">
        <v>0</v>
      </c>
      <c r="J359" s="30">
        <v>49.389999999999887</v>
      </c>
      <c r="K359" s="30">
        <v>50</v>
      </c>
      <c r="L359" s="30">
        <v>33.11</v>
      </c>
      <c r="M359" s="30">
        <v>0</v>
      </c>
      <c r="N359" s="30">
        <f>Tabela1[[#This Row],[1QZ DE FEV 26]]-Tabela1[[#This Row],[SALDO PENDENTE]]-Tabela1[[#This Row],[SALDO CARTAO]]-Tabela1[[#This Row],[ADIANTAMENTO]]</f>
        <v>-32.499999999999886</v>
      </c>
      <c r="O359" s="30">
        <v>0</v>
      </c>
      <c r="P359" s="39">
        <f>IF(Tabela1[[#This Row],[CARGA PARCIAL]]&lt;0,0,Tabela1[[#This Row],[CARGA PARCIAL]])+Tabela1[[#This Row],[REEMBOLSO]]</f>
        <v>0</v>
      </c>
      <c r="Q359" s="18" t="s">
        <v>27</v>
      </c>
      <c r="R359" s="18"/>
    </row>
    <row r="360" spans="2:18" hidden="1">
      <c r="B360" s="17" t="s">
        <v>895</v>
      </c>
      <c r="C360" s="17" t="s">
        <v>896</v>
      </c>
      <c r="D360" s="17" t="s">
        <v>23</v>
      </c>
      <c r="E360" s="17" t="s">
        <v>897</v>
      </c>
      <c r="F360" s="17">
        <v>1001003</v>
      </c>
      <c r="G360" s="17" t="s">
        <v>898</v>
      </c>
      <c r="H360" s="17" t="s">
        <v>899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f>Tabela1[[#This Row],[1QZ DE FEV 26]]-Tabela1[[#This Row],[SALDO PENDENTE]]-Tabela1[[#This Row],[SALDO CARTAO]]-Tabela1[[#This Row],[ADIANTAMENTO]]</f>
        <v>0</v>
      </c>
      <c r="O360" s="30">
        <v>0</v>
      </c>
      <c r="P360" s="39">
        <f>IF(Tabela1[[#This Row],[CARGA PARCIAL]]&lt;0,0,Tabela1[[#This Row],[CARGA PARCIAL]])+Tabela1[[#This Row],[REEMBOLSO]]</f>
        <v>0</v>
      </c>
      <c r="Q360" s="18" t="s">
        <v>184</v>
      </c>
      <c r="R360" s="18"/>
    </row>
    <row r="361" spans="2:18" hidden="1">
      <c r="B361" s="17" t="s">
        <v>900</v>
      </c>
      <c r="C361" s="17" t="s">
        <v>901</v>
      </c>
      <c r="D361" s="17" t="s">
        <v>23</v>
      </c>
      <c r="E361" s="17" t="s">
        <v>141</v>
      </c>
      <c r="F361" s="17">
        <v>11061490001</v>
      </c>
      <c r="G361" s="17" t="s">
        <v>25</v>
      </c>
      <c r="H361" s="17" t="s">
        <v>26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f>Tabela1[[#This Row],[1QZ DE FEV 26]]-Tabela1[[#This Row],[SALDO PENDENTE]]-Tabela1[[#This Row],[SALDO CARTAO]]-Tabela1[[#This Row],[ADIANTAMENTO]]</f>
        <v>0</v>
      </c>
      <c r="O361" s="30">
        <v>0</v>
      </c>
      <c r="P361" s="39">
        <f>IF(Tabela1[[#This Row],[CARGA PARCIAL]]&lt;0,0,Tabela1[[#This Row],[CARGA PARCIAL]])+Tabela1[[#This Row],[REEMBOLSO]]</f>
        <v>0</v>
      </c>
      <c r="Q361" s="18" t="s">
        <v>184</v>
      </c>
      <c r="R361" s="18"/>
    </row>
    <row r="362" spans="2:18" hidden="1">
      <c r="B362" s="17" t="s">
        <v>902</v>
      </c>
      <c r="C362" s="17" t="s">
        <v>903</v>
      </c>
      <c r="D362" s="17" t="s">
        <v>23</v>
      </c>
      <c r="E362" s="17" t="s">
        <v>141</v>
      </c>
      <c r="F362" s="17">
        <v>11061490001</v>
      </c>
      <c r="G362" s="20" t="s">
        <v>25</v>
      </c>
      <c r="H362" s="17" t="s">
        <v>26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f>Tabela1[[#This Row],[1QZ DE FEV 26]]-Tabela1[[#This Row],[SALDO PENDENTE]]-Tabela1[[#This Row],[SALDO CARTAO]]-Tabela1[[#This Row],[ADIANTAMENTO]]</f>
        <v>0</v>
      </c>
      <c r="O362" s="30">
        <v>0</v>
      </c>
      <c r="P362" s="39">
        <f>IF(Tabela1[[#This Row],[CARGA PARCIAL]]&lt;0,0,Tabela1[[#This Row],[CARGA PARCIAL]])+Tabela1[[#This Row],[REEMBOLSO]]</f>
        <v>0</v>
      </c>
      <c r="Q362" s="18" t="s">
        <v>184</v>
      </c>
      <c r="R362" s="18"/>
    </row>
    <row r="363" spans="2:18" hidden="1">
      <c r="B363" s="42" t="s">
        <v>904</v>
      </c>
      <c r="C363" s="22" t="s">
        <v>905</v>
      </c>
      <c r="D363" s="17" t="s">
        <v>23</v>
      </c>
      <c r="E363" s="17" t="s">
        <v>906</v>
      </c>
      <c r="F363" s="17">
        <v>11030700001</v>
      </c>
      <c r="G363" s="20" t="s">
        <v>55</v>
      </c>
      <c r="H363" s="17" t="s">
        <v>51</v>
      </c>
      <c r="I363" s="30">
        <v>-423.4299999999912</v>
      </c>
      <c r="J363" s="30">
        <v>0</v>
      </c>
      <c r="K363" s="30">
        <v>1840</v>
      </c>
      <c r="L363" s="30">
        <v>26</v>
      </c>
      <c r="M363" s="30">
        <v>0</v>
      </c>
      <c r="N363" s="30">
        <f>Tabela1[[#This Row],[1QZ DE FEV 26]]-Tabela1[[#This Row],[SALDO PENDENTE]]-Tabela1[[#This Row],[SALDO CARTAO]]-Tabela1[[#This Row],[ADIANTAMENTO]]</f>
        <v>1814</v>
      </c>
      <c r="O363" s="30">
        <v>423.43</v>
      </c>
      <c r="P363" s="39">
        <f>IF(Tabela1[[#This Row],[CARGA PARCIAL]]&lt;0,0,Tabela1[[#This Row],[CARGA PARCIAL]])+Tabela1[[#This Row],[REEMBOLSO]]</f>
        <v>2237.4299999999998</v>
      </c>
      <c r="Q363" s="18" t="s">
        <v>27</v>
      </c>
      <c r="R363" s="18"/>
    </row>
    <row r="364" spans="2:18" hidden="1">
      <c r="B364" s="17" t="s">
        <v>907</v>
      </c>
      <c r="C364" s="17" t="s">
        <v>908</v>
      </c>
      <c r="D364" s="17" t="s">
        <v>23</v>
      </c>
      <c r="E364" s="17" t="s">
        <v>58</v>
      </c>
      <c r="F364" s="17">
        <v>1104150001</v>
      </c>
      <c r="G364" s="17" t="s">
        <v>59</v>
      </c>
      <c r="H364" s="17" t="s">
        <v>51</v>
      </c>
      <c r="I364" s="30">
        <v>0</v>
      </c>
      <c r="J364" s="30">
        <v>0</v>
      </c>
      <c r="K364" s="30">
        <v>0</v>
      </c>
      <c r="L364" s="30">
        <v>68.11</v>
      </c>
      <c r="M364" s="30">
        <v>0</v>
      </c>
      <c r="N364" s="30">
        <f>Tabela1[[#This Row],[1QZ DE FEV 26]]-Tabela1[[#This Row],[SALDO PENDENTE]]-Tabela1[[#This Row],[SALDO CARTAO]]-Tabela1[[#This Row],[ADIANTAMENTO]]</f>
        <v>-68.11</v>
      </c>
      <c r="O364" s="30">
        <v>0</v>
      </c>
      <c r="P364" s="39">
        <f>IF(Tabela1[[#This Row],[CARGA PARCIAL]]&lt;0,0,Tabela1[[#This Row],[CARGA PARCIAL]])+Tabela1[[#This Row],[REEMBOLSO]]</f>
        <v>0</v>
      </c>
      <c r="Q364" s="18" t="s">
        <v>145</v>
      </c>
      <c r="R364" s="18"/>
    </row>
    <row r="365" spans="2:18" hidden="1">
      <c r="B365" s="17" t="s">
        <v>909</v>
      </c>
      <c r="C365" s="17" t="s">
        <v>910</v>
      </c>
      <c r="D365" s="17" t="s">
        <v>23</v>
      </c>
      <c r="E365" s="17" t="s">
        <v>222</v>
      </c>
      <c r="F365" s="17">
        <v>11062050001</v>
      </c>
      <c r="G365" s="17" t="s">
        <v>435</v>
      </c>
      <c r="H365" s="17" t="s">
        <v>177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f>Tabela1[[#This Row],[1QZ DE FEV 26]]-Tabela1[[#This Row],[SALDO PENDENTE]]-Tabela1[[#This Row],[SALDO CARTAO]]-Tabela1[[#This Row],[ADIANTAMENTO]]</f>
        <v>0</v>
      </c>
      <c r="O365" s="30">
        <v>0</v>
      </c>
      <c r="P365" s="39">
        <f>IF(Tabela1[[#This Row],[CARGA PARCIAL]]&lt;0,0,Tabela1[[#This Row],[CARGA PARCIAL]])+Tabela1[[#This Row],[REEMBOLSO]]</f>
        <v>0</v>
      </c>
      <c r="Q365" s="18" t="s">
        <v>184</v>
      </c>
      <c r="R365" s="18"/>
    </row>
    <row r="366" spans="2:18" hidden="1">
      <c r="B366" s="17" t="s">
        <v>911</v>
      </c>
      <c r="C366" s="17" t="s">
        <v>912</v>
      </c>
      <c r="D366" s="17" t="s">
        <v>23</v>
      </c>
      <c r="E366" s="17" t="s">
        <v>132</v>
      </c>
      <c r="F366" s="17">
        <v>11040160001</v>
      </c>
      <c r="G366" s="20" t="s">
        <v>63</v>
      </c>
      <c r="H366" s="17" t="s">
        <v>26</v>
      </c>
      <c r="I366" s="30">
        <v>0</v>
      </c>
      <c r="J366" s="30">
        <v>0</v>
      </c>
      <c r="K366" s="30">
        <v>0</v>
      </c>
      <c r="L366" s="30">
        <v>83.06</v>
      </c>
      <c r="M366" s="30">
        <v>0</v>
      </c>
      <c r="N366" s="30">
        <f>Tabela1[[#This Row],[1QZ DE FEV 26]]-Tabela1[[#This Row],[SALDO PENDENTE]]-Tabela1[[#This Row],[SALDO CARTAO]]-Tabela1[[#This Row],[ADIANTAMENTO]]</f>
        <v>-83.06</v>
      </c>
      <c r="O366" s="30">
        <v>0</v>
      </c>
      <c r="P366" s="39">
        <f>IF(Tabela1[[#This Row],[CARGA PARCIAL]]&lt;0,0,Tabela1[[#This Row],[CARGA PARCIAL]])+Tabela1[[#This Row],[REEMBOLSO]]</f>
        <v>0</v>
      </c>
      <c r="Q366" s="18" t="s">
        <v>145</v>
      </c>
      <c r="R366" s="18"/>
    </row>
    <row r="367" spans="2:18" hidden="1">
      <c r="B367" s="42" t="s">
        <v>913</v>
      </c>
      <c r="C367" s="22" t="s">
        <v>914</v>
      </c>
      <c r="D367" s="17" t="s">
        <v>23</v>
      </c>
      <c r="E367" s="17" t="s">
        <v>125</v>
      </c>
      <c r="F367" s="17">
        <v>11040170001</v>
      </c>
      <c r="G367" s="20" t="s">
        <v>126</v>
      </c>
      <c r="H367" s="17" t="s">
        <v>26</v>
      </c>
      <c r="I367" s="30">
        <v>0</v>
      </c>
      <c r="J367" s="30">
        <v>0</v>
      </c>
      <c r="K367" s="30">
        <v>1000</v>
      </c>
      <c r="L367" s="30">
        <v>0</v>
      </c>
      <c r="M367" s="30">
        <v>0</v>
      </c>
      <c r="N367" s="30">
        <f>Tabela1[[#This Row],[1QZ DE FEV 26]]-Tabela1[[#This Row],[SALDO PENDENTE]]-Tabela1[[#This Row],[SALDO CARTAO]]-Tabela1[[#This Row],[ADIANTAMENTO]]</f>
        <v>1000</v>
      </c>
      <c r="O367" s="30">
        <v>0</v>
      </c>
      <c r="P367" s="39">
        <f>IF(Tabela1[[#This Row],[CARGA PARCIAL]]&lt;0,0,Tabela1[[#This Row],[CARGA PARCIAL]])+Tabela1[[#This Row],[REEMBOLSO]]</f>
        <v>1000</v>
      </c>
      <c r="Q367" s="18" t="s">
        <v>27</v>
      </c>
      <c r="R367" s="18"/>
    </row>
    <row r="368" spans="2:18" hidden="1">
      <c r="B368" s="17" t="s">
        <v>915</v>
      </c>
      <c r="C368" s="17" t="s">
        <v>916</v>
      </c>
      <c r="D368" s="17" t="s">
        <v>23</v>
      </c>
      <c r="E368" s="17" t="s">
        <v>917</v>
      </c>
      <c r="F368" s="17">
        <v>11063050001</v>
      </c>
      <c r="G368" s="20" t="s">
        <v>71</v>
      </c>
      <c r="H368" s="17" t="s">
        <v>51</v>
      </c>
      <c r="I368" s="30">
        <v>0</v>
      </c>
      <c r="J368" s="30">
        <v>949</v>
      </c>
      <c r="K368" s="30">
        <v>0</v>
      </c>
      <c r="L368" s="30">
        <v>1</v>
      </c>
      <c r="M368" s="30">
        <v>0</v>
      </c>
      <c r="N368" s="30">
        <f>Tabela1[[#This Row],[1QZ DE FEV 26]]-Tabela1[[#This Row],[SALDO PENDENTE]]-Tabela1[[#This Row],[SALDO CARTAO]]-Tabela1[[#This Row],[ADIANTAMENTO]]</f>
        <v>-950</v>
      </c>
      <c r="O368" s="30">
        <v>0</v>
      </c>
      <c r="P368" s="39">
        <f>IF(Tabela1[[#This Row],[CARGA PARCIAL]]&lt;0,0,Tabela1[[#This Row],[CARGA PARCIAL]])+Tabela1[[#This Row],[REEMBOLSO]]</f>
        <v>0</v>
      </c>
      <c r="Q368" s="18" t="s">
        <v>27</v>
      </c>
      <c r="R368" s="18"/>
    </row>
    <row r="369" spans="2:18" hidden="1">
      <c r="B369" s="17" t="s">
        <v>918</v>
      </c>
      <c r="C369" s="17" t="s">
        <v>919</v>
      </c>
      <c r="D369" s="17" t="s">
        <v>23</v>
      </c>
      <c r="E369" s="17" t="s">
        <v>417</v>
      </c>
      <c r="F369" s="17">
        <v>11040140001</v>
      </c>
      <c r="G369" s="20" t="s">
        <v>59</v>
      </c>
      <c r="H369" s="17" t="s">
        <v>51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f>Tabela1[[#This Row],[1QZ DE FEV 26]]-Tabela1[[#This Row],[SALDO PENDENTE]]-Tabela1[[#This Row],[SALDO CARTAO]]-Tabela1[[#This Row],[ADIANTAMENTO]]</f>
        <v>0</v>
      </c>
      <c r="O369" s="30">
        <v>0</v>
      </c>
      <c r="P369" s="39">
        <f>IF(Tabela1[[#This Row],[CARGA PARCIAL]]&lt;0,0,Tabela1[[#This Row],[CARGA PARCIAL]])+Tabela1[[#This Row],[REEMBOLSO]]</f>
        <v>0</v>
      </c>
      <c r="Q369" s="18" t="s">
        <v>184</v>
      </c>
      <c r="R369" s="18"/>
    </row>
    <row r="370" spans="2:18" hidden="1">
      <c r="B370" s="17" t="s">
        <v>920</v>
      </c>
      <c r="C370" s="17" t="s">
        <v>921</v>
      </c>
      <c r="D370" s="17" t="s">
        <v>23</v>
      </c>
      <c r="E370" s="17" t="s">
        <v>234</v>
      </c>
      <c r="F370" s="17">
        <v>11060710001</v>
      </c>
      <c r="G370" s="20" t="s">
        <v>35</v>
      </c>
      <c r="H370" s="17" t="s">
        <v>26</v>
      </c>
      <c r="I370" s="30">
        <v>0</v>
      </c>
      <c r="J370" s="30">
        <v>0</v>
      </c>
      <c r="K370" s="30">
        <v>0</v>
      </c>
      <c r="L370" s="30">
        <v>149</v>
      </c>
      <c r="M370" s="30">
        <v>0</v>
      </c>
      <c r="N370" s="30">
        <f>Tabela1[[#This Row],[1QZ DE FEV 26]]-Tabela1[[#This Row],[SALDO PENDENTE]]-Tabela1[[#This Row],[SALDO CARTAO]]-Tabela1[[#This Row],[ADIANTAMENTO]]</f>
        <v>-149</v>
      </c>
      <c r="O370" s="30">
        <v>0</v>
      </c>
      <c r="P370" s="39">
        <f>IF(Tabela1[[#This Row],[CARGA PARCIAL]]&lt;0,0,Tabela1[[#This Row],[CARGA PARCIAL]])+Tabela1[[#This Row],[REEMBOLSO]]</f>
        <v>0</v>
      </c>
      <c r="Q370" s="18" t="s">
        <v>145</v>
      </c>
      <c r="R370" s="18"/>
    </row>
    <row r="371" spans="2:18" hidden="1">
      <c r="B371" s="19" t="s">
        <v>922</v>
      </c>
      <c r="C371" s="19" t="s">
        <v>923</v>
      </c>
      <c r="D371" s="19" t="s">
        <v>23</v>
      </c>
      <c r="E371" s="19" t="s">
        <v>193</v>
      </c>
      <c r="F371" s="19">
        <v>11061820001</v>
      </c>
      <c r="G371" s="19" t="s">
        <v>71</v>
      </c>
      <c r="H371" s="19" t="s">
        <v>51</v>
      </c>
      <c r="I371" s="30">
        <v>0</v>
      </c>
      <c r="J371" s="30">
        <v>13</v>
      </c>
      <c r="K371" s="31">
        <v>0</v>
      </c>
      <c r="L371" s="30">
        <v>0</v>
      </c>
      <c r="M371" s="31">
        <v>0</v>
      </c>
      <c r="N371" s="49">
        <f>Tabela1[[#This Row],[1QZ DE FEV 26]]-Tabela1[[#This Row],[SALDO PENDENTE]]-Tabela1[[#This Row],[SALDO CARTAO]]-Tabela1[[#This Row],[ADIANTAMENTO]]</f>
        <v>-13</v>
      </c>
      <c r="O371" s="49">
        <v>0</v>
      </c>
      <c r="P371" s="50">
        <f>IF(Tabela1[[#This Row],[CARGA PARCIAL]]&lt;0,0,Tabela1[[#This Row],[CARGA PARCIAL]])+Tabela1[[#This Row],[REEMBOLSO]]</f>
        <v>0</v>
      </c>
      <c r="Q371" s="44" t="s">
        <v>27</v>
      </c>
      <c r="R371" s="29"/>
    </row>
    <row r="372" spans="2:18" hidden="1">
      <c r="B372" s="17" t="s">
        <v>924</v>
      </c>
      <c r="C372" s="17" t="s">
        <v>925</v>
      </c>
      <c r="D372" s="17" t="s">
        <v>23</v>
      </c>
      <c r="E372" s="17" t="s">
        <v>917</v>
      </c>
      <c r="F372" s="17">
        <v>11063050001</v>
      </c>
      <c r="G372" s="20" t="s">
        <v>71</v>
      </c>
      <c r="H372" s="17" t="s">
        <v>51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f>Tabela1[[#This Row],[1QZ DE FEV 26]]-Tabela1[[#This Row],[SALDO PENDENTE]]-Tabela1[[#This Row],[SALDO CARTAO]]-Tabela1[[#This Row],[ADIANTAMENTO]]</f>
        <v>0</v>
      </c>
      <c r="O372" s="30">
        <v>0</v>
      </c>
      <c r="P372" s="39">
        <f>IF(Tabela1[[#This Row],[CARGA PARCIAL]]&lt;0,0,Tabela1[[#This Row],[CARGA PARCIAL]])+Tabela1[[#This Row],[REEMBOLSO]]</f>
        <v>0</v>
      </c>
      <c r="Q372" s="18" t="s">
        <v>27</v>
      </c>
      <c r="R372" s="18"/>
    </row>
    <row r="373" spans="2:18" hidden="1">
      <c r="B373" s="17" t="s">
        <v>926</v>
      </c>
      <c r="C373" s="17" t="s">
        <v>927</v>
      </c>
      <c r="D373" s="17" t="s">
        <v>23</v>
      </c>
      <c r="E373" s="17" t="s">
        <v>928</v>
      </c>
      <c r="F373" s="17">
        <v>11010320001</v>
      </c>
      <c r="G373" s="17" t="s">
        <v>63</v>
      </c>
      <c r="H373" s="17" t="s">
        <v>26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f>Tabela1[[#This Row],[1QZ DE FEV 26]]-Tabela1[[#This Row],[SALDO PENDENTE]]-Tabela1[[#This Row],[SALDO CARTAO]]-Tabela1[[#This Row],[ADIANTAMENTO]]</f>
        <v>0</v>
      </c>
      <c r="O373" s="30">
        <v>0</v>
      </c>
      <c r="P373" s="39">
        <f>IF(Tabela1[[#This Row],[CARGA PARCIAL]]&lt;0,0,Tabela1[[#This Row],[CARGA PARCIAL]])+Tabela1[[#This Row],[REEMBOLSO]]</f>
        <v>0</v>
      </c>
      <c r="Q373" s="18" t="s">
        <v>184</v>
      </c>
      <c r="R373" s="18"/>
    </row>
    <row r="374" spans="2:18" hidden="1">
      <c r="B374" s="42" t="s">
        <v>929</v>
      </c>
      <c r="C374" s="22" t="s">
        <v>930</v>
      </c>
      <c r="D374" s="17" t="s">
        <v>23</v>
      </c>
      <c r="E374" s="17" t="s">
        <v>906</v>
      </c>
      <c r="F374" s="17">
        <v>11030700001</v>
      </c>
      <c r="G374" s="20" t="s">
        <v>55</v>
      </c>
      <c r="H374" s="17" t="s">
        <v>51</v>
      </c>
      <c r="I374" s="30">
        <v>0</v>
      </c>
      <c r="J374" s="30">
        <v>1197.180000000001</v>
      </c>
      <c r="K374" s="30">
        <v>1200</v>
      </c>
      <c r="L374" s="30">
        <v>2.82</v>
      </c>
      <c r="M374" s="30">
        <v>0</v>
      </c>
      <c r="N374" s="30">
        <f>Tabela1[[#This Row],[1QZ DE FEV 26]]-Tabela1[[#This Row],[SALDO PENDENTE]]-Tabela1[[#This Row],[SALDO CARTAO]]-Tabela1[[#This Row],[ADIANTAMENTO]]</f>
        <v>-9.7299945878148719E-13</v>
      </c>
      <c r="O374" s="30">
        <v>0</v>
      </c>
      <c r="P374" s="39">
        <f>IF(Tabela1[[#This Row],[CARGA PARCIAL]]&lt;0,0,Tabela1[[#This Row],[CARGA PARCIAL]])+Tabela1[[#This Row],[REEMBOLSO]]</f>
        <v>0</v>
      </c>
      <c r="Q374" s="18" t="s">
        <v>27</v>
      </c>
      <c r="R374" s="18"/>
    </row>
    <row r="375" spans="2:18" hidden="1">
      <c r="B375" s="17" t="s">
        <v>931</v>
      </c>
      <c r="C375" s="17" t="s">
        <v>932</v>
      </c>
      <c r="D375" s="17" t="s">
        <v>23</v>
      </c>
      <c r="E375" s="17" t="s">
        <v>132</v>
      </c>
      <c r="F375" s="17">
        <v>11040160001</v>
      </c>
      <c r="G375" s="17" t="s">
        <v>63</v>
      </c>
      <c r="H375" s="17" t="s">
        <v>26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f>Tabela1[[#This Row],[1QZ DE FEV 26]]-Tabela1[[#This Row],[SALDO PENDENTE]]-Tabela1[[#This Row],[SALDO CARTAO]]-Tabela1[[#This Row],[ADIANTAMENTO]]</f>
        <v>0</v>
      </c>
      <c r="O375" s="30">
        <v>0</v>
      </c>
      <c r="P375" s="39">
        <f>IF(Tabela1[[#This Row],[CARGA PARCIAL]]&lt;0,0,Tabela1[[#This Row],[CARGA PARCIAL]])+Tabela1[[#This Row],[REEMBOLSO]]</f>
        <v>0</v>
      </c>
      <c r="Q375" s="18" t="s">
        <v>184</v>
      </c>
      <c r="R375" s="18"/>
    </row>
    <row r="376" spans="2:18" hidden="1">
      <c r="B376" s="17" t="s">
        <v>933</v>
      </c>
      <c r="C376" s="17" t="s">
        <v>934</v>
      </c>
      <c r="D376" s="17" t="s">
        <v>23</v>
      </c>
      <c r="E376" s="17" t="s">
        <v>682</v>
      </c>
      <c r="F376" s="17">
        <v>11010400001</v>
      </c>
      <c r="G376" s="17" t="s">
        <v>31</v>
      </c>
      <c r="H376" s="17" t="s">
        <v>26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f>Tabela1[[#This Row],[1QZ DE FEV 26]]-Tabela1[[#This Row],[SALDO PENDENTE]]-Tabela1[[#This Row],[SALDO CARTAO]]-Tabela1[[#This Row],[ADIANTAMENTO]]</f>
        <v>0</v>
      </c>
      <c r="O376" s="30">
        <v>0</v>
      </c>
      <c r="P376" s="39">
        <f>IF(Tabela1[[#This Row],[CARGA PARCIAL]]&lt;0,0,Tabela1[[#This Row],[CARGA PARCIAL]])+Tabela1[[#This Row],[REEMBOLSO]]</f>
        <v>0</v>
      </c>
      <c r="Q376" s="18" t="s">
        <v>27</v>
      </c>
      <c r="R376" s="18"/>
    </row>
    <row r="377" spans="2:18" hidden="1">
      <c r="B377" s="17" t="s">
        <v>935</v>
      </c>
      <c r="C377" s="17" t="s">
        <v>936</v>
      </c>
      <c r="D377" s="17" t="s">
        <v>23</v>
      </c>
      <c r="E377" s="17" t="s">
        <v>937</v>
      </c>
      <c r="F377" s="17">
        <v>11061800001</v>
      </c>
      <c r="G377" s="17" t="s">
        <v>71</v>
      </c>
      <c r="H377" s="17" t="s">
        <v>51</v>
      </c>
      <c r="I377" s="30">
        <v>0</v>
      </c>
      <c r="J377" s="30">
        <v>0</v>
      </c>
      <c r="K377" s="30">
        <v>0</v>
      </c>
      <c r="L377" s="30">
        <v>28.33</v>
      </c>
      <c r="M377" s="30">
        <v>0</v>
      </c>
      <c r="N377" s="30">
        <f>Tabela1[[#This Row],[1QZ DE FEV 26]]-Tabela1[[#This Row],[SALDO PENDENTE]]-Tabela1[[#This Row],[SALDO CARTAO]]-Tabela1[[#This Row],[ADIANTAMENTO]]</f>
        <v>-28.33</v>
      </c>
      <c r="O377" s="30">
        <v>0</v>
      </c>
      <c r="P377" s="39">
        <f>IF(Tabela1[[#This Row],[CARGA PARCIAL]]&lt;0,0,Tabela1[[#This Row],[CARGA PARCIAL]])+Tabela1[[#This Row],[REEMBOLSO]]</f>
        <v>0</v>
      </c>
      <c r="Q377" s="18" t="s">
        <v>27</v>
      </c>
      <c r="R377" s="18"/>
    </row>
    <row r="378" spans="2:18" hidden="1">
      <c r="B378" s="17" t="s">
        <v>938</v>
      </c>
      <c r="C378" s="17" t="s">
        <v>939</v>
      </c>
      <c r="D378" s="17" t="s">
        <v>23</v>
      </c>
      <c r="E378" s="17" t="s">
        <v>193</v>
      </c>
      <c r="F378" s="17">
        <v>11061820001</v>
      </c>
      <c r="G378" s="17" t="s">
        <v>71</v>
      </c>
      <c r="H378" s="17" t="s">
        <v>51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f>Tabela1[[#This Row],[1QZ DE FEV 26]]-Tabela1[[#This Row],[SALDO PENDENTE]]-Tabela1[[#This Row],[SALDO CARTAO]]-Tabela1[[#This Row],[ADIANTAMENTO]]</f>
        <v>0</v>
      </c>
      <c r="O378" s="30">
        <v>0</v>
      </c>
      <c r="P378" s="39">
        <f>IF(Tabela1[[#This Row],[CARGA PARCIAL]]&lt;0,0,Tabela1[[#This Row],[CARGA PARCIAL]])+Tabela1[[#This Row],[REEMBOLSO]]</f>
        <v>0</v>
      </c>
      <c r="Q378" s="18" t="s">
        <v>184</v>
      </c>
      <c r="R378" s="18"/>
    </row>
    <row r="379" spans="2:18" hidden="1">
      <c r="B379" s="17" t="s">
        <v>940</v>
      </c>
      <c r="C379" s="17" t="s">
        <v>941</v>
      </c>
      <c r="D379" s="17" t="s">
        <v>23</v>
      </c>
      <c r="E379" s="17" t="s">
        <v>234</v>
      </c>
      <c r="F379" s="17">
        <v>11060710001</v>
      </c>
      <c r="G379" s="17" t="s">
        <v>35</v>
      </c>
      <c r="H379" s="17" t="s">
        <v>26</v>
      </c>
      <c r="I379" s="30">
        <v>0</v>
      </c>
      <c r="J379" s="30">
        <v>0</v>
      </c>
      <c r="K379" s="30">
        <v>0</v>
      </c>
      <c r="L379" s="30">
        <v>192.58</v>
      </c>
      <c r="M379" s="30">
        <v>0</v>
      </c>
      <c r="N379" s="30">
        <f>Tabela1[[#This Row],[1QZ DE FEV 26]]-Tabela1[[#This Row],[SALDO PENDENTE]]-Tabela1[[#This Row],[SALDO CARTAO]]-Tabela1[[#This Row],[ADIANTAMENTO]]</f>
        <v>-192.58</v>
      </c>
      <c r="O379" s="30">
        <v>0</v>
      </c>
      <c r="P379" s="39">
        <f>IF(Tabela1[[#This Row],[CARGA PARCIAL]]&lt;0,0,Tabela1[[#This Row],[CARGA PARCIAL]])+Tabela1[[#This Row],[REEMBOLSO]]</f>
        <v>0</v>
      </c>
      <c r="Q379" s="18" t="s">
        <v>27</v>
      </c>
      <c r="R379" s="18"/>
    </row>
    <row r="380" spans="2:18" hidden="1">
      <c r="B380" s="17" t="s">
        <v>942</v>
      </c>
      <c r="C380" s="17" t="s">
        <v>943</v>
      </c>
      <c r="D380" s="17" t="s">
        <v>23</v>
      </c>
      <c r="E380" s="17" t="s">
        <v>944</v>
      </c>
      <c r="F380" s="17">
        <v>1201001</v>
      </c>
      <c r="G380" s="17" t="s">
        <v>435</v>
      </c>
      <c r="H380" s="17" t="s">
        <v>177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f>Tabela1[[#This Row],[1QZ DE FEV 26]]-Tabela1[[#This Row],[SALDO PENDENTE]]-Tabela1[[#This Row],[SALDO CARTAO]]-Tabela1[[#This Row],[ADIANTAMENTO]]</f>
        <v>0</v>
      </c>
      <c r="O380" s="30">
        <v>0</v>
      </c>
      <c r="P380" s="39">
        <f>IF(Tabela1[[#This Row],[CARGA PARCIAL]]&lt;0,0,Tabela1[[#This Row],[CARGA PARCIAL]])+Tabela1[[#This Row],[REEMBOLSO]]</f>
        <v>0</v>
      </c>
      <c r="Q380" s="18" t="s">
        <v>184</v>
      </c>
      <c r="R380" s="18"/>
    </row>
    <row r="381" spans="2:18" hidden="1">
      <c r="B381" s="17" t="s">
        <v>945</v>
      </c>
      <c r="C381" s="17" t="s">
        <v>946</v>
      </c>
      <c r="D381" s="17" t="s">
        <v>23</v>
      </c>
      <c r="E381" s="17" t="s">
        <v>947</v>
      </c>
      <c r="F381" s="17">
        <v>1201009</v>
      </c>
      <c r="G381" s="17" t="s">
        <v>31</v>
      </c>
      <c r="H381" s="17" t="s">
        <v>26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f>Tabela1[[#This Row],[1QZ DE FEV 26]]-Tabela1[[#This Row],[SALDO PENDENTE]]-Tabela1[[#This Row],[SALDO CARTAO]]-Tabela1[[#This Row],[ADIANTAMENTO]]</f>
        <v>0</v>
      </c>
      <c r="O381" s="30">
        <v>0</v>
      </c>
      <c r="P381" s="39">
        <f>IF(Tabela1[[#This Row],[CARGA PARCIAL]]&lt;0,0,Tabela1[[#This Row],[CARGA PARCIAL]])+Tabela1[[#This Row],[REEMBOLSO]]</f>
        <v>0</v>
      </c>
      <c r="Q381" s="18" t="s">
        <v>184</v>
      </c>
      <c r="R381" s="18"/>
    </row>
    <row r="382" spans="2:18" hidden="1">
      <c r="B382" s="42" t="s">
        <v>948</v>
      </c>
      <c r="C382" s="22" t="s">
        <v>949</v>
      </c>
      <c r="D382" s="17" t="s">
        <v>23</v>
      </c>
      <c r="E382" s="17" t="s">
        <v>122</v>
      </c>
      <c r="F382" s="17">
        <v>11040130001</v>
      </c>
      <c r="G382" s="20" t="s">
        <v>55</v>
      </c>
      <c r="H382" s="17" t="s">
        <v>51</v>
      </c>
      <c r="I382" s="30">
        <v>-29.399999999999636</v>
      </c>
      <c r="J382" s="30">
        <v>0</v>
      </c>
      <c r="K382" s="30">
        <v>0</v>
      </c>
      <c r="L382" s="30">
        <v>80</v>
      </c>
      <c r="M382" s="30">
        <v>0</v>
      </c>
      <c r="N382" s="30">
        <f>Tabela1[[#This Row],[1QZ DE FEV 26]]-Tabela1[[#This Row],[SALDO PENDENTE]]-Tabela1[[#This Row],[SALDO CARTAO]]-Tabela1[[#This Row],[ADIANTAMENTO]]</f>
        <v>-80</v>
      </c>
      <c r="O382" s="30">
        <v>0</v>
      </c>
      <c r="P382" s="39">
        <f>IF(Tabela1[[#This Row],[CARGA PARCIAL]]&lt;0,0,Tabela1[[#This Row],[CARGA PARCIAL]])+Tabela1[[#This Row],[REEMBOLSO]]</f>
        <v>0</v>
      </c>
      <c r="Q382" s="18" t="s">
        <v>27</v>
      </c>
      <c r="R382" s="18"/>
    </row>
    <row r="383" spans="2:18" hidden="1">
      <c r="B383" s="42" t="s">
        <v>950</v>
      </c>
      <c r="C383" s="22" t="s">
        <v>951</v>
      </c>
      <c r="D383" s="17" t="s">
        <v>23</v>
      </c>
      <c r="E383" s="17" t="s">
        <v>125</v>
      </c>
      <c r="F383" s="17">
        <v>11040170001</v>
      </c>
      <c r="G383" s="20" t="s">
        <v>126</v>
      </c>
      <c r="H383" s="17" t="s">
        <v>26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f>Tabela1[[#This Row],[1QZ DE FEV 26]]-Tabela1[[#This Row],[SALDO PENDENTE]]-Tabela1[[#This Row],[SALDO CARTAO]]-Tabela1[[#This Row],[ADIANTAMENTO]]</f>
        <v>0</v>
      </c>
      <c r="O383" s="30">
        <v>0</v>
      </c>
      <c r="P383" s="39">
        <f>IF(Tabela1[[#This Row],[CARGA PARCIAL]]&lt;0,0,Tabela1[[#This Row],[CARGA PARCIAL]])+Tabela1[[#This Row],[REEMBOLSO]]</f>
        <v>0</v>
      </c>
      <c r="Q383" s="18" t="s">
        <v>184</v>
      </c>
      <c r="R383" s="18"/>
    </row>
    <row r="384" spans="2:18" hidden="1">
      <c r="B384" s="17" t="s">
        <v>952</v>
      </c>
      <c r="C384" s="17" t="s">
        <v>953</v>
      </c>
      <c r="D384" s="17" t="s">
        <v>23</v>
      </c>
      <c r="E384" s="17" t="s">
        <v>917</v>
      </c>
      <c r="F384" s="17">
        <v>11063050001</v>
      </c>
      <c r="G384" s="17" t="s">
        <v>71</v>
      </c>
      <c r="H384" s="17" t="s">
        <v>51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f>Tabela1[[#This Row],[1QZ DE FEV 26]]-Tabela1[[#This Row],[SALDO PENDENTE]]-Tabela1[[#This Row],[SALDO CARTAO]]-Tabela1[[#This Row],[ADIANTAMENTO]]</f>
        <v>0</v>
      </c>
      <c r="O384" s="30">
        <v>0</v>
      </c>
      <c r="P384" s="39">
        <f>IF(Tabela1[[#This Row],[CARGA PARCIAL]]&lt;0,0,Tabela1[[#This Row],[CARGA PARCIAL]])+Tabela1[[#This Row],[REEMBOLSO]]</f>
        <v>0</v>
      </c>
      <c r="Q384" s="18" t="s">
        <v>27</v>
      </c>
      <c r="R384" s="18"/>
    </row>
    <row r="385" spans="2:18" hidden="1">
      <c r="B385" s="17" t="s">
        <v>954</v>
      </c>
      <c r="C385" s="17" t="s">
        <v>955</v>
      </c>
      <c r="D385" s="17" t="s">
        <v>23</v>
      </c>
      <c r="E385" s="17" t="s">
        <v>420</v>
      </c>
      <c r="F385" s="17">
        <v>11030630001</v>
      </c>
      <c r="G385" s="17" t="s">
        <v>71</v>
      </c>
      <c r="H385" s="17" t="s">
        <v>51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f>Tabela1[[#This Row],[1QZ DE FEV 26]]-Tabela1[[#This Row],[SALDO PENDENTE]]-Tabela1[[#This Row],[SALDO CARTAO]]-Tabela1[[#This Row],[ADIANTAMENTO]]</f>
        <v>0</v>
      </c>
      <c r="O385" s="30">
        <v>0</v>
      </c>
      <c r="P385" s="39">
        <f>IF(Tabela1[[#This Row],[CARGA PARCIAL]]&lt;0,0,Tabela1[[#This Row],[CARGA PARCIAL]])+Tabela1[[#This Row],[REEMBOLSO]]</f>
        <v>0</v>
      </c>
      <c r="Q385" s="18" t="s">
        <v>184</v>
      </c>
      <c r="R385" s="18"/>
    </row>
    <row r="386" spans="2:18" hidden="1">
      <c r="B386" s="17" t="s">
        <v>956</v>
      </c>
      <c r="C386" s="17" t="s">
        <v>957</v>
      </c>
      <c r="D386" s="17" t="s">
        <v>23</v>
      </c>
      <c r="E386" s="17" t="s">
        <v>958</v>
      </c>
      <c r="F386" s="17">
        <v>1001002</v>
      </c>
      <c r="G386" s="17" t="s">
        <v>898</v>
      </c>
      <c r="H386" s="17" t="s">
        <v>899</v>
      </c>
      <c r="I386" s="30">
        <v>0</v>
      </c>
      <c r="J386" s="30">
        <v>3846.8099999999968</v>
      </c>
      <c r="K386" s="30">
        <v>0</v>
      </c>
      <c r="L386" s="30">
        <v>280.45999999999998</v>
      </c>
      <c r="M386" s="30">
        <v>0</v>
      </c>
      <c r="N386" s="30">
        <f>Tabela1[[#This Row],[1QZ DE FEV 26]]-Tabela1[[#This Row],[SALDO PENDENTE]]-Tabela1[[#This Row],[SALDO CARTAO]]-Tabela1[[#This Row],[ADIANTAMENTO]]</f>
        <v>-4127.2699999999968</v>
      </c>
      <c r="O386" s="30">
        <v>0</v>
      </c>
      <c r="P386" s="39">
        <f>IF(Tabela1[[#This Row],[CARGA PARCIAL]]&lt;0,0,Tabela1[[#This Row],[CARGA PARCIAL]])+Tabela1[[#This Row],[REEMBOLSO]]</f>
        <v>0</v>
      </c>
      <c r="Q386" s="18" t="s">
        <v>27</v>
      </c>
      <c r="R386" s="18"/>
    </row>
    <row r="387" spans="2:18" hidden="1">
      <c r="B387" s="17" t="s">
        <v>959</v>
      </c>
      <c r="C387" s="17" t="s">
        <v>960</v>
      </c>
      <c r="D387" s="17" t="s">
        <v>23</v>
      </c>
      <c r="E387" s="17" t="s">
        <v>175</v>
      </c>
      <c r="F387" s="17">
        <v>1201020</v>
      </c>
      <c r="G387" s="17" t="s">
        <v>176</v>
      </c>
      <c r="H387" s="17" t="s">
        <v>177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f>Tabela1[[#This Row],[1QZ DE FEV 26]]-Tabela1[[#This Row],[SALDO PENDENTE]]-Tabela1[[#This Row],[SALDO CARTAO]]-Tabela1[[#This Row],[ADIANTAMENTO]]</f>
        <v>0</v>
      </c>
      <c r="O387" s="30">
        <v>0</v>
      </c>
      <c r="P387" s="39">
        <f>IF(Tabela1[[#This Row],[CARGA PARCIAL]]&lt;0,0,Tabela1[[#This Row],[CARGA PARCIAL]])+Tabela1[[#This Row],[REEMBOLSO]]</f>
        <v>0</v>
      </c>
      <c r="Q387" s="18" t="s">
        <v>184</v>
      </c>
      <c r="R387" s="18"/>
    </row>
    <row r="388" spans="2:18" hidden="1">
      <c r="B388" s="17" t="s">
        <v>961</v>
      </c>
      <c r="C388" s="17" t="s">
        <v>962</v>
      </c>
      <c r="D388" s="17" t="s">
        <v>23</v>
      </c>
      <c r="E388" s="17" t="s">
        <v>212</v>
      </c>
      <c r="F388" s="17">
        <v>11030730001</v>
      </c>
      <c r="G388" s="17" t="s">
        <v>31</v>
      </c>
      <c r="H388" s="17" t="s">
        <v>26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f>Tabela1[[#This Row],[1QZ DE FEV 26]]-Tabela1[[#This Row],[SALDO PENDENTE]]-Tabela1[[#This Row],[SALDO CARTAO]]-Tabela1[[#This Row],[ADIANTAMENTO]]</f>
        <v>0</v>
      </c>
      <c r="O388" s="30">
        <v>0</v>
      </c>
      <c r="P388" s="39">
        <f>IF(Tabela1[[#This Row],[CARGA PARCIAL]]&lt;0,0,Tabela1[[#This Row],[CARGA PARCIAL]])+Tabela1[[#This Row],[REEMBOLSO]]</f>
        <v>0</v>
      </c>
      <c r="Q388" s="18" t="s">
        <v>184</v>
      </c>
      <c r="R388" s="18"/>
    </row>
    <row r="389" spans="2:18" hidden="1">
      <c r="B389" s="17" t="s">
        <v>963</v>
      </c>
      <c r="C389" s="17" t="s">
        <v>964</v>
      </c>
      <c r="D389" s="17" t="s">
        <v>23</v>
      </c>
      <c r="E389" s="17" t="s">
        <v>95</v>
      </c>
      <c r="F389" s="17">
        <v>11030590001</v>
      </c>
      <c r="G389" s="17" t="s">
        <v>71</v>
      </c>
      <c r="H389" s="17" t="s">
        <v>51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f>Tabela1[[#This Row],[1QZ DE FEV 26]]-Tabela1[[#This Row],[SALDO PENDENTE]]-Tabela1[[#This Row],[SALDO CARTAO]]-Tabela1[[#This Row],[ADIANTAMENTO]]</f>
        <v>0</v>
      </c>
      <c r="O389" s="30">
        <v>0</v>
      </c>
      <c r="P389" s="39">
        <f>IF(Tabela1[[#This Row],[CARGA PARCIAL]]&lt;0,0,Tabela1[[#This Row],[CARGA PARCIAL]])+Tabela1[[#This Row],[REEMBOLSO]]</f>
        <v>0</v>
      </c>
      <c r="Q389" s="18" t="s">
        <v>184</v>
      </c>
      <c r="R389" s="18"/>
    </row>
    <row r="390" spans="2:18" hidden="1">
      <c r="B390" s="46" t="s">
        <v>965</v>
      </c>
      <c r="C390" s="47" t="s">
        <v>966</v>
      </c>
      <c r="D390" s="19" t="s">
        <v>23</v>
      </c>
      <c r="E390" s="19" t="s">
        <v>967</v>
      </c>
      <c r="F390" s="19">
        <v>1001004</v>
      </c>
      <c r="G390" s="27" t="s">
        <v>898</v>
      </c>
      <c r="H390" s="19" t="s">
        <v>899</v>
      </c>
      <c r="I390" s="30">
        <v>0</v>
      </c>
      <c r="J390" s="30">
        <v>0</v>
      </c>
      <c r="K390" s="31">
        <v>0</v>
      </c>
      <c r="L390" s="30">
        <v>0</v>
      </c>
      <c r="M390" s="31">
        <v>0</v>
      </c>
      <c r="N390" s="49">
        <f>Tabela1[[#This Row],[1QZ DE FEV 26]]-Tabela1[[#This Row],[SALDO PENDENTE]]-Tabela1[[#This Row],[SALDO CARTAO]]-Tabela1[[#This Row],[ADIANTAMENTO]]</f>
        <v>0</v>
      </c>
      <c r="O390" s="49">
        <v>0</v>
      </c>
      <c r="P390" s="50">
        <f>IF(Tabela1[[#This Row],[CARGA PARCIAL]]&lt;0,0,Tabela1[[#This Row],[CARGA PARCIAL]])+Tabela1[[#This Row],[REEMBOLSO]]</f>
        <v>0</v>
      </c>
      <c r="Q390" s="44" t="s">
        <v>184</v>
      </c>
      <c r="R390" s="29"/>
    </row>
    <row r="391" spans="2:18" hidden="1">
      <c r="B391" s="17" t="s">
        <v>968</v>
      </c>
      <c r="C391" s="17" t="s">
        <v>969</v>
      </c>
      <c r="D391" s="17" t="s">
        <v>23</v>
      </c>
      <c r="E391" s="17" t="s">
        <v>132</v>
      </c>
      <c r="F391" s="17">
        <v>11040160001</v>
      </c>
      <c r="G391" s="17" t="s">
        <v>63</v>
      </c>
      <c r="H391" s="17" t="s">
        <v>26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f>Tabela1[[#This Row],[1QZ DE FEV 26]]-Tabela1[[#This Row],[SALDO PENDENTE]]-Tabela1[[#This Row],[SALDO CARTAO]]-Tabela1[[#This Row],[ADIANTAMENTO]]</f>
        <v>0</v>
      </c>
      <c r="O391" s="30">
        <v>0</v>
      </c>
      <c r="P391" s="39">
        <f>IF(Tabela1[[#This Row],[CARGA PARCIAL]]&lt;0,0,Tabela1[[#This Row],[CARGA PARCIAL]])+Tabela1[[#This Row],[REEMBOLSO]]</f>
        <v>0</v>
      </c>
      <c r="Q391" s="18" t="s">
        <v>184</v>
      </c>
      <c r="R391" s="18"/>
    </row>
    <row r="392" spans="2:18" hidden="1">
      <c r="B392" s="17" t="s">
        <v>970</v>
      </c>
      <c r="C392" s="17" t="s">
        <v>971</v>
      </c>
      <c r="D392" s="17" t="s">
        <v>23</v>
      </c>
      <c r="E392" s="17" t="s">
        <v>58</v>
      </c>
      <c r="F392" s="17">
        <v>1104150001</v>
      </c>
      <c r="G392" s="17" t="s">
        <v>59</v>
      </c>
      <c r="H392" s="17" t="s">
        <v>51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f>Tabela1[[#This Row],[1QZ DE FEV 26]]-Tabela1[[#This Row],[SALDO PENDENTE]]-Tabela1[[#This Row],[SALDO CARTAO]]-Tabela1[[#This Row],[ADIANTAMENTO]]</f>
        <v>0</v>
      </c>
      <c r="O392" s="30">
        <v>0</v>
      </c>
      <c r="P392" s="39">
        <f>IF(Tabela1[[#This Row],[CARGA PARCIAL]]&lt;0,0,Tabela1[[#This Row],[CARGA PARCIAL]])+Tabela1[[#This Row],[REEMBOLSO]]</f>
        <v>0</v>
      </c>
      <c r="Q392" s="18" t="s">
        <v>184</v>
      </c>
      <c r="R392" s="18"/>
    </row>
    <row r="393" spans="2:18" hidden="1">
      <c r="B393" s="19" t="s">
        <v>972</v>
      </c>
      <c r="C393" s="19" t="s">
        <v>973</v>
      </c>
      <c r="D393" s="19" t="s">
        <v>23</v>
      </c>
      <c r="E393" s="19" t="s">
        <v>974</v>
      </c>
      <c r="F393" s="19">
        <v>11020650001</v>
      </c>
      <c r="G393" s="19" t="s">
        <v>71</v>
      </c>
      <c r="H393" s="19" t="s">
        <v>51</v>
      </c>
      <c r="I393" s="30">
        <v>0</v>
      </c>
      <c r="J393" s="30">
        <v>2280.9799999999996</v>
      </c>
      <c r="K393" s="31">
        <v>0</v>
      </c>
      <c r="L393" s="30">
        <v>1.42</v>
      </c>
      <c r="M393" s="31">
        <v>0</v>
      </c>
      <c r="N393" s="49">
        <f>Tabela1[[#This Row],[1QZ DE FEV 26]]-Tabela1[[#This Row],[SALDO PENDENTE]]-Tabela1[[#This Row],[SALDO CARTAO]]-Tabela1[[#This Row],[ADIANTAMENTO]]</f>
        <v>-2282.3999999999996</v>
      </c>
      <c r="O393" s="49">
        <v>0</v>
      </c>
      <c r="P393" s="50">
        <f>IF(Tabela1[[#This Row],[CARGA PARCIAL]]&lt;0,0,Tabela1[[#This Row],[CARGA PARCIAL]])+Tabela1[[#This Row],[REEMBOLSO]]</f>
        <v>0</v>
      </c>
      <c r="Q393" s="44" t="s">
        <v>27</v>
      </c>
      <c r="R393" s="29"/>
    </row>
    <row r="394" spans="2:18" hidden="1">
      <c r="B394" s="17" t="s">
        <v>975</v>
      </c>
      <c r="C394" s="17" t="s">
        <v>976</v>
      </c>
      <c r="D394" s="17" t="s">
        <v>23</v>
      </c>
      <c r="E394" s="17" t="s">
        <v>58</v>
      </c>
      <c r="F394" s="17">
        <v>1104150001</v>
      </c>
      <c r="G394" s="17" t="s">
        <v>59</v>
      </c>
      <c r="H394" s="17" t="s">
        <v>51</v>
      </c>
      <c r="I394" s="30">
        <v>0</v>
      </c>
      <c r="J394" s="30">
        <v>1412.69</v>
      </c>
      <c r="K394" s="30">
        <v>0</v>
      </c>
      <c r="L394" s="30">
        <v>200.02</v>
      </c>
      <c r="M394" s="30">
        <v>0</v>
      </c>
      <c r="N394" s="30">
        <f>Tabela1[[#This Row],[1QZ DE FEV 26]]-Tabela1[[#This Row],[SALDO PENDENTE]]-Tabela1[[#This Row],[SALDO CARTAO]]-Tabela1[[#This Row],[ADIANTAMENTO]]</f>
        <v>-1612.71</v>
      </c>
      <c r="O394" s="30">
        <v>0</v>
      </c>
      <c r="P394" s="39">
        <f>IF(Tabela1[[#This Row],[CARGA PARCIAL]]&lt;0,0,Tabela1[[#This Row],[CARGA PARCIAL]])+Tabela1[[#This Row],[REEMBOLSO]]</f>
        <v>0</v>
      </c>
      <c r="Q394" s="18" t="s">
        <v>27</v>
      </c>
      <c r="R394" s="18"/>
    </row>
    <row r="395" spans="2:18" hidden="1">
      <c r="B395" s="17" t="s">
        <v>977</v>
      </c>
      <c r="C395" s="17" t="s">
        <v>978</v>
      </c>
      <c r="D395" s="17" t="s">
        <v>23</v>
      </c>
      <c r="E395" s="17" t="s">
        <v>58</v>
      </c>
      <c r="F395" s="17">
        <v>1104150001</v>
      </c>
      <c r="G395" s="17" t="s">
        <v>59</v>
      </c>
      <c r="H395" s="17" t="s">
        <v>51</v>
      </c>
      <c r="I395" s="30">
        <v>0</v>
      </c>
      <c r="J395" s="30">
        <v>118</v>
      </c>
      <c r="K395" s="30">
        <v>0</v>
      </c>
      <c r="L395" s="30">
        <v>139.75</v>
      </c>
      <c r="M395" s="30">
        <v>0</v>
      </c>
      <c r="N395" s="30">
        <f>Tabela1[[#This Row],[1QZ DE FEV 26]]-Tabela1[[#This Row],[SALDO PENDENTE]]-Tabela1[[#This Row],[SALDO CARTAO]]-Tabela1[[#This Row],[ADIANTAMENTO]]</f>
        <v>-257.75</v>
      </c>
      <c r="O395" s="30">
        <v>0</v>
      </c>
      <c r="P395" s="39">
        <f>IF(Tabela1[[#This Row],[CARGA PARCIAL]]&lt;0,0,Tabela1[[#This Row],[CARGA PARCIAL]])+Tabela1[[#This Row],[REEMBOLSO]]</f>
        <v>0</v>
      </c>
      <c r="Q395" s="18" t="s">
        <v>27</v>
      </c>
      <c r="R395" s="18"/>
    </row>
    <row r="396" spans="2:18" hidden="1">
      <c r="B396" s="42" t="s">
        <v>979</v>
      </c>
      <c r="C396" s="22" t="s">
        <v>980</v>
      </c>
      <c r="D396" s="17" t="s">
        <v>23</v>
      </c>
      <c r="E396" s="17" t="s">
        <v>122</v>
      </c>
      <c r="F396" s="17">
        <v>11040130001</v>
      </c>
      <c r="G396" s="20" t="s">
        <v>55</v>
      </c>
      <c r="H396" s="17" t="s">
        <v>51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f>Tabela1[[#This Row],[1QZ DE FEV 26]]-Tabela1[[#This Row],[SALDO PENDENTE]]-Tabela1[[#This Row],[SALDO CARTAO]]-Tabela1[[#This Row],[ADIANTAMENTO]]</f>
        <v>0</v>
      </c>
      <c r="O396" s="30">
        <v>0</v>
      </c>
      <c r="P396" s="39">
        <f>IF(Tabela1[[#This Row],[CARGA PARCIAL]]&lt;0,0,Tabela1[[#This Row],[CARGA PARCIAL]])+Tabela1[[#This Row],[REEMBOLSO]]</f>
        <v>0</v>
      </c>
      <c r="Q396" s="18" t="s">
        <v>27</v>
      </c>
      <c r="R396" s="18"/>
    </row>
    <row r="397" spans="2:18" hidden="1">
      <c r="B397" s="41" t="s">
        <v>981</v>
      </c>
      <c r="C397" s="22" t="s">
        <v>982</v>
      </c>
      <c r="D397" s="17" t="s">
        <v>23</v>
      </c>
      <c r="E397" s="17" t="s">
        <v>132</v>
      </c>
      <c r="F397" s="17">
        <v>11040160001</v>
      </c>
      <c r="G397" s="20" t="s">
        <v>63</v>
      </c>
      <c r="H397" s="17" t="s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f>Tabela1[[#This Row],[1QZ DE FEV 26]]-Tabela1[[#This Row],[SALDO PENDENTE]]-Tabela1[[#This Row],[SALDO CARTAO]]-Tabela1[[#This Row],[ADIANTAMENTO]]</f>
        <v>0</v>
      </c>
      <c r="O397" s="30">
        <v>0</v>
      </c>
      <c r="P397" s="39">
        <f>IF(Tabela1[[#This Row],[CARGA PARCIAL]]&lt;0,0,Tabela1[[#This Row],[CARGA PARCIAL]])+Tabela1[[#This Row],[REEMBOLSO]]</f>
        <v>0</v>
      </c>
      <c r="Q397" s="18" t="s">
        <v>184</v>
      </c>
      <c r="R397" s="18"/>
    </row>
    <row r="398" spans="2:18" hidden="1">
      <c r="B398" s="42" t="s">
        <v>983</v>
      </c>
      <c r="C398" s="22" t="s">
        <v>984</v>
      </c>
      <c r="D398" s="17" t="s">
        <v>23</v>
      </c>
      <c r="E398" s="17" t="s">
        <v>293</v>
      </c>
      <c r="F398" s="17">
        <v>1201071</v>
      </c>
      <c r="G398" s="20" t="s">
        <v>55</v>
      </c>
      <c r="H398" s="17" t="s">
        <v>51</v>
      </c>
      <c r="I398" s="30">
        <v>0</v>
      </c>
      <c r="J398" s="30">
        <v>94.89999999999992</v>
      </c>
      <c r="K398" s="30">
        <v>700</v>
      </c>
      <c r="L398" s="30">
        <v>140.19999999999999</v>
      </c>
      <c r="M398" s="30">
        <v>0</v>
      </c>
      <c r="N398" s="30">
        <f>Tabela1[[#This Row],[1QZ DE FEV 26]]-Tabela1[[#This Row],[SALDO PENDENTE]]-Tabela1[[#This Row],[SALDO CARTAO]]-Tabela1[[#This Row],[ADIANTAMENTO]]</f>
        <v>464.90000000000015</v>
      </c>
      <c r="O398" s="30">
        <v>0</v>
      </c>
      <c r="P398" s="39">
        <f>IF(Tabela1[[#This Row],[CARGA PARCIAL]]&lt;0,0,Tabela1[[#This Row],[CARGA PARCIAL]])+Tabela1[[#This Row],[REEMBOLSO]]</f>
        <v>464.90000000000015</v>
      </c>
      <c r="Q398" s="18" t="s">
        <v>27</v>
      </c>
      <c r="R398" s="18"/>
    </row>
    <row r="399" spans="2:18" hidden="1">
      <c r="B399" s="42" t="s">
        <v>985</v>
      </c>
      <c r="C399" s="22" t="s">
        <v>986</v>
      </c>
      <c r="D399" s="17" t="s">
        <v>23</v>
      </c>
      <c r="E399" s="17" t="s">
        <v>987</v>
      </c>
      <c r="F399" s="17">
        <v>11061310001</v>
      </c>
      <c r="G399" s="20" t="s">
        <v>55</v>
      </c>
      <c r="H399" s="17" t="s">
        <v>51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f>Tabela1[[#This Row],[1QZ DE FEV 26]]-Tabela1[[#This Row],[SALDO PENDENTE]]-Tabela1[[#This Row],[SALDO CARTAO]]-Tabela1[[#This Row],[ADIANTAMENTO]]</f>
        <v>0</v>
      </c>
      <c r="O399" s="30">
        <v>0</v>
      </c>
      <c r="P399" s="39">
        <f>IF(Tabela1[[#This Row],[CARGA PARCIAL]]&lt;0,0,Tabela1[[#This Row],[CARGA PARCIAL]])+Tabela1[[#This Row],[REEMBOLSO]]</f>
        <v>0</v>
      </c>
      <c r="Q399" s="18" t="s">
        <v>184</v>
      </c>
      <c r="R399" s="18"/>
    </row>
    <row r="400" spans="2:18" hidden="1">
      <c r="B400" s="17" t="s">
        <v>988</v>
      </c>
      <c r="C400" s="17" t="s">
        <v>989</v>
      </c>
      <c r="D400" s="17" t="s">
        <v>23</v>
      </c>
      <c r="E400" s="17" t="s">
        <v>175</v>
      </c>
      <c r="F400" s="17">
        <v>1201020</v>
      </c>
      <c r="G400" s="17" t="s">
        <v>176</v>
      </c>
      <c r="H400" s="17" t="s">
        <v>177</v>
      </c>
      <c r="I400" s="30">
        <v>0</v>
      </c>
      <c r="J400" s="30">
        <v>0</v>
      </c>
      <c r="K400" s="30">
        <v>0</v>
      </c>
      <c r="L400" s="30">
        <v>149.62</v>
      </c>
      <c r="M400" s="30">
        <v>0</v>
      </c>
      <c r="N400" s="30">
        <f>Tabela1[[#This Row],[1QZ DE FEV 26]]-Tabela1[[#This Row],[SALDO PENDENTE]]-Tabela1[[#This Row],[SALDO CARTAO]]-Tabela1[[#This Row],[ADIANTAMENTO]]</f>
        <v>-149.62</v>
      </c>
      <c r="O400" s="30">
        <v>0</v>
      </c>
      <c r="P400" s="39">
        <f>IF(Tabela1[[#This Row],[CARGA PARCIAL]]&lt;0,0,Tabela1[[#This Row],[CARGA PARCIAL]])+Tabela1[[#This Row],[REEMBOLSO]]</f>
        <v>0</v>
      </c>
      <c r="Q400" s="18" t="s">
        <v>27</v>
      </c>
      <c r="R400" s="18"/>
    </row>
    <row r="401" spans="2:18" hidden="1">
      <c r="B401" s="17" t="s">
        <v>990</v>
      </c>
      <c r="C401" s="17" t="s">
        <v>991</v>
      </c>
      <c r="D401" s="17" t="s">
        <v>23</v>
      </c>
      <c r="E401" s="17" t="s">
        <v>58</v>
      </c>
      <c r="F401" s="17">
        <v>1104150001</v>
      </c>
      <c r="G401" s="17" t="s">
        <v>59</v>
      </c>
      <c r="H401" s="17" t="s">
        <v>51</v>
      </c>
      <c r="I401" s="30">
        <v>0</v>
      </c>
      <c r="J401" s="30">
        <v>110.07999999999976</v>
      </c>
      <c r="K401" s="31">
        <v>0</v>
      </c>
      <c r="L401" s="30">
        <v>511.95</v>
      </c>
      <c r="M401" s="30">
        <v>0</v>
      </c>
      <c r="N401" s="38">
        <f>Tabela1[[#This Row],[1QZ DE FEV 26]]-Tabela1[[#This Row],[SALDO PENDENTE]]-Tabela1[[#This Row],[SALDO CARTAO]]-Tabela1[[#This Row],[ADIANTAMENTO]]</f>
        <v>-622.02999999999975</v>
      </c>
      <c r="O401" s="38">
        <v>0</v>
      </c>
      <c r="P401" s="39">
        <f>IF(Tabela1[[#This Row],[CARGA PARCIAL]]&lt;0,0,Tabela1[[#This Row],[CARGA PARCIAL]])+Tabela1[[#This Row],[REEMBOLSO]]</f>
        <v>0</v>
      </c>
      <c r="Q401" s="40" t="s">
        <v>27</v>
      </c>
      <c r="R401" s="18"/>
    </row>
    <row r="402" spans="2:18" hidden="1">
      <c r="B402" s="19" t="s">
        <v>992</v>
      </c>
      <c r="C402" s="19" t="s">
        <v>993</v>
      </c>
      <c r="D402" s="19" t="s">
        <v>23</v>
      </c>
      <c r="E402" s="19" t="s">
        <v>917</v>
      </c>
      <c r="F402" s="19">
        <v>11063050001</v>
      </c>
      <c r="G402" s="19" t="s">
        <v>71</v>
      </c>
      <c r="H402" s="19" t="s">
        <v>51</v>
      </c>
      <c r="I402" s="30">
        <v>0</v>
      </c>
      <c r="J402" s="30">
        <v>950</v>
      </c>
      <c r="K402" s="31">
        <v>0</v>
      </c>
      <c r="L402" s="30">
        <v>3</v>
      </c>
      <c r="M402" s="31">
        <v>0</v>
      </c>
      <c r="N402" s="49">
        <f>Tabela1[[#This Row],[1QZ DE FEV 26]]-Tabela1[[#This Row],[SALDO PENDENTE]]-Tabela1[[#This Row],[SALDO CARTAO]]-Tabela1[[#This Row],[ADIANTAMENTO]]</f>
        <v>-953</v>
      </c>
      <c r="O402" s="49">
        <v>0</v>
      </c>
      <c r="P402" s="50">
        <f>IF(Tabela1[[#This Row],[CARGA PARCIAL]]&lt;0,0,Tabela1[[#This Row],[CARGA PARCIAL]])+Tabela1[[#This Row],[REEMBOLSO]]</f>
        <v>0</v>
      </c>
      <c r="Q402" s="44" t="s">
        <v>27</v>
      </c>
      <c r="R402" s="29"/>
    </row>
    <row r="403" spans="2:18" hidden="1">
      <c r="B403" s="17" t="s">
        <v>994</v>
      </c>
      <c r="C403" s="17" t="s">
        <v>995</v>
      </c>
      <c r="D403" s="17" t="s">
        <v>23</v>
      </c>
      <c r="E403" s="17" t="s">
        <v>996</v>
      </c>
      <c r="F403" s="17">
        <v>11010350001</v>
      </c>
      <c r="G403" s="17" t="s">
        <v>25</v>
      </c>
      <c r="H403" s="17" t="s">
        <v>26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f>Tabela1[[#This Row],[1QZ DE FEV 26]]-Tabela1[[#This Row],[SALDO PENDENTE]]-Tabela1[[#This Row],[SALDO CARTAO]]-Tabela1[[#This Row],[ADIANTAMENTO]]</f>
        <v>0</v>
      </c>
      <c r="O403" s="30">
        <v>0</v>
      </c>
      <c r="P403" s="39">
        <f>IF(Tabela1[[#This Row],[CARGA PARCIAL]]&lt;0,0,Tabela1[[#This Row],[CARGA PARCIAL]])+Tabela1[[#This Row],[REEMBOLSO]]</f>
        <v>0</v>
      </c>
      <c r="Q403" s="18" t="s">
        <v>184</v>
      </c>
      <c r="R403" s="18"/>
    </row>
    <row r="404" spans="2:18" hidden="1">
      <c r="B404" s="17" t="s">
        <v>997</v>
      </c>
      <c r="C404" s="17" t="s">
        <v>998</v>
      </c>
      <c r="D404" s="17" t="s">
        <v>23</v>
      </c>
      <c r="E404" s="17" t="s">
        <v>800</v>
      </c>
      <c r="F404" s="17">
        <v>12010510001</v>
      </c>
      <c r="G404" s="20" t="s">
        <v>999</v>
      </c>
      <c r="H404" s="17" t="s">
        <v>177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f>Tabela1[[#This Row],[1QZ DE FEV 26]]-Tabela1[[#This Row],[SALDO PENDENTE]]-Tabela1[[#This Row],[SALDO CARTAO]]-Tabela1[[#This Row],[ADIANTAMENTO]]</f>
        <v>0</v>
      </c>
      <c r="O404" s="30">
        <v>0</v>
      </c>
      <c r="P404" s="39">
        <f>IF(Tabela1[[#This Row],[CARGA PARCIAL]]&lt;0,0,Tabela1[[#This Row],[CARGA PARCIAL]])+Tabela1[[#This Row],[REEMBOLSO]]</f>
        <v>0</v>
      </c>
      <c r="Q404" s="18" t="s">
        <v>184</v>
      </c>
      <c r="R404" s="18"/>
    </row>
    <row r="405" spans="2:18" hidden="1">
      <c r="B405" s="17" t="s">
        <v>1000</v>
      </c>
      <c r="C405" s="17" t="s">
        <v>1001</v>
      </c>
      <c r="D405" s="17" t="s">
        <v>23</v>
      </c>
      <c r="E405" s="17" t="s">
        <v>58</v>
      </c>
      <c r="F405" s="17">
        <v>1104150001</v>
      </c>
      <c r="G405" s="17" t="s">
        <v>59</v>
      </c>
      <c r="H405" s="17" t="s">
        <v>51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f>Tabela1[[#This Row],[1QZ DE FEV 26]]-Tabela1[[#This Row],[SALDO PENDENTE]]-Tabela1[[#This Row],[SALDO CARTAO]]-Tabela1[[#This Row],[ADIANTAMENTO]]</f>
        <v>0</v>
      </c>
      <c r="O405" s="30">
        <v>0</v>
      </c>
      <c r="P405" s="39">
        <f>IF(Tabela1[[#This Row],[CARGA PARCIAL]]&lt;0,0,Tabela1[[#This Row],[CARGA PARCIAL]])+Tabela1[[#This Row],[REEMBOLSO]]</f>
        <v>0</v>
      </c>
      <c r="Q405" s="18" t="s">
        <v>184</v>
      </c>
      <c r="R405" s="18"/>
    </row>
    <row r="406" spans="2:18" hidden="1">
      <c r="B406" s="17" t="s">
        <v>629</v>
      </c>
      <c r="C406" s="17" t="s">
        <v>1002</v>
      </c>
      <c r="D406" s="17" t="s">
        <v>23</v>
      </c>
      <c r="E406" s="17" t="s">
        <v>628</v>
      </c>
      <c r="F406" s="17">
        <v>1201004</v>
      </c>
      <c r="G406" s="20" t="s">
        <v>629</v>
      </c>
      <c r="H406" s="17" t="s">
        <v>630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f>Tabela1[[#This Row],[1QZ DE FEV 26]]-Tabela1[[#This Row],[SALDO PENDENTE]]-Tabela1[[#This Row],[SALDO CARTAO]]-Tabela1[[#This Row],[ADIANTAMENTO]]</f>
        <v>0</v>
      </c>
      <c r="O406" s="30">
        <v>0</v>
      </c>
      <c r="P406" s="39">
        <f>IF(Tabela1[[#This Row],[CARGA PARCIAL]]&lt;0,0,Tabela1[[#This Row],[CARGA PARCIAL]])+Tabela1[[#This Row],[REEMBOLSO]]</f>
        <v>0</v>
      </c>
      <c r="Q406" s="18" t="s">
        <v>184</v>
      </c>
      <c r="R406" s="18"/>
    </row>
    <row r="407" spans="2:18" hidden="1">
      <c r="B407" s="17" t="s">
        <v>1003</v>
      </c>
      <c r="C407" s="17" t="s">
        <v>1004</v>
      </c>
      <c r="D407" s="17" t="s">
        <v>23</v>
      </c>
      <c r="E407" s="17" t="s">
        <v>800</v>
      </c>
      <c r="F407" s="17">
        <v>12010510001</v>
      </c>
      <c r="G407" s="20" t="s">
        <v>999</v>
      </c>
      <c r="H407" s="17" t="s">
        <v>177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f>Tabela1[[#This Row],[1QZ DE FEV 26]]-Tabela1[[#This Row],[SALDO PENDENTE]]-Tabela1[[#This Row],[SALDO CARTAO]]-Tabela1[[#This Row],[ADIANTAMENTO]]</f>
        <v>0</v>
      </c>
      <c r="O407" s="30">
        <v>0</v>
      </c>
      <c r="P407" s="39">
        <f>IF(Tabela1[[#This Row],[CARGA PARCIAL]]&lt;0,0,Tabela1[[#This Row],[CARGA PARCIAL]])+Tabela1[[#This Row],[REEMBOLSO]]</f>
        <v>0</v>
      </c>
      <c r="Q407" s="18" t="s">
        <v>145</v>
      </c>
      <c r="R407" s="18"/>
    </row>
    <row r="408" spans="2:18" hidden="1">
      <c r="B408" s="17" t="s">
        <v>1005</v>
      </c>
      <c r="C408" s="17" t="s">
        <v>1006</v>
      </c>
      <c r="D408" s="17" t="s">
        <v>23</v>
      </c>
      <c r="E408" s="17" t="s">
        <v>1007</v>
      </c>
      <c r="F408" s="17">
        <v>1001008</v>
      </c>
      <c r="G408" s="17" t="s">
        <v>898</v>
      </c>
      <c r="H408" s="17" t="s">
        <v>899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f>Tabela1[[#This Row],[1QZ DE FEV 26]]-Tabela1[[#This Row],[SALDO PENDENTE]]-Tabela1[[#This Row],[SALDO CARTAO]]-Tabela1[[#This Row],[ADIANTAMENTO]]</f>
        <v>0</v>
      </c>
      <c r="O408" s="30">
        <v>0</v>
      </c>
      <c r="P408" s="39">
        <f>IF(Tabela1[[#This Row],[CARGA PARCIAL]]&lt;0,0,Tabela1[[#This Row],[CARGA PARCIAL]])+Tabela1[[#This Row],[REEMBOLSO]]</f>
        <v>0</v>
      </c>
      <c r="Q408" s="18" t="s">
        <v>184</v>
      </c>
      <c r="R408" s="18"/>
    </row>
    <row r="409" spans="2:18" hidden="1">
      <c r="B409" s="17" t="s">
        <v>1008</v>
      </c>
      <c r="C409" s="17" t="s">
        <v>1009</v>
      </c>
      <c r="D409" s="17" t="s">
        <v>23</v>
      </c>
      <c r="E409" s="17" t="s">
        <v>1010</v>
      </c>
      <c r="F409" s="17">
        <v>11030670001</v>
      </c>
      <c r="G409" s="20" t="s">
        <v>35</v>
      </c>
      <c r="H409" s="17" t="s">
        <v>26</v>
      </c>
      <c r="I409" s="30">
        <v>0</v>
      </c>
      <c r="J409" s="30">
        <v>0</v>
      </c>
      <c r="K409" s="30">
        <v>0</v>
      </c>
      <c r="L409" s="30">
        <v>4.33</v>
      </c>
      <c r="M409" s="30">
        <v>0</v>
      </c>
      <c r="N409" s="30">
        <f>Tabela1[[#This Row],[1QZ DE FEV 26]]-Tabela1[[#This Row],[SALDO PENDENTE]]-Tabela1[[#This Row],[SALDO CARTAO]]-Tabela1[[#This Row],[ADIANTAMENTO]]</f>
        <v>-4.33</v>
      </c>
      <c r="O409" s="30">
        <v>0</v>
      </c>
      <c r="P409" s="39">
        <f>IF(Tabela1[[#This Row],[CARGA PARCIAL]]&lt;0,0,Tabela1[[#This Row],[CARGA PARCIAL]])+Tabela1[[#This Row],[REEMBOLSO]]</f>
        <v>0</v>
      </c>
      <c r="Q409" s="18" t="s">
        <v>145</v>
      </c>
      <c r="R409" s="18"/>
    </row>
    <row r="410" spans="2:18" hidden="1">
      <c r="B410" s="19" t="s">
        <v>1011</v>
      </c>
      <c r="C410" s="19" t="s">
        <v>1012</v>
      </c>
      <c r="D410" s="19" t="s">
        <v>23</v>
      </c>
      <c r="E410" s="19" t="s">
        <v>122</v>
      </c>
      <c r="F410" s="19">
        <v>11040130001</v>
      </c>
      <c r="G410" s="19" t="s">
        <v>59</v>
      </c>
      <c r="H410" s="19" t="s">
        <v>51</v>
      </c>
      <c r="I410" s="30">
        <v>0</v>
      </c>
      <c r="J410" s="30">
        <v>26.67</v>
      </c>
      <c r="K410" s="31">
        <v>0</v>
      </c>
      <c r="L410" s="30">
        <v>0.57999999999999996</v>
      </c>
      <c r="M410" s="31">
        <v>0</v>
      </c>
      <c r="N410" s="49">
        <f>Tabela1[[#This Row],[1QZ DE FEV 26]]-Tabela1[[#This Row],[SALDO PENDENTE]]-Tabela1[[#This Row],[SALDO CARTAO]]-Tabela1[[#This Row],[ADIANTAMENTO]]</f>
        <v>-27.25</v>
      </c>
      <c r="O410" s="49">
        <v>0</v>
      </c>
      <c r="P410" s="50">
        <f>IF(Tabela1[[#This Row],[CARGA PARCIAL]]&lt;0,0,Tabela1[[#This Row],[CARGA PARCIAL]])+Tabela1[[#This Row],[REEMBOLSO]]</f>
        <v>0</v>
      </c>
      <c r="Q410" s="44" t="s">
        <v>27</v>
      </c>
      <c r="R410" s="29"/>
    </row>
    <row r="411" spans="2:18" hidden="1">
      <c r="B411" s="17" t="s">
        <v>1013</v>
      </c>
      <c r="C411" s="17" t="s">
        <v>1014</v>
      </c>
      <c r="D411" s="17" t="s">
        <v>23</v>
      </c>
      <c r="E411" s="17" t="s">
        <v>897</v>
      </c>
      <c r="F411" s="17">
        <v>1001003</v>
      </c>
      <c r="G411" s="20" t="s">
        <v>1015</v>
      </c>
      <c r="H411" s="17" t="s">
        <v>899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f>Tabela1[[#This Row],[1QZ DE FEV 26]]-Tabela1[[#This Row],[SALDO PENDENTE]]-Tabela1[[#This Row],[SALDO CARTAO]]-Tabela1[[#This Row],[ADIANTAMENTO]]</f>
        <v>0</v>
      </c>
      <c r="O411" s="30">
        <v>0</v>
      </c>
      <c r="P411" s="39">
        <f>IF(Tabela1[[#This Row],[CARGA PARCIAL]]&lt;0,0,Tabela1[[#This Row],[CARGA PARCIAL]])+Tabela1[[#This Row],[REEMBOLSO]]</f>
        <v>0</v>
      </c>
      <c r="Q411" s="18" t="s">
        <v>145</v>
      </c>
      <c r="R411" s="18"/>
    </row>
    <row r="412" spans="2:18" hidden="1">
      <c r="B412" s="17" t="s">
        <v>1016</v>
      </c>
      <c r="C412" s="17" t="s">
        <v>1017</v>
      </c>
      <c r="D412" s="17" t="s">
        <v>23</v>
      </c>
      <c r="E412" s="17" t="s">
        <v>58</v>
      </c>
      <c r="F412" s="17">
        <v>1104150001</v>
      </c>
      <c r="G412" s="17" t="s">
        <v>59</v>
      </c>
      <c r="H412" s="17" t="s">
        <v>51</v>
      </c>
      <c r="I412" s="30">
        <v>0</v>
      </c>
      <c r="J412" s="30">
        <v>0</v>
      </c>
      <c r="K412" s="30">
        <v>0</v>
      </c>
      <c r="L412" s="30">
        <v>21.99</v>
      </c>
      <c r="M412" s="30">
        <v>0</v>
      </c>
      <c r="N412" s="30">
        <f>Tabela1[[#This Row],[1QZ DE FEV 26]]-Tabela1[[#This Row],[SALDO PENDENTE]]-Tabela1[[#This Row],[SALDO CARTAO]]-Tabela1[[#This Row],[ADIANTAMENTO]]</f>
        <v>-21.99</v>
      </c>
      <c r="O412" s="30">
        <v>0</v>
      </c>
      <c r="P412" s="39">
        <f>IF(Tabela1[[#This Row],[CARGA PARCIAL]]&lt;0,0,Tabela1[[#This Row],[CARGA PARCIAL]])+Tabela1[[#This Row],[REEMBOLSO]]</f>
        <v>0</v>
      </c>
      <c r="Q412" s="18" t="s">
        <v>145</v>
      </c>
      <c r="R412" s="18"/>
    </row>
    <row r="413" spans="2:18" hidden="1">
      <c r="B413" s="41" t="s">
        <v>1018</v>
      </c>
      <c r="C413" s="22" t="s">
        <v>1019</v>
      </c>
      <c r="D413" s="17" t="s">
        <v>23</v>
      </c>
      <c r="E413" s="17" t="s">
        <v>196</v>
      </c>
      <c r="F413" s="17">
        <v>11061720001</v>
      </c>
      <c r="G413" s="20" t="s">
        <v>55</v>
      </c>
      <c r="H413" s="17" t="s">
        <v>51</v>
      </c>
      <c r="I413" s="30">
        <v>-7.0000000000011369</v>
      </c>
      <c r="J413" s="30">
        <v>0</v>
      </c>
      <c r="K413" s="30">
        <v>800</v>
      </c>
      <c r="L413" s="30">
        <v>561.78</v>
      </c>
      <c r="M413" s="30">
        <v>0</v>
      </c>
      <c r="N413" s="30">
        <f>Tabela1[[#This Row],[1QZ DE FEV 26]]-Tabela1[[#This Row],[SALDO PENDENTE]]-Tabela1[[#This Row],[SALDO CARTAO]]-Tabela1[[#This Row],[ADIANTAMENTO]]</f>
        <v>238.22000000000003</v>
      </c>
      <c r="O413" s="30"/>
      <c r="P413" s="45">
        <f>IF(Tabela1[[#This Row],[CARGA PARCIAL]]&lt;0,0,Tabela1[[#This Row],[CARGA PARCIAL]])+Tabela1[[#This Row],[REEMBOLSO]]</f>
        <v>238.22000000000003</v>
      </c>
      <c r="Q413" s="18" t="s">
        <v>27</v>
      </c>
      <c r="R413" s="18"/>
    </row>
    <row r="414" spans="2:18" hidden="1">
      <c r="B414" s="17" t="s">
        <v>1020</v>
      </c>
      <c r="C414" s="17" t="s">
        <v>1021</v>
      </c>
      <c r="D414" s="17" t="s">
        <v>23</v>
      </c>
      <c r="E414" s="17" t="s">
        <v>710</v>
      </c>
      <c r="F414" s="17">
        <v>11050090001</v>
      </c>
      <c r="G414" s="20" t="s">
        <v>35</v>
      </c>
      <c r="H414" s="17" t="s">
        <v>26</v>
      </c>
      <c r="I414" s="30">
        <v>0</v>
      </c>
      <c r="J414" s="30">
        <v>0</v>
      </c>
      <c r="K414" s="30">
        <v>0</v>
      </c>
      <c r="L414" s="30">
        <v>153</v>
      </c>
      <c r="M414" s="30">
        <v>0</v>
      </c>
      <c r="N414" s="30">
        <f>Tabela1[[#This Row],[1QZ DE FEV 26]]-Tabela1[[#This Row],[SALDO PENDENTE]]-Tabela1[[#This Row],[SALDO CARTAO]]-Tabela1[[#This Row],[ADIANTAMENTO]]</f>
        <v>-153</v>
      </c>
      <c r="O414" s="30">
        <v>0</v>
      </c>
      <c r="P414" s="39">
        <f>IF(Tabela1[[#This Row],[CARGA PARCIAL]]&lt;0,0,Tabela1[[#This Row],[CARGA PARCIAL]])+Tabela1[[#This Row],[REEMBOLSO]]</f>
        <v>0</v>
      </c>
      <c r="Q414" s="18" t="s">
        <v>145</v>
      </c>
      <c r="R414" s="18"/>
    </row>
    <row r="415" spans="2:18" hidden="1">
      <c r="B415" s="19" t="s">
        <v>1022</v>
      </c>
      <c r="C415" s="19" t="s">
        <v>1023</v>
      </c>
      <c r="D415" s="19" t="s">
        <v>23</v>
      </c>
      <c r="E415" s="19" t="s">
        <v>1024</v>
      </c>
      <c r="F415" s="19">
        <v>1001005</v>
      </c>
      <c r="G415" s="27" t="s">
        <v>898</v>
      </c>
      <c r="H415" s="19" t="s">
        <v>899</v>
      </c>
      <c r="I415" s="30">
        <v>0</v>
      </c>
      <c r="J415" s="30">
        <v>0</v>
      </c>
      <c r="K415" s="31">
        <v>0</v>
      </c>
      <c r="L415" s="30">
        <v>0</v>
      </c>
      <c r="M415" s="31">
        <v>0</v>
      </c>
      <c r="N415" s="49">
        <f>Tabela1[[#This Row],[1QZ DE FEV 26]]-Tabela1[[#This Row],[SALDO PENDENTE]]-Tabela1[[#This Row],[SALDO CARTAO]]-Tabela1[[#This Row],[ADIANTAMENTO]]</f>
        <v>0</v>
      </c>
      <c r="O415" s="49">
        <v>0</v>
      </c>
      <c r="P415" s="50">
        <f>IF(Tabela1[[#This Row],[CARGA PARCIAL]]&lt;0,0,Tabela1[[#This Row],[CARGA PARCIAL]])+Tabela1[[#This Row],[REEMBOLSO]]</f>
        <v>0</v>
      </c>
      <c r="Q415" s="44" t="s">
        <v>184</v>
      </c>
      <c r="R415" s="29"/>
    </row>
    <row r="416" spans="2:18" hidden="1">
      <c r="B416" s="17" t="s">
        <v>1025</v>
      </c>
      <c r="C416" s="17" t="s">
        <v>1026</v>
      </c>
      <c r="D416" s="17" t="s">
        <v>23</v>
      </c>
      <c r="E416" s="17" t="s">
        <v>1027</v>
      </c>
      <c r="F416" s="17">
        <v>11080180001</v>
      </c>
      <c r="G416" s="20" t="s">
        <v>35</v>
      </c>
      <c r="H416" s="17" t="s">
        <v>26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f>Tabela1[[#This Row],[1QZ DE FEV 26]]-Tabela1[[#This Row],[SALDO PENDENTE]]-Tabela1[[#This Row],[SALDO CARTAO]]-Tabela1[[#This Row],[ADIANTAMENTO]]</f>
        <v>0</v>
      </c>
      <c r="O416" s="30">
        <v>0</v>
      </c>
      <c r="P416" s="39">
        <f>IF(Tabela1[[#This Row],[CARGA PARCIAL]]&lt;0,0,Tabela1[[#This Row],[CARGA PARCIAL]])+Tabela1[[#This Row],[REEMBOLSO]]</f>
        <v>0</v>
      </c>
      <c r="Q416" s="18" t="s">
        <v>184</v>
      </c>
      <c r="R416" s="18"/>
    </row>
    <row r="417" spans="2:18" hidden="1">
      <c r="B417" s="42" t="s">
        <v>1028</v>
      </c>
      <c r="C417" s="22" t="s">
        <v>1029</v>
      </c>
      <c r="D417" s="17" t="s">
        <v>23</v>
      </c>
      <c r="E417" s="17" t="s">
        <v>222</v>
      </c>
      <c r="F417" s="17">
        <v>11062050001</v>
      </c>
      <c r="G417" s="20" t="s">
        <v>55</v>
      </c>
      <c r="H417" s="17" t="s">
        <v>51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f>Tabela1[[#This Row],[1QZ DE FEV 26]]-Tabela1[[#This Row],[SALDO PENDENTE]]-Tabela1[[#This Row],[SALDO CARTAO]]-Tabela1[[#This Row],[ADIANTAMENTO]]</f>
        <v>0</v>
      </c>
      <c r="O417" s="30">
        <v>0</v>
      </c>
      <c r="P417" s="39">
        <f>IF(Tabela1[[#This Row],[CARGA PARCIAL]]&lt;0,0,Tabela1[[#This Row],[CARGA PARCIAL]])+Tabela1[[#This Row],[REEMBOLSO]]</f>
        <v>0</v>
      </c>
      <c r="Q417" s="18" t="s">
        <v>184</v>
      </c>
      <c r="R417" s="18"/>
    </row>
    <row r="418" spans="2:18" hidden="1">
      <c r="B418" s="17" t="s">
        <v>1030</v>
      </c>
      <c r="C418" s="17" t="s">
        <v>1031</v>
      </c>
      <c r="D418" s="17" t="s">
        <v>23</v>
      </c>
      <c r="E418" s="17" t="s">
        <v>803</v>
      </c>
      <c r="F418" s="17">
        <v>11080200001</v>
      </c>
      <c r="G418" s="20" t="s">
        <v>25</v>
      </c>
      <c r="H418" s="17" t="s">
        <v>26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f>Tabela1[[#This Row],[1QZ DE FEV 26]]-Tabela1[[#This Row],[SALDO PENDENTE]]-Tabela1[[#This Row],[SALDO CARTAO]]-Tabela1[[#This Row],[ADIANTAMENTO]]</f>
        <v>0</v>
      </c>
      <c r="O418" s="30">
        <v>0</v>
      </c>
      <c r="P418" s="39">
        <f>IF(Tabela1[[#This Row],[CARGA PARCIAL]]&lt;0,0,Tabela1[[#This Row],[CARGA PARCIAL]])+Tabela1[[#This Row],[REEMBOLSO]]</f>
        <v>0</v>
      </c>
      <c r="Q418" s="18" t="s">
        <v>184</v>
      </c>
      <c r="R418" s="18"/>
    </row>
    <row r="419" spans="2:18" hidden="1">
      <c r="B419" s="46" t="s">
        <v>1032</v>
      </c>
      <c r="C419" s="47" t="s">
        <v>1033</v>
      </c>
      <c r="D419" s="19" t="s">
        <v>23</v>
      </c>
      <c r="E419" s="19" t="s">
        <v>30</v>
      </c>
      <c r="F419" s="19">
        <v>11030290001</v>
      </c>
      <c r="G419" s="27" t="s">
        <v>31</v>
      </c>
      <c r="H419" s="19" t="s">
        <v>26</v>
      </c>
      <c r="I419" s="30">
        <v>0</v>
      </c>
      <c r="J419" s="30">
        <v>1111.8300000000017</v>
      </c>
      <c r="K419" s="31">
        <v>0</v>
      </c>
      <c r="L419" s="30">
        <v>2</v>
      </c>
      <c r="M419" s="31">
        <v>0</v>
      </c>
      <c r="N419" s="49">
        <f>Tabela1[[#This Row],[1QZ DE FEV 26]]-Tabela1[[#This Row],[SALDO PENDENTE]]-Tabela1[[#This Row],[SALDO CARTAO]]-Tabela1[[#This Row],[ADIANTAMENTO]]</f>
        <v>-1113.8300000000017</v>
      </c>
      <c r="O419" s="49"/>
      <c r="P419" s="48">
        <f>IF(Tabela1[[#This Row],[CARGA PARCIAL]]&lt;0,0,Tabela1[[#This Row],[CARGA PARCIAL]])+Tabela1[[#This Row],[REEMBOLSO]]</f>
        <v>0</v>
      </c>
      <c r="Q419" s="44" t="s">
        <v>27</v>
      </c>
      <c r="R419" s="29"/>
    </row>
    <row r="420" spans="2:18" hidden="1">
      <c r="B420" s="42" t="s">
        <v>1034</v>
      </c>
      <c r="C420" s="22" t="s">
        <v>1035</v>
      </c>
      <c r="D420" s="17" t="s">
        <v>23</v>
      </c>
      <c r="E420" s="17" t="s">
        <v>125</v>
      </c>
      <c r="F420" s="17">
        <v>11040170001</v>
      </c>
      <c r="G420" s="20" t="s">
        <v>126</v>
      </c>
      <c r="H420" s="17" t="s">
        <v>26</v>
      </c>
      <c r="I420" s="30">
        <v>-66.590000000000032</v>
      </c>
      <c r="J420" s="30">
        <v>0</v>
      </c>
      <c r="K420" s="30">
        <v>0</v>
      </c>
      <c r="L420" s="30">
        <v>8</v>
      </c>
      <c r="M420" s="30">
        <v>0</v>
      </c>
      <c r="N420" s="30">
        <f>Tabela1[[#This Row],[1QZ DE FEV 26]]-Tabela1[[#This Row],[SALDO PENDENTE]]-Tabela1[[#This Row],[SALDO CARTAO]]-Tabela1[[#This Row],[ADIANTAMENTO]]</f>
        <v>-8</v>
      </c>
      <c r="O420" s="30">
        <v>0</v>
      </c>
      <c r="P420" s="39">
        <f>IF(Tabela1[[#This Row],[CARGA PARCIAL]]&lt;0,0,Tabela1[[#This Row],[CARGA PARCIAL]])+Tabela1[[#This Row],[REEMBOLSO]]</f>
        <v>0</v>
      </c>
      <c r="Q420" s="18" t="s">
        <v>27</v>
      </c>
      <c r="R420" s="18"/>
    </row>
    <row r="421" spans="2:18" hidden="1">
      <c r="B421" s="17" t="s">
        <v>1036</v>
      </c>
      <c r="C421" s="17" t="s">
        <v>1037</v>
      </c>
      <c r="D421" s="17" t="s">
        <v>23</v>
      </c>
      <c r="E421" s="17" t="s">
        <v>803</v>
      </c>
      <c r="F421" s="17">
        <v>11080200001</v>
      </c>
      <c r="G421" s="20" t="s">
        <v>25</v>
      </c>
      <c r="H421" s="17" t="s">
        <v>26</v>
      </c>
      <c r="I421" s="30">
        <v>0</v>
      </c>
      <c r="J421" s="30">
        <v>0</v>
      </c>
      <c r="K421" s="30">
        <v>0</v>
      </c>
      <c r="L421" s="30">
        <v>58.94</v>
      </c>
      <c r="M421" s="30">
        <v>0</v>
      </c>
      <c r="N421" s="30">
        <f>Tabela1[[#This Row],[1QZ DE FEV 26]]-Tabela1[[#This Row],[SALDO PENDENTE]]-Tabela1[[#This Row],[SALDO CARTAO]]-Tabela1[[#This Row],[ADIANTAMENTO]]</f>
        <v>-58.94</v>
      </c>
      <c r="O421" s="30">
        <v>0</v>
      </c>
      <c r="P421" s="39">
        <f>IF(Tabela1[[#This Row],[CARGA PARCIAL]]&lt;0,0,Tabela1[[#This Row],[CARGA PARCIAL]])+Tabela1[[#This Row],[REEMBOLSO]]</f>
        <v>0</v>
      </c>
      <c r="Q421" s="18" t="s">
        <v>27</v>
      </c>
      <c r="R421" s="18"/>
    </row>
    <row r="422" spans="2:18" hidden="1">
      <c r="B422" s="19" t="s">
        <v>1038</v>
      </c>
      <c r="C422" s="19" t="s">
        <v>1039</v>
      </c>
      <c r="D422" s="19" t="s">
        <v>23</v>
      </c>
      <c r="E422" s="19" t="s">
        <v>201</v>
      </c>
      <c r="F422" s="19">
        <v>11030890001</v>
      </c>
      <c r="G422" s="27" t="s">
        <v>25</v>
      </c>
      <c r="H422" s="19" t="s">
        <v>26</v>
      </c>
      <c r="I422" s="30">
        <v>0</v>
      </c>
      <c r="J422" s="30">
        <v>0</v>
      </c>
      <c r="K422" s="31">
        <v>0</v>
      </c>
      <c r="L422" s="30">
        <v>0</v>
      </c>
      <c r="M422" s="31">
        <v>0</v>
      </c>
      <c r="N422" s="49">
        <f>Tabela1[[#This Row],[1QZ DE FEV 26]]-Tabela1[[#This Row],[SALDO PENDENTE]]-Tabela1[[#This Row],[SALDO CARTAO]]-Tabela1[[#This Row],[ADIANTAMENTO]]</f>
        <v>0</v>
      </c>
      <c r="O422" s="49">
        <v>0</v>
      </c>
      <c r="P422" s="50">
        <f>IF(Tabela1[[#This Row],[CARGA PARCIAL]]&lt;0,0,Tabela1[[#This Row],[CARGA PARCIAL]])+Tabela1[[#This Row],[REEMBOLSO]]</f>
        <v>0</v>
      </c>
      <c r="Q422" s="44" t="s">
        <v>184</v>
      </c>
      <c r="R422" s="29"/>
    </row>
    <row r="423" spans="2:18" hidden="1">
      <c r="B423" s="17" t="s">
        <v>1040</v>
      </c>
      <c r="C423" s="17" t="s">
        <v>1041</v>
      </c>
      <c r="D423" s="17" t="s">
        <v>23</v>
      </c>
      <c r="E423" s="17" t="s">
        <v>803</v>
      </c>
      <c r="F423" s="17">
        <v>11080200001</v>
      </c>
      <c r="G423" s="20" t="s">
        <v>25</v>
      </c>
      <c r="H423" s="17" t="s">
        <v>26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f>Tabela1[[#This Row],[1QZ DE FEV 26]]-Tabela1[[#This Row],[SALDO PENDENTE]]-Tabela1[[#This Row],[SALDO CARTAO]]-Tabela1[[#This Row],[ADIANTAMENTO]]</f>
        <v>0</v>
      </c>
      <c r="O423" s="30">
        <v>0</v>
      </c>
      <c r="P423" s="39">
        <f>IF(Tabela1[[#This Row],[CARGA PARCIAL]]&lt;0,0,Tabela1[[#This Row],[CARGA PARCIAL]])+Tabela1[[#This Row],[REEMBOLSO]]</f>
        <v>0</v>
      </c>
      <c r="Q423" s="18" t="s">
        <v>184</v>
      </c>
      <c r="R423" s="18"/>
    </row>
    <row r="424" spans="2:18" hidden="1">
      <c r="B424" s="17" t="s">
        <v>1042</v>
      </c>
      <c r="C424" s="17" t="s">
        <v>1043</v>
      </c>
      <c r="D424" s="17" t="s">
        <v>23</v>
      </c>
      <c r="E424" s="17" t="s">
        <v>187</v>
      </c>
      <c r="F424" s="17">
        <v>11030570001</v>
      </c>
      <c r="G424" s="20" t="s">
        <v>71</v>
      </c>
      <c r="H424" s="17" t="s">
        <v>51</v>
      </c>
      <c r="I424" s="30">
        <v>0</v>
      </c>
      <c r="J424" s="30">
        <v>0</v>
      </c>
      <c r="K424" s="30">
        <v>0</v>
      </c>
      <c r="L424" s="30">
        <v>8.9</v>
      </c>
      <c r="M424" s="30">
        <v>0</v>
      </c>
      <c r="N424" s="30">
        <f>Tabela1[[#This Row],[1QZ DE FEV 26]]-Tabela1[[#This Row],[SALDO PENDENTE]]-Tabela1[[#This Row],[SALDO CARTAO]]-Tabela1[[#This Row],[ADIANTAMENTO]]</f>
        <v>-8.9</v>
      </c>
      <c r="O424" s="30">
        <v>0</v>
      </c>
      <c r="P424" s="39">
        <f>IF(Tabela1[[#This Row],[CARGA PARCIAL]]&lt;0,0,Tabela1[[#This Row],[CARGA PARCIAL]])+Tabela1[[#This Row],[REEMBOLSO]]</f>
        <v>0</v>
      </c>
      <c r="Q424" s="18" t="s">
        <v>27</v>
      </c>
      <c r="R424" s="18"/>
    </row>
    <row r="425" spans="2:18" hidden="1">
      <c r="B425" s="17" t="s">
        <v>1044</v>
      </c>
      <c r="C425" s="17" t="s">
        <v>1045</v>
      </c>
      <c r="D425" s="17" t="s">
        <v>23</v>
      </c>
      <c r="E425" s="17" t="s">
        <v>376</v>
      </c>
      <c r="F425" s="17">
        <v>1201005</v>
      </c>
      <c r="G425" s="20" t="s">
        <v>71</v>
      </c>
      <c r="H425" s="17" t="s">
        <v>51</v>
      </c>
      <c r="I425" s="30">
        <v>0</v>
      </c>
      <c r="J425" s="30">
        <v>3.979039320256561E-13</v>
      </c>
      <c r="K425" s="30">
        <v>0</v>
      </c>
      <c r="L425" s="30">
        <v>56.06</v>
      </c>
      <c r="M425" s="30">
        <v>0</v>
      </c>
      <c r="N425" s="30">
        <f>Tabela1[[#This Row],[1QZ DE FEV 26]]-Tabela1[[#This Row],[SALDO PENDENTE]]-Tabela1[[#This Row],[SALDO CARTAO]]-Tabela1[[#This Row],[ADIANTAMENTO]]</f>
        <v>-56.0600000000004</v>
      </c>
      <c r="O425" s="30">
        <v>0</v>
      </c>
      <c r="P425" s="39">
        <f>IF(Tabela1[[#This Row],[CARGA PARCIAL]]&lt;0,0,Tabela1[[#This Row],[CARGA PARCIAL]])+Tabela1[[#This Row],[REEMBOLSO]]</f>
        <v>0</v>
      </c>
      <c r="Q425" s="18" t="s">
        <v>27</v>
      </c>
      <c r="R425" s="18"/>
    </row>
    <row r="426" spans="2:18" hidden="1">
      <c r="B426" s="17" t="s">
        <v>1046</v>
      </c>
      <c r="C426" s="17" t="s">
        <v>1047</v>
      </c>
      <c r="D426" s="17" t="s">
        <v>23</v>
      </c>
      <c r="E426" s="17" t="s">
        <v>122</v>
      </c>
      <c r="F426" s="17">
        <v>11040130001</v>
      </c>
      <c r="G426" s="20" t="s">
        <v>59</v>
      </c>
      <c r="H426" s="17" t="s">
        <v>51</v>
      </c>
      <c r="I426" s="30">
        <v>0</v>
      </c>
      <c r="J426" s="30">
        <v>102</v>
      </c>
      <c r="K426" s="30">
        <v>0</v>
      </c>
      <c r="L426" s="30">
        <v>5</v>
      </c>
      <c r="M426" s="30">
        <v>0</v>
      </c>
      <c r="N426" s="30">
        <f>Tabela1[[#This Row],[1QZ DE FEV 26]]-Tabela1[[#This Row],[SALDO PENDENTE]]-Tabela1[[#This Row],[SALDO CARTAO]]-Tabela1[[#This Row],[ADIANTAMENTO]]</f>
        <v>-107</v>
      </c>
      <c r="O426" s="30">
        <v>0</v>
      </c>
      <c r="P426" s="39">
        <f>IF(Tabela1[[#This Row],[CARGA PARCIAL]]&lt;0,0,Tabela1[[#This Row],[CARGA PARCIAL]])+Tabela1[[#This Row],[REEMBOLSO]]</f>
        <v>0</v>
      </c>
      <c r="Q426" s="18" t="s">
        <v>27</v>
      </c>
      <c r="R426" s="18"/>
    </row>
    <row r="427" spans="2:18" hidden="1">
      <c r="B427" s="42" t="s">
        <v>1048</v>
      </c>
      <c r="C427" s="22" t="s">
        <v>1049</v>
      </c>
      <c r="D427" s="17" t="s">
        <v>23</v>
      </c>
      <c r="E427" s="17" t="s">
        <v>431</v>
      </c>
      <c r="F427" s="17">
        <v>11061400001</v>
      </c>
      <c r="G427" s="20" t="s">
        <v>55</v>
      </c>
      <c r="H427" s="17" t="s">
        <v>51</v>
      </c>
      <c r="I427" s="30">
        <v>0</v>
      </c>
      <c r="J427" s="30">
        <v>268.59999999999718</v>
      </c>
      <c r="K427" s="30">
        <v>700</v>
      </c>
      <c r="L427" s="30">
        <v>282.77</v>
      </c>
      <c r="M427" s="30">
        <v>0</v>
      </c>
      <c r="N427" s="30">
        <f>Tabela1[[#This Row],[1QZ DE FEV 26]]-Tabela1[[#This Row],[SALDO PENDENTE]]-Tabela1[[#This Row],[SALDO CARTAO]]-Tabela1[[#This Row],[ADIANTAMENTO]]</f>
        <v>148.63000000000284</v>
      </c>
      <c r="O427" s="30">
        <v>0</v>
      </c>
      <c r="P427" s="39">
        <f>IF(Tabela1[[#This Row],[CARGA PARCIAL]]&lt;0,0,Tabela1[[#This Row],[CARGA PARCIAL]])+Tabela1[[#This Row],[REEMBOLSO]]</f>
        <v>148.63000000000284</v>
      </c>
      <c r="Q427" s="18" t="s">
        <v>27</v>
      </c>
      <c r="R427" s="18"/>
    </row>
    <row r="428" spans="2:18" hidden="1">
      <c r="B428" s="17" t="s">
        <v>1050</v>
      </c>
      <c r="C428" s="17" t="s">
        <v>1051</v>
      </c>
      <c r="D428" s="17" t="s">
        <v>23</v>
      </c>
      <c r="E428" s="17" t="s">
        <v>363</v>
      </c>
      <c r="F428" s="17">
        <v>1201044</v>
      </c>
      <c r="G428" s="20" t="s">
        <v>25</v>
      </c>
      <c r="H428" s="17" t="s">
        <v>26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f>Tabela1[[#This Row],[1QZ DE FEV 26]]-Tabela1[[#This Row],[SALDO PENDENTE]]-Tabela1[[#This Row],[SALDO CARTAO]]-Tabela1[[#This Row],[ADIANTAMENTO]]</f>
        <v>0</v>
      </c>
      <c r="O428" s="30">
        <v>0</v>
      </c>
      <c r="P428" s="39">
        <f>IF(Tabela1[[#This Row],[CARGA PARCIAL]]&lt;0,0,Tabela1[[#This Row],[CARGA PARCIAL]])+Tabela1[[#This Row],[REEMBOLSO]]</f>
        <v>0</v>
      </c>
      <c r="Q428" s="18" t="s">
        <v>27</v>
      </c>
      <c r="R428" s="18"/>
    </row>
    <row r="429" spans="2:18" hidden="1">
      <c r="B429" s="17" t="s">
        <v>1052</v>
      </c>
      <c r="C429" s="17" t="s">
        <v>1053</v>
      </c>
      <c r="D429" s="17" t="s">
        <v>23</v>
      </c>
      <c r="E429" s="17" t="s">
        <v>193</v>
      </c>
      <c r="F429" s="17">
        <v>11061820001</v>
      </c>
      <c r="G429" s="20" t="s">
        <v>71</v>
      </c>
      <c r="H429" s="17" t="s">
        <v>51</v>
      </c>
      <c r="I429" s="30">
        <v>0</v>
      </c>
      <c r="J429" s="30">
        <v>933.18000000000029</v>
      </c>
      <c r="K429" s="30">
        <v>0</v>
      </c>
      <c r="L429" s="30">
        <v>4.53</v>
      </c>
      <c r="M429" s="30">
        <v>0</v>
      </c>
      <c r="N429" s="30">
        <f>Tabela1[[#This Row],[1QZ DE FEV 26]]-Tabela1[[#This Row],[SALDO PENDENTE]]-Tabela1[[#This Row],[SALDO CARTAO]]-Tabela1[[#This Row],[ADIANTAMENTO]]</f>
        <v>-937.71000000000026</v>
      </c>
      <c r="O429" s="30">
        <v>0</v>
      </c>
      <c r="P429" s="39">
        <f>IF(Tabela1[[#This Row],[CARGA PARCIAL]]&lt;0,0,Tabela1[[#This Row],[CARGA PARCIAL]])+Tabela1[[#This Row],[REEMBOLSO]]</f>
        <v>0</v>
      </c>
      <c r="Q429" s="18" t="s">
        <v>27</v>
      </c>
      <c r="R429" s="18"/>
    </row>
    <row r="430" spans="2:18" hidden="1">
      <c r="B430" s="17" t="s">
        <v>1054</v>
      </c>
      <c r="C430" s="17" t="s">
        <v>1055</v>
      </c>
      <c r="D430" s="17" t="s">
        <v>23</v>
      </c>
      <c r="E430" s="17" t="s">
        <v>917</v>
      </c>
      <c r="F430" s="17">
        <v>11063050001</v>
      </c>
      <c r="G430" s="20" t="s">
        <v>71</v>
      </c>
      <c r="H430" s="17" t="s">
        <v>51</v>
      </c>
      <c r="I430" s="30">
        <v>0</v>
      </c>
      <c r="J430" s="30">
        <v>47.900000000000006</v>
      </c>
      <c r="K430" s="30">
        <v>0</v>
      </c>
      <c r="L430" s="30">
        <v>64.099999999999994</v>
      </c>
      <c r="M430" s="30">
        <v>0</v>
      </c>
      <c r="N430" s="30">
        <f>Tabela1[[#This Row],[1QZ DE FEV 26]]-Tabela1[[#This Row],[SALDO PENDENTE]]-Tabela1[[#This Row],[SALDO CARTAO]]-Tabela1[[#This Row],[ADIANTAMENTO]]</f>
        <v>-112</v>
      </c>
      <c r="O430" s="30">
        <v>0</v>
      </c>
      <c r="P430" s="39">
        <f>IF(Tabela1[[#This Row],[CARGA PARCIAL]]&lt;0,0,Tabela1[[#This Row],[CARGA PARCIAL]])+Tabela1[[#This Row],[REEMBOLSO]]</f>
        <v>0</v>
      </c>
      <c r="Q430" s="18" t="s">
        <v>27</v>
      </c>
      <c r="R430" s="18"/>
    </row>
    <row r="431" spans="2:18" hidden="1">
      <c r="B431" s="17" t="s">
        <v>1056</v>
      </c>
      <c r="C431" s="17" t="s">
        <v>1057</v>
      </c>
      <c r="D431" s="17" t="s">
        <v>23</v>
      </c>
      <c r="E431" s="17" t="s">
        <v>637</v>
      </c>
      <c r="F431" s="17">
        <v>11062820001</v>
      </c>
      <c r="G431" s="20" t="s">
        <v>638</v>
      </c>
      <c r="H431" s="17" t="s">
        <v>177</v>
      </c>
      <c r="I431" s="30">
        <v>0</v>
      </c>
      <c r="J431" s="30">
        <v>120.1699999999999</v>
      </c>
      <c r="K431" s="30">
        <v>0</v>
      </c>
      <c r="L431" s="30">
        <v>158.44999999999999</v>
      </c>
      <c r="M431" s="30">
        <v>0</v>
      </c>
      <c r="N431" s="30">
        <f>Tabela1[[#This Row],[1QZ DE FEV 26]]-Tabela1[[#This Row],[SALDO PENDENTE]]-Tabela1[[#This Row],[SALDO CARTAO]]-Tabela1[[#This Row],[ADIANTAMENTO]]</f>
        <v>-278.61999999999989</v>
      </c>
      <c r="O431" s="30">
        <v>0</v>
      </c>
      <c r="P431" s="39">
        <f>IF(Tabela1[[#This Row],[CARGA PARCIAL]]&lt;0,0,Tabela1[[#This Row],[CARGA PARCIAL]])+Tabela1[[#This Row],[REEMBOLSO]]</f>
        <v>0</v>
      </c>
      <c r="Q431" s="18" t="s">
        <v>27</v>
      </c>
      <c r="R431" s="18"/>
    </row>
    <row r="432" spans="2:18" hidden="1">
      <c r="B432" s="17" t="s">
        <v>1058</v>
      </c>
      <c r="C432" s="17" t="s">
        <v>1059</v>
      </c>
      <c r="D432" s="17" t="s">
        <v>23</v>
      </c>
      <c r="E432" s="17" t="s">
        <v>1060</v>
      </c>
      <c r="F432" s="17">
        <v>11010310001</v>
      </c>
      <c r="G432" s="20" t="s">
        <v>63</v>
      </c>
      <c r="H432" s="17" t="s">
        <v>26</v>
      </c>
      <c r="I432" s="30">
        <v>0</v>
      </c>
      <c r="J432" s="30">
        <v>0</v>
      </c>
      <c r="K432" s="30">
        <v>0</v>
      </c>
      <c r="L432" s="30">
        <v>0</v>
      </c>
      <c r="M432" s="30">
        <v>0</v>
      </c>
      <c r="N432" s="30">
        <f>Tabela1[[#This Row],[1QZ DE FEV 26]]-Tabela1[[#This Row],[SALDO PENDENTE]]-Tabela1[[#This Row],[SALDO CARTAO]]-Tabela1[[#This Row],[ADIANTAMENTO]]</f>
        <v>0</v>
      </c>
      <c r="O432" s="30">
        <v>0</v>
      </c>
      <c r="P432" s="39">
        <f>IF(Tabela1[[#This Row],[CARGA PARCIAL]]&lt;0,0,Tabela1[[#This Row],[CARGA PARCIAL]])+Tabela1[[#This Row],[REEMBOLSO]]</f>
        <v>0</v>
      </c>
      <c r="Q432" s="18" t="s">
        <v>184</v>
      </c>
      <c r="R432" s="18"/>
    </row>
    <row r="433" spans="2:18" hidden="1">
      <c r="B433" s="17" t="s">
        <v>1061</v>
      </c>
      <c r="C433" s="17" t="s">
        <v>1062</v>
      </c>
      <c r="D433" s="17" t="s">
        <v>23</v>
      </c>
      <c r="E433" s="17" t="s">
        <v>628</v>
      </c>
      <c r="F433" s="17">
        <v>1201004</v>
      </c>
      <c r="G433" s="20" t="s">
        <v>629</v>
      </c>
      <c r="H433" s="17" t="s">
        <v>630</v>
      </c>
      <c r="I433" s="30">
        <v>0</v>
      </c>
      <c r="J433" s="30">
        <v>0</v>
      </c>
      <c r="K433" s="30">
        <v>0</v>
      </c>
      <c r="L433" s="30">
        <v>846.37</v>
      </c>
      <c r="M433" s="30">
        <v>0</v>
      </c>
      <c r="N433" s="30">
        <f>Tabela1[[#This Row],[1QZ DE FEV 26]]-Tabela1[[#This Row],[SALDO PENDENTE]]-Tabela1[[#This Row],[SALDO CARTAO]]-Tabela1[[#This Row],[ADIANTAMENTO]]</f>
        <v>-846.37</v>
      </c>
      <c r="O433" s="30">
        <v>0</v>
      </c>
      <c r="P433" s="39">
        <f>IF(Tabela1[[#This Row],[CARGA PARCIAL]]&lt;0,0,Tabela1[[#This Row],[CARGA PARCIAL]])+Tabela1[[#This Row],[REEMBOLSO]]</f>
        <v>0</v>
      </c>
      <c r="Q433" s="18" t="s">
        <v>27</v>
      </c>
      <c r="R433" s="18"/>
    </row>
    <row r="434" spans="2:18" hidden="1">
      <c r="B434" s="17" t="s">
        <v>1063</v>
      </c>
      <c r="C434" s="17" t="s">
        <v>1064</v>
      </c>
      <c r="D434" s="17" t="s">
        <v>23</v>
      </c>
      <c r="E434" s="17" t="s">
        <v>944</v>
      </c>
      <c r="F434" s="17">
        <v>1201001</v>
      </c>
      <c r="G434" s="20" t="s">
        <v>435</v>
      </c>
      <c r="H434" s="17" t="s">
        <v>177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f>Tabela1[[#This Row],[1QZ DE FEV 26]]-Tabela1[[#This Row],[SALDO PENDENTE]]-Tabela1[[#This Row],[SALDO CARTAO]]-Tabela1[[#This Row],[ADIANTAMENTO]]</f>
        <v>0</v>
      </c>
      <c r="O434" s="30">
        <v>0</v>
      </c>
      <c r="P434" s="39">
        <f>IF(Tabela1[[#This Row],[CARGA PARCIAL]]&lt;0,0,Tabela1[[#This Row],[CARGA PARCIAL]])+Tabela1[[#This Row],[REEMBOLSO]]</f>
        <v>0</v>
      </c>
      <c r="Q434" s="18" t="s">
        <v>184</v>
      </c>
      <c r="R434" s="18"/>
    </row>
    <row r="435" spans="2:18" hidden="1">
      <c r="B435" s="17" t="s">
        <v>1065</v>
      </c>
      <c r="C435" s="17" t="s">
        <v>1066</v>
      </c>
      <c r="D435" s="17" t="s">
        <v>23</v>
      </c>
      <c r="E435" s="17" t="s">
        <v>58</v>
      </c>
      <c r="F435" s="17">
        <v>1104150001</v>
      </c>
      <c r="G435" s="20" t="s">
        <v>59</v>
      </c>
      <c r="H435" s="17" t="s">
        <v>51</v>
      </c>
      <c r="I435" s="30">
        <v>0</v>
      </c>
      <c r="J435" s="30">
        <v>6.0396132539608516E-14</v>
      </c>
      <c r="K435" s="30">
        <v>0</v>
      </c>
      <c r="L435" s="30">
        <v>26.81</v>
      </c>
      <c r="M435" s="30">
        <v>0</v>
      </c>
      <c r="N435" s="30">
        <f>Tabela1[[#This Row],[1QZ DE FEV 26]]-Tabela1[[#This Row],[SALDO PENDENTE]]-Tabela1[[#This Row],[SALDO CARTAO]]-Tabela1[[#This Row],[ADIANTAMENTO]]</f>
        <v>-26.810000000000059</v>
      </c>
      <c r="O435" s="30">
        <v>0</v>
      </c>
      <c r="P435" s="39">
        <f>IF(Tabela1[[#This Row],[CARGA PARCIAL]]&lt;0,0,Tabela1[[#This Row],[CARGA PARCIAL]])+Tabela1[[#This Row],[REEMBOLSO]]</f>
        <v>0</v>
      </c>
      <c r="Q435" s="18" t="s">
        <v>27</v>
      </c>
      <c r="R435" s="18"/>
    </row>
    <row r="436" spans="2:18" hidden="1">
      <c r="B436" s="17" t="s">
        <v>1067</v>
      </c>
      <c r="C436" s="17" t="s">
        <v>1068</v>
      </c>
      <c r="D436" s="17" t="s">
        <v>23</v>
      </c>
      <c r="E436" s="17" t="s">
        <v>237</v>
      </c>
      <c r="F436" s="17">
        <v>11062670001</v>
      </c>
      <c r="G436" s="20" t="s">
        <v>50</v>
      </c>
      <c r="H436" s="17" t="s">
        <v>51</v>
      </c>
      <c r="I436" s="30">
        <v>0</v>
      </c>
      <c r="J436" s="30">
        <v>2678.4999999999995</v>
      </c>
      <c r="K436" s="30">
        <v>0</v>
      </c>
      <c r="L436" s="30">
        <v>0.28000000000000003</v>
      </c>
      <c r="M436" s="30">
        <v>0</v>
      </c>
      <c r="N436" s="30">
        <f>Tabela1[[#This Row],[1QZ DE FEV 26]]-Tabela1[[#This Row],[SALDO PENDENTE]]-Tabela1[[#This Row],[SALDO CARTAO]]-Tabela1[[#This Row],[ADIANTAMENTO]]</f>
        <v>-2678.7799999999997</v>
      </c>
      <c r="O436" s="30">
        <v>0</v>
      </c>
      <c r="P436" s="39">
        <f>IF(Tabela1[[#This Row],[CARGA PARCIAL]]&lt;0,0,Tabela1[[#This Row],[CARGA PARCIAL]])+Tabela1[[#This Row],[REEMBOLSO]]</f>
        <v>0</v>
      </c>
      <c r="Q436" s="18" t="s">
        <v>27</v>
      </c>
      <c r="R436" s="18"/>
    </row>
    <row r="437" spans="2:18" hidden="1">
      <c r="B437" s="17" t="s">
        <v>1069</v>
      </c>
      <c r="C437" s="17" t="s">
        <v>1070</v>
      </c>
      <c r="D437" s="17" t="s">
        <v>23</v>
      </c>
      <c r="E437" s="17" t="s">
        <v>637</v>
      </c>
      <c r="F437" s="17">
        <v>11062820001</v>
      </c>
      <c r="G437" s="20" t="s">
        <v>638</v>
      </c>
      <c r="H437" s="17" t="s">
        <v>177</v>
      </c>
      <c r="I437" s="30">
        <v>0</v>
      </c>
      <c r="J437" s="30">
        <v>0</v>
      </c>
      <c r="K437" s="30">
        <v>0</v>
      </c>
      <c r="L437" s="30">
        <v>868.32</v>
      </c>
      <c r="M437" s="30">
        <v>0</v>
      </c>
      <c r="N437" s="30">
        <f>Tabela1[[#This Row],[1QZ DE FEV 26]]-Tabela1[[#This Row],[SALDO PENDENTE]]-Tabela1[[#This Row],[SALDO CARTAO]]-Tabela1[[#This Row],[ADIANTAMENTO]]</f>
        <v>-868.32</v>
      </c>
      <c r="O437" s="30">
        <v>0</v>
      </c>
      <c r="P437" s="39">
        <f>IF(Tabela1[[#This Row],[CARGA PARCIAL]]&lt;0,0,Tabela1[[#This Row],[CARGA PARCIAL]])+Tabela1[[#This Row],[REEMBOLSO]]</f>
        <v>0</v>
      </c>
      <c r="Q437" s="18" t="s">
        <v>27</v>
      </c>
      <c r="R437" s="18"/>
    </row>
    <row r="438" spans="2:18" hidden="1">
      <c r="B438" s="17" t="s">
        <v>1071</v>
      </c>
      <c r="C438" s="17" t="s">
        <v>1072</v>
      </c>
      <c r="D438" s="17" t="s">
        <v>23</v>
      </c>
      <c r="E438" s="17" t="s">
        <v>803</v>
      </c>
      <c r="F438" s="17">
        <v>11080200001</v>
      </c>
      <c r="G438" s="20" t="s">
        <v>25</v>
      </c>
      <c r="H438" s="17" t="s">
        <v>26</v>
      </c>
      <c r="I438" s="30">
        <v>0</v>
      </c>
      <c r="J438" s="30">
        <v>0</v>
      </c>
      <c r="K438" s="30">
        <v>0</v>
      </c>
      <c r="L438" s="30">
        <v>95.44</v>
      </c>
      <c r="M438" s="30">
        <v>0</v>
      </c>
      <c r="N438" s="30">
        <f>Tabela1[[#This Row],[1QZ DE FEV 26]]-Tabela1[[#This Row],[SALDO PENDENTE]]-Tabela1[[#This Row],[SALDO CARTAO]]-Tabela1[[#This Row],[ADIANTAMENTO]]</f>
        <v>-95.44</v>
      </c>
      <c r="O438" s="30">
        <v>0</v>
      </c>
      <c r="P438" s="39">
        <f>IF(Tabela1[[#This Row],[CARGA PARCIAL]]&lt;0,0,Tabela1[[#This Row],[CARGA PARCIAL]])+Tabela1[[#This Row],[REEMBOLSO]]</f>
        <v>0</v>
      </c>
      <c r="Q438" s="18" t="s">
        <v>145</v>
      </c>
      <c r="R438" s="18"/>
    </row>
    <row r="439" spans="2:18" hidden="1">
      <c r="B439" s="17" t="s">
        <v>1073</v>
      </c>
      <c r="C439" s="17" t="s">
        <v>1074</v>
      </c>
      <c r="D439" s="17" t="s">
        <v>23</v>
      </c>
      <c r="E439" s="17" t="s">
        <v>58</v>
      </c>
      <c r="F439" s="17">
        <v>1104150001</v>
      </c>
      <c r="G439" s="20" t="s">
        <v>59</v>
      </c>
      <c r="H439" s="17" t="s">
        <v>51</v>
      </c>
      <c r="I439" s="30">
        <v>0</v>
      </c>
      <c r="J439" s="30">
        <v>0</v>
      </c>
      <c r="K439" s="30">
        <v>0</v>
      </c>
      <c r="L439" s="30">
        <v>45</v>
      </c>
      <c r="M439" s="30">
        <v>0</v>
      </c>
      <c r="N439" s="30">
        <f>Tabela1[[#This Row],[1QZ DE FEV 26]]-Tabela1[[#This Row],[SALDO PENDENTE]]-Tabela1[[#This Row],[SALDO CARTAO]]-Tabela1[[#This Row],[ADIANTAMENTO]]</f>
        <v>-45</v>
      </c>
      <c r="O439" s="30">
        <v>0</v>
      </c>
      <c r="P439" s="39">
        <f>IF(Tabela1[[#This Row],[CARGA PARCIAL]]&lt;0,0,Tabela1[[#This Row],[CARGA PARCIAL]])+Tabela1[[#This Row],[REEMBOLSO]]</f>
        <v>0</v>
      </c>
      <c r="Q439" s="18" t="s">
        <v>145</v>
      </c>
      <c r="R439" s="18"/>
    </row>
    <row r="440" spans="2:18" hidden="1">
      <c r="B440" s="17" t="s">
        <v>1075</v>
      </c>
      <c r="C440" s="17" t="s">
        <v>1076</v>
      </c>
      <c r="D440" s="17" t="s">
        <v>23</v>
      </c>
      <c r="E440" s="17" t="s">
        <v>944</v>
      </c>
      <c r="F440" s="17">
        <v>1201001</v>
      </c>
      <c r="G440" s="20" t="s">
        <v>435</v>
      </c>
      <c r="H440" s="17" t="s">
        <v>177</v>
      </c>
      <c r="I440" s="30">
        <v>0</v>
      </c>
      <c r="J440" s="30">
        <v>127.5500000000002</v>
      </c>
      <c r="K440" s="30">
        <v>0</v>
      </c>
      <c r="L440" s="30">
        <v>71.489999999999995</v>
      </c>
      <c r="M440" s="30">
        <v>0</v>
      </c>
      <c r="N440" s="30">
        <f>Tabela1[[#This Row],[1QZ DE FEV 26]]-Tabela1[[#This Row],[SALDO PENDENTE]]-Tabela1[[#This Row],[SALDO CARTAO]]-Tabela1[[#This Row],[ADIANTAMENTO]]</f>
        <v>-199.04000000000019</v>
      </c>
      <c r="O440" s="30">
        <v>0</v>
      </c>
      <c r="P440" s="39">
        <f>IF(Tabela1[[#This Row],[CARGA PARCIAL]]&lt;0,0,Tabela1[[#This Row],[CARGA PARCIAL]])+Tabela1[[#This Row],[REEMBOLSO]]</f>
        <v>0</v>
      </c>
      <c r="Q440" s="18" t="s">
        <v>27</v>
      </c>
      <c r="R440" s="18"/>
    </row>
    <row r="441" spans="2:18" hidden="1">
      <c r="B441" s="17" t="s">
        <v>1077</v>
      </c>
      <c r="C441" s="17" t="s">
        <v>1078</v>
      </c>
      <c r="D441" s="17" t="s">
        <v>23</v>
      </c>
      <c r="E441" s="17" t="s">
        <v>58</v>
      </c>
      <c r="F441" s="17">
        <v>1104150001</v>
      </c>
      <c r="G441" s="20" t="s">
        <v>59</v>
      </c>
      <c r="H441" s="17" t="s">
        <v>51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f>Tabela1[[#This Row],[1QZ DE FEV 26]]-Tabela1[[#This Row],[SALDO PENDENTE]]-Tabela1[[#This Row],[SALDO CARTAO]]-Tabela1[[#This Row],[ADIANTAMENTO]]</f>
        <v>0</v>
      </c>
      <c r="O441" s="30">
        <v>0</v>
      </c>
      <c r="P441" s="39">
        <f>IF(Tabela1[[#This Row],[CARGA PARCIAL]]&lt;0,0,Tabela1[[#This Row],[CARGA PARCIAL]])+Tabela1[[#This Row],[REEMBOLSO]]</f>
        <v>0</v>
      </c>
      <c r="Q441" s="18" t="s">
        <v>27</v>
      </c>
      <c r="R441" s="18"/>
    </row>
    <row r="442" spans="2:18" hidden="1">
      <c r="B442" s="17" t="s">
        <v>1079</v>
      </c>
      <c r="C442" s="17" t="s">
        <v>1080</v>
      </c>
      <c r="D442" s="17" t="s">
        <v>23</v>
      </c>
      <c r="E442" s="17" t="s">
        <v>181</v>
      </c>
      <c r="F442" s="17">
        <v>11080150001</v>
      </c>
      <c r="G442" s="20" t="s">
        <v>25</v>
      </c>
      <c r="H442" s="17" t="s">
        <v>26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f>Tabela1[[#This Row],[1QZ DE FEV 26]]-Tabela1[[#This Row],[SALDO PENDENTE]]-Tabela1[[#This Row],[SALDO CARTAO]]-Tabela1[[#This Row],[ADIANTAMENTO]]</f>
        <v>0</v>
      </c>
      <c r="O442" s="30">
        <v>0</v>
      </c>
      <c r="P442" s="39">
        <f>IF(Tabela1[[#This Row],[CARGA PARCIAL]]&lt;0,0,Tabela1[[#This Row],[CARGA PARCIAL]])+Tabela1[[#This Row],[REEMBOLSO]]</f>
        <v>0</v>
      </c>
      <c r="Q442" s="18" t="s">
        <v>184</v>
      </c>
      <c r="R442" s="18"/>
    </row>
    <row r="443" spans="2:18" hidden="1">
      <c r="B443" s="17" t="s">
        <v>1081</v>
      </c>
      <c r="C443" s="17" t="s">
        <v>1082</v>
      </c>
      <c r="D443" s="17" t="s">
        <v>23</v>
      </c>
      <c r="E443" s="17" t="s">
        <v>1083</v>
      </c>
      <c r="F443" s="17">
        <v>11010340001</v>
      </c>
      <c r="G443" s="20" t="s">
        <v>63</v>
      </c>
      <c r="H443" s="17" t="s">
        <v>26</v>
      </c>
      <c r="I443" s="30">
        <v>0</v>
      </c>
      <c r="J443" s="30">
        <v>0</v>
      </c>
      <c r="K443" s="30">
        <v>0</v>
      </c>
      <c r="L443" s="30">
        <v>17.77</v>
      </c>
      <c r="M443" s="30">
        <v>0</v>
      </c>
      <c r="N443" s="30">
        <f>Tabela1[[#This Row],[1QZ DE FEV 26]]-Tabela1[[#This Row],[SALDO PENDENTE]]-Tabela1[[#This Row],[SALDO CARTAO]]-Tabela1[[#This Row],[ADIANTAMENTO]]</f>
        <v>-17.77</v>
      </c>
      <c r="O443" s="30">
        <v>0</v>
      </c>
      <c r="P443" s="39">
        <f>IF(Tabela1[[#This Row],[CARGA PARCIAL]]&lt;0,0,Tabela1[[#This Row],[CARGA PARCIAL]])+Tabela1[[#This Row],[REEMBOLSO]]</f>
        <v>0</v>
      </c>
      <c r="Q443" s="18" t="s">
        <v>27</v>
      </c>
      <c r="R443" s="18"/>
    </row>
    <row r="444" spans="2:18" hidden="1">
      <c r="B444" s="17" t="s">
        <v>1084</v>
      </c>
      <c r="C444" s="17" t="s">
        <v>1085</v>
      </c>
      <c r="D444" s="17" t="s">
        <v>23</v>
      </c>
      <c r="E444" s="17" t="s">
        <v>141</v>
      </c>
      <c r="F444" s="17">
        <v>11061490001</v>
      </c>
      <c r="G444" s="20" t="s">
        <v>25</v>
      </c>
      <c r="H444" s="17" t="s">
        <v>26</v>
      </c>
      <c r="I444" s="30">
        <v>0</v>
      </c>
      <c r="J444" s="30">
        <v>0</v>
      </c>
      <c r="K444" s="30">
        <v>0</v>
      </c>
      <c r="L444" s="30">
        <v>0</v>
      </c>
      <c r="M444" s="30">
        <v>0</v>
      </c>
      <c r="N444" s="30">
        <f>Tabela1[[#This Row],[1QZ DE FEV 26]]-Tabela1[[#This Row],[SALDO PENDENTE]]-Tabela1[[#This Row],[SALDO CARTAO]]-Tabela1[[#This Row],[ADIANTAMENTO]]</f>
        <v>0</v>
      </c>
      <c r="O444" s="30">
        <v>0</v>
      </c>
      <c r="P444" s="39">
        <f>IF(Tabela1[[#This Row],[CARGA PARCIAL]]&lt;0,0,Tabela1[[#This Row],[CARGA PARCIAL]])+Tabela1[[#This Row],[REEMBOLSO]]</f>
        <v>0</v>
      </c>
      <c r="Q444" s="18" t="s">
        <v>184</v>
      </c>
      <c r="R444" s="18"/>
    </row>
    <row r="445" spans="2:18" hidden="1">
      <c r="B445" s="17" t="s">
        <v>1086</v>
      </c>
      <c r="C445" s="17" t="s">
        <v>1087</v>
      </c>
      <c r="D445" s="17" t="s">
        <v>23</v>
      </c>
      <c r="E445" s="17" t="s">
        <v>670</v>
      </c>
      <c r="F445" s="17">
        <v>11080220001</v>
      </c>
      <c r="G445" s="17" t="s">
        <v>35</v>
      </c>
      <c r="H445" s="17" t="s">
        <v>26</v>
      </c>
      <c r="I445" s="30">
        <v>0</v>
      </c>
      <c r="J445" s="30">
        <v>0</v>
      </c>
      <c r="K445" s="30">
        <v>0</v>
      </c>
      <c r="L445" s="30">
        <v>91.98</v>
      </c>
      <c r="M445" s="30">
        <v>0</v>
      </c>
      <c r="N445" s="30">
        <f>Tabela1[[#This Row],[1QZ DE FEV 26]]-Tabela1[[#This Row],[SALDO PENDENTE]]-Tabela1[[#This Row],[SALDO CARTAO]]-Tabela1[[#This Row],[ADIANTAMENTO]]</f>
        <v>-91.98</v>
      </c>
      <c r="O445" s="30">
        <v>0</v>
      </c>
      <c r="P445" s="39">
        <f>IF(Tabela1[[#This Row],[CARGA PARCIAL]]&lt;0,0,Tabela1[[#This Row],[CARGA PARCIAL]])+Tabela1[[#This Row],[REEMBOLSO]]</f>
        <v>0</v>
      </c>
      <c r="Q445" s="18" t="s">
        <v>145</v>
      </c>
      <c r="R445" s="18"/>
    </row>
    <row r="446" spans="2:18" hidden="1">
      <c r="B446" s="42" t="s">
        <v>1088</v>
      </c>
      <c r="C446" s="22" t="s">
        <v>1089</v>
      </c>
      <c r="D446" s="17" t="s">
        <v>23</v>
      </c>
      <c r="E446" s="17" t="s">
        <v>917</v>
      </c>
      <c r="F446" s="17">
        <v>11063050001</v>
      </c>
      <c r="G446" s="20" t="s">
        <v>71</v>
      </c>
      <c r="H446" s="17" t="s">
        <v>51</v>
      </c>
      <c r="I446" s="30">
        <v>0</v>
      </c>
      <c r="J446" s="30">
        <v>0</v>
      </c>
      <c r="K446" s="30">
        <v>0</v>
      </c>
      <c r="L446" s="30">
        <v>0</v>
      </c>
      <c r="M446" s="30">
        <v>0</v>
      </c>
      <c r="N446" s="30">
        <f>Tabela1[[#This Row],[1QZ DE FEV 26]]-Tabela1[[#This Row],[SALDO PENDENTE]]-Tabela1[[#This Row],[SALDO CARTAO]]-Tabela1[[#This Row],[ADIANTAMENTO]]</f>
        <v>0</v>
      </c>
      <c r="O446" s="30">
        <v>0</v>
      </c>
      <c r="P446" s="39">
        <f>IF(Tabela1[[#This Row],[CARGA PARCIAL]]&lt;0,0,Tabela1[[#This Row],[CARGA PARCIAL]])+Tabela1[[#This Row],[REEMBOLSO]]</f>
        <v>0</v>
      </c>
      <c r="Q446" s="18" t="s">
        <v>27</v>
      </c>
      <c r="R446" s="18"/>
    </row>
    <row r="447" spans="2:18" hidden="1">
      <c r="B447" s="42" t="s">
        <v>1090</v>
      </c>
      <c r="C447" s="22" t="s">
        <v>1091</v>
      </c>
      <c r="D447" s="17" t="s">
        <v>23</v>
      </c>
      <c r="E447" s="17" t="s">
        <v>30</v>
      </c>
      <c r="F447" s="17">
        <v>11030290001</v>
      </c>
      <c r="G447" s="20" t="s">
        <v>31</v>
      </c>
      <c r="H447" s="17" t="s">
        <v>26</v>
      </c>
      <c r="I447" s="30">
        <v>0</v>
      </c>
      <c r="J447" s="30">
        <v>2907.98</v>
      </c>
      <c r="K447" s="30">
        <v>0</v>
      </c>
      <c r="L447" s="30">
        <v>0.3</v>
      </c>
      <c r="M447" s="30">
        <v>0</v>
      </c>
      <c r="N447" s="30">
        <f>Tabela1[[#This Row],[1QZ DE FEV 26]]-Tabela1[[#This Row],[SALDO PENDENTE]]-Tabela1[[#This Row],[SALDO CARTAO]]-Tabela1[[#This Row],[ADIANTAMENTO]]</f>
        <v>-2908.28</v>
      </c>
      <c r="O447" s="30">
        <v>0</v>
      </c>
      <c r="P447" s="39">
        <f>IF(Tabela1[[#This Row],[CARGA PARCIAL]]&lt;0,0,Tabela1[[#This Row],[CARGA PARCIAL]])+Tabela1[[#This Row],[REEMBOLSO]]</f>
        <v>0</v>
      </c>
      <c r="Q447" s="18" t="s">
        <v>27</v>
      </c>
      <c r="R447" s="18"/>
    </row>
    <row r="448" spans="2:18" hidden="1">
      <c r="B448" s="42" t="s">
        <v>1092</v>
      </c>
      <c r="C448" s="22" t="s">
        <v>1093</v>
      </c>
      <c r="D448" s="17" t="s">
        <v>23</v>
      </c>
      <c r="E448" s="17" t="s">
        <v>70</v>
      </c>
      <c r="F448" s="17">
        <v>11030610001</v>
      </c>
      <c r="G448" s="20" t="s">
        <v>71</v>
      </c>
      <c r="H448" s="17" t="s">
        <v>51</v>
      </c>
      <c r="I448" s="30">
        <v>0</v>
      </c>
      <c r="J448" s="30">
        <v>0</v>
      </c>
      <c r="K448" s="30">
        <v>0</v>
      </c>
      <c r="L448" s="30">
        <v>0</v>
      </c>
      <c r="M448" s="30">
        <v>0</v>
      </c>
      <c r="N448" s="30">
        <f>Tabela1[[#This Row],[1QZ DE FEV 26]]-Tabela1[[#This Row],[SALDO PENDENTE]]-Tabela1[[#This Row],[SALDO CARTAO]]-Tabela1[[#This Row],[ADIANTAMENTO]]</f>
        <v>0</v>
      </c>
      <c r="O448" s="30">
        <v>0</v>
      </c>
      <c r="P448" s="39">
        <f>IF(Tabela1[[#This Row],[CARGA PARCIAL]]&lt;0,0,Tabela1[[#This Row],[CARGA PARCIAL]])+Tabela1[[#This Row],[REEMBOLSO]]</f>
        <v>0</v>
      </c>
      <c r="Q448" s="18" t="s">
        <v>184</v>
      </c>
      <c r="R448" s="18"/>
    </row>
    <row r="449" spans="2:18" hidden="1">
      <c r="B449" s="42" t="s">
        <v>1094</v>
      </c>
      <c r="C449" s="22" t="s">
        <v>1095</v>
      </c>
      <c r="D449" s="17" t="s">
        <v>23</v>
      </c>
      <c r="E449" s="17" t="s">
        <v>58</v>
      </c>
      <c r="F449" s="17">
        <v>1104150001</v>
      </c>
      <c r="G449" s="20" t="s">
        <v>59</v>
      </c>
      <c r="H449" s="17" t="s">
        <v>51</v>
      </c>
      <c r="I449" s="30">
        <v>0</v>
      </c>
      <c r="J449" s="30">
        <v>0</v>
      </c>
      <c r="K449" s="30">
        <v>0</v>
      </c>
      <c r="L449" s="30">
        <v>0</v>
      </c>
      <c r="M449" s="30">
        <v>0</v>
      </c>
      <c r="N449" s="30">
        <f>Tabela1[[#This Row],[1QZ DE FEV 26]]-Tabela1[[#This Row],[SALDO PENDENTE]]-Tabela1[[#This Row],[SALDO CARTAO]]-Tabela1[[#This Row],[ADIANTAMENTO]]</f>
        <v>0</v>
      </c>
      <c r="O449" s="30">
        <v>0</v>
      </c>
      <c r="P449" s="39">
        <f>IF(Tabela1[[#This Row],[CARGA PARCIAL]]&lt;0,0,Tabela1[[#This Row],[CARGA PARCIAL]])+Tabela1[[#This Row],[REEMBOLSO]]</f>
        <v>0</v>
      </c>
      <c r="Q449" s="18" t="s">
        <v>184</v>
      </c>
      <c r="R449" s="18"/>
    </row>
    <row r="450" spans="2:18" hidden="1">
      <c r="B450" s="42" t="s">
        <v>1096</v>
      </c>
      <c r="C450" s="22" t="s">
        <v>1097</v>
      </c>
      <c r="D450" s="17" t="s">
        <v>23</v>
      </c>
      <c r="E450" s="17" t="s">
        <v>611</v>
      </c>
      <c r="F450" s="17">
        <v>11020660001</v>
      </c>
      <c r="G450" s="20" t="s">
        <v>55</v>
      </c>
      <c r="H450" s="17" t="s">
        <v>51</v>
      </c>
      <c r="I450" s="30">
        <v>0</v>
      </c>
      <c r="J450" s="30">
        <v>7.4399999999955071</v>
      </c>
      <c r="K450" s="30">
        <v>0</v>
      </c>
      <c r="L450" s="30">
        <v>50</v>
      </c>
      <c r="M450" s="30">
        <v>0</v>
      </c>
      <c r="N450" s="30">
        <f>Tabela1[[#This Row],[1QZ DE FEV 26]]-Tabela1[[#This Row],[SALDO PENDENTE]]-Tabela1[[#This Row],[SALDO CARTAO]]-Tabela1[[#This Row],[ADIANTAMENTO]]</f>
        <v>-57.439999999995507</v>
      </c>
      <c r="O450" s="30">
        <v>0</v>
      </c>
      <c r="P450" s="39">
        <f>IF(Tabela1[[#This Row],[CARGA PARCIAL]]&lt;0,0,Tabela1[[#This Row],[CARGA PARCIAL]])+Tabela1[[#This Row],[REEMBOLSO]]</f>
        <v>0</v>
      </c>
      <c r="Q450" s="18" t="s">
        <v>27</v>
      </c>
      <c r="R450" s="18"/>
    </row>
    <row r="451" spans="2:18" hidden="1">
      <c r="B451" s="42" t="s">
        <v>1098</v>
      </c>
      <c r="C451" s="22" t="s">
        <v>1099</v>
      </c>
      <c r="D451" s="17" t="s">
        <v>23</v>
      </c>
      <c r="E451" s="17" t="s">
        <v>175</v>
      </c>
      <c r="F451" s="17">
        <v>1201020</v>
      </c>
      <c r="G451" s="20" t="s">
        <v>176</v>
      </c>
      <c r="H451" s="17" t="s">
        <v>177</v>
      </c>
      <c r="I451" s="30">
        <v>0</v>
      </c>
      <c r="J451" s="30">
        <v>1733.3300000000002</v>
      </c>
      <c r="K451" s="30">
        <v>0</v>
      </c>
      <c r="L451" s="30">
        <v>71.989999999999995</v>
      </c>
      <c r="M451" s="30">
        <v>0</v>
      </c>
      <c r="N451" s="30">
        <f>Tabela1[[#This Row],[1QZ DE FEV 26]]-Tabela1[[#This Row],[SALDO PENDENTE]]-Tabela1[[#This Row],[SALDO CARTAO]]-Tabela1[[#This Row],[ADIANTAMENTO]]</f>
        <v>-1805.3200000000002</v>
      </c>
      <c r="O451" s="30">
        <v>0</v>
      </c>
      <c r="P451" s="39">
        <f>IF(Tabela1[[#This Row],[CARGA PARCIAL]]&lt;0,0,Tabela1[[#This Row],[CARGA PARCIAL]])+Tabela1[[#This Row],[REEMBOLSO]]</f>
        <v>0</v>
      </c>
      <c r="Q451" s="18" t="s">
        <v>27</v>
      </c>
      <c r="R451" s="18"/>
    </row>
    <row r="452" spans="2:18" hidden="1">
      <c r="B452" s="42" t="s">
        <v>1100</v>
      </c>
      <c r="C452" s="22" t="s">
        <v>1101</v>
      </c>
      <c r="D452" s="17" t="s">
        <v>23</v>
      </c>
      <c r="E452" s="17" t="s">
        <v>125</v>
      </c>
      <c r="F452" s="17">
        <v>11040170001</v>
      </c>
      <c r="G452" s="20" t="s">
        <v>126</v>
      </c>
      <c r="H452" s="17" t="s">
        <v>26</v>
      </c>
      <c r="I452" s="30">
        <v>-441.10000000000008</v>
      </c>
      <c r="J452" s="30">
        <v>0</v>
      </c>
      <c r="K452" s="30">
        <v>0</v>
      </c>
      <c r="L452" s="30">
        <v>119.29</v>
      </c>
      <c r="M452" s="30">
        <v>0</v>
      </c>
      <c r="N452" s="30">
        <f>Tabela1[[#This Row],[1QZ DE FEV 26]]-Tabela1[[#This Row],[SALDO PENDENTE]]-Tabela1[[#This Row],[SALDO CARTAO]]-Tabela1[[#This Row],[ADIANTAMENTO]]</f>
        <v>-119.29</v>
      </c>
      <c r="O452" s="30">
        <v>441.1</v>
      </c>
      <c r="P452" s="39">
        <f>IF(Tabela1[[#This Row],[CARGA PARCIAL]]&lt;0,0,Tabela1[[#This Row],[CARGA PARCIAL]])+Tabela1[[#This Row],[REEMBOLSO]]</f>
        <v>441.1</v>
      </c>
      <c r="Q452" s="18" t="s">
        <v>27</v>
      </c>
      <c r="R452" s="18"/>
    </row>
    <row r="453" spans="2:18" hidden="1">
      <c r="B453" s="42" t="s">
        <v>1102</v>
      </c>
      <c r="C453" s="22" t="s">
        <v>1103</v>
      </c>
      <c r="D453" s="17" t="s">
        <v>23</v>
      </c>
      <c r="E453" s="17" t="s">
        <v>637</v>
      </c>
      <c r="F453" s="17">
        <v>11062820001</v>
      </c>
      <c r="G453" s="20" t="s">
        <v>638</v>
      </c>
      <c r="H453" s="17" t="s">
        <v>177</v>
      </c>
      <c r="I453" s="30">
        <v>0</v>
      </c>
      <c r="J453" s="30">
        <v>0</v>
      </c>
      <c r="K453" s="30">
        <v>0</v>
      </c>
      <c r="L453" s="30">
        <v>0</v>
      </c>
      <c r="M453" s="30">
        <v>0</v>
      </c>
      <c r="N453" s="30">
        <f>Tabela1[[#This Row],[1QZ DE FEV 26]]-Tabela1[[#This Row],[SALDO PENDENTE]]-Tabela1[[#This Row],[SALDO CARTAO]]-Tabela1[[#This Row],[ADIANTAMENTO]]</f>
        <v>0</v>
      </c>
      <c r="O453" s="30">
        <v>0</v>
      </c>
      <c r="P453" s="39">
        <f>IF(Tabela1[[#This Row],[CARGA PARCIAL]]&lt;0,0,Tabela1[[#This Row],[CARGA PARCIAL]])+Tabela1[[#This Row],[REEMBOLSO]]</f>
        <v>0</v>
      </c>
      <c r="Q453" s="18" t="s">
        <v>184</v>
      </c>
      <c r="R453" s="18"/>
    </row>
    <row r="454" spans="2:18" hidden="1">
      <c r="B454" s="42" t="s">
        <v>1104</v>
      </c>
      <c r="C454" s="22" t="s">
        <v>1105</v>
      </c>
      <c r="D454" s="17" t="s">
        <v>23</v>
      </c>
      <c r="E454" s="17" t="s">
        <v>58</v>
      </c>
      <c r="F454" s="17">
        <v>1104150001</v>
      </c>
      <c r="G454" s="20" t="s">
        <v>59</v>
      </c>
      <c r="H454" s="17" t="s">
        <v>51</v>
      </c>
      <c r="I454" s="30">
        <v>0</v>
      </c>
      <c r="J454" s="30">
        <v>888.48999999999967</v>
      </c>
      <c r="K454" s="30">
        <v>0</v>
      </c>
      <c r="L454" s="30">
        <v>3.64</v>
      </c>
      <c r="M454" s="30">
        <v>0</v>
      </c>
      <c r="N454" s="30">
        <f>Tabela1[[#This Row],[1QZ DE FEV 26]]-Tabela1[[#This Row],[SALDO PENDENTE]]-Tabela1[[#This Row],[SALDO CARTAO]]-Tabela1[[#This Row],[ADIANTAMENTO]]</f>
        <v>-892.12999999999965</v>
      </c>
      <c r="O454" s="30">
        <v>0</v>
      </c>
      <c r="P454" s="39">
        <f>IF(Tabela1[[#This Row],[CARGA PARCIAL]]&lt;0,0,Tabela1[[#This Row],[CARGA PARCIAL]])+Tabela1[[#This Row],[REEMBOLSO]]</f>
        <v>0</v>
      </c>
      <c r="Q454" s="18" t="s">
        <v>27</v>
      </c>
      <c r="R454" s="18"/>
    </row>
    <row r="455" spans="2:18" hidden="1">
      <c r="B455" s="51" t="s">
        <v>1106</v>
      </c>
      <c r="C455" s="47" t="s">
        <v>1107</v>
      </c>
      <c r="D455" s="19" t="s">
        <v>23</v>
      </c>
      <c r="E455" s="19" t="s">
        <v>797</v>
      </c>
      <c r="F455" s="19">
        <v>11062360001</v>
      </c>
      <c r="G455" s="27" t="s">
        <v>50</v>
      </c>
      <c r="H455" s="19" t="s">
        <v>51</v>
      </c>
      <c r="I455" s="30">
        <v>0</v>
      </c>
      <c r="J455" s="30">
        <v>0</v>
      </c>
      <c r="K455" s="31">
        <v>0</v>
      </c>
      <c r="L455" s="30">
        <v>16.25</v>
      </c>
      <c r="M455" s="31">
        <v>0</v>
      </c>
      <c r="N455" s="49">
        <f>Tabela1[[#This Row],[1QZ DE FEV 26]]-Tabela1[[#This Row],[SALDO PENDENTE]]-Tabela1[[#This Row],[SALDO CARTAO]]-Tabela1[[#This Row],[ADIANTAMENTO]]</f>
        <v>-16.25</v>
      </c>
      <c r="O455" s="49">
        <v>0</v>
      </c>
      <c r="P455" s="50">
        <f>IF(Tabela1[[#This Row],[CARGA PARCIAL]]&lt;0,0,Tabela1[[#This Row],[CARGA PARCIAL]])+Tabela1[[#This Row],[REEMBOLSO]]</f>
        <v>0</v>
      </c>
      <c r="Q455" s="44" t="s">
        <v>145</v>
      </c>
      <c r="R455" s="29"/>
    </row>
    <row r="456" spans="2:18" hidden="1">
      <c r="B456" s="42" t="s">
        <v>1108</v>
      </c>
      <c r="C456" s="22" t="s">
        <v>1109</v>
      </c>
      <c r="D456" s="17" t="s">
        <v>23</v>
      </c>
      <c r="E456" s="17" t="s">
        <v>670</v>
      </c>
      <c r="F456" s="17">
        <v>11080220001</v>
      </c>
      <c r="G456" s="20" t="s">
        <v>50</v>
      </c>
      <c r="H456" s="17" t="s">
        <v>51</v>
      </c>
      <c r="I456" s="30">
        <v>0</v>
      </c>
      <c r="J456" s="30">
        <v>0</v>
      </c>
      <c r="K456" s="30">
        <v>0</v>
      </c>
      <c r="L456" s="30">
        <v>0</v>
      </c>
      <c r="M456" s="30">
        <v>0</v>
      </c>
      <c r="N456" s="30">
        <f>Tabela1[[#This Row],[1QZ DE FEV 26]]-Tabela1[[#This Row],[SALDO PENDENTE]]-Tabela1[[#This Row],[SALDO CARTAO]]-Tabela1[[#This Row],[ADIANTAMENTO]]</f>
        <v>0</v>
      </c>
      <c r="O456" s="30">
        <v>0</v>
      </c>
      <c r="P456" s="39">
        <f>IF(Tabela1[[#This Row],[CARGA PARCIAL]]&lt;0,0,Tabela1[[#This Row],[CARGA PARCIAL]])+Tabela1[[#This Row],[REEMBOLSO]]</f>
        <v>0</v>
      </c>
      <c r="Q456" s="18" t="s">
        <v>184</v>
      </c>
      <c r="R456" s="18"/>
    </row>
    <row r="457" spans="2:18" hidden="1">
      <c r="B457" s="42" t="s">
        <v>1110</v>
      </c>
      <c r="C457" s="22" t="s">
        <v>1111</v>
      </c>
      <c r="D457" s="17" t="s">
        <v>23</v>
      </c>
      <c r="E457" s="17" t="s">
        <v>58</v>
      </c>
      <c r="F457" s="17">
        <v>1104150001</v>
      </c>
      <c r="G457" s="20" t="s">
        <v>59</v>
      </c>
      <c r="H457" s="17" t="s">
        <v>51</v>
      </c>
      <c r="I457" s="30">
        <v>0</v>
      </c>
      <c r="J457" s="30">
        <v>188.79999999999973</v>
      </c>
      <c r="K457" s="30">
        <v>0</v>
      </c>
      <c r="L457" s="30">
        <v>0</v>
      </c>
      <c r="M457" s="30">
        <v>0</v>
      </c>
      <c r="N457" s="30">
        <f>Tabela1[[#This Row],[1QZ DE FEV 26]]-Tabela1[[#This Row],[SALDO PENDENTE]]-Tabela1[[#This Row],[SALDO CARTAO]]-Tabela1[[#This Row],[ADIANTAMENTO]]</f>
        <v>-188.79999999999973</v>
      </c>
      <c r="O457" s="30">
        <v>0</v>
      </c>
      <c r="P457" s="39">
        <f>IF(Tabela1[[#This Row],[CARGA PARCIAL]]&lt;0,0,Tabela1[[#This Row],[CARGA PARCIAL]])+Tabela1[[#This Row],[REEMBOLSO]]</f>
        <v>0</v>
      </c>
      <c r="Q457" s="18" t="s">
        <v>27</v>
      </c>
      <c r="R457" s="18"/>
    </row>
    <row r="458" spans="2:18" hidden="1">
      <c r="B458" s="42" t="s">
        <v>1112</v>
      </c>
      <c r="C458" s="22" t="s">
        <v>1113</v>
      </c>
      <c r="D458" s="17" t="s">
        <v>23</v>
      </c>
      <c r="E458" s="17" t="s">
        <v>645</v>
      </c>
      <c r="F458" s="17">
        <v>1201002</v>
      </c>
      <c r="G458" s="20" t="s">
        <v>646</v>
      </c>
      <c r="H458" s="17" t="s">
        <v>647</v>
      </c>
      <c r="I458" s="30">
        <v>0</v>
      </c>
      <c r="J458" s="30">
        <v>0</v>
      </c>
      <c r="K458" s="30">
        <v>0</v>
      </c>
      <c r="L458" s="30">
        <v>14.33</v>
      </c>
      <c r="M458" s="30">
        <v>0</v>
      </c>
      <c r="N458" s="30">
        <f>Tabela1[[#This Row],[1QZ DE FEV 26]]-Tabela1[[#This Row],[SALDO PENDENTE]]-Tabela1[[#This Row],[SALDO CARTAO]]-Tabela1[[#This Row],[ADIANTAMENTO]]</f>
        <v>-14.33</v>
      </c>
      <c r="O458" s="30">
        <v>0</v>
      </c>
      <c r="P458" s="39">
        <f>IF(Tabela1[[#This Row],[CARGA PARCIAL]]&lt;0,0,Tabela1[[#This Row],[CARGA PARCIAL]])+Tabela1[[#This Row],[REEMBOLSO]]</f>
        <v>0</v>
      </c>
      <c r="Q458" s="18" t="s">
        <v>27</v>
      </c>
      <c r="R458" s="18"/>
    </row>
    <row r="459" spans="2:18" hidden="1">
      <c r="B459" s="42" t="s">
        <v>1114</v>
      </c>
      <c r="C459" s="22" t="s">
        <v>1115</v>
      </c>
      <c r="D459" s="17" t="s">
        <v>23</v>
      </c>
      <c r="E459" s="17" t="s">
        <v>58</v>
      </c>
      <c r="F459" s="17">
        <v>1104150001</v>
      </c>
      <c r="G459" s="20" t="s">
        <v>59</v>
      </c>
      <c r="H459" s="17" t="s">
        <v>51</v>
      </c>
      <c r="I459" s="30">
        <v>0</v>
      </c>
      <c r="J459" s="30">
        <v>0</v>
      </c>
      <c r="K459" s="30">
        <v>0</v>
      </c>
      <c r="L459" s="30">
        <v>0</v>
      </c>
      <c r="M459" s="30">
        <v>0</v>
      </c>
      <c r="N459" s="30">
        <f>Tabela1[[#This Row],[1QZ DE FEV 26]]-Tabela1[[#This Row],[SALDO PENDENTE]]-Tabela1[[#This Row],[SALDO CARTAO]]-Tabela1[[#This Row],[ADIANTAMENTO]]</f>
        <v>0</v>
      </c>
      <c r="O459" s="30">
        <v>0</v>
      </c>
      <c r="P459" s="39">
        <f>IF(Tabela1[[#This Row],[CARGA PARCIAL]]&lt;0,0,Tabela1[[#This Row],[CARGA PARCIAL]])+Tabela1[[#This Row],[REEMBOLSO]]</f>
        <v>0</v>
      </c>
      <c r="Q459" s="18" t="s">
        <v>184</v>
      </c>
      <c r="R459" s="18"/>
    </row>
    <row r="460" spans="2:18" hidden="1">
      <c r="B460" s="42" t="s">
        <v>1116</v>
      </c>
      <c r="C460" s="22" t="s">
        <v>1117</v>
      </c>
      <c r="D460" s="17" t="s">
        <v>23</v>
      </c>
      <c r="E460" s="17" t="s">
        <v>58</v>
      </c>
      <c r="F460" s="17">
        <v>1104150001</v>
      </c>
      <c r="G460" s="20" t="s">
        <v>59</v>
      </c>
      <c r="H460" s="17" t="s">
        <v>51</v>
      </c>
      <c r="I460" s="30">
        <v>0</v>
      </c>
      <c r="J460" s="30">
        <v>209.30000000000143</v>
      </c>
      <c r="K460" s="30">
        <v>0</v>
      </c>
      <c r="L460" s="30">
        <v>4.12</v>
      </c>
      <c r="M460" s="30">
        <v>0</v>
      </c>
      <c r="N460" s="30">
        <f>Tabela1[[#This Row],[1QZ DE FEV 26]]-Tabela1[[#This Row],[SALDO PENDENTE]]-Tabela1[[#This Row],[SALDO CARTAO]]-Tabela1[[#This Row],[ADIANTAMENTO]]</f>
        <v>-213.42000000000144</v>
      </c>
      <c r="O460" s="30">
        <v>0</v>
      </c>
      <c r="P460" s="39">
        <f>IF(Tabela1[[#This Row],[CARGA PARCIAL]]&lt;0,0,Tabela1[[#This Row],[CARGA PARCIAL]])+Tabela1[[#This Row],[REEMBOLSO]]</f>
        <v>0</v>
      </c>
      <c r="Q460" s="18" t="s">
        <v>27</v>
      </c>
      <c r="R460" s="18"/>
    </row>
    <row r="461" spans="2:18" hidden="1">
      <c r="B461" s="42" t="s">
        <v>1118</v>
      </c>
      <c r="C461" s="22" t="s">
        <v>1119</v>
      </c>
      <c r="D461" s="17" t="s">
        <v>23</v>
      </c>
      <c r="E461" s="17" t="s">
        <v>161</v>
      </c>
      <c r="F461" s="17">
        <v>11010370001</v>
      </c>
      <c r="G461" s="20" t="s">
        <v>51</v>
      </c>
      <c r="H461" s="17" t="s">
        <v>51</v>
      </c>
      <c r="I461" s="30">
        <v>0</v>
      </c>
      <c r="J461" s="30">
        <v>0</v>
      </c>
      <c r="K461" s="30">
        <v>0</v>
      </c>
      <c r="L461" s="30">
        <v>0</v>
      </c>
      <c r="M461" s="30">
        <v>0</v>
      </c>
      <c r="N461" s="30">
        <f>Tabela1[[#This Row],[1QZ DE FEV 26]]-Tabela1[[#This Row],[SALDO PENDENTE]]-Tabela1[[#This Row],[SALDO CARTAO]]-Tabela1[[#This Row],[ADIANTAMENTO]]</f>
        <v>0</v>
      </c>
      <c r="O461" s="30">
        <v>0</v>
      </c>
      <c r="P461" s="39">
        <f>IF(Tabela1[[#This Row],[CARGA PARCIAL]]&lt;0,0,Tabela1[[#This Row],[CARGA PARCIAL]])+Tabela1[[#This Row],[REEMBOLSO]]</f>
        <v>0</v>
      </c>
      <c r="Q461" s="18" t="s">
        <v>184</v>
      </c>
      <c r="R461" s="18"/>
    </row>
    <row r="462" spans="2:18" hidden="1">
      <c r="B462" s="42" t="s">
        <v>1120</v>
      </c>
      <c r="C462" s="22" t="s">
        <v>1121</v>
      </c>
      <c r="D462" s="17" t="s">
        <v>23</v>
      </c>
      <c r="E462" s="17" t="s">
        <v>101</v>
      </c>
      <c r="F462" s="17">
        <v>11061430001</v>
      </c>
      <c r="G462" s="20" t="s">
        <v>31</v>
      </c>
      <c r="H462" s="17" t="s">
        <v>26</v>
      </c>
      <c r="I462" s="30">
        <v>0</v>
      </c>
      <c r="J462" s="30">
        <v>2047.2299999999996</v>
      </c>
      <c r="K462" s="30">
        <v>0</v>
      </c>
      <c r="L462" s="30">
        <v>96</v>
      </c>
      <c r="M462" s="30">
        <v>0</v>
      </c>
      <c r="N462" s="30">
        <f>Tabela1[[#This Row],[1QZ DE FEV 26]]-Tabela1[[#This Row],[SALDO PENDENTE]]-Tabela1[[#This Row],[SALDO CARTAO]]-Tabela1[[#This Row],[ADIANTAMENTO]]</f>
        <v>-2143.2299999999996</v>
      </c>
      <c r="O462" s="30">
        <v>0</v>
      </c>
      <c r="P462" s="39">
        <f>IF(Tabela1[[#This Row],[CARGA PARCIAL]]&lt;0,0,Tabela1[[#This Row],[CARGA PARCIAL]])+Tabela1[[#This Row],[REEMBOLSO]]</f>
        <v>0</v>
      </c>
      <c r="Q462" s="18" t="s">
        <v>27</v>
      </c>
      <c r="R462" s="18"/>
    </row>
    <row r="463" spans="2:18" hidden="1">
      <c r="B463" s="42" t="s">
        <v>1122</v>
      </c>
      <c r="C463" s="22" t="s">
        <v>1123</v>
      </c>
      <c r="D463" s="17" t="s">
        <v>23</v>
      </c>
      <c r="E463" s="17" t="s">
        <v>193</v>
      </c>
      <c r="F463" s="17">
        <v>11061820001</v>
      </c>
      <c r="G463" s="20" t="s">
        <v>71</v>
      </c>
      <c r="H463" s="17" t="s">
        <v>51</v>
      </c>
      <c r="I463" s="30">
        <v>0</v>
      </c>
      <c r="J463" s="30">
        <v>0</v>
      </c>
      <c r="K463" s="30">
        <v>0</v>
      </c>
      <c r="L463" s="30">
        <v>0</v>
      </c>
      <c r="M463" s="30">
        <v>0</v>
      </c>
      <c r="N463" s="30">
        <f>Tabela1[[#This Row],[1QZ DE FEV 26]]-Tabela1[[#This Row],[SALDO PENDENTE]]-Tabela1[[#This Row],[SALDO CARTAO]]-Tabela1[[#This Row],[ADIANTAMENTO]]</f>
        <v>0</v>
      </c>
      <c r="O463" s="30">
        <v>0</v>
      </c>
      <c r="P463" s="39">
        <f>IF(Tabela1[[#This Row],[CARGA PARCIAL]]&lt;0,0,Tabela1[[#This Row],[CARGA PARCIAL]])+Tabela1[[#This Row],[REEMBOLSO]]</f>
        <v>0</v>
      </c>
      <c r="Q463" s="18" t="s">
        <v>184</v>
      </c>
      <c r="R463" s="18"/>
    </row>
    <row r="464" spans="2:18" hidden="1">
      <c r="B464" s="42" t="s">
        <v>1124</v>
      </c>
      <c r="C464" s="22" t="s">
        <v>1125</v>
      </c>
      <c r="D464" s="17" t="s">
        <v>23</v>
      </c>
      <c r="E464" s="17" t="s">
        <v>222</v>
      </c>
      <c r="F464" s="17">
        <v>11062050001</v>
      </c>
      <c r="G464" s="20" t="s">
        <v>59</v>
      </c>
      <c r="H464" s="17" t="s">
        <v>51</v>
      </c>
      <c r="I464" s="30">
        <v>0</v>
      </c>
      <c r="J464" s="30">
        <v>0</v>
      </c>
      <c r="K464" s="30">
        <v>0</v>
      </c>
      <c r="L464" s="30">
        <v>0</v>
      </c>
      <c r="M464" s="30">
        <v>0</v>
      </c>
      <c r="N464" s="30">
        <f>Tabela1[[#This Row],[1QZ DE FEV 26]]-Tabela1[[#This Row],[SALDO PENDENTE]]-Tabela1[[#This Row],[SALDO CARTAO]]-Tabela1[[#This Row],[ADIANTAMENTO]]</f>
        <v>0</v>
      </c>
      <c r="O464" s="30">
        <v>0</v>
      </c>
      <c r="P464" s="39">
        <f>IF(Tabela1[[#This Row],[CARGA PARCIAL]]&lt;0,0,Tabela1[[#This Row],[CARGA PARCIAL]])+Tabela1[[#This Row],[REEMBOLSO]]</f>
        <v>0</v>
      </c>
      <c r="Q464" s="18" t="s">
        <v>184</v>
      </c>
      <c r="R464" s="18"/>
    </row>
    <row r="465" spans="2:18" hidden="1">
      <c r="B465" s="42" t="s">
        <v>1126</v>
      </c>
      <c r="C465" s="22" t="s">
        <v>1127</v>
      </c>
      <c r="D465" s="17" t="s">
        <v>23</v>
      </c>
      <c r="E465" s="17" t="s">
        <v>1128</v>
      </c>
      <c r="F465" s="17">
        <v>11010300001</v>
      </c>
      <c r="G465" s="20" t="s">
        <v>55</v>
      </c>
      <c r="H465" s="17" t="s">
        <v>51</v>
      </c>
      <c r="I465" s="30">
        <v>0</v>
      </c>
      <c r="J465" s="30">
        <v>310.6000000000048</v>
      </c>
      <c r="K465" s="30">
        <v>1500</v>
      </c>
      <c r="L465" s="30">
        <v>17.87</v>
      </c>
      <c r="M465" s="30">
        <v>0</v>
      </c>
      <c r="N465" s="30">
        <f>Tabela1[[#This Row],[1QZ DE FEV 26]]-Tabela1[[#This Row],[SALDO PENDENTE]]-Tabela1[[#This Row],[SALDO CARTAO]]-Tabela1[[#This Row],[ADIANTAMENTO]]</f>
        <v>1171.5299999999952</v>
      </c>
      <c r="O465" s="30">
        <v>0</v>
      </c>
      <c r="P465" s="39">
        <f>IF(Tabela1[[#This Row],[CARGA PARCIAL]]&lt;0,0,Tabela1[[#This Row],[CARGA PARCIAL]])+Tabela1[[#This Row],[REEMBOLSO]]</f>
        <v>1171.5299999999952</v>
      </c>
      <c r="Q465" s="18" t="s">
        <v>27</v>
      </c>
      <c r="R465" s="18"/>
    </row>
    <row r="466" spans="2:18" hidden="1">
      <c r="B466" s="42" t="s">
        <v>1129</v>
      </c>
      <c r="C466" s="22" t="s">
        <v>1130</v>
      </c>
      <c r="D466" s="17" t="s">
        <v>23</v>
      </c>
      <c r="E466" s="17" t="s">
        <v>803</v>
      </c>
      <c r="F466" s="17">
        <v>11080200001</v>
      </c>
      <c r="G466" s="20" t="s">
        <v>25</v>
      </c>
      <c r="H466" s="17" t="s">
        <v>26</v>
      </c>
      <c r="I466" s="30">
        <v>0</v>
      </c>
      <c r="J466" s="30">
        <v>1.5631940186722204E-13</v>
      </c>
      <c r="K466" s="30">
        <v>0</v>
      </c>
      <c r="L466" s="30">
        <v>81.83</v>
      </c>
      <c r="M466" s="30">
        <v>0</v>
      </c>
      <c r="N466" s="30">
        <f>Tabela1[[#This Row],[1QZ DE FEV 26]]-Tabela1[[#This Row],[SALDO PENDENTE]]-Tabela1[[#This Row],[SALDO CARTAO]]-Tabela1[[#This Row],[ADIANTAMENTO]]</f>
        <v>-81.830000000000155</v>
      </c>
      <c r="O466" s="30">
        <v>0</v>
      </c>
      <c r="P466" s="39">
        <f>IF(Tabela1[[#This Row],[CARGA PARCIAL]]&lt;0,0,Tabela1[[#This Row],[CARGA PARCIAL]])+Tabela1[[#This Row],[REEMBOLSO]]</f>
        <v>0</v>
      </c>
      <c r="Q466" s="18" t="s">
        <v>27</v>
      </c>
      <c r="R466" s="18"/>
    </row>
    <row r="467" spans="2:18" hidden="1">
      <c r="B467" s="42" t="s">
        <v>1131</v>
      </c>
      <c r="C467" s="22" t="s">
        <v>1132</v>
      </c>
      <c r="D467" s="17" t="s">
        <v>23</v>
      </c>
      <c r="E467" s="17" t="s">
        <v>58</v>
      </c>
      <c r="F467" s="17">
        <v>1104150001</v>
      </c>
      <c r="G467" s="20" t="s">
        <v>59</v>
      </c>
      <c r="H467" s="17" t="s">
        <v>51</v>
      </c>
      <c r="I467" s="30">
        <v>0</v>
      </c>
      <c r="J467" s="30">
        <v>1025.4000000000017</v>
      </c>
      <c r="K467" s="30">
        <v>0</v>
      </c>
      <c r="L467" s="30">
        <v>193.68</v>
      </c>
      <c r="M467" s="30">
        <v>0</v>
      </c>
      <c r="N467" s="30">
        <f>Tabela1[[#This Row],[1QZ DE FEV 26]]-Tabela1[[#This Row],[SALDO PENDENTE]]-Tabela1[[#This Row],[SALDO CARTAO]]-Tabela1[[#This Row],[ADIANTAMENTO]]</f>
        <v>-1219.0800000000017</v>
      </c>
      <c r="O467" s="30">
        <v>0</v>
      </c>
      <c r="P467" s="39">
        <f>IF(Tabela1[[#This Row],[CARGA PARCIAL]]&lt;0,0,Tabela1[[#This Row],[CARGA PARCIAL]])+Tabela1[[#This Row],[REEMBOLSO]]</f>
        <v>0</v>
      </c>
      <c r="Q467" s="18" t="s">
        <v>27</v>
      </c>
      <c r="R467" s="18"/>
    </row>
    <row r="468" spans="2:18" hidden="1">
      <c r="B468" s="41" t="s">
        <v>1133</v>
      </c>
      <c r="C468" s="22" t="s">
        <v>1134</v>
      </c>
      <c r="D468" s="17" t="s">
        <v>23</v>
      </c>
      <c r="E468" s="17" t="s">
        <v>196</v>
      </c>
      <c r="F468" s="17">
        <v>11061720001</v>
      </c>
      <c r="G468" s="20" t="s">
        <v>55</v>
      </c>
      <c r="H468" s="17" t="s">
        <v>51</v>
      </c>
      <c r="I468" s="30">
        <v>0</v>
      </c>
      <c r="J468" s="30">
        <v>38.420000000001835</v>
      </c>
      <c r="K468" s="30">
        <v>800</v>
      </c>
      <c r="L468" s="30">
        <v>495.54</v>
      </c>
      <c r="M468" s="30">
        <v>0</v>
      </c>
      <c r="N468" s="30">
        <f>Tabela1[[#This Row],[1QZ DE FEV 26]]-Tabela1[[#This Row],[SALDO PENDENTE]]-Tabela1[[#This Row],[SALDO CARTAO]]-Tabela1[[#This Row],[ADIANTAMENTO]]</f>
        <v>266.03999999999809</v>
      </c>
      <c r="O468" s="30"/>
      <c r="P468" s="45">
        <f>IF(Tabela1[[#This Row],[CARGA PARCIAL]]&lt;0,0,Tabela1[[#This Row],[CARGA PARCIAL]])+Tabela1[[#This Row],[REEMBOLSO]]</f>
        <v>266.03999999999809</v>
      </c>
      <c r="Q468" s="18" t="s">
        <v>27</v>
      </c>
      <c r="R468" s="18"/>
    </row>
    <row r="469" spans="2:18" hidden="1">
      <c r="B469" s="42" t="s">
        <v>1135</v>
      </c>
      <c r="C469" s="22" t="s">
        <v>1136</v>
      </c>
      <c r="D469" s="17" t="s">
        <v>23</v>
      </c>
      <c r="E469" s="17" t="s">
        <v>132</v>
      </c>
      <c r="F469" s="17">
        <v>11040160001</v>
      </c>
      <c r="G469" s="20" t="s">
        <v>63</v>
      </c>
      <c r="H469" s="17" t="s">
        <v>26</v>
      </c>
      <c r="I469" s="30">
        <v>0</v>
      </c>
      <c r="J469" s="30">
        <v>0</v>
      </c>
      <c r="K469" s="30">
        <v>0</v>
      </c>
      <c r="L469" s="30">
        <v>0</v>
      </c>
      <c r="M469" s="30">
        <v>0</v>
      </c>
      <c r="N469" s="30">
        <f>Tabela1[[#This Row],[1QZ DE FEV 26]]-Tabela1[[#This Row],[SALDO PENDENTE]]-Tabela1[[#This Row],[SALDO CARTAO]]-Tabela1[[#This Row],[ADIANTAMENTO]]</f>
        <v>0</v>
      </c>
      <c r="O469" s="30">
        <v>0</v>
      </c>
      <c r="P469" s="39">
        <f>IF(Tabela1[[#This Row],[CARGA PARCIAL]]&lt;0,0,Tabela1[[#This Row],[CARGA PARCIAL]])+Tabela1[[#This Row],[REEMBOLSO]]</f>
        <v>0</v>
      </c>
      <c r="Q469" s="18" t="s">
        <v>184</v>
      </c>
      <c r="R469" s="18"/>
    </row>
    <row r="470" spans="2:18" hidden="1">
      <c r="B470" s="42" t="s">
        <v>1137</v>
      </c>
      <c r="C470" s="22" t="s">
        <v>1138</v>
      </c>
      <c r="D470" s="17" t="s">
        <v>23</v>
      </c>
      <c r="E470" s="17" t="s">
        <v>1139</v>
      </c>
      <c r="F470" s="17">
        <v>11020550001</v>
      </c>
      <c r="G470" s="20" t="s">
        <v>31</v>
      </c>
      <c r="H470" s="17" t="s">
        <v>26</v>
      </c>
      <c r="I470" s="30">
        <v>0</v>
      </c>
      <c r="J470" s="30">
        <v>5097.63</v>
      </c>
      <c r="K470" s="31">
        <v>0</v>
      </c>
      <c r="L470" s="30">
        <v>13</v>
      </c>
      <c r="M470" s="30">
        <v>0</v>
      </c>
      <c r="N470" s="38">
        <f>Tabela1[[#This Row],[1QZ DE FEV 26]]-Tabela1[[#This Row],[SALDO PENDENTE]]-Tabela1[[#This Row],[SALDO CARTAO]]-Tabela1[[#This Row],[ADIANTAMENTO]]</f>
        <v>-5110.63</v>
      </c>
      <c r="O470" s="38">
        <v>0</v>
      </c>
      <c r="P470" s="39">
        <f>IF(Tabela1[[#This Row],[CARGA PARCIAL]]&lt;0,0,Tabela1[[#This Row],[CARGA PARCIAL]])+Tabela1[[#This Row],[REEMBOLSO]]</f>
        <v>0</v>
      </c>
      <c r="Q470" s="40" t="s">
        <v>27</v>
      </c>
      <c r="R470" s="18"/>
    </row>
    <row r="471" spans="2:18" hidden="1">
      <c r="B471" s="51" t="s">
        <v>1140</v>
      </c>
      <c r="C471" s="47" t="s">
        <v>1141</v>
      </c>
      <c r="D471" s="19" t="s">
        <v>23</v>
      </c>
      <c r="E471" s="19" t="s">
        <v>1142</v>
      </c>
      <c r="F471" s="19">
        <v>11060350001</v>
      </c>
      <c r="G471" s="27" t="s">
        <v>35</v>
      </c>
      <c r="H471" s="19" t="s">
        <v>26</v>
      </c>
      <c r="I471" s="30">
        <v>0</v>
      </c>
      <c r="J471" s="30">
        <v>0</v>
      </c>
      <c r="K471" s="31">
        <v>0</v>
      </c>
      <c r="L471" s="30">
        <v>0</v>
      </c>
      <c r="M471" s="31">
        <v>0</v>
      </c>
      <c r="N471" s="49">
        <f>Tabela1[[#This Row],[1QZ DE FEV 26]]-Tabela1[[#This Row],[SALDO PENDENTE]]-Tabela1[[#This Row],[SALDO CARTAO]]-Tabela1[[#This Row],[ADIANTAMENTO]]</f>
        <v>0</v>
      </c>
      <c r="O471" s="49">
        <v>0</v>
      </c>
      <c r="P471" s="50">
        <f>IF(Tabela1[[#This Row],[CARGA PARCIAL]]&lt;0,0,Tabela1[[#This Row],[CARGA PARCIAL]])+Tabela1[[#This Row],[REEMBOLSO]]</f>
        <v>0</v>
      </c>
      <c r="Q471" s="44" t="s">
        <v>184</v>
      </c>
      <c r="R471" s="29"/>
    </row>
    <row r="472" spans="2:18" hidden="1">
      <c r="B472" s="42" t="s">
        <v>1143</v>
      </c>
      <c r="C472" s="22" t="s">
        <v>1144</v>
      </c>
      <c r="D472" s="17" t="s">
        <v>23</v>
      </c>
      <c r="E472" s="17" t="s">
        <v>1145</v>
      </c>
      <c r="F472" s="17">
        <v>11060720001</v>
      </c>
      <c r="G472" s="20" t="s">
        <v>55</v>
      </c>
      <c r="H472" s="17" t="s">
        <v>51</v>
      </c>
      <c r="I472" s="30">
        <v>-2.6000000000002501</v>
      </c>
      <c r="J472" s="30">
        <v>0</v>
      </c>
      <c r="K472" s="30">
        <v>500</v>
      </c>
      <c r="L472" s="30">
        <v>502.6</v>
      </c>
      <c r="M472" s="30">
        <v>0</v>
      </c>
      <c r="N472" s="30">
        <f>Tabela1[[#This Row],[1QZ DE FEV 26]]-Tabela1[[#This Row],[SALDO PENDENTE]]-Tabela1[[#This Row],[SALDO CARTAO]]-Tabela1[[#This Row],[ADIANTAMENTO]]</f>
        <v>-2.6000000000000227</v>
      </c>
      <c r="O472" s="30">
        <v>0</v>
      </c>
      <c r="P472" s="39">
        <f>IF(Tabela1[[#This Row],[CARGA PARCIAL]]&lt;0,0,Tabela1[[#This Row],[CARGA PARCIAL]])+Tabela1[[#This Row],[REEMBOLSO]]</f>
        <v>0</v>
      </c>
      <c r="Q472" s="18" t="s">
        <v>27</v>
      </c>
      <c r="R472" s="18"/>
    </row>
    <row r="473" spans="2:18" hidden="1">
      <c r="B473" s="42" t="s">
        <v>1146</v>
      </c>
      <c r="C473" s="22" t="s">
        <v>1147</v>
      </c>
      <c r="D473" s="17" t="s">
        <v>23</v>
      </c>
      <c r="E473" s="17" t="s">
        <v>1148</v>
      </c>
      <c r="F473" s="17">
        <v>11061990001</v>
      </c>
      <c r="G473" s="20" t="s">
        <v>71</v>
      </c>
      <c r="H473" s="17" t="s">
        <v>51</v>
      </c>
      <c r="I473" s="30">
        <v>0</v>
      </c>
      <c r="J473" s="30">
        <v>480</v>
      </c>
      <c r="K473" s="30">
        <v>0</v>
      </c>
      <c r="L473" s="30">
        <v>13</v>
      </c>
      <c r="M473" s="30">
        <v>0</v>
      </c>
      <c r="N473" s="30">
        <f>Tabela1[[#This Row],[1QZ DE FEV 26]]-Tabela1[[#This Row],[SALDO PENDENTE]]-Tabela1[[#This Row],[SALDO CARTAO]]-Tabela1[[#This Row],[ADIANTAMENTO]]</f>
        <v>-493</v>
      </c>
      <c r="O473" s="30">
        <v>0</v>
      </c>
      <c r="P473" s="39">
        <f>IF(Tabela1[[#This Row],[CARGA PARCIAL]]&lt;0,0,Tabela1[[#This Row],[CARGA PARCIAL]])+Tabela1[[#This Row],[REEMBOLSO]]</f>
        <v>0</v>
      </c>
      <c r="Q473" s="18" t="s">
        <v>27</v>
      </c>
      <c r="R473" s="18"/>
    </row>
    <row r="474" spans="2:18" hidden="1">
      <c r="B474" s="42" t="s">
        <v>1149</v>
      </c>
      <c r="C474" s="22" t="s">
        <v>1150</v>
      </c>
      <c r="D474" s="17" t="s">
        <v>23</v>
      </c>
      <c r="E474" s="17" t="s">
        <v>1151</v>
      </c>
      <c r="F474" s="17">
        <v>1201021</v>
      </c>
      <c r="G474" s="20" t="s">
        <v>1152</v>
      </c>
      <c r="H474" s="17" t="s">
        <v>177</v>
      </c>
      <c r="I474" s="30">
        <v>0</v>
      </c>
      <c r="J474" s="30">
        <v>0</v>
      </c>
      <c r="K474" s="30">
        <v>0</v>
      </c>
      <c r="L474" s="30">
        <v>0</v>
      </c>
      <c r="M474" s="30">
        <v>0</v>
      </c>
      <c r="N474" s="30">
        <f>Tabela1[[#This Row],[1QZ DE FEV 26]]-Tabela1[[#This Row],[SALDO PENDENTE]]-Tabela1[[#This Row],[SALDO CARTAO]]-Tabela1[[#This Row],[ADIANTAMENTO]]</f>
        <v>0</v>
      </c>
      <c r="O474" s="30">
        <v>0</v>
      </c>
      <c r="P474" s="39">
        <f>IF(Tabela1[[#This Row],[CARGA PARCIAL]]&lt;0,0,Tabela1[[#This Row],[CARGA PARCIAL]])+Tabela1[[#This Row],[REEMBOLSO]]</f>
        <v>0</v>
      </c>
      <c r="Q474" s="18" t="s">
        <v>184</v>
      </c>
      <c r="R474" s="18"/>
    </row>
    <row r="475" spans="2:18" hidden="1">
      <c r="B475" s="42" t="s">
        <v>1153</v>
      </c>
      <c r="C475" s="22" t="s">
        <v>1154</v>
      </c>
      <c r="D475" s="17" t="s">
        <v>23</v>
      </c>
      <c r="E475" s="17" t="s">
        <v>628</v>
      </c>
      <c r="F475" s="17">
        <v>1201004</v>
      </c>
      <c r="G475" s="20" t="s">
        <v>629</v>
      </c>
      <c r="H475" s="17" t="s">
        <v>630</v>
      </c>
      <c r="I475" s="30">
        <v>0</v>
      </c>
      <c r="J475" s="30">
        <v>187.41999999999985</v>
      </c>
      <c r="K475" s="30">
        <v>0</v>
      </c>
      <c r="L475" s="30">
        <v>2.5099999999999998</v>
      </c>
      <c r="M475" s="30">
        <v>0</v>
      </c>
      <c r="N475" s="30">
        <f>Tabela1[[#This Row],[1QZ DE FEV 26]]-Tabela1[[#This Row],[SALDO PENDENTE]]-Tabela1[[#This Row],[SALDO CARTAO]]-Tabela1[[#This Row],[ADIANTAMENTO]]</f>
        <v>-189.92999999999984</v>
      </c>
      <c r="O475" s="30">
        <v>0</v>
      </c>
      <c r="P475" s="39">
        <f>IF(Tabela1[[#This Row],[CARGA PARCIAL]]&lt;0,0,Tabela1[[#This Row],[CARGA PARCIAL]])+Tabela1[[#This Row],[REEMBOLSO]]</f>
        <v>0</v>
      </c>
      <c r="Q475" s="18" t="s">
        <v>27</v>
      </c>
      <c r="R475" s="18"/>
    </row>
    <row r="476" spans="2:18" hidden="1">
      <c r="B476" s="42" t="s">
        <v>1155</v>
      </c>
      <c r="C476" s="22" t="s">
        <v>1156</v>
      </c>
      <c r="D476" s="17" t="s">
        <v>23</v>
      </c>
      <c r="E476" s="17" t="s">
        <v>125</v>
      </c>
      <c r="F476" s="17">
        <v>11040170001</v>
      </c>
      <c r="G476" s="20" t="s">
        <v>126</v>
      </c>
      <c r="H476" s="17" t="s">
        <v>26</v>
      </c>
      <c r="I476" s="30">
        <v>0</v>
      </c>
      <c r="J476" s="30">
        <v>1762.57</v>
      </c>
      <c r="K476" s="30">
        <v>1800</v>
      </c>
      <c r="L476" s="30">
        <v>30.43</v>
      </c>
      <c r="M476" s="30">
        <v>0</v>
      </c>
      <c r="N476" s="30">
        <f>Tabela1[[#This Row],[1QZ DE FEV 26]]-Tabela1[[#This Row],[SALDO PENDENTE]]-Tabela1[[#This Row],[SALDO CARTAO]]-Tabela1[[#This Row],[ADIANTAMENTO]]</f>
        <v>7.0000000000000639</v>
      </c>
      <c r="O476" s="30">
        <v>0</v>
      </c>
      <c r="P476" s="39">
        <f>IF(Tabela1[[#This Row],[CARGA PARCIAL]]&lt;0,0,Tabela1[[#This Row],[CARGA PARCIAL]])+Tabela1[[#This Row],[REEMBOLSO]]</f>
        <v>7.0000000000000639</v>
      </c>
      <c r="Q476" s="18" t="s">
        <v>27</v>
      </c>
      <c r="R476" s="18"/>
    </row>
    <row r="477" spans="2:18" hidden="1">
      <c r="B477" s="51" t="s">
        <v>1157</v>
      </c>
      <c r="C477" s="47" t="s">
        <v>1158</v>
      </c>
      <c r="D477" s="19" t="s">
        <v>23</v>
      </c>
      <c r="E477" s="19" t="s">
        <v>1159</v>
      </c>
      <c r="F477" s="19">
        <v>11010200001</v>
      </c>
      <c r="G477" s="27" t="s">
        <v>71</v>
      </c>
      <c r="H477" s="19" t="s">
        <v>51</v>
      </c>
      <c r="I477" s="30">
        <v>0</v>
      </c>
      <c r="J477" s="30">
        <v>0</v>
      </c>
      <c r="K477" s="31">
        <v>0</v>
      </c>
      <c r="L477" s="30">
        <v>0</v>
      </c>
      <c r="M477" s="31">
        <v>0</v>
      </c>
      <c r="N477" s="49">
        <f>Tabela1[[#This Row],[1QZ DE FEV 26]]-Tabela1[[#This Row],[SALDO PENDENTE]]-Tabela1[[#This Row],[SALDO CARTAO]]-Tabela1[[#This Row],[ADIANTAMENTO]]</f>
        <v>0</v>
      </c>
      <c r="O477" s="49">
        <v>0</v>
      </c>
      <c r="P477" s="50">
        <f>IF(Tabela1[[#This Row],[CARGA PARCIAL]]&lt;0,0,Tabela1[[#This Row],[CARGA PARCIAL]])+Tabela1[[#This Row],[REEMBOLSO]]</f>
        <v>0</v>
      </c>
      <c r="Q477" s="44" t="s">
        <v>27</v>
      </c>
      <c r="R477" s="29"/>
    </row>
    <row r="478" spans="2:18" hidden="1">
      <c r="B478" s="42" t="s">
        <v>1160</v>
      </c>
      <c r="C478" s="22" t="s">
        <v>1161</v>
      </c>
      <c r="D478" s="17" t="s">
        <v>23</v>
      </c>
      <c r="E478" s="17" t="s">
        <v>132</v>
      </c>
      <c r="F478" s="17">
        <v>11040160001</v>
      </c>
      <c r="G478" s="20" t="s">
        <v>63</v>
      </c>
      <c r="H478" s="17" t="s">
        <v>26</v>
      </c>
      <c r="I478" s="30">
        <v>0</v>
      </c>
      <c r="J478" s="30">
        <v>0</v>
      </c>
      <c r="K478" s="30">
        <v>0</v>
      </c>
      <c r="L478" s="30">
        <v>0</v>
      </c>
      <c r="M478" s="30">
        <v>0</v>
      </c>
      <c r="N478" s="30">
        <f>Tabela1[[#This Row],[1QZ DE FEV 26]]-Tabela1[[#This Row],[SALDO PENDENTE]]-Tabela1[[#This Row],[SALDO CARTAO]]-Tabela1[[#This Row],[ADIANTAMENTO]]</f>
        <v>0</v>
      </c>
      <c r="O478" s="30">
        <v>0</v>
      </c>
      <c r="P478" s="39">
        <f>IF(Tabela1[[#This Row],[CARGA PARCIAL]]&lt;0,0,Tabela1[[#This Row],[CARGA PARCIAL]])+Tabela1[[#This Row],[REEMBOLSO]]</f>
        <v>0</v>
      </c>
      <c r="Q478" s="18" t="s">
        <v>184</v>
      </c>
      <c r="R478" s="18"/>
    </row>
    <row r="479" spans="2:18" hidden="1">
      <c r="B479" s="42" t="s">
        <v>1162</v>
      </c>
      <c r="C479" s="22" t="s">
        <v>1163</v>
      </c>
      <c r="D479" s="17" t="s">
        <v>23</v>
      </c>
      <c r="E479" s="17" t="s">
        <v>234</v>
      </c>
      <c r="F479" s="17">
        <v>11060710001</v>
      </c>
      <c r="G479" s="20" t="s">
        <v>35</v>
      </c>
      <c r="H479" s="17" t="s">
        <v>26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>
        <f>Tabela1[[#This Row],[1QZ DE FEV 26]]-Tabela1[[#This Row],[SALDO PENDENTE]]-Tabela1[[#This Row],[SALDO CARTAO]]-Tabela1[[#This Row],[ADIANTAMENTO]]</f>
        <v>0</v>
      </c>
      <c r="O479" s="30">
        <v>0</v>
      </c>
      <c r="P479" s="39">
        <f>IF(Tabela1[[#This Row],[CARGA PARCIAL]]&lt;0,0,Tabela1[[#This Row],[CARGA PARCIAL]])+Tabela1[[#This Row],[REEMBOLSO]]</f>
        <v>0</v>
      </c>
      <c r="Q479" s="18" t="s">
        <v>1164</v>
      </c>
      <c r="R479" s="18"/>
    </row>
    <row r="480" spans="2:18" hidden="1">
      <c r="B480" s="42" t="s">
        <v>1165</v>
      </c>
      <c r="C480" s="22" t="s">
        <v>1166</v>
      </c>
      <c r="D480" s="17" t="s">
        <v>23</v>
      </c>
      <c r="E480" s="17" t="s">
        <v>122</v>
      </c>
      <c r="F480" s="17">
        <v>11040130001</v>
      </c>
      <c r="G480" s="20" t="s">
        <v>59</v>
      </c>
      <c r="H480" s="17" t="s">
        <v>51</v>
      </c>
      <c r="I480" s="30">
        <v>0</v>
      </c>
      <c r="J480" s="30">
        <v>63.019999999999982</v>
      </c>
      <c r="K480" s="31">
        <v>0</v>
      </c>
      <c r="L480" s="30">
        <v>0</v>
      </c>
      <c r="M480" s="30">
        <v>0</v>
      </c>
      <c r="N480" s="38">
        <f>Tabela1[[#This Row],[1QZ DE FEV 26]]-Tabela1[[#This Row],[SALDO PENDENTE]]-Tabela1[[#This Row],[SALDO CARTAO]]-Tabela1[[#This Row],[ADIANTAMENTO]]</f>
        <v>-63.019999999999982</v>
      </c>
      <c r="O480" s="38">
        <v>0</v>
      </c>
      <c r="P480" s="39">
        <f>IF(Tabela1[[#This Row],[CARGA PARCIAL]]&lt;0,0,Tabela1[[#This Row],[CARGA PARCIAL]])+Tabela1[[#This Row],[REEMBOLSO]]</f>
        <v>0</v>
      </c>
      <c r="Q480" s="40" t="s">
        <v>27</v>
      </c>
      <c r="R480" s="18"/>
    </row>
    <row r="481" spans="2:18" hidden="1">
      <c r="B481" s="51" t="s">
        <v>1167</v>
      </c>
      <c r="C481" s="47" t="s">
        <v>1168</v>
      </c>
      <c r="D481" s="19" t="s">
        <v>23</v>
      </c>
      <c r="E481" s="19" t="s">
        <v>58</v>
      </c>
      <c r="F481" s="19">
        <v>1104150001</v>
      </c>
      <c r="G481" s="27" t="s">
        <v>59</v>
      </c>
      <c r="H481" s="19" t="s">
        <v>51</v>
      </c>
      <c r="I481" s="30">
        <v>0</v>
      </c>
      <c r="J481" s="30">
        <v>1528.3900000000021</v>
      </c>
      <c r="K481" s="31">
        <v>0</v>
      </c>
      <c r="L481" s="30">
        <v>0.96</v>
      </c>
      <c r="M481" s="31">
        <v>0</v>
      </c>
      <c r="N481" s="49">
        <f>Tabela1[[#This Row],[1QZ DE FEV 26]]-Tabela1[[#This Row],[SALDO PENDENTE]]-Tabela1[[#This Row],[SALDO CARTAO]]-Tabela1[[#This Row],[ADIANTAMENTO]]</f>
        <v>-1529.3500000000022</v>
      </c>
      <c r="O481" s="49">
        <v>0</v>
      </c>
      <c r="P481" s="50">
        <f>IF(Tabela1[[#This Row],[CARGA PARCIAL]]&lt;0,0,Tabela1[[#This Row],[CARGA PARCIAL]])+Tabela1[[#This Row],[REEMBOLSO]]</f>
        <v>0</v>
      </c>
      <c r="Q481" s="44" t="s">
        <v>27</v>
      </c>
      <c r="R481" s="29"/>
    </row>
    <row r="482" spans="2:18" hidden="1">
      <c r="B482" s="42" t="s">
        <v>1169</v>
      </c>
      <c r="C482" s="22" t="s">
        <v>1170</v>
      </c>
      <c r="D482" s="17" t="s">
        <v>23</v>
      </c>
      <c r="E482" s="17" t="s">
        <v>58</v>
      </c>
      <c r="F482" s="17">
        <v>1104150001</v>
      </c>
      <c r="G482" s="20" t="s">
        <v>59</v>
      </c>
      <c r="H482" s="17" t="s">
        <v>51</v>
      </c>
      <c r="I482" s="30">
        <v>0</v>
      </c>
      <c r="J482" s="30">
        <v>7.9000000000001194</v>
      </c>
      <c r="K482" s="30">
        <v>0</v>
      </c>
      <c r="L482" s="30">
        <v>181.96</v>
      </c>
      <c r="M482" s="30">
        <v>0</v>
      </c>
      <c r="N482" s="30">
        <f>Tabela1[[#This Row],[1QZ DE FEV 26]]-Tabela1[[#This Row],[SALDO PENDENTE]]-Tabela1[[#This Row],[SALDO CARTAO]]-Tabela1[[#This Row],[ADIANTAMENTO]]</f>
        <v>-189.86000000000013</v>
      </c>
      <c r="O482" s="30">
        <v>0</v>
      </c>
      <c r="P482" s="39">
        <f>IF(Tabela1[[#This Row],[CARGA PARCIAL]]&lt;0,0,Tabela1[[#This Row],[CARGA PARCIAL]])+Tabela1[[#This Row],[REEMBOLSO]]</f>
        <v>0</v>
      </c>
      <c r="Q482" s="18" t="s">
        <v>27</v>
      </c>
      <c r="R482" s="18"/>
    </row>
    <row r="483" spans="2:18" hidden="1">
      <c r="B483" s="42" t="s">
        <v>1171</v>
      </c>
      <c r="C483" s="22" t="s">
        <v>1172</v>
      </c>
      <c r="D483" s="17" t="s">
        <v>23</v>
      </c>
      <c r="E483" s="17" t="s">
        <v>1173</v>
      </c>
      <c r="F483" s="17">
        <v>11062580001</v>
      </c>
      <c r="G483" s="20" t="s">
        <v>71</v>
      </c>
      <c r="H483" s="17" t="s">
        <v>51</v>
      </c>
      <c r="I483" s="30">
        <v>0</v>
      </c>
      <c r="J483" s="30">
        <v>7.35</v>
      </c>
      <c r="K483" s="30">
        <v>0</v>
      </c>
      <c r="L483" s="30">
        <v>0</v>
      </c>
      <c r="M483" s="30">
        <v>0</v>
      </c>
      <c r="N483" s="30">
        <f>Tabela1[[#This Row],[1QZ DE FEV 26]]-Tabela1[[#This Row],[SALDO PENDENTE]]-Tabela1[[#This Row],[SALDO CARTAO]]-Tabela1[[#This Row],[ADIANTAMENTO]]</f>
        <v>-7.35</v>
      </c>
      <c r="O483" s="30">
        <v>0</v>
      </c>
      <c r="P483" s="39">
        <f>IF(Tabela1[[#This Row],[CARGA PARCIAL]]&lt;0,0,Tabela1[[#This Row],[CARGA PARCIAL]])+Tabela1[[#This Row],[REEMBOLSO]]</f>
        <v>0</v>
      </c>
      <c r="Q483" s="18" t="s">
        <v>27</v>
      </c>
      <c r="R483" s="18"/>
    </row>
    <row r="484" spans="2:18" hidden="1">
      <c r="B484" s="42" t="s">
        <v>1174</v>
      </c>
      <c r="C484" s="22" t="s">
        <v>1175</v>
      </c>
      <c r="D484" s="17" t="s">
        <v>23</v>
      </c>
      <c r="E484" s="17" t="s">
        <v>917</v>
      </c>
      <c r="F484" s="17">
        <v>11063050001</v>
      </c>
      <c r="G484" s="20" t="s">
        <v>71</v>
      </c>
      <c r="H484" s="17" t="s">
        <v>51</v>
      </c>
      <c r="I484" s="30">
        <v>0</v>
      </c>
      <c r="J484" s="30">
        <v>1018.5</v>
      </c>
      <c r="K484" s="30">
        <v>0</v>
      </c>
      <c r="L484" s="30">
        <v>6</v>
      </c>
      <c r="M484" s="30">
        <v>0</v>
      </c>
      <c r="N484" s="30">
        <f>Tabela1[[#This Row],[1QZ DE FEV 26]]-Tabela1[[#This Row],[SALDO PENDENTE]]-Tabela1[[#This Row],[SALDO CARTAO]]-Tabela1[[#This Row],[ADIANTAMENTO]]</f>
        <v>-1024.5</v>
      </c>
      <c r="O484" s="30">
        <v>0</v>
      </c>
      <c r="P484" s="39">
        <f>IF(Tabela1[[#This Row],[CARGA PARCIAL]]&lt;0,0,Tabela1[[#This Row],[CARGA PARCIAL]])+Tabela1[[#This Row],[REEMBOLSO]]</f>
        <v>0</v>
      </c>
      <c r="Q484" s="18" t="s">
        <v>27</v>
      </c>
      <c r="R484" s="18"/>
    </row>
    <row r="485" spans="2:18" hidden="1">
      <c r="B485" s="42" t="s">
        <v>1176</v>
      </c>
      <c r="C485" s="22" t="s">
        <v>1177</v>
      </c>
      <c r="D485" s="17" t="s">
        <v>23</v>
      </c>
      <c r="E485" s="17" t="s">
        <v>917</v>
      </c>
      <c r="F485" s="17">
        <v>11063050001</v>
      </c>
      <c r="G485" s="20" t="s">
        <v>71</v>
      </c>
      <c r="H485" s="17" t="s">
        <v>51</v>
      </c>
      <c r="I485" s="30">
        <v>0</v>
      </c>
      <c r="J485" s="30">
        <v>110</v>
      </c>
      <c r="K485" s="30">
        <v>0</v>
      </c>
      <c r="L485" s="30">
        <v>0.4</v>
      </c>
      <c r="M485" s="30">
        <v>0</v>
      </c>
      <c r="N485" s="30">
        <f>Tabela1[[#This Row],[1QZ DE FEV 26]]-Tabela1[[#This Row],[SALDO PENDENTE]]-Tabela1[[#This Row],[SALDO CARTAO]]-Tabela1[[#This Row],[ADIANTAMENTO]]</f>
        <v>-110.4</v>
      </c>
      <c r="O485" s="30">
        <v>0</v>
      </c>
      <c r="P485" s="39">
        <f>IF(Tabela1[[#This Row],[CARGA PARCIAL]]&lt;0,0,Tabela1[[#This Row],[CARGA PARCIAL]])+Tabela1[[#This Row],[REEMBOLSO]]</f>
        <v>0</v>
      </c>
      <c r="Q485" s="18" t="s">
        <v>27</v>
      </c>
      <c r="R485" s="18"/>
    </row>
    <row r="486" spans="2:18" hidden="1">
      <c r="B486" s="42" t="s">
        <v>1178</v>
      </c>
      <c r="C486" s="22" t="s">
        <v>1179</v>
      </c>
      <c r="D486" s="17" t="s">
        <v>23</v>
      </c>
      <c r="E486" s="17" t="s">
        <v>122</v>
      </c>
      <c r="F486" s="17">
        <v>11040130001</v>
      </c>
      <c r="G486" s="20" t="s">
        <v>59</v>
      </c>
      <c r="H486" s="17" t="s">
        <v>51</v>
      </c>
      <c r="I486" s="30">
        <v>0</v>
      </c>
      <c r="J486" s="30">
        <v>0</v>
      </c>
      <c r="K486" s="30">
        <v>0</v>
      </c>
      <c r="L486" s="30">
        <v>0</v>
      </c>
      <c r="M486" s="30">
        <v>0</v>
      </c>
      <c r="N486" s="30">
        <f>Tabela1[[#This Row],[1QZ DE FEV 26]]-Tabela1[[#This Row],[SALDO PENDENTE]]-Tabela1[[#This Row],[SALDO CARTAO]]-Tabela1[[#This Row],[ADIANTAMENTO]]</f>
        <v>0</v>
      </c>
      <c r="O486" s="30">
        <v>0</v>
      </c>
      <c r="P486" s="39">
        <f>IF(Tabela1[[#This Row],[CARGA PARCIAL]]&lt;0,0,Tabela1[[#This Row],[CARGA PARCIAL]])+Tabela1[[#This Row],[REEMBOLSO]]</f>
        <v>0</v>
      </c>
      <c r="Q486" s="18" t="s">
        <v>27</v>
      </c>
      <c r="R486" s="18"/>
    </row>
    <row r="487" spans="2:18" hidden="1">
      <c r="B487" s="42" t="s">
        <v>1180</v>
      </c>
      <c r="C487" s="22" t="s">
        <v>1181</v>
      </c>
      <c r="D487" s="17" t="s">
        <v>23</v>
      </c>
      <c r="E487" s="17" t="s">
        <v>58</v>
      </c>
      <c r="F487" s="17">
        <v>1104150001</v>
      </c>
      <c r="G487" s="20" t="s">
        <v>59</v>
      </c>
      <c r="H487" s="17" t="s">
        <v>51</v>
      </c>
      <c r="I487" s="30">
        <v>0</v>
      </c>
      <c r="J487" s="30">
        <v>2.3647750424515834E-13</v>
      </c>
      <c r="K487" s="30">
        <v>0</v>
      </c>
      <c r="L487" s="30">
        <v>0.99</v>
      </c>
      <c r="M487" s="30">
        <v>0</v>
      </c>
      <c r="N487" s="30">
        <f>Tabela1[[#This Row],[1QZ DE FEV 26]]-Tabela1[[#This Row],[SALDO PENDENTE]]-Tabela1[[#This Row],[SALDO CARTAO]]-Tabela1[[#This Row],[ADIANTAMENTO]]</f>
        <v>-0.99000000000023647</v>
      </c>
      <c r="O487" s="30">
        <v>0</v>
      </c>
      <c r="P487" s="39">
        <f>IF(Tabela1[[#This Row],[CARGA PARCIAL]]&lt;0,0,Tabela1[[#This Row],[CARGA PARCIAL]])+Tabela1[[#This Row],[REEMBOLSO]]</f>
        <v>0</v>
      </c>
      <c r="Q487" s="18" t="s">
        <v>27</v>
      </c>
      <c r="R487" s="18"/>
    </row>
    <row r="488" spans="2:18" hidden="1">
      <c r="B488" s="42" t="s">
        <v>1182</v>
      </c>
      <c r="C488" s="22" t="s">
        <v>1183</v>
      </c>
      <c r="D488" s="17" t="s">
        <v>23</v>
      </c>
      <c r="E488" s="17" t="s">
        <v>1184</v>
      </c>
      <c r="F488" s="17">
        <v>12010570001</v>
      </c>
      <c r="G488" s="20" t="s">
        <v>435</v>
      </c>
      <c r="H488" s="17" t="s">
        <v>177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f>Tabela1[[#This Row],[1QZ DE FEV 26]]-Tabela1[[#This Row],[SALDO PENDENTE]]-Tabela1[[#This Row],[SALDO CARTAO]]-Tabela1[[#This Row],[ADIANTAMENTO]]</f>
        <v>0</v>
      </c>
      <c r="O488" s="30">
        <v>0</v>
      </c>
      <c r="P488" s="39">
        <f>IF(Tabela1[[#This Row],[CARGA PARCIAL]]&lt;0,0,Tabela1[[#This Row],[CARGA PARCIAL]])+Tabela1[[#This Row],[REEMBOLSO]]</f>
        <v>0</v>
      </c>
      <c r="Q488" s="18" t="s">
        <v>184</v>
      </c>
      <c r="R488" s="18"/>
    </row>
    <row r="489" spans="2:18" hidden="1">
      <c r="B489" s="42" t="s">
        <v>1185</v>
      </c>
      <c r="C489" s="22" t="s">
        <v>1186</v>
      </c>
      <c r="D489" s="17" t="s">
        <v>23</v>
      </c>
      <c r="E489" s="17" t="s">
        <v>917</v>
      </c>
      <c r="F489" s="17">
        <v>11063050001</v>
      </c>
      <c r="G489" s="20" t="s">
        <v>71</v>
      </c>
      <c r="H489" s="17" t="s">
        <v>51</v>
      </c>
      <c r="I489" s="30">
        <v>0</v>
      </c>
      <c r="J489" s="30">
        <v>0</v>
      </c>
      <c r="K489" s="30">
        <v>0</v>
      </c>
      <c r="L489" s="30">
        <v>0</v>
      </c>
      <c r="M489" s="30">
        <v>0</v>
      </c>
      <c r="N489" s="30">
        <f>Tabela1[[#This Row],[1QZ DE FEV 26]]-Tabela1[[#This Row],[SALDO PENDENTE]]-Tabela1[[#This Row],[SALDO CARTAO]]-Tabela1[[#This Row],[ADIANTAMENTO]]</f>
        <v>0</v>
      </c>
      <c r="O489" s="30">
        <v>0</v>
      </c>
      <c r="P489" s="39">
        <f>IF(Tabela1[[#This Row],[CARGA PARCIAL]]&lt;0,0,Tabela1[[#This Row],[CARGA PARCIAL]])+Tabela1[[#This Row],[REEMBOLSO]]</f>
        <v>0</v>
      </c>
      <c r="Q489" s="18" t="s">
        <v>27</v>
      </c>
      <c r="R489" s="18"/>
    </row>
    <row r="490" spans="2:18" hidden="1">
      <c r="B490" s="42" t="s">
        <v>1187</v>
      </c>
      <c r="C490" s="22" t="s">
        <v>1188</v>
      </c>
      <c r="D490" s="17" t="s">
        <v>23</v>
      </c>
      <c r="E490" s="17" t="s">
        <v>58</v>
      </c>
      <c r="F490" s="17">
        <v>1104150001</v>
      </c>
      <c r="G490" s="20" t="s">
        <v>59</v>
      </c>
      <c r="H490" s="17" t="s">
        <v>51</v>
      </c>
      <c r="I490" s="30">
        <v>0</v>
      </c>
      <c r="J490" s="30">
        <v>4.2499999999998295</v>
      </c>
      <c r="K490" s="30">
        <v>0</v>
      </c>
      <c r="L490" s="30">
        <v>166.8</v>
      </c>
      <c r="M490" s="30">
        <v>0</v>
      </c>
      <c r="N490" s="30">
        <f>Tabela1[[#This Row],[1QZ DE FEV 26]]-Tabela1[[#This Row],[SALDO PENDENTE]]-Tabela1[[#This Row],[SALDO CARTAO]]-Tabela1[[#This Row],[ADIANTAMENTO]]</f>
        <v>-171.04999999999984</v>
      </c>
      <c r="O490" s="30">
        <v>0</v>
      </c>
      <c r="P490" s="39">
        <f>IF(Tabela1[[#This Row],[CARGA PARCIAL]]&lt;0,0,Tabela1[[#This Row],[CARGA PARCIAL]])+Tabela1[[#This Row],[REEMBOLSO]]</f>
        <v>0</v>
      </c>
      <c r="Q490" s="18" t="s">
        <v>27</v>
      </c>
      <c r="R490" s="18"/>
    </row>
    <row r="491" spans="2:18" hidden="1">
      <c r="B491" s="42" t="s">
        <v>1189</v>
      </c>
      <c r="C491" s="22" t="s">
        <v>1190</v>
      </c>
      <c r="D491" s="17" t="s">
        <v>23</v>
      </c>
      <c r="E491" s="17" t="s">
        <v>906</v>
      </c>
      <c r="F491" s="17">
        <v>11030700001</v>
      </c>
      <c r="G491" s="20" t="s">
        <v>55</v>
      </c>
      <c r="H491" s="17" t="s">
        <v>51</v>
      </c>
      <c r="I491" s="30">
        <v>0</v>
      </c>
      <c r="J491" s="30">
        <v>4456.9099999999817</v>
      </c>
      <c r="K491" s="30">
        <v>4240</v>
      </c>
      <c r="L491" s="30">
        <v>9</v>
      </c>
      <c r="M491" s="30">
        <v>0</v>
      </c>
      <c r="N491" s="30">
        <f>Tabela1[[#This Row],[1QZ DE FEV 26]]-Tabela1[[#This Row],[SALDO PENDENTE]]-Tabela1[[#This Row],[SALDO CARTAO]]-Tabela1[[#This Row],[ADIANTAMENTO]]</f>
        <v>-225.90999999998166</v>
      </c>
      <c r="O491" s="30">
        <v>0</v>
      </c>
      <c r="P491" s="39">
        <f>IF(Tabela1[[#This Row],[CARGA PARCIAL]]&lt;0,0,Tabela1[[#This Row],[CARGA PARCIAL]])+Tabela1[[#This Row],[REEMBOLSO]]</f>
        <v>0</v>
      </c>
      <c r="Q491" s="18" t="s">
        <v>27</v>
      </c>
      <c r="R491" s="18"/>
    </row>
    <row r="492" spans="2:18" hidden="1">
      <c r="B492" s="42" t="s">
        <v>1191</v>
      </c>
      <c r="C492" s="22" t="s">
        <v>1192</v>
      </c>
      <c r="D492" s="17" t="s">
        <v>23</v>
      </c>
      <c r="E492" s="17" t="s">
        <v>1193</v>
      </c>
      <c r="F492" s="17">
        <v>1201023</v>
      </c>
      <c r="G492" s="20" t="s">
        <v>435</v>
      </c>
      <c r="H492" s="17" t="s">
        <v>177</v>
      </c>
      <c r="I492" s="30">
        <v>0</v>
      </c>
      <c r="J492" s="30">
        <v>0</v>
      </c>
      <c r="K492" s="30">
        <v>0</v>
      </c>
      <c r="L492" s="30">
        <v>200</v>
      </c>
      <c r="M492" s="30">
        <v>0</v>
      </c>
      <c r="N492" s="30">
        <f>Tabela1[[#This Row],[1QZ DE FEV 26]]-Tabela1[[#This Row],[SALDO PENDENTE]]-Tabela1[[#This Row],[SALDO CARTAO]]-Tabela1[[#This Row],[ADIANTAMENTO]]</f>
        <v>-200</v>
      </c>
      <c r="O492" s="30">
        <v>0</v>
      </c>
      <c r="P492" s="39">
        <f>IF(Tabela1[[#This Row],[CARGA PARCIAL]]&lt;0,0,Tabela1[[#This Row],[CARGA PARCIAL]])+Tabela1[[#This Row],[REEMBOLSO]]</f>
        <v>0</v>
      </c>
      <c r="Q492" s="18" t="s">
        <v>27</v>
      </c>
      <c r="R492" s="18"/>
    </row>
    <row r="493" spans="2:18" hidden="1">
      <c r="B493" s="42" t="s">
        <v>1194</v>
      </c>
      <c r="C493" s="22" t="s">
        <v>1195</v>
      </c>
      <c r="D493" s="17" t="s">
        <v>23</v>
      </c>
      <c r="E493" s="17" t="s">
        <v>119</v>
      </c>
      <c r="F493" s="17">
        <v>11060800001</v>
      </c>
      <c r="G493" s="20" t="s">
        <v>55</v>
      </c>
      <c r="H493" s="17" t="s">
        <v>51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f>Tabela1[[#This Row],[1QZ DE FEV 26]]-Tabela1[[#This Row],[SALDO PENDENTE]]-Tabela1[[#This Row],[SALDO CARTAO]]-Tabela1[[#This Row],[ADIANTAMENTO]]</f>
        <v>0</v>
      </c>
      <c r="O493" s="30">
        <v>0</v>
      </c>
      <c r="P493" s="39">
        <f>IF(Tabela1[[#This Row],[CARGA PARCIAL]]&lt;0,0,Tabela1[[#This Row],[CARGA PARCIAL]])+Tabela1[[#This Row],[REEMBOLSO]]</f>
        <v>0</v>
      </c>
      <c r="Q493" s="18" t="s">
        <v>184</v>
      </c>
      <c r="R493" s="18"/>
    </row>
    <row r="494" spans="2:18" hidden="1">
      <c r="B494" s="42" t="s">
        <v>1196</v>
      </c>
      <c r="C494" s="22" t="s">
        <v>1197</v>
      </c>
      <c r="D494" s="17" t="s">
        <v>23</v>
      </c>
      <c r="E494" s="17" t="s">
        <v>119</v>
      </c>
      <c r="F494" s="17">
        <v>11060800001</v>
      </c>
      <c r="G494" s="20" t="s">
        <v>55</v>
      </c>
      <c r="H494" s="17" t="s">
        <v>51</v>
      </c>
      <c r="I494" s="30">
        <v>-116.55000000000013</v>
      </c>
      <c r="J494" s="30">
        <v>0</v>
      </c>
      <c r="K494" s="30">
        <v>0</v>
      </c>
      <c r="L494" s="30">
        <v>397.96</v>
      </c>
      <c r="M494" s="30">
        <v>0</v>
      </c>
      <c r="N494" s="30">
        <f>Tabela1[[#This Row],[1QZ DE FEV 26]]-Tabela1[[#This Row],[SALDO PENDENTE]]-Tabela1[[#This Row],[SALDO CARTAO]]-Tabela1[[#This Row],[ADIANTAMENTO]]</f>
        <v>-397.96</v>
      </c>
      <c r="O494" s="30">
        <v>116.55</v>
      </c>
      <c r="P494" s="39">
        <f>IF(Tabela1[[#This Row],[CARGA PARCIAL]]&lt;0,0,Tabela1[[#This Row],[CARGA PARCIAL]])+Tabela1[[#This Row],[REEMBOLSO]]</f>
        <v>116.55</v>
      </c>
      <c r="Q494" s="18" t="s">
        <v>27</v>
      </c>
      <c r="R494" s="18"/>
    </row>
    <row r="495" spans="2:18" hidden="1">
      <c r="B495" s="42" t="s">
        <v>1198</v>
      </c>
      <c r="C495" s="22" t="s">
        <v>1199</v>
      </c>
      <c r="D495" s="17" t="s">
        <v>23</v>
      </c>
      <c r="E495" s="17" t="s">
        <v>1200</v>
      </c>
      <c r="F495" s="17">
        <v>11080310001</v>
      </c>
      <c r="G495" s="20" t="s">
        <v>638</v>
      </c>
      <c r="H495" s="17" t="s">
        <v>177</v>
      </c>
      <c r="I495" s="30">
        <v>0</v>
      </c>
      <c r="J495" s="30">
        <v>111.80000000000004</v>
      </c>
      <c r="K495" s="30">
        <v>0</v>
      </c>
      <c r="L495" s="30">
        <v>149.65</v>
      </c>
      <c r="M495" s="30">
        <v>0</v>
      </c>
      <c r="N495" s="30">
        <f>Tabela1[[#This Row],[1QZ DE FEV 26]]-Tabela1[[#This Row],[SALDO PENDENTE]]-Tabela1[[#This Row],[SALDO CARTAO]]-Tabela1[[#This Row],[ADIANTAMENTO]]</f>
        <v>-261.45000000000005</v>
      </c>
      <c r="O495" s="30">
        <v>0</v>
      </c>
      <c r="P495" s="39">
        <f>IF(Tabela1[[#This Row],[CARGA PARCIAL]]&lt;0,0,Tabela1[[#This Row],[CARGA PARCIAL]])+Tabela1[[#This Row],[REEMBOLSO]]</f>
        <v>0</v>
      </c>
      <c r="Q495" s="18" t="s">
        <v>27</v>
      </c>
      <c r="R495" s="18"/>
    </row>
    <row r="496" spans="2:18" hidden="1">
      <c r="B496" s="42" t="s">
        <v>1201</v>
      </c>
      <c r="C496" s="22" t="s">
        <v>1202</v>
      </c>
      <c r="D496" s="17" t="s">
        <v>23</v>
      </c>
      <c r="E496" s="17" t="s">
        <v>181</v>
      </c>
      <c r="F496" s="17">
        <v>11080150001</v>
      </c>
      <c r="G496" s="20" t="s">
        <v>25</v>
      </c>
      <c r="H496" s="17" t="s">
        <v>26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f>Tabela1[[#This Row],[1QZ DE FEV 26]]-Tabela1[[#This Row],[SALDO PENDENTE]]-Tabela1[[#This Row],[SALDO CARTAO]]-Tabela1[[#This Row],[ADIANTAMENTO]]</f>
        <v>0</v>
      </c>
      <c r="O496" s="30">
        <v>0</v>
      </c>
      <c r="P496" s="39">
        <f>IF(Tabela1[[#This Row],[CARGA PARCIAL]]&lt;0,0,Tabela1[[#This Row],[CARGA PARCIAL]])+Tabela1[[#This Row],[REEMBOLSO]]</f>
        <v>0</v>
      </c>
      <c r="Q496" s="18" t="s">
        <v>145</v>
      </c>
      <c r="R496" s="18"/>
    </row>
    <row r="497" spans="2:18" hidden="1">
      <c r="B497" s="43" t="s">
        <v>1203</v>
      </c>
      <c r="C497" s="22" t="s">
        <v>1204</v>
      </c>
      <c r="D497" s="17" t="s">
        <v>23</v>
      </c>
      <c r="E497" s="17" t="s">
        <v>181</v>
      </c>
      <c r="F497" s="17">
        <v>11080150001</v>
      </c>
      <c r="G497" s="20" t="s">
        <v>25</v>
      </c>
      <c r="H497" s="17" t="s">
        <v>26</v>
      </c>
      <c r="I497" s="30">
        <v>0</v>
      </c>
      <c r="J497" s="30">
        <v>0</v>
      </c>
      <c r="K497" s="30">
        <v>0</v>
      </c>
      <c r="L497" s="30">
        <v>0</v>
      </c>
      <c r="M497" s="30">
        <v>0</v>
      </c>
      <c r="N497" s="30">
        <f>Tabela1[[#This Row],[1QZ DE FEV 26]]-Tabela1[[#This Row],[SALDO PENDENTE]]-Tabela1[[#This Row],[SALDO CARTAO]]-Tabela1[[#This Row],[ADIANTAMENTO]]</f>
        <v>0</v>
      </c>
      <c r="O497" s="30">
        <v>0</v>
      </c>
      <c r="P497" s="39">
        <f>IF(Tabela1[[#This Row],[CARGA PARCIAL]]&lt;0,0,Tabela1[[#This Row],[CARGA PARCIAL]])+Tabela1[[#This Row],[REEMBOLSO]]</f>
        <v>0</v>
      </c>
      <c r="Q497" s="18" t="s">
        <v>145</v>
      </c>
      <c r="R497" s="18"/>
    </row>
    <row r="498" spans="2:18" hidden="1">
      <c r="B498" s="42" t="s">
        <v>1205</v>
      </c>
      <c r="C498" s="22" t="s">
        <v>1206</v>
      </c>
      <c r="D498" s="17" t="s">
        <v>23</v>
      </c>
      <c r="E498" s="17" t="s">
        <v>351</v>
      </c>
      <c r="F498" s="17">
        <v>11062640001</v>
      </c>
      <c r="G498" s="20" t="s">
        <v>50</v>
      </c>
      <c r="H498" s="17" t="s">
        <v>51</v>
      </c>
      <c r="I498" s="30">
        <v>0</v>
      </c>
      <c r="J498" s="30">
        <v>2493.16</v>
      </c>
      <c r="K498" s="30">
        <v>0</v>
      </c>
      <c r="L498" s="30">
        <v>893.84</v>
      </c>
      <c r="M498" s="30">
        <v>0</v>
      </c>
      <c r="N498" s="30">
        <f>Tabela1[[#This Row],[1QZ DE FEV 26]]-Tabela1[[#This Row],[SALDO PENDENTE]]-Tabela1[[#This Row],[SALDO CARTAO]]-Tabela1[[#This Row],[ADIANTAMENTO]]</f>
        <v>-3387</v>
      </c>
      <c r="O498" s="30">
        <v>0</v>
      </c>
      <c r="P498" s="39">
        <f>IF(Tabela1[[#This Row],[CARGA PARCIAL]]&lt;0,0,Tabela1[[#This Row],[CARGA PARCIAL]])+Tabela1[[#This Row],[REEMBOLSO]]</f>
        <v>0</v>
      </c>
      <c r="Q498" s="18" t="s">
        <v>27</v>
      </c>
      <c r="R498" s="18"/>
    </row>
    <row r="499" spans="2:18" hidden="1">
      <c r="B499" s="42" t="s">
        <v>1207</v>
      </c>
      <c r="C499" s="22" t="s">
        <v>1208</v>
      </c>
      <c r="D499" s="17" t="s">
        <v>23</v>
      </c>
      <c r="E499" s="17" t="s">
        <v>670</v>
      </c>
      <c r="F499" s="17">
        <v>11080220001</v>
      </c>
      <c r="G499" s="20" t="s">
        <v>35</v>
      </c>
      <c r="H499" s="17" t="s">
        <v>26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f>Tabela1[[#This Row],[1QZ DE FEV 26]]-Tabela1[[#This Row],[SALDO PENDENTE]]-Tabela1[[#This Row],[SALDO CARTAO]]-Tabela1[[#This Row],[ADIANTAMENTO]]</f>
        <v>0</v>
      </c>
      <c r="O499" s="30">
        <v>0</v>
      </c>
      <c r="P499" s="39">
        <f>IF(Tabela1[[#This Row],[CARGA PARCIAL]]&lt;0,0,Tabela1[[#This Row],[CARGA PARCIAL]])+Tabela1[[#This Row],[REEMBOLSO]]</f>
        <v>0</v>
      </c>
      <c r="Q499" s="18" t="s">
        <v>184</v>
      </c>
      <c r="R499" s="18"/>
    </row>
    <row r="500" spans="2:18" hidden="1">
      <c r="B500" s="42" t="s">
        <v>1209</v>
      </c>
      <c r="C500" s="22" t="s">
        <v>1210</v>
      </c>
      <c r="D500" s="17" t="s">
        <v>23</v>
      </c>
      <c r="E500" s="17" t="s">
        <v>101</v>
      </c>
      <c r="F500" s="17">
        <v>11061430001</v>
      </c>
      <c r="G500" s="20" t="s">
        <v>31</v>
      </c>
      <c r="H500" s="17" t="s">
        <v>26</v>
      </c>
      <c r="I500" s="30">
        <v>0</v>
      </c>
      <c r="J500" s="30">
        <v>985.68000000001189</v>
      </c>
      <c r="K500" s="30">
        <v>0</v>
      </c>
      <c r="L500" s="30">
        <v>11.2</v>
      </c>
      <c r="M500" s="30">
        <v>0</v>
      </c>
      <c r="N500" s="30">
        <f>Tabela1[[#This Row],[1QZ DE FEV 26]]-Tabela1[[#This Row],[SALDO PENDENTE]]-Tabela1[[#This Row],[SALDO CARTAO]]-Tabela1[[#This Row],[ADIANTAMENTO]]</f>
        <v>-996.88000000001193</v>
      </c>
      <c r="O500" s="30">
        <v>0</v>
      </c>
      <c r="P500" s="39">
        <f>IF(Tabela1[[#This Row],[CARGA PARCIAL]]&lt;0,0,Tabela1[[#This Row],[CARGA PARCIAL]])+Tabela1[[#This Row],[REEMBOLSO]]</f>
        <v>0</v>
      </c>
      <c r="Q500" s="18" t="s">
        <v>27</v>
      </c>
      <c r="R500" s="18"/>
    </row>
    <row r="501" spans="2:18" hidden="1">
      <c r="B501" s="42" t="s">
        <v>1211</v>
      </c>
      <c r="C501" s="22" t="s">
        <v>1212</v>
      </c>
      <c r="D501" s="17" t="s">
        <v>23</v>
      </c>
      <c r="E501" s="17" t="s">
        <v>58</v>
      </c>
      <c r="F501" s="17">
        <v>1104150001</v>
      </c>
      <c r="G501" s="20" t="s">
        <v>59</v>
      </c>
      <c r="H501" s="17" t="s">
        <v>51</v>
      </c>
      <c r="I501" s="30">
        <v>0</v>
      </c>
      <c r="J501" s="30">
        <v>139.79999999999995</v>
      </c>
      <c r="K501" s="30">
        <v>0</v>
      </c>
      <c r="L501" s="30">
        <v>2</v>
      </c>
      <c r="M501" s="30">
        <v>0</v>
      </c>
      <c r="N501" s="30">
        <f>Tabela1[[#This Row],[1QZ DE FEV 26]]-Tabela1[[#This Row],[SALDO PENDENTE]]-Tabela1[[#This Row],[SALDO CARTAO]]-Tabela1[[#This Row],[ADIANTAMENTO]]</f>
        <v>-141.79999999999995</v>
      </c>
      <c r="O501" s="30">
        <v>0</v>
      </c>
      <c r="P501" s="39">
        <f>IF(Tabela1[[#This Row],[CARGA PARCIAL]]&lt;0,0,Tabela1[[#This Row],[CARGA PARCIAL]])+Tabela1[[#This Row],[REEMBOLSO]]</f>
        <v>0</v>
      </c>
      <c r="Q501" s="18" t="s">
        <v>27</v>
      </c>
      <c r="R501" s="18"/>
    </row>
    <row r="502" spans="2:18" hidden="1">
      <c r="B502" s="42" t="s">
        <v>1213</v>
      </c>
      <c r="C502" s="22" t="s">
        <v>1214</v>
      </c>
      <c r="D502" s="17" t="s">
        <v>23</v>
      </c>
      <c r="E502" s="17" t="s">
        <v>193</v>
      </c>
      <c r="F502" s="17">
        <v>11061820001</v>
      </c>
      <c r="G502" s="20" t="s">
        <v>71</v>
      </c>
      <c r="H502" s="17" t="s">
        <v>51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30">
        <f>Tabela1[[#This Row],[1QZ DE FEV 26]]-Tabela1[[#This Row],[SALDO PENDENTE]]-Tabela1[[#This Row],[SALDO CARTAO]]-Tabela1[[#This Row],[ADIANTAMENTO]]</f>
        <v>0</v>
      </c>
      <c r="O502" s="30">
        <v>0</v>
      </c>
      <c r="P502" s="39">
        <f>IF(Tabela1[[#This Row],[CARGA PARCIAL]]&lt;0,0,Tabela1[[#This Row],[CARGA PARCIAL]])+Tabela1[[#This Row],[REEMBOLSO]]</f>
        <v>0</v>
      </c>
      <c r="Q502" s="18" t="s">
        <v>145</v>
      </c>
      <c r="R502" s="18"/>
    </row>
    <row r="503" spans="2:18" hidden="1">
      <c r="B503" s="42" t="s">
        <v>1215</v>
      </c>
      <c r="C503" s="22" t="s">
        <v>1216</v>
      </c>
      <c r="D503" s="17" t="s">
        <v>23</v>
      </c>
      <c r="E503" s="17" t="s">
        <v>473</v>
      </c>
      <c r="F503" s="17">
        <v>11061600001</v>
      </c>
      <c r="G503" s="20" t="s">
        <v>55</v>
      </c>
      <c r="H503" s="17" t="s">
        <v>51</v>
      </c>
      <c r="I503" s="30">
        <v>0</v>
      </c>
      <c r="J503" s="30">
        <v>0</v>
      </c>
      <c r="K503" s="30">
        <v>0</v>
      </c>
      <c r="L503" s="30">
        <v>0</v>
      </c>
      <c r="M503" s="30">
        <v>0</v>
      </c>
      <c r="N503" s="30">
        <f>Tabela1[[#This Row],[1QZ DE FEV 26]]-Tabela1[[#This Row],[SALDO PENDENTE]]-Tabela1[[#This Row],[SALDO CARTAO]]-Tabela1[[#This Row],[ADIANTAMENTO]]</f>
        <v>0</v>
      </c>
      <c r="O503" s="30">
        <v>0</v>
      </c>
      <c r="P503" s="39">
        <f>IF(Tabela1[[#This Row],[CARGA PARCIAL]]&lt;0,0,Tabela1[[#This Row],[CARGA PARCIAL]])+Tabela1[[#This Row],[REEMBOLSO]]</f>
        <v>0</v>
      </c>
      <c r="Q503" s="18" t="s">
        <v>184</v>
      </c>
      <c r="R503" s="18"/>
    </row>
    <row r="504" spans="2:18" hidden="1">
      <c r="B504" s="42" t="s">
        <v>1217</v>
      </c>
      <c r="C504" s="22" t="s">
        <v>1218</v>
      </c>
      <c r="D504" s="17" t="s">
        <v>23</v>
      </c>
      <c r="E504" s="17" t="s">
        <v>1219</v>
      </c>
      <c r="F504" s="17">
        <v>11080240001</v>
      </c>
      <c r="G504" s="20" t="s">
        <v>25</v>
      </c>
      <c r="H504" s="17" t="s">
        <v>26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f>Tabela1[[#This Row],[1QZ DE FEV 26]]-Tabela1[[#This Row],[SALDO PENDENTE]]-Tabela1[[#This Row],[SALDO CARTAO]]-Tabela1[[#This Row],[ADIANTAMENTO]]</f>
        <v>0</v>
      </c>
      <c r="O504" s="30">
        <v>0</v>
      </c>
      <c r="P504" s="39">
        <f>IF(Tabela1[[#This Row],[CARGA PARCIAL]]&lt;0,0,Tabela1[[#This Row],[CARGA PARCIAL]])+Tabela1[[#This Row],[REEMBOLSO]]</f>
        <v>0</v>
      </c>
      <c r="Q504" s="18" t="s">
        <v>184</v>
      </c>
      <c r="R504" s="18"/>
    </row>
    <row r="505" spans="2:18" hidden="1">
      <c r="B505" s="42" t="s">
        <v>26</v>
      </c>
      <c r="C505" s="22" t="s">
        <v>1220</v>
      </c>
      <c r="D505" s="17" t="s">
        <v>23</v>
      </c>
      <c r="E505" s="17" t="s">
        <v>897</v>
      </c>
      <c r="F505" s="17">
        <v>1001003</v>
      </c>
      <c r="G505" s="20" t="s">
        <v>1015</v>
      </c>
      <c r="H505" s="17" t="s">
        <v>899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f>Tabela1[[#This Row],[1QZ DE FEV 26]]-Tabela1[[#This Row],[SALDO PENDENTE]]-Tabela1[[#This Row],[SALDO CARTAO]]-Tabela1[[#This Row],[ADIANTAMENTO]]</f>
        <v>0</v>
      </c>
      <c r="O505" s="30">
        <v>0</v>
      </c>
      <c r="P505" s="39">
        <f>IF(Tabela1[[#This Row],[CARGA PARCIAL]]&lt;0,0,Tabela1[[#This Row],[CARGA PARCIAL]])+Tabela1[[#This Row],[REEMBOLSO]]</f>
        <v>0</v>
      </c>
      <c r="Q505" s="18" t="s">
        <v>184</v>
      </c>
      <c r="R505" s="18"/>
    </row>
    <row r="506" spans="2:18" hidden="1">
      <c r="B506" s="42" t="s">
        <v>1221</v>
      </c>
      <c r="C506" s="22" t="s">
        <v>1222</v>
      </c>
      <c r="D506" s="17" t="s">
        <v>23</v>
      </c>
      <c r="E506" s="17" t="s">
        <v>132</v>
      </c>
      <c r="F506" s="17">
        <v>11040160001</v>
      </c>
      <c r="G506" s="20" t="s">
        <v>63</v>
      </c>
      <c r="H506" s="17" t="s">
        <v>26</v>
      </c>
      <c r="I506" s="30">
        <v>0</v>
      </c>
      <c r="J506" s="30">
        <v>0</v>
      </c>
      <c r="K506" s="30">
        <v>0</v>
      </c>
      <c r="L506" s="30">
        <v>0</v>
      </c>
      <c r="M506" s="30">
        <v>0</v>
      </c>
      <c r="N506" s="30">
        <f>Tabela1[[#This Row],[1QZ DE FEV 26]]-Tabela1[[#This Row],[SALDO PENDENTE]]-Tabela1[[#This Row],[SALDO CARTAO]]-Tabela1[[#This Row],[ADIANTAMENTO]]</f>
        <v>0</v>
      </c>
      <c r="O506" s="30">
        <v>0</v>
      </c>
      <c r="P506" s="39">
        <f>IF(Tabela1[[#This Row],[CARGA PARCIAL]]&lt;0,0,Tabela1[[#This Row],[CARGA PARCIAL]])+Tabela1[[#This Row],[REEMBOLSO]]</f>
        <v>0</v>
      </c>
      <c r="Q506" s="18" t="s">
        <v>184</v>
      </c>
      <c r="R506" s="18"/>
    </row>
    <row r="507" spans="2:18" hidden="1">
      <c r="B507" s="42" t="s">
        <v>1223</v>
      </c>
      <c r="C507" s="22" t="s">
        <v>1224</v>
      </c>
      <c r="D507" s="17" t="s">
        <v>23</v>
      </c>
      <c r="E507" s="17" t="s">
        <v>58</v>
      </c>
      <c r="F507" s="17">
        <v>1104150001</v>
      </c>
      <c r="G507" s="20" t="s">
        <v>59</v>
      </c>
      <c r="H507" s="17" t="s">
        <v>51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f>Tabela1[[#This Row],[1QZ DE FEV 26]]-Tabela1[[#This Row],[SALDO PENDENTE]]-Tabela1[[#This Row],[SALDO CARTAO]]-Tabela1[[#This Row],[ADIANTAMENTO]]</f>
        <v>0</v>
      </c>
      <c r="O507" s="30">
        <v>0</v>
      </c>
      <c r="P507" s="39">
        <f>IF(Tabela1[[#This Row],[CARGA PARCIAL]]&lt;0,0,Tabela1[[#This Row],[CARGA PARCIAL]])+Tabela1[[#This Row],[REEMBOLSO]]</f>
        <v>0</v>
      </c>
      <c r="Q507" s="18" t="s">
        <v>184</v>
      </c>
      <c r="R507" s="18"/>
    </row>
    <row r="508" spans="2:18" hidden="1">
      <c r="B508" s="42" t="s">
        <v>1225</v>
      </c>
      <c r="C508" s="22" t="s">
        <v>1226</v>
      </c>
      <c r="D508" s="17" t="s">
        <v>23</v>
      </c>
      <c r="E508" s="17" t="s">
        <v>38</v>
      </c>
      <c r="F508" s="17">
        <v>11040040001</v>
      </c>
      <c r="G508" s="20" t="s">
        <v>31</v>
      </c>
      <c r="H508" s="17" t="s">
        <v>26</v>
      </c>
      <c r="I508" s="30">
        <v>0</v>
      </c>
      <c r="J508" s="30">
        <v>113.53000000000975</v>
      </c>
      <c r="K508" s="30">
        <v>0</v>
      </c>
      <c r="L508" s="30">
        <v>0.25</v>
      </c>
      <c r="M508" s="30">
        <v>0</v>
      </c>
      <c r="N508" s="30">
        <f>Tabela1[[#This Row],[1QZ DE FEV 26]]-Tabela1[[#This Row],[SALDO PENDENTE]]-Tabela1[[#This Row],[SALDO CARTAO]]-Tabela1[[#This Row],[ADIANTAMENTO]]</f>
        <v>-113.78000000000975</v>
      </c>
      <c r="O508" s="30">
        <v>0</v>
      </c>
      <c r="P508" s="39">
        <f>IF(Tabela1[[#This Row],[CARGA PARCIAL]]&lt;0,0,Tabela1[[#This Row],[CARGA PARCIAL]])+Tabela1[[#This Row],[REEMBOLSO]]</f>
        <v>0</v>
      </c>
      <c r="Q508" s="18" t="s">
        <v>27</v>
      </c>
      <c r="R508" s="18"/>
    </row>
    <row r="509" spans="2:18" hidden="1">
      <c r="B509" s="42" t="s">
        <v>1227</v>
      </c>
      <c r="C509" s="22" t="s">
        <v>1228</v>
      </c>
      <c r="D509" s="17" t="s">
        <v>23</v>
      </c>
      <c r="E509" s="17" t="s">
        <v>1229</v>
      </c>
      <c r="F509" s="17">
        <v>11062110001</v>
      </c>
      <c r="G509" s="20" t="s">
        <v>55</v>
      </c>
      <c r="H509" s="17" t="s">
        <v>51</v>
      </c>
      <c r="I509" s="30">
        <v>0</v>
      </c>
      <c r="J509" s="30">
        <v>373.08000000000004</v>
      </c>
      <c r="K509" s="30">
        <v>300</v>
      </c>
      <c r="L509" s="30">
        <v>110.02</v>
      </c>
      <c r="M509" s="30">
        <v>0</v>
      </c>
      <c r="N509" s="30">
        <f>Tabela1[[#This Row],[1QZ DE FEV 26]]-Tabela1[[#This Row],[SALDO PENDENTE]]-Tabela1[[#This Row],[SALDO CARTAO]]-Tabela1[[#This Row],[ADIANTAMENTO]]</f>
        <v>-183.10000000000002</v>
      </c>
      <c r="O509" s="30">
        <v>0</v>
      </c>
      <c r="P509" s="39">
        <f>IF(Tabela1[[#This Row],[CARGA PARCIAL]]&lt;0,0,Tabela1[[#This Row],[CARGA PARCIAL]])+Tabela1[[#This Row],[REEMBOLSO]]</f>
        <v>0</v>
      </c>
      <c r="Q509" s="18" t="s">
        <v>27</v>
      </c>
      <c r="R509" s="18"/>
    </row>
    <row r="510" spans="2:18" hidden="1">
      <c r="B510" s="42" t="s">
        <v>1230</v>
      </c>
      <c r="C510" s="22" t="s">
        <v>1231</v>
      </c>
      <c r="D510" s="17" t="s">
        <v>23</v>
      </c>
      <c r="E510" s="17" t="s">
        <v>1232</v>
      </c>
      <c r="F510" s="17">
        <v>1001001</v>
      </c>
      <c r="G510" s="20" t="s">
        <v>898</v>
      </c>
      <c r="H510" s="17" t="s">
        <v>899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f>Tabela1[[#This Row],[1QZ DE FEV 26]]-Tabela1[[#This Row],[SALDO PENDENTE]]-Tabela1[[#This Row],[SALDO CARTAO]]-Tabela1[[#This Row],[ADIANTAMENTO]]</f>
        <v>0</v>
      </c>
      <c r="O510" s="30">
        <v>0</v>
      </c>
      <c r="P510" s="39">
        <f>IF(Tabela1[[#This Row],[CARGA PARCIAL]]&lt;0,0,Tabela1[[#This Row],[CARGA PARCIAL]])+Tabela1[[#This Row],[REEMBOLSO]]</f>
        <v>0</v>
      </c>
      <c r="Q510" s="18" t="s">
        <v>184</v>
      </c>
      <c r="R510" s="18"/>
    </row>
    <row r="511" spans="2:18" hidden="1">
      <c r="B511" s="42" t="s">
        <v>1233</v>
      </c>
      <c r="C511" s="22" t="s">
        <v>1234</v>
      </c>
      <c r="D511" s="17" t="s">
        <v>23</v>
      </c>
      <c r="E511" s="17" t="s">
        <v>917</v>
      </c>
      <c r="F511" s="17">
        <v>11063050001</v>
      </c>
      <c r="G511" s="20" t="s">
        <v>71</v>
      </c>
      <c r="H511" s="17" t="s">
        <v>51</v>
      </c>
      <c r="I511" s="30">
        <v>0</v>
      </c>
      <c r="J511" s="30">
        <v>0</v>
      </c>
      <c r="K511" s="30">
        <v>0</v>
      </c>
      <c r="L511" s="30">
        <v>0</v>
      </c>
      <c r="M511" s="30">
        <v>0</v>
      </c>
      <c r="N511" s="30">
        <f>Tabela1[[#This Row],[1QZ DE FEV 26]]-Tabela1[[#This Row],[SALDO PENDENTE]]-Tabela1[[#This Row],[SALDO CARTAO]]-Tabela1[[#This Row],[ADIANTAMENTO]]</f>
        <v>0</v>
      </c>
      <c r="O511" s="30">
        <v>0</v>
      </c>
      <c r="P511" s="39">
        <f>IF(Tabela1[[#This Row],[CARGA PARCIAL]]&lt;0,0,Tabela1[[#This Row],[CARGA PARCIAL]])+Tabela1[[#This Row],[REEMBOLSO]]</f>
        <v>0</v>
      </c>
      <c r="Q511" s="18" t="s">
        <v>27</v>
      </c>
      <c r="R511" s="18"/>
    </row>
    <row r="512" spans="2:18" hidden="1">
      <c r="B512" s="42" t="s">
        <v>1235</v>
      </c>
      <c r="C512" s="22" t="s">
        <v>1236</v>
      </c>
      <c r="D512" s="17" t="s">
        <v>23</v>
      </c>
      <c r="E512" s="17" t="s">
        <v>122</v>
      </c>
      <c r="F512" s="17">
        <v>11040130001</v>
      </c>
      <c r="G512" s="20" t="s">
        <v>59</v>
      </c>
      <c r="H512" s="17" t="s">
        <v>51</v>
      </c>
      <c r="I512" s="30">
        <v>0</v>
      </c>
      <c r="J512" s="30">
        <v>0</v>
      </c>
      <c r="K512" s="30">
        <v>0</v>
      </c>
      <c r="L512" s="30">
        <v>0</v>
      </c>
      <c r="M512" s="30">
        <v>0</v>
      </c>
      <c r="N512" s="30">
        <f>Tabela1[[#This Row],[1QZ DE FEV 26]]-Tabela1[[#This Row],[SALDO PENDENTE]]-Tabela1[[#This Row],[SALDO CARTAO]]-Tabela1[[#This Row],[ADIANTAMENTO]]</f>
        <v>0</v>
      </c>
      <c r="O512" s="30">
        <v>0</v>
      </c>
      <c r="P512" s="39">
        <f>IF(Tabela1[[#This Row],[CARGA PARCIAL]]&lt;0,0,Tabela1[[#This Row],[CARGA PARCIAL]])+Tabela1[[#This Row],[REEMBOLSO]]</f>
        <v>0</v>
      </c>
      <c r="Q512" s="18" t="s">
        <v>184</v>
      </c>
      <c r="R512" s="18"/>
    </row>
    <row r="513" spans="2:18" hidden="1">
      <c r="B513" s="51" t="s">
        <v>1237</v>
      </c>
      <c r="C513" s="47" t="s">
        <v>1238</v>
      </c>
      <c r="D513" s="19" t="s">
        <v>23</v>
      </c>
      <c r="E513" s="19" t="s">
        <v>58</v>
      </c>
      <c r="F513" s="19">
        <v>1104150001</v>
      </c>
      <c r="G513" s="27" t="s">
        <v>59</v>
      </c>
      <c r="H513" s="19" t="s">
        <v>51</v>
      </c>
      <c r="I513" s="30">
        <v>0</v>
      </c>
      <c r="J513" s="30">
        <v>0</v>
      </c>
      <c r="K513" s="31">
        <v>0</v>
      </c>
      <c r="L513" s="30">
        <v>124.99</v>
      </c>
      <c r="M513" s="31">
        <v>0</v>
      </c>
      <c r="N513" s="31">
        <f>Tabela1[[#This Row],[1QZ DE FEV 26]]-Tabela1[[#This Row],[SALDO PENDENTE]]-Tabela1[[#This Row],[SALDO CARTAO]]-Tabela1[[#This Row],[ADIANTAMENTO]]</f>
        <v>-124.99</v>
      </c>
      <c r="O513" s="31">
        <v>0</v>
      </c>
      <c r="P513" s="50">
        <f>IF(Tabela1[[#This Row],[CARGA PARCIAL]]&lt;0,0,Tabela1[[#This Row],[CARGA PARCIAL]])+Tabela1[[#This Row],[REEMBOLSO]]</f>
        <v>0</v>
      </c>
      <c r="Q513" s="44" t="s">
        <v>27</v>
      </c>
      <c r="R513" s="29"/>
    </row>
    <row r="514" spans="2:18" hidden="1">
      <c r="B514" s="42" t="s">
        <v>1239</v>
      </c>
      <c r="C514" s="22" t="s">
        <v>1240</v>
      </c>
      <c r="D514" s="17" t="s">
        <v>23</v>
      </c>
      <c r="E514" s="17" t="s">
        <v>58</v>
      </c>
      <c r="F514" s="17">
        <v>1104150001</v>
      </c>
      <c r="G514" s="20" t="s">
        <v>59</v>
      </c>
      <c r="H514" s="17" t="s">
        <v>51</v>
      </c>
      <c r="I514" s="30">
        <v>0</v>
      </c>
      <c r="J514" s="30">
        <v>2100</v>
      </c>
      <c r="K514" s="30">
        <v>0</v>
      </c>
      <c r="L514" s="30">
        <v>0</v>
      </c>
      <c r="M514" s="30">
        <v>0</v>
      </c>
      <c r="N514" s="30">
        <f>Tabela1[[#This Row],[1QZ DE FEV 26]]-Tabela1[[#This Row],[SALDO PENDENTE]]-Tabela1[[#This Row],[SALDO CARTAO]]-Tabela1[[#This Row],[ADIANTAMENTO]]</f>
        <v>-2100</v>
      </c>
      <c r="O514" s="30">
        <v>0</v>
      </c>
      <c r="P514" s="39">
        <f>IF(Tabela1[[#This Row],[CARGA PARCIAL]]&lt;0,0,Tabela1[[#This Row],[CARGA PARCIAL]])+Tabela1[[#This Row],[REEMBOLSO]]</f>
        <v>0</v>
      </c>
      <c r="Q514" s="18" t="s">
        <v>27</v>
      </c>
      <c r="R514" s="18"/>
    </row>
    <row r="515" spans="2:18" hidden="1">
      <c r="B515" s="42" t="s">
        <v>1241</v>
      </c>
      <c r="C515" s="22" t="s">
        <v>1242</v>
      </c>
      <c r="D515" s="17" t="s">
        <v>23</v>
      </c>
      <c r="E515" s="17" t="s">
        <v>702</v>
      </c>
      <c r="F515" s="17">
        <v>11030580001</v>
      </c>
      <c r="G515" s="20" t="s">
        <v>71</v>
      </c>
      <c r="H515" s="17" t="s">
        <v>51</v>
      </c>
      <c r="I515" s="30">
        <v>0</v>
      </c>
      <c r="J515" s="30">
        <v>0</v>
      </c>
      <c r="K515" s="30">
        <v>0</v>
      </c>
      <c r="L515" s="30">
        <v>43.1</v>
      </c>
      <c r="M515" s="30">
        <v>0</v>
      </c>
      <c r="N515" s="30">
        <f>Tabela1[[#This Row],[1QZ DE FEV 26]]-Tabela1[[#This Row],[SALDO PENDENTE]]-Tabela1[[#This Row],[SALDO CARTAO]]-Tabela1[[#This Row],[ADIANTAMENTO]]</f>
        <v>-43.1</v>
      </c>
      <c r="O515" s="30">
        <v>0</v>
      </c>
      <c r="P515" s="39">
        <f>IF(Tabela1[[#This Row],[CARGA PARCIAL]]&lt;0,0,Tabela1[[#This Row],[CARGA PARCIAL]])+Tabela1[[#This Row],[REEMBOLSO]]</f>
        <v>0</v>
      </c>
      <c r="Q515" s="18" t="s">
        <v>27</v>
      </c>
      <c r="R515" s="18"/>
    </row>
    <row r="516" spans="2:18" hidden="1">
      <c r="B516" s="42" t="s">
        <v>1243</v>
      </c>
      <c r="C516" s="22" t="s">
        <v>1244</v>
      </c>
      <c r="D516" s="17" t="s">
        <v>23</v>
      </c>
      <c r="E516" s="17" t="s">
        <v>58</v>
      </c>
      <c r="F516" s="17">
        <v>1104150001</v>
      </c>
      <c r="G516" s="20" t="s">
        <v>59</v>
      </c>
      <c r="H516" s="17" t="s">
        <v>51</v>
      </c>
      <c r="I516" s="30">
        <v>0</v>
      </c>
      <c r="J516" s="30">
        <v>6.230000000000004</v>
      </c>
      <c r="K516" s="30">
        <v>0</v>
      </c>
      <c r="L516" s="30">
        <v>23</v>
      </c>
      <c r="M516" s="30">
        <v>0</v>
      </c>
      <c r="N516" s="30">
        <f>Tabela1[[#This Row],[1QZ DE FEV 26]]-Tabela1[[#This Row],[SALDO PENDENTE]]-Tabela1[[#This Row],[SALDO CARTAO]]-Tabela1[[#This Row],[ADIANTAMENTO]]</f>
        <v>-29.230000000000004</v>
      </c>
      <c r="O516" s="30">
        <v>0</v>
      </c>
      <c r="P516" s="39">
        <f>IF(Tabela1[[#This Row],[CARGA PARCIAL]]&lt;0,0,Tabela1[[#This Row],[CARGA PARCIAL]])+Tabela1[[#This Row],[REEMBOLSO]]</f>
        <v>0</v>
      </c>
      <c r="Q516" s="18" t="s">
        <v>27</v>
      </c>
      <c r="R516" s="18"/>
    </row>
    <row r="517" spans="2:18" hidden="1">
      <c r="B517" s="42" t="s">
        <v>1245</v>
      </c>
      <c r="C517" s="22" t="s">
        <v>1246</v>
      </c>
      <c r="D517" s="17" t="s">
        <v>23</v>
      </c>
      <c r="E517" s="17" t="s">
        <v>132</v>
      </c>
      <c r="F517" s="17">
        <v>11040160001</v>
      </c>
      <c r="G517" s="20" t="s">
        <v>63</v>
      </c>
      <c r="H517" s="17" t="s">
        <v>26</v>
      </c>
      <c r="I517" s="30">
        <v>0</v>
      </c>
      <c r="J517" s="30">
        <v>0</v>
      </c>
      <c r="K517" s="30">
        <v>0</v>
      </c>
      <c r="L517" s="30">
        <v>0</v>
      </c>
      <c r="M517" s="30">
        <v>0</v>
      </c>
      <c r="N517" s="30">
        <f>Tabela1[[#This Row],[1QZ DE FEV 26]]-Tabela1[[#This Row],[SALDO PENDENTE]]-Tabela1[[#This Row],[SALDO CARTAO]]-Tabela1[[#This Row],[ADIANTAMENTO]]</f>
        <v>0</v>
      </c>
      <c r="O517" s="30">
        <v>0</v>
      </c>
      <c r="P517" s="39">
        <f>IF(Tabela1[[#This Row],[CARGA PARCIAL]]&lt;0,0,Tabela1[[#This Row],[CARGA PARCIAL]])+Tabela1[[#This Row],[REEMBOLSO]]</f>
        <v>0</v>
      </c>
      <c r="Q517" s="18" t="s">
        <v>184</v>
      </c>
      <c r="R517" s="18"/>
    </row>
    <row r="518" spans="2:18" hidden="1">
      <c r="B518" s="41" t="s">
        <v>1247</v>
      </c>
      <c r="C518" s="22" t="s">
        <v>1248</v>
      </c>
      <c r="D518" s="17" t="s">
        <v>23</v>
      </c>
      <c r="E518" s="17" t="s">
        <v>1249</v>
      </c>
      <c r="F518" s="17">
        <v>11061370001</v>
      </c>
      <c r="G518" s="20" t="s">
        <v>55</v>
      </c>
      <c r="H518" s="17" t="s">
        <v>51</v>
      </c>
      <c r="I518" s="30">
        <v>-39.959999999999965</v>
      </c>
      <c r="J518" s="30">
        <v>0</v>
      </c>
      <c r="K518" s="30">
        <v>0</v>
      </c>
      <c r="L518" s="30">
        <v>59.92</v>
      </c>
      <c r="M518" s="30">
        <v>0</v>
      </c>
      <c r="N518" s="30">
        <f>Tabela1[[#This Row],[1QZ DE FEV 26]]-Tabela1[[#This Row],[SALDO PENDENTE]]-Tabela1[[#This Row],[SALDO CARTAO]]-Tabela1[[#This Row],[ADIANTAMENTO]]</f>
        <v>-59.92</v>
      </c>
      <c r="O518" s="30">
        <v>0</v>
      </c>
      <c r="P518" s="45">
        <f>IF(Tabela1[[#This Row],[CARGA PARCIAL]]&lt;0,0,Tabela1[[#This Row],[CARGA PARCIAL]])+Tabela1[[#This Row],[REEMBOLSO]]</f>
        <v>0</v>
      </c>
      <c r="Q518" s="18" t="s">
        <v>27</v>
      </c>
      <c r="R518" s="18"/>
    </row>
    <row r="519" spans="2:18" hidden="1">
      <c r="B519" s="42" t="s">
        <v>1250</v>
      </c>
      <c r="C519" s="22" t="s">
        <v>1251</v>
      </c>
      <c r="D519" s="17" t="s">
        <v>23</v>
      </c>
      <c r="E519" s="17" t="s">
        <v>125</v>
      </c>
      <c r="F519" s="17">
        <v>11040170001</v>
      </c>
      <c r="G519" s="20" t="s">
        <v>126</v>
      </c>
      <c r="H519" s="17" t="s">
        <v>26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f>Tabela1[[#This Row],[1QZ DE FEV 26]]-Tabela1[[#This Row],[SALDO PENDENTE]]-Tabela1[[#This Row],[SALDO CARTAO]]-Tabela1[[#This Row],[ADIANTAMENTO]]</f>
        <v>0</v>
      </c>
      <c r="O519" s="30">
        <v>0</v>
      </c>
      <c r="P519" s="39">
        <f>IF(Tabela1[[#This Row],[CARGA PARCIAL]]&lt;0,0,Tabela1[[#This Row],[CARGA PARCIAL]])+Tabela1[[#This Row],[REEMBOLSO]]</f>
        <v>0</v>
      </c>
      <c r="Q519" s="18" t="s">
        <v>184</v>
      </c>
      <c r="R519" s="18"/>
    </row>
    <row r="520" spans="2:18" hidden="1">
      <c r="B520" s="42" t="s">
        <v>1252</v>
      </c>
      <c r="C520" s="22" t="s">
        <v>1253</v>
      </c>
      <c r="D520" s="17" t="s">
        <v>23</v>
      </c>
      <c r="E520" s="17" t="s">
        <v>193</v>
      </c>
      <c r="F520" s="17">
        <v>11061820001</v>
      </c>
      <c r="G520" s="20" t="s">
        <v>71</v>
      </c>
      <c r="H520" s="17" t="s">
        <v>51</v>
      </c>
      <c r="I520" s="30">
        <v>0</v>
      </c>
      <c r="J520" s="30">
        <v>0</v>
      </c>
      <c r="K520" s="30">
        <v>0</v>
      </c>
      <c r="L520" s="30">
        <v>0</v>
      </c>
      <c r="M520" s="30">
        <v>0</v>
      </c>
      <c r="N520" s="30">
        <f>Tabela1[[#This Row],[1QZ DE FEV 26]]-Tabela1[[#This Row],[SALDO PENDENTE]]-Tabela1[[#This Row],[SALDO CARTAO]]-Tabela1[[#This Row],[ADIANTAMENTO]]</f>
        <v>0</v>
      </c>
      <c r="O520" s="30">
        <v>0</v>
      </c>
      <c r="P520" s="39">
        <f>IF(Tabela1[[#This Row],[CARGA PARCIAL]]&lt;0,0,Tabela1[[#This Row],[CARGA PARCIAL]])+Tabela1[[#This Row],[REEMBOLSO]]</f>
        <v>0</v>
      </c>
      <c r="Q520" s="18" t="s">
        <v>184</v>
      </c>
      <c r="R520" s="18"/>
    </row>
    <row r="521" spans="2:18" hidden="1">
      <c r="B521" s="42" t="s">
        <v>1254</v>
      </c>
      <c r="C521" s="22" t="s">
        <v>1255</v>
      </c>
      <c r="D521" s="17" t="s">
        <v>23</v>
      </c>
      <c r="E521" s="17" t="s">
        <v>125</v>
      </c>
      <c r="F521" s="17">
        <v>11040170001</v>
      </c>
      <c r="G521" s="20" t="s">
        <v>126</v>
      </c>
      <c r="H521" s="17" t="s">
        <v>26</v>
      </c>
      <c r="I521" s="30">
        <v>0</v>
      </c>
      <c r="J521" s="30">
        <v>0</v>
      </c>
      <c r="K521" s="30">
        <v>0</v>
      </c>
      <c r="L521" s="30">
        <v>0</v>
      </c>
      <c r="M521" s="30">
        <v>0</v>
      </c>
      <c r="N521" s="30">
        <f>Tabela1[[#This Row],[1QZ DE FEV 26]]-Tabela1[[#This Row],[SALDO PENDENTE]]-Tabela1[[#This Row],[SALDO CARTAO]]-Tabela1[[#This Row],[ADIANTAMENTO]]</f>
        <v>0</v>
      </c>
      <c r="O521" s="30"/>
      <c r="P521" s="45">
        <f>IF(Tabela1[[#This Row],[CARGA PARCIAL]]&lt;0,0,Tabela1[[#This Row],[CARGA PARCIAL]])+Tabela1[[#This Row],[REEMBOLSO]]</f>
        <v>0</v>
      </c>
      <c r="Q521" s="18" t="s">
        <v>184</v>
      </c>
      <c r="R521" s="18"/>
    </row>
    <row r="522" spans="2:18" hidden="1">
      <c r="B522" s="41" t="s">
        <v>1256</v>
      </c>
      <c r="C522" s="22" t="s">
        <v>1257</v>
      </c>
      <c r="D522" s="17" t="s">
        <v>23</v>
      </c>
      <c r="E522" s="17" t="s">
        <v>58</v>
      </c>
      <c r="F522" s="17">
        <v>1104150001</v>
      </c>
      <c r="G522" s="20" t="s">
        <v>59</v>
      </c>
      <c r="H522" s="17" t="s">
        <v>51</v>
      </c>
      <c r="I522" s="30">
        <v>0</v>
      </c>
      <c r="J522" s="30">
        <v>234.71000000000132</v>
      </c>
      <c r="K522" s="30">
        <v>0</v>
      </c>
      <c r="L522" s="30">
        <v>0.85</v>
      </c>
      <c r="M522" s="30">
        <v>0</v>
      </c>
      <c r="N522" s="30">
        <f>Tabela1[[#This Row],[1QZ DE FEV 26]]-Tabela1[[#This Row],[SALDO PENDENTE]]-Tabela1[[#This Row],[SALDO CARTAO]]-Tabela1[[#This Row],[ADIANTAMENTO]]</f>
        <v>-235.56000000000131</v>
      </c>
      <c r="O522" s="30"/>
      <c r="P522" s="45">
        <f>IF(Tabela1[[#This Row],[CARGA PARCIAL]]&lt;0,0,Tabela1[[#This Row],[CARGA PARCIAL]])+Tabela1[[#This Row],[REEMBOLSO]]</f>
        <v>0</v>
      </c>
      <c r="Q522" s="18" t="s">
        <v>27</v>
      </c>
      <c r="R522" s="18"/>
    </row>
    <row r="523" spans="2:18" hidden="1">
      <c r="B523" s="41" t="s">
        <v>1258</v>
      </c>
      <c r="C523" s="22" t="s">
        <v>1259</v>
      </c>
      <c r="D523" s="17" t="s">
        <v>23</v>
      </c>
      <c r="E523" s="17" t="s">
        <v>84</v>
      </c>
      <c r="F523" s="17">
        <v>11061890001</v>
      </c>
      <c r="G523" s="20" t="s">
        <v>51</v>
      </c>
      <c r="H523" s="17" t="s">
        <v>51</v>
      </c>
      <c r="I523" s="30">
        <v>0</v>
      </c>
      <c r="J523" s="30">
        <v>0</v>
      </c>
      <c r="K523" s="30">
        <v>0</v>
      </c>
      <c r="L523" s="30">
        <v>0</v>
      </c>
      <c r="M523" s="30">
        <v>0</v>
      </c>
      <c r="N523" s="30">
        <f>Tabela1[[#This Row],[1QZ DE FEV 26]]-Tabela1[[#This Row],[SALDO PENDENTE]]-Tabela1[[#This Row],[SALDO CARTAO]]-Tabela1[[#This Row],[ADIANTAMENTO]]</f>
        <v>0</v>
      </c>
      <c r="O523" s="30"/>
      <c r="P523" s="45">
        <f>IF(Tabela1[[#This Row],[CARGA PARCIAL]]&lt;0,0,Tabela1[[#This Row],[CARGA PARCIAL]])+Tabela1[[#This Row],[REEMBOLSO]]</f>
        <v>0</v>
      </c>
      <c r="Q523" s="18" t="s">
        <v>184</v>
      </c>
      <c r="R523" s="18"/>
    </row>
    <row r="524" spans="2:18" hidden="1">
      <c r="B524" s="41" t="s">
        <v>1260</v>
      </c>
      <c r="C524" s="22" t="s">
        <v>1261</v>
      </c>
      <c r="D524" s="17" t="s">
        <v>23</v>
      </c>
      <c r="E524" s="17" t="s">
        <v>166</v>
      </c>
      <c r="F524" s="17">
        <v>11060700001</v>
      </c>
      <c r="G524" s="20" t="s">
        <v>63</v>
      </c>
      <c r="H524" s="17" t="s">
        <v>26</v>
      </c>
      <c r="I524" s="30">
        <v>0</v>
      </c>
      <c r="J524" s="30">
        <v>0</v>
      </c>
      <c r="K524" s="30">
        <v>0</v>
      </c>
      <c r="L524" s="30">
        <v>19.3</v>
      </c>
      <c r="M524" s="30">
        <v>0</v>
      </c>
      <c r="N524" s="30">
        <f>Tabela1[[#This Row],[1QZ DE FEV 26]]-Tabela1[[#This Row],[SALDO PENDENTE]]-Tabela1[[#This Row],[SALDO CARTAO]]-Tabela1[[#This Row],[ADIANTAMENTO]]</f>
        <v>-19.3</v>
      </c>
      <c r="O524" s="30"/>
      <c r="P524" s="45">
        <f>IF(Tabela1[[#This Row],[CARGA PARCIAL]]&lt;0,0,Tabela1[[#This Row],[CARGA PARCIAL]])+Tabela1[[#This Row],[REEMBOLSO]]</f>
        <v>0</v>
      </c>
      <c r="Q524" s="18" t="s">
        <v>27</v>
      </c>
      <c r="R524" s="18"/>
    </row>
    <row r="525" spans="2:18" hidden="1">
      <c r="B525" s="46" t="s">
        <v>1262</v>
      </c>
      <c r="C525" s="47" t="s">
        <v>1263</v>
      </c>
      <c r="D525" s="19" t="s">
        <v>23</v>
      </c>
      <c r="E525" s="19" t="s">
        <v>122</v>
      </c>
      <c r="F525" s="19">
        <v>11040130001</v>
      </c>
      <c r="G525" s="27" t="s">
        <v>59</v>
      </c>
      <c r="H525" s="19" t="s">
        <v>51</v>
      </c>
      <c r="I525" s="30">
        <v>0</v>
      </c>
      <c r="J525" s="30">
        <v>457.03999999999996</v>
      </c>
      <c r="K525" s="31">
        <v>0</v>
      </c>
      <c r="L525" s="30">
        <v>0</v>
      </c>
      <c r="M525" s="31">
        <v>0</v>
      </c>
      <c r="N525" s="31">
        <f>Tabela1[[#This Row],[1QZ DE FEV 26]]-Tabela1[[#This Row],[SALDO PENDENTE]]-Tabela1[[#This Row],[SALDO CARTAO]]-Tabela1[[#This Row],[ADIANTAMENTO]]</f>
        <v>-457.03999999999996</v>
      </c>
      <c r="O525" s="31"/>
      <c r="P525" s="48">
        <f>IF(Tabela1[[#This Row],[CARGA PARCIAL]]&lt;0,0,Tabela1[[#This Row],[CARGA PARCIAL]])+Tabela1[[#This Row],[REEMBOLSO]]</f>
        <v>0</v>
      </c>
      <c r="Q525" s="44" t="s">
        <v>27</v>
      </c>
      <c r="R525" s="29"/>
    </row>
    <row r="526" spans="2:18" hidden="1">
      <c r="B526" s="41" t="s">
        <v>1264</v>
      </c>
      <c r="C526" s="22" t="s">
        <v>1265</v>
      </c>
      <c r="D526" s="17" t="s">
        <v>23</v>
      </c>
      <c r="E526" s="17" t="s">
        <v>1266</v>
      </c>
      <c r="F526" s="17">
        <v>11061410001</v>
      </c>
      <c r="G526" s="20" t="s">
        <v>55</v>
      </c>
      <c r="H526" s="17" t="s">
        <v>51</v>
      </c>
      <c r="I526" s="30">
        <v>0</v>
      </c>
      <c r="J526" s="30">
        <v>0</v>
      </c>
      <c r="K526" s="30">
        <v>0</v>
      </c>
      <c r="L526" s="30">
        <v>0</v>
      </c>
      <c r="M526" s="30">
        <v>0</v>
      </c>
      <c r="N526" s="30">
        <f>Tabela1[[#This Row],[1QZ DE FEV 26]]-Tabela1[[#This Row],[SALDO PENDENTE]]-Tabela1[[#This Row],[SALDO CARTAO]]-Tabela1[[#This Row],[ADIANTAMENTO]]</f>
        <v>0</v>
      </c>
      <c r="O526" s="30"/>
      <c r="P526" s="45">
        <f>IF(Tabela1[[#This Row],[CARGA PARCIAL]]&lt;0,0,Tabela1[[#This Row],[CARGA PARCIAL]])+Tabela1[[#This Row],[REEMBOLSO]]</f>
        <v>0</v>
      </c>
      <c r="Q526" s="18" t="s">
        <v>184</v>
      </c>
      <c r="R526" s="18"/>
    </row>
    <row r="527" spans="2:18" hidden="1">
      <c r="B527" s="41" t="s">
        <v>1267</v>
      </c>
      <c r="C527" s="22" t="s">
        <v>1268</v>
      </c>
      <c r="D527" s="17" t="s">
        <v>23</v>
      </c>
      <c r="E527" s="17" t="s">
        <v>122</v>
      </c>
      <c r="F527" s="17">
        <v>11040130001</v>
      </c>
      <c r="G527" s="20" t="s">
        <v>59</v>
      </c>
      <c r="H527" s="17" t="s">
        <v>51</v>
      </c>
      <c r="I527" s="30">
        <v>0</v>
      </c>
      <c r="J527" s="30">
        <v>11.399999999998881</v>
      </c>
      <c r="K527" s="30">
        <v>0</v>
      </c>
      <c r="L527" s="30">
        <v>3.58</v>
      </c>
      <c r="M527" s="30">
        <v>0</v>
      </c>
      <c r="N527" s="30">
        <f>Tabela1[[#This Row],[1QZ DE FEV 26]]-Tabela1[[#This Row],[SALDO PENDENTE]]-Tabela1[[#This Row],[SALDO CARTAO]]-Tabela1[[#This Row],[ADIANTAMENTO]]</f>
        <v>-14.979999999998881</v>
      </c>
      <c r="O527" s="30"/>
      <c r="P527" s="45">
        <f>IF(Tabela1[[#This Row],[CARGA PARCIAL]]&lt;0,0,Tabela1[[#This Row],[CARGA PARCIAL]])+Tabela1[[#This Row],[REEMBOLSO]]</f>
        <v>0</v>
      </c>
      <c r="Q527" s="18" t="s">
        <v>27</v>
      </c>
      <c r="R527" s="18"/>
    </row>
    <row r="528" spans="2:18" hidden="1">
      <c r="B528" s="46" t="s">
        <v>1269</v>
      </c>
      <c r="C528" s="47" t="s">
        <v>1270</v>
      </c>
      <c r="D528" s="19" t="s">
        <v>23</v>
      </c>
      <c r="E528" s="19" t="s">
        <v>1271</v>
      </c>
      <c r="F528" s="19">
        <v>11010220001</v>
      </c>
      <c r="G528" s="27" t="s">
        <v>31</v>
      </c>
      <c r="H528" s="19" t="s">
        <v>26</v>
      </c>
      <c r="I528" s="30">
        <v>0</v>
      </c>
      <c r="J528" s="30">
        <v>0</v>
      </c>
      <c r="K528" s="31">
        <v>0</v>
      </c>
      <c r="L528" s="30">
        <v>0</v>
      </c>
      <c r="M528" s="30">
        <v>0</v>
      </c>
      <c r="N528" s="31">
        <f>Tabela1[[#This Row],[1QZ DE FEV 26]]-Tabela1[[#This Row],[SALDO PENDENTE]]-Tabela1[[#This Row],[SALDO CARTAO]]-Tabela1[[#This Row],[ADIANTAMENTO]]</f>
        <v>0</v>
      </c>
      <c r="O528" s="31"/>
      <c r="P528" s="48">
        <f>IF(Tabela1[[#This Row],[CARGA PARCIAL]]&lt;0,0,Tabela1[[#This Row],[CARGA PARCIAL]])+Tabela1[[#This Row],[REEMBOLSO]]</f>
        <v>0</v>
      </c>
      <c r="Q528" s="40" t="s">
        <v>27</v>
      </c>
      <c r="R528" s="29"/>
    </row>
  </sheetData>
  <mergeCells count="1">
    <mergeCell ref="Q4:R4"/>
  </mergeCells>
  <conditionalFormatting sqref="B6">
    <cfRule type="duplicateValues" dxfId="41" priority="5"/>
  </conditionalFormatting>
  <conditionalFormatting sqref="B246:B1048576 B1:B6">
    <cfRule type="duplicateValues" dxfId="40" priority="7"/>
  </conditionalFormatting>
  <conditionalFormatting sqref="B1:C6">
    <cfRule type="duplicateValues" dxfId="39" priority="6"/>
  </conditionalFormatting>
  <conditionalFormatting sqref="I7:J528">
    <cfRule type="containsText" dxfId="38" priority="3" operator="containsText" text="PROCESSADO">
      <formula>NOT(ISERROR(SEARCH("PROCESSADO",I7)))</formula>
    </cfRule>
    <cfRule type="containsText" dxfId="37" priority="4" operator="containsText" text="BLOQUEADO">
      <formula>NOT(ISERROR(SEARCH("BLOQUEADO",I7)))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F610-C864-4619-A38C-0038A9146F7C}">
  <dimension ref="B2:K221"/>
  <sheetViews>
    <sheetView topLeftCell="C97" workbookViewId="0">
      <selection activeCell="J2" sqref="J2"/>
    </sheetView>
  </sheetViews>
  <sheetFormatPr defaultRowHeight="15"/>
  <cols>
    <col min="2" max="2" width="42.28515625" bestFit="1" customWidth="1"/>
    <col min="3" max="3" width="12" bestFit="1" customWidth="1"/>
    <col min="4" max="4" width="31" bestFit="1" customWidth="1"/>
    <col min="5" max="5" width="21.42578125" bestFit="1" customWidth="1"/>
    <col min="6" max="7" width="19.28515625" bestFit="1" customWidth="1"/>
    <col min="8" max="8" width="17.7109375" bestFit="1" customWidth="1"/>
    <col min="10" max="10" width="18" bestFit="1" customWidth="1"/>
    <col min="11" max="11" width="21.7109375" bestFit="1" customWidth="1"/>
  </cols>
  <sheetData>
    <row r="2" spans="2:11">
      <c r="B2" s="52" t="s">
        <v>4</v>
      </c>
      <c r="C2" s="52" t="s">
        <v>5</v>
      </c>
      <c r="D2" s="52" t="s">
        <v>7</v>
      </c>
      <c r="E2" s="52" t="s">
        <v>8</v>
      </c>
      <c r="F2" s="52" t="s">
        <v>9</v>
      </c>
      <c r="G2" s="52" t="s">
        <v>10</v>
      </c>
      <c r="H2" s="60" t="s">
        <v>2</v>
      </c>
      <c r="J2" s="66" t="s">
        <v>1272</v>
      </c>
      <c r="K2" t="s">
        <v>1273</v>
      </c>
    </row>
    <row r="3" spans="2:11">
      <c r="B3" s="42" t="s">
        <v>21</v>
      </c>
      <c r="C3" s="22" t="s">
        <v>22</v>
      </c>
      <c r="D3" s="17" t="s">
        <v>24</v>
      </c>
      <c r="E3" s="17">
        <v>11030260001</v>
      </c>
      <c r="F3" s="20" t="s">
        <v>25</v>
      </c>
      <c r="G3" s="17" t="s">
        <v>26</v>
      </c>
      <c r="H3" s="39">
        <v>15837.22000000003</v>
      </c>
      <c r="J3" s="67">
        <v>1201005</v>
      </c>
      <c r="K3" s="68">
        <v>485.00000000000239</v>
      </c>
    </row>
    <row r="4" spans="2:11">
      <c r="B4" s="17" t="s">
        <v>28</v>
      </c>
      <c r="C4" s="17" t="s">
        <v>29</v>
      </c>
      <c r="D4" s="17" t="s">
        <v>30</v>
      </c>
      <c r="E4" s="17">
        <v>11030290001</v>
      </c>
      <c r="F4" s="17" t="s">
        <v>31</v>
      </c>
      <c r="G4" s="17" t="s">
        <v>26</v>
      </c>
      <c r="H4" s="39">
        <v>9480.5900000000493</v>
      </c>
      <c r="J4" s="67">
        <v>1201007</v>
      </c>
      <c r="K4" s="68">
        <v>500</v>
      </c>
    </row>
    <row r="5" spans="2:11">
      <c r="B5" s="17" t="s">
        <v>32</v>
      </c>
      <c r="C5" s="17" t="s">
        <v>33</v>
      </c>
      <c r="D5" s="17" t="s">
        <v>34</v>
      </c>
      <c r="E5" s="17">
        <v>11061860001</v>
      </c>
      <c r="F5" s="17" t="s">
        <v>35</v>
      </c>
      <c r="G5" s="17" t="s">
        <v>26</v>
      </c>
      <c r="H5" s="39">
        <v>4993</v>
      </c>
      <c r="J5" s="67">
        <v>1201008</v>
      </c>
      <c r="K5" s="68">
        <v>488.73</v>
      </c>
    </row>
    <row r="6" spans="2:11">
      <c r="B6" s="17" t="s">
        <v>36</v>
      </c>
      <c r="C6" s="17" t="s">
        <v>37</v>
      </c>
      <c r="D6" s="17" t="s">
        <v>38</v>
      </c>
      <c r="E6" s="17">
        <v>11040040001</v>
      </c>
      <c r="F6" s="20" t="s">
        <v>31</v>
      </c>
      <c r="G6" s="17" t="s">
        <v>26</v>
      </c>
      <c r="H6" s="39">
        <v>5448.11</v>
      </c>
      <c r="J6" s="67">
        <v>1201014</v>
      </c>
      <c r="K6" s="68">
        <v>367.94</v>
      </c>
    </row>
    <row r="7" spans="2:11">
      <c r="B7" s="17" t="s">
        <v>39</v>
      </c>
      <c r="C7" s="17" t="s">
        <v>40</v>
      </c>
      <c r="D7" s="17" t="s">
        <v>41</v>
      </c>
      <c r="E7" s="17">
        <v>11030870001</v>
      </c>
      <c r="F7" s="17" t="s">
        <v>35</v>
      </c>
      <c r="G7" s="17" t="s">
        <v>26</v>
      </c>
      <c r="H7" s="39">
        <v>924.06999999999869</v>
      </c>
      <c r="J7" s="67">
        <v>1201017</v>
      </c>
      <c r="K7" s="68">
        <v>496.65</v>
      </c>
    </row>
    <row r="8" spans="2:11">
      <c r="B8" s="19" t="s">
        <v>42</v>
      </c>
      <c r="C8" s="19" t="s">
        <v>43</v>
      </c>
      <c r="D8" s="19" t="s">
        <v>44</v>
      </c>
      <c r="E8" s="19">
        <v>11061870001</v>
      </c>
      <c r="F8" s="19" t="s">
        <v>45</v>
      </c>
      <c r="G8" s="19" t="s">
        <v>46</v>
      </c>
      <c r="H8" s="50">
        <v>4963.6099999999997</v>
      </c>
      <c r="J8" s="67">
        <v>1201020</v>
      </c>
      <c r="K8" s="68">
        <v>1500</v>
      </c>
    </row>
    <row r="9" spans="2:11">
      <c r="B9" s="42" t="s">
        <v>47</v>
      </c>
      <c r="C9" s="22" t="s">
        <v>48</v>
      </c>
      <c r="D9" s="17" t="s">
        <v>49</v>
      </c>
      <c r="E9" s="17">
        <v>11030830001</v>
      </c>
      <c r="F9" s="20" t="s">
        <v>50</v>
      </c>
      <c r="G9" s="17" t="s">
        <v>51</v>
      </c>
      <c r="H9" s="39">
        <v>4952.8899999999994</v>
      </c>
      <c r="J9" s="67">
        <v>1201044</v>
      </c>
      <c r="K9" s="68">
        <v>490</v>
      </c>
    </row>
    <row r="10" spans="2:11">
      <c r="B10" s="17" t="s">
        <v>52</v>
      </c>
      <c r="C10" s="17" t="s">
        <v>53</v>
      </c>
      <c r="D10" s="17" t="s">
        <v>54</v>
      </c>
      <c r="E10" s="17">
        <v>11030860001</v>
      </c>
      <c r="F10" s="17" t="s">
        <v>55</v>
      </c>
      <c r="G10" s="17" t="s">
        <v>51</v>
      </c>
      <c r="H10" s="39">
        <v>677.06999999999994</v>
      </c>
      <c r="J10" s="67">
        <v>1201071</v>
      </c>
      <c r="K10" s="68">
        <v>952.90000000000009</v>
      </c>
    </row>
    <row r="11" spans="2:11">
      <c r="B11" s="42" t="s">
        <v>56</v>
      </c>
      <c r="C11" s="22" t="s">
        <v>57</v>
      </c>
      <c r="D11" s="17" t="s">
        <v>58</v>
      </c>
      <c r="E11" s="17">
        <v>1104150001</v>
      </c>
      <c r="F11" s="20" t="s">
        <v>59</v>
      </c>
      <c r="G11" s="17" t="s">
        <v>51</v>
      </c>
      <c r="H11" s="39">
        <v>4635.9399999999996</v>
      </c>
      <c r="J11" s="67">
        <v>1104150001</v>
      </c>
      <c r="K11" s="68">
        <v>5837.94</v>
      </c>
    </row>
    <row r="12" spans="2:11">
      <c r="B12" s="17" t="s">
        <v>60</v>
      </c>
      <c r="C12" s="17" t="s">
        <v>61</v>
      </c>
      <c r="D12" s="17" t="s">
        <v>62</v>
      </c>
      <c r="E12" s="17">
        <v>11030660001</v>
      </c>
      <c r="F12" s="20" t="s">
        <v>63</v>
      </c>
      <c r="G12" s="17" t="s">
        <v>26</v>
      </c>
      <c r="H12" s="39">
        <v>4060.9899999999761</v>
      </c>
      <c r="J12" s="67">
        <v>11010060001</v>
      </c>
      <c r="K12" s="68">
        <v>239.15000000000003</v>
      </c>
    </row>
    <row r="13" spans="2:11">
      <c r="B13" s="42" t="s">
        <v>64</v>
      </c>
      <c r="C13" s="22" t="s">
        <v>65</v>
      </c>
      <c r="D13" s="17" t="s">
        <v>49</v>
      </c>
      <c r="E13" s="17">
        <v>11030830001</v>
      </c>
      <c r="F13" s="20" t="s">
        <v>50</v>
      </c>
      <c r="G13" s="17" t="s">
        <v>51</v>
      </c>
      <c r="H13" s="39">
        <v>3999.24</v>
      </c>
      <c r="J13" s="67">
        <v>11010080001</v>
      </c>
      <c r="K13" s="68">
        <v>885.39999999999964</v>
      </c>
    </row>
    <row r="14" spans="2:11">
      <c r="B14" s="17" t="s">
        <v>66</v>
      </c>
      <c r="C14" s="17" t="s">
        <v>67</v>
      </c>
      <c r="D14" s="17" t="s">
        <v>30</v>
      </c>
      <c r="E14" s="17">
        <v>11030290001</v>
      </c>
      <c r="F14" s="20" t="s">
        <v>31</v>
      </c>
      <c r="G14" s="17" t="s">
        <v>26</v>
      </c>
      <c r="H14" s="39">
        <v>3958.7000000000189</v>
      </c>
      <c r="J14" s="67">
        <v>11010090001</v>
      </c>
      <c r="K14" s="68">
        <v>33.89999999999975</v>
      </c>
    </row>
    <row r="15" spans="2:11">
      <c r="B15" s="17" t="s">
        <v>68</v>
      </c>
      <c r="C15" s="17" t="s">
        <v>69</v>
      </c>
      <c r="D15" s="17" t="s">
        <v>70</v>
      </c>
      <c r="E15" s="17">
        <v>11030610001</v>
      </c>
      <c r="F15" s="17" t="s">
        <v>71</v>
      </c>
      <c r="G15" s="17" t="s">
        <v>51</v>
      </c>
      <c r="H15" s="39">
        <v>3668.13</v>
      </c>
      <c r="J15" s="67">
        <v>11010110001</v>
      </c>
      <c r="K15" s="68">
        <v>632.95000000000005</v>
      </c>
    </row>
    <row r="16" spans="2:11">
      <c r="B16" s="17" t="s">
        <v>72</v>
      </c>
      <c r="C16" s="17" t="s">
        <v>73</v>
      </c>
      <c r="D16" s="17" t="s">
        <v>74</v>
      </c>
      <c r="E16" s="17">
        <v>11061770001</v>
      </c>
      <c r="F16" s="20" t="s">
        <v>71</v>
      </c>
      <c r="G16" s="17" t="s">
        <v>51</v>
      </c>
      <c r="H16" s="39">
        <v>3628.96</v>
      </c>
      <c r="J16" s="67">
        <v>11010140001</v>
      </c>
      <c r="K16" s="68">
        <v>538.79000000000087</v>
      </c>
    </row>
    <row r="17" spans="2:11">
      <c r="B17" s="17" t="s">
        <v>75</v>
      </c>
      <c r="C17" s="17" t="s">
        <v>76</v>
      </c>
      <c r="D17" s="17" t="s">
        <v>49</v>
      </c>
      <c r="E17" s="17">
        <v>11030830001</v>
      </c>
      <c r="F17" s="20" t="s">
        <v>50</v>
      </c>
      <c r="G17" s="17" t="s">
        <v>51</v>
      </c>
      <c r="H17" s="39">
        <v>3527.23</v>
      </c>
      <c r="J17" s="67">
        <v>11010150001</v>
      </c>
      <c r="K17" s="68">
        <v>485.9</v>
      </c>
    </row>
    <row r="18" spans="2:11">
      <c r="B18" s="19" t="s">
        <v>77</v>
      </c>
      <c r="C18" s="19" t="s">
        <v>78</v>
      </c>
      <c r="D18" s="19" t="s">
        <v>41</v>
      </c>
      <c r="E18" s="19">
        <v>11030870001</v>
      </c>
      <c r="F18" s="27" t="s">
        <v>35</v>
      </c>
      <c r="G18" s="19" t="s">
        <v>26</v>
      </c>
      <c r="H18" s="50">
        <v>1942.92</v>
      </c>
      <c r="J18" s="67">
        <v>11010170001</v>
      </c>
      <c r="K18" s="68">
        <v>899.14999999999964</v>
      </c>
    </row>
    <row r="19" spans="2:11">
      <c r="B19" s="42" t="s">
        <v>79</v>
      </c>
      <c r="C19" s="22" t="s">
        <v>80</v>
      </c>
      <c r="D19" s="17" t="s">
        <v>81</v>
      </c>
      <c r="E19" s="17">
        <v>11030650001</v>
      </c>
      <c r="F19" s="20" t="s">
        <v>71</v>
      </c>
      <c r="G19" s="17" t="s">
        <v>51</v>
      </c>
      <c r="H19" s="39">
        <v>3223.98</v>
      </c>
      <c r="J19" s="67">
        <v>11010180001</v>
      </c>
      <c r="K19" s="68">
        <v>2051.4699999999993</v>
      </c>
    </row>
    <row r="20" spans="2:11">
      <c r="B20" s="42" t="s">
        <v>85</v>
      </c>
      <c r="C20" s="22" t="s">
        <v>86</v>
      </c>
      <c r="D20" s="17" t="s">
        <v>87</v>
      </c>
      <c r="E20" s="17">
        <v>11030620001</v>
      </c>
      <c r="F20" s="20" t="s">
        <v>71</v>
      </c>
      <c r="G20" s="17" t="s">
        <v>51</v>
      </c>
      <c r="H20" s="39">
        <v>3042.55</v>
      </c>
      <c r="J20" s="67">
        <v>11010270001</v>
      </c>
      <c r="K20" s="68">
        <v>95.399999999999977</v>
      </c>
    </row>
    <row r="21" spans="2:11">
      <c r="B21" s="17" t="s">
        <v>88</v>
      </c>
      <c r="C21" s="17" t="s">
        <v>89</v>
      </c>
      <c r="D21" s="17" t="s">
        <v>90</v>
      </c>
      <c r="E21" s="17">
        <v>11030840001</v>
      </c>
      <c r="F21" s="17" t="s">
        <v>50</v>
      </c>
      <c r="G21" s="17" t="s">
        <v>51</v>
      </c>
      <c r="H21" s="39">
        <v>2990.99</v>
      </c>
      <c r="J21" s="67">
        <v>11010300001</v>
      </c>
      <c r="K21" s="68">
        <v>1171.5299999999952</v>
      </c>
    </row>
    <row r="22" spans="2:11">
      <c r="B22" s="17" t="s">
        <v>91</v>
      </c>
      <c r="C22" s="17" t="s">
        <v>92</v>
      </c>
      <c r="D22" s="17" t="s">
        <v>30</v>
      </c>
      <c r="E22" s="17">
        <v>11030290001</v>
      </c>
      <c r="F22" s="17" t="s">
        <v>31</v>
      </c>
      <c r="G22" s="17" t="s">
        <v>26</v>
      </c>
      <c r="H22" s="39">
        <v>2915.6100000000006</v>
      </c>
      <c r="J22" s="67">
        <v>11010330001</v>
      </c>
      <c r="K22" s="68">
        <v>287.2</v>
      </c>
    </row>
    <row r="23" spans="2:11">
      <c r="B23" s="51" t="s">
        <v>93</v>
      </c>
      <c r="C23" s="47" t="s">
        <v>94</v>
      </c>
      <c r="D23" s="19" t="s">
        <v>95</v>
      </c>
      <c r="E23" s="19">
        <v>11030590001</v>
      </c>
      <c r="F23" s="27" t="s">
        <v>71</v>
      </c>
      <c r="G23" s="19" t="s">
        <v>51</v>
      </c>
      <c r="H23" s="50">
        <v>2682.9299999999898</v>
      </c>
      <c r="J23" s="67">
        <v>11010370001</v>
      </c>
      <c r="K23" s="68">
        <v>1386.1699999999994</v>
      </c>
    </row>
    <row r="24" spans="2:11">
      <c r="B24" s="17" t="s">
        <v>96</v>
      </c>
      <c r="C24" s="17" t="s">
        <v>97</v>
      </c>
      <c r="D24" s="17" t="s">
        <v>98</v>
      </c>
      <c r="E24" s="17">
        <v>11030690001</v>
      </c>
      <c r="F24" s="17" t="s">
        <v>55</v>
      </c>
      <c r="G24" s="17" t="s">
        <v>51</v>
      </c>
      <c r="H24" s="39">
        <v>2622.75</v>
      </c>
      <c r="J24" s="67">
        <v>11010420001</v>
      </c>
      <c r="K24" s="68">
        <v>158.98000000000036</v>
      </c>
    </row>
    <row r="25" spans="2:11">
      <c r="B25" s="17" t="s">
        <v>99</v>
      </c>
      <c r="C25" s="17" t="s">
        <v>100</v>
      </c>
      <c r="D25" s="17" t="s">
        <v>101</v>
      </c>
      <c r="E25" s="17">
        <v>11061430001</v>
      </c>
      <c r="F25" s="20" t="s">
        <v>31</v>
      </c>
      <c r="G25" s="17" t="s">
        <v>26</v>
      </c>
      <c r="H25" s="39">
        <v>2620.4400000000201</v>
      </c>
      <c r="J25" s="67">
        <v>11030260001</v>
      </c>
      <c r="K25" s="68">
        <v>15837.22000000003</v>
      </c>
    </row>
    <row r="26" spans="2:11">
      <c r="B26" s="17" t="s">
        <v>102</v>
      </c>
      <c r="C26" s="17" t="s">
        <v>103</v>
      </c>
      <c r="D26" s="17" t="s">
        <v>104</v>
      </c>
      <c r="E26" s="17">
        <v>11030600001</v>
      </c>
      <c r="F26" s="20" t="s">
        <v>71</v>
      </c>
      <c r="G26" s="17" t="s">
        <v>51</v>
      </c>
      <c r="H26" s="39">
        <v>2469.5200000000477</v>
      </c>
      <c r="J26" s="67">
        <v>11030290001</v>
      </c>
      <c r="K26" s="68">
        <v>16354.900000000069</v>
      </c>
    </row>
    <row r="27" spans="2:11">
      <c r="B27" s="42" t="s">
        <v>105</v>
      </c>
      <c r="C27" s="22" t="s">
        <v>106</v>
      </c>
      <c r="D27" s="17" t="s">
        <v>107</v>
      </c>
      <c r="E27" s="17">
        <v>11030880001</v>
      </c>
      <c r="F27" s="20" t="s">
        <v>31</v>
      </c>
      <c r="G27" s="17" t="s">
        <v>26</v>
      </c>
      <c r="H27" s="39">
        <v>2361.6299999999974</v>
      </c>
      <c r="J27" s="67">
        <v>11030570001</v>
      </c>
      <c r="K27" s="68">
        <v>1422.3000000000138</v>
      </c>
    </row>
    <row r="28" spans="2:11">
      <c r="B28" s="42" t="s">
        <v>108</v>
      </c>
      <c r="C28" s="22" t="s">
        <v>109</v>
      </c>
      <c r="D28" s="17" t="s">
        <v>110</v>
      </c>
      <c r="E28" s="17">
        <v>11062350001</v>
      </c>
      <c r="F28" s="20" t="s">
        <v>25</v>
      </c>
      <c r="G28" s="17" t="s">
        <v>26</v>
      </c>
      <c r="H28" s="39">
        <v>2337.17</v>
      </c>
      <c r="J28" s="67">
        <v>11030590001</v>
      </c>
      <c r="K28" s="68">
        <v>2682.9299999999898</v>
      </c>
    </row>
    <row r="29" spans="2:11">
      <c r="B29" s="42" t="s">
        <v>111</v>
      </c>
      <c r="C29" s="22" t="s">
        <v>112</v>
      </c>
      <c r="D29" s="17" t="s">
        <v>113</v>
      </c>
      <c r="E29" s="17">
        <v>11061880001</v>
      </c>
      <c r="F29" s="20" t="s">
        <v>63</v>
      </c>
      <c r="G29" s="17" t="s">
        <v>26</v>
      </c>
      <c r="H29" s="39">
        <v>2325.86</v>
      </c>
      <c r="J29" s="67">
        <v>11030600001</v>
      </c>
      <c r="K29" s="68">
        <v>2469.5200000000477</v>
      </c>
    </row>
    <row r="30" spans="2:11">
      <c r="B30" s="42" t="s">
        <v>114</v>
      </c>
      <c r="C30" s="22" t="s">
        <v>115</v>
      </c>
      <c r="D30" s="17" t="s">
        <v>116</v>
      </c>
      <c r="E30" s="17">
        <v>11030750001</v>
      </c>
      <c r="F30" s="20" t="s">
        <v>50</v>
      </c>
      <c r="G30" s="17" t="s">
        <v>51</v>
      </c>
      <c r="H30" s="39">
        <v>2319.0600000000086</v>
      </c>
      <c r="J30" s="67">
        <v>11030610001</v>
      </c>
      <c r="K30" s="68">
        <v>3668.13</v>
      </c>
    </row>
    <row r="31" spans="2:11">
      <c r="B31" s="41" t="s">
        <v>120</v>
      </c>
      <c r="C31" s="22" t="s">
        <v>121</v>
      </c>
      <c r="D31" s="17" t="s">
        <v>122</v>
      </c>
      <c r="E31" s="17">
        <v>11040130001</v>
      </c>
      <c r="F31" s="20" t="s">
        <v>59</v>
      </c>
      <c r="G31" s="17" t="s">
        <v>51</v>
      </c>
      <c r="H31" s="45">
        <v>2214.3000000000002</v>
      </c>
      <c r="J31" s="67">
        <v>11030620001</v>
      </c>
      <c r="K31" s="68">
        <v>3042.55</v>
      </c>
    </row>
    <row r="32" spans="2:11">
      <c r="B32" s="17" t="s">
        <v>123</v>
      </c>
      <c r="C32" s="17" t="s">
        <v>124</v>
      </c>
      <c r="D32" s="17" t="s">
        <v>125</v>
      </c>
      <c r="E32" s="17">
        <v>11040170001</v>
      </c>
      <c r="F32" s="20" t="s">
        <v>126</v>
      </c>
      <c r="G32" s="17" t="s">
        <v>26</v>
      </c>
      <c r="H32" s="39">
        <v>1429.5599999999977</v>
      </c>
      <c r="J32" s="67">
        <v>11030630001</v>
      </c>
      <c r="K32" s="68">
        <v>406.99999999998545</v>
      </c>
    </row>
    <row r="33" spans="2:11">
      <c r="B33" s="42" t="s">
        <v>127</v>
      </c>
      <c r="C33" s="22" t="s">
        <v>128</v>
      </c>
      <c r="D33" s="17" t="s">
        <v>129</v>
      </c>
      <c r="E33" s="17">
        <v>11030780001</v>
      </c>
      <c r="F33" s="20" t="s">
        <v>50</v>
      </c>
      <c r="G33" s="17" t="s">
        <v>51</v>
      </c>
      <c r="H33" s="39">
        <v>2206.4899999999998</v>
      </c>
      <c r="J33" s="67">
        <v>11030640001</v>
      </c>
      <c r="K33" s="68">
        <v>1832.7700000000632</v>
      </c>
    </row>
    <row r="34" spans="2:11">
      <c r="B34" s="17" t="s">
        <v>130</v>
      </c>
      <c r="C34" s="17" t="s">
        <v>131</v>
      </c>
      <c r="D34" s="17" t="s">
        <v>132</v>
      </c>
      <c r="E34" s="17">
        <v>11040160001</v>
      </c>
      <c r="F34" s="17" t="s">
        <v>63</v>
      </c>
      <c r="G34" s="17" t="s">
        <v>26</v>
      </c>
      <c r="H34" s="39">
        <v>2110.63</v>
      </c>
      <c r="J34" s="67">
        <v>11030650001</v>
      </c>
      <c r="K34" s="68">
        <v>3223.98</v>
      </c>
    </row>
    <row r="35" spans="2:11">
      <c r="B35" s="17" t="s">
        <v>133</v>
      </c>
      <c r="C35" s="17" t="s">
        <v>134</v>
      </c>
      <c r="D35" s="17" t="s">
        <v>135</v>
      </c>
      <c r="E35" s="17">
        <v>11061480001</v>
      </c>
      <c r="F35" s="17" t="s">
        <v>25</v>
      </c>
      <c r="G35" s="17" t="s">
        <v>26</v>
      </c>
      <c r="H35" s="39">
        <v>1997.25</v>
      </c>
      <c r="J35" s="67">
        <v>11030660001</v>
      </c>
      <c r="K35" s="68">
        <v>4323.0499999999756</v>
      </c>
    </row>
    <row r="36" spans="2:11">
      <c r="B36" s="19" t="s">
        <v>136</v>
      </c>
      <c r="C36" s="19" t="s">
        <v>137</v>
      </c>
      <c r="D36" s="19" t="s">
        <v>138</v>
      </c>
      <c r="E36" s="19">
        <v>11030850001</v>
      </c>
      <c r="F36" s="19" t="s">
        <v>31</v>
      </c>
      <c r="G36" s="19" t="s">
        <v>26</v>
      </c>
      <c r="H36" s="50">
        <v>1995.8</v>
      </c>
      <c r="J36" s="67">
        <v>11030690001</v>
      </c>
      <c r="K36" s="68">
        <v>2622.75</v>
      </c>
    </row>
    <row r="37" spans="2:11">
      <c r="B37" s="17" t="s">
        <v>139</v>
      </c>
      <c r="C37" s="17" t="s">
        <v>140</v>
      </c>
      <c r="D37" s="17" t="s">
        <v>141</v>
      </c>
      <c r="E37" s="17">
        <v>11061490001</v>
      </c>
      <c r="F37" s="17" t="s">
        <v>25</v>
      </c>
      <c r="G37" s="17" t="s">
        <v>26</v>
      </c>
      <c r="H37" s="39">
        <v>1992.75</v>
      </c>
      <c r="J37" s="67">
        <v>11030700001</v>
      </c>
      <c r="K37" s="68">
        <v>2237.4299999999998</v>
      </c>
    </row>
    <row r="38" spans="2:11">
      <c r="B38" s="17" t="s">
        <v>142</v>
      </c>
      <c r="C38" s="17" t="s">
        <v>143</v>
      </c>
      <c r="D38" s="17" t="s">
        <v>144</v>
      </c>
      <c r="E38" s="17">
        <v>11080370001</v>
      </c>
      <c r="F38" s="20" t="s">
        <v>35</v>
      </c>
      <c r="G38" s="17" t="s">
        <v>26</v>
      </c>
      <c r="H38" s="39">
        <v>3320.45</v>
      </c>
      <c r="J38" s="67">
        <v>11030710001</v>
      </c>
      <c r="K38" s="68">
        <v>689.97000000003004</v>
      </c>
    </row>
    <row r="39" spans="2:11">
      <c r="B39" s="42" t="s">
        <v>146</v>
      </c>
      <c r="C39" s="22" t="s">
        <v>147</v>
      </c>
      <c r="D39" s="17" t="s">
        <v>148</v>
      </c>
      <c r="E39" s="17">
        <v>11030900001</v>
      </c>
      <c r="F39" s="20" t="s">
        <v>25</v>
      </c>
      <c r="G39" s="17" t="s">
        <v>26</v>
      </c>
      <c r="H39" s="39">
        <v>1937.6399999999999</v>
      </c>
      <c r="J39" s="67">
        <v>11030730001</v>
      </c>
      <c r="K39" s="68">
        <v>1127.3600000000001</v>
      </c>
    </row>
    <row r="40" spans="2:11">
      <c r="B40" s="42" t="s">
        <v>149</v>
      </c>
      <c r="C40" s="22" t="s">
        <v>150</v>
      </c>
      <c r="D40" s="17" t="s">
        <v>113</v>
      </c>
      <c r="E40" s="17">
        <v>11061880001</v>
      </c>
      <c r="F40" s="20" t="s">
        <v>63</v>
      </c>
      <c r="G40" s="17" t="s">
        <v>26</v>
      </c>
      <c r="H40" s="45">
        <v>1928.1</v>
      </c>
      <c r="J40" s="67">
        <v>11030750001</v>
      </c>
      <c r="K40" s="68">
        <v>2935.1500000000378</v>
      </c>
    </row>
    <row r="41" spans="2:11">
      <c r="B41" s="17" t="s">
        <v>151</v>
      </c>
      <c r="C41" s="17" t="s">
        <v>152</v>
      </c>
      <c r="D41" s="17" t="s">
        <v>153</v>
      </c>
      <c r="E41" s="17">
        <v>11030770001</v>
      </c>
      <c r="F41" s="20" t="s">
        <v>25</v>
      </c>
      <c r="G41" s="17" t="s">
        <v>26</v>
      </c>
      <c r="H41" s="39">
        <v>1914</v>
      </c>
      <c r="J41" s="67">
        <v>11030760001</v>
      </c>
      <c r="K41" s="68">
        <v>34.999999999999091</v>
      </c>
    </row>
    <row r="42" spans="2:11">
      <c r="B42" s="17" t="s">
        <v>154</v>
      </c>
      <c r="C42" s="17" t="s">
        <v>155</v>
      </c>
      <c r="D42" s="17" t="s">
        <v>156</v>
      </c>
      <c r="E42" s="17">
        <v>11062270001</v>
      </c>
      <c r="F42" s="17" t="s">
        <v>25</v>
      </c>
      <c r="G42" s="17" t="s">
        <v>26</v>
      </c>
      <c r="H42" s="39">
        <v>1898.53</v>
      </c>
      <c r="J42" s="67">
        <v>11030770001</v>
      </c>
      <c r="K42" s="68">
        <v>2840.3499999999913</v>
      </c>
    </row>
    <row r="43" spans="2:11">
      <c r="B43" s="17" t="s">
        <v>157</v>
      </c>
      <c r="C43" s="17" t="s">
        <v>158</v>
      </c>
      <c r="D43" s="17" t="s">
        <v>41</v>
      </c>
      <c r="E43" s="17">
        <v>11030870001</v>
      </c>
      <c r="F43" s="20" t="s">
        <v>35</v>
      </c>
      <c r="G43" s="17" t="s">
        <v>26</v>
      </c>
      <c r="H43" s="39">
        <v>994</v>
      </c>
      <c r="J43" s="67">
        <v>11030780001</v>
      </c>
      <c r="K43" s="68">
        <v>2206.4899999999998</v>
      </c>
    </row>
    <row r="44" spans="2:11">
      <c r="B44" s="17" t="s">
        <v>159</v>
      </c>
      <c r="C44" s="17" t="s">
        <v>160</v>
      </c>
      <c r="D44" s="17" t="s">
        <v>161</v>
      </c>
      <c r="E44" s="17">
        <v>11010370001</v>
      </c>
      <c r="F44" s="20" t="s">
        <v>55</v>
      </c>
      <c r="G44" s="17" t="s">
        <v>51</v>
      </c>
      <c r="H44" s="39">
        <v>18.999999999999545</v>
      </c>
      <c r="J44" s="67">
        <v>11030790001</v>
      </c>
      <c r="K44" s="68">
        <v>9810.1000000000604</v>
      </c>
    </row>
    <row r="45" spans="2:11">
      <c r="B45" s="42" t="s">
        <v>162</v>
      </c>
      <c r="C45" s="22" t="s">
        <v>163</v>
      </c>
      <c r="D45" s="17" t="s">
        <v>90</v>
      </c>
      <c r="E45" s="17">
        <v>11030840001</v>
      </c>
      <c r="F45" s="20" t="s">
        <v>50</v>
      </c>
      <c r="G45" s="17" t="s">
        <v>51</v>
      </c>
      <c r="H45" s="39">
        <v>1756.18</v>
      </c>
      <c r="J45" s="67">
        <v>11030800001</v>
      </c>
      <c r="K45" s="68">
        <v>749.36000000000013</v>
      </c>
    </row>
    <row r="46" spans="2:11">
      <c r="B46" s="19" t="s">
        <v>164</v>
      </c>
      <c r="C46" s="19" t="s">
        <v>165</v>
      </c>
      <c r="D46" s="19" t="s">
        <v>166</v>
      </c>
      <c r="E46" s="19">
        <v>11060700001</v>
      </c>
      <c r="F46" s="19" t="s">
        <v>63</v>
      </c>
      <c r="G46" s="19" t="s">
        <v>26</v>
      </c>
      <c r="H46" s="50">
        <v>1655.3800000000267</v>
      </c>
      <c r="J46" s="67">
        <v>11030810001</v>
      </c>
      <c r="K46" s="68">
        <v>289.65999999999997</v>
      </c>
    </row>
    <row r="47" spans="2:11">
      <c r="B47" s="17" t="s">
        <v>167</v>
      </c>
      <c r="C47" s="17" t="s">
        <v>168</v>
      </c>
      <c r="D47" s="17" t="s">
        <v>169</v>
      </c>
      <c r="E47" s="17">
        <v>11080440001</v>
      </c>
      <c r="F47" s="20" t="s">
        <v>55</v>
      </c>
      <c r="G47" s="17" t="s">
        <v>51</v>
      </c>
      <c r="H47" s="39">
        <v>290.88999999999987</v>
      </c>
      <c r="J47" s="67">
        <v>11030820001</v>
      </c>
      <c r="K47" s="68">
        <v>973.61</v>
      </c>
    </row>
    <row r="48" spans="2:11">
      <c r="B48" s="17" t="s">
        <v>170</v>
      </c>
      <c r="C48" s="17" t="s">
        <v>171</v>
      </c>
      <c r="D48" s="17" t="s">
        <v>172</v>
      </c>
      <c r="E48" s="17">
        <v>11030640001</v>
      </c>
      <c r="F48" s="17" t="s">
        <v>50</v>
      </c>
      <c r="G48" s="17" t="s">
        <v>51</v>
      </c>
      <c r="H48" s="39">
        <v>1613.9000000000669</v>
      </c>
      <c r="J48" s="67">
        <v>11030830001</v>
      </c>
      <c r="K48" s="68">
        <v>12479.359999999999</v>
      </c>
    </row>
    <row r="49" spans="2:11">
      <c r="B49" s="42" t="s">
        <v>173</v>
      </c>
      <c r="C49" s="22" t="s">
        <v>174</v>
      </c>
      <c r="D49" s="17" t="s">
        <v>175</v>
      </c>
      <c r="E49" s="17">
        <v>1201020</v>
      </c>
      <c r="F49" s="20" t="s">
        <v>176</v>
      </c>
      <c r="G49" s="17" t="s">
        <v>177</v>
      </c>
      <c r="H49" s="39">
        <v>1500</v>
      </c>
      <c r="J49" s="67">
        <v>11030840001</v>
      </c>
      <c r="K49" s="68">
        <v>4747.17</v>
      </c>
    </row>
    <row r="50" spans="2:11">
      <c r="B50" s="42" t="s">
        <v>179</v>
      </c>
      <c r="C50" s="22" t="s">
        <v>180</v>
      </c>
      <c r="D50" s="17" t="s">
        <v>181</v>
      </c>
      <c r="E50" s="17">
        <v>11080150001</v>
      </c>
      <c r="F50" s="20" t="s">
        <v>25</v>
      </c>
      <c r="G50" s="17" t="s">
        <v>26</v>
      </c>
      <c r="H50" s="39">
        <v>1494</v>
      </c>
      <c r="J50" s="67">
        <v>11030850001</v>
      </c>
      <c r="K50" s="68">
        <v>2581.9799999999896</v>
      </c>
    </row>
    <row r="51" spans="2:11">
      <c r="B51" s="17" t="s">
        <v>185</v>
      </c>
      <c r="C51" s="17" t="s">
        <v>186</v>
      </c>
      <c r="D51" s="17" t="s">
        <v>187</v>
      </c>
      <c r="E51" s="17">
        <v>11030570001</v>
      </c>
      <c r="F51" s="20" t="s">
        <v>71</v>
      </c>
      <c r="G51" s="17" t="s">
        <v>51</v>
      </c>
      <c r="H51" s="39">
        <v>1422.3000000000138</v>
      </c>
      <c r="J51" s="67">
        <v>11030860001</v>
      </c>
      <c r="K51" s="68">
        <v>1518.3799999999994</v>
      </c>
    </row>
    <row r="52" spans="2:11">
      <c r="B52" s="51" t="s">
        <v>191</v>
      </c>
      <c r="C52" s="47" t="s">
        <v>192</v>
      </c>
      <c r="D52" s="19" t="s">
        <v>193</v>
      </c>
      <c r="E52" s="19">
        <v>11061820001</v>
      </c>
      <c r="F52" s="27" t="s">
        <v>71</v>
      </c>
      <c r="G52" s="19" t="s">
        <v>51</v>
      </c>
      <c r="H52" s="50">
        <v>1350.9</v>
      </c>
      <c r="J52" s="67">
        <v>11030870001</v>
      </c>
      <c r="K52" s="68">
        <v>10671.13</v>
      </c>
    </row>
    <row r="53" spans="2:11">
      <c r="B53" s="17" t="s">
        <v>194</v>
      </c>
      <c r="C53" s="17" t="s">
        <v>195</v>
      </c>
      <c r="D53" s="17" t="s">
        <v>196</v>
      </c>
      <c r="E53" s="17">
        <v>11061720001</v>
      </c>
      <c r="F53" s="17" t="s">
        <v>55</v>
      </c>
      <c r="G53" s="17" t="s">
        <v>51</v>
      </c>
      <c r="H53" s="39">
        <v>511.7499999999946</v>
      </c>
      <c r="J53" s="67">
        <v>11030880001</v>
      </c>
      <c r="K53" s="68">
        <v>2361.6299999999974</v>
      </c>
    </row>
    <row r="54" spans="2:11">
      <c r="B54" s="17" t="s">
        <v>197</v>
      </c>
      <c r="C54" s="17" t="s">
        <v>198</v>
      </c>
      <c r="D54" s="17" t="s">
        <v>161</v>
      </c>
      <c r="E54" s="17">
        <v>11010370001</v>
      </c>
      <c r="F54" s="17" t="s">
        <v>55</v>
      </c>
      <c r="G54" s="17" t="s">
        <v>51</v>
      </c>
      <c r="H54" s="39">
        <v>512.94000000000005</v>
      </c>
      <c r="J54" s="67">
        <v>11030890001</v>
      </c>
      <c r="K54" s="68">
        <v>1214.3200000000015</v>
      </c>
    </row>
    <row r="55" spans="2:11">
      <c r="B55" s="42" t="s">
        <v>199</v>
      </c>
      <c r="C55" s="22" t="s">
        <v>200</v>
      </c>
      <c r="D55" s="17" t="s">
        <v>201</v>
      </c>
      <c r="E55" s="17">
        <v>11030890001</v>
      </c>
      <c r="F55" s="20" t="s">
        <v>25</v>
      </c>
      <c r="G55" s="17" t="s">
        <v>26</v>
      </c>
      <c r="H55" s="39">
        <v>1214.3200000000015</v>
      </c>
      <c r="J55" s="67">
        <v>11030900001</v>
      </c>
      <c r="K55" s="68">
        <v>1937.6399999999999</v>
      </c>
    </row>
    <row r="56" spans="2:11">
      <c r="B56" s="17" t="s">
        <v>202</v>
      </c>
      <c r="C56" s="17" t="s">
        <v>203</v>
      </c>
      <c r="D56" s="17" t="s">
        <v>204</v>
      </c>
      <c r="E56" s="17">
        <v>11080230001</v>
      </c>
      <c r="F56" s="20" t="s">
        <v>25</v>
      </c>
      <c r="G56" s="17" t="s">
        <v>26</v>
      </c>
      <c r="H56" s="39">
        <v>1181.8</v>
      </c>
      <c r="J56" s="67">
        <v>11040040001</v>
      </c>
      <c r="K56" s="68">
        <v>7332.6900000000078</v>
      </c>
    </row>
    <row r="57" spans="2:11">
      <c r="B57" s="42" t="s">
        <v>210</v>
      </c>
      <c r="C57" s="22" t="s">
        <v>211</v>
      </c>
      <c r="D57" s="17" t="s">
        <v>212</v>
      </c>
      <c r="E57" s="17">
        <v>11030730001</v>
      </c>
      <c r="F57" s="20" t="s">
        <v>31</v>
      </c>
      <c r="G57" s="17" t="s">
        <v>26</v>
      </c>
      <c r="H57" s="39">
        <v>1127.3600000000001</v>
      </c>
      <c r="J57" s="67">
        <v>11040130001</v>
      </c>
      <c r="K57" s="68">
        <v>3996.0100000000016</v>
      </c>
    </row>
    <row r="58" spans="2:11">
      <c r="B58" s="42" t="s">
        <v>218</v>
      </c>
      <c r="C58" s="22" t="s">
        <v>219</v>
      </c>
      <c r="D58" s="17" t="s">
        <v>41</v>
      </c>
      <c r="E58" s="17">
        <v>11030870001</v>
      </c>
      <c r="F58" s="20" t="s">
        <v>35</v>
      </c>
      <c r="G58" s="17" t="s">
        <v>26</v>
      </c>
      <c r="H58" s="39">
        <v>6353.14</v>
      </c>
      <c r="J58" s="67">
        <v>11040140001</v>
      </c>
      <c r="K58" s="68">
        <v>1226.3299999999986</v>
      </c>
    </row>
    <row r="59" spans="2:11">
      <c r="B59" s="42" t="s">
        <v>220</v>
      </c>
      <c r="C59" s="22" t="s">
        <v>221</v>
      </c>
      <c r="D59" s="17" t="s">
        <v>222</v>
      </c>
      <c r="E59" s="17">
        <v>11062050001</v>
      </c>
      <c r="F59" s="20" t="s">
        <v>59</v>
      </c>
      <c r="G59" s="17" t="s">
        <v>51</v>
      </c>
      <c r="H59" s="39">
        <v>982.9</v>
      </c>
      <c r="J59" s="67">
        <v>11040160001</v>
      </c>
      <c r="K59" s="68">
        <v>5354.4</v>
      </c>
    </row>
    <row r="60" spans="2:11">
      <c r="B60" s="17" t="s">
        <v>223</v>
      </c>
      <c r="C60" s="17" t="s">
        <v>224</v>
      </c>
      <c r="D60" s="17" t="s">
        <v>225</v>
      </c>
      <c r="E60" s="17">
        <v>11030820001</v>
      </c>
      <c r="F60" s="20" t="s">
        <v>45</v>
      </c>
      <c r="G60" s="17" t="s">
        <v>46</v>
      </c>
      <c r="H60" s="39">
        <v>973.61</v>
      </c>
      <c r="J60" s="67">
        <v>11040170001</v>
      </c>
      <c r="K60" s="68">
        <v>5525.7199999999957</v>
      </c>
    </row>
    <row r="61" spans="2:11">
      <c r="B61" s="42" t="s">
        <v>226</v>
      </c>
      <c r="C61" s="22" t="s">
        <v>227</v>
      </c>
      <c r="D61" s="17" t="s">
        <v>74</v>
      </c>
      <c r="E61" s="17">
        <v>11061770001</v>
      </c>
      <c r="F61" s="20" t="s">
        <v>71</v>
      </c>
      <c r="G61" s="17" t="s">
        <v>51</v>
      </c>
      <c r="H61" s="39">
        <v>969.07999999999993</v>
      </c>
      <c r="J61" s="67">
        <v>11060700001</v>
      </c>
      <c r="K61" s="68">
        <v>1655.3800000000267</v>
      </c>
    </row>
    <row r="62" spans="2:11">
      <c r="B62" s="17" t="s">
        <v>228</v>
      </c>
      <c r="C62" s="17" t="s">
        <v>229</v>
      </c>
      <c r="D62" s="17" t="s">
        <v>38</v>
      </c>
      <c r="E62" s="17">
        <v>11040040001</v>
      </c>
      <c r="F62" s="20" t="s">
        <v>31</v>
      </c>
      <c r="G62" s="17" t="s">
        <v>26</v>
      </c>
      <c r="H62" s="39">
        <v>953.32000000000676</v>
      </c>
      <c r="J62" s="67">
        <v>11060710001</v>
      </c>
      <c r="K62" s="68">
        <v>1808.9100000000101</v>
      </c>
    </row>
    <row r="63" spans="2:11">
      <c r="B63" s="42" t="s">
        <v>230</v>
      </c>
      <c r="C63" s="22" t="s">
        <v>231</v>
      </c>
      <c r="D63" s="17" t="s">
        <v>153</v>
      </c>
      <c r="E63" s="17">
        <v>11030770001</v>
      </c>
      <c r="F63" s="20" t="s">
        <v>25</v>
      </c>
      <c r="G63" s="17" t="s">
        <v>26</v>
      </c>
      <c r="H63" s="39">
        <v>926.34999999999127</v>
      </c>
      <c r="J63" s="67">
        <v>11060800001</v>
      </c>
      <c r="K63" s="68">
        <v>116.55</v>
      </c>
    </row>
    <row r="64" spans="2:11">
      <c r="B64" s="42" t="s">
        <v>232</v>
      </c>
      <c r="C64" s="22" t="s">
        <v>233</v>
      </c>
      <c r="D64" s="17" t="s">
        <v>234</v>
      </c>
      <c r="E64" s="17">
        <v>11060710001</v>
      </c>
      <c r="F64" s="20" t="s">
        <v>35</v>
      </c>
      <c r="G64" s="17" t="s">
        <v>26</v>
      </c>
      <c r="H64" s="39">
        <v>1808.9100000000101</v>
      </c>
      <c r="J64" s="67">
        <v>11061200001</v>
      </c>
      <c r="K64" s="68">
        <v>1415.6500000000008</v>
      </c>
    </row>
    <row r="65" spans="2:11">
      <c r="B65" s="17" t="s">
        <v>235</v>
      </c>
      <c r="C65" s="17" t="s">
        <v>236</v>
      </c>
      <c r="D65" s="17" t="s">
        <v>237</v>
      </c>
      <c r="E65" s="17">
        <v>11062670001</v>
      </c>
      <c r="F65" s="17" t="s">
        <v>50</v>
      </c>
      <c r="G65" s="17" t="s">
        <v>51</v>
      </c>
      <c r="H65" s="39">
        <v>921.0600000000004</v>
      </c>
      <c r="J65" s="67">
        <v>11061390001</v>
      </c>
      <c r="K65" s="68">
        <v>702.73000000000684</v>
      </c>
    </row>
    <row r="66" spans="2:11">
      <c r="B66" s="42" t="s">
        <v>238</v>
      </c>
      <c r="C66" s="22" t="s">
        <v>239</v>
      </c>
      <c r="D66" s="17" t="s">
        <v>240</v>
      </c>
      <c r="E66" s="17">
        <v>11062830001</v>
      </c>
      <c r="F66" s="20" t="s">
        <v>25</v>
      </c>
      <c r="G66" s="17" t="s">
        <v>26</v>
      </c>
      <c r="H66" s="39">
        <v>907</v>
      </c>
      <c r="J66" s="67">
        <v>11061400001</v>
      </c>
      <c r="K66" s="68">
        <v>1309.3299999999908</v>
      </c>
    </row>
    <row r="67" spans="2:11">
      <c r="B67" s="41" t="s">
        <v>241</v>
      </c>
      <c r="C67" s="22" t="s">
        <v>242</v>
      </c>
      <c r="D67" s="17" t="s">
        <v>196</v>
      </c>
      <c r="E67" s="17">
        <v>11061720001</v>
      </c>
      <c r="F67" s="20" t="s">
        <v>55</v>
      </c>
      <c r="G67" s="17" t="s">
        <v>51</v>
      </c>
      <c r="H67" s="39">
        <v>684.67</v>
      </c>
      <c r="J67" s="67">
        <v>11061430001</v>
      </c>
      <c r="K67" s="68">
        <v>2737.4200000000169</v>
      </c>
    </row>
    <row r="68" spans="2:11">
      <c r="B68" s="42" t="s">
        <v>243</v>
      </c>
      <c r="C68" s="22" t="s">
        <v>244</v>
      </c>
      <c r="D68" s="17" t="s">
        <v>245</v>
      </c>
      <c r="E68" s="17">
        <v>11010170001</v>
      </c>
      <c r="F68" s="20" t="s">
        <v>63</v>
      </c>
      <c r="G68" s="17" t="s">
        <v>26</v>
      </c>
      <c r="H68" s="39">
        <v>899.14999999999964</v>
      </c>
      <c r="J68" s="67">
        <v>11061480001</v>
      </c>
      <c r="K68" s="68">
        <v>2732.5200000000114</v>
      </c>
    </row>
    <row r="69" spans="2:11">
      <c r="B69" s="17" t="s">
        <v>246</v>
      </c>
      <c r="C69" s="17" t="s">
        <v>247</v>
      </c>
      <c r="D69" s="17" t="s">
        <v>196</v>
      </c>
      <c r="E69" s="17">
        <v>11061720001</v>
      </c>
      <c r="F69" s="17" t="s">
        <v>55</v>
      </c>
      <c r="G69" s="17" t="s">
        <v>51</v>
      </c>
      <c r="H69" s="39">
        <v>1308</v>
      </c>
      <c r="J69" s="67">
        <v>11061490001</v>
      </c>
      <c r="K69" s="68">
        <v>1992.75</v>
      </c>
    </row>
    <row r="70" spans="2:11">
      <c r="B70" s="17" t="s">
        <v>248</v>
      </c>
      <c r="C70" s="17" t="s">
        <v>249</v>
      </c>
      <c r="D70" s="17" t="s">
        <v>196</v>
      </c>
      <c r="E70" s="17">
        <v>11061720001</v>
      </c>
      <c r="F70" s="17" t="s">
        <v>55</v>
      </c>
      <c r="G70" s="17" t="s">
        <v>51</v>
      </c>
      <c r="H70" s="39">
        <v>409.57999999999993</v>
      </c>
      <c r="J70" s="67">
        <v>11061720001</v>
      </c>
      <c r="K70" s="68">
        <v>19464.639999999956</v>
      </c>
    </row>
    <row r="71" spans="2:11">
      <c r="B71" s="51" t="s">
        <v>250</v>
      </c>
      <c r="C71" s="47" t="s">
        <v>251</v>
      </c>
      <c r="D71" s="19" t="s">
        <v>252</v>
      </c>
      <c r="E71" s="19">
        <v>11062280001</v>
      </c>
      <c r="F71" s="27" t="s">
        <v>50</v>
      </c>
      <c r="G71" s="19" t="s">
        <v>51</v>
      </c>
      <c r="H71" s="50">
        <v>869.31000000000131</v>
      </c>
      <c r="J71" s="67">
        <v>11061770001</v>
      </c>
      <c r="K71" s="68">
        <v>4603.1400000000012</v>
      </c>
    </row>
    <row r="72" spans="2:11">
      <c r="B72" s="17" t="s">
        <v>253</v>
      </c>
      <c r="C72" s="17" t="s">
        <v>254</v>
      </c>
      <c r="D72" s="17" t="s">
        <v>196</v>
      </c>
      <c r="E72" s="17">
        <v>11061720001</v>
      </c>
      <c r="F72" s="17" t="s">
        <v>55</v>
      </c>
      <c r="G72" s="17" t="s">
        <v>51</v>
      </c>
      <c r="H72" s="39">
        <v>746</v>
      </c>
      <c r="J72" s="67">
        <v>11061810001</v>
      </c>
      <c r="K72" s="68">
        <v>678.6</v>
      </c>
    </row>
    <row r="73" spans="2:11">
      <c r="B73" s="17" t="s">
        <v>255</v>
      </c>
      <c r="C73" s="17" t="s">
        <v>256</v>
      </c>
      <c r="D73" s="17" t="s">
        <v>257</v>
      </c>
      <c r="E73" s="17">
        <v>11062760001</v>
      </c>
      <c r="F73" s="20" t="s">
        <v>63</v>
      </c>
      <c r="G73" s="17" t="s">
        <v>26</v>
      </c>
      <c r="H73" s="39">
        <v>857.75</v>
      </c>
      <c r="J73" s="67">
        <v>11061820001</v>
      </c>
      <c r="K73" s="68">
        <v>1350.9</v>
      </c>
    </row>
    <row r="74" spans="2:11">
      <c r="B74" s="19" t="s">
        <v>258</v>
      </c>
      <c r="C74" s="19" t="s">
        <v>259</v>
      </c>
      <c r="D74" s="19" t="s">
        <v>196</v>
      </c>
      <c r="E74" s="19">
        <v>11061720001</v>
      </c>
      <c r="F74" s="19" t="s">
        <v>55</v>
      </c>
      <c r="G74" s="19" t="s">
        <v>51</v>
      </c>
      <c r="H74" s="50">
        <v>130.75999999998382</v>
      </c>
      <c r="J74" s="67">
        <v>11061830001</v>
      </c>
      <c r="K74" s="68">
        <v>500</v>
      </c>
    </row>
    <row r="75" spans="2:11">
      <c r="B75" s="17" t="s">
        <v>260</v>
      </c>
      <c r="C75" s="17" t="s">
        <v>261</v>
      </c>
      <c r="D75" s="17" t="s">
        <v>262</v>
      </c>
      <c r="E75" s="17">
        <v>11062020001</v>
      </c>
      <c r="F75" s="17" t="s">
        <v>55</v>
      </c>
      <c r="G75" s="17" t="s">
        <v>51</v>
      </c>
      <c r="H75" s="39">
        <v>891.31000000001222</v>
      </c>
      <c r="J75" s="67">
        <v>11061860001</v>
      </c>
      <c r="K75" s="68">
        <v>4993</v>
      </c>
    </row>
    <row r="76" spans="2:11">
      <c r="B76" s="17" t="s">
        <v>263</v>
      </c>
      <c r="C76" s="17" t="s">
        <v>264</v>
      </c>
      <c r="D76" s="17" t="s">
        <v>265</v>
      </c>
      <c r="E76" s="17">
        <v>11030790001</v>
      </c>
      <c r="F76" s="17" t="s">
        <v>55</v>
      </c>
      <c r="G76" s="17" t="s">
        <v>51</v>
      </c>
      <c r="H76" s="39">
        <v>3186.12</v>
      </c>
      <c r="J76" s="67">
        <v>11061870001</v>
      </c>
      <c r="K76" s="68">
        <v>4963.6099999999997</v>
      </c>
    </row>
    <row r="77" spans="2:11">
      <c r="B77" s="17" t="s">
        <v>266</v>
      </c>
      <c r="C77" s="17" t="s">
        <v>267</v>
      </c>
      <c r="D77" s="17" t="s">
        <v>196</v>
      </c>
      <c r="E77" s="17">
        <v>11061720001</v>
      </c>
      <c r="F77" s="17" t="s">
        <v>55</v>
      </c>
      <c r="G77" s="17" t="s">
        <v>51</v>
      </c>
      <c r="H77" s="39">
        <v>777.2</v>
      </c>
      <c r="J77" s="67">
        <v>11061880001</v>
      </c>
      <c r="K77" s="68">
        <v>4253.96</v>
      </c>
    </row>
    <row r="78" spans="2:11">
      <c r="B78" s="41" t="s">
        <v>268</v>
      </c>
      <c r="C78" s="22" t="s">
        <v>269</v>
      </c>
      <c r="D78" s="17" t="s">
        <v>196</v>
      </c>
      <c r="E78" s="17">
        <v>11061720001</v>
      </c>
      <c r="F78" s="20" t="s">
        <v>55</v>
      </c>
      <c r="G78" s="17" t="s">
        <v>51</v>
      </c>
      <c r="H78" s="39">
        <v>570.699999999998</v>
      </c>
      <c r="J78" s="67">
        <v>11061980001</v>
      </c>
      <c r="K78" s="68">
        <v>467.37999999999965</v>
      </c>
    </row>
    <row r="79" spans="2:11">
      <c r="B79" s="17" t="s">
        <v>277</v>
      </c>
      <c r="C79" s="17" t="s">
        <v>278</v>
      </c>
      <c r="D79" s="17" t="s">
        <v>196</v>
      </c>
      <c r="E79" s="17">
        <v>11061720001</v>
      </c>
      <c r="F79" s="20" t="s">
        <v>55</v>
      </c>
      <c r="G79" s="17" t="s">
        <v>51</v>
      </c>
      <c r="H79" s="39">
        <v>419.84</v>
      </c>
      <c r="J79" s="67">
        <v>11062020001</v>
      </c>
      <c r="K79" s="68">
        <v>990.54000000001224</v>
      </c>
    </row>
    <row r="80" spans="2:11">
      <c r="B80" s="17" t="s">
        <v>279</v>
      </c>
      <c r="C80" s="17" t="s">
        <v>280</v>
      </c>
      <c r="D80" s="17" t="s">
        <v>222</v>
      </c>
      <c r="E80" s="17">
        <v>11062050001</v>
      </c>
      <c r="F80" s="17" t="s">
        <v>59</v>
      </c>
      <c r="G80" s="17" t="s">
        <v>51</v>
      </c>
      <c r="H80" s="39">
        <v>742.41</v>
      </c>
      <c r="J80" s="67">
        <v>11062050001</v>
      </c>
      <c r="K80" s="68">
        <v>1773.71</v>
      </c>
    </row>
    <row r="81" spans="2:11">
      <c r="B81" s="41" t="s">
        <v>283</v>
      </c>
      <c r="C81" s="22" t="s">
        <v>284</v>
      </c>
      <c r="D81" s="17" t="s">
        <v>135</v>
      </c>
      <c r="E81" s="17">
        <v>11061480001</v>
      </c>
      <c r="F81" s="20" t="s">
        <v>25</v>
      </c>
      <c r="G81" s="17" t="s">
        <v>26</v>
      </c>
      <c r="H81" s="45">
        <v>735.27000000001146</v>
      </c>
      <c r="J81" s="67">
        <v>11062160001</v>
      </c>
      <c r="K81" s="68">
        <v>430.66999999999825</v>
      </c>
    </row>
    <row r="82" spans="2:11">
      <c r="B82" s="42" t="s">
        <v>285</v>
      </c>
      <c r="C82" s="22" t="s">
        <v>286</v>
      </c>
      <c r="D82" s="17" t="s">
        <v>287</v>
      </c>
      <c r="E82" s="17">
        <v>11080400001</v>
      </c>
      <c r="F82" s="20" t="s">
        <v>55</v>
      </c>
      <c r="G82" s="17" t="s">
        <v>51</v>
      </c>
      <c r="H82" s="39">
        <v>717.59</v>
      </c>
      <c r="J82" s="67">
        <v>11062270001</v>
      </c>
      <c r="K82" s="68">
        <v>1898.53</v>
      </c>
    </row>
    <row r="83" spans="2:11">
      <c r="B83" s="41" t="s">
        <v>288</v>
      </c>
      <c r="C83" s="22" t="s">
        <v>289</v>
      </c>
      <c r="D83" s="17" t="s">
        <v>290</v>
      </c>
      <c r="E83" s="17">
        <v>11061390001</v>
      </c>
      <c r="F83" s="20" t="s">
        <v>71</v>
      </c>
      <c r="G83" s="17" t="s">
        <v>51</v>
      </c>
      <c r="H83" s="45">
        <v>702.73000000000684</v>
      </c>
      <c r="J83" s="67">
        <v>11062280001</v>
      </c>
      <c r="K83" s="68">
        <v>1018.4500000000013</v>
      </c>
    </row>
    <row r="84" spans="2:11">
      <c r="B84" s="17" t="s">
        <v>291</v>
      </c>
      <c r="C84" s="17" t="s">
        <v>292</v>
      </c>
      <c r="D84" s="17" t="s">
        <v>293</v>
      </c>
      <c r="E84" s="17">
        <v>1201071</v>
      </c>
      <c r="F84" s="17" t="s">
        <v>55</v>
      </c>
      <c r="G84" s="17" t="s">
        <v>51</v>
      </c>
      <c r="H84" s="39">
        <v>488</v>
      </c>
      <c r="J84" s="67">
        <v>11062350001</v>
      </c>
      <c r="K84" s="68">
        <v>2337.17</v>
      </c>
    </row>
    <row r="85" spans="2:11">
      <c r="B85" s="17" t="s">
        <v>294</v>
      </c>
      <c r="C85" s="17" t="s">
        <v>295</v>
      </c>
      <c r="D85" s="17" t="s">
        <v>296</v>
      </c>
      <c r="E85" s="17">
        <v>11080170001</v>
      </c>
      <c r="F85" s="17" t="s">
        <v>50</v>
      </c>
      <c r="G85" s="17" t="s">
        <v>51</v>
      </c>
      <c r="H85" s="39">
        <v>698.72999999999593</v>
      </c>
      <c r="J85" s="67">
        <v>11062450001</v>
      </c>
      <c r="K85" s="68">
        <v>1011.7</v>
      </c>
    </row>
    <row r="86" spans="2:11">
      <c r="B86" s="42" t="s">
        <v>297</v>
      </c>
      <c r="C86" s="22" t="s">
        <v>298</v>
      </c>
      <c r="D86" s="17" t="s">
        <v>132</v>
      </c>
      <c r="E86" s="17">
        <v>11040160001</v>
      </c>
      <c r="F86" s="20" t="s">
        <v>63</v>
      </c>
      <c r="G86" s="17" t="s">
        <v>26</v>
      </c>
      <c r="H86" s="39">
        <v>697</v>
      </c>
      <c r="J86" s="67">
        <v>11062600001</v>
      </c>
      <c r="K86" s="68">
        <v>136.60999999999967</v>
      </c>
    </row>
    <row r="87" spans="2:11">
      <c r="B87" s="42" t="s">
        <v>299</v>
      </c>
      <c r="C87" s="22" t="s">
        <v>300</v>
      </c>
      <c r="D87" s="17" t="s">
        <v>132</v>
      </c>
      <c r="E87" s="17">
        <v>11040160001</v>
      </c>
      <c r="F87" s="20" t="s">
        <v>63</v>
      </c>
      <c r="G87" s="17" t="s">
        <v>26</v>
      </c>
      <c r="H87" s="39">
        <v>693.25999999999931</v>
      </c>
      <c r="J87" s="67">
        <v>11062630001</v>
      </c>
      <c r="K87" s="68">
        <v>1872.3899999999999</v>
      </c>
    </row>
    <row r="88" spans="2:11">
      <c r="B88" s="17" t="s">
        <v>308</v>
      </c>
      <c r="C88" s="17" t="s">
        <v>309</v>
      </c>
      <c r="D88" s="17" t="s">
        <v>196</v>
      </c>
      <c r="E88" s="17">
        <v>11061720001</v>
      </c>
      <c r="F88" s="20" t="s">
        <v>55</v>
      </c>
      <c r="G88" s="17" t="s">
        <v>51</v>
      </c>
      <c r="H88" s="39">
        <v>760.0399999999936</v>
      </c>
      <c r="J88" s="67">
        <v>11062640001</v>
      </c>
      <c r="K88" s="68">
        <v>503.76000000001625</v>
      </c>
    </row>
    <row r="89" spans="2:11">
      <c r="B89" s="41" t="s">
        <v>310</v>
      </c>
      <c r="C89" s="22" t="s">
        <v>311</v>
      </c>
      <c r="D89" s="17" t="s">
        <v>196</v>
      </c>
      <c r="E89" s="17">
        <v>11061720001</v>
      </c>
      <c r="F89" s="20" t="s">
        <v>55</v>
      </c>
      <c r="G89" s="17" t="s">
        <v>51</v>
      </c>
      <c r="H89" s="39">
        <v>471.27999999999884</v>
      </c>
      <c r="J89" s="67">
        <v>11062650001</v>
      </c>
      <c r="K89" s="68">
        <v>406.5</v>
      </c>
    </row>
    <row r="90" spans="2:11">
      <c r="B90" s="17" t="s">
        <v>314</v>
      </c>
      <c r="C90" s="21" t="s">
        <v>315</v>
      </c>
      <c r="D90" s="17" t="s">
        <v>196</v>
      </c>
      <c r="E90" s="17">
        <v>11061720001</v>
      </c>
      <c r="F90" s="17" t="s">
        <v>55</v>
      </c>
      <c r="G90" s="17" t="s">
        <v>51</v>
      </c>
      <c r="H90" s="39">
        <v>800</v>
      </c>
      <c r="J90" s="67">
        <v>11062660001</v>
      </c>
      <c r="K90" s="68">
        <v>607.60000000000036</v>
      </c>
    </row>
    <row r="91" spans="2:11">
      <c r="B91" s="17" t="s">
        <v>316</v>
      </c>
      <c r="C91" s="17" t="s">
        <v>317</v>
      </c>
      <c r="D91" s="17" t="s">
        <v>318</v>
      </c>
      <c r="E91" s="17">
        <v>11010110001</v>
      </c>
      <c r="F91" s="17" t="s">
        <v>71</v>
      </c>
      <c r="G91" s="17" t="s">
        <v>51</v>
      </c>
      <c r="H91" s="39">
        <v>632.95000000000005</v>
      </c>
      <c r="J91" s="67">
        <v>11062670001</v>
      </c>
      <c r="K91" s="68">
        <v>921.0600000000004</v>
      </c>
    </row>
    <row r="92" spans="2:11">
      <c r="B92" s="42" t="s">
        <v>319</v>
      </c>
      <c r="C92" s="22" t="s">
        <v>320</v>
      </c>
      <c r="D92" s="17" t="s">
        <v>321</v>
      </c>
      <c r="E92" s="17">
        <v>12010580001</v>
      </c>
      <c r="F92" s="20" t="s">
        <v>25</v>
      </c>
      <c r="G92" s="17" t="s">
        <v>26</v>
      </c>
      <c r="H92" s="39">
        <v>629.36</v>
      </c>
      <c r="J92" s="67">
        <v>11062760001</v>
      </c>
      <c r="K92" s="68">
        <v>857.75</v>
      </c>
    </row>
    <row r="93" spans="2:11">
      <c r="B93" s="42" t="s">
        <v>322</v>
      </c>
      <c r="C93" s="22" t="s">
        <v>323</v>
      </c>
      <c r="D93" s="17" t="s">
        <v>116</v>
      </c>
      <c r="E93" s="17">
        <v>11030750001</v>
      </c>
      <c r="F93" s="20" t="s">
        <v>50</v>
      </c>
      <c r="G93" s="17" t="s">
        <v>51</v>
      </c>
      <c r="H93" s="39">
        <v>616.09000000002914</v>
      </c>
      <c r="J93" s="67">
        <v>11062770001</v>
      </c>
      <c r="K93" s="68">
        <v>90</v>
      </c>
    </row>
    <row r="94" spans="2:11">
      <c r="B94" s="51" t="s">
        <v>324</v>
      </c>
      <c r="C94" s="47" t="s">
        <v>325</v>
      </c>
      <c r="D94" s="19" t="s">
        <v>122</v>
      </c>
      <c r="E94" s="19">
        <v>11040130001</v>
      </c>
      <c r="F94" s="27" t="s">
        <v>59</v>
      </c>
      <c r="G94" s="19" t="s">
        <v>51</v>
      </c>
      <c r="H94" s="50">
        <v>611.65</v>
      </c>
      <c r="J94" s="67">
        <v>11062830001</v>
      </c>
      <c r="K94" s="68">
        <v>907</v>
      </c>
    </row>
    <row r="95" spans="2:11">
      <c r="B95" s="17" t="s">
        <v>326</v>
      </c>
      <c r="C95" s="17" t="s">
        <v>327</v>
      </c>
      <c r="D95" s="17" t="s">
        <v>328</v>
      </c>
      <c r="E95" s="17">
        <v>11062660001</v>
      </c>
      <c r="F95" s="17" t="s">
        <v>71</v>
      </c>
      <c r="G95" s="17" t="s">
        <v>51</v>
      </c>
      <c r="H95" s="39">
        <v>607.60000000000036</v>
      </c>
      <c r="J95" s="67">
        <v>11062850001</v>
      </c>
      <c r="K95" s="68">
        <v>178.02999999999997</v>
      </c>
    </row>
    <row r="96" spans="2:11">
      <c r="B96" s="42" t="s">
        <v>329</v>
      </c>
      <c r="C96" s="22" t="s">
        <v>330</v>
      </c>
      <c r="D96" s="17" t="s">
        <v>331</v>
      </c>
      <c r="E96" s="17">
        <v>11061810001</v>
      </c>
      <c r="F96" s="20" t="s">
        <v>71</v>
      </c>
      <c r="G96" s="17" t="s">
        <v>51</v>
      </c>
      <c r="H96" s="39">
        <v>605.29999999999995</v>
      </c>
      <c r="J96" s="67">
        <v>11062940001</v>
      </c>
      <c r="K96" s="68">
        <v>6.9999999999990177</v>
      </c>
    </row>
    <row r="97" spans="2:11">
      <c r="B97" s="17" t="s">
        <v>332</v>
      </c>
      <c r="C97" s="17" t="s">
        <v>333</v>
      </c>
      <c r="D97" s="17" t="s">
        <v>161</v>
      </c>
      <c r="E97" s="17">
        <v>11010370001</v>
      </c>
      <c r="F97" s="20" t="s">
        <v>55</v>
      </c>
      <c r="G97" s="17" t="s">
        <v>51</v>
      </c>
      <c r="H97" s="39">
        <v>199.16000000000003</v>
      </c>
      <c r="J97" s="67">
        <v>11080150001</v>
      </c>
      <c r="K97" s="68">
        <v>1494</v>
      </c>
    </row>
    <row r="98" spans="2:11">
      <c r="B98" s="17" t="s">
        <v>334</v>
      </c>
      <c r="C98" s="17" t="s">
        <v>335</v>
      </c>
      <c r="D98" s="17" t="s">
        <v>138</v>
      </c>
      <c r="E98" s="17">
        <v>11030850001</v>
      </c>
      <c r="F98" s="17" t="s">
        <v>31</v>
      </c>
      <c r="G98" s="17" t="s">
        <v>26</v>
      </c>
      <c r="H98" s="39">
        <v>586.17999999998938</v>
      </c>
      <c r="J98" s="67">
        <v>11080170001</v>
      </c>
      <c r="K98" s="68">
        <v>698.72999999999593</v>
      </c>
    </row>
    <row r="99" spans="2:11">
      <c r="B99" s="17" t="s">
        <v>336</v>
      </c>
      <c r="C99" s="17" t="s">
        <v>337</v>
      </c>
      <c r="D99" s="17" t="s">
        <v>196</v>
      </c>
      <c r="E99" s="17">
        <v>11061720001</v>
      </c>
      <c r="F99" s="20" t="s">
        <v>55</v>
      </c>
      <c r="G99" s="17" t="s">
        <v>51</v>
      </c>
      <c r="H99" s="39">
        <v>799.19999999999982</v>
      </c>
      <c r="J99" s="67">
        <v>11080230001</v>
      </c>
      <c r="K99" s="68">
        <v>1181.8</v>
      </c>
    </row>
    <row r="100" spans="2:11">
      <c r="B100" s="17" t="s">
        <v>338</v>
      </c>
      <c r="C100" s="17" t="s">
        <v>339</v>
      </c>
      <c r="D100" s="17" t="s">
        <v>196</v>
      </c>
      <c r="E100" s="17">
        <v>11061720001</v>
      </c>
      <c r="F100" s="20" t="s">
        <v>55</v>
      </c>
      <c r="G100" s="17" t="s">
        <v>51</v>
      </c>
      <c r="H100" s="39">
        <v>675.41999999999916</v>
      </c>
      <c r="J100" s="67">
        <v>11080370001</v>
      </c>
      <c r="K100" s="68">
        <v>3320.45</v>
      </c>
    </row>
    <row r="101" spans="2:11">
      <c r="B101" s="17" t="s">
        <v>340</v>
      </c>
      <c r="C101" s="17" t="s">
        <v>341</v>
      </c>
      <c r="D101" s="17" t="s">
        <v>342</v>
      </c>
      <c r="E101" s="17">
        <v>11010140001</v>
      </c>
      <c r="F101" s="20" t="s">
        <v>71</v>
      </c>
      <c r="G101" s="17" t="s">
        <v>51</v>
      </c>
      <c r="H101" s="39">
        <v>538.79000000000087</v>
      </c>
      <c r="J101" s="67">
        <v>11080400001</v>
      </c>
      <c r="K101" s="68">
        <v>717.59</v>
      </c>
    </row>
    <row r="102" spans="2:11">
      <c r="B102" s="42" t="s">
        <v>343</v>
      </c>
      <c r="C102" s="22" t="s">
        <v>344</v>
      </c>
      <c r="D102" s="17" t="s">
        <v>58</v>
      </c>
      <c r="E102" s="17">
        <v>1104150001</v>
      </c>
      <c r="F102" s="20" t="s">
        <v>59</v>
      </c>
      <c r="G102" s="17" t="s">
        <v>51</v>
      </c>
      <c r="H102" s="39">
        <v>520</v>
      </c>
      <c r="J102" s="67">
        <v>11080440001</v>
      </c>
      <c r="K102" s="68">
        <v>917.37999999999988</v>
      </c>
    </row>
    <row r="103" spans="2:11">
      <c r="B103" s="17" t="s">
        <v>345</v>
      </c>
      <c r="C103" s="17" t="s">
        <v>346</v>
      </c>
      <c r="D103" s="17" t="s">
        <v>196</v>
      </c>
      <c r="E103" s="17">
        <v>11061720001</v>
      </c>
      <c r="F103" s="20" t="s">
        <v>55</v>
      </c>
      <c r="G103" s="17" t="s">
        <v>51</v>
      </c>
      <c r="H103" s="39">
        <v>659.73999999999978</v>
      </c>
      <c r="J103" s="67">
        <v>11080500001</v>
      </c>
      <c r="K103" s="68">
        <v>405.7</v>
      </c>
    </row>
    <row r="104" spans="2:11">
      <c r="B104" s="17" t="s">
        <v>347</v>
      </c>
      <c r="C104" s="17" t="s">
        <v>348</v>
      </c>
      <c r="D104" s="17" t="s">
        <v>196</v>
      </c>
      <c r="E104" s="17">
        <v>11061720001</v>
      </c>
      <c r="F104" s="20" t="s">
        <v>55</v>
      </c>
      <c r="G104" s="17" t="s">
        <v>51</v>
      </c>
      <c r="H104" s="39">
        <v>794.34</v>
      </c>
      <c r="J104" s="67">
        <v>11110340001</v>
      </c>
      <c r="K104" s="68">
        <v>489.99999999999909</v>
      </c>
    </row>
    <row r="105" spans="2:11">
      <c r="B105" s="42" t="s">
        <v>349</v>
      </c>
      <c r="C105" s="22" t="s">
        <v>350</v>
      </c>
      <c r="D105" s="17" t="s">
        <v>351</v>
      </c>
      <c r="E105" s="17">
        <v>11062640001</v>
      </c>
      <c r="F105" s="20" t="s">
        <v>50</v>
      </c>
      <c r="G105" s="17" t="s">
        <v>51</v>
      </c>
      <c r="H105" s="39">
        <v>503.76000000001625</v>
      </c>
      <c r="J105" s="67">
        <v>12010580001</v>
      </c>
      <c r="K105" s="68">
        <v>629.36</v>
      </c>
    </row>
    <row r="106" spans="2:11">
      <c r="B106" s="42" t="s">
        <v>352</v>
      </c>
      <c r="C106" s="22" t="s">
        <v>353</v>
      </c>
      <c r="D106" s="17" t="s">
        <v>354</v>
      </c>
      <c r="E106" s="17">
        <v>11110340001</v>
      </c>
      <c r="F106" s="20" t="s">
        <v>35</v>
      </c>
      <c r="G106" s="17" t="s">
        <v>26</v>
      </c>
      <c r="H106" s="39">
        <v>489.99999999999909</v>
      </c>
      <c r="J106" s="67" t="s">
        <v>1274</v>
      </c>
      <c r="K106" s="68">
        <v>244263.44000000032</v>
      </c>
    </row>
    <row r="107" spans="2:11">
      <c r="B107" s="17" t="s">
        <v>355</v>
      </c>
      <c r="C107" s="17" t="s">
        <v>356</v>
      </c>
      <c r="D107" s="17" t="s">
        <v>357</v>
      </c>
      <c r="E107" s="17">
        <v>11061830001</v>
      </c>
      <c r="F107" s="20" t="s">
        <v>71</v>
      </c>
      <c r="G107" s="17" t="s">
        <v>51</v>
      </c>
      <c r="H107" s="39">
        <v>500</v>
      </c>
    </row>
    <row r="108" spans="2:11">
      <c r="B108" s="42" t="s">
        <v>358</v>
      </c>
      <c r="C108" s="22" t="s">
        <v>359</v>
      </c>
      <c r="D108" s="17" t="s">
        <v>360</v>
      </c>
      <c r="E108" s="17">
        <v>1201017</v>
      </c>
      <c r="F108" s="20" t="s">
        <v>63</v>
      </c>
      <c r="G108" s="17" t="s">
        <v>26</v>
      </c>
      <c r="H108" s="39">
        <v>496.65</v>
      </c>
    </row>
    <row r="109" spans="2:11">
      <c r="B109" s="17" t="s">
        <v>361</v>
      </c>
      <c r="C109" s="17" t="s">
        <v>362</v>
      </c>
      <c r="D109" s="17" t="s">
        <v>363</v>
      </c>
      <c r="E109" s="17">
        <v>1201044</v>
      </c>
      <c r="F109" s="20" t="s">
        <v>25</v>
      </c>
      <c r="G109" s="17" t="s">
        <v>26</v>
      </c>
      <c r="H109" s="39">
        <v>490</v>
      </c>
    </row>
    <row r="110" spans="2:11">
      <c r="B110" s="42" t="s">
        <v>364</v>
      </c>
      <c r="C110" s="22" t="s">
        <v>365</v>
      </c>
      <c r="D110" s="17" t="s">
        <v>366</v>
      </c>
      <c r="E110" s="17">
        <v>1201007</v>
      </c>
      <c r="F110" s="20" t="s">
        <v>35</v>
      </c>
      <c r="G110" s="17" t="s">
        <v>26</v>
      </c>
      <c r="H110" s="39">
        <v>500</v>
      </c>
    </row>
    <row r="111" spans="2:11">
      <c r="B111" s="17" t="s">
        <v>367</v>
      </c>
      <c r="C111" s="17" t="s">
        <v>368</v>
      </c>
      <c r="D111" s="17" t="s">
        <v>369</v>
      </c>
      <c r="E111" s="17">
        <v>1201008</v>
      </c>
      <c r="F111" s="17" t="s">
        <v>50</v>
      </c>
      <c r="G111" s="17" t="s">
        <v>51</v>
      </c>
      <c r="H111" s="39">
        <v>488.73</v>
      </c>
    </row>
    <row r="112" spans="2:11">
      <c r="B112" s="17" t="s">
        <v>372</v>
      </c>
      <c r="C112" s="17" t="s">
        <v>373</v>
      </c>
      <c r="D112" s="17" t="s">
        <v>54</v>
      </c>
      <c r="E112" s="17">
        <v>11030860001</v>
      </c>
      <c r="F112" s="20" t="s">
        <v>55</v>
      </c>
      <c r="G112" s="17" t="s">
        <v>51</v>
      </c>
      <c r="H112" s="39">
        <v>841.30999999999949</v>
      </c>
    </row>
    <row r="113" spans="2:8">
      <c r="B113" s="42" t="s">
        <v>374</v>
      </c>
      <c r="C113" s="22" t="s">
        <v>375</v>
      </c>
      <c r="D113" s="17" t="s">
        <v>376</v>
      </c>
      <c r="E113" s="17">
        <v>1201005</v>
      </c>
      <c r="F113" s="20" t="s">
        <v>71</v>
      </c>
      <c r="G113" s="17" t="s">
        <v>51</v>
      </c>
      <c r="H113" s="39">
        <v>485.00000000000239</v>
      </c>
    </row>
    <row r="114" spans="2:8">
      <c r="B114" s="42" t="s">
        <v>377</v>
      </c>
      <c r="C114" s="22" t="s">
        <v>378</v>
      </c>
      <c r="D114" s="17" t="s">
        <v>379</v>
      </c>
      <c r="E114" s="17">
        <v>11062450001</v>
      </c>
      <c r="F114" s="20" t="s">
        <v>63</v>
      </c>
      <c r="G114" s="17" t="s">
        <v>26</v>
      </c>
      <c r="H114" s="39">
        <v>482.94000000000005</v>
      </c>
    </row>
    <row r="115" spans="2:8">
      <c r="B115" s="17" t="s">
        <v>380</v>
      </c>
      <c r="C115" s="17" t="s">
        <v>381</v>
      </c>
      <c r="D115" s="17" t="s">
        <v>38</v>
      </c>
      <c r="E115" s="17">
        <v>11040040001</v>
      </c>
      <c r="F115" s="17" t="s">
        <v>31</v>
      </c>
      <c r="G115" s="17" t="s">
        <v>26</v>
      </c>
      <c r="H115" s="39">
        <v>479</v>
      </c>
    </row>
    <row r="116" spans="2:8">
      <c r="B116" s="42" t="s">
        <v>382</v>
      </c>
      <c r="C116" s="22" t="s">
        <v>383</v>
      </c>
      <c r="D116" s="17" t="s">
        <v>384</v>
      </c>
      <c r="E116" s="17">
        <v>11062630001</v>
      </c>
      <c r="F116" s="20" t="s">
        <v>55</v>
      </c>
      <c r="G116" s="17" t="s">
        <v>51</v>
      </c>
      <c r="H116" s="39">
        <v>858.23</v>
      </c>
    </row>
    <row r="117" spans="2:8">
      <c r="B117" s="41" t="s">
        <v>385</v>
      </c>
      <c r="C117" s="22" t="s">
        <v>386</v>
      </c>
      <c r="D117" s="17" t="s">
        <v>387</v>
      </c>
      <c r="E117" s="17">
        <v>11061980001</v>
      </c>
      <c r="F117" s="20" t="s">
        <v>71</v>
      </c>
      <c r="G117" s="17" t="s">
        <v>51</v>
      </c>
      <c r="H117" s="45">
        <v>467.37999999999965</v>
      </c>
    </row>
    <row r="118" spans="2:8">
      <c r="B118" s="17" t="s">
        <v>388</v>
      </c>
      <c r="C118" s="17" t="s">
        <v>389</v>
      </c>
      <c r="D118" s="17" t="s">
        <v>390</v>
      </c>
      <c r="E118" s="17">
        <v>11061200001</v>
      </c>
      <c r="F118" s="17" t="s">
        <v>55</v>
      </c>
      <c r="G118" s="17" t="s">
        <v>51</v>
      </c>
      <c r="H118" s="39">
        <v>1415.6500000000008</v>
      </c>
    </row>
    <row r="119" spans="2:8">
      <c r="B119" s="42" t="s">
        <v>393</v>
      </c>
      <c r="C119" s="22" t="s">
        <v>394</v>
      </c>
      <c r="D119" s="17" t="s">
        <v>41</v>
      </c>
      <c r="E119" s="17">
        <v>11030870001</v>
      </c>
      <c r="F119" s="20" t="s">
        <v>35</v>
      </c>
      <c r="G119" s="17" t="s">
        <v>26</v>
      </c>
      <c r="H119" s="39">
        <v>457</v>
      </c>
    </row>
    <row r="120" spans="2:8">
      <c r="B120" s="42" t="s">
        <v>395</v>
      </c>
      <c r="C120" s="22" t="s">
        <v>396</v>
      </c>
      <c r="D120" s="17" t="s">
        <v>38</v>
      </c>
      <c r="E120" s="17">
        <v>11040040001</v>
      </c>
      <c r="F120" s="20" t="s">
        <v>31</v>
      </c>
      <c r="G120" s="17" t="s">
        <v>26</v>
      </c>
      <c r="H120" s="39">
        <v>452.26000000000113</v>
      </c>
    </row>
    <row r="121" spans="2:8">
      <c r="B121" s="17" t="s">
        <v>397</v>
      </c>
      <c r="C121" s="17" t="s">
        <v>398</v>
      </c>
      <c r="D121" s="17" t="s">
        <v>125</v>
      </c>
      <c r="E121" s="17">
        <v>11040170001</v>
      </c>
      <c r="F121" s="20" t="s">
        <v>126</v>
      </c>
      <c r="G121" s="17" t="s">
        <v>26</v>
      </c>
      <c r="H121" s="39">
        <v>2209.86</v>
      </c>
    </row>
    <row r="122" spans="2:8">
      <c r="B122" s="42" t="s">
        <v>399</v>
      </c>
      <c r="C122" s="22" t="s">
        <v>400</v>
      </c>
      <c r="D122" s="17" t="s">
        <v>161</v>
      </c>
      <c r="E122" s="17">
        <v>11010370001</v>
      </c>
      <c r="F122" s="20" t="s">
        <v>55</v>
      </c>
      <c r="G122" s="17" t="s">
        <v>51</v>
      </c>
      <c r="H122" s="39">
        <v>655.06999999999971</v>
      </c>
    </row>
    <row r="123" spans="2:8">
      <c r="B123" s="42" t="s">
        <v>401</v>
      </c>
      <c r="C123" s="22" t="s">
        <v>402</v>
      </c>
      <c r="D123" s="17" t="s">
        <v>403</v>
      </c>
      <c r="E123" s="17">
        <v>11062160001</v>
      </c>
      <c r="F123" s="20" t="s">
        <v>25</v>
      </c>
      <c r="G123" s="17" t="s">
        <v>26</v>
      </c>
      <c r="H123" s="39">
        <v>430.66999999999825</v>
      </c>
    </row>
    <row r="124" spans="2:8">
      <c r="B124" s="17" t="s">
        <v>406</v>
      </c>
      <c r="C124" s="17" t="s">
        <v>407</v>
      </c>
      <c r="D124" s="17" t="s">
        <v>58</v>
      </c>
      <c r="E124" s="17">
        <v>1104150001</v>
      </c>
      <c r="F124" s="20" t="s">
        <v>59</v>
      </c>
      <c r="G124" s="17" t="s">
        <v>51</v>
      </c>
      <c r="H124" s="39">
        <v>417.3</v>
      </c>
    </row>
    <row r="125" spans="2:8">
      <c r="B125" s="17" t="s">
        <v>408</v>
      </c>
      <c r="C125" s="17" t="s">
        <v>409</v>
      </c>
      <c r="D125" s="17" t="s">
        <v>132</v>
      </c>
      <c r="E125" s="17">
        <v>11040160001</v>
      </c>
      <c r="F125" s="20" t="s">
        <v>63</v>
      </c>
      <c r="G125" s="17" t="s">
        <v>26</v>
      </c>
      <c r="H125" s="39">
        <v>417.09999999999854</v>
      </c>
    </row>
    <row r="126" spans="2:8">
      <c r="B126" s="19" t="s">
        <v>412</v>
      </c>
      <c r="C126" s="19" t="s">
        <v>413</v>
      </c>
      <c r="D126" s="19" t="s">
        <v>414</v>
      </c>
      <c r="E126" s="19">
        <v>11030800001</v>
      </c>
      <c r="F126" s="19" t="s">
        <v>63</v>
      </c>
      <c r="G126" s="28" t="s">
        <v>26</v>
      </c>
      <c r="H126" s="50">
        <v>413.9399999999996</v>
      </c>
    </row>
    <row r="127" spans="2:8">
      <c r="B127" s="17" t="s">
        <v>418</v>
      </c>
      <c r="C127" s="17" t="s">
        <v>419</v>
      </c>
      <c r="D127" s="17" t="s">
        <v>420</v>
      </c>
      <c r="E127" s="17">
        <v>11030630001</v>
      </c>
      <c r="F127" s="20" t="s">
        <v>71</v>
      </c>
      <c r="G127" s="17" t="s">
        <v>51</v>
      </c>
      <c r="H127" s="39">
        <v>406.99999999998545</v>
      </c>
    </row>
    <row r="128" spans="2:8">
      <c r="B128" s="51" t="s">
        <v>421</v>
      </c>
      <c r="C128" s="47" t="s">
        <v>422</v>
      </c>
      <c r="D128" s="19" t="s">
        <v>423</v>
      </c>
      <c r="E128" s="19">
        <v>11062650001</v>
      </c>
      <c r="F128" s="27" t="s">
        <v>25</v>
      </c>
      <c r="G128" s="28" t="s">
        <v>26</v>
      </c>
      <c r="H128" s="50">
        <v>406.5</v>
      </c>
    </row>
    <row r="129" spans="2:8">
      <c r="B129" s="42" t="s">
        <v>424</v>
      </c>
      <c r="C129" s="22" t="s">
        <v>425</v>
      </c>
      <c r="D129" s="17" t="s">
        <v>426</v>
      </c>
      <c r="E129" s="17">
        <v>11080500001</v>
      </c>
      <c r="F129" s="20" t="s">
        <v>25</v>
      </c>
      <c r="G129" s="17" t="s">
        <v>26</v>
      </c>
      <c r="H129" s="39">
        <v>405.7</v>
      </c>
    </row>
    <row r="130" spans="2:8">
      <c r="B130" s="51" t="s">
        <v>427</v>
      </c>
      <c r="C130" s="47" t="s">
        <v>428</v>
      </c>
      <c r="D130" s="19" t="s">
        <v>196</v>
      </c>
      <c r="E130" s="19">
        <v>11061720001</v>
      </c>
      <c r="F130" s="27" t="s">
        <v>55</v>
      </c>
      <c r="G130" s="28" t="s">
        <v>51</v>
      </c>
      <c r="H130" s="50">
        <v>754.69999999999982</v>
      </c>
    </row>
    <row r="131" spans="2:8">
      <c r="B131" s="51" t="s">
        <v>432</v>
      </c>
      <c r="C131" s="47" t="s">
        <v>433</v>
      </c>
      <c r="D131" s="19" t="s">
        <v>434</v>
      </c>
      <c r="E131" s="19">
        <v>1201014</v>
      </c>
      <c r="F131" s="27" t="s">
        <v>435</v>
      </c>
      <c r="G131" s="28" t="s">
        <v>177</v>
      </c>
      <c r="H131" s="50">
        <v>367.94</v>
      </c>
    </row>
    <row r="132" spans="2:8">
      <c r="B132" s="17" t="s">
        <v>436</v>
      </c>
      <c r="C132" s="17" t="s">
        <v>437</v>
      </c>
      <c r="D132" s="17" t="s">
        <v>414</v>
      </c>
      <c r="E132" s="17">
        <v>11030800001</v>
      </c>
      <c r="F132" s="20" t="s">
        <v>63</v>
      </c>
      <c r="G132" s="17" t="s">
        <v>26</v>
      </c>
      <c r="H132" s="39">
        <v>335.42000000000053</v>
      </c>
    </row>
    <row r="133" spans="2:8">
      <c r="B133" s="17" t="s">
        <v>438</v>
      </c>
      <c r="C133" s="17" t="s">
        <v>439</v>
      </c>
      <c r="D133" s="17" t="s">
        <v>132</v>
      </c>
      <c r="E133" s="17">
        <v>11040160001</v>
      </c>
      <c r="F133" s="17" t="s">
        <v>63</v>
      </c>
      <c r="G133" s="17" t="s">
        <v>26</v>
      </c>
      <c r="H133" s="39">
        <v>328.58999999999969</v>
      </c>
    </row>
    <row r="134" spans="2:8">
      <c r="B134" s="42" t="s">
        <v>442</v>
      </c>
      <c r="C134" s="22" t="s">
        <v>443</v>
      </c>
      <c r="D134" s="17" t="s">
        <v>444</v>
      </c>
      <c r="E134" s="17">
        <v>11030810001</v>
      </c>
      <c r="F134" s="20" t="s">
        <v>31</v>
      </c>
      <c r="G134" s="17" t="s">
        <v>26</v>
      </c>
      <c r="H134" s="39">
        <v>289.65999999999997</v>
      </c>
    </row>
    <row r="135" spans="2:8">
      <c r="B135" s="42" t="s">
        <v>445</v>
      </c>
      <c r="C135" s="22" t="s">
        <v>446</v>
      </c>
      <c r="D135" s="17" t="s">
        <v>447</v>
      </c>
      <c r="E135" s="17">
        <v>11010330001</v>
      </c>
      <c r="F135" s="20" t="s">
        <v>50</v>
      </c>
      <c r="G135" s="17" t="s">
        <v>51</v>
      </c>
      <c r="H135" s="39">
        <v>287.2</v>
      </c>
    </row>
    <row r="136" spans="2:8">
      <c r="B136" s="41" t="s">
        <v>448</v>
      </c>
      <c r="C136" s="22" t="s">
        <v>449</v>
      </c>
      <c r="D136" s="17" t="s">
        <v>417</v>
      </c>
      <c r="E136" s="17">
        <v>11040140001</v>
      </c>
      <c r="F136" s="20" t="s">
        <v>59</v>
      </c>
      <c r="G136" s="17" t="s">
        <v>51</v>
      </c>
      <c r="H136" s="39">
        <v>274.3</v>
      </c>
    </row>
    <row r="137" spans="2:8">
      <c r="B137" s="42" t="s">
        <v>450</v>
      </c>
      <c r="C137" s="22" t="s">
        <v>451</v>
      </c>
      <c r="D137" s="17" t="s">
        <v>122</v>
      </c>
      <c r="E137" s="17">
        <v>11040130001</v>
      </c>
      <c r="F137" s="20" t="s">
        <v>59</v>
      </c>
      <c r="G137" s="17" t="s">
        <v>51</v>
      </c>
      <c r="H137" s="39">
        <v>268.52</v>
      </c>
    </row>
    <row r="138" spans="2:8">
      <c r="B138" s="17" t="s">
        <v>452</v>
      </c>
      <c r="C138" s="17" t="s">
        <v>453</v>
      </c>
      <c r="D138" s="17" t="s">
        <v>417</v>
      </c>
      <c r="E138" s="17">
        <v>11040140001</v>
      </c>
      <c r="F138" s="17" t="s">
        <v>59</v>
      </c>
      <c r="G138" s="26" t="s">
        <v>51</v>
      </c>
      <c r="H138" s="39">
        <v>268.21000000000004</v>
      </c>
    </row>
    <row r="139" spans="2:8">
      <c r="B139" s="42" t="s">
        <v>454</v>
      </c>
      <c r="C139" s="22" t="s">
        <v>455</v>
      </c>
      <c r="D139" s="17" t="s">
        <v>196</v>
      </c>
      <c r="E139" s="17">
        <v>11061720001</v>
      </c>
      <c r="F139" s="20" t="s">
        <v>55</v>
      </c>
      <c r="G139" s="26" t="s">
        <v>51</v>
      </c>
      <c r="H139" s="39">
        <v>142</v>
      </c>
    </row>
    <row r="140" spans="2:8">
      <c r="B140" s="51" t="s">
        <v>456</v>
      </c>
      <c r="C140" s="47" t="s">
        <v>457</v>
      </c>
      <c r="D140" s="19" t="s">
        <v>58</v>
      </c>
      <c r="E140" s="19">
        <v>1104150001</v>
      </c>
      <c r="F140" s="27" t="s">
        <v>59</v>
      </c>
      <c r="G140" s="28" t="s">
        <v>51</v>
      </c>
      <c r="H140" s="50">
        <v>264.7</v>
      </c>
    </row>
    <row r="141" spans="2:8">
      <c r="B141" s="42" t="s">
        <v>458</v>
      </c>
      <c r="C141" s="22" t="s">
        <v>459</v>
      </c>
      <c r="D141" s="17" t="s">
        <v>62</v>
      </c>
      <c r="E141" s="17">
        <v>11030660001</v>
      </c>
      <c r="F141" s="20" t="s">
        <v>63</v>
      </c>
      <c r="G141" s="17" t="s">
        <v>26</v>
      </c>
      <c r="H141" s="39">
        <v>262.05999999999949</v>
      </c>
    </row>
    <row r="142" spans="2:8">
      <c r="B142" s="42" t="s">
        <v>460</v>
      </c>
      <c r="C142" s="22" t="s">
        <v>461</v>
      </c>
      <c r="D142" s="17" t="s">
        <v>132</v>
      </c>
      <c r="E142" s="17">
        <v>11040160001</v>
      </c>
      <c r="F142" s="20" t="s">
        <v>63</v>
      </c>
      <c r="G142" s="17" t="s">
        <v>26</v>
      </c>
      <c r="H142" s="39">
        <v>260.90000000000009</v>
      </c>
    </row>
    <row r="143" spans="2:8">
      <c r="B143" s="41" t="s">
        <v>462</v>
      </c>
      <c r="C143" s="22" t="s">
        <v>463</v>
      </c>
      <c r="D143" s="17" t="s">
        <v>125</v>
      </c>
      <c r="E143" s="17">
        <v>11040170001</v>
      </c>
      <c r="F143" s="20" t="s">
        <v>25</v>
      </c>
      <c r="G143" s="17" t="s">
        <v>26</v>
      </c>
      <c r="H143" s="45">
        <v>256.05000000000109</v>
      </c>
    </row>
    <row r="144" spans="2:8">
      <c r="B144" s="17" t="s">
        <v>464</v>
      </c>
      <c r="C144" s="17" t="s">
        <v>465</v>
      </c>
      <c r="D144" s="17" t="s">
        <v>132</v>
      </c>
      <c r="E144" s="17">
        <v>11040160001</v>
      </c>
      <c r="F144" s="20" t="s">
        <v>63</v>
      </c>
      <c r="G144" s="17" t="s">
        <v>26</v>
      </c>
      <c r="H144" s="39">
        <v>244.90000000000055</v>
      </c>
    </row>
    <row r="145" spans="2:8">
      <c r="B145" s="17" t="s">
        <v>466</v>
      </c>
      <c r="C145" s="17" t="s">
        <v>467</v>
      </c>
      <c r="D145" s="17" t="s">
        <v>468</v>
      </c>
      <c r="E145" s="17">
        <v>11010060001</v>
      </c>
      <c r="F145" s="20" t="s">
        <v>25</v>
      </c>
      <c r="G145" s="17" t="s">
        <v>26</v>
      </c>
      <c r="H145" s="39">
        <v>239.15000000000003</v>
      </c>
    </row>
    <row r="146" spans="2:8">
      <c r="B146" s="42" t="s">
        <v>469</v>
      </c>
      <c r="C146" s="22" t="s">
        <v>470</v>
      </c>
      <c r="D146" s="17" t="s">
        <v>265</v>
      </c>
      <c r="E146" s="17">
        <v>11030790001</v>
      </c>
      <c r="F146" s="20" t="s">
        <v>55</v>
      </c>
      <c r="G146" s="17" t="s">
        <v>51</v>
      </c>
      <c r="H146" s="39">
        <v>4831.2200000000594</v>
      </c>
    </row>
    <row r="147" spans="2:8">
      <c r="B147" s="42" t="s">
        <v>474</v>
      </c>
      <c r="C147" s="22" t="s">
        <v>475</v>
      </c>
      <c r="D147" s="17" t="s">
        <v>172</v>
      </c>
      <c r="E147" s="17">
        <v>11030640001</v>
      </c>
      <c r="F147" s="20" t="s">
        <v>50</v>
      </c>
      <c r="G147" s="17" t="s">
        <v>51</v>
      </c>
      <c r="H147" s="39">
        <v>218.86999999999625</v>
      </c>
    </row>
    <row r="148" spans="2:8">
      <c r="B148" s="19" t="s">
        <v>476</v>
      </c>
      <c r="C148" s="19" t="s">
        <v>477</v>
      </c>
      <c r="D148" s="19" t="s">
        <v>379</v>
      </c>
      <c r="E148" s="19">
        <v>11062450001</v>
      </c>
      <c r="F148" s="19" t="s">
        <v>63</v>
      </c>
      <c r="G148" s="28" t="s">
        <v>26</v>
      </c>
      <c r="H148" s="50">
        <v>215</v>
      </c>
    </row>
    <row r="149" spans="2:8">
      <c r="B149" s="17" t="s">
        <v>478</v>
      </c>
      <c r="C149" s="17" t="s">
        <v>479</v>
      </c>
      <c r="D149" s="17" t="s">
        <v>132</v>
      </c>
      <c r="E149" s="17">
        <v>11040160001</v>
      </c>
      <c r="F149" s="17" t="s">
        <v>63</v>
      </c>
      <c r="G149" s="17" t="s">
        <v>26</v>
      </c>
      <c r="H149" s="39">
        <v>201.30000000000109</v>
      </c>
    </row>
    <row r="150" spans="2:8">
      <c r="B150" s="17" t="s">
        <v>483</v>
      </c>
      <c r="C150" s="17" t="s">
        <v>484</v>
      </c>
      <c r="D150" s="17" t="s">
        <v>379</v>
      </c>
      <c r="E150" s="17">
        <v>11062450001</v>
      </c>
      <c r="F150" s="17" t="s">
        <v>63</v>
      </c>
      <c r="G150" s="17" t="s">
        <v>26</v>
      </c>
      <c r="H150" s="39">
        <v>189.79999999999995</v>
      </c>
    </row>
    <row r="151" spans="2:8">
      <c r="B151" s="17" t="s">
        <v>485</v>
      </c>
      <c r="C151" s="17" t="s">
        <v>486</v>
      </c>
      <c r="D151" s="17" t="s">
        <v>132</v>
      </c>
      <c r="E151" s="17">
        <v>11040160001</v>
      </c>
      <c r="F151" s="17" t="s">
        <v>63</v>
      </c>
      <c r="G151" s="17" t="s">
        <v>26</v>
      </c>
      <c r="H151" s="39">
        <v>188.54999999999995</v>
      </c>
    </row>
    <row r="152" spans="2:8">
      <c r="B152" s="17" t="s">
        <v>487</v>
      </c>
      <c r="C152" s="17" t="s">
        <v>488</v>
      </c>
      <c r="D152" s="17" t="s">
        <v>489</v>
      </c>
      <c r="E152" s="17">
        <v>11062850001</v>
      </c>
      <c r="F152" s="17" t="s">
        <v>63</v>
      </c>
      <c r="G152" s="17" t="s">
        <v>26</v>
      </c>
      <c r="H152" s="39">
        <v>178.02999999999997</v>
      </c>
    </row>
    <row r="153" spans="2:8">
      <c r="B153" s="42" t="s">
        <v>492</v>
      </c>
      <c r="C153" s="22" t="s">
        <v>493</v>
      </c>
      <c r="D153" s="17" t="s">
        <v>417</v>
      </c>
      <c r="E153" s="17">
        <v>11040140001</v>
      </c>
      <c r="F153" s="20" t="s">
        <v>59</v>
      </c>
      <c r="G153" s="17" t="s">
        <v>51</v>
      </c>
      <c r="H153" s="39">
        <v>162.32</v>
      </c>
    </row>
    <row r="154" spans="2:8">
      <c r="B154" s="42" t="s">
        <v>494</v>
      </c>
      <c r="C154" s="22" t="s">
        <v>495</v>
      </c>
      <c r="D154" s="17" t="s">
        <v>122</v>
      </c>
      <c r="E154" s="17">
        <v>11040130001</v>
      </c>
      <c r="F154" s="20" t="s">
        <v>59</v>
      </c>
      <c r="G154" s="17" t="s">
        <v>51</v>
      </c>
      <c r="H154" s="39">
        <v>159.5</v>
      </c>
    </row>
    <row r="155" spans="2:8">
      <c r="B155" s="42" t="s">
        <v>496</v>
      </c>
      <c r="C155" s="22" t="s">
        <v>497</v>
      </c>
      <c r="D155" s="17" t="s">
        <v>122</v>
      </c>
      <c r="E155" s="17">
        <v>11040130001</v>
      </c>
      <c r="F155" s="20" t="s">
        <v>59</v>
      </c>
      <c r="G155" s="17" t="s">
        <v>51</v>
      </c>
      <c r="H155" s="39">
        <v>159.43</v>
      </c>
    </row>
    <row r="156" spans="2:8">
      <c r="B156" s="51" t="s">
        <v>498</v>
      </c>
      <c r="C156" s="47" t="s">
        <v>499</v>
      </c>
      <c r="D156" s="19" t="s">
        <v>500</v>
      </c>
      <c r="E156" s="19">
        <v>11010420001</v>
      </c>
      <c r="F156" s="27" t="s">
        <v>50</v>
      </c>
      <c r="G156" s="28" t="s">
        <v>51</v>
      </c>
      <c r="H156" s="50">
        <v>158.98000000000036</v>
      </c>
    </row>
    <row r="157" spans="2:8">
      <c r="B157" s="17" t="s">
        <v>501</v>
      </c>
      <c r="C157" s="17" t="s">
        <v>502</v>
      </c>
      <c r="D157" s="17" t="s">
        <v>122</v>
      </c>
      <c r="E157" s="17">
        <v>11040130001</v>
      </c>
      <c r="F157" s="17" t="s">
        <v>59</v>
      </c>
      <c r="G157" s="17" t="s">
        <v>51</v>
      </c>
      <c r="H157" s="39">
        <v>155.20000000000005</v>
      </c>
    </row>
    <row r="158" spans="2:8">
      <c r="B158" s="42" t="s">
        <v>503</v>
      </c>
      <c r="C158" s="22" t="s">
        <v>504</v>
      </c>
      <c r="D158" s="17" t="s">
        <v>252</v>
      </c>
      <c r="E158" s="17">
        <v>11062280001</v>
      </c>
      <c r="F158" s="20" t="s">
        <v>50</v>
      </c>
      <c r="G158" s="17" t="s">
        <v>51</v>
      </c>
      <c r="H158" s="39">
        <v>149.13999999999999</v>
      </c>
    </row>
    <row r="159" spans="2:8">
      <c r="B159" s="19" t="s">
        <v>505</v>
      </c>
      <c r="C159" s="19" t="s">
        <v>506</v>
      </c>
      <c r="D159" s="19" t="s">
        <v>507</v>
      </c>
      <c r="E159" s="19">
        <v>11030710001</v>
      </c>
      <c r="F159" s="27" t="s">
        <v>55</v>
      </c>
      <c r="G159" s="28" t="s">
        <v>51</v>
      </c>
      <c r="H159" s="50">
        <v>689.97000000003004</v>
      </c>
    </row>
    <row r="160" spans="2:8">
      <c r="B160" s="42" t="s">
        <v>508</v>
      </c>
      <c r="C160" s="22" t="s">
        <v>509</v>
      </c>
      <c r="D160" s="17" t="s">
        <v>132</v>
      </c>
      <c r="E160" s="17">
        <v>11040160001</v>
      </c>
      <c r="F160" s="20" t="s">
        <v>63</v>
      </c>
      <c r="G160" s="17" t="s">
        <v>26</v>
      </c>
      <c r="H160" s="39">
        <v>147.47</v>
      </c>
    </row>
    <row r="161" spans="2:8">
      <c r="B161" s="42" t="s">
        <v>510</v>
      </c>
      <c r="C161" s="22" t="s">
        <v>511</v>
      </c>
      <c r="D161" s="17" t="s">
        <v>196</v>
      </c>
      <c r="E161" s="17">
        <v>11061720001</v>
      </c>
      <c r="F161" s="20" t="s">
        <v>55</v>
      </c>
      <c r="G161" s="17" t="s">
        <v>51</v>
      </c>
      <c r="H161" s="39">
        <v>903.84</v>
      </c>
    </row>
    <row r="162" spans="2:8">
      <c r="B162" s="17" t="s">
        <v>512</v>
      </c>
      <c r="C162" s="17" t="s">
        <v>513</v>
      </c>
      <c r="D162" s="17" t="s">
        <v>514</v>
      </c>
      <c r="E162" s="17">
        <v>11062600001</v>
      </c>
      <c r="F162" s="17" t="s">
        <v>25</v>
      </c>
      <c r="G162" s="17" t="s">
        <v>26</v>
      </c>
      <c r="H162" s="39">
        <v>136.60999999999967</v>
      </c>
    </row>
    <row r="163" spans="2:8">
      <c r="B163" s="42" t="s">
        <v>515</v>
      </c>
      <c r="C163" s="22" t="s">
        <v>516</v>
      </c>
      <c r="D163" s="17" t="s">
        <v>262</v>
      </c>
      <c r="E163" s="17">
        <v>11062020001</v>
      </c>
      <c r="F163" s="20" t="s">
        <v>55</v>
      </c>
      <c r="G163" s="17" t="s">
        <v>51</v>
      </c>
      <c r="H163" s="39">
        <v>99.230000000000018</v>
      </c>
    </row>
    <row r="164" spans="2:8">
      <c r="B164" s="41" t="s">
        <v>517</v>
      </c>
      <c r="C164" s="22" t="s">
        <v>518</v>
      </c>
      <c r="D164" s="17" t="s">
        <v>379</v>
      </c>
      <c r="E164" s="17">
        <v>11062450001</v>
      </c>
      <c r="F164" s="20" t="s">
        <v>63</v>
      </c>
      <c r="G164" s="17" t="s">
        <v>26</v>
      </c>
      <c r="H164" s="45">
        <v>123.96000000000004</v>
      </c>
    </row>
    <row r="165" spans="2:8">
      <c r="B165" s="42" t="s">
        <v>519</v>
      </c>
      <c r="C165" s="22" t="s">
        <v>520</v>
      </c>
      <c r="D165" s="17" t="s">
        <v>122</v>
      </c>
      <c r="E165" s="17">
        <v>11040130001</v>
      </c>
      <c r="F165" s="20" t="s">
        <v>59</v>
      </c>
      <c r="G165" s="17" t="s">
        <v>51</v>
      </c>
      <c r="H165" s="39">
        <v>120</v>
      </c>
    </row>
    <row r="166" spans="2:8">
      <c r="B166" s="42" t="s">
        <v>521</v>
      </c>
      <c r="C166" s="22" t="s">
        <v>522</v>
      </c>
      <c r="D166" s="17" t="s">
        <v>101</v>
      </c>
      <c r="E166" s="17">
        <v>11061430001</v>
      </c>
      <c r="F166" s="20" t="s">
        <v>31</v>
      </c>
      <c r="G166" s="17" t="s">
        <v>26</v>
      </c>
      <c r="H166" s="39">
        <v>116.97999999999686</v>
      </c>
    </row>
    <row r="167" spans="2:8">
      <c r="B167" s="17" t="s">
        <v>523</v>
      </c>
      <c r="C167" s="17" t="s">
        <v>524</v>
      </c>
      <c r="D167" s="17" t="s">
        <v>525</v>
      </c>
      <c r="E167" s="17">
        <v>11010180001</v>
      </c>
      <c r="F167" s="20" t="s">
        <v>55</v>
      </c>
      <c r="G167" s="17" t="s">
        <v>51</v>
      </c>
      <c r="H167" s="39">
        <v>1637.04</v>
      </c>
    </row>
    <row r="168" spans="2:8">
      <c r="B168" s="51" t="s">
        <v>526</v>
      </c>
      <c r="C168" s="47" t="s">
        <v>527</v>
      </c>
      <c r="D168" s="19" t="s">
        <v>528</v>
      </c>
      <c r="E168" s="19">
        <v>11010270001</v>
      </c>
      <c r="F168" s="27" t="s">
        <v>55</v>
      </c>
      <c r="G168" s="28" t="s">
        <v>51</v>
      </c>
      <c r="H168" s="50">
        <v>95.399999999999977</v>
      </c>
    </row>
    <row r="169" spans="2:8">
      <c r="B169" s="42" t="s">
        <v>529</v>
      </c>
      <c r="C169" s="22" t="s">
        <v>530</v>
      </c>
      <c r="D169" s="17" t="s">
        <v>384</v>
      </c>
      <c r="E169" s="17">
        <v>11062630001</v>
      </c>
      <c r="F169" s="20" t="s">
        <v>55</v>
      </c>
      <c r="G169" s="17" t="s">
        <v>51</v>
      </c>
      <c r="H169" s="39">
        <v>1014.16</v>
      </c>
    </row>
    <row r="170" spans="2:8">
      <c r="B170" s="42" t="s">
        <v>531</v>
      </c>
      <c r="C170" s="22" t="s">
        <v>532</v>
      </c>
      <c r="D170" s="17" t="s">
        <v>533</v>
      </c>
      <c r="E170" s="17">
        <v>11062770001</v>
      </c>
      <c r="F170" s="20" t="s">
        <v>63</v>
      </c>
      <c r="G170" s="17" t="s">
        <v>26</v>
      </c>
      <c r="H170" s="39">
        <v>90</v>
      </c>
    </row>
    <row r="171" spans="2:8">
      <c r="B171" s="42" t="s">
        <v>536</v>
      </c>
      <c r="C171" s="22" t="s">
        <v>537</v>
      </c>
      <c r="D171" s="17" t="s">
        <v>122</v>
      </c>
      <c r="E171" s="17">
        <v>11040130001</v>
      </c>
      <c r="F171" s="20" t="s">
        <v>59</v>
      </c>
      <c r="G171" s="17" t="s">
        <v>51</v>
      </c>
      <c r="H171" s="39">
        <v>90</v>
      </c>
    </row>
    <row r="172" spans="2:8">
      <c r="B172" s="42" t="s">
        <v>538</v>
      </c>
      <c r="C172" s="22" t="s">
        <v>539</v>
      </c>
      <c r="D172" s="17" t="s">
        <v>417</v>
      </c>
      <c r="E172" s="17">
        <v>11040140001</v>
      </c>
      <c r="F172" s="20" t="s">
        <v>59</v>
      </c>
      <c r="G172" s="17" t="s">
        <v>51</v>
      </c>
      <c r="H172" s="39">
        <v>81.889999999999191</v>
      </c>
    </row>
    <row r="173" spans="2:8">
      <c r="B173" s="17" t="s">
        <v>540</v>
      </c>
      <c r="C173" s="17" t="s">
        <v>541</v>
      </c>
      <c r="D173" s="17" t="s">
        <v>122</v>
      </c>
      <c r="E173" s="17">
        <v>11040130001</v>
      </c>
      <c r="F173" s="17" t="s">
        <v>59</v>
      </c>
      <c r="G173" s="17" t="s">
        <v>51</v>
      </c>
      <c r="H173" s="39">
        <v>80</v>
      </c>
    </row>
    <row r="174" spans="2:8">
      <c r="B174" s="42" t="s">
        <v>542</v>
      </c>
      <c r="C174" s="22" t="s">
        <v>543</v>
      </c>
      <c r="D174" s="17" t="s">
        <v>417</v>
      </c>
      <c r="E174" s="17">
        <v>11040140001</v>
      </c>
      <c r="F174" s="20" t="s">
        <v>59</v>
      </c>
      <c r="G174" s="17" t="s">
        <v>51</v>
      </c>
      <c r="H174" s="39">
        <v>74.56</v>
      </c>
    </row>
    <row r="175" spans="2:8">
      <c r="B175" s="41" t="s">
        <v>544</v>
      </c>
      <c r="C175" s="22" t="s">
        <v>545</v>
      </c>
      <c r="D175" s="17" t="s">
        <v>331</v>
      </c>
      <c r="E175" s="17">
        <v>11061810001</v>
      </c>
      <c r="F175" s="20" t="s">
        <v>71</v>
      </c>
      <c r="G175" s="17" t="s">
        <v>51</v>
      </c>
      <c r="H175" s="39">
        <v>73.300000000000068</v>
      </c>
    </row>
    <row r="176" spans="2:8">
      <c r="B176" s="41" t="s">
        <v>546</v>
      </c>
      <c r="C176" s="22" t="s">
        <v>547</v>
      </c>
      <c r="D176" s="17" t="s">
        <v>122</v>
      </c>
      <c r="E176" s="17">
        <v>11040130001</v>
      </c>
      <c r="F176" s="20" t="s">
        <v>59</v>
      </c>
      <c r="G176" s="17" t="s">
        <v>51</v>
      </c>
      <c r="H176" s="45">
        <v>71.500000000000455</v>
      </c>
    </row>
    <row r="177" spans="2:8">
      <c r="B177" s="42" t="s">
        <v>548</v>
      </c>
      <c r="C177" s="22" t="s">
        <v>549</v>
      </c>
      <c r="D177" s="17" t="s">
        <v>417</v>
      </c>
      <c r="E177" s="17">
        <v>11040140001</v>
      </c>
      <c r="F177" s="20" t="s">
        <v>59</v>
      </c>
      <c r="G177" s="17" t="s">
        <v>51</v>
      </c>
      <c r="H177" s="39">
        <v>71.25</v>
      </c>
    </row>
    <row r="178" spans="2:8">
      <c r="B178" s="42" t="s">
        <v>550</v>
      </c>
      <c r="C178" s="22" t="s">
        <v>551</v>
      </c>
      <c r="D178" s="17" t="s">
        <v>132</v>
      </c>
      <c r="E178" s="17">
        <v>11040160001</v>
      </c>
      <c r="F178" s="20" t="s">
        <v>63</v>
      </c>
      <c r="G178" s="17" t="s">
        <v>26</v>
      </c>
      <c r="H178" s="39">
        <v>64.69999999999979</v>
      </c>
    </row>
    <row r="179" spans="2:8">
      <c r="B179" s="17" t="s">
        <v>552</v>
      </c>
      <c r="C179" s="17" t="s">
        <v>553</v>
      </c>
      <c r="D179" s="17" t="s">
        <v>417</v>
      </c>
      <c r="E179" s="17">
        <v>11040140001</v>
      </c>
      <c r="F179" s="17" t="s">
        <v>59</v>
      </c>
      <c r="G179" s="17" t="s">
        <v>51</v>
      </c>
      <c r="H179" s="39">
        <v>63.379999999999946</v>
      </c>
    </row>
    <row r="180" spans="2:8">
      <c r="B180" s="17" t="s">
        <v>554</v>
      </c>
      <c r="C180" s="17" t="s">
        <v>555</v>
      </c>
      <c r="D180" s="17" t="s">
        <v>417</v>
      </c>
      <c r="E180" s="17">
        <v>11040140001</v>
      </c>
      <c r="F180" s="20" t="s">
        <v>59</v>
      </c>
      <c r="G180" s="17" t="s">
        <v>51</v>
      </c>
      <c r="H180" s="39">
        <v>60</v>
      </c>
    </row>
    <row r="181" spans="2:8">
      <c r="B181" s="17" t="s">
        <v>556</v>
      </c>
      <c r="C181" s="17" t="s">
        <v>557</v>
      </c>
      <c r="D181" s="17" t="s">
        <v>417</v>
      </c>
      <c r="E181" s="17">
        <v>11040140001</v>
      </c>
      <c r="F181" s="17" t="s">
        <v>59</v>
      </c>
      <c r="G181" s="17" t="s">
        <v>51</v>
      </c>
      <c r="H181" s="39">
        <v>55.000000000000071</v>
      </c>
    </row>
    <row r="182" spans="2:8">
      <c r="B182" s="42" t="s">
        <v>558</v>
      </c>
      <c r="C182" s="22" t="s">
        <v>559</v>
      </c>
      <c r="D182" s="17" t="s">
        <v>417</v>
      </c>
      <c r="E182" s="17">
        <v>11040140001</v>
      </c>
      <c r="F182" s="20" t="s">
        <v>59</v>
      </c>
      <c r="G182" s="17" t="s">
        <v>51</v>
      </c>
      <c r="H182" s="39">
        <v>55</v>
      </c>
    </row>
    <row r="183" spans="2:8">
      <c r="B183" s="19" t="s">
        <v>560</v>
      </c>
      <c r="C183" s="19" t="s">
        <v>561</v>
      </c>
      <c r="D183" s="19" t="s">
        <v>222</v>
      </c>
      <c r="E183" s="19">
        <v>11062050001</v>
      </c>
      <c r="F183" s="19" t="s">
        <v>59</v>
      </c>
      <c r="G183" s="28" t="s">
        <v>51</v>
      </c>
      <c r="H183" s="50">
        <v>48.400000000000105</v>
      </c>
    </row>
    <row r="184" spans="2:8">
      <c r="B184" s="42" t="s">
        <v>562</v>
      </c>
      <c r="C184" s="22" t="s">
        <v>563</v>
      </c>
      <c r="D184" s="17" t="s">
        <v>122</v>
      </c>
      <c r="E184" s="17">
        <v>11040130001</v>
      </c>
      <c r="F184" s="20" t="s">
        <v>59</v>
      </c>
      <c r="G184" s="17" t="s">
        <v>51</v>
      </c>
      <c r="H184" s="39">
        <v>37.700000000000045</v>
      </c>
    </row>
    <row r="185" spans="2:8">
      <c r="B185" s="17" t="s">
        <v>564</v>
      </c>
      <c r="C185" s="17" t="s">
        <v>565</v>
      </c>
      <c r="D185" s="17" t="s">
        <v>566</v>
      </c>
      <c r="E185" s="17">
        <v>11030760001</v>
      </c>
      <c r="F185" s="17" t="s">
        <v>50</v>
      </c>
      <c r="G185" s="17" t="s">
        <v>51</v>
      </c>
      <c r="H185" s="39">
        <v>34.999999999999091</v>
      </c>
    </row>
    <row r="186" spans="2:8">
      <c r="B186" s="19" t="s">
        <v>567</v>
      </c>
      <c r="C186" s="19" t="s">
        <v>568</v>
      </c>
      <c r="D186" s="19" t="s">
        <v>569</v>
      </c>
      <c r="E186" s="19">
        <v>11010090001</v>
      </c>
      <c r="F186" s="19" t="s">
        <v>50</v>
      </c>
      <c r="G186" s="28" t="s">
        <v>51</v>
      </c>
      <c r="H186" s="50">
        <v>33.89999999999975</v>
      </c>
    </row>
    <row r="187" spans="2:8">
      <c r="B187" s="17" t="s">
        <v>570</v>
      </c>
      <c r="C187" s="17" t="s">
        <v>571</v>
      </c>
      <c r="D187" s="17" t="s">
        <v>122</v>
      </c>
      <c r="E187" s="17">
        <v>11040130001</v>
      </c>
      <c r="F187" s="17" t="s">
        <v>59</v>
      </c>
      <c r="G187" s="17" t="s">
        <v>51</v>
      </c>
      <c r="H187" s="39">
        <v>28.210000000000491</v>
      </c>
    </row>
    <row r="188" spans="2:8">
      <c r="B188" s="17" t="s">
        <v>572</v>
      </c>
      <c r="C188" s="17" t="s">
        <v>573</v>
      </c>
      <c r="D188" s="17" t="s">
        <v>417</v>
      </c>
      <c r="E188" s="17">
        <v>11040140001</v>
      </c>
      <c r="F188" s="17" t="s">
        <v>59</v>
      </c>
      <c r="G188" s="26" t="s">
        <v>51</v>
      </c>
      <c r="H188" s="39">
        <v>23.119999999999891</v>
      </c>
    </row>
    <row r="189" spans="2:8">
      <c r="B189" s="19" t="s">
        <v>574</v>
      </c>
      <c r="C189" s="19" t="s">
        <v>575</v>
      </c>
      <c r="D189" s="19" t="s">
        <v>417</v>
      </c>
      <c r="E189" s="19">
        <v>11040140001</v>
      </c>
      <c r="F189" s="19" t="s">
        <v>59</v>
      </c>
      <c r="G189" s="28" t="s">
        <v>51</v>
      </c>
      <c r="H189" s="50">
        <v>22.799999999999834</v>
      </c>
    </row>
    <row r="190" spans="2:8">
      <c r="B190" s="42" t="s">
        <v>576</v>
      </c>
      <c r="C190" s="22" t="s">
        <v>577</v>
      </c>
      <c r="D190" s="17" t="s">
        <v>265</v>
      </c>
      <c r="E190" s="17">
        <v>11030790001</v>
      </c>
      <c r="F190" s="20" t="s">
        <v>55</v>
      </c>
      <c r="G190" s="17" t="s">
        <v>51</v>
      </c>
      <c r="H190" s="39">
        <v>1792.760000000002</v>
      </c>
    </row>
    <row r="191" spans="2:8">
      <c r="B191" s="51" t="s">
        <v>578</v>
      </c>
      <c r="C191" s="47" t="s">
        <v>579</v>
      </c>
      <c r="D191" s="19" t="s">
        <v>417</v>
      </c>
      <c r="E191" s="19">
        <v>11040140001</v>
      </c>
      <c r="F191" s="27" t="s">
        <v>59</v>
      </c>
      <c r="G191" s="28" t="s">
        <v>51</v>
      </c>
      <c r="H191" s="50">
        <v>14.500000000000057</v>
      </c>
    </row>
    <row r="192" spans="2:8">
      <c r="B192" s="17" t="s">
        <v>582</v>
      </c>
      <c r="C192" s="17" t="s">
        <v>583</v>
      </c>
      <c r="D192" s="17" t="s">
        <v>125</v>
      </c>
      <c r="E192" s="17">
        <v>11040170001</v>
      </c>
      <c r="F192" s="20" t="s">
        <v>126</v>
      </c>
      <c r="G192" s="17" t="s">
        <v>26</v>
      </c>
      <c r="H192" s="39">
        <v>14</v>
      </c>
    </row>
    <row r="193" spans="2:8">
      <c r="B193" s="42" t="s">
        <v>584</v>
      </c>
      <c r="C193" s="22" t="s">
        <v>585</v>
      </c>
      <c r="D193" s="17" t="s">
        <v>586</v>
      </c>
      <c r="E193" s="17">
        <v>11062940001</v>
      </c>
      <c r="F193" s="20" t="s">
        <v>50</v>
      </c>
      <c r="G193" s="17" t="s">
        <v>51</v>
      </c>
      <c r="H193" s="39">
        <v>6.9999999999990177</v>
      </c>
    </row>
    <row r="194" spans="2:8">
      <c r="B194" s="41" t="s">
        <v>587</v>
      </c>
      <c r="C194" s="22" t="s">
        <v>588</v>
      </c>
      <c r="D194" s="17" t="s">
        <v>74</v>
      </c>
      <c r="E194" s="17">
        <v>11061770001</v>
      </c>
      <c r="F194" s="20" t="s">
        <v>71</v>
      </c>
      <c r="G194" s="17" t="s">
        <v>51</v>
      </c>
      <c r="H194" s="45">
        <v>5.1000000000008185</v>
      </c>
    </row>
    <row r="195" spans="2:8">
      <c r="B195" s="42" t="s">
        <v>589</v>
      </c>
      <c r="C195" s="22" t="s">
        <v>590</v>
      </c>
      <c r="D195" s="17" t="s">
        <v>591</v>
      </c>
      <c r="E195" s="17">
        <v>11010080001</v>
      </c>
      <c r="F195" s="20" t="s">
        <v>55</v>
      </c>
      <c r="G195" s="17" t="s">
        <v>51</v>
      </c>
      <c r="H195" s="39">
        <v>885.39999999999964</v>
      </c>
    </row>
    <row r="196" spans="2:8">
      <c r="B196" s="42" t="s">
        <v>592</v>
      </c>
      <c r="C196" s="22" t="s">
        <v>593</v>
      </c>
      <c r="D196" s="17" t="s">
        <v>196</v>
      </c>
      <c r="E196" s="17">
        <v>11061720001</v>
      </c>
      <c r="F196" s="20" t="s">
        <v>55</v>
      </c>
      <c r="G196" s="17" t="s">
        <v>51</v>
      </c>
      <c r="H196" s="39">
        <v>741.64</v>
      </c>
    </row>
    <row r="197" spans="2:8">
      <c r="B197" s="42" t="s">
        <v>603</v>
      </c>
      <c r="C197" s="22" t="s">
        <v>604</v>
      </c>
      <c r="D197" s="17" t="s">
        <v>196</v>
      </c>
      <c r="E197" s="17">
        <v>11061720001</v>
      </c>
      <c r="F197" s="20" t="s">
        <v>55</v>
      </c>
      <c r="G197" s="17" t="s">
        <v>51</v>
      </c>
      <c r="H197" s="39">
        <v>1160.8499999999999</v>
      </c>
    </row>
    <row r="198" spans="2:8">
      <c r="B198" s="17" t="s">
        <v>612</v>
      </c>
      <c r="C198" s="17" t="s">
        <v>613</v>
      </c>
      <c r="D198" s="17" t="s">
        <v>431</v>
      </c>
      <c r="E198" s="17">
        <v>11061400001</v>
      </c>
      <c r="F198" s="20" t="s">
        <v>55</v>
      </c>
      <c r="G198" s="17" t="s">
        <v>51</v>
      </c>
      <c r="H198" s="39">
        <v>460.69999999998788</v>
      </c>
    </row>
    <row r="199" spans="2:8">
      <c r="B199" s="42" t="s">
        <v>620</v>
      </c>
      <c r="C199" s="22" t="s">
        <v>621</v>
      </c>
      <c r="D199" s="17" t="s">
        <v>196</v>
      </c>
      <c r="E199" s="17">
        <v>11061720001</v>
      </c>
      <c r="F199" s="20" t="s">
        <v>55</v>
      </c>
      <c r="G199" s="17" t="s">
        <v>51</v>
      </c>
      <c r="H199" s="39">
        <v>661.1399999999976</v>
      </c>
    </row>
    <row r="200" spans="2:8">
      <c r="B200" s="42" t="s">
        <v>648</v>
      </c>
      <c r="C200" s="22" t="s">
        <v>649</v>
      </c>
      <c r="D200" s="17" t="s">
        <v>169</v>
      </c>
      <c r="E200" s="17">
        <v>11080440001</v>
      </c>
      <c r="F200" s="20" t="s">
        <v>55</v>
      </c>
      <c r="G200" s="17" t="s">
        <v>51</v>
      </c>
      <c r="H200" s="39">
        <v>390</v>
      </c>
    </row>
    <row r="201" spans="2:8">
      <c r="B201" s="42" t="s">
        <v>683</v>
      </c>
      <c r="C201" s="22" t="s">
        <v>684</v>
      </c>
      <c r="D201" s="17" t="s">
        <v>525</v>
      </c>
      <c r="E201" s="17">
        <v>11010180001</v>
      </c>
      <c r="F201" s="20" t="s">
        <v>55</v>
      </c>
      <c r="G201" s="17" t="s">
        <v>51</v>
      </c>
      <c r="H201" s="39">
        <v>414.42999999999915</v>
      </c>
    </row>
    <row r="202" spans="2:8">
      <c r="B202" s="42" t="s">
        <v>692</v>
      </c>
      <c r="C202" s="22" t="s">
        <v>693</v>
      </c>
      <c r="D202" s="17" t="s">
        <v>196</v>
      </c>
      <c r="E202" s="17">
        <v>11061720001</v>
      </c>
      <c r="F202" s="20" t="s">
        <v>55</v>
      </c>
      <c r="G202" s="17" t="s">
        <v>51</v>
      </c>
      <c r="H202" s="39">
        <v>1281.95</v>
      </c>
    </row>
    <row r="203" spans="2:8">
      <c r="B203" s="51" t="s">
        <v>694</v>
      </c>
      <c r="C203" s="47" t="s">
        <v>695</v>
      </c>
      <c r="D203" s="19" t="s">
        <v>196</v>
      </c>
      <c r="E203" s="19">
        <v>11061720001</v>
      </c>
      <c r="F203" s="27" t="s">
        <v>55</v>
      </c>
      <c r="G203" s="19" t="s">
        <v>51</v>
      </c>
      <c r="H203" s="50">
        <v>395.85999999999785</v>
      </c>
    </row>
    <row r="204" spans="2:8">
      <c r="B204" s="42" t="s">
        <v>711</v>
      </c>
      <c r="C204" s="22" t="s">
        <v>712</v>
      </c>
      <c r="D204" s="17" t="s">
        <v>196</v>
      </c>
      <c r="E204" s="17">
        <v>11061720001</v>
      </c>
      <c r="F204" s="20" t="s">
        <v>55</v>
      </c>
      <c r="G204" s="17" t="s">
        <v>51</v>
      </c>
      <c r="H204" s="39">
        <v>787.1</v>
      </c>
    </row>
    <row r="205" spans="2:8">
      <c r="B205" s="42" t="s">
        <v>734</v>
      </c>
      <c r="C205" s="22" t="s">
        <v>735</v>
      </c>
      <c r="D205" s="17" t="s">
        <v>431</v>
      </c>
      <c r="E205" s="17">
        <v>11061400001</v>
      </c>
      <c r="F205" s="20" t="s">
        <v>55</v>
      </c>
      <c r="G205" s="17" t="s">
        <v>51</v>
      </c>
      <c r="H205" s="39">
        <v>700</v>
      </c>
    </row>
    <row r="206" spans="2:8">
      <c r="B206" s="42" t="s">
        <v>740</v>
      </c>
      <c r="C206" s="22" t="s">
        <v>741</v>
      </c>
      <c r="D206" s="17" t="s">
        <v>125</v>
      </c>
      <c r="E206" s="17">
        <v>11040170001</v>
      </c>
      <c r="F206" s="20" t="s">
        <v>126</v>
      </c>
      <c r="G206" s="17" t="s">
        <v>26</v>
      </c>
      <c r="H206" s="39">
        <v>168.14999999999606</v>
      </c>
    </row>
    <row r="207" spans="2:8">
      <c r="B207" s="51" t="s">
        <v>752</v>
      </c>
      <c r="C207" s="47" t="s">
        <v>753</v>
      </c>
      <c r="D207" s="19" t="s">
        <v>196</v>
      </c>
      <c r="E207" s="19">
        <v>11061720001</v>
      </c>
      <c r="F207" s="27" t="s">
        <v>55</v>
      </c>
      <c r="G207" s="19" t="s">
        <v>51</v>
      </c>
      <c r="H207" s="50">
        <v>440.90000000000231</v>
      </c>
    </row>
    <row r="208" spans="2:8">
      <c r="B208" s="42" t="s">
        <v>754</v>
      </c>
      <c r="C208" s="22" t="s">
        <v>755</v>
      </c>
      <c r="D208" s="17" t="s">
        <v>196</v>
      </c>
      <c r="E208" s="17">
        <v>11061720001</v>
      </c>
      <c r="F208" s="20" t="s">
        <v>55</v>
      </c>
      <c r="G208" s="17" t="s">
        <v>51</v>
      </c>
      <c r="H208" s="39">
        <v>590.23999999999796</v>
      </c>
    </row>
    <row r="209" spans="2:8">
      <c r="B209" s="42" t="s">
        <v>806</v>
      </c>
      <c r="C209" s="22" t="s">
        <v>807</v>
      </c>
      <c r="D209" s="17" t="s">
        <v>196</v>
      </c>
      <c r="E209" s="17">
        <v>11061720001</v>
      </c>
      <c r="F209" s="20" t="s">
        <v>55</v>
      </c>
      <c r="G209" s="17" t="s">
        <v>51</v>
      </c>
      <c r="H209" s="39">
        <v>581.64</v>
      </c>
    </row>
    <row r="210" spans="2:8">
      <c r="B210" s="51" t="s">
        <v>810</v>
      </c>
      <c r="C210" s="47" t="s">
        <v>811</v>
      </c>
      <c r="D210" s="19" t="s">
        <v>169</v>
      </c>
      <c r="E210" s="19">
        <v>11080440001</v>
      </c>
      <c r="F210" s="27" t="s">
        <v>55</v>
      </c>
      <c r="G210" s="19" t="s">
        <v>51</v>
      </c>
      <c r="H210" s="50">
        <v>236.49</v>
      </c>
    </row>
    <row r="211" spans="2:8">
      <c r="B211" s="51" t="s">
        <v>815</v>
      </c>
      <c r="C211" s="47" t="s">
        <v>816</v>
      </c>
      <c r="D211" s="19" t="s">
        <v>817</v>
      </c>
      <c r="E211" s="19">
        <v>11010150001</v>
      </c>
      <c r="F211" s="27" t="s">
        <v>55</v>
      </c>
      <c r="G211" s="19" t="s">
        <v>51</v>
      </c>
      <c r="H211" s="50">
        <v>485.9</v>
      </c>
    </row>
    <row r="212" spans="2:8">
      <c r="B212" s="42" t="s">
        <v>904</v>
      </c>
      <c r="C212" s="22" t="s">
        <v>905</v>
      </c>
      <c r="D212" s="17" t="s">
        <v>906</v>
      </c>
      <c r="E212" s="17">
        <v>11030700001</v>
      </c>
      <c r="F212" s="20" t="s">
        <v>55</v>
      </c>
      <c r="G212" s="17" t="s">
        <v>51</v>
      </c>
      <c r="H212" s="39">
        <v>2237.4299999999998</v>
      </c>
    </row>
    <row r="213" spans="2:8">
      <c r="B213" s="42" t="s">
        <v>913</v>
      </c>
      <c r="C213" s="22" t="s">
        <v>914</v>
      </c>
      <c r="D213" s="17" t="s">
        <v>125</v>
      </c>
      <c r="E213" s="17">
        <v>11040170001</v>
      </c>
      <c r="F213" s="20" t="s">
        <v>126</v>
      </c>
      <c r="G213" s="17" t="s">
        <v>26</v>
      </c>
      <c r="H213" s="39">
        <v>1000</v>
      </c>
    </row>
    <row r="214" spans="2:8">
      <c r="B214" s="42" t="s">
        <v>983</v>
      </c>
      <c r="C214" s="22" t="s">
        <v>984</v>
      </c>
      <c r="D214" s="17" t="s">
        <v>293</v>
      </c>
      <c r="E214" s="17">
        <v>1201071</v>
      </c>
      <c r="F214" s="20" t="s">
        <v>55</v>
      </c>
      <c r="G214" s="17" t="s">
        <v>51</v>
      </c>
      <c r="H214" s="39">
        <v>464.90000000000015</v>
      </c>
    </row>
    <row r="215" spans="2:8">
      <c r="B215" s="41" t="s">
        <v>1018</v>
      </c>
      <c r="C215" s="22" t="s">
        <v>1019</v>
      </c>
      <c r="D215" s="17" t="s">
        <v>196</v>
      </c>
      <c r="E215" s="17">
        <v>11061720001</v>
      </c>
      <c r="F215" s="20" t="s">
        <v>55</v>
      </c>
      <c r="G215" s="17" t="s">
        <v>51</v>
      </c>
      <c r="H215" s="45">
        <v>238.22000000000003</v>
      </c>
    </row>
    <row r="216" spans="2:8">
      <c r="B216" s="42" t="s">
        <v>1048</v>
      </c>
      <c r="C216" s="22" t="s">
        <v>1049</v>
      </c>
      <c r="D216" s="17" t="s">
        <v>431</v>
      </c>
      <c r="E216" s="17">
        <v>11061400001</v>
      </c>
      <c r="F216" s="20" t="s">
        <v>55</v>
      </c>
      <c r="G216" s="17" t="s">
        <v>51</v>
      </c>
      <c r="H216" s="39">
        <v>148.63000000000284</v>
      </c>
    </row>
    <row r="217" spans="2:8">
      <c r="B217" s="42" t="s">
        <v>1100</v>
      </c>
      <c r="C217" s="22" t="s">
        <v>1101</v>
      </c>
      <c r="D217" s="17" t="s">
        <v>125</v>
      </c>
      <c r="E217" s="17">
        <v>11040170001</v>
      </c>
      <c r="F217" s="20" t="s">
        <v>126</v>
      </c>
      <c r="G217" s="17" t="s">
        <v>26</v>
      </c>
      <c r="H217" s="39">
        <v>441.1</v>
      </c>
    </row>
    <row r="218" spans="2:8">
      <c r="B218" s="42" t="s">
        <v>1126</v>
      </c>
      <c r="C218" s="22" t="s">
        <v>1127</v>
      </c>
      <c r="D218" s="17" t="s">
        <v>1128</v>
      </c>
      <c r="E218" s="17">
        <v>11010300001</v>
      </c>
      <c r="F218" s="20" t="s">
        <v>55</v>
      </c>
      <c r="G218" s="17" t="s">
        <v>51</v>
      </c>
      <c r="H218" s="39">
        <v>1171.5299999999952</v>
      </c>
    </row>
    <row r="219" spans="2:8">
      <c r="B219" s="41" t="s">
        <v>1133</v>
      </c>
      <c r="C219" s="22" t="s">
        <v>1134</v>
      </c>
      <c r="D219" s="17" t="s">
        <v>196</v>
      </c>
      <c r="E219" s="17">
        <v>11061720001</v>
      </c>
      <c r="F219" s="20" t="s">
        <v>55</v>
      </c>
      <c r="G219" s="17" t="s">
        <v>51</v>
      </c>
      <c r="H219" s="45">
        <v>266.03999999999809</v>
      </c>
    </row>
    <row r="220" spans="2:8">
      <c r="B220" s="42" t="s">
        <v>1155</v>
      </c>
      <c r="C220" s="22" t="s">
        <v>1156</v>
      </c>
      <c r="D220" s="17" t="s">
        <v>125</v>
      </c>
      <c r="E220" s="17">
        <v>11040170001</v>
      </c>
      <c r="F220" s="20" t="s">
        <v>126</v>
      </c>
      <c r="G220" s="17" t="s">
        <v>26</v>
      </c>
      <c r="H220" s="39">
        <v>7.0000000000000639</v>
      </c>
    </row>
    <row r="221" spans="2:8">
      <c r="B221" s="42" t="s">
        <v>1196</v>
      </c>
      <c r="C221" s="22" t="s">
        <v>1197</v>
      </c>
      <c r="D221" s="17" t="s">
        <v>119</v>
      </c>
      <c r="E221" s="17">
        <v>11060800001</v>
      </c>
      <c r="F221" s="20" t="s">
        <v>55</v>
      </c>
      <c r="G221" s="17" t="s">
        <v>51</v>
      </c>
      <c r="H221" s="39">
        <v>116.55</v>
      </c>
    </row>
  </sheetData>
  <conditionalFormatting sqref="B2">
    <cfRule type="duplicateValues" dxfId="14" priority="3"/>
  </conditionalFormatting>
  <conditionalFormatting sqref="B2:C2">
    <cfRule type="duplicateValues" dxfId="13" priority="4"/>
  </conditionalFormatting>
  <conditionalFormatting sqref="B200:B221 B2">
    <cfRule type="duplicateValues" dxfId="12" priority="28"/>
  </conditionalFormatting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E702FA5B-6650-474F-8E35-682FD411881A}"/>
</file>

<file path=customXml/itemProps2.xml><?xml version="1.0" encoding="utf-8"?>
<ds:datastoreItem xmlns:ds="http://schemas.openxmlformats.org/officeDocument/2006/customXml" ds:itemID="{ECA316B1-8F3C-4381-9FD6-D022D6E6251D}"/>
</file>

<file path=customXml/itemProps3.xml><?xml version="1.0" encoding="utf-8"?>
<ds:datastoreItem xmlns:ds="http://schemas.openxmlformats.org/officeDocument/2006/customXml" ds:itemID="{03787986-3F50-41E2-8163-4F0F884E3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Dantas Miranda</dc:creator>
  <cp:keywords/>
  <dc:description/>
  <cp:lastModifiedBy>Andrey Cardoso Reginaldo</cp:lastModifiedBy>
  <cp:revision/>
  <dcterms:created xsi:type="dcterms:W3CDTF">2026-02-11T11:26:52Z</dcterms:created>
  <dcterms:modified xsi:type="dcterms:W3CDTF">2026-02-23T12:43:05Z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